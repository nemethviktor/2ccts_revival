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D16AC2F4-E903-4ABC-9D2F-B4AE5524E7C5}" xr6:coauthVersionLast="47" xr6:coauthVersionMax="47" xr10:uidLastSave="{00000000-0000-0000-0000-000000000000}"/>
  <bookViews>
    <workbookView xWindow="-103" yWindow="-103" windowWidth="22149" windowHeight="13320" tabRatio="787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_africa" sheetId="26" r:id="rId6"/>
    <sheet name="roster_northamerica" sheetId="32" r:id="rId7"/>
    <sheet name="roster_southamerica" sheetId="33" r:id="rId8"/>
    <sheet name="roster_asia" sheetId="28" r:id="rId9"/>
    <sheet name="roster_oceania" sheetId="34" r:id="rId10"/>
    <sheet name="roster_westeurope" sheetId="29" r:id="rId11"/>
    <sheet name="roster_easterneurope" sheetId="30" r:id="rId12"/>
    <sheet name="roster_southerneurope" sheetId="31" r:id="rId13"/>
    <sheet name="roster" sheetId="24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13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04" i="19" l="1"/>
  <c r="B804" i="14"/>
  <c r="E804" i="14"/>
  <c r="AD804" i="17"/>
  <c r="R804" i="17"/>
  <c r="T804" i="17" s="1"/>
  <c r="K804" i="17"/>
  <c r="E804" i="17"/>
  <c r="AF804" i="1"/>
  <c r="O804" i="14"/>
  <c r="N804" i="14"/>
  <c r="M804" i="14"/>
  <c r="L804" i="14"/>
  <c r="K804" i="14"/>
  <c r="J804" i="14"/>
  <c r="I804" i="14"/>
  <c r="H804" i="14"/>
  <c r="AD564" i="17"/>
  <c r="E564" i="19"/>
  <c r="AF803" i="1"/>
  <c r="AD803" i="17"/>
  <c r="R803" i="17"/>
  <c r="E803" i="17"/>
  <c r="K803" i="17"/>
  <c r="T803" i="17"/>
  <c r="B803" i="14"/>
  <c r="I803" i="14"/>
  <c r="J803" i="14"/>
  <c r="K803" i="14"/>
  <c r="L803" i="14"/>
  <c r="M803" i="14"/>
  <c r="N803" i="14"/>
  <c r="O803" i="14"/>
  <c r="AF802" i="1"/>
  <c r="AD802" i="17"/>
  <c r="K802" i="17"/>
  <c r="AE802" i="17" s="1" a="1"/>
  <c r="AE802" i="17" s="1"/>
  <c r="E802" i="17"/>
  <c r="R802" i="17"/>
  <c r="T802" i="17"/>
  <c r="B802" i="14"/>
  <c r="I802" i="14"/>
  <c r="J802" i="14"/>
  <c r="K802" i="14"/>
  <c r="L802" i="14"/>
  <c r="M802" i="14"/>
  <c r="N802" i="14"/>
  <c r="O802" i="14"/>
  <c r="AF801" i="1"/>
  <c r="AD801" i="17"/>
  <c r="R801" i="17"/>
  <c r="T801" i="17" s="1"/>
  <c r="K801" i="17"/>
  <c r="E801" i="17"/>
  <c r="B801" i="14"/>
  <c r="I801" i="14"/>
  <c r="J801" i="14"/>
  <c r="K801" i="14"/>
  <c r="L801" i="14"/>
  <c r="M801" i="14"/>
  <c r="N801" i="14"/>
  <c r="O801" i="14"/>
  <c r="E800" i="19"/>
  <c r="AF800" i="1"/>
  <c r="K800" i="17"/>
  <c r="K799" i="17"/>
  <c r="K798" i="17"/>
  <c r="K796" i="17"/>
  <c r="K795" i="17"/>
  <c r="K794" i="17"/>
  <c r="K793" i="17"/>
  <c r="K792" i="17"/>
  <c r="K791" i="17"/>
  <c r="K790" i="17"/>
  <c r="K789" i="17"/>
  <c r="K788" i="17"/>
  <c r="K787" i="17"/>
  <c r="K786" i="17"/>
  <c r="K785" i="17"/>
  <c r="K784" i="17"/>
  <c r="K783" i="17"/>
  <c r="K782" i="17"/>
  <c r="K781" i="17"/>
  <c r="K780" i="17"/>
  <c r="K779" i="17"/>
  <c r="K778" i="17"/>
  <c r="K777" i="17"/>
  <c r="K776" i="17"/>
  <c r="K775" i="17"/>
  <c r="K774" i="17"/>
  <c r="K773" i="17"/>
  <c r="K772" i="17"/>
  <c r="K771" i="17"/>
  <c r="K770" i="17"/>
  <c r="K769" i="17"/>
  <c r="K768" i="17"/>
  <c r="K767" i="17"/>
  <c r="K766" i="17"/>
  <c r="K765" i="17"/>
  <c r="K764" i="17"/>
  <c r="K763" i="17"/>
  <c r="K762" i="17"/>
  <c r="K761" i="17"/>
  <c r="K760" i="17"/>
  <c r="K759" i="17"/>
  <c r="K758" i="17"/>
  <c r="K757" i="17"/>
  <c r="K756" i="17"/>
  <c r="K755" i="17"/>
  <c r="K754" i="17"/>
  <c r="K753" i="17"/>
  <c r="K752" i="17"/>
  <c r="K751" i="17"/>
  <c r="K750" i="17"/>
  <c r="K749" i="17"/>
  <c r="K748" i="17"/>
  <c r="K747" i="17"/>
  <c r="K746" i="17"/>
  <c r="K745" i="17"/>
  <c r="K744" i="17"/>
  <c r="K743" i="17"/>
  <c r="K742" i="17"/>
  <c r="K741" i="17"/>
  <c r="K740" i="17"/>
  <c r="K739" i="17"/>
  <c r="K738" i="17"/>
  <c r="K737" i="17"/>
  <c r="K736" i="17"/>
  <c r="K735" i="17"/>
  <c r="K734" i="17"/>
  <c r="K733" i="17"/>
  <c r="K732" i="17"/>
  <c r="K731" i="17"/>
  <c r="K730" i="17"/>
  <c r="K729" i="17"/>
  <c r="K728" i="17"/>
  <c r="K727" i="17"/>
  <c r="K726" i="17"/>
  <c r="K725" i="17"/>
  <c r="K724" i="17"/>
  <c r="K723" i="17"/>
  <c r="K722" i="17"/>
  <c r="K721" i="17"/>
  <c r="K720" i="17"/>
  <c r="K719" i="17"/>
  <c r="K718" i="17"/>
  <c r="K717" i="17"/>
  <c r="K716" i="17"/>
  <c r="K715" i="17"/>
  <c r="K714" i="17"/>
  <c r="K713" i="17"/>
  <c r="K712" i="17"/>
  <c r="K711" i="17"/>
  <c r="K710" i="17"/>
  <c r="K709" i="17"/>
  <c r="K708" i="17"/>
  <c r="K707" i="17"/>
  <c r="K706" i="17"/>
  <c r="K705" i="17"/>
  <c r="K704" i="17"/>
  <c r="K703" i="17"/>
  <c r="K702" i="17"/>
  <c r="K701" i="17"/>
  <c r="K700" i="17"/>
  <c r="K699" i="17"/>
  <c r="K698" i="17"/>
  <c r="K697" i="17"/>
  <c r="K696" i="17"/>
  <c r="K695" i="17"/>
  <c r="K694" i="17"/>
  <c r="K693" i="17"/>
  <c r="K692" i="17"/>
  <c r="K691" i="17"/>
  <c r="K690" i="17"/>
  <c r="K689" i="17"/>
  <c r="K688" i="17"/>
  <c r="K687" i="17"/>
  <c r="K686" i="17"/>
  <c r="K685" i="17"/>
  <c r="K684" i="17"/>
  <c r="K683" i="17"/>
  <c r="K682" i="17"/>
  <c r="K681" i="17"/>
  <c r="K680" i="17"/>
  <c r="K679" i="17"/>
  <c r="K678" i="17"/>
  <c r="K677" i="17"/>
  <c r="K676" i="17"/>
  <c r="K675" i="17"/>
  <c r="K674" i="17"/>
  <c r="K673" i="17"/>
  <c r="K672" i="17"/>
  <c r="K671" i="17"/>
  <c r="K670" i="17"/>
  <c r="K669" i="17"/>
  <c r="K668" i="17"/>
  <c r="K667" i="17"/>
  <c r="K666" i="17"/>
  <c r="K665" i="17"/>
  <c r="K664" i="17"/>
  <c r="K663" i="17"/>
  <c r="K662" i="17"/>
  <c r="K661" i="17"/>
  <c r="K660" i="17"/>
  <c r="K659" i="17"/>
  <c r="K658" i="17"/>
  <c r="K657" i="17"/>
  <c r="K656" i="17"/>
  <c r="K655" i="17"/>
  <c r="K654" i="17"/>
  <c r="K653" i="17"/>
  <c r="K652" i="17"/>
  <c r="K651" i="17"/>
  <c r="K650" i="17"/>
  <c r="K649" i="17"/>
  <c r="K648" i="17"/>
  <c r="K647" i="17"/>
  <c r="K646" i="17"/>
  <c r="K645" i="17"/>
  <c r="K644" i="17"/>
  <c r="K643" i="17"/>
  <c r="K642" i="17"/>
  <c r="K641" i="17"/>
  <c r="K640" i="17"/>
  <c r="K639" i="17"/>
  <c r="K638" i="17"/>
  <c r="K637" i="17"/>
  <c r="K636" i="17"/>
  <c r="K635" i="17"/>
  <c r="K634" i="17"/>
  <c r="K633" i="17"/>
  <c r="K632" i="17"/>
  <c r="K631" i="17"/>
  <c r="K630" i="17"/>
  <c r="K629" i="17"/>
  <c r="K628" i="17"/>
  <c r="K627" i="17"/>
  <c r="K626" i="17"/>
  <c r="K625" i="17"/>
  <c r="K624" i="17"/>
  <c r="K623" i="17"/>
  <c r="K622" i="17"/>
  <c r="K621" i="17"/>
  <c r="K620" i="17"/>
  <c r="K619" i="17"/>
  <c r="K618" i="17"/>
  <c r="K617" i="17"/>
  <c r="K616" i="17"/>
  <c r="K615" i="17"/>
  <c r="K614" i="17"/>
  <c r="K613" i="17"/>
  <c r="K612" i="17"/>
  <c r="K611" i="17"/>
  <c r="K610" i="17"/>
  <c r="K609" i="17"/>
  <c r="K608" i="17"/>
  <c r="K607" i="17"/>
  <c r="K606" i="17"/>
  <c r="K605" i="17"/>
  <c r="K604" i="17"/>
  <c r="K603" i="17"/>
  <c r="K602" i="17"/>
  <c r="K601" i="17"/>
  <c r="K600" i="17"/>
  <c r="K599" i="17"/>
  <c r="K598" i="17"/>
  <c r="K597" i="17"/>
  <c r="K596" i="17"/>
  <c r="K595" i="17"/>
  <c r="K594" i="17"/>
  <c r="K593" i="17"/>
  <c r="K592" i="17"/>
  <c r="K591" i="17"/>
  <c r="K590" i="17"/>
  <c r="K589" i="17"/>
  <c r="K588" i="17"/>
  <c r="K587" i="17"/>
  <c r="K586" i="17"/>
  <c r="K585" i="17"/>
  <c r="K584" i="17"/>
  <c r="K583" i="17"/>
  <c r="K582" i="17"/>
  <c r="K581" i="17"/>
  <c r="K580" i="17"/>
  <c r="K579" i="17"/>
  <c r="K578" i="17"/>
  <c r="K577" i="17"/>
  <c r="K576" i="17"/>
  <c r="K575" i="17"/>
  <c r="K574" i="17"/>
  <c r="K573" i="17"/>
  <c r="K572" i="17"/>
  <c r="K571" i="17"/>
  <c r="K570" i="17"/>
  <c r="K569" i="17"/>
  <c r="K568" i="17"/>
  <c r="K567" i="17"/>
  <c r="K566" i="17"/>
  <c r="K565" i="17"/>
  <c r="K564" i="17"/>
  <c r="AE564" i="17" s="1" a="1"/>
  <c r="AE564" i="17" s="1"/>
  <c r="K563" i="17"/>
  <c r="K562" i="17"/>
  <c r="K561" i="17"/>
  <c r="K560" i="17"/>
  <c r="K559" i="17"/>
  <c r="K558" i="17"/>
  <c r="K557" i="17"/>
  <c r="K556" i="17"/>
  <c r="K555" i="17"/>
  <c r="K554" i="17"/>
  <c r="K553" i="17"/>
  <c r="K552" i="17"/>
  <c r="K551" i="17"/>
  <c r="K550" i="17"/>
  <c r="K549" i="17"/>
  <c r="K548" i="17"/>
  <c r="K547" i="17"/>
  <c r="K546" i="17"/>
  <c r="K545" i="17"/>
  <c r="K544" i="17"/>
  <c r="K543" i="17"/>
  <c r="K542" i="17"/>
  <c r="K541" i="17"/>
  <c r="K540" i="17"/>
  <c r="K539" i="17"/>
  <c r="K538" i="17"/>
  <c r="K537" i="17"/>
  <c r="K536" i="17"/>
  <c r="K535" i="17"/>
  <c r="K534" i="17"/>
  <c r="K533" i="17"/>
  <c r="K532" i="17"/>
  <c r="K531" i="17"/>
  <c r="K530" i="17"/>
  <c r="K529" i="17"/>
  <c r="K528" i="17"/>
  <c r="K527" i="17"/>
  <c r="K526" i="17"/>
  <c r="K525" i="17"/>
  <c r="K524" i="17"/>
  <c r="K523" i="17"/>
  <c r="K522" i="17"/>
  <c r="K521" i="17"/>
  <c r="K520" i="17"/>
  <c r="K519" i="17"/>
  <c r="K518" i="17"/>
  <c r="K517" i="17"/>
  <c r="K516" i="17"/>
  <c r="K515" i="17"/>
  <c r="K514" i="17"/>
  <c r="K513" i="17"/>
  <c r="K512" i="17"/>
  <c r="K511" i="17"/>
  <c r="K510" i="17"/>
  <c r="K509" i="17"/>
  <c r="K508" i="17"/>
  <c r="K507" i="17"/>
  <c r="K506" i="17"/>
  <c r="K505" i="17"/>
  <c r="K504" i="17"/>
  <c r="K503" i="17"/>
  <c r="K502" i="17"/>
  <c r="K501" i="17"/>
  <c r="K500" i="17"/>
  <c r="K499" i="17"/>
  <c r="K498" i="17"/>
  <c r="K497" i="17"/>
  <c r="K496" i="17"/>
  <c r="K495" i="17"/>
  <c r="K494" i="17"/>
  <c r="K493" i="17"/>
  <c r="K492" i="17"/>
  <c r="K491" i="17"/>
  <c r="K490" i="17"/>
  <c r="K489" i="17"/>
  <c r="K488" i="17"/>
  <c r="K487" i="17"/>
  <c r="K486" i="17"/>
  <c r="K485" i="17"/>
  <c r="K484" i="17"/>
  <c r="K483" i="17"/>
  <c r="K482" i="17"/>
  <c r="K481" i="17"/>
  <c r="K480" i="17"/>
  <c r="K479" i="17"/>
  <c r="K478" i="17"/>
  <c r="K477" i="17"/>
  <c r="K476" i="17"/>
  <c r="K475" i="17"/>
  <c r="K474" i="17"/>
  <c r="K473" i="17"/>
  <c r="K472" i="17"/>
  <c r="K471" i="17"/>
  <c r="K470" i="17"/>
  <c r="K469" i="17"/>
  <c r="K468" i="17"/>
  <c r="K467" i="17"/>
  <c r="K466" i="17"/>
  <c r="K465" i="17"/>
  <c r="K464" i="17"/>
  <c r="K463" i="17"/>
  <c r="K462" i="17"/>
  <c r="K461" i="17"/>
  <c r="K460" i="17"/>
  <c r="K459" i="17"/>
  <c r="K458" i="17"/>
  <c r="K457" i="17"/>
  <c r="K456" i="17"/>
  <c r="K455" i="17"/>
  <c r="K454" i="17"/>
  <c r="K453" i="17"/>
  <c r="K452" i="17"/>
  <c r="K451" i="17"/>
  <c r="K450" i="17"/>
  <c r="K449" i="17"/>
  <c r="K448" i="17"/>
  <c r="K447" i="17"/>
  <c r="K446" i="17"/>
  <c r="K445" i="17"/>
  <c r="K444" i="17"/>
  <c r="K443" i="17"/>
  <c r="K442" i="17"/>
  <c r="K441" i="17"/>
  <c r="K440" i="17"/>
  <c r="K439" i="17"/>
  <c r="K438" i="17"/>
  <c r="K437" i="17"/>
  <c r="K436" i="17"/>
  <c r="K435" i="17"/>
  <c r="K434" i="17"/>
  <c r="K433" i="17"/>
  <c r="K432" i="17"/>
  <c r="K431" i="17"/>
  <c r="K430" i="17"/>
  <c r="K429" i="17"/>
  <c r="K428" i="17"/>
  <c r="K427" i="17"/>
  <c r="K426" i="17"/>
  <c r="K425" i="17"/>
  <c r="K424" i="17"/>
  <c r="K423" i="17"/>
  <c r="K422" i="17"/>
  <c r="K421" i="17"/>
  <c r="K420" i="17"/>
  <c r="K419" i="17"/>
  <c r="K418" i="17"/>
  <c r="K417" i="17"/>
  <c r="K416" i="17"/>
  <c r="K415" i="17"/>
  <c r="K414" i="17"/>
  <c r="K413" i="17"/>
  <c r="K412" i="17"/>
  <c r="K411" i="17"/>
  <c r="K410" i="17"/>
  <c r="K409" i="17"/>
  <c r="K408" i="17"/>
  <c r="K407" i="17"/>
  <c r="K406" i="17"/>
  <c r="K405" i="17"/>
  <c r="K404" i="17"/>
  <c r="K403" i="17"/>
  <c r="K402" i="17"/>
  <c r="K401" i="17"/>
  <c r="K400" i="17"/>
  <c r="K399" i="17"/>
  <c r="K398" i="17"/>
  <c r="K397" i="17"/>
  <c r="K396" i="17"/>
  <c r="K395" i="17"/>
  <c r="K394" i="17"/>
  <c r="K393" i="17"/>
  <c r="K392" i="17"/>
  <c r="K391" i="17"/>
  <c r="K390" i="17"/>
  <c r="K389" i="17"/>
  <c r="K388" i="17"/>
  <c r="K387" i="17"/>
  <c r="K386" i="17"/>
  <c r="K385" i="17"/>
  <c r="K384" i="17"/>
  <c r="K383" i="17"/>
  <c r="K382" i="17"/>
  <c r="K381" i="17"/>
  <c r="K380" i="17"/>
  <c r="K379" i="17"/>
  <c r="K378" i="17"/>
  <c r="K377" i="17"/>
  <c r="K376" i="17"/>
  <c r="K375" i="17"/>
  <c r="K374" i="17"/>
  <c r="K373" i="17"/>
  <c r="K372" i="17"/>
  <c r="K371" i="17"/>
  <c r="K370" i="17"/>
  <c r="K369" i="17"/>
  <c r="K368" i="17"/>
  <c r="K367" i="17"/>
  <c r="K366" i="17"/>
  <c r="K365" i="17"/>
  <c r="K364" i="17"/>
  <c r="K363" i="17"/>
  <c r="K362" i="17"/>
  <c r="K361" i="17"/>
  <c r="K360" i="17"/>
  <c r="K359" i="17"/>
  <c r="K358" i="17"/>
  <c r="K357" i="17"/>
  <c r="K356" i="17"/>
  <c r="K355" i="17"/>
  <c r="K354" i="17"/>
  <c r="K353" i="17"/>
  <c r="K352" i="17"/>
  <c r="K351" i="17"/>
  <c r="K350" i="17"/>
  <c r="K349" i="17"/>
  <c r="K348" i="17"/>
  <c r="K347" i="17"/>
  <c r="K346" i="17"/>
  <c r="K345" i="17"/>
  <c r="K344" i="17"/>
  <c r="K343" i="17"/>
  <c r="K342" i="17"/>
  <c r="K341" i="17"/>
  <c r="K340" i="17"/>
  <c r="K339" i="17"/>
  <c r="K338" i="17"/>
  <c r="K337" i="17"/>
  <c r="K336" i="17"/>
  <c r="K335" i="17"/>
  <c r="K334" i="17"/>
  <c r="K333" i="17"/>
  <c r="K332" i="17"/>
  <c r="K331" i="17"/>
  <c r="K330" i="17"/>
  <c r="K329" i="17"/>
  <c r="K328" i="17"/>
  <c r="K327" i="17"/>
  <c r="K326" i="17"/>
  <c r="K325" i="17"/>
  <c r="K324" i="17"/>
  <c r="K323" i="17"/>
  <c r="K322" i="17"/>
  <c r="K321" i="17"/>
  <c r="K320" i="17"/>
  <c r="K319" i="17"/>
  <c r="K318" i="17"/>
  <c r="K317" i="17"/>
  <c r="K316" i="17"/>
  <c r="K315" i="17"/>
  <c r="K314" i="17"/>
  <c r="K313" i="17"/>
  <c r="K312" i="17"/>
  <c r="K311" i="17"/>
  <c r="K310" i="17"/>
  <c r="K309" i="17"/>
  <c r="K308" i="17"/>
  <c r="K307" i="17"/>
  <c r="K306" i="17"/>
  <c r="K305" i="17"/>
  <c r="K304" i="17"/>
  <c r="K303" i="17"/>
  <c r="K302" i="17"/>
  <c r="K301" i="17"/>
  <c r="K300" i="17"/>
  <c r="K299" i="17"/>
  <c r="K298" i="17"/>
  <c r="K297" i="17"/>
  <c r="K296" i="17"/>
  <c r="K295" i="17"/>
  <c r="K294" i="17"/>
  <c r="K293" i="17"/>
  <c r="K292" i="17"/>
  <c r="K291" i="17"/>
  <c r="K290" i="17"/>
  <c r="K289" i="17"/>
  <c r="K288" i="17"/>
  <c r="K287" i="17"/>
  <c r="K286" i="17"/>
  <c r="K285" i="17"/>
  <c r="K284" i="17"/>
  <c r="K283" i="17"/>
  <c r="K282" i="17"/>
  <c r="K281" i="17"/>
  <c r="K280" i="17"/>
  <c r="K279" i="17"/>
  <c r="K278" i="17"/>
  <c r="K277" i="17"/>
  <c r="K276" i="17"/>
  <c r="K275" i="17"/>
  <c r="K274" i="17"/>
  <c r="K273" i="17"/>
  <c r="K272" i="17"/>
  <c r="K271" i="17"/>
  <c r="K270" i="17"/>
  <c r="K269" i="17"/>
  <c r="K268" i="17"/>
  <c r="K267" i="17"/>
  <c r="K266" i="17"/>
  <c r="K265" i="17"/>
  <c r="K264" i="17"/>
  <c r="K263" i="17"/>
  <c r="K262" i="17"/>
  <c r="K261" i="17"/>
  <c r="K260" i="17"/>
  <c r="K259" i="17"/>
  <c r="K258" i="17"/>
  <c r="K257" i="17"/>
  <c r="K256" i="17"/>
  <c r="K255" i="17"/>
  <c r="K254" i="17"/>
  <c r="K253" i="17"/>
  <c r="K252" i="17"/>
  <c r="K251" i="17"/>
  <c r="K250" i="17"/>
  <c r="K249" i="17"/>
  <c r="K248" i="17"/>
  <c r="K247" i="17"/>
  <c r="K246" i="17"/>
  <c r="K245" i="17"/>
  <c r="K244" i="17"/>
  <c r="K243" i="17"/>
  <c r="K242" i="17"/>
  <c r="K241" i="17"/>
  <c r="K240" i="17"/>
  <c r="K239" i="17"/>
  <c r="K238" i="17"/>
  <c r="K237" i="17"/>
  <c r="K236" i="17"/>
  <c r="K235" i="17"/>
  <c r="K234" i="17"/>
  <c r="K233" i="17"/>
  <c r="K232" i="17"/>
  <c r="K231" i="17"/>
  <c r="K230" i="17"/>
  <c r="K229" i="17"/>
  <c r="K228" i="17"/>
  <c r="K227" i="17"/>
  <c r="K226" i="17"/>
  <c r="K225" i="17"/>
  <c r="K224" i="17"/>
  <c r="K223" i="17"/>
  <c r="K222" i="17"/>
  <c r="K221" i="17"/>
  <c r="K220" i="17"/>
  <c r="K219" i="17"/>
  <c r="K218" i="17"/>
  <c r="K217" i="17"/>
  <c r="K216" i="17"/>
  <c r="K215" i="17"/>
  <c r="K214" i="17"/>
  <c r="K213" i="17"/>
  <c r="K212" i="17"/>
  <c r="K211" i="17"/>
  <c r="K210" i="17"/>
  <c r="K209" i="17"/>
  <c r="K208" i="17"/>
  <c r="K207" i="17"/>
  <c r="K206" i="17"/>
  <c r="K205" i="17"/>
  <c r="K204" i="17"/>
  <c r="K203" i="17"/>
  <c r="K202" i="17"/>
  <c r="K201" i="17"/>
  <c r="K200" i="17"/>
  <c r="K199" i="17"/>
  <c r="K198" i="17"/>
  <c r="K197" i="17"/>
  <c r="K196" i="17"/>
  <c r="K195" i="17"/>
  <c r="K194" i="17"/>
  <c r="K193" i="17"/>
  <c r="K192" i="17"/>
  <c r="K191" i="17"/>
  <c r="K190" i="17"/>
  <c r="K189" i="17"/>
  <c r="K188" i="17"/>
  <c r="K187" i="17"/>
  <c r="K186" i="17"/>
  <c r="K185" i="17"/>
  <c r="K184" i="17"/>
  <c r="K183" i="17"/>
  <c r="K182" i="17"/>
  <c r="K181" i="17"/>
  <c r="K180" i="17"/>
  <c r="K179" i="17"/>
  <c r="K178" i="17"/>
  <c r="K177" i="17"/>
  <c r="K176" i="17"/>
  <c r="K175" i="17"/>
  <c r="K174" i="17"/>
  <c r="K173" i="17"/>
  <c r="K172" i="17"/>
  <c r="K171" i="17"/>
  <c r="K170" i="17"/>
  <c r="K169" i="17"/>
  <c r="K168" i="17"/>
  <c r="K167" i="17"/>
  <c r="K166" i="17"/>
  <c r="K165" i="17"/>
  <c r="K164" i="17"/>
  <c r="K163" i="17"/>
  <c r="K162" i="17"/>
  <c r="K161" i="17"/>
  <c r="K160" i="17"/>
  <c r="K159" i="17"/>
  <c r="K158" i="17"/>
  <c r="K157" i="17"/>
  <c r="K156" i="17"/>
  <c r="K155" i="17"/>
  <c r="K154" i="17"/>
  <c r="K153" i="17"/>
  <c r="K152" i="17"/>
  <c r="K151" i="17"/>
  <c r="K150" i="17"/>
  <c r="K149" i="17"/>
  <c r="K148" i="17"/>
  <c r="K147" i="17"/>
  <c r="K146" i="17"/>
  <c r="K145" i="17"/>
  <c r="K144" i="17"/>
  <c r="K143" i="17"/>
  <c r="K142" i="17"/>
  <c r="K141" i="17"/>
  <c r="K140" i="17"/>
  <c r="K139" i="17"/>
  <c r="K138" i="17"/>
  <c r="K137" i="17"/>
  <c r="K136" i="17"/>
  <c r="K135" i="17"/>
  <c r="K134" i="17"/>
  <c r="K133" i="17"/>
  <c r="K132" i="17"/>
  <c r="K131" i="17"/>
  <c r="K130" i="17"/>
  <c r="K129" i="17"/>
  <c r="K128" i="17"/>
  <c r="K127" i="17"/>
  <c r="K126" i="17"/>
  <c r="K125" i="17"/>
  <c r="K124" i="17"/>
  <c r="K123" i="17"/>
  <c r="K122" i="17"/>
  <c r="K121" i="17"/>
  <c r="K120" i="17"/>
  <c r="K119" i="17"/>
  <c r="K118" i="17"/>
  <c r="K117" i="17"/>
  <c r="K116" i="17"/>
  <c r="K115" i="17"/>
  <c r="K114" i="17"/>
  <c r="K113" i="17"/>
  <c r="K112" i="17"/>
  <c r="K111" i="17"/>
  <c r="K110" i="17"/>
  <c r="K109" i="17"/>
  <c r="K108" i="17"/>
  <c r="K107" i="17"/>
  <c r="K106" i="17"/>
  <c r="K105" i="17"/>
  <c r="K104" i="17"/>
  <c r="K103" i="17"/>
  <c r="K102" i="17"/>
  <c r="K101" i="17"/>
  <c r="K100" i="17"/>
  <c r="K99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9" i="17"/>
  <c r="K78" i="17"/>
  <c r="K77" i="17"/>
  <c r="K76" i="17"/>
  <c r="K75" i="17"/>
  <c r="K74" i="17"/>
  <c r="K73" i="17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AD800" i="17"/>
  <c r="R800" i="17"/>
  <c r="T800" i="17" s="1"/>
  <c r="E800" i="17"/>
  <c r="B800" i="14"/>
  <c r="I800" i="14"/>
  <c r="J800" i="14"/>
  <c r="K800" i="14"/>
  <c r="L800" i="14"/>
  <c r="M800" i="14"/>
  <c r="N800" i="14"/>
  <c r="O800" i="14"/>
  <c r="AF799" i="1"/>
  <c r="AD799" i="17"/>
  <c r="R799" i="17"/>
  <c r="T799" i="17" s="1"/>
  <c r="E799" i="17"/>
  <c r="E799" i="14"/>
  <c r="E803" i="14" s="1"/>
  <c r="B799" i="14"/>
  <c r="I799" i="14"/>
  <c r="J799" i="14"/>
  <c r="K799" i="14"/>
  <c r="L799" i="14"/>
  <c r="M799" i="14"/>
  <c r="N799" i="14"/>
  <c r="O799" i="14"/>
  <c r="AF798" i="1"/>
  <c r="AD798" i="17"/>
  <c r="E798" i="17"/>
  <c r="R798" i="17"/>
  <c r="T798" i="17" s="1"/>
  <c r="B798" i="14"/>
  <c r="I798" i="14"/>
  <c r="J798" i="14"/>
  <c r="K798" i="14"/>
  <c r="L798" i="14"/>
  <c r="M798" i="14"/>
  <c r="N798" i="14"/>
  <c r="O798" i="14"/>
  <c r="AF797" i="1"/>
  <c r="AD797" i="17"/>
  <c r="E797" i="17"/>
  <c r="K797" i="17"/>
  <c r="R797" i="17"/>
  <c r="T797" i="17" s="1"/>
  <c r="E797" i="14"/>
  <c r="B797" i="14"/>
  <c r="I797" i="14"/>
  <c r="J797" i="14"/>
  <c r="K797" i="14"/>
  <c r="L797" i="14"/>
  <c r="M797" i="14"/>
  <c r="N797" i="14"/>
  <c r="O797" i="14"/>
  <c r="AF796" i="1"/>
  <c r="AD796" i="17"/>
  <c r="E796" i="17"/>
  <c r="R796" i="17"/>
  <c r="T796" i="17" s="1"/>
  <c r="B796" i="14"/>
  <c r="I796" i="14"/>
  <c r="AE796" i="17" s="1" a="1"/>
  <c r="AE796" i="17" s="1"/>
  <c r="J796" i="14"/>
  <c r="K796" i="14"/>
  <c r="L796" i="14"/>
  <c r="M796" i="14"/>
  <c r="N796" i="14"/>
  <c r="O796" i="14"/>
  <c r="AF795" i="1"/>
  <c r="AD795" i="17"/>
  <c r="R795" i="17"/>
  <c r="T795" i="17" s="1"/>
  <c r="E795" i="14"/>
  <c r="E796" i="14" s="1"/>
  <c r="O795" i="14"/>
  <c r="N795" i="14"/>
  <c r="M795" i="14"/>
  <c r="L795" i="14"/>
  <c r="K795" i="14"/>
  <c r="J795" i="14"/>
  <c r="I795" i="14"/>
  <c r="E795" i="17"/>
  <c r="B795" i="14"/>
  <c r="AF794" i="1"/>
  <c r="AD794" i="17"/>
  <c r="R794" i="17"/>
  <c r="T794" i="17" s="1"/>
  <c r="E794" i="17"/>
  <c r="O794" i="14"/>
  <c r="N794" i="14"/>
  <c r="M794" i="14"/>
  <c r="L794" i="14"/>
  <c r="K794" i="14"/>
  <c r="J794" i="14"/>
  <c r="I794" i="14"/>
  <c r="B794" i="14"/>
  <c r="AF793" i="1"/>
  <c r="P793" i="17"/>
  <c r="AD793" i="17"/>
  <c r="R793" i="17"/>
  <c r="T793" i="17" s="1"/>
  <c r="AE793" i="17" a="1"/>
  <c r="AE793" i="17" s="1"/>
  <c r="E793" i="17"/>
  <c r="E793" i="14"/>
  <c r="E794" i="14" s="1"/>
  <c r="B793" i="14"/>
  <c r="I793" i="14"/>
  <c r="J793" i="14"/>
  <c r="K793" i="14"/>
  <c r="L793" i="14"/>
  <c r="M793" i="14"/>
  <c r="N793" i="14"/>
  <c r="O793" i="14"/>
  <c r="AD792" i="17"/>
  <c r="A2" i="24" a="1"/>
  <c r="AD2" i="17"/>
  <c r="AD3" i="17"/>
  <c r="AD4" i="17"/>
  <c r="AD5" i="17"/>
  <c r="AD6" i="17"/>
  <c r="AD7" i="17"/>
  <c r="AD8" i="17"/>
  <c r="AD9" i="17"/>
  <c r="AD10" i="17"/>
  <c r="AD11" i="17"/>
  <c r="AD12" i="17"/>
  <c r="AD13" i="17"/>
  <c r="AD14" i="17"/>
  <c r="AD15" i="17"/>
  <c r="AD16" i="17"/>
  <c r="AD17" i="17"/>
  <c r="AD18" i="17"/>
  <c r="AD19" i="17"/>
  <c r="AD20" i="17"/>
  <c r="AD21" i="17"/>
  <c r="AD22" i="17"/>
  <c r="AD23" i="17"/>
  <c r="AD24" i="17"/>
  <c r="AD25" i="17"/>
  <c r="AD26" i="17"/>
  <c r="AD27" i="17"/>
  <c r="AD28" i="17"/>
  <c r="AD29" i="17"/>
  <c r="AD30" i="17"/>
  <c r="AD31" i="17"/>
  <c r="AD32" i="17"/>
  <c r="AD33" i="17"/>
  <c r="AD34" i="17"/>
  <c r="AD35" i="17"/>
  <c r="AD36" i="17"/>
  <c r="AD37" i="17"/>
  <c r="AD38" i="17"/>
  <c r="AD39" i="17"/>
  <c r="AD40" i="17"/>
  <c r="AD41" i="17"/>
  <c r="AD42" i="17"/>
  <c r="AD43" i="17"/>
  <c r="AD44" i="17"/>
  <c r="AD45" i="17"/>
  <c r="AD46" i="17"/>
  <c r="AD47" i="17"/>
  <c r="AD48" i="17"/>
  <c r="AD49" i="17"/>
  <c r="AD50" i="17"/>
  <c r="AD51" i="17"/>
  <c r="AD52" i="17"/>
  <c r="AD53" i="17"/>
  <c r="AD54" i="17"/>
  <c r="AD55" i="17"/>
  <c r="AD56" i="17"/>
  <c r="AD57" i="17"/>
  <c r="AD58" i="17"/>
  <c r="AD59" i="17"/>
  <c r="AD60" i="17"/>
  <c r="AD61" i="17"/>
  <c r="AD62" i="17"/>
  <c r="AD63" i="17"/>
  <c r="AD64" i="17"/>
  <c r="AD65" i="17"/>
  <c r="AD66" i="17"/>
  <c r="AD67" i="17"/>
  <c r="AD68" i="17"/>
  <c r="AD69" i="17"/>
  <c r="AD70" i="17"/>
  <c r="AD71" i="17"/>
  <c r="AD72" i="17"/>
  <c r="AD73" i="17"/>
  <c r="AD74" i="17"/>
  <c r="AD75" i="17"/>
  <c r="AD76" i="17"/>
  <c r="AD77" i="17"/>
  <c r="AD78" i="17"/>
  <c r="AD79" i="17"/>
  <c r="AD80" i="17"/>
  <c r="AD81" i="17"/>
  <c r="AD82" i="17"/>
  <c r="AD83" i="17"/>
  <c r="AD84" i="17"/>
  <c r="AD85" i="17"/>
  <c r="AD86" i="17"/>
  <c r="AD87" i="17"/>
  <c r="AD88" i="17"/>
  <c r="AD89" i="17"/>
  <c r="AD90" i="17"/>
  <c r="AD91" i="17"/>
  <c r="AD92" i="17"/>
  <c r="AD93" i="17"/>
  <c r="AD94" i="17"/>
  <c r="AD95" i="17"/>
  <c r="AD96" i="17"/>
  <c r="AD97" i="17"/>
  <c r="AD98" i="17"/>
  <c r="AD99" i="17"/>
  <c r="AD100" i="17"/>
  <c r="AD101" i="17"/>
  <c r="AD102" i="17"/>
  <c r="AD103" i="17"/>
  <c r="AD104" i="17"/>
  <c r="AD105" i="17"/>
  <c r="AD106" i="17"/>
  <c r="AD107" i="17"/>
  <c r="AD108" i="17"/>
  <c r="AD109" i="17"/>
  <c r="AD110" i="17"/>
  <c r="AD111" i="17"/>
  <c r="AD112" i="17"/>
  <c r="AD113" i="17"/>
  <c r="AD114" i="17"/>
  <c r="AD115" i="17"/>
  <c r="AD116" i="17"/>
  <c r="AD117" i="17"/>
  <c r="AD118" i="17"/>
  <c r="AD119" i="17"/>
  <c r="AD120" i="17"/>
  <c r="AD121" i="17"/>
  <c r="AD122" i="17"/>
  <c r="AD123" i="17"/>
  <c r="AD124" i="17"/>
  <c r="AD125" i="17"/>
  <c r="AD126" i="17"/>
  <c r="AD127" i="17"/>
  <c r="AD128" i="17"/>
  <c r="AD129" i="17"/>
  <c r="AD130" i="17"/>
  <c r="AD131" i="17"/>
  <c r="AD132" i="17"/>
  <c r="AD133" i="17"/>
  <c r="AD134" i="17"/>
  <c r="AD135" i="17"/>
  <c r="AD136" i="17"/>
  <c r="AD137" i="17"/>
  <c r="AD138" i="17"/>
  <c r="AD139" i="17"/>
  <c r="AD140" i="17"/>
  <c r="AD141" i="17"/>
  <c r="AD142" i="17"/>
  <c r="AD143" i="17"/>
  <c r="AD144" i="17"/>
  <c r="AD145" i="17"/>
  <c r="AD146" i="17"/>
  <c r="AD147" i="17"/>
  <c r="AD148" i="17"/>
  <c r="AD149" i="17"/>
  <c r="AD150" i="17"/>
  <c r="AD151" i="17"/>
  <c r="AD152" i="17"/>
  <c r="AD153" i="17"/>
  <c r="AD154" i="17"/>
  <c r="AD155" i="17"/>
  <c r="AD156" i="17"/>
  <c r="AD157" i="17"/>
  <c r="AD158" i="17"/>
  <c r="AD159" i="17"/>
  <c r="AD160" i="17"/>
  <c r="AD161" i="17"/>
  <c r="AD162" i="17"/>
  <c r="AD163" i="17"/>
  <c r="AD164" i="17"/>
  <c r="AD165" i="17"/>
  <c r="AD166" i="17"/>
  <c r="AD167" i="17"/>
  <c r="AD168" i="17"/>
  <c r="AD169" i="17"/>
  <c r="AD170" i="17"/>
  <c r="AD171" i="17"/>
  <c r="AD172" i="17"/>
  <c r="AD173" i="17"/>
  <c r="AD174" i="17"/>
  <c r="AD175" i="17"/>
  <c r="AD176" i="17"/>
  <c r="AD177" i="17"/>
  <c r="AD178" i="17"/>
  <c r="AD179" i="17"/>
  <c r="AD180" i="17"/>
  <c r="AD181" i="17"/>
  <c r="AD182" i="17"/>
  <c r="AD183" i="17"/>
  <c r="AD184" i="17"/>
  <c r="AD185" i="17"/>
  <c r="AD186" i="17"/>
  <c r="AD187" i="17"/>
  <c r="AD188" i="17"/>
  <c r="AD189" i="17"/>
  <c r="AD190" i="17"/>
  <c r="AD191" i="17"/>
  <c r="AD192" i="17"/>
  <c r="AD193" i="17"/>
  <c r="AD194" i="17"/>
  <c r="AD195" i="17"/>
  <c r="AD196" i="17"/>
  <c r="AD197" i="17"/>
  <c r="AD198" i="17"/>
  <c r="AD199" i="17"/>
  <c r="AD200" i="17"/>
  <c r="AD201" i="17"/>
  <c r="AD202" i="17"/>
  <c r="AD203" i="17"/>
  <c r="AD204" i="17"/>
  <c r="AD205" i="17"/>
  <c r="AD206" i="17"/>
  <c r="AD207" i="17"/>
  <c r="AD208" i="17"/>
  <c r="AD209" i="17"/>
  <c r="AD210" i="17"/>
  <c r="AD211" i="17"/>
  <c r="AD212" i="17"/>
  <c r="AD213" i="17"/>
  <c r="AD214" i="17"/>
  <c r="AD215" i="17"/>
  <c r="AD216" i="17"/>
  <c r="AD217" i="17"/>
  <c r="AD218" i="17"/>
  <c r="AD219" i="17"/>
  <c r="AD220" i="17"/>
  <c r="AD221" i="17"/>
  <c r="AD222" i="17"/>
  <c r="AD223" i="17"/>
  <c r="AD224" i="17"/>
  <c r="AD225" i="17"/>
  <c r="AD226" i="17"/>
  <c r="AD227" i="17"/>
  <c r="AD228" i="17"/>
  <c r="AD229" i="17"/>
  <c r="AD230" i="17"/>
  <c r="AD231" i="17"/>
  <c r="AD232" i="17"/>
  <c r="AD233" i="17"/>
  <c r="AD234" i="17"/>
  <c r="AD235" i="17"/>
  <c r="AD236" i="17"/>
  <c r="AD237" i="17"/>
  <c r="AD238" i="17"/>
  <c r="AD239" i="17"/>
  <c r="AD240" i="17"/>
  <c r="AD241" i="17"/>
  <c r="AD242" i="17"/>
  <c r="AD243" i="17"/>
  <c r="AD244" i="17"/>
  <c r="AD245" i="17"/>
  <c r="AD246" i="17"/>
  <c r="AD247" i="17"/>
  <c r="AD248" i="17"/>
  <c r="AD249" i="17"/>
  <c r="AD250" i="17"/>
  <c r="AD251" i="17"/>
  <c r="AD252" i="17"/>
  <c r="AD253" i="17"/>
  <c r="AD254" i="17"/>
  <c r="AD255" i="17"/>
  <c r="AD256" i="17"/>
  <c r="AD257" i="17"/>
  <c r="AD258" i="17"/>
  <c r="AD259" i="17"/>
  <c r="AD260" i="17"/>
  <c r="AD261" i="17"/>
  <c r="AD262" i="17"/>
  <c r="AD263" i="17"/>
  <c r="AD264" i="17"/>
  <c r="AD265" i="17"/>
  <c r="AD266" i="17"/>
  <c r="AD267" i="17"/>
  <c r="AD268" i="17"/>
  <c r="AD269" i="17"/>
  <c r="AD270" i="17"/>
  <c r="AD271" i="17"/>
  <c r="AD272" i="17"/>
  <c r="AD273" i="17"/>
  <c r="AD274" i="17"/>
  <c r="AD275" i="17"/>
  <c r="AD276" i="17"/>
  <c r="AD277" i="17"/>
  <c r="AD278" i="17"/>
  <c r="AD279" i="17"/>
  <c r="AD280" i="17"/>
  <c r="AD281" i="17"/>
  <c r="AD282" i="17"/>
  <c r="AD283" i="17"/>
  <c r="AD284" i="17"/>
  <c r="AD285" i="17"/>
  <c r="AD286" i="17"/>
  <c r="AD287" i="17"/>
  <c r="AD288" i="17"/>
  <c r="AD289" i="17"/>
  <c r="AD290" i="17"/>
  <c r="AD291" i="17"/>
  <c r="AD292" i="17"/>
  <c r="AD293" i="17"/>
  <c r="AD294" i="17"/>
  <c r="AD295" i="17"/>
  <c r="AD296" i="17"/>
  <c r="AD297" i="17"/>
  <c r="AD298" i="17"/>
  <c r="AD299" i="17"/>
  <c r="AD300" i="17"/>
  <c r="AD301" i="17"/>
  <c r="AD302" i="17"/>
  <c r="AD303" i="17"/>
  <c r="AD304" i="17"/>
  <c r="AD305" i="17"/>
  <c r="AD306" i="17"/>
  <c r="AD307" i="17"/>
  <c r="AD308" i="17"/>
  <c r="AD309" i="17"/>
  <c r="AD310" i="17"/>
  <c r="AD311" i="17"/>
  <c r="AD312" i="17"/>
  <c r="AD313" i="17"/>
  <c r="AD314" i="17"/>
  <c r="AD315" i="17"/>
  <c r="AD316" i="17"/>
  <c r="AD317" i="17"/>
  <c r="AD318" i="17"/>
  <c r="AD319" i="17"/>
  <c r="AD320" i="17"/>
  <c r="AD321" i="17"/>
  <c r="AD322" i="17"/>
  <c r="AD323" i="17"/>
  <c r="AD324" i="17"/>
  <c r="AD325" i="17"/>
  <c r="AD326" i="17"/>
  <c r="AD327" i="17"/>
  <c r="AD328" i="17"/>
  <c r="AD329" i="17"/>
  <c r="AD330" i="17"/>
  <c r="AD331" i="17"/>
  <c r="AD332" i="17"/>
  <c r="AD333" i="17"/>
  <c r="AD334" i="17"/>
  <c r="AD335" i="17"/>
  <c r="AD336" i="17"/>
  <c r="AD337" i="17"/>
  <c r="AD338" i="17"/>
  <c r="AD339" i="17"/>
  <c r="AD340" i="17"/>
  <c r="AD341" i="17"/>
  <c r="AD342" i="17"/>
  <c r="AD343" i="17"/>
  <c r="AD344" i="17"/>
  <c r="AD345" i="17"/>
  <c r="AD346" i="17"/>
  <c r="AD347" i="17"/>
  <c r="AD348" i="17"/>
  <c r="AD349" i="17"/>
  <c r="AD350" i="17"/>
  <c r="AD351" i="17"/>
  <c r="AD352" i="17"/>
  <c r="AD353" i="17"/>
  <c r="AD354" i="17"/>
  <c r="AD355" i="17"/>
  <c r="AD356" i="17"/>
  <c r="AD357" i="17"/>
  <c r="AD358" i="17"/>
  <c r="AD359" i="17"/>
  <c r="AD360" i="17"/>
  <c r="AD361" i="17"/>
  <c r="AD362" i="17"/>
  <c r="AD363" i="17"/>
  <c r="AD364" i="17"/>
  <c r="AD365" i="17"/>
  <c r="AD366" i="17"/>
  <c r="AD367" i="17"/>
  <c r="AD368" i="17"/>
  <c r="AD369" i="17"/>
  <c r="AD370" i="17"/>
  <c r="AD371" i="17"/>
  <c r="AD372" i="17"/>
  <c r="AD373" i="17"/>
  <c r="AD374" i="17"/>
  <c r="AD375" i="17"/>
  <c r="AD376" i="17"/>
  <c r="AD377" i="17"/>
  <c r="AD378" i="17"/>
  <c r="AD379" i="17"/>
  <c r="AD380" i="17"/>
  <c r="AD381" i="17"/>
  <c r="AD382" i="17"/>
  <c r="AD383" i="17"/>
  <c r="AD384" i="17"/>
  <c r="AD385" i="17"/>
  <c r="AD386" i="17"/>
  <c r="AD387" i="17"/>
  <c r="AD388" i="17"/>
  <c r="AD389" i="17"/>
  <c r="AD390" i="17"/>
  <c r="AD391" i="17"/>
  <c r="AD392" i="17"/>
  <c r="AD393" i="17"/>
  <c r="AD394" i="17"/>
  <c r="AD395" i="17"/>
  <c r="AD396" i="17"/>
  <c r="AD397" i="17"/>
  <c r="AD398" i="17"/>
  <c r="AD399" i="17"/>
  <c r="AD400" i="17"/>
  <c r="AD401" i="17"/>
  <c r="AD402" i="17"/>
  <c r="AD403" i="17"/>
  <c r="AD404" i="17"/>
  <c r="AD405" i="17"/>
  <c r="AD406" i="17"/>
  <c r="AD407" i="17"/>
  <c r="AD408" i="17"/>
  <c r="AD409" i="17"/>
  <c r="AD410" i="17"/>
  <c r="AD411" i="17"/>
  <c r="AD412" i="17"/>
  <c r="AD413" i="17"/>
  <c r="AD414" i="17"/>
  <c r="AD415" i="17"/>
  <c r="AD416" i="17"/>
  <c r="AD417" i="17"/>
  <c r="AD418" i="17"/>
  <c r="AD419" i="17"/>
  <c r="AD420" i="17"/>
  <c r="AD421" i="17"/>
  <c r="AD422" i="17"/>
  <c r="AD423" i="17"/>
  <c r="AD424" i="17"/>
  <c r="AD425" i="17"/>
  <c r="AD426" i="17"/>
  <c r="AD427" i="17"/>
  <c r="AD428" i="17"/>
  <c r="AD429" i="17"/>
  <c r="AD430" i="17"/>
  <c r="AD431" i="17"/>
  <c r="AD432" i="17"/>
  <c r="AD433" i="17"/>
  <c r="AD434" i="17"/>
  <c r="AD435" i="17"/>
  <c r="AD436" i="17"/>
  <c r="AD437" i="17"/>
  <c r="AD438" i="17"/>
  <c r="AD439" i="17"/>
  <c r="AD440" i="17"/>
  <c r="AD441" i="17"/>
  <c r="AD442" i="17"/>
  <c r="AD443" i="17"/>
  <c r="AD444" i="17"/>
  <c r="AD445" i="17"/>
  <c r="AD446" i="17"/>
  <c r="AD447" i="17"/>
  <c r="AD448" i="17"/>
  <c r="AD449" i="17"/>
  <c r="AD450" i="17"/>
  <c r="AD451" i="17"/>
  <c r="AD452" i="17"/>
  <c r="AD453" i="17"/>
  <c r="AD454" i="17"/>
  <c r="AD455" i="17"/>
  <c r="AD456" i="17"/>
  <c r="AD457" i="17"/>
  <c r="AD458" i="17"/>
  <c r="AD459" i="17"/>
  <c r="AD460" i="17"/>
  <c r="AD461" i="17"/>
  <c r="AD462" i="17"/>
  <c r="AD463" i="17"/>
  <c r="AD464" i="17"/>
  <c r="AD465" i="17"/>
  <c r="AD466" i="17"/>
  <c r="AD467" i="17"/>
  <c r="AD468" i="17"/>
  <c r="AD469" i="17"/>
  <c r="AD470" i="17"/>
  <c r="AD471" i="17"/>
  <c r="AD472" i="17"/>
  <c r="AD473" i="17"/>
  <c r="AD474" i="17"/>
  <c r="AD475" i="17"/>
  <c r="AD476" i="17"/>
  <c r="AD477" i="17"/>
  <c r="AD478" i="17"/>
  <c r="AD479" i="17"/>
  <c r="AD480" i="17"/>
  <c r="AD481" i="17"/>
  <c r="AD482" i="17"/>
  <c r="AD483" i="17"/>
  <c r="AD484" i="17"/>
  <c r="AD485" i="17"/>
  <c r="AD486" i="17"/>
  <c r="AD487" i="17"/>
  <c r="AD488" i="17"/>
  <c r="AD489" i="17"/>
  <c r="AD490" i="17"/>
  <c r="AD491" i="17"/>
  <c r="AD492" i="17"/>
  <c r="AD493" i="17"/>
  <c r="AD494" i="17"/>
  <c r="AD495" i="17"/>
  <c r="AD496" i="17"/>
  <c r="AD497" i="17"/>
  <c r="AD498" i="17"/>
  <c r="AD499" i="17"/>
  <c r="AD500" i="17"/>
  <c r="AD501" i="17"/>
  <c r="AD502" i="17"/>
  <c r="AD503" i="17"/>
  <c r="AD504" i="17"/>
  <c r="AD505" i="17"/>
  <c r="AD506" i="17"/>
  <c r="AD507" i="17"/>
  <c r="AD508" i="17"/>
  <c r="AD509" i="17"/>
  <c r="AD510" i="17"/>
  <c r="AD511" i="17"/>
  <c r="AD512" i="17"/>
  <c r="AD513" i="17"/>
  <c r="AD514" i="17"/>
  <c r="AD515" i="17"/>
  <c r="AD516" i="17"/>
  <c r="AD517" i="17"/>
  <c r="AD518" i="17"/>
  <c r="AD519" i="17"/>
  <c r="AD520" i="17"/>
  <c r="AD521" i="17"/>
  <c r="AD522" i="17"/>
  <c r="AD523" i="17"/>
  <c r="AD524" i="17"/>
  <c r="AD525" i="17"/>
  <c r="AD526" i="17"/>
  <c r="AD527" i="17"/>
  <c r="AD528" i="17"/>
  <c r="AD529" i="17"/>
  <c r="AD530" i="17"/>
  <c r="AD531" i="17"/>
  <c r="AD532" i="17"/>
  <c r="AD533" i="17"/>
  <c r="AD534" i="17"/>
  <c r="AD535" i="17"/>
  <c r="AD536" i="17"/>
  <c r="AD537" i="17"/>
  <c r="AD538" i="17"/>
  <c r="AD539" i="17"/>
  <c r="AD540" i="17"/>
  <c r="AD541" i="17"/>
  <c r="AD542" i="17"/>
  <c r="AD543" i="17"/>
  <c r="AD544" i="17"/>
  <c r="AD545" i="17"/>
  <c r="AD546" i="17"/>
  <c r="AD547" i="17"/>
  <c r="AD548" i="17"/>
  <c r="AD549" i="17"/>
  <c r="AD550" i="17"/>
  <c r="AD551" i="17"/>
  <c r="AD552" i="17"/>
  <c r="AD553" i="17"/>
  <c r="AD554" i="17"/>
  <c r="AD555" i="17"/>
  <c r="AD556" i="17"/>
  <c r="AD557" i="17"/>
  <c r="AD558" i="17"/>
  <c r="AD559" i="17"/>
  <c r="AD560" i="17"/>
  <c r="AD561" i="17"/>
  <c r="AD562" i="17"/>
  <c r="AD563" i="17"/>
  <c r="AD565" i="17"/>
  <c r="AD566" i="17"/>
  <c r="AD567" i="17"/>
  <c r="AD568" i="17"/>
  <c r="AD569" i="17"/>
  <c r="AD570" i="17"/>
  <c r="AD571" i="17"/>
  <c r="AD572" i="17"/>
  <c r="AD573" i="17"/>
  <c r="AD574" i="17"/>
  <c r="AD575" i="17"/>
  <c r="AD576" i="17"/>
  <c r="AD577" i="17"/>
  <c r="AD578" i="17"/>
  <c r="AD579" i="17"/>
  <c r="AD580" i="17"/>
  <c r="AD581" i="17"/>
  <c r="AD582" i="17"/>
  <c r="AD583" i="17"/>
  <c r="AD584" i="17"/>
  <c r="AD585" i="17"/>
  <c r="AD586" i="17"/>
  <c r="AD587" i="17"/>
  <c r="AD588" i="17"/>
  <c r="AD589" i="17"/>
  <c r="AD590" i="17"/>
  <c r="AD591" i="17"/>
  <c r="AD592" i="17"/>
  <c r="AD593" i="17"/>
  <c r="AD594" i="17"/>
  <c r="AD595" i="17"/>
  <c r="AD596" i="17"/>
  <c r="AD597" i="17"/>
  <c r="AD598" i="17"/>
  <c r="AD599" i="17"/>
  <c r="AD600" i="17"/>
  <c r="AD601" i="17"/>
  <c r="AD602" i="17"/>
  <c r="AD603" i="17"/>
  <c r="AD604" i="17"/>
  <c r="AD605" i="17"/>
  <c r="AD606" i="17"/>
  <c r="AD607" i="17"/>
  <c r="AD608" i="17"/>
  <c r="AD609" i="17"/>
  <c r="AD610" i="17"/>
  <c r="AD611" i="17"/>
  <c r="AD612" i="17"/>
  <c r="AD613" i="17"/>
  <c r="AD614" i="17"/>
  <c r="AD615" i="17"/>
  <c r="AD616" i="17"/>
  <c r="AD617" i="17"/>
  <c r="AD618" i="17"/>
  <c r="AD619" i="17"/>
  <c r="AD620" i="17"/>
  <c r="AD621" i="17"/>
  <c r="AD622" i="17"/>
  <c r="AD623" i="17"/>
  <c r="AD624" i="17"/>
  <c r="AD625" i="17"/>
  <c r="AD626" i="17"/>
  <c r="AD627" i="17"/>
  <c r="AD628" i="17"/>
  <c r="AD629" i="17"/>
  <c r="AD630" i="17"/>
  <c r="AD631" i="17"/>
  <c r="AD632" i="17"/>
  <c r="AD633" i="17"/>
  <c r="AD634" i="17"/>
  <c r="AD635" i="17"/>
  <c r="AD636" i="17"/>
  <c r="AD637" i="17"/>
  <c r="AD638" i="17"/>
  <c r="AD639" i="17"/>
  <c r="AD640" i="17"/>
  <c r="AD641" i="17"/>
  <c r="AD642" i="17"/>
  <c r="AD643" i="17"/>
  <c r="AD644" i="17"/>
  <c r="AD645" i="17"/>
  <c r="AD646" i="17"/>
  <c r="AD647" i="17"/>
  <c r="AD648" i="17"/>
  <c r="AD649" i="17"/>
  <c r="AD650" i="17"/>
  <c r="AD651" i="17"/>
  <c r="AD652" i="17"/>
  <c r="AD653" i="17"/>
  <c r="AD654" i="17"/>
  <c r="AD655" i="17"/>
  <c r="AD656" i="17"/>
  <c r="AD657" i="17"/>
  <c r="AD658" i="17"/>
  <c r="AD659" i="17"/>
  <c r="AD660" i="17"/>
  <c r="AD661" i="17"/>
  <c r="AD662" i="17"/>
  <c r="AD663" i="17"/>
  <c r="AD664" i="17"/>
  <c r="AD665" i="17"/>
  <c r="AD666" i="17"/>
  <c r="AD667" i="17"/>
  <c r="AD668" i="17"/>
  <c r="AD669" i="17"/>
  <c r="AD670" i="17"/>
  <c r="AD671" i="17"/>
  <c r="AD672" i="17"/>
  <c r="AD673" i="17"/>
  <c r="AD674" i="17"/>
  <c r="AD675" i="17"/>
  <c r="AD676" i="17"/>
  <c r="AD677" i="17"/>
  <c r="AD678" i="17"/>
  <c r="AD679" i="17"/>
  <c r="AD680" i="17"/>
  <c r="AD681" i="17"/>
  <c r="AD682" i="17"/>
  <c r="AD683" i="17"/>
  <c r="AD684" i="17"/>
  <c r="AD685" i="17"/>
  <c r="AD686" i="17"/>
  <c r="AD687" i="17"/>
  <c r="AD688" i="17"/>
  <c r="AD689" i="17"/>
  <c r="AD690" i="17"/>
  <c r="AD691" i="17"/>
  <c r="AD692" i="17"/>
  <c r="AD693" i="17"/>
  <c r="AD694" i="17"/>
  <c r="AD695" i="17"/>
  <c r="AD696" i="17"/>
  <c r="AD697" i="17"/>
  <c r="AD698" i="17"/>
  <c r="AD699" i="17"/>
  <c r="AD700" i="17"/>
  <c r="AD701" i="17"/>
  <c r="AD702" i="17"/>
  <c r="AD703" i="17"/>
  <c r="AD704" i="17"/>
  <c r="AD705" i="17"/>
  <c r="AD706" i="17"/>
  <c r="AD707" i="17"/>
  <c r="AD708" i="17"/>
  <c r="AD709" i="17"/>
  <c r="AD710" i="17"/>
  <c r="AD711" i="17"/>
  <c r="AD712" i="17"/>
  <c r="AD713" i="17"/>
  <c r="AD714" i="17"/>
  <c r="AD715" i="17"/>
  <c r="AD716" i="17"/>
  <c r="AD717" i="17"/>
  <c r="AD718" i="17"/>
  <c r="AD719" i="17"/>
  <c r="AD720" i="17"/>
  <c r="AD721" i="17"/>
  <c r="AD722" i="17"/>
  <c r="AD723" i="17"/>
  <c r="AD724" i="17"/>
  <c r="AD725" i="17"/>
  <c r="AD726" i="17"/>
  <c r="AD727" i="17"/>
  <c r="AD728" i="17"/>
  <c r="AD729" i="17"/>
  <c r="AD730" i="17"/>
  <c r="AD731" i="17"/>
  <c r="AD732" i="17"/>
  <c r="AD733" i="17"/>
  <c r="AD734" i="17"/>
  <c r="AD735" i="17"/>
  <c r="AD736" i="17"/>
  <c r="AD737" i="17"/>
  <c r="AD738" i="17"/>
  <c r="AD739" i="17"/>
  <c r="AD740" i="17"/>
  <c r="AD741" i="17"/>
  <c r="AD742" i="17"/>
  <c r="AD743" i="17"/>
  <c r="AD744" i="17"/>
  <c r="AD745" i="17"/>
  <c r="AD746" i="17"/>
  <c r="AD747" i="17"/>
  <c r="AD748" i="17"/>
  <c r="AD749" i="17"/>
  <c r="AD750" i="17"/>
  <c r="AD751" i="17"/>
  <c r="AD752" i="17"/>
  <c r="AD753" i="17"/>
  <c r="AD754" i="17"/>
  <c r="AD755" i="17"/>
  <c r="AD756" i="17"/>
  <c r="AD757" i="17"/>
  <c r="AD758" i="17"/>
  <c r="AD759" i="17"/>
  <c r="AD760" i="17"/>
  <c r="AD761" i="17"/>
  <c r="AD762" i="17"/>
  <c r="AD763" i="17"/>
  <c r="AD764" i="17"/>
  <c r="AD765" i="17"/>
  <c r="AD766" i="17"/>
  <c r="AD767" i="17"/>
  <c r="AD768" i="17"/>
  <c r="AD769" i="17"/>
  <c r="AD770" i="17"/>
  <c r="AD771" i="17"/>
  <c r="AD772" i="17"/>
  <c r="AD773" i="17"/>
  <c r="AD774" i="17"/>
  <c r="AD775" i="17"/>
  <c r="AD776" i="17"/>
  <c r="AD777" i="17"/>
  <c r="AD778" i="17"/>
  <c r="AD779" i="17"/>
  <c r="AD780" i="17"/>
  <c r="AD781" i="17"/>
  <c r="AD782" i="17"/>
  <c r="AD783" i="17"/>
  <c r="AD784" i="17"/>
  <c r="AD785" i="17"/>
  <c r="AD786" i="17"/>
  <c r="AD787" i="17"/>
  <c r="AD788" i="17"/>
  <c r="AD789" i="17"/>
  <c r="AD790" i="17"/>
  <c r="AD791" i="17"/>
  <c r="E2" i="17"/>
  <c r="E3" i="17"/>
  <c r="N754" i="17"/>
  <c r="Q630" i="17"/>
  <c r="R630" i="17" s="1"/>
  <c r="T630" i="17" s="1"/>
  <c r="Q629" i="17"/>
  <c r="R629" i="17" s="1"/>
  <c r="T629" i="17" s="1"/>
  <c r="O646" i="17"/>
  <c r="O628" i="17"/>
  <c r="O626" i="17"/>
  <c r="V624" i="17"/>
  <c r="H624" i="17"/>
  <c r="Q622" i="17"/>
  <c r="R622" i="17" s="1"/>
  <c r="T622" i="17" s="1"/>
  <c r="O621" i="17"/>
  <c r="O618" i="17"/>
  <c r="H571" i="17"/>
  <c r="O562" i="17"/>
  <c r="Q560" i="17"/>
  <c r="R560" i="17" s="1"/>
  <c r="T560" i="17" s="1"/>
  <c r="Q558" i="17"/>
  <c r="Q559" i="17"/>
  <c r="R559" i="17" s="1"/>
  <c r="T559" i="17" s="1"/>
  <c r="R558" i="17"/>
  <c r="T558" i="17" s="1"/>
  <c r="H556" i="17"/>
  <c r="V556" i="17"/>
  <c r="Q556" i="17"/>
  <c r="N556" i="17"/>
  <c r="O555" i="17"/>
  <c r="O554" i="17"/>
  <c r="Q554" i="17"/>
  <c r="R554" i="17" s="1"/>
  <c r="T554" i="17" s="1"/>
  <c r="O553" i="17"/>
  <c r="O552" i="17"/>
  <c r="N552" i="17"/>
  <c r="R552" i="17" s="1"/>
  <c r="T552" i="17" s="1"/>
  <c r="O550" i="17"/>
  <c r="Q549" i="17"/>
  <c r="R549" i="17" s="1"/>
  <c r="T549" i="17" s="1"/>
  <c r="Q548" i="17"/>
  <c r="R548" i="17" s="1"/>
  <c r="T548" i="17" s="1"/>
  <c r="H547" i="17"/>
  <c r="V547" i="17"/>
  <c r="Q545" i="17"/>
  <c r="R545" i="17" s="1"/>
  <c r="T545" i="17" s="1"/>
  <c r="O544" i="17"/>
  <c r="O543" i="17"/>
  <c r="O542" i="17"/>
  <c r="H540" i="17"/>
  <c r="V540" i="17"/>
  <c r="H539" i="17"/>
  <c r="V539" i="17"/>
  <c r="Q538" i="17"/>
  <c r="N538" i="17"/>
  <c r="H537" i="17"/>
  <c r="V537" i="17"/>
  <c r="N537" i="17"/>
  <c r="R537" i="17" s="1"/>
  <c r="T537" i="17" s="1"/>
  <c r="N536" i="17"/>
  <c r="Q536" i="17"/>
  <c r="R536" i="17" s="1"/>
  <c r="T536" i="17" s="1"/>
  <c r="H536" i="17"/>
  <c r="V536" i="17"/>
  <c r="Q535" i="17"/>
  <c r="R535" i="17" s="1"/>
  <c r="T535" i="17" s="1"/>
  <c r="Q534" i="17"/>
  <c r="R534" i="17" s="1"/>
  <c r="T534" i="17" s="1"/>
  <c r="Q533" i="17"/>
  <c r="R533" i="17" s="1"/>
  <c r="T533" i="17" s="1"/>
  <c r="N532" i="17"/>
  <c r="V532" i="17"/>
  <c r="O532" i="17"/>
  <c r="Q532" i="17"/>
  <c r="R532" i="17" s="1"/>
  <c r="T532" i="17" s="1"/>
  <c r="Q531" i="17"/>
  <c r="R531" i="17" s="1"/>
  <c r="T531" i="17" s="1"/>
  <c r="Q530" i="17"/>
  <c r="N530" i="17"/>
  <c r="O529" i="17"/>
  <c r="Q529" i="17"/>
  <c r="R529" i="17" s="1"/>
  <c r="T529" i="17" s="1"/>
  <c r="V528" i="17"/>
  <c r="H528" i="17"/>
  <c r="O528" i="17"/>
  <c r="Q527" i="17"/>
  <c r="R527" i="17" s="1"/>
  <c r="T527" i="17" s="1"/>
  <c r="Q526" i="17"/>
  <c r="R526" i="17" s="1"/>
  <c r="T526" i="17" s="1"/>
  <c r="O526" i="17"/>
  <c r="N525" i="17"/>
  <c r="Q525" i="17"/>
  <c r="R525" i="17" s="1"/>
  <c r="T525" i="17" s="1"/>
  <c r="Q524" i="17"/>
  <c r="R524" i="17" s="1"/>
  <c r="T524" i="17" s="1"/>
  <c r="Q523" i="17"/>
  <c r="R523" i="17" s="1"/>
  <c r="T523" i="17" s="1"/>
  <c r="H523" i="17"/>
  <c r="V523" i="17"/>
  <c r="Q522" i="17"/>
  <c r="R522" i="17" s="1"/>
  <c r="T522" i="17" s="1"/>
  <c r="Q521" i="17"/>
  <c r="R521" i="17" s="1"/>
  <c r="T521" i="17" s="1"/>
  <c r="Q520" i="17"/>
  <c r="R520" i="17" s="1"/>
  <c r="T520" i="17" s="1"/>
  <c r="Q519" i="17"/>
  <c r="N519" i="17"/>
  <c r="H519" i="17"/>
  <c r="V519" i="17"/>
  <c r="N516" i="17"/>
  <c r="Q518" i="17"/>
  <c r="O518" i="17"/>
  <c r="N518" i="17"/>
  <c r="H518" i="17"/>
  <c r="V518" i="17"/>
  <c r="Q517" i="17"/>
  <c r="R517" i="17" s="1"/>
  <c r="T517" i="17" s="1"/>
  <c r="H517" i="17"/>
  <c r="V517" i="17"/>
  <c r="Q516" i="17"/>
  <c r="Q515" i="17"/>
  <c r="N515" i="17"/>
  <c r="R515" i="17"/>
  <c r="T515" i="17" s="1"/>
  <c r="V515" i="17"/>
  <c r="H515" i="17"/>
  <c r="Q514" i="17"/>
  <c r="H514" i="17"/>
  <c r="V514" i="17"/>
  <c r="N514" i="17"/>
  <c r="Q513" i="17"/>
  <c r="R513" i="17" s="1"/>
  <c r="T513" i="17" s="1"/>
  <c r="Q512" i="17"/>
  <c r="H512" i="17"/>
  <c r="N512" i="17"/>
  <c r="Q506" i="17"/>
  <c r="Q507" i="17"/>
  <c r="R507" i="17" s="1"/>
  <c r="T507" i="17" s="1"/>
  <c r="Q508" i="17"/>
  <c r="Q509" i="17"/>
  <c r="Q510" i="17"/>
  <c r="R510" i="17" s="1"/>
  <c r="T510" i="17" s="1"/>
  <c r="Q511" i="17"/>
  <c r="N511" i="17"/>
  <c r="H511" i="17"/>
  <c r="N509" i="17"/>
  <c r="O506" i="17"/>
  <c r="N508" i="17"/>
  <c r="R506" i="17"/>
  <c r="T506" i="17" s="1"/>
  <c r="O505" i="17"/>
  <c r="N505" i="17"/>
  <c r="R505" i="17" s="1"/>
  <c r="T505" i="17" s="1"/>
  <c r="Q792" i="17"/>
  <c r="N792" i="17"/>
  <c r="R792" i="17"/>
  <c r="T792" i="17" s="1"/>
  <c r="E792" i="17"/>
  <c r="AF792" i="1"/>
  <c r="O792" i="14"/>
  <c r="N792" i="14"/>
  <c r="M792" i="14"/>
  <c r="L792" i="14"/>
  <c r="K792" i="14"/>
  <c r="J792" i="14"/>
  <c r="I792" i="14"/>
  <c r="B792" i="14"/>
  <c r="H504" i="17"/>
  <c r="V504" i="17"/>
  <c r="Q503" i="17"/>
  <c r="R503" i="17" s="1"/>
  <c r="T503" i="17" s="1"/>
  <c r="O503" i="17"/>
  <c r="H503" i="17"/>
  <c r="V503" i="17"/>
  <c r="V502" i="17"/>
  <c r="H502" i="17"/>
  <c r="Q502" i="17"/>
  <c r="R502" i="17" s="1"/>
  <c r="T502" i="17" s="1"/>
  <c r="O502" i="17"/>
  <c r="Q501" i="17"/>
  <c r="R501" i="17" s="1"/>
  <c r="T501" i="17" s="1"/>
  <c r="Q500" i="17"/>
  <c r="R500" i="17" s="1"/>
  <c r="T500" i="17" s="1"/>
  <c r="Q499" i="17"/>
  <c r="R499" i="17" s="1"/>
  <c r="T499" i="17" s="1"/>
  <c r="Q498" i="17"/>
  <c r="R498" i="17" s="1"/>
  <c r="T498" i="17" s="1"/>
  <c r="Q497" i="17"/>
  <c r="R497" i="17" s="1"/>
  <c r="T497" i="17" s="1"/>
  <c r="Q496" i="17"/>
  <c r="R496" i="17" s="1"/>
  <c r="T496" i="17" s="1"/>
  <c r="Q495" i="17"/>
  <c r="R495" i="17" s="1"/>
  <c r="T495" i="17" s="1"/>
  <c r="H495" i="17"/>
  <c r="V495" i="17"/>
  <c r="Q494" i="17"/>
  <c r="R494" i="17" s="1"/>
  <c r="T494" i="17" s="1"/>
  <c r="H494" i="17"/>
  <c r="V494" i="17"/>
  <c r="Q493" i="17"/>
  <c r="R493" i="17" s="1"/>
  <c r="T493" i="17" s="1"/>
  <c r="Q492" i="17"/>
  <c r="V492" i="17"/>
  <c r="N492" i="17"/>
  <c r="Q491" i="17"/>
  <c r="R491" i="17" s="1"/>
  <c r="T491" i="17" s="1"/>
  <c r="Q490" i="17"/>
  <c r="R490" i="17" s="1"/>
  <c r="T490" i="17" s="1"/>
  <c r="Q489" i="17"/>
  <c r="R489" i="17" s="1"/>
  <c r="T489" i="17" s="1"/>
  <c r="Q488" i="17"/>
  <c r="R488" i="17" s="1"/>
  <c r="T488" i="17" s="1"/>
  <c r="Q487" i="17"/>
  <c r="R487" i="17" s="1"/>
  <c r="T487" i="17" s="1"/>
  <c r="O487" i="17"/>
  <c r="H487" i="17"/>
  <c r="V487" i="17"/>
  <c r="Q486" i="17"/>
  <c r="H486" i="17"/>
  <c r="V486" i="17"/>
  <c r="R486" i="17"/>
  <c r="T486" i="17" s="1"/>
  <c r="V485" i="17"/>
  <c r="Q485" i="17"/>
  <c r="R485" i="17" s="1"/>
  <c r="T485" i="17" s="1"/>
  <c r="Q484" i="17"/>
  <c r="R484" i="17" s="1"/>
  <c r="T484" i="17" s="1"/>
  <c r="O483" i="17"/>
  <c r="Q483" i="17"/>
  <c r="R483" i="17" s="1"/>
  <c r="T483" i="17" s="1"/>
  <c r="Q482" i="17"/>
  <c r="R482" i="17" s="1"/>
  <c r="T482" i="17" s="1"/>
  <c r="Q481" i="17"/>
  <c r="O481" i="17"/>
  <c r="N481" i="17"/>
  <c r="Q480" i="17"/>
  <c r="R480" i="17" s="1"/>
  <c r="T480" i="17" s="1"/>
  <c r="Q479" i="17"/>
  <c r="R479" i="17" s="1"/>
  <c r="T479" i="17" s="1"/>
  <c r="H478" i="17"/>
  <c r="V478" i="17"/>
  <c r="Q478" i="17"/>
  <c r="R478" i="17" s="1"/>
  <c r="T478" i="17" s="1"/>
  <c r="Q477" i="17"/>
  <c r="R477" i="17" s="1"/>
  <c r="T477" i="17" s="1"/>
  <c r="H476" i="17"/>
  <c r="Q476" i="17"/>
  <c r="R476" i="17" s="1"/>
  <c r="T476" i="17" s="1"/>
  <c r="Q475" i="17"/>
  <c r="R475" i="17" s="1"/>
  <c r="T475" i="17" s="1"/>
  <c r="H475" i="17"/>
  <c r="Q474" i="17"/>
  <c r="R474" i="17" s="1"/>
  <c r="T474" i="17" s="1"/>
  <c r="Q473" i="17"/>
  <c r="R473" i="17" s="1"/>
  <c r="T473" i="17" s="1"/>
  <c r="Q472" i="17"/>
  <c r="R472" i="17" s="1"/>
  <c r="T472" i="17" s="1"/>
  <c r="Q471" i="17"/>
  <c r="R471" i="17" s="1"/>
  <c r="T471" i="17" s="1"/>
  <c r="O471" i="17"/>
  <c r="Q470" i="17"/>
  <c r="H470" i="17"/>
  <c r="V470" i="17"/>
  <c r="N470" i="17"/>
  <c r="R470" i="17" s="1"/>
  <c r="T470" i="17" s="1"/>
  <c r="Q469" i="17"/>
  <c r="R469" i="17" s="1"/>
  <c r="T469" i="17" s="1"/>
  <c r="H469" i="17"/>
  <c r="Q468" i="17"/>
  <c r="O468" i="17"/>
  <c r="H468" i="17"/>
  <c r="V468" i="17" s="1"/>
  <c r="N468" i="17"/>
  <c r="Q467" i="17"/>
  <c r="R467" i="17" s="1"/>
  <c r="T467" i="17" s="1"/>
  <c r="O466" i="17"/>
  <c r="V466" i="17"/>
  <c r="H466" i="17"/>
  <c r="V465" i="17"/>
  <c r="Q466" i="17"/>
  <c r="R466" i="17" s="1"/>
  <c r="T466" i="17" s="1"/>
  <c r="Q465" i="17"/>
  <c r="R465" i="17" s="1"/>
  <c r="T465" i="17" s="1"/>
  <c r="Q464" i="17"/>
  <c r="Q463" i="17"/>
  <c r="Q462" i="17"/>
  <c r="R462" i="17" s="1"/>
  <c r="T462" i="17" s="1"/>
  <c r="Q461" i="17"/>
  <c r="Q460" i="17"/>
  <c r="Q459" i="17"/>
  <c r="Q458" i="17"/>
  <c r="Q457" i="17"/>
  <c r="Q456" i="17"/>
  <c r="Q454" i="17"/>
  <c r="N464" i="17"/>
  <c r="O464" i="17"/>
  <c r="O463" i="17"/>
  <c r="N463" i="17"/>
  <c r="O462" i="17"/>
  <c r="E461" i="17"/>
  <c r="N461" i="17"/>
  <c r="N460" i="17"/>
  <c r="V460" i="17"/>
  <c r="V459" i="17"/>
  <c r="V456" i="17"/>
  <c r="V453" i="17"/>
  <c r="N459" i="17"/>
  <c r="N458" i="17"/>
  <c r="N457" i="17"/>
  <c r="N456" i="17"/>
  <c r="H456" i="17"/>
  <c r="Q455" i="17"/>
  <c r="N455" i="17"/>
  <c r="N454" i="17"/>
  <c r="R454" i="17" s="1"/>
  <c r="T454" i="17" s="1"/>
  <c r="H453" i="17"/>
  <c r="Q453" i="17"/>
  <c r="N453" i="17"/>
  <c r="O406" i="17"/>
  <c r="Q406" i="17"/>
  <c r="N406" i="17"/>
  <c r="R316" i="17"/>
  <c r="T316" i="17" s="1"/>
  <c r="Q285" i="17"/>
  <c r="R285" i="17" s="1"/>
  <c r="T285" i="17" s="1"/>
  <c r="P156" i="17"/>
  <c r="B138" i="14"/>
  <c r="Q135" i="17"/>
  <c r="R135" i="17" s="1"/>
  <c r="T135" i="17" s="1"/>
  <c r="N102" i="17"/>
  <c r="R102" i="17" s="1"/>
  <c r="T102" i="17" s="1"/>
  <c r="R88" i="17"/>
  <c r="T88" i="17" s="1"/>
  <c r="R10" i="17"/>
  <c r="T10" i="17" s="1"/>
  <c r="R80" i="17"/>
  <c r="T80" i="17" s="1"/>
  <c r="H60" i="17"/>
  <c r="H53" i="17"/>
  <c r="O43" i="17"/>
  <c r="H39" i="17"/>
  <c r="O16" i="17"/>
  <c r="R2" i="17"/>
  <c r="T2" i="17" s="1"/>
  <c r="R3" i="17"/>
  <c r="T3" i="17" s="1"/>
  <c r="R4" i="17"/>
  <c r="T4" i="17" s="1"/>
  <c r="R5" i="17"/>
  <c r="T5" i="17" s="1"/>
  <c r="R6" i="17"/>
  <c r="T6" i="17" s="1"/>
  <c r="R7" i="17"/>
  <c r="T7" i="17" s="1"/>
  <c r="R8" i="17"/>
  <c r="T8" i="17" s="1"/>
  <c r="R9" i="17"/>
  <c r="T9" i="17" s="1"/>
  <c r="R11" i="17"/>
  <c r="T11" i="17" s="1"/>
  <c r="R12" i="17"/>
  <c r="T12" i="17" s="1"/>
  <c r="R13" i="17"/>
  <c r="T13" i="17" s="1"/>
  <c r="R14" i="17"/>
  <c r="T14" i="17" s="1"/>
  <c r="R15" i="17"/>
  <c r="T15" i="17" s="1"/>
  <c r="R16" i="17"/>
  <c r="T16" i="17" s="1"/>
  <c r="R17" i="17"/>
  <c r="T17" i="17" s="1"/>
  <c r="R18" i="17"/>
  <c r="T18" i="17" s="1"/>
  <c r="R19" i="17"/>
  <c r="T19" i="17" s="1"/>
  <c r="R20" i="17"/>
  <c r="T20" i="17" s="1"/>
  <c r="R21" i="17"/>
  <c r="T21" i="17" s="1"/>
  <c r="R22" i="17"/>
  <c r="T22" i="17" s="1"/>
  <c r="R23" i="17"/>
  <c r="T23" i="17" s="1"/>
  <c r="R24" i="17"/>
  <c r="T24" i="17" s="1"/>
  <c r="R25" i="17"/>
  <c r="T25" i="17" s="1"/>
  <c r="R26" i="17"/>
  <c r="T26" i="17" s="1"/>
  <c r="R27" i="17"/>
  <c r="T27" i="17" s="1"/>
  <c r="R28" i="17"/>
  <c r="T28" i="17" s="1"/>
  <c r="R29" i="17"/>
  <c r="T29" i="17" s="1"/>
  <c r="R30" i="17"/>
  <c r="T30" i="17" s="1"/>
  <c r="R31" i="17"/>
  <c r="T31" i="17" s="1"/>
  <c r="R32" i="17"/>
  <c r="T32" i="17" s="1"/>
  <c r="R33" i="17"/>
  <c r="T33" i="17" s="1"/>
  <c r="R34" i="17"/>
  <c r="T34" i="17" s="1"/>
  <c r="R35" i="17"/>
  <c r="T35" i="17" s="1"/>
  <c r="R36" i="17"/>
  <c r="T36" i="17" s="1"/>
  <c r="R37" i="17"/>
  <c r="T37" i="17" s="1"/>
  <c r="R38" i="17"/>
  <c r="T38" i="17" s="1"/>
  <c r="R39" i="17"/>
  <c r="T39" i="17" s="1"/>
  <c r="R40" i="17"/>
  <c r="T40" i="17" s="1"/>
  <c r="R41" i="17"/>
  <c r="T41" i="17" s="1"/>
  <c r="R42" i="17"/>
  <c r="T42" i="17" s="1"/>
  <c r="R43" i="17"/>
  <c r="T43" i="17" s="1"/>
  <c r="R44" i="17"/>
  <c r="T44" i="17" s="1"/>
  <c r="R45" i="17"/>
  <c r="T45" i="17" s="1"/>
  <c r="R46" i="17"/>
  <c r="T46" i="17" s="1"/>
  <c r="R47" i="17"/>
  <c r="T47" i="17" s="1"/>
  <c r="R48" i="17"/>
  <c r="T48" i="17" s="1"/>
  <c r="R49" i="17"/>
  <c r="T49" i="17" s="1"/>
  <c r="R50" i="17"/>
  <c r="T50" i="17" s="1"/>
  <c r="R51" i="17"/>
  <c r="T51" i="17" s="1"/>
  <c r="R52" i="17"/>
  <c r="T52" i="17" s="1"/>
  <c r="R53" i="17"/>
  <c r="T53" i="17" s="1"/>
  <c r="R54" i="17"/>
  <c r="T54" i="17" s="1"/>
  <c r="R55" i="17"/>
  <c r="T55" i="17" s="1"/>
  <c r="R56" i="17"/>
  <c r="T56" i="17" s="1"/>
  <c r="R57" i="17"/>
  <c r="T57" i="17" s="1"/>
  <c r="R58" i="17"/>
  <c r="T58" i="17" s="1"/>
  <c r="R59" i="17"/>
  <c r="T59" i="17" s="1"/>
  <c r="R60" i="17"/>
  <c r="T60" i="17" s="1"/>
  <c r="R61" i="17"/>
  <c r="T61" i="17" s="1"/>
  <c r="R62" i="17"/>
  <c r="T62" i="17" s="1"/>
  <c r="R63" i="17"/>
  <c r="T63" i="17" s="1"/>
  <c r="R64" i="17"/>
  <c r="T64" i="17" s="1"/>
  <c r="R65" i="17"/>
  <c r="T65" i="17" s="1"/>
  <c r="R66" i="17"/>
  <c r="T66" i="17" s="1"/>
  <c r="R67" i="17"/>
  <c r="T67" i="17" s="1"/>
  <c r="R68" i="17"/>
  <c r="T68" i="17" s="1"/>
  <c r="R69" i="17"/>
  <c r="T69" i="17" s="1"/>
  <c r="R70" i="17"/>
  <c r="T70" i="17" s="1"/>
  <c r="R71" i="17"/>
  <c r="T71" i="17" s="1"/>
  <c r="R72" i="17"/>
  <c r="T72" i="17" s="1"/>
  <c r="R73" i="17"/>
  <c r="T73" i="17" s="1"/>
  <c r="R74" i="17"/>
  <c r="T74" i="17" s="1"/>
  <c r="R75" i="17"/>
  <c r="T75" i="17" s="1"/>
  <c r="R76" i="17"/>
  <c r="T76" i="17" s="1"/>
  <c r="R77" i="17"/>
  <c r="T77" i="17" s="1"/>
  <c r="R78" i="17"/>
  <c r="T78" i="17" s="1"/>
  <c r="R79" i="17"/>
  <c r="T79" i="17" s="1"/>
  <c r="R81" i="17"/>
  <c r="T81" i="17" s="1"/>
  <c r="R82" i="17"/>
  <c r="T82" i="17" s="1"/>
  <c r="R83" i="17"/>
  <c r="T83" i="17" s="1"/>
  <c r="R84" i="17"/>
  <c r="T84" i="17" s="1"/>
  <c r="R85" i="17"/>
  <c r="T85" i="17" s="1"/>
  <c r="R86" i="17"/>
  <c r="T86" i="17" s="1"/>
  <c r="R87" i="17"/>
  <c r="T87" i="17" s="1"/>
  <c r="R89" i="17"/>
  <c r="T89" i="17" s="1"/>
  <c r="R90" i="17"/>
  <c r="T90" i="17" s="1"/>
  <c r="R91" i="17"/>
  <c r="T91" i="17" s="1"/>
  <c r="R92" i="17"/>
  <c r="T92" i="17" s="1"/>
  <c r="R93" i="17"/>
  <c r="T93" i="17" s="1"/>
  <c r="R94" i="17"/>
  <c r="T94" i="17" s="1"/>
  <c r="R95" i="17"/>
  <c r="T95" i="17" s="1"/>
  <c r="R96" i="17"/>
  <c r="T96" i="17" s="1"/>
  <c r="R97" i="17"/>
  <c r="T97" i="17" s="1"/>
  <c r="R98" i="17"/>
  <c r="T98" i="17" s="1"/>
  <c r="R99" i="17"/>
  <c r="T99" i="17" s="1"/>
  <c r="R100" i="17"/>
  <c r="T100" i="17" s="1"/>
  <c r="R101" i="17"/>
  <c r="T101" i="17" s="1"/>
  <c r="R103" i="17"/>
  <c r="T103" i="17" s="1"/>
  <c r="R104" i="17"/>
  <c r="T104" i="17" s="1"/>
  <c r="R105" i="17"/>
  <c r="T105" i="17" s="1"/>
  <c r="R106" i="17"/>
  <c r="T106" i="17" s="1"/>
  <c r="R107" i="17"/>
  <c r="T107" i="17" s="1"/>
  <c r="R108" i="17"/>
  <c r="T108" i="17" s="1"/>
  <c r="R109" i="17"/>
  <c r="T109" i="17" s="1"/>
  <c r="R110" i="17"/>
  <c r="T110" i="17" s="1"/>
  <c r="R111" i="17"/>
  <c r="T111" i="17" s="1"/>
  <c r="R112" i="17"/>
  <c r="T112" i="17" s="1"/>
  <c r="R113" i="17"/>
  <c r="T113" i="17" s="1"/>
  <c r="R114" i="17"/>
  <c r="T114" i="17" s="1"/>
  <c r="R115" i="17"/>
  <c r="T115" i="17" s="1"/>
  <c r="R116" i="17"/>
  <c r="T116" i="17" s="1"/>
  <c r="R117" i="17"/>
  <c r="T117" i="17" s="1"/>
  <c r="R118" i="17"/>
  <c r="T118" i="17" s="1"/>
  <c r="R119" i="17"/>
  <c r="T119" i="17" s="1"/>
  <c r="R120" i="17"/>
  <c r="T120" i="17" s="1"/>
  <c r="R121" i="17"/>
  <c r="T121" i="17" s="1"/>
  <c r="R122" i="17"/>
  <c r="T122" i="17" s="1"/>
  <c r="R123" i="17"/>
  <c r="T123" i="17" s="1"/>
  <c r="R124" i="17"/>
  <c r="T124" i="17" s="1"/>
  <c r="R125" i="17"/>
  <c r="T125" i="17" s="1"/>
  <c r="R126" i="17"/>
  <c r="T126" i="17" s="1"/>
  <c r="R127" i="17"/>
  <c r="T127" i="17" s="1"/>
  <c r="R128" i="17"/>
  <c r="T128" i="17" s="1"/>
  <c r="R129" i="17"/>
  <c r="T129" i="17" s="1"/>
  <c r="R130" i="17"/>
  <c r="T130" i="17" s="1"/>
  <c r="R131" i="17"/>
  <c r="T131" i="17" s="1"/>
  <c r="R132" i="17"/>
  <c r="T132" i="17" s="1"/>
  <c r="R133" i="17"/>
  <c r="T133" i="17" s="1"/>
  <c r="R134" i="17"/>
  <c r="T134" i="17" s="1"/>
  <c r="R136" i="17"/>
  <c r="T136" i="17" s="1"/>
  <c r="R137" i="17"/>
  <c r="T137" i="17" s="1"/>
  <c r="R138" i="17"/>
  <c r="T138" i="17" s="1"/>
  <c r="R139" i="17"/>
  <c r="T139" i="17" s="1"/>
  <c r="R140" i="17"/>
  <c r="T140" i="17" s="1"/>
  <c r="R141" i="17"/>
  <c r="T141" i="17" s="1"/>
  <c r="R142" i="17"/>
  <c r="T142" i="17" s="1"/>
  <c r="R143" i="17"/>
  <c r="T143" i="17" s="1"/>
  <c r="R144" i="17"/>
  <c r="T144" i="17" s="1"/>
  <c r="R145" i="17"/>
  <c r="T145" i="17" s="1"/>
  <c r="R146" i="17"/>
  <c r="T146" i="17" s="1"/>
  <c r="R147" i="17"/>
  <c r="T147" i="17" s="1"/>
  <c r="R148" i="17"/>
  <c r="T148" i="17" s="1"/>
  <c r="R149" i="17"/>
  <c r="T149" i="17" s="1"/>
  <c r="R150" i="17"/>
  <c r="T150" i="17" s="1"/>
  <c r="R151" i="17"/>
  <c r="T151" i="17" s="1"/>
  <c r="R152" i="17"/>
  <c r="T152" i="17" s="1"/>
  <c r="R153" i="17"/>
  <c r="T153" i="17" s="1"/>
  <c r="R154" i="17"/>
  <c r="T154" i="17" s="1"/>
  <c r="R155" i="17"/>
  <c r="T155" i="17" s="1"/>
  <c r="R156" i="17"/>
  <c r="T156" i="17" s="1"/>
  <c r="R157" i="17"/>
  <c r="T157" i="17" s="1"/>
  <c r="R158" i="17"/>
  <c r="T158" i="17" s="1"/>
  <c r="R159" i="17"/>
  <c r="T159" i="17" s="1"/>
  <c r="R160" i="17"/>
  <c r="T160" i="17" s="1"/>
  <c r="R161" i="17"/>
  <c r="T161" i="17" s="1"/>
  <c r="R162" i="17"/>
  <c r="T162" i="17" s="1"/>
  <c r="R163" i="17"/>
  <c r="T163" i="17" s="1"/>
  <c r="R164" i="17"/>
  <c r="T164" i="17" s="1"/>
  <c r="R165" i="17"/>
  <c r="T165" i="17" s="1"/>
  <c r="R166" i="17"/>
  <c r="T166" i="17" s="1"/>
  <c r="R167" i="17"/>
  <c r="T167" i="17" s="1"/>
  <c r="R168" i="17"/>
  <c r="T168" i="17" s="1"/>
  <c r="R169" i="17"/>
  <c r="T169" i="17" s="1"/>
  <c r="R170" i="17"/>
  <c r="T170" i="17" s="1"/>
  <c r="R171" i="17"/>
  <c r="T171" i="17" s="1"/>
  <c r="R172" i="17"/>
  <c r="T172" i="17" s="1"/>
  <c r="R173" i="17"/>
  <c r="T173" i="17" s="1"/>
  <c r="R174" i="17"/>
  <c r="T174" i="17" s="1"/>
  <c r="R175" i="17"/>
  <c r="T175" i="17" s="1"/>
  <c r="R176" i="17"/>
  <c r="T176" i="17" s="1"/>
  <c r="R177" i="17"/>
  <c r="T177" i="17" s="1"/>
  <c r="R178" i="17"/>
  <c r="T178" i="17" s="1"/>
  <c r="R179" i="17"/>
  <c r="T179" i="17" s="1"/>
  <c r="R180" i="17"/>
  <c r="T180" i="17" s="1"/>
  <c r="R181" i="17"/>
  <c r="T181" i="17" s="1"/>
  <c r="R182" i="17"/>
  <c r="T182" i="17" s="1"/>
  <c r="R183" i="17"/>
  <c r="T183" i="17" s="1"/>
  <c r="R184" i="17"/>
  <c r="T184" i="17" s="1"/>
  <c r="R185" i="17"/>
  <c r="T185" i="17" s="1"/>
  <c r="R186" i="17"/>
  <c r="T186" i="17" s="1"/>
  <c r="R187" i="17"/>
  <c r="T187" i="17" s="1"/>
  <c r="R188" i="17"/>
  <c r="T188" i="17" s="1"/>
  <c r="R189" i="17"/>
  <c r="T189" i="17" s="1"/>
  <c r="R190" i="17"/>
  <c r="T190" i="17" s="1"/>
  <c r="R191" i="17"/>
  <c r="T191" i="17" s="1"/>
  <c r="R192" i="17"/>
  <c r="T192" i="17" s="1"/>
  <c r="R193" i="17"/>
  <c r="T193" i="17" s="1"/>
  <c r="R194" i="17"/>
  <c r="T194" i="17" s="1"/>
  <c r="R195" i="17"/>
  <c r="T195" i="17" s="1"/>
  <c r="R196" i="17"/>
  <c r="T196" i="17" s="1"/>
  <c r="R197" i="17"/>
  <c r="T197" i="17" s="1"/>
  <c r="R198" i="17"/>
  <c r="T198" i="17" s="1"/>
  <c r="R199" i="17"/>
  <c r="T199" i="17" s="1"/>
  <c r="R200" i="17"/>
  <c r="T200" i="17" s="1"/>
  <c r="R201" i="17"/>
  <c r="T201" i="17" s="1"/>
  <c r="R202" i="17"/>
  <c r="T202" i="17" s="1"/>
  <c r="R203" i="17"/>
  <c r="T203" i="17" s="1"/>
  <c r="R204" i="17"/>
  <c r="T204" i="17" s="1"/>
  <c r="R205" i="17"/>
  <c r="T205" i="17" s="1"/>
  <c r="R206" i="17"/>
  <c r="T206" i="17" s="1"/>
  <c r="R207" i="17"/>
  <c r="T207" i="17" s="1"/>
  <c r="R208" i="17"/>
  <c r="T208" i="17" s="1"/>
  <c r="R209" i="17"/>
  <c r="T209" i="17" s="1"/>
  <c r="R210" i="17"/>
  <c r="T210" i="17" s="1"/>
  <c r="R211" i="17"/>
  <c r="T211" i="17" s="1"/>
  <c r="R212" i="17"/>
  <c r="T212" i="17" s="1"/>
  <c r="R213" i="17"/>
  <c r="T213" i="17" s="1"/>
  <c r="R214" i="17"/>
  <c r="T214" i="17" s="1"/>
  <c r="R215" i="17"/>
  <c r="T215" i="17" s="1"/>
  <c r="R216" i="17"/>
  <c r="T216" i="17" s="1"/>
  <c r="R217" i="17"/>
  <c r="T217" i="17" s="1"/>
  <c r="R218" i="17"/>
  <c r="T218" i="17" s="1"/>
  <c r="R219" i="17"/>
  <c r="T219" i="17" s="1"/>
  <c r="R220" i="17"/>
  <c r="T220" i="17" s="1"/>
  <c r="R221" i="17"/>
  <c r="T221" i="17" s="1"/>
  <c r="R222" i="17"/>
  <c r="T222" i="17" s="1"/>
  <c r="R223" i="17"/>
  <c r="T223" i="17" s="1"/>
  <c r="R224" i="17"/>
  <c r="T224" i="17" s="1"/>
  <c r="R225" i="17"/>
  <c r="T225" i="17" s="1"/>
  <c r="R226" i="17"/>
  <c r="T226" i="17" s="1"/>
  <c r="R227" i="17"/>
  <c r="T227" i="17" s="1"/>
  <c r="R228" i="17"/>
  <c r="T228" i="17" s="1"/>
  <c r="R229" i="17"/>
  <c r="T229" i="17" s="1"/>
  <c r="R230" i="17"/>
  <c r="T230" i="17" s="1"/>
  <c r="R231" i="17"/>
  <c r="T231" i="17" s="1"/>
  <c r="R232" i="17"/>
  <c r="T232" i="17" s="1"/>
  <c r="R233" i="17"/>
  <c r="T233" i="17" s="1"/>
  <c r="R234" i="17"/>
  <c r="T234" i="17" s="1"/>
  <c r="R235" i="17"/>
  <c r="T235" i="17" s="1"/>
  <c r="R236" i="17"/>
  <c r="T236" i="17" s="1"/>
  <c r="R237" i="17"/>
  <c r="T237" i="17" s="1"/>
  <c r="R238" i="17"/>
  <c r="T238" i="17" s="1"/>
  <c r="R239" i="17"/>
  <c r="T239" i="17" s="1"/>
  <c r="R240" i="17"/>
  <c r="T240" i="17" s="1"/>
  <c r="R241" i="17"/>
  <c r="T241" i="17" s="1"/>
  <c r="R242" i="17"/>
  <c r="T242" i="17" s="1"/>
  <c r="R243" i="17"/>
  <c r="T243" i="17" s="1"/>
  <c r="R244" i="17"/>
  <c r="T244" i="17" s="1"/>
  <c r="R245" i="17"/>
  <c r="T245" i="17" s="1"/>
  <c r="R246" i="17"/>
  <c r="T246" i="17" s="1"/>
  <c r="R247" i="17"/>
  <c r="T247" i="17" s="1"/>
  <c r="R248" i="17"/>
  <c r="T248" i="17" s="1"/>
  <c r="R249" i="17"/>
  <c r="T249" i="17" s="1"/>
  <c r="R250" i="17"/>
  <c r="T250" i="17" s="1"/>
  <c r="R251" i="17"/>
  <c r="T251" i="17" s="1"/>
  <c r="R252" i="17"/>
  <c r="T252" i="17" s="1"/>
  <c r="R253" i="17"/>
  <c r="T253" i="17" s="1"/>
  <c r="R254" i="17"/>
  <c r="T254" i="17" s="1"/>
  <c r="R255" i="17"/>
  <c r="T255" i="17" s="1"/>
  <c r="R256" i="17"/>
  <c r="T256" i="17" s="1"/>
  <c r="R257" i="17"/>
  <c r="T257" i="17" s="1"/>
  <c r="R258" i="17"/>
  <c r="T258" i="17" s="1"/>
  <c r="R259" i="17"/>
  <c r="T259" i="17" s="1"/>
  <c r="R260" i="17"/>
  <c r="T260" i="17" s="1"/>
  <c r="R261" i="17"/>
  <c r="T261" i="17" s="1"/>
  <c r="R262" i="17"/>
  <c r="T262" i="17" s="1"/>
  <c r="R263" i="17"/>
  <c r="T263" i="17" s="1"/>
  <c r="R264" i="17"/>
  <c r="T264" i="17" s="1"/>
  <c r="R265" i="17"/>
  <c r="T265" i="17" s="1"/>
  <c r="R266" i="17"/>
  <c r="T266" i="17" s="1"/>
  <c r="R267" i="17"/>
  <c r="T267" i="17" s="1"/>
  <c r="R268" i="17"/>
  <c r="T268" i="17" s="1"/>
  <c r="R269" i="17"/>
  <c r="T269" i="17" s="1"/>
  <c r="R270" i="17"/>
  <c r="T270" i="17" s="1"/>
  <c r="R271" i="17"/>
  <c r="T271" i="17" s="1"/>
  <c r="R272" i="17"/>
  <c r="T272" i="17" s="1"/>
  <c r="R273" i="17"/>
  <c r="T273" i="17" s="1"/>
  <c r="R274" i="17"/>
  <c r="T274" i="17" s="1"/>
  <c r="R275" i="17"/>
  <c r="T275" i="17" s="1"/>
  <c r="R276" i="17"/>
  <c r="T276" i="17" s="1"/>
  <c r="R277" i="17"/>
  <c r="T277" i="17" s="1"/>
  <c r="R278" i="17"/>
  <c r="T278" i="17" s="1"/>
  <c r="R279" i="17"/>
  <c r="T279" i="17" s="1"/>
  <c r="R280" i="17"/>
  <c r="T280" i="17" s="1"/>
  <c r="R281" i="17"/>
  <c r="T281" i="17" s="1"/>
  <c r="R282" i="17"/>
  <c r="T282" i="17" s="1"/>
  <c r="R283" i="17"/>
  <c r="T283" i="17" s="1"/>
  <c r="R284" i="17"/>
  <c r="T284" i="17" s="1"/>
  <c r="R286" i="17"/>
  <c r="T286" i="17" s="1"/>
  <c r="R287" i="17"/>
  <c r="T287" i="17" s="1"/>
  <c r="R288" i="17"/>
  <c r="T288" i="17" s="1"/>
  <c r="R289" i="17"/>
  <c r="T289" i="17" s="1"/>
  <c r="R290" i="17"/>
  <c r="T290" i="17" s="1"/>
  <c r="R291" i="17"/>
  <c r="T291" i="17" s="1"/>
  <c r="R292" i="17"/>
  <c r="T292" i="17" s="1"/>
  <c r="R293" i="17"/>
  <c r="T293" i="17" s="1"/>
  <c r="R294" i="17"/>
  <c r="T294" i="17" s="1"/>
  <c r="R295" i="17"/>
  <c r="T295" i="17" s="1"/>
  <c r="R296" i="17"/>
  <c r="T296" i="17" s="1"/>
  <c r="R297" i="17"/>
  <c r="T297" i="17" s="1"/>
  <c r="R298" i="17"/>
  <c r="T298" i="17" s="1"/>
  <c r="R299" i="17"/>
  <c r="T299" i="17" s="1"/>
  <c r="R300" i="17"/>
  <c r="T300" i="17" s="1"/>
  <c r="R301" i="17"/>
  <c r="T301" i="17" s="1"/>
  <c r="R302" i="17"/>
  <c r="T302" i="17" s="1"/>
  <c r="R303" i="17"/>
  <c r="T303" i="17" s="1"/>
  <c r="R304" i="17"/>
  <c r="T304" i="17" s="1"/>
  <c r="R305" i="17"/>
  <c r="T305" i="17" s="1"/>
  <c r="R306" i="17"/>
  <c r="T306" i="17" s="1"/>
  <c r="R307" i="17"/>
  <c r="T307" i="17" s="1"/>
  <c r="R308" i="17"/>
  <c r="T308" i="17" s="1"/>
  <c r="R309" i="17"/>
  <c r="T309" i="17" s="1"/>
  <c r="R310" i="17"/>
  <c r="T310" i="17" s="1"/>
  <c r="R311" i="17"/>
  <c r="T311" i="17" s="1"/>
  <c r="R312" i="17"/>
  <c r="T312" i="17" s="1"/>
  <c r="R313" i="17"/>
  <c r="T313" i="17" s="1"/>
  <c r="R314" i="17"/>
  <c r="T314" i="17" s="1"/>
  <c r="R315" i="17"/>
  <c r="T315" i="17" s="1"/>
  <c r="R317" i="17"/>
  <c r="T317" i="17" s="1"/>
  <c r="R318" i="17"/>
  <c r="T318" i="17" s="1"/>
  <c r="R319" i="17"/>
  <c r="T319" i="17" s="1"/>
  <c r="R320" i="17"/>
  <c r="T320" i="17" s="1"/>
  <c r="R321" i="17"/>
  <c r="T321" i="17" s="1"/>
  <c r="R322" i="17"/>
  <c r="T322" i="17" s="1"/>
  <c r="R323" i="17"/>
  <c r="T323" i="17" s="1"/>
  <c r="R324" i="17"/>
  <c r="T324" i="17" s="1"/>
  <c r="R325" i="17"/>
  <c r="T325" i="17" s="1"/>
  <c r="R326" i="17"/>
  <c r="T326" i="17" s="1"/>
  <c r="R327" i="17"/>
  <c r="T327" i="17" s="1"/>
  <c r="R328" i="17"/>
  <c r="T328" i="17" s="1"/>
  <c r="R329" i="17"/>
  <c r="T329" i="17" s="1"/>
  <c r="R330" i="17"/>
  <c r="T330" i="17" s="1"/>
  <c r="R331" i="17"/>
  <c r="T331" i="17" s="1"/>
  <c r="R332" i="17"/>
  <c r="T332" i="17" s="1"/>
  <c r="R333" i="17"/>
  <c r="T333" i="17" s="1"/>
  <c r="R334" i="17"/>
  <c r="T334" i="17" s="1"/>
  <c r="R335" i="17"/>
  <c r="T335" i="17" s="1"/>
  <c r="R336" i="17"/>
  <c r="T336" i="17" s="1"/>
  <c r="R337" i="17"/>
  <c r="T337" i="17" s="1"/>
  <c r="R338" i="17"/>
  <c r="T338" i="17" s="1"/>
  <c r="R339" i="17"/>
  <c r="T339" i="17" s="1"/>
  <c r="R340" i="17"/>
  <c r="T340" i="17" s="1"/>
  <c r="R341" i="17"/>
  <c r="T341" i="17" s="1"/>
  <c r="R342" i="17"/>
  <c r="T342" i="17" s="1"/>
  <c r="R343" i="17"/>
  <c r="T343" i="17" s="1"/>
  <c r="R344" i="17"/>
  <c r="T344" i="17" s="1"/>
  <c r="R345" i="17"/>
  <c r="T345" i="17" s="1"/>
  <c r="R346" i="17"/>
  <c r="T346" i="17" s="1"/>
  <c r="R347" i="17"/>
  <c r="T347" i="17" s="1"/>
  <c r="R348" i="17"/>
  <c r="T348" i="17" s="1"/>
  <c r="R349" i="17"/>
  <c r="T349" i="17" s="1"/>
  <c r="R350" i="17"/>
  <c r="T350" i="17" s="1"/>
  <c r="R351" i="17"/>
  <c r="T351" i="17" s="1"/>
  <c r="R352" i="17"/>
  <c r="T352" i="17" s="1"/>
  <c r="R353" i="17"/>
  <c r="T353" i="17" s="1"/>
  <c r="R354" i="17"/>
  <c r="T354" i="17" s="1"/>
  <c r="R355" i="17"/>
  <c r="T355" i="17" s="1"/>
  <c r="R356" i="17"/>
  <c r="T356" i="17" s="1"/>
  <c r="R357" i="17"/>
  <c r="T357" i="17" s="1"/>
  <c r="R358" i="17"/>
  <c r="T358" i="17" s="1"/>
  <c r="R359" i="17"/>
  <c r="T359" i="17" s="1"/>
  <c r="R360" i="17"/>
  <c r="T360" i="17" s="1"/>
  <c r="R361" i="17"/>
  <c r="T361" i="17" s="1"/>
  <c r="R362" i="17"/>
  <c r="T362" i="17" s="1"/>
  <c r="R363" i="17"/>
  <c r="T363" i="17" s="1"/>
  <c r="R364" i="17"/>
  <c r="T364" i="17" s="1"/>
  <c r="R365" i="17"/>
  <c r="T365" i="17" s="1"/>
  <c r="R366" i="17"/>
  <c r="T366" i="17" s="1"/>
  <c r="R367" i="17"/>
  <c r="T367" i="17" s="1"/>
  <c r="R368" i="17"/>
  <c r="T368" i="17" s="1"/>
  <c r="R369" i="17"/>
  <c r="T369" i="17" s="1"/>
  <c r="R370" i="17"/>
  <c r="T370" i="17" s="1"/>
  <c r="R371" i="17"/>
  <c r="T371" i="17" s="1"/>
  <c r="R372" i="17"/>
  <c r="T372" i="17" s="1"/>
  <c r="R373" i="17"/>
  <c r="T373" i="17" s="1"/>
  <c r="R374" i="17"/>
  <c r="T374" i="17" s="1"/>
  <c r="R375" i="17"/>
  <c r="T375" i="17" s="1"/>
  <c r="R376" i="17"/>
  <c r="T376" i="17" s="1"/>
  <c r="R377" i="17"/>
  <c r="T377" i="17" s="1"/>
  <c r="R378" i="17"/>
  <c r="T378" i="17" s="1"/>
  <c r="R379" i="17"/>
  <c r="T379" i="17" s="1"/>
  <c r="R380" i="17"/>
  <c r="T380" i="17" s="1"/>
  <c r="R381" i="17"/>
  <c r="T381" i="17" s="1"/>
  <c r="R382" i="17"/>
  <c r="T382" i="17" s="1"/>
  <c r="R383" i="17"/>
  <c r="T383" i="17" s="1"/>
  <c r="R384" i="17"/>
  <c r="T384" i="17" s="1"/>
  <c r="R385" i="17"/>
  <c r="T385" i="17" s="1"/>
  <c r="R386" i="17"/>
  <c r="T386" i="17" s="1"/>
  <c r="R387" i="17"/>
  <c r="T387" i="17" s="1"/>
  <c r="R388" i="17"/>
  <c r="T388" i="17" s="1"/>
  <c r="R389" i="17"/>
  <c r="T389" i="17" s="1"/>
  <c r="R390" i="17"/>
  <c r="T390" i="17" s="1"/>
  <c r="R391" i="17"/>
  <c r="T391" i="17" s="1"/>
  <c r="R392" i="17"/>
  <c r="T392" i="17" s="1"/>
  <c r="R393" i="17"/>
  <c r="T393" i="17" s="1"/>
  <c r="R394" i="17"/>
  <c r="T394" i="17" s="1"/>
  <c r="R395" i="17"/>
  <c r="T395" i="17" s="1"/>
  <c r="R396" i="17"/>
  <c r="T396" i="17" s="1"/>
  <c r="R397" i="17"/>
  <c r="T397" i="17" s="1"/>
  <c r="R398" i="17"/>
  <c r="T398" i="17" s="1"/>
  <c r="R399" i="17"/>
  <c r="T399" i="17" s="1"/>
  <c r="R400" i="17"/>
  <c r="T400" i="17" s="1"/>
  <c r="R401" i="17"/>
  <c r="T401" i="17" s="1"/>
  <c r="R402" i="17"/>
  <c r="T402" i="17" s="1"/>
  <c r="R403" i="17"/>
  <c r="T403" i="17" s="1"/>
  <c r="R404" i="17"/>
  <c r="T404" i="17" s="1"/>
  <c r="R405" i="17"/>
  <c r="T405" i="17" s="1"/>
  <c r="R407" i="17"/>
  <c r="T407" i="17" s="1"/>
  <c r="R408" i="17"/>
  <c r="T408" i="17" s="1"/>
  <c r="R409" i="17"/>
  <c r="T409" i="17" s="1"/>
  <c r="R410" i="17"/>
  <c r="T410" i="17" s="1"/>
  <c r="R411" i="17"/>
  <c r="T411" i="17" s="1"/>
  <c r="R412" i="17"/>
  <c r="T412" i="17" s="1"/>
  <c r="R413" i="17"/>
  <c r="T413" i="17" s="1"/>
  <c r="R414" i="17"/>
  <c r="T414" i="17" s="1"/>
  <c r="R415" i="17"/>
  <c r="T415" i="17" s="1"/>
  <c r="R416" i="17"/>
  <c r="T416" i="17" s="1"/>
  <c r="R417" i="17"/>
  <c r="T417" i="17" s="1"/>
  <c r="R418" i="17"/>
  <c r="T418" i="17" s="1"/>
  <c r="R419" i="17"/>
  <c r="T419" i="17" s="1"/>
  <c r="R420" i="17"/>
  <c r="T420" i="17" s="1"/>
  <c r="R421" i="17"/>
  <c r="T421" i="17" s="1"/>
  <c r="R422" i="17"/>
  <c r="T422" i="17" s="1"/>
  <c r="R423" i="17"/>
  <c r="T423" i="17" s="1"/>
  <c r="R424" i="17"/>
  <c r="T424" i="17" s="1"/>
  <c r="R425" i="17"/>
  <c r="T425" i="17" s="1"/>
  <c r="R426" i="17"/>
  <c r="T426" i="17" s="1"/>
  <c r="R427" i="17"/>
  <c r="T427" i="17" s="1"/>
  <c r="R428" i="17"/>
  <c r="T428" i="17" s="1"/>
  <c r="R429" i="17"/>
  <c r="T429" i="17" s="1"/>
  <c r="R430" i="17"/>
  <c r="T430" i="17" s="1"/>
  <c r="R431" i="17"/>
  <c r="T431" i="17" s="1"/>
  <c r="R432" i="17"/>
  <c r="T432" i="17" s="1"/>
  <c r="R433" i="17"/>
  <c r="T433" i="17" s="1"/>
  <c r="R434" i="17"/>
  <c r="T434" i="17" s="1"/>
  <c r="R435" i="17"/>
  <c r="T435" i="17" s="1"/>
  <c r="R436" i="17"/>
  <c r="T436" i="17" s="1"/>
  <c r="R437" i="17"/>
  <c r="T437" i="17" s="1"/>
  <c r="R438" i="17"/>
  <c r="T438" i="17" s="1"/>
  <c r="R439" i="17"/>
  <c r="T439" i="17" s="1"/>
  <c r="R440" i="17"/>
  <c r="T440" i="17" s="1"/>
  <c r="R441" i="17"/>
  <c r="T441" i="17" s="1"/>
  <c r="R442" i="17"/>
  <c r="T442" i="17" s="1"/>
  <c r="R443" i="17"/>
  <c r="T443" i="17" s="1"/>
  <c r="R444" i="17"/>
  <c r="T444" i="17" s="1"/>
  <c r="R445" i="17"/>
  <c r="T445" i="17" s="1"/>
  <c r="R446" i="17"/>
  <c r="T446" i="17" s="1"/>
  <c r="R447" i="17"/>
  <c r="T447" i="17" s="1"/>
  <c r="R448" i="17"/>
  <c r="T448" i="17" s="1"/>
  <c r="R449" i="17"/>
  <c r="T449" i="17" s="1"/>
  <c r="R450" i="17"/>
  <c r="T450" i="17" s="1"/>
  <c r="R451" i="17"/>
  <c r="T451" i="17" s="1"/>
  <c r="R452" i="17"/>
  <c r="T452" i="17" s="1"/>
  <c r="R504" i="17"/>
  <c r="T504" i="17" s="1"/>
  <c r="R528" i="17"/>
  <c r="T528" i="17" s="1"/>
  <c r="R539" i="17"/>
  <c r="T539" i="17" s="1"/>
  <c r="R540" i="17"/>
  <c r="T540" i="17" s="1"/>
  <c r="R541" i="17"/>
  <c r="T541" i="17" s="1"/>
  <c r="R542" i="17"/>
  <c r="T542" i="17" s="1"/>
  <c r="R543" i="17"/>
  <c r="T543" i="17" s="1"/>
  <c r="R544" i="17"/>
  <c r="T544" i="17" s="1"/>
  <c r="R546" i="17"/>
  <c r="T546" i="17" s="1"/>
  <c r="R547" i="17"/>
  <c r="T547" i="17" s="1"/>
  <c r="R550" i="17"/>
  <c r="T550" i="17" s="1"/>
  <c r="R551" i="17"/>
  <c r="T551" i="17" s="1"/>
  <c r="R553" i="17"/>
  <c r="T553" i="17" s="1"/>
  <c r="R555" i="17"/>
  <c r="T555" i="17" s="1"/>
  <c r="R557" i="17"/>
  <c r="T557" i="17" s="1"/>
  <c r="R561" i="17"/>
  <c r="T561" i="17" s="1"/>
  <c r="R562" i="17"/>
  <c r="T562" i="17" s="1"/>
  <c r="R563" i="17"/>
  <c r="T563" i="17" s="1"/>
  <c r="R564" i="17"/>
  <c r="T564" i="17" s="1"/>
  <c r="R565" i="17"/>
  <c r="T565" i="17" s="1"/>
  <c r="R566" i="17"/>
  <c r="T566" i="17" s="1"/>
  <c r="R567" i="17"/>
  <c r="T567" i="17" s="1"/>
  <c r="R568" i="17"/>
  <c r="T568" i="17" s="1"/>
  <c r="R569" i="17"/>
  <c r="T569" i="17" s="1"/>
  <c r="R570" i="17"/>
  <c r="T570" i="17" s="1"/>
  <c r="R571" i="17"/>
  <c r="T571" i="17" s="1"/>
  <c r="R572" i="17"/>
  <c r="T572" i="17" s="1"/>
  <c r="R573" i="17"/>
  <c r="T573" i="17" s="1"/>
  <c r="R574" i="17"/>
  <c r="T574" i="17" s="1"/>
  <c r="R575" i="17"/>
  <c r="T575" i="17" s="1"/>
  <c r="R576" i="17"/>
  <c r="T576" i="17" s="1"/>
  <c r="R577" i="17"/>
  <c r="T577" i="17" s="1"/>
  <c r="R578" i="17"/>
  <c r="T578" i="17" s="1"/>
  <c r="R579" i="17"/>
  <c r="T579" i="17" s="1"/>
  <c r="R580" i="17"/>
  <c r="T580" i="17" s="1"/>
  <c r="R581" i="17"/>
  <c r="T581" i="17" s="1"/>
  <c r="R582" i="17"/>
  <c r="T582" i="17" s="1"/>
  <c r="R583" i="17"/>
  <c r="T583" i="17" s="1"/>
  <c r="R584" i="17"/>
  <c r="T584" i="17" s="1"/>
  <c r="R585" i="17"/>
  <c r="T585" i="17" s="1"/>
  <c r="R586" i="17"/>
  <c r="T586" i="17" s="1"/>
  <c r="R587" i="17"/>
  <c r="T587" i="17" s="1"/>
  <c r="R588" i="17"/>
  <c r="T588" i="17" s="1"/>
  <c r="R589" i="17"/>
  <c r="T589" i="17" s="1"/>
  <c r="R590" i="17"/>
  <c r="T590" i="17" s="1"/>
  <c r="R591" i="17"/>
  <c r="T591" i="17" s="1"/>
  <c r="R592" i="17"/>
  <c r="T592" i="17" s="1"/>
  <c r="R593" i="17"/>
  <c r="T593" i="17" s="1"/>
  <c r="R594" i="17"/>
  <c r="T594" i="17" s="1"/>
  <c r="R595" i="17"/>
  <c r="T595" i="17" s="1"/>
  <c r="R596" i="17"/>
  <c r="T596" i="17" s="1"/>
  <c r="R597" i="17"/>
  <c r="T597" i="17" s="1"/>
  <c r="R598" i="17"/>
  <c r="T598" i="17" s="1"/>
  <c r="R599" i="17"/>
  <c r="T599" i="17" s="1"/>
  <c r="R600" i="17"/>
  <c r="T600" i="17" s="1"/>
  <c r="R601" i="17"/>
  <c r="T601" i="17" s="1"/>
  <c r="R602" i="17"/>
  <c r="T602" i="17" s="1"/>
  <c r="R603" i="17"/>
  <c r="T603" i="17" s="1"/>
  <c r="R604" i="17"/>
  <c r="T604" i="17" s="1"/>
  <c r="R605" i="17"/>
  <c r="T605" i="17" s="1"/>
  <c r="R606" i="17"/>
  <c r="T606" i="17" s="1"/>
  <c r="R607" i="17"/>
  <c r="T607" i="17" s="1"/>
  <c r="R608" i="17"/>
  <c r="T608" i="17" s="1"/>
  <c r="R609" i="17"/>
  <c r="T609" i="17" s="1"/>
  <c r="R610" i="17"/>
  <c r="T610" i="17" s="1"/>
  <c r="R611" i="17"/>
  <c r="T611" i="17" s="1"/>
  <c r="R612" i="17"/>
  <c r="T612" i="17" s="1"/>
  <c r="R613" i="17"/>
  <c r="T613" i="17" s="1"/>
  <c r="R614" i="17"/>
  <c r="T614" i="17" s="1"/>
  <c r="R615" i="17"/>
  <c r="T615" i="17" s="1"/>
  <c r="R616" i="17"/>
  <c r="T616" i="17" s="1"/>
  <c r="R617" i="17"/>
  <c r="T617" i="17" s="1"/>
  <c r="R618" i="17"/>
  <c r="T618" i="17" s="1"/>
  <c r="R619" i="17"/>
  <c r="T619" i="17" s="1"/>
  <c r="R620" i="17"/>
  <c r="T620" i="17" s="1"/>
  <c r="R621" i="17"/>
  <c r="T621" i="17" s="1"/>
  <c r="R623" i="17"/>
  <c r="T623" i="17" s="1"/>
  <c r="R624" i="17"/>
  <c r="T624" i="17" s="1"/>
  <c r="R625" i="17"/>
  <c r="T625" i="17" s="1"/>
  <c r="R626" i="17"/>
  <c r="T626" i="17" s="1"/>
  <c r="R627" i="17"/>
  <c r="T627" i="17" s="1"/>
  <c r="R628" i="17"/>
  <c r="T628" i="17" s="1"/>
  <c r="R631" i="17"/>
  <c r="T631" i="17" s="1"/>
  <c r="R632" i="17"/>
  <c r="T632" i="17" s="1"/>
  <c r="R633" i="17"/>
  <c r="T633" i="17" s="1"/>
  <c r="R634" i="17"/>
  <c r="T634" i="17" s="1"/>
  <c r="R635" i="17"/>
  <c r="T635" i="17" s="1"/>
  <c r="R636" i="17"/>
  <c r="T636" i="17" s="1"/>
  <c r="R637" i="17"/>
  <c r="T637" i="17" s="1"/>
  <c r="R638" i="17"/>
  <c r="T638" i="17" s="1"/>
  <c r="R639" i="17"/>
  <c r="T639" i="17" s="1"/>
  <c r="R640" i="17"/>
  <c r="T640" i="17" s="1"/>
  <c r="R641" i="17"/>
  <c r="T641" i="17" s="1"/>
  <c r="R642" i="17"/>
  <c r="T642" i="17" s="1"/>
  <c r="R643" i="17"/>
  <c r="T643" i="17" s="1"/>
  <c r="R644" i="17"/>
  <c r="T644" i="17" s="1"/>
  <c r="R645" i="17"/>
  <c r="T645" i="17" s="1"/>
  <c r="R646" i="17"/>
  <c r="T646" i="17" s="1"/>
  <c r="R647" i="17"/>
  <c r="T647" i="17" s="1"/>
  <c r="R648" i="17"/>
  <c r="T648" i="17" s="1"/>
  <c r="R649" i="17"/>
  <c r="T649" i="17" s="1"/>
  <c r="R650" i="17"/>
  <c r="T650" i="17" s="1"/>
  <c r="R651" i="17"/>
  <c r="T651" i="17" s="1"/>
  <c r="R652" i="17"/>
  <c r="T652" i="17" s="1"/>
  <c r="R653" i="17"/>
  <c r="T653" i="17" s="1"/>
  <c r="R654" i="17"/>
  <c r="T654" i="17" s="1"/>
  <c r="R655" i="17"/>
  <c r="T655" i="17" s="1"/>
  <c r="R656" i="17"/>
  <c r="T656" i="17" s="1"/>
  <c r="R657" i="17"/>
  <c r="T657" i="17" s="1"/>
  <c r="R658" i="17"/>
  <c r="T658" i="17" s="1"/>
  <c r="R659" i="17"/>
  <c r="T659" i="17" s="1"/>
  <c r="R660" i="17"/>
  <c r="T660" i="17" s="1"/>
  <c r="R661" i="17"/>
  <c r="T661" i="17" s="1"/>
  <c r="R662" i="17"/>
  <c r="T662" i="17" s="1"/>
  <c r="R663" i="17"/>
  <c r="T663" i="17" s="1"/>
  <c r="R664" i="17"/>
  <c r="T664" i="17" s="1"/>
  <c r="R665" i="17"/>
  <c r="T665" i="17" s="1"/>
  <c r="R666" i="17"/>
  <c r="T666" i="17" s="1"/>
  <c r="R667" i="17"/>
  <c r="T667" i="17" s="1"/>
  <c r="R668" i="17"/>
  <c r="T668" i="17" s="1"/>
  <c r="R669" i="17"/>
  <c r="T669" i="17" s="1"/>
  <c r="R670" i="17"/>
  <c r="T670" i="17" s="1"/>
  <c r="R671" i="17"/>
  <c r="T671" i="17" s="1"/>
  <c r="R672" i="17"/>
  <c r="T672" i="17" s="1"/>
  <c r="R673" i="17"/>
  <c r="T673" i="17" s="1"/>
  <c r="R674" i="17"/>
  <c r="T674" i="17" s="1"/>
  <c r="R675" i="17"/>
  <c r="T675" i="17" s="1"/>
  <c r="R676" i="17"/>
  <c r="T676" i="17" s="1"/>
  <c r="R677" i="17"/>
  <c r="T677" i="17" s="1"/>
  <c r="R678" i="17"/>
  <c r="T678" i="17" s="1"/>
  <c r="R679" i="17"/>
  <c r="T679" i="17" s="1"/>
  <c r="R680" i="17"/>
  <c r="T680" i="17" s="1"/>
  <c r="R681" i="17"/>
  <c r="T681" i="17" s="1"/>
  <c r="R682" i="17"/>
  <c r="T682" i="17" s="1"/>
  <c r="R683" i="17"/>
  <c r="T683" i="17" s="1"/>
  <c r="R684" i="17"/>
  <c r="T684" i="17" s="1"/>
  <c r="R685" i="17"/>
  <c r="T685" i="17" s="1"/>
  <c r="R686" i="17"/>
  <c r="T686" i="17" s="1"/>
  <c r="R687" i="17"/>
  <c r="T687" i="17" s="1"/>
  <c r="R688" i="17"/>
  <c r="T688" i="17" s="1"/>
  <c r="R689" i="17"/>
  <c r="T689" i="17" s="1"/>
  <c r="R690" i="17"/>
  <c r="T690" i="17" s="1"/>
  <c r="R691" i="17"/>
  <c r="T691" i="17" s="1"/>
  <c r="R692" i="17"/>
  <c r="T692" i="17" s="1"/>
  <c r="R693" i="17"/>
  <c r="T693" i="17" s="1"/>
  <c r="R694" i="17"/>
  <c r="T694" i="17" s="1"/>
  <c r="R695" i="17"/>
  <c r="T695" i="17" s="1"/>
  <c r="R696" i="17"/>
  <c r="T696" i="17" s="1"/>
  <c r="R697" i="17"/>
  <c r="T697" i="17" s="1"/>
  <c r="R698" i="17"/>
  <c r="T698" i="17" s="1"/>
  <c r="R699" i="17"/>
  <c r="T699" i="17" s="1"/>
  <c r="R700" i="17"/>
  <c r="T700" i="17" s="1"/>
  <c r="R701" i="17"/>
  <c r="T701" i="17" s="1"/>
  <c r="R702" i="17"/>
  <c r="T702" i="17" s="1"/>
  <c r="R703" i="17"/>
  <c r="T703" i="17" s="1"/>
  <c r="R704" i="17"/>
  <c r="T704" i="17" s="1"/>
  <c r="R705" i="17"/>
  <c r="T705" i="17" s="1"/>
  <c r="R706" i="17"/>
  <c r="T706" i="17" s="1"/>
  <c r="R707" i="17"/>
  <c r="T707" i="17" s="1"/>
  <c r="R708" i="17"/>
  <c r="T708" i="17" s="1"/>
  <c r="R709" i="17"/>
  <c r="T709" i="17" s="1"/>
  <c r="R710" i="17"/>
  <c r="T710" i="17" s="1"/>
  <c r="R711" i="17"/>
  <c r="T711" i="17" s="1"/>
  <c r="R712" i="17"/>
  <c r="T712" i="17" s="1"/>
  <c r="R713" i="17"/>
  <c r="T713" i="17" s="1"/>
  <c r="R714" i="17"/>
  <c r="T714" i="17" s="1"/>
  <c r="R715" i="17"/>
  <c r="T715" i="17" s="1"/>
  <c r="R716" i="17"/>
  <c r="T716" i="17" s="1"/>
  <c r="R717" i="17"/>
  <c r="T717" i="17" s="1"/>
  <c r="R718" i="17"/>
  <c r="T718" i="17" s="1"/>
  <c r="R719" i="17"/>
  <c r="T719" i="17" s="1"/>
  <c r="R720" i="17"/>
  <c r="T720" i="17" s="1"/>
  <c r="R721" i="17"/>
  <c r="T721" i="17" s="1"/>
  <c r="R722" i="17"/>
  <c r="T722" i="17" s="1"/>
  <c r="R723" i="17"/>
  <c r="T723" i="17" s="1"/>
  <c r="R724" i="17"/>
  <c r="T724" i="17" s="1"/>
  <c r="R725" i="17"/>
  <c r="T725" i="17" s="1"/>
  <c r="R726" i="17"/>
  <c r="T726" i="17" s="1"/>
  <c r="R727" i="17"/>
  <c r="T727" i="17" s="1"/>
  <c r="R728" i="17"/>
  <c r="T728" i="17" s="1"/>
  <c r="R729" i="17"/>
  <c r="T729" i="17" s="1"/>
  <c r="R730" i="17"/>
  <c r="T730" i="17" s="1"/>
  <c r="R731" i="17"/>
  <c r="T731" i="17" s="1"/>
  <c r="R732" i="17"/>
  <c r="T732" i="17" s="1"/>
  <c r="R733" i="17"/>
  <c r="T733" i="17" s="1"/>
  <c r="R734" i="17"/>
  <c r="T734" i="17" s="1"/>
  <c r="R735" i="17"/>
  <c r="T735" i="17" s="1"/>
  <c r="R736" i="17"/>
  <c r="T736" i="17" s="1"/>
  <c r="R737" i="17"/>
  <c r="T737" i="17" s="1"/>
  <c r="R738" i="17"/>
  <c r="T738" i="17" s="1"/>
  <c r="R739" i="17"/>
  <c r="T739" i="17" s="1"/>
  <c r="R740" i="17"/>
  <c r="T740" i="17" s="1"/>
  <c r="R741" i="17"/>
  <c r="T741" i="17" s="1"/>
  <c r="R742" i="17"/>
  <c r="T742" i="17" s="1"/>
  <c r="R743" i="17"/>
  <c r="T743" i="17" s="1"/>
  <c r="R744" i="17"/>
  <c r="T744" i="17" s="1"/>
  <c r="R745" i="17"/>
  <c r="T745" i="17" s="1"/>
  <c r="R746" i="17"/>
  <c r="T746" i="17" s="1"/>
  <c r="R747" i="17"/>
  <c r="T747" i="17" s="1"/>
  <c r="R748" i="17"/>
  <c r="T748" i="17" s="1"/>
  <c r="R749" i="17"/>
  <c r="T749" i="17" s="1"/>
  <c r="R750" i="17"/>
  <c r="T750" i="17" s="1"/>
  <c r="R751" i="17"/>
  <c r="T751" i="17" s="1"/>
  <c r="R752" i="17"/>
  <c r="T752" i="17" s="1"/>
  <c r="R753" i="17"/>
  <c r="T753" i="17" s="1"/>
  <c r="R755" i="17"/>
  <c r="T755" i="17" s="1"/>
  <c r="R756" i="17"/>
  <c r="T756" i="17" s="1"/>
  <c r="R757" i="17"/>
  <c r="T757" i="17" s="1"/>
  <c r="R758" i="17"/>
  <c r="T758" i="17" s="1"/>
  <c r="R759" i="17"/>
  <c r="T759" i="17" s="1"/>
  <c r="R760" i="17"/>
  <c r="T760" i="17" s="1"/>
  <c r="R761" i="17"/>
  <c r="T761" i="17" s="1"/>
  <c r="R762" i="17"/>
  <c r="T762" i="17" s="1"/>
  <c r="R763" i="17"/>
  <c r="T763" i="17" s="1"/>
  <c r="R764" i="17"/>
  <c r="T764" i="17" s="1"/>
  <c r="R765" i="17"/>
  <c r="T765" i="17" s="1"/>
  <c r="R766" i="17"/>
  <c r="T766" i="17" s="1"/>
  <c r="R767" i="17"/>
  <c r="T767" i="17" s="1"/>
  <c r="R768" i="17"/>
  <c r="T768" i="17" s="1"/>
  <c r="R769" i="17"/>
  <c r="T769" i="17" s="1"/>
  <c r="R770" i="17"/>
  <c r="T770" i="17" s="1"/>
  <c r="R771" i="17"/>
  <c r="T771" i="17" s="1"/>
  <c r="R772" i="17"/>
  <c r="T772" i="17" s="1"/>
  <c r="R773" i="17"/>
  <c r="T773" i="17" s="1"/>
  <c r="R774" i="17"/>
  <c r="T774" i="17" s="1"/>
  <c r="R775" i="17"/>
  <c r="T775" i="17" s="1"/>
  <c r="R776" i="17"/>
  <c r="T776" i="17" s="1"/>
  <c r="R777" i="17"/>
  <c r="T777" i="17" s="1"/>
  <c r="R778" i="17"/>
  <c r="T778" i="17" s="1"/>
  <c r="R779" i="17"/>
  <c r="T779" i="17" s="1"/>
  <c r="R780" i="17"/>
  <c r="T780" i="17" s="1"/>
  <c r="R781" i="17"/>
  <c r="T781" i="17" s="1"/>
  <c r="R782" i="17"/>
  <c r="T782" i="17" s="1"/>
  <c r="R783" i="17"/>
  <c r="T783" i="17" s="1"/>
  <c r="R784" i="17"/>
  <c r="T784" i="17" s="1"/>
  <c r="R785" i="17"/>
  <c r="T785" i="17" s="1"/>
  <c r="R786" i="17"/>
  <c r="T786" i="17" s="1"/>
  <c r="R787" i="17"/>
  <c r="T787" i="17" s="1"/>
  <c r="R788" i="17"/>
  <c r="T788" i="17" s="1"/>
  <c r="R789" i="17"/>
  <c r="T789" i="17" s="1"/>
  <c r="R790" i="17"/>
  <c r="T790" i="17" s="1"/>
  <c r="S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N791" i="14"/>
  <c r="O791" i="14"/>
  <c r="J791" i="14"/>
  <c r="K791" i="14"/>
  <c r="L791" i="14"/>
  <c r="M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N790" i="14"/>
  <c r="O790" i="14"/>
  <c r="J790" i="14"/>
  <c r="K790" i="14"/>
  <c r="L790" i="14"/>
  <c r="M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AE783" i="17" s="1" a="1"/>
  <c r="AE783" i="17" s="1"/>
  <c r="I782" i="14"/>
  <c r="AE782" i="17" s="1" a="1"/>
  <c r="AE782" i="17" s="1"/>
  <c r="I781" i="14"/>
  <c r="AE781" i="17" s="1" a="1"/>
  <c r="AE781" i="17" s="1"/>
  <c r="I780" i="14"/>
  <c r="AE780" i="17" s="1" a="1"/>
  <c r="AE780" i="17" s="1"/>
  <c r="I779" i="14"/>
  <c r="AE779" i="17" s="1" a="1"/>
  <c r="AE779" i="17" s="1"/>
  <c r="I778" i="14"/>
  <c r="AE778" i="17" s="1" a="1"/>
  <c r="AE778" i="17" s="1"/>
  <c r="I777" i="14"/>
  <c r="AE777" i="17" s="1" a="1"/>
  <c r="AE777" i="17" s="1"/>
  <c r="I776" i="14"/>
  <c r="AE776" i="17" s="1" a="1"/>
  <c r="AE776" i="17" s="1"/>
  <c r="I775" i="14"/>
  <c r="AE775" i="17" s="1" a="1"/>
  <c r="AE775" i="17" s="1"/>
  <c r="I774" i="14"/>
  <c r="AE774" i="17" s="1" a="1"/>
  <c r="AE774" i="17" s="1"/>
  <c r="I773" i="14"/>
  <c r="AE773" i="17" s="1" a="1"/>
  <c r="AE773" i="17" s="1"/>
  <c r="I772" i="14"/>
  <c r="AE772" i="17" s="1" a="1"/>
  <c r="AE772" i="17" s="1"/>
  <c r="I771" i="14"/>
  <c r="AE771" i="17" s="1" a="1"/>
  <c r="AE771" i="17" s="1"/>
  <c r="I770" i="14"/>
  <c r="AE770" i="17" s="1" a="1"/>
  <c r="AE770" i="17" s="1"/>
  <c r="I769" i="14"/>
  <c r="AE769" i="17" s="1" a="1"/>
  <c r="AE769" i="17" s="1"/>
  <c r="I768" i="14"/>
  <c r="AE768" i="17" s="1" a="1"/>
  <c r="AE768" i="17" s="1"/>
  <c r="I767" i="14"/>
  <c r="AE767" i="17" s="1" a="1"/>
  <c r="AE767" i="17" s="1"/>
  <c r="I766" i="14"/>
  <c r="AE766" i="17" s="1" a="1"/>
  <c r="AE766" i="17" s="1"/>
  <c r="I765" i="14"/>
  <c r="AE765" i="17" s="1" a="1"/>
  <c r="AE765" i="17" s="1"/>
  <c r="I764" i="14"/>
  <c r="AE764" i="17" s="1" a="1"/>
  <c r="AE764" i="17" s="1"/>
  <c r="I763" i="14"/>
  <c r="AE763" i="17" s="1" a="1"/>
  <c r="AE763" i="17" s="1"/>
  <c r="I762" i="14"/>
  <c r="AE762" i="17" s="1" a="1"/>
  <c r="AE762" i="17" s="1"/>
  <c r="I761" i="14"/>
  <c r="AE761" i="17" s="1" a="1"/>
  <c r="AE761" i="17" s="1"/>
  <c r="I760" i="14"/>
  <c r="AE760" i="17" s="1" a="1"/>
  <c r="AE760" i="17" s="1"/>
  <c r="I759" i="14"/>
  <c r="AE759" i="17" s="1" a="1"/>
  <c r="AE759" i="17" s="1"/>
  <c r="I758" i="14"/>
  <c r="AE758" i="17" s="1" a="1"/>
  <c r="AE758" i="17" s="1"/>
  <c r="I757" i="14"/>
  <c r="AE757" i="17" s="1" a="1"/>
  <c r="AE757" i="17" s="1"/>
  <c r="I756" i="14"/>
  <c r="AE756" i="17" s="1" a="1"/>
  <c r="AE756" i="17" s="1"/>
  <c r="I755" i="14"/>
  <c r="AE755" i="17" s="1" a="1"/>
  <c r="AE755" i="17" s="1"/>
  <c r="I754" i="14"/>
  <c r="AE754" i="17" s="1" a="1"/>
  <c r="AE754" i="17" s="1"/>
  <c r="I753" i="14"/>
  <c r="AE753" i="17" s="1" a="1"/>
  <c r="AE753" i="17" s="1"/>
  <c r="I752" i="14"/>
  <c r="AE752" i="17" s="1" a="1"/>
  <c r="AE752" i="17" s="1"/>
  <c r="I751" i="14"/>
  <c r="AE751" i="17" s="1" a="1"/>
  <c r="AE751" i="17" s="1"/>
  <c r="I750" i="14"/>
  <c r="AE750" i="17" s="1" a="1"/>
  <c r="AE750" i="17" s="1"/>
  <c r="I749" i="14"/>
  <c r="AE749" i="17" s="1" a="1"/>
  <c r="AE749" i="17" s="1"/>
  <c r="I748" i="14"/>
  <c r="AE748" i="17" s="1" a="1"/>
  <c r="AE748" i="17" s="1"/>
  <c r="I747" i="14"/>
  <c r="AE747" i="17" s="1" a="1"/>
  <c r="AE747" i="17" s="1"/>
  <c r="I746" i="14"/>
  <c r="AE746" i="17" s="1" a="1"/>
  <c r="AE746" i="17" s="1"/>
  <c r="I745" i="14"/>
  <c r="AE745" i="17" s="1" a="1"/>
  <c r="AE745" i="17" s="1"/>
  <c r="I744" i="14"/>
  <c r="AE744" i="17" s="1" a="1"/>
  <c r="AE744" i="17" s="1"/>
  <c r="I743" i="14"/>
  <c r="AE743" i="17" s="1" a="1"/>
  <c r="AE743" i="17" s="1"/>
  <c r="I742" i="14"/>
  <c r="AE742" i="17" s="1" a="1"/>
  <c r="AE742" i="17" s="1"/>
  <c r="I741" i="14"/>
  <c r="AE741" i="17" s="1" a="1"/>
  <c r="AE741" i="17" s="1"/>
  <c r="I740" i="14"/>
  <c r="AE740" i="17" s="1" a="1"/>
  <c r="AE740" i="17" s="1"/>
  <c r="I739" i="14"/>
  <c r="AE739" i="17" s="1" a="1"/>
  <c r="AE739" i="17" s="1"/>
  <c r="I738" i="14"/>
  <c r="AE738" i="17" s="1" a="1"/>
  <c r="AE738" i="17" s="1"/>
  <c r="I737" i="14"/>
  <c r="AE737" i="17" s="1" a="1"/>
  <c r="AE737" i="17" s="1"/>
  <c r="I736" i="14"/>
  <c r="AE736" i="17" s="1" a="1"/>
  <c r="AE736" i="17" s="1"/>
  <c r="I735" i="14"/>
  <c r="AE735" i="17" s="1" a="1"/>
  <c r="AE735" i="17" s="1"/>
  <c r="I734" i="14"/>
  <c r="AE734" i="17" s="1" a="1"/>
  <c r="AE734" i="17" s="1"/>
  <c r="I733" i="14"/>
  <c r="AE733" i="17" s="1" a="1"/>
  <c r="AE733" i="17" s="1"/>
  <c r="I732" i="14"/>
  <c r="AE732" i="17" s="1" a="1"/>
  <c r="AE732" i="17" s="1"/>
  <c r="I731" i="14"/>
  <c r="AE731" i="17" s="1" a="1"/>
  <c r="AE731" i="17" s="1"/>
  <c r="I730" i="14"/>
  <c r="AE730" i="17" s="1" a="1"/>
  <c r="AE730" i="17" s="1"/>
  <c r="I729" i="14"/>
  <c r="I728" i="14"/>
  <c r="I727" i="14"/>
  <c r="AE727" i="17" s="1" a="1"/>
  <c r="AE727" i="17" s="1"/>
  <c r="I726" i="14"/>
  <c r="I725" i="14"/>
  <c r="I724" i="14"/>
  <c r="AE724" i="17" s="1" a="1"/>
  <c r="AE724" i="17" s="1"/>
  <c r="I723" i="14"/>
  <c r="AE723" i="17" s="1" a="1"/>
  <c r="AE723" i="17" s="1"/>
  <c r="I722" i="14"/>
  <c r="AE722" i="17" s="1" a="1"/>
  <c r="AE722" i="17" s="1"/>
  <c r="I721" i="14"/>
  <c r="AE721" i="17" s="1" a="1"/>
  <c r="AE721" i="17" s="1"/>
  <c r="I720" i="14"/>
  <c r="AE720" i="17" s="1" a="1"/>
  <c r="AE720" i="17" s="1"/>
  <c r="I719" i="14"/>
  <c r="AE719" i="17" s="1" a="1"/>
  <c r="AE719" i="17" s="1"/>
  <c r="I718" i="14"/>
  <c r="AE718" i="17" s="1" a="1"/>
  <c r="AE718" i="17" s="1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E5" i="19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602" i="14"/>
  <c r="M603" i="14"/>
  <c r="M604" i="14"/>
  <c r="M605" i="14"/>
  <c r="M606" i="14"/>
  <c r="M607" i="14"/>
  <c r="M608" i="14"/>
  <c r="M609" i="14"/>
  <c r="M610" i="14"/>
  <c r="M611" i="14"/>
  <c r="M612" i="14"/>
  <c r="M613" i="14"/>
  <c r="M614" i="14"/>
  <c r="M615" i="14"/>
  <c r="M616" i="14"/>
  <c r="M617" i="14"/>
  <c r="M618" i="14"/>
  <c r="M619" i="14"/>
  <c r="M620" i="14"/>
  <c r="M621" i="14"/>
  <c r="M622" i="14"/>
  <c r="M623" i="14"/>
  <c r="M624" i="14"/>
  <c r="M625" i="14"/>
  <c r="M626" i="14"/>
  <c r="M627" i="14"/>
  <c r="M628" i="14"/>
  <c r="M629" i="14"/>
  <c r="M630" i="14"/>
  <c r="M631" i="14"/>
  <c r="M632" i="14"/>
  <c r="M633" i="14"/>
  <c r="M634" i="14"/>
  <c r="M635" i="14"/>
  <c r="M636" i="14"/>
  <c r="M637" i="14"/>
  <c r="M638" i="14"/>
  <c r="M639" i="14"/>
  <c r="M640" i="14"/>
  <c r="M641" i="14"/>
  <c r="M642" i="14"/>
  <c r="M643" i="14"/>
  <c r="M644" i="14"/>
  <c r="M645" i="14"/>
  <c r="M646" i="14"/>
  <c r="M647" i="14"/>
  <c r="M648" i="14"/>
  <c r="M649" i="14"/>
  <c r="M650" i="14"/>
  <c r="M651" i="14"/>
  <c r="M652" i="14"/>
  <c r="M653" i="14"/>
  <c r="M654" i="14"/>
  <c r="M655" i="14"/>
  <c r="M656" i="14"/>
  <c r="M657" i="14"/>
  <c r="M658" i="14"/>
  <c r="M659" i="14"/>
  <c r="M660" i="14"/>
  <c r="M661" i="14"/>
  <c r="M662" i="14"/>
  <c r="M663" i="14"/>
  <c r="M664" i="14"/>
  <c r="M665" i="14"/>
  <c r="M666" i="14"/>
  <c r="M667" i="14"/>
  <c r="M668" i="14"/>
  <c r="M669" i="14"/>
  <c r="M670" i="14"/>
  <c r="M671" i="14"/>
  <c r="M672" i="14"/>
  <c r="M673" i="14"/>
  <c r="M674" i="14"/>
  <c r="M675" i="14"/>
  <c r="M676" i="14"/>
  <c r="M677" i="14"/>
  <c r="M678" i="14"/>
  <c r="M679" i="14"/>
  <c r="M680" i="14"/>
  <c r="M681" i="14"/>
  <c r="M682" i="14"/>
  <c r="M683" i="14"/>
  <c r="M684" i="14"/>
  <c r="M685" i="14"/>
  <c r="M686" i="14"/>
  <c r="M687" i="14"/>
  <c r="M688" i="14"/>
  <c r="M689" i="14"/>
  <c r="M690" i="14"/>
  <c r="M691" i="14"/>
  <c r="M692" i="14"/>
  <c r="M693" i="14"/>
  <c r="M694" i="14"/>
  <c r="M695" i="14"/>
  <c r="M696" i="14"/>
  <c r="M697" i="14"/>
  <c r="M698" i="14"/>
  <c r="M699" i="14"/>
  <c r="M700" i="14"/>
  <c r="M701" i="14"/>
  <c r="M702" i="14"/>
  <c r="M703" i="14"/>
  <c r="M704" i="14"/>
  <c r="M705" i="14"/>
  <c r="M706" i="14"/>
  <c r="M707" i="14"/>
  <c r="M708" i="14"/>
  <c r="M709" i="14"/>
  <c r="M710" i="14"/>
  <c r="M711" i="14"/>
  <c r="M712" i="14"/>
  <c r="M713" i="14"/>
  <c r="M714" i="14"/>
  <c r="M715" i="14"/>
  <c r="M716" i="14"/>
  <c r="M717" i="14"/>
  <c r="M718" i="14"/>
  <c r="M719" i="14"/>
  <c r="M720" i="14"/>
  <c r="M721" i="14"/>
  <c r="M722" i="14"/>
  <c r="M723" i="14"/>
  <c r="M724" i="14"/>
  <c r="M725" i="14"/>
  <c r="M726" i="14"/>
  <c r="M727" i="14"/>
  <c r="M728" i="14"/>
  <c r="M729" i="14"/>
  <c r="M730" i="14"/>
  <c r="M731" i="14"/>
  <c r="M732" i="14"/>
  <c r="M733" i="14"/>
  <c r="M734" i="14"/>
  <c r="M735" i="14"/>
  <c r="M736" i="14"/>
  <c r="M737" i="14"/>
  <c r="M738" i="14"/>
  <c r="M739" i="14"/>
  <c r="M740" i="14"/>
  <c r="M741" i="14"/>
  <c r="M742" i="14"/>
  <c r="M743" i="14"/>
  <c r="M744" i="14"/>
  <c r="M745" i="14"/>
  <c r="M746" i="14"/>
  <c r="M747" i="14"/>
  <c r="M748" i="14"/>
  <c r="M749" i="14"/>
  <c r="M750" i="14"/>
  <c r="M751" i="14"/>
  <c r="M752" i="14"/>
  <c r="M753" i="14"/>
  <c r="M754" i="14"/>
  <c r="M755" i="14"/>
  <c r="M756" i="14"/>
  <c r="M757" i="14"/>
  <c r="M758" i="14"/>
  <c r="M759" i="14"/>
  <c r="M760" i="14"/>
  <c r="M761" i="14"/>
  <c r="M762" i="14"/>
  <c r="M763" i="14"/>
  <c r="M764" i="14"/>
  <c r="M765" i="14"/>
  <c r="M766" i="14"/>
  <c r="M767" i="14"/>
  <c r="M768" i="14"/>
  <c r="M769" i="14"/>
  <c r="M770" i="14"/>
  <c r="M771" i="14"/>
  <c r="M772" i="14"/>
  <c r="M773" i="14"/>
  <c r="M774" i="14"/>
  <c r="M775" i="14"/>
  <c r="M776" i="14"/>
  <c r="M777" i="14"/>
  <c r="M778" i="14"/>
  <c r="M779" i="14"/>
  <c r="M780" i="14"/>
  <c r="M781" i="14"/>
  <c r="M782" i="14"/>
  <c r="M783" i="14"/>
  <c r="M784" i="14"/>
  <c r="M785" i="14"/>
  <c r="M786" i="14"/>
  <c r="M787" i="14"/>
  <c r="M788" i="14"/>
  <c r="M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E804" i="17" l="1" a="1"/>
  <c r="AE804" i="17" s="1"/>
  <c r="H803" i="14"/>
  <c r="E803" i="19"/>
  <c r="AE803" i="17" a="1"/>
  <c r="AE803" i="17" s="1"/>
  <c r="H802" i="14"/>
  <c r="E802" i="19"/>
  <c r="AE729" i="17" a="1"/>
  <c r="AE729" i="17" s="1"/>
  <c r="C729" i="24" s="1"/>
  <c r="AE728" i="17" a="1"/>
  <c r="AE728" i="17" s="1"/>
  <c r="C728" i="24" s="1"/>
  <c r="AE801" i="17" a="1"/>
  <c r="AE801" i="17" s="1"/>
  <c r="H801" i="14"/>
  <c r="E801" i="19"/>
  <c r="AE726" i="17" a="1"/>
  <c r="AE726" i="17" s="1"/>
  <c r="C726" i="24" s="1"/>
  <c r="AE725" i="17" a="1"/>
  <c r="AE725" i="17" s="1"/>
  <c r="C725" i="24" s="1"/>
  <c r="AE797" i="17" a="1"/>
  <c r="AE797" i="17" s="1"/>
  <c r="H800" i="14"/>
  <c r="AE800" i="17" a="1"/>
  <c r="AE800" i="17" s="1"/>
  <c r="AE791" i="17" a="1"/>
  <c r="AE791" i="17" s="1"/>
  <c r="C791" i="24" s="1"/>
  <c r="AE785" i="17" a="1"/>
  <c r="AE785" i="17" s="1"/>
  <c r="C785" i="24" s="1"/>
  <c r="AE790" i="17" a="1"/>
  <c r="AE790" i="17" s="1"/>
  <c r="C790" i="24" s="1"/>
  <c r="AE784" i="17" a="1"/>
  <c r="AE784" i="17" s="1"/>
  <c r="C784" i="24" s="1"/>
  <c r="AE788" i="17" a="1"/>
  <c r="AE788" i="17" s="1"/>
  <c r="C788" i="24" s="1"/>
  <c r="AE787" i="17" a="1"/>
  <c r="AE787" i="17" s="1"/>
  <c r="C787" i="24" s="1"/>
  <c r="AE789" i="17" a="1"/>
  <c r="AE789" i="17" s="1"/>
  <c r="C789" i="24" s="1"/>
  <c r="AE786" i="17" a="1"/>
  <c r="AE786" i="17" s="1"/>
  <c r="C786" i="24" s="1"/>
  <c r="H799" i="14"/>
  <c r="E799" i="19"/>
  <c r="AE799" i="17" a="1"/>
  <c r="AE799" i="17" s="1"/>
  <c r="H798" i="14"/>
  <c r="E798" i="19"/>
  <c r="AE798" i="17" a="1"/>
  <c r="AE798" i="17" s="1"/>
  <c r="H797" i="14"/>
  <c r="E797" i="19"/>
  <c r="E798" i="14"/>
  <c r="AE792" i="17" a="1"/>
  <c r="AE792" i="17" s="1"/>
  <c r="C792" i="24" s="1"/>
  <c r="AE695" i="17" a="1"/>
  <c r="AE695" i="17" s="1"/>
  <c r="C695" i="24" s="1"/>
  <c r="AE696" i="17" a="1"/>
  <c r="AE696" i="17" s="1"/>
  <c r="C696" i="24" s="1"/>
  <c r="AE694" i="17" a="1"/>
  <c r="AE694" i="17" s="1"/>
  <c r="C694" i="24" s="1"/>
  <c r="AE693" i="17" a="1"/>
  <c r="AE693" i="17" s="1"/>
  <c r="C693" i="24" s="1"/>
  <c r="AE692" i="17" a="1"/>
  <c r="AE692" i="17" s="1"/>
  <c r="C692" i="24" s="1"/>
  <c r="AE691" i="17" a="1"/>
  <c r="AE691" i="17" s="1"/>
  <c r="C691" i="24" s="1"/>
  <c r="H796" i="14"/>
  <c r="E796" i="19"/>
  <c r="AE690" i="17" a="1"/>
  <c r="AE690" i="17" s="1"/>
  <c r="C690" i="24" s="1"/>
  <c r="AE687" i="17" a="1"/>
  <c r="AE687" i="17" s="1"/>
  <c r="C687" i="24" s="1"/>
  <c r="AE686" i="17" a="1"/>
  <c r="AE686" i="17" s="1"/>
  <c r="C686" i="24" s="1"/>
  <c r="AE685" i="17" a="1"/>
  <c r="AE685" i="17" s="1"/>
  <c r="C685" i="24" s="1"/>
  <c r="AE689" i="17" a="1"/>
  <c r="AE689" i="17" s="1"/>
  <c r="C689" i="24" s="1"/>
  <c r="AE688" i="17" a="1"/>
  <c r="AE688" i="17" s="1"/>
  <c r="C688" i="24" s="1"/>
  <c r="AE795" i="17" a="1"/>
  <c r="AE795" i="17" s="1"/>
  <c r="H795" i="14"/>
  <c r="E795" i="19"/>
  <c r="H793" i="14"/>
  <c r="E793" i="19"/>
  <c r="AE683" i="17" a="1"/>
  <c r="AE683" i="17" s="1"/>
  <c r="C683" i="24" s="1"/>
  <c r="AE663" i="17" a="1"/>
  <c r="AE663" i="17" s="1"/>
  <c r="C663" i="24" s="1"/>
  <c r="AE662" i="17" a="1"/>
  <c r="AE662" i="17" s="1"/>
  <c r="C662" i="24" s="1"/>
  <c r="AE661" i="17" a="1"/>
  <c r="AE661" i="17" s="1"/>
  <c r="C661" i="24" s="1"/>
  <c r="AE659" i="17" a="1"/>
  <c r="AE659" i="17" s="1"/>
  <c r="C659" i="24" s="1"/>
  <c r="AE658" i="17" a="1"/>
  <c r="AE658" i="17" s="1"/>
  <c r="C658" i="24" s="1"/>
  <c r="AE657" i="17" a="1"/>
  <c r="AE657" i="17" s="1"/>
  <c r="C657" i="24" s="1"/>
  <c r="AE656" i="17" a="1"/>
  <c r="AE656" i="17" s="1"/>
  <c r="C656" i="24" s="1"/>
  <c r="AE655" i="17" a="1"/>
  <c r="AE655" i="17" s="1"/>
  <c r="C655" i="24" s="1"/>
  <c r="AE654" i="17" a="1"/>
  <c r="AE654" i="17" s="1"/>
  <c r="C654" i="24" s="1"/>
  <c r="AE684" i="17" a="1"/>
  <c r="AE684" i="17" s="1"/>
  <c r="C684" i="24" s="1"/>
  <c r="AE667" i="17" a="1"/>
  <c r="AE667" i="17" s="1"/>
  <c r="C667" i="24" s="1"/>
  <c r="AE666" i="17" a="1"/>
  <c r="AE666" i="17" s="1"/>
  <c r="C666" i="24" s="1"/>
  <c r="AE665" i="17" a="1"/>
  <c r="AE665" i="17" s="1"/>
  <c r="C665" i="24" s="1"/>
  <c r="AE664" i="17" a="1"/>
  <c r="AE664" i="17" s="1"/>
  <c r="C664" i="24" s="1"/>
  <c r="AE660" i="17" a="1"/>
  <c r="AE660" i="17" s="1"/>
  <c r="C660" i="24" s="1"/>
  <c r="AE682" i="17" a="1"/>
  <c r="AE682" i="17" s="1"/>
  <c r="C682" i="24" s="1"/>
  <c r="AE674" i="17" a="1"/>
  <c r="AE674" i="17" s="1"/>
  <c r="C674" i="24" s="1"/>
  <c r="AE681" i="17" a="1"/>
  <c r="AE681" i="17" s="1"/>
  <c r="C681" i="24" s="1"/>
  <c r="AE675" i="17" a="1"/>
  <c r="AE675" i="17" s="1"/>
  <c r="C675" i="24" s="1"/>
  <c r="AE680" i="17" a="1"/>
  <c r="AE680" i="17" s="1"/>
  <c r="C680" i="24" s="1"/>
  <c r="AE679" i="17" a="1"/>
  <c r="AE679" i="17" s="1"/>
  <c r="C679" i="24" s="1"/>
  <c r="AE678" i="17" a="1"/>
  <c r="AE678" i="17" s="1"/>
  <c r="C678" i="24" s="1"/>
  <c r="AE677" i="17" a="1"/>
  <c r="AE677" i="17" s="1"/>
  <c r="C677" i="24" s="1"/>
  <c r="AE676" i="17" a="1"/>
  <c r="AE676" i="17" s="1"/>
  <c r="C676" i="24" s="1"/>
  <c r="AE653" i="17" a="1"/>
  <c r="AE653" i="17" s="1"/>
  <c r="C653" i="24" s="1"/>
  <c r="AE652" i="17" a="1"/>
  <c r="AE652" i="17" s="1"/>
  <c r="C652" i="24" s="1"/>
  <c r="AE651" i="17" a="1"/>
  <c r="AE651" i="17" s="1"/>
  <c r="C651" i="24" s="1"/>
  <c r="AE650" i="17" a="1"/>
  <c r="AE650" i="17" s="1"/>
  <c r="C650" i="24" s="1"/>
  <c r="AE649" i="17" a="1"/>
  <c r="AE649" i="17" s="1"/>
  <c r="C649" i="24" s="1"/>
  <c r="AE648" i="17" a="1"/>
  <c r="AE648" i="17" s="1"/>
  <c r="C648" i="24" s="1"/>
  <c r="AE647" i="17" a="1"/>
  <c r="AE647" i="17" s="1"/>
  <c r="C647" i="24" s="1"/>
  <c r="AE644" i="17" a="1"/>
  <c r="AE644" i="17" s="1"/>
  <c r="C644" i="24" s="1"/>
  <c r="AE643" i="17" a="1"/>
  <c r="AE643" i="17" s="1"/>
  <c r="C643" i="24" s="1"/>
  <c r="AE642" i="17" a="1"/>
  <c r="AE642" i="17" s="1"/>
  <c r="C642" i="24" s="1"/>
  <c r="AE641" i="17" a="1"/>
  <c r="AE641" i="17" s="1"/>
  <c r="C641" i="24" s="1"/>
  <c r="AE640" i="17" a="1"/>
  <c r="AE640" i="17" s="1"/>
  <c r="C640" i="24" s="1"/>
  <c r="AE639" i="17" a="1"/>
  <c r="AE639" i="17" s="1"/>
  <c r="C639" i="24" s="1"/>
  <c r="AE638" i="17" a="1"/>
  <c r="AE638" i="17" s="1"/>
  <c r="C638" i="24" s="1"/>
  <c r="AE637" i="17" a="1"/>
  <c r="AE637" i="17" s="1"/>
  <c r="C637" i="24" s="1"/>
  <c r="AE636" i="17" a="1"/>
  <c r="AE636" i="17" s="1"/>
  <c r="C636" i="24" s="1"/>
  <c r="AE587" i="17" a="1"/>
  <c r="AE587" i="17" s="1"/>
  <c r="C587" i="24" s="1"/>
  <c r="AE586" i="17" a="1"/>
  <c r="AE586" i="17" s="1"/>
  <c r="C586" i="24" s="1"/>
  <c r="AE585" i="17" a="1"/>
  <c r="AE585" i="17" s="1"/>
  <c r="C585" i="24" s="1"/>
  <c r="AE584" i="17" a="1"/>
  <c r="AE584" i="17" s="1"/>
  <c r="C584" i="24" s="1"/>
  <c r="AE583" i="17" a="1"/>
  <c r="AE583" i="17" s="1"/>
  <c r="C583" i="24" s="1"/>
  <c r="AE582" i="17" a="1"/>
  <c r="AE582" i="17" s="1"/>
  <c r="C582" i="24" s="1"/>
  <c r="AE581" i="17" a="1"/>
  <c r="AE581" i="17" s="1"/>
  <c r="C581" i="24" s="1"/>
  <c r="AE580" i="17" a="1"/>
  <c r="AE580" i="17" s="1"/>
  <c r="C580" i="24" s="1"/>
  <c r="AE579" i="17" a="1"/>
  <c r="AE579" i="17" s="1"/>
  <c r="C579" i="24" s="1"/>
  <c r="AE578" i="17" a="1"/>
  <c r="AE578" i="17" s="1"/>
  <c r="C578" i="24" s="1"/>
  <c r="AE577" i="17" a="1"/>
  <c r="AE577" i="17" s="1"/>
  <c r="C577" i="24" s="1"/>
  <c r="AE576" i="17" a="1"/>
  <c r="AE576" i="17" s="1"/>
  <c r="C576" i="24" s="1"/>
  <c r="AE575" i="17" a="1"/>
  <c r="AE575" i="17" s="1"/>
  <c r="C575" i="24" s="1"/>
  <c r="AE574" i="17" a="1"/>
  <c r="AE574" i="17" s="1"/>
  <c r="C574" i="24" s="1"/>
  <c r="AE573" i="17" a="1"/>
  <c r="AE573" i="17" s="1"/>
  <c r="C573" i="24" s="1"/>
  <c r="AE572" i="17" a="1"/>
  <c r="AE572" i="17" s="1"/>
  <c r="C572" i="24" s="1"/>
  <c r="AE571" i="17" a="1"/>
  <c r="AE571" i="17" s="1"/>
  <c r="C571" i="24" s="1"/>
  <c r="AE570" i="17" a="1"/>
  <c r="AE570" i="17" s="1"/>
  <c r="C570" i="24" s="1"/>
  <c r="AE569" i="17" a="1"/>
  <c r="AE569" i="17" s="1"/>
  <c r="C569" i="24" s="1"/>
  <c r="AE568" i="17" a="1"/>
  <c r="AE568" i="17" s="1"/>
  <c r="C568" i="24" s="1"/>
  <c r="AE567" i="17" a="1"/>
  <c r="AE567" i="17" s="1"/>
  <c r="C567" i="24" s="1"/>
  <c r="AE566" i="17" a="1"/>
  <c r="AE566" i="17" s="1"/>
  <c r="C566" i="24" s="1"/>
  <c r="AE565" i="17" a="1"/>
  <c r="AE565" i="17" s="1"/>
  <c r="C565" i="24" s="1"/>
  <c r="C564" i="24"/>
  <c r="AE563" i="17" a="1"/>
  <c r="AE563" i="17" s="1"/>
  <c r="C563" i="24" s="1"/>
  <c r="AE562" i="17" a="1"/>
  <c r="AE562" i="17" s="1"/>
  <c r="C562" i="24" s="1"/>
  <c r="AE561" i="17" a="1"/>
  <c r="AE561" i="17" s="1"/>
  <c r="C561" i="24" s="1"/>
  <c r="AE560" i="17" a="1"/>
  <c r="AE560" i="17" s="1"/>
  <c r="C560" i="24" s="1"/>
  <c r="AE559" i="17" a="1"/>
  <c r="AE559" i="17" s="1"/>
  <c r="C559" i="24" s="1"/>
  <c r="AE558" i="17" a="1"/>
  <c r="AE558" i="17" s="1"/>
  <c r="C558" i="24" s="1"/>
  <c r="AE557" i="17" a="1"/>
  <c r="AE557" i="17" s="1"/>
  <c r="C557" i="24" s="1"/>
  <c r="AE556" i="17" a="1"/>
  <c r="AE556" i="17" s="1"/>
  <c r="C556" i="24" s="1"/>
  <c r="AE555" i="17" a="1"/>
  <c r="AE555" i="17" s="1"/>
  <c r="C555" i="24" s="1"/>
  <c r="AE554" i="17" a="1"/>
  <c r="AE554" i="17" s="1"/>
  <c r="C554" i="24" s="1"/>
  <c r="AE553" i="17" a="1"/>
  <c r="AE553" i="17" s="1"/>
  <c r="C553" i="24" s="1"/>
  <c r="AE552" i="17" a="1"/>
  <c r="AE552" i="17" s="1"/>
  <c r="C552" i="24" s="1"/>
  <c r="AE551" i="17" a="1"/>
  <c r="AE551" i="17" s="1"/>
  <c r="C551" i="24" s="1"/>
  <c r="AE550" i="17" a="1"/>
  <c r="AE550" i="17" s="1"/>
  <c r="C550" i="24" s="1"/>
  <c r="AE549" i="17" a="1"/>
  <c r="AE549" i="17" s="1"/>
  <c r="C549" i="24" s="1"/>
  <c r="AE548" i="17" a="1"/>
  <c r="AE548" i="17" s="1"/>
  <c r="C548" i="24" s="1"/>
  <c r="AE547" i="17" a="1"/>
  <c r="AE547" i="17" s="1"/>
  <c r="C547" i="24" s="1"/>
  <c r="AE546" i="17" a="1"/>
  <c r="AE546" i="17" s="1"/>
  <c r="C546" i="24" s="1"/>
  <c r="AE545" i="17" a="1"/>
  <c r="AE545" i="17" s="1"/>
  <c r="C545" i="24" s="1"/>
  <c r="AE544" i="17" a="1"/>
  <c r="AE544" i="17" s="1"/>
  <c r="C544" i="24" s="1"/>
  <c r="AE794" i="17" a="1"/>
  <c r="AE794" i="17" s="1"/>
  <c r="C794" i="24" s="1"/>
  <c r="H794" i="14"/>
  <c r="E794" i="19"/>
  <c r="AE591" i="17" a="1"/>
  <c r="AE591" i="17" s="1"/>
  <c r="C591" i="24" s="1"/>
  <c r="AE588" i="17" a="1"/>
  <c r="AE588" i="17" s="1"/>
  <c r="C588" i="24" s="1"/>
  <c r="AE646" i="17" a="1"/>
  <c r="AE646" i="17" s="1"/>
  <c r="C646" i="24" s="1"/>
  <c r="AE645" i="17" a="1"/>
  <c r="AE645" i="17" s="1"/>
  <c r="C645" i="24" s="1"/>
  <c r="AE163" i="17" a="1"/>
  <c r="AE163" i="17" s="1"/>
  <c r="C163" i="24" s="1"/>
  <c r="AE635" i="17" a="1"/>
  <c r="AE635" i="17" s="1"/>
  <c r="C635" i="24" s="1"/>
  <c r="AE634" i="17" a="1"/>
  <c r="AE634" i="17" s="1"/>
  <c r="C634" i="24" s="1"/>
  <c r="AE633" i="17" a="1"/>
  <c r="AE633" i="17" s="1"/>
  <c r="C633" i="24" s="1"/>
  <c r="AE632" i="17" a="1"/>
  <c r="AE632" i="17" s="1"/>
  <c r="C632" i="24" s="1"/>
  <c r="AE631" i="17" a="1"/>
  <c r="AE631" i="17" s="1"/>
  <c r="C631" i="24" s="1"/>
  <c r="AE630" i="17" a="1"/>
  <c r="AE630" i="17" s="1"/>
  <c r="C630" i="24" s="1"/>
  <c r="AE629" i="17" a="1"/>
  <c r="AE629" i="17" s="1"/>
  <c r="C629" i="24" s="1"/>
  <c r="AE628" i="17" a="1"/>
  <c r="AE628" i="17" s="1"/>
  <c r="C628" i="24" s="1"/>
  <c r="AE627" i="17" a="1"/>
  <c r="AE627" i="17" s="1"/>
  <c r="C627" i="24" s="1"/>
  <c r="AE626" i="17" a="1"/>
  <c r="AE626" i="17" s="1"/>
  <c r="C626" i="24" s="1"/>
  <c r="AE610" i="17" a="1"/>
  <c r="AE610" i="17" s="1"/>
  <c r="C610" i="24" s="1"/>
  <c r="AE609" i="17" a="1"/>
  <c r="AE609" i="17" s="1"/>
  <c r="C609" i="24" s="1"/>
  <c r="AE608" i="17" a="1"/>
  <c r="AE608" i="17" s="1"/>
  <c r="C608" i="24" s="1"/>
  <c r="AE607" i="17" a="1"/>
  <c r="AE607" i="17" s="1"/>
  <c r="C607" i="24" s="1"/>
  <c r="AE606" i="17" a="1"/>
  <c r="AE606" i="17" s="1"/>
  <c r="C606" i="24" s="1"/>
  <c r="AE605" i="17" a="1"/>
  <c r="AE605" i="17" s="1"/>
  <c r="C605" i="24" s="1"/>
  <c r="AE600" i="17" a="1"/>
  <c r="AE600" i="17" s="1"/>
  <c r="C600" i="24" s="1"/>
  <c r="AE599" i="17" a="1"/>
  <c r="AE599" i="17" s="1"/>
  <c r="C599" i="24" s="1"/>
  <c r="AE598" i="17" a="1"/>
  <c r="AE598" i="17" s="1"/>
  <c r="C598" i="24" s="1"/>
  <c r="AE597" i="17" a="1"/>
  <c r="AE597" i="17" s="1"/>
  <c r="C597" i="24" s="1"/>
  <c r="AE596" i="17" a="1"/>
  <c r="AE596" i="17" s="1"/>
  <c r="C596" i="24" s="1"/>
  <c r="AE595" i="17" a="1"/>
  <c r="AE595" i="17" s="1"/>
  <c r="C595" i="24" s="1"/>
  <c r="AE594" i="17" a="1"/>
  <c r="AE594" i="17" s="1"/>
  <c r="C594" i="24" s="1"/>
  <c r="AE593" i="17" a="1"/>
  <c r="AE593" i="17" s="1"/>
  <c r="C593" i="24" s="1"/>
  <c r="AE592" i="17" a="1"/>
  <c r="AE592" i="17" s="1"/>
  <c r="C592" i="24" s="1"/>
  <c r="AE590" i="17" a="1"/>
  <c r="AE590" i="17" s="1"/>
  <c r="C590" i="24" s="1"/>
  <c r="AE589" i="17" a="1"/>
  <c r="AE589" i="17" s="1"/>
  <c r="C589" i="24" s="1"/>
  <c r="AE173" i="17" a="1"/>
  <c r="AE173" i="17" s="1"/>
  <c r="C173" i="24" s="1"/>
  <c r="AE170" i="17" a="1"/>
  <c r="AE170" i="17" s="1"/>
  <c r="C170" i="24" s="1"/>
  <c r="AE168" i="17" a="1"/>
  <c r="AE168" i="17" s="1"/>
  <c r="C168" i="24" s="1"/>
  <c r="AE166" i="17" a="1"/>
  <c r="AE166" i="17" s="1"/>
  <c r="C166" i="24" s="1"/>
  <c r="AE164" i="17" a="1"/>
  <c r="AE164" i="17" s="1"/>
  <c r="C164" i="24" s="1"/>
  <c r="AE162" i="17" a="1"/>
  <c r="AE162" i="17" s="1"/>
  <c r="C162" i="24" s="1"/>
  <c r="AE161" i="17" a="1"/>
  <c r="AE161" i="17" s="1"/>
  <c r="C161" i="24" s="1"/>
  <c r="AE160" i="17" a="1"/>
  <c r="AE160" i="17" s="1"/>
  <c r="C160" i="24" s="1"/>
  <c r="AE159" i="17" a="1"/>
  <c r="AE159" i="17" s="1"/>
  <c r="C159" i="24" s="1"/>
  <c r="AE158" i="17" a="1"/>
  <c r="AE158" i="17" s="1"/>
  <c r="C158" i="24" s="1"/>
  <c r="AE157" i="17" a="1"/>
  <c r="AE157" i="17" s="1"/>
  <c r="C157" i="24" s="1"/>
  <c r="AE156" i="17" a="1"/>
  <c r="AE156" i="17" s="1"/>
  <c r="C156" i="24" s="1"/>
  <c r="AE155" i="17" a="1"/>
  <c r="AE155" i="17" s="1"/>
  <c r="C155" i="24" s="1"/>
  <c r="AE154" i="17" a="1"/>
  <c r="AE154" i="17" s="1"/>
  <c r="C154" i="24" s="1"/>
  <c r="AE72" i="17" a="1"/>
  <c r="AE72" i="17" s="1"/>
  <c r="C72" i="24" s="1"/>
  <c r="AE71" i="17" a="1"/>
  <c r="AE71" i="17" s="1"/>
  <c r="C71" i="24" s="1"/>
  <c r="AE321" i="17" a="1"/>
  <c r="AE321" i="17" s="1"/>
  <c r="C321" i="24" s="1"/>
  <c r="AE175" i="17" a="1"/>
  <c r="AE175" i="17" s="1"/>
  <c r="C175" i="24" s="1"/>
  <c r="AE174" i="17" a="1"/>
  <c r="AE174" i="17" s="1"/>
  <c r="C174" i="24" s="1"/>
  <c r="AE172" i="17" a="1"/>
  <c r="AE172" i="17" s="1"/>
  <c r="C172" i="24" s="1"/>
  <c r="AE171" i="17" a="1"/>
  <c r="AE171" i="17" s="1"/>
  <c r="C171" i="24" s="1"/>
  <c r="AE169" i="17" a="1"/>
  <c r="AE169" i="17" s="1"/>
  <c r="C169" i="24" s="1"/>
  <c r="AE167" i="17" a="1"/>
  <c r="AE167" i="17" s="1"/>
  <c r="C167" i="24" s="1"/>
  <c r="AE165" i="17" a="1"/>
  <c r="AE165" i="17" s="1"/>
  <c r="C165" i="24" s="1"/>
  <c r="AE70" i="17" a="1"/>
  <c r="AE70" i="17" s="1"/>
  <c r="C70" i="24" s="1"/>
  <c r="AE69" i="17" a="1"/>
  <c r="AE69" i="17" s="1"/>
  <c r="C69" i="24" s="1"/>
  <c r="B794" i="24"/>
  <c r="E794" i="24"/>
  <c r="D794" i="24"/>
  <c r="AE625" i="17" a="1"/>
  <c r="AE625" i="17" s="1"/>
  <c r="C625" i="24" s="1"/>
  <c r="AE624" i="17" a="1"/>
  <c r="AE624" i="17" s="1"/>
  <c r="C624" i="24" s="1"/>
  <c r="AE623" i="17" a="1"/>
  <c r="AE623" i="17" s="1"/>
  <c r="C623" i="24" s="1"/>
  <c r="AE622" i="17" a="1"/>
  <c r="AE622" i="17" s="1"/>
  <c r="C622" i="24" s="1"/>
  <c r="AE621" i="17" a="1"/>
  <c r="AE621" i="17" s="1"/>
  <c r="C621" i="24" s="1"/>
  <c r="AE620" i="17" a="1"/>
  <c r="AE620" i="17" s="1"/>
  <c r="C620" i="24" s="1"/>
  <c r="AE619" i="17" a="1"/>
  <c r="AE619" i="17" s="1"/>
  <c r="C619" i="24" s="1"/>
  <c r="AE618" i="17" a="1"/>
  <c r="AE618" i="17" s="1"/>
  <c r="C618" i="24" s="1"/>
  <c r="AE617" i="17" a="1"/>
  <c r="AE617" i="17" s="1"/>
  <c r="C617" i="24" s="1"/>
  <c r="AE616" i="17" a="1"/>
  <c r="AE616" i="17" s="1"/>
  <c r="C616" i="24" s="1"/>
  <c r="AE615" i="17" a="1"/>
  <c r="AE615" i="17" s="1"/>
  <c r="C615" i="24" s="1"/>
  <c r="AE614" i="17" a="1"/>
  <c r="AE614" i="17" s="1"/>
  <c r="C614" i="24" s="1"/>
  <c r="AE613" i="17" a="1"/>
  <c r="AE613" i="17" s="1"/>
  <c r="C613" i="24" s="1"/>
  <c r="AE612" i="17" a="1"/>
  <c r="AE612" i="17" s="1"/>
  <c r="C612" i="24" s="1"/>
  <c r="AE611" i="17" a="1"/>
  <c r="AE611" i="17" s="1"/>
  <c r="C611" i="24" s="1"/>
  <c r="AE320" i="17" a="1"/>
  <c r="AE320" i="17" s="1"/>
  <c r="C320" i="24" s="1"/>
  <c r="AE318" i="17" a="1"/>
  <c r="AE318" i="17" s="1"/>
  <c r="C318" i="24" s="1"/>
  <c r="AE316" i="17" a="1"/>
  <c r="AE316" i="17" s="1"/>
  <c r="C316" i="24" s="1"/>
  <c r="AE314" i="17" a="1"/>
  <c r="AE314" i="17" s="1"/>
  <c r="C314" i="24" s="1"/>
  <c r="AE312" i="17" a="1"/>
  <c r="AE312" i="17" s="1"/>
  <c r="C312" i="24" s="1"/>
  <c r="AE309" i="17" a="1"/>
  <c r="AE309" i="17" s="1"/>
  <c r="C309" i="24" s="1"/>
  <c r="AE307" i="17" a="1"/>
  <c r="AE307" i="17" s="1"/>
  <c r="C307" i="24" s="1"/>
  <c r="AE305" i="17" a="1"/>
  <c r="AE305" i="17" s="1"/>
  <c r="C305" i="24" s="1"/>
  <c r="AE303" i="17" a="1"/>
  <c r="AE303" i="17" s="1"/>
  <c r="C303" i="24" s="1"/>
  <c r="AE301" i="17" a="1"/>
  <c r="AE301" i="17" s="1"/>
  <c r="C301" i="24" s="1"/>
  <c r="AE504" i="17" a="1"/>
  <c r="AE504" i="17" s="1"/>
  <c r="C504" i="24" s="1"/>
  <c r="AE470" i="17" a="1"/>
  <c r="AE470" i="17" s="1"/>
  <c r="C470" i="24" s="1"/>
  <c r="AE469" i="17" a="1"/>
  <c r="AE469" i="17" s="1"/>
  <c r="C469" i="24" s="1"/>
  <c r="AE468" i="17" a="1"/>
  <c r="AE468" i="17" s="1"/>
  <c r="C468" i="24" s="1"/>
  <c r="AE467" i="17" a="1"/>
  <c r="AE467" i="17" s="1"/>
  <c r="C467" i="24" s="1"/>
  <c r="AE466" i="17" a="1"/>
  <c r="AE466" i="17" s="1"/>
  <c r="C466" i="24" s="1"/>
  <c r="AE465" i="17" a="1"/>
  <c r="AE465" i="17" s="1"/>
  <c r="C465" i="24" s="1"/>
  <c r="AE464" i="17" a="1"/>
  <c r="AE464" i="17" s="1"/>
  <c r="C464" i="24" s="1"/>
  <c r="AE463" i="17" a="1"/>
  <c r="AE463" i="17" s="1"/>
  <c r="C463" i="24" s="1"/>
  <c r="AE462" i="17" a="1"/>
  <c r="AE462" i="17" s="1"/>
  <c r="C462" i="24" s="1"/>
  <c r="AE461" i="17" a="1"/>
  <c r="AE461" i="17" s="1"/>
  <c r="C461" i="24" s="1"/>
  <c r="AE460" i="17" a="1"/>
  <c r="AE460" i="17" s="1"/>
  <c r="C460" i="24" s="1"/>
  <c r="AE459" i="17" a="1"/>
  <c r="AE459" i="17" s="1"/>
  <c r="C459" i="24" s="1"/>
  <c r="AE458" i="17" a="1"/>
  <c r="AE458" i="17" s="1"/>
  <c r="C458" i="24" s="1"/>
  <c r="AE457" i="17" a="1"/>
  <c r="AE457" i="17" s="1"/>
  <c r="C457" i="24" s="1"/>
  <c r="AE456" i="17" a="1"/>
  <c r="AE456" i="17" s="1"/>
  <c r="C456" i="24" s="1"/>
  <c r="AE455" i="17" a="1"/>
  <c r="AE455" i="17" s="1"/>
  <c r="C455" i="24" s="1"/>
  <c r="AE454" i="17" a="1"/>
  <c r="AE454" i="17" s="1"/>
  <c r="C454" i="24" s="1"/>
  <c r="AE453" i="17" a="1"/>
  <c r="AE453" i="17" s="1"/>
  <c r="C453" i="24" s="1"/>
  <c r="AE452" i="17" a="1"/>
  <c r="AE452" i="17" s="1"/>
  <c r="C452" i="24" s="1"/>
  <c r="AE451" i="17" a="1"/>
  <c r="AE451" i="17" s="1"/>
  <c r="C451" i="24" s="1"/>
  <c r="AE350" i="17" a="1"/>
  <c r="AE350" i="17" s="1"/>
  <c r="C350" i="24" s="1"/>
  <c r="AE349" i="17" a="1"/>
  <c r="AE349" i="17" s="1"/>
  <c r="C349" i="24" s="1"/>
  <c r="AE348" i="17" a="1"/>
  <c r="AE348" i="17" s="1"/>
  <c r="C348" i="24" s="1"/>
  <c r="AE347" i="17" a="1"/>
  <c r="AE347" i="17" s="1"/>
  <c r="C347" i="24" s="1"/>
  <c r="AE346" i="17" a="1"/>
  <c r="AE346" i="17" s="1"/>
  <c r="C346" i="24" s="1"/>
  <c r="AE345" i="17" a="1"/>
  <c r="AE345" i="17" s="1"/>
  <c r="C345" i="24" s="1"/>
  <c r="AE344" i="17" a="1"/>
  <c r="AE344" i="17" s="1"/>
  <c r="C344" i="24" s="1"/>
  <c r="AE343" i="17" a="1"/>
  <c r="AE343" i="17" s="1"/>
  <c r="C343" i="24" s="1"/>
  <c r="AE342" i="17" a="1"/>
  <c r="AE342" i="17" s="1"/>
  <c r="C342" i="24" s="1"/>
  <c r="AE341" i="17" a="1"/>
  <c r="AE341" i="17" s="1"/>
  <c r="C341" i="24" s="1"/>
  <c r="AE340" i="17" a="1"/>
  <c r="AE340" i="17" s="1"/>
  <c r="C340" i="24" s="1"/>
  <c r="AE339" i="17" a="1"/>
  <c r="AE339" i="17" s="1"/>
  <c r="C339" i="24" s="1"/>
  <c r="AE338" i="17" a="1"/>
  <c r="AE338" i="17" s="1"/>
  <c r="C338" i="24" s="1"/>
  <c r="AE337" i="17" a="1"/>
  <c r="AE337" i="17" s="1"/>
  <c r="C337" i="24" s="1"/>
  <c r="AE336" i="17" a="1"/>
  <c r="AE336" i="17" s="1"/>
  <c r="C336" i="24" s="1"/>
  <c r="AE335" i="17" a="1"/>
  <c r="AE335" i="17" s="1"/>
  <c r="C335" i="24" s="1"/>
  <c r="AE334" i="17" a="1"/>
  <c r="AE334" i="17" s="1"/>
  <c r="C334" i="24" s="1"/>
  <c r="AE333" i="17" a="1"/>
  <c r="AE333" i="17" s="1"/>
  <c r="C333" i="24" s="1"/>
  <c r="AE332" i="17" a="1"/>
  <c r="AE332" i="17" s="1"/>
  <c r="C332" i="24" s="1"/>
  <c r="AE331" i="17" a="1"/>
  <c r="AE331" i="17" s="1"/>
  <c r="C331" i="24" s="1"/>
  <c r="AE330" i="17" a="1"/>
  <c r="AE330" i="17" s="1"/>
  <c r="C330" i="24" s="1"/>
  <c r="AE319" i="17" a="1"/>
  <c r="AE319" i="17" s="1"/>
  <c r="C319" i="24" s="1"/>
  <c r="AE317" i="17" a="1"/>
  <c r="AE317" i="17" s="1"/>
  <c r="C317" i="24" s="1"/>
  <c r="AE315" i="17" a="1"/>
  <c r="AE315" i="17" s="1"/>
  <c r="C315" i="24" s="1"/>
  <c r="AE313" i="17" a="1"/>
  <c r="AE313" i="17" s="1"/>
  <c r="C313" i="24" s="1"/>
  <c r="AE311" i="17" a="1"/>
  <c r="AE311" i="17" s="1"/>
  <c r="C311" i="24" s="1"/>
  <c r="AE310" i="17" a="1"/>
  <c r="AE310" i="17" s="1"/>
  <c r="C310" i="24" s="1"/>
  <c r="AE308" i="17" a="1"/>
  <c r="AE308" i="17" s="1"/>
  <c r="C308" i="24" s="1"/>
  <c r="AE306" i="17" a="1"/>
  <c r="AE306" i="17" s="1"/>
  <c r="C306" i="24" s="1"/>
  <c r="AE304" i="17" a="1"/>
  <c r="AE304" i="17" s="1"/>
  <c r="C304" i="24" s="1"/>
  <c r="AE302" i="17" a="1"/>
  <c r="AE302" i="17" s="1"/>
  <c r="C302" i="24" s="1"/>
  <c r="AE300" i="17" a="1"/>
  <c r="AE300" i="17" s="1"/>
  <c r="C300" i="24" s="1"/>
  <c r="AE329" i="17" a="1"/>
  <c r="AE329" i="17" s="1"/>
  <c r="C329" i="24" s="1"/>
  <c r="AE328" i="17" a="1"/>
  <c r="AE328" i="17" s="1"/>
  <c r="C328" i="24" s="1"/>
  <c r="AE327" i="17" a="1"/>
  <c r="AE327" i="17" s="1"/>
  <c r="C327" i="24" s="1"/>
  <c r="AE326" i="17" a="1"/>
  <c r="AE326" i="17" s="1"/>
  <c r="C326" i="24" s="1"/>
  <c r="AE325" i="17" a="1"/>
  <c r="AE325" i="17" s="1"/>
  <c r="C325" i="24" s="1"/>
  <c r="AE324" i="17" a="1"/>
  <c r="AE324" i="17" s="1"/>
  <c r="C324" i="24" s="1"/>
  <c r="AE323" i="17" a="1"/>
  <c r="AE323" i="17" s="1"/>
  <c r="C323" i="24" s="1"/>
  <c r="AE322" i="17" a="1"/>
  <c r="AE322" i="17" s="1"/>
  <c r="C322" i="24" s="1"/>
  <c r="AE68" i="17" a="1"/>
  <c r="AE68" i="17" s="1"/>
  <c r="C68" i="24" s="1"/>
  <c r="AE67" i="17" a="1"/>
  <c r="AE67" i="17" s="1"/>
  <c r="C67" i="24" s="1"/>
  <c r="AE66" i="17" a="1"/>
  <c r="AE66" i="17" s="1"/>
  <c r="C66" i="24" s="1"/>
  <c r="AE65" i="17" a="1"/>
  <c r="AE65" i="17" s="1"/>
  <c r="C65" i="24" s="1"/>
  <c r="AE64" i="17" a="1"/>
  <c r="AE64" i="17" s="1"/>
  <c r="C64" i="24" s="1"/>
  <c r="AE63" i="17" a="1"/>
  <c r="AE63" i="17" s="1"/>
  <c r="C63" i="24" s="1"/>
  <c r="AE62" i="17" a="1"/>
  <c r="AE62" i="17" s="1"/>
  <c r="C62" i="24" s="1"/>
  <c r="AE61" i="17" a="1"/>
  <c r="AE61" i="17" s="1"/>
  <c r="C61" i="24" s="1"/>
  <c r="AE60" i="17" a="1"/>
  <c r="AE60" i="17" s="1"/>
  <c r="C60" i="24" s="1"/>
  <c r="AE59" i="17" a="1"/>
  <c r="AE59" i="17" s="1"/>
  <c r="C59" i="24" s="1"/>
  <c r="AE58" i="17" a="1"/>
  <c r="AE58" i="17" s="1"/>
  <c r="C58" i="24" s="1"/>
  <c r="AE57" i="17" a="1"/>
  <c r="AE57" i="17" s="1"/>
  <c r="C57" i="24" s="1"/>
  <c r="AE56" i="17" a="1"/>
  <c r="AE56" i="17" s="1"/>
  <c r="C56" i="24" s="1"/>
  <c r="AE55" i="17" a="1"/>
  <c r="AE55" i="17" s="1"/>
  <c r="C55" i="24" s="1"/>
  <c r="AE54" i="17" a="1"/>
  <c r="AE54" i="17" s="1"/>
  <c r="C54" i="24" s="1"/>
  <c r="AE53" i="17" a="1"/>
  <c r="AE53" i="17" s="1"/>
  <c r="C53" i="24" s="1"/>
  <c r="AE52" i="17" a="1"/>
  <c r="AE52" i="17" s="1"/>
  <c r="C52" i="24" s="1"/>
  <c r="AE51" i="17" a="1"/>
  <c r="AE51" i="17" s="1"/>
  <c r="C51" i="24" s="1"/>
  <c r="AE50" i="17" a="1"/>
  <c r="AE50" i="17" s="1"/>
  <c r="C50" i="24" s="1"/>
  <c r="AE49" i="17" a="1"/>
  <c r="AE49" i="17" s="1"/>
  <c r="C49" i="24" s="1"/>
  <c r="AE48" i="17" a="1"/>
  <c r="AE48" i="17" s="1"/>
  <c r="C48" i="24" s="1"/>
  <c r="AE47" i="17" a="1"/>
  <c r="AE47" i="17" s="1"/>
  <c r="C47" i="24" s="1"/>
  <c r="AE46" i="17" a="1"/>
  <c r="AE46" i="17" s="1"/>
  <c r="C46" i="24" s="1"/>
  <c r="AE45" i="17" a="1"/>
  <c r="AE45" i="17" s="1"/>
  <c r="C45" i="24" s="1"/>
  <c r="AE44" i="17" a="1"/>
  <c r="AE44" i="17" s="1"/>
  <c r="C44" i="24" s="1"/>
  <c r="AE43" i="17" a="1"/>
  <c r="AE43" i="17" s="1"/>
  <c r="C43" i="24" s="1"/>
  <c r="AE42" i="17" a="1"/>
  <c r="AE42" i="17" s="1"/>
  <c r="C42" i="24" s="1"/>
  <c r="AE41" i="17" a="1"/>
  <c r="AE41" i="17" s="1"/>
  <c r="C41" i="24" s="1"/>
  <c r="AE40" i="17" a="1"/>
  <c r="AE40" i="17" s="1"/>
  <c r="C40" i="24" s="1"/>
  <c r="AE39" i="17" a="1"/>
  <c r="AE39" i="17" s="1"/>
  <c r="C39" i="24" s="1"/>
  <c r="AE38" i="17" a="1"/>
  <c r="AE38" i="17" s="1"/>
  <c r="C38" i="24" s="1"/>
  <c r="AE37" i="17" a="1"/>
  <c r="AE37" i="17" s="1"/>
  <c r="C37" i="24" s="1"/>
  <c r="AE36" i="17" a="1"/>
  <c r="AE36" i="17" s="1"/>
  <c r="C36" i="24" s="1"/>
  <c r="AE35" i="17" a="1"/>
  <c r="AE35" i="17" s="1"/>
  <c r="C35" i="24" s="1"/>
  <c r="AE34" i="17" a="1"/>
  <c r="AE34" i="17" s="1"/>
  <c r="C34" i="24" s="1"/>
  <c r="AE33" i="17" a="1"/>
  <c r="AE33" i="17" s="1"/>
  <c r="C33" i="24" s="1"/>
  <c r="AE32" i="17" a="1"/>
  <c r="AE32" i="17" s="1"/>
  <c r="C32" i="24" s="1"/>
  <c r="AE31" i="17" a="1"/>
  <c r="AE31" i="17" s="1"/>
  <c r="C31" i="24" s="1"/>
  <c r="AE30" i="17" a="1"/>
  <c r="AE30" i="17" s="1"/>
  <c r="C30" i="24" s="1"/>
  <c r="AE29" i="17" a="1"/>
  <c r="AE29" i="17" s="1"/>
  <c r="C29" i="24" s="1"/>
  <c r="AE28" i="17" a="1"/>
  <c r="AE28" i="17" s="1"/>
  <c r="C28" i="24" s="1"/>
  <c r="AE27" i="17" a="1"/>
  <c r="AE27" i="17" s="1"/>
  <c r="C27" i="24" s="1"/>
  <c r="AE26" i="17" a="1"/>
  <c r="AE26" i="17" s="1"/>
  <c r="C26" i="24" s="1"/>
  <c r="AE25" i="17" a="1"/>
  <c r="AE25" i="17" s="1"/>
  <c r="C25" i="24" s="1"/>
  <c r="AE24" i="17" a="1"/>
  <c r="AE24" i="17" s="1"/>
  <c r="C24" i="24" s="1"/>
  <c r="AE23" i="17" a="1"/>
  <c r="AE23" i="17" s="1"/>
  <c r="C23" i="24" s="1"/>
  <c r="AE22" i="17" a="1"/>
  <c r="AE22" i="17" s="1"/>
  <c r="C22" i="24" s="1"/>
  <c r="AE21" i="17" a="1"/>
  <c r="AE21" i="17" s="1"/>
  <c r="C21" i="24" s="1"/>
  <c r="AE20" i="17" a="1"/>
  <c r="AE20" i="17" s="1"/>
  <c r="C20" i="24" s="1"/>
  <c r="AE717" i="17" a="1"/>
  <c r="AE717" i="17" s="1"/>
  <c r="C717" i="24" s="1"/>
  <c r="AE716" i="17" a="1"/>
  <c r="AE716" i="17" s="1"/>
  <c r="C716" i="24" s="1"/>
  <c r="AE715" i="17" a="1"/>
  <c r="AE715" i="17" s="1"/>
  <c r="C715" i="24" s="1"/>
  <c r="AE714" i="17" a="1"/>
  <c r="AE714" i="17" s="1"/>
  <c r="C714" i="24" s="1"/>
  <c r="AE713" i="17" a="1"/>
  <c r="AE713" i="17" s="1"/>
  <c r="C713" i="24" s="1"/>
  <c r="AE712" i="17" a="1"/>
  <c r="AE712" i="17" s="1"/>
  <c r="C712" i="24" s="1"/>
  <c r="AE711" i="17" a="1"/>
  <c r="AE711" i="17" s="1"/>
  <c r="C711" i="24" s="1"/>
  <c r="AE710" i="17" a="1"/>
  <c r="AE710" i="17" s="1"/>
  <c r="C710" i="24" s="1"/>
  <c r="AE709" i="17" a="1"/>
  <c r="AE709" i="17" s="1"/>
  <c r="C709" i="24" s="1"/>
  <c r="AE708" i="17" a="1"/>
  <c r="AE708" i="17" s="1"/>
  <c r="C708" i="24" s="1"/>
  <c r="AE700" i="17" a="1"/>
  <c r="AE700" i="17" s="1"/>
  <c r="C700" i="24" s="1"/>
  <c r="AE699" i="17" a="1"/>
  <c r="AE699" i="17" s="1"/>
  <c r="C699" i="24" s="1"/>
  <c r="AE698" i="17" a="1"/>
  <c r="AE698" i="17" s="1"/>
  <c r="C698" i="24" s="1"/>
  <c r="AE697" i="17" a="1"/>
  <c r="AE697" i="17" s="1"/>
  <c r="C697" i="24" s="1"/>
  <c r="AE489" i="17" a="1"/>
  <c r="AE489" i="17" s="1"/>
  <c r="C489" i="24" s="1"/>
  <c r="AE485" i="17" a="1"/>
  <c r="AE485" i="17" s="1"/>
  <c r="C485" i="24" s="1"/>
  <c r="AE484" i="17" a="1"/>
  <c r="AE484" i="17" s="1"/>
  <c r="C484" i="24" s="1"/>
  <c r="AE483" i="17" a="1"/>
  <c r="AE483" i="17" s="1"/>
  <c r="C483" i="24" s="1"/>
  <c r="AE482" i="17" a="1"/>
  <c r="AE482" i="17" s="1"/>
  <c r="C482" i="24" s="1"/>
  <c r="AE480" i="17" a="1"/>
  <c r="AE480" i="17" s="1"/>
  <c r="C480" i="24" s="1"/>
  <c r="AE479" i="17" a="1"/>
  <c r="AE479" i="17" s="1"/>
  <c r="C479" i="24" s="1"/>
  <c r="AE478" i="17" a="1"/>
  <c r="AE478" i="17" s="1"/>
  <c r="C478" i="24" s="1"/>
  <c r="AE477" i="17" a="1"/>
  <c r="AE477" i="17" s="1"/>
  <c r="C477" i="24" s="1"/>
  <c r="AE476" i="17" a="1"/>
  <c r="AE476" i="17" s="1"/>
  <c r="C476" i="24" s="1"/>
  <c r="AE475" i="17" a="1"/>
  <c r="AE475" i="17" s="1"/>
  <c r="C475" i="24" s="1"/>
  <c r="AE474" i="17" a="1"/>
  <c r="AE474" i="17" s="1"/>
  <c r="C474" i="24" s="1"/>
  <c r="AE473" i="17" a="1"/>
  <c r="AE473" i="17" s="1"/>
  <c r="C473" i="24" s="1"/>
  <c r="AE472" i="17" a="1"/>
  <c r="AE472" i="17" s="1"/>
  <c r="C472" i="24" s="1"/>
  <c r="AE471" i="17" a="1"/>
  <c r="AE471" i="17" s="1"/>
  <c r="C471" i="24" s="1"/>
  <c r="AE291" i="17" a="1"/>
  <c r="AE291" i="17" s="1"/>
  <c r="C291" i="24" s="1"/>
  <c r="AE290" i="17" a="1"/>
  <c r="AE290" i="17" s="1"/>
  <c r="C290" i="24" s="1"/>
  <c r="AE289" i="17" a="1"/>
  <c r="AE289" i="17" s="1"/>
  <c r="C289" i="24" s="1"/>
  <c r="AE288" i="17" a="1"/>
  <c r="AE288" i="17" s="1"/>
  <c r="C288" i="24" s="1"/>
  <c r="AE245" i="17" a="1"/>
  <c r="AE245" i="17" s="1"/>
  <c r="C245" i="24" s="1"/>
  <c r="AE244" i="17" a="1"/>
  <c r="AE244" i="17" s="1"/>
  <c r="C244" i="24" s="1"/>
  <c r="AE243" i="17" a="1"/>
  <c r="AE243" i="17" s="1"/>
  <c r="C243" i="24" s="1"/>
  <c r="AE242" i="17" a="1"/>
  <c r="AE242" i="17" s="1"/>
  <c r="C242" i="24" s="1"/>
  <c r="AE241" i="17" a="1"/>
  <c r="AE241" i="17" s="1"/>
  <c r="C241" i="24" s="1"/>
  <c r="AE240" i="17" a="1"/>
  <c r="AE240" i="17" s="1"/>
  <c r="C240" i="24" s="1"/>
  <c r="AE239" i="17" a="1"/>
  <c r="AE239" i="17" s="1"/>
  <c r="C239" i="24" s="1"/>
  <c r="AE238" i="17" a="1"/>
  <c r="AE238" i="17" s="1"/>
  <c r="C238" i="24" s="1"/>
  <c r="AE237" i="17" a="1"/>
  <c r="AE237" i="17" s="1"/>
  <c r="C237" i="24" s="1"/>
  <c r="AE236" i="17" a="1"/>
  <c r="AE236" i="17" s="1"/>
  <c r="C236" i="24" s="1"/>
  <c r="AE235" i="17" a="1"/>
  <c r="AE235" i="17" s="1"/>
  <c r="C235" i="24" s="1"/>
  <c r="AE234" i="17" a="1"/>
  <c r="AE234" i="17" s="1"/>
  <c r="C234" i="24" s="1"/>
  <c r="AE233" i="17" a="1"/>
  <c r="AE233" i="17" s="1"/>
  <c r="C233" i="24" s="1"/>
  <c r="AE232" i="17" a="1"/>
  <c r="AE232" i="17" s="1"/>
  <c r="C232" i="24" s="1"/>
  <c r="AE231" i="17" a="1"/>
  <c r="AE231" i="17" s="1"/>
  <c r="C231" i="24" s="1"/>
  <c r="AE230" i="17" a="1"/>
  <c r="AE230" i="17" s="1"/>
  <c r="C230" i="24" s="1"/>
  <c r="AE229" i="17" a="1"/>
  <c r="AE229" i="17" s="1"/>
  <c r="C229" i="24" s="1"/>
  <c r="AE228" i="17" a="1"/>
  <c r="AE228" i="17" s="1"/>
  <c r="C228" i="24" s="1"/>
  <c r="AE227" i="17" a="1"/>
  <c r="AE227" i="17" s="1"/>
  <c r="C227" i="24" s="1"/>
  <c r="AE226" i="17" a="1"/>
  <c r="AE226" i="17" s="1"/>
  <c r="C226" i="24" s="1"/>
  <c r="AE225" i="17" a="1"/>
  <c r="AE225" i="17" s="1"/>
  <c r="C225" i="24" s="1"/>
  <c r="AE224" i="17" a="1"/>
  <c r="AE224" i="17" s="1"/>
  <c r="C224" i="24" s="1"/>
  <c r="AE223" i="17" a="1"/>
  <c r="AE223" i="17" s="1"/>
  <c r="C223" i="24" s="1"/>
  <c r="AE222" i="17" a="1"/>
  <c r="AE222" i="17" s="1"/>
  <c r="C222" i="24" s="1"/>
  <c r="AE221" i="17" a="1"/>
  <c r="AE221" i="17" s="1"/>
  <c r="C221" i="24" s="1"/>
  <c r="AE220" i="17" a="1"/>
  <c r="AE220" i="17" s="1"/>
  <c r="C220" i="24" s="1"/>
  <c r="AE219" i="17" a="1"/>
  <c r="AE219" i="17" s="1"/>
  <c r="C219" i="24" s="1"/>
  <c r="AE218" i="17" a="1"/>
  <c r="AE218" i="17" s="1"/>
  <c r="C218" i="24" s="1"/>
  <c r="AE217" i="17" a="1"/>
  <c r="AE217" i="17" s="1"/>
  <c r="C217" i="24" s="1"/>
  <c r="AE216" i="17" a="1"/>
  <c r="AE216" i="17" s="1"/>
  <c r="C216" i="24" s="1"/>
  <c r="AE215" i="17" a="1"/>
  <c r="AE215" i="17" s="1"/>
  <c r="C215" i="24" s="1"/>
  <c r="AE214" i="17" a="1"/>
  <c r="AE214" i="17" s="1"/>
  <c r="C214" i="24" s="1"/>
  <c r="AE213" i="17" a="1"/>
  <c r="AE213" i="17" s="1"/>
  <c r="C213" i="24" s="1"/>
  <c r="AE212" i="17" a="1"/>
  <c r="AE212" i="17" s="1"/>
  <c r="C212" i="24" s="1"/>
  <c r="AE211" i="17" a="1"/>
  <c r="AE211" i="17" s="1"/>
  <c r="C211" i="24" s="1"/>
  <c r="AE210" i="17" a="1"/>
  <c r="AE210" i="17" s="1"/>
  <c r="C210" i="24" s="1"/>
  <c r="AE209" i="17" a="1"/>
  <c r="AE209" i="17" s="1"/>
  <c r="C209" i="24" s="1"/>
  <c r="AE208" i="17" a="1"/>
  <c r="AE208" i="17" s="1"/>
  <c r="C208" i="24" s="1"/>
  <c r="AE207" i="17" a="1"/>
  <c r="AE207" i="17" s="1"/>
  <c r="C207" i="24" s="1"/>
  <c r="AE206" i="17" a="1"/>
  <c r="AE206" i="17" s="1"/>
  <c r="C206" i="24" s="1"/>
  <c r="AE205" i="17" a="1"/>
  <c r="AE205" i="17" s="1"/>
  <c r="C205" i="24" s="1"/>
  <c r="AE204" i="17" a="1"/>
  <c r="AE204" i="17" s="1"/>
  <c r="C204" i="24" s="1"/>
  <c r="AE203" i="17" a="1"/>
  <c r="AE203" i="17" s="1"/>
  <c r="C203" i="24" s="1"/>
  <c r="AE202" i="17" a="1"/>
  <c r="AE202" i="17" s="1"/>
  <c r="C202" i="24" s="1"/>
  <c r="AE201" i="17" a="1"/>
  <c r="AE201" i="17" s="1"/>
  <c r="C201" i="24" s="1"/>
  <c r="AE200" i="17" a="1"/>
  <c r="AE200" i="17" s="1"/>
  <c r="C200" i="24" s="1"/>
  <c r="AE199" i="17" a="1"/>
  <c r="AE199" i="17" s="1"/>
  <c r="C199" i="24" s="1"/>
  <c r="AE198" i="17" a="1"/>
  <c r="AE198" i="17" s="1"/>
  <c r="C198" i="24" s="1"/>
  <c r="AE197" i="17" a="1"/>
  <c r="AE197" i="17" s="1"/>
  <c r="C197" i="24" s="1"/>
  <c r="AE196" i="17" a="1"/>
  <c r="AE196" i="17" s="1"/>
  <c r="C196" i="24" s="1"/>
  <c r="AE195" i="17" a="1"/>
  <c r="AE195" i="17" s="1"/>
  <c r="C195" i="24" s="1"/>
  <c r="AE194" i="17" a="1"/>
  <c r="AE194" i="17" s="1"/>
  <c r="C194" i="24" s="1"/>
  <c r="AE193" i="17" a="1"/>
  <c r="AE193" i="17" s="1"/>
  <c r="C193" i="24" s="1"/>
  <c r="AE192" i="17" a="1"/>
  <c r="AE192" i="17" s="1"/>
  <c r="C192" i="24" s="1"/>
  <c r="AE191" i="17" a="1"/>
  <c r="AE191" i="17" s="1"/>
  <c r="C191" i="24" s="1"/>
  <c r="AE190" i="17" a="1"/>
  <c r="AE190" i="17" s="1"/>
  <c r="C190" i="24" s="1"/>
  <c r="AE189" i="17" a="1"/>
  <c r="AE189" i="17" s="1"/>
  <c r="C189" i="24" s="1"/>
  <c r="AE188" i="17" a="1"/>
  <c r="AE188" i="17" s="1"/>
  <c r="C188" i="24" s="1"/>
  <c r="AE187" i="17" a="1"/>
  <c r="AE187" i="17" s="1"/>
  <c r="C187" i="24" s="1"/>
  <c r="AE186" i="17" a="1"/>
  <c r="AE186" i="17" s="1"/>
  <c r="C186" i="24" s="1"/>
  <c r="AE185" i="17" a="1"/>
  <c r="AE185" i="17" s="1"/>
  <c r="C185" i="24" s="1"/>
  <c r="AE184" i="17" a="1"/>
  <c r="AE184" i="17" s="1"/>
  <c r="C184" i="24" s="1"/>
  <c r="AE183" i="17" a="1"/>
  <c r="AE183" i="17" s="1"/>
  <c r="C183" i="24" s="1"/>
  <c r="AE182" i="17" a="1"/>
  <c r="AE182" i="17" s="1"/>
  <c r="C182" i="24" s="1"/>
  <c r="AE181" i="17" a="1"/>
  <c r="AE181" i="17" s="1"/>
  <c r="C181" i="24" s="1"/>
  <c r="AE180" i="17" a="1"/>
  <c r="AE180" i="17" s="1"/>
  <c r="C180" i="24" s="1"/>
  <c r="AE179" i="17" a="1"/>
  <c r="AE179" i="17" s="1"/>
  <c r="C179" i="24" s="1"/>
  <c r="AE178" i="17" a="1"/>
  <c r="AE178" i="17" s="1"/>
  <c r="C178" i="24" s="1"/>
  <c r="AE177" i="17" a="1"/>
  <c r="AE177" i="17" s="1"/>
  <c r="C177" i="24" s="1"/>
  <c r="AE176" i="17" a="1"/>
  <c r="AE176" i="17" s="1"/>
  <c r="C176" i="24" s="1"/>
  <c r="AE85" i="17" a="1"/>
  <c r="AE85" i="17" s="1"/>
  <c r="C85" i="24" s="1"/>
  <c r="AE84" i="17" a="1"/>
  <c r="AE84" i="17" s="1"/>
  <c r="C84" i="24" s="1"/>
  <c r="AE83" i="17" a="1"/>
  <c r="AE83" i="17" s="1"/>
  <c r="C83" i="24" s="1"/>
  <c r="AE82" i="17" a="1"/>
  <c r="AE82" i="17" s="1"/>
  <c r="C82" i="24" s="1"/>
  <c r="AE81" i="17" a="1"/>
  <c r="AE81" i="17" s="1"/>
  <c r="C81" i="24" s="1"/>
  <c r="AE80" i="17" a="1"/>
  <c r="AE80" i="17" s="1"/>
  <c r="C80" i="24" s="1"/>
  <c r="AE79" i="17" a="1"/>
  <c r="AE79" i="17" s="1"/>
  <c r="C79" i="24" s="1"/>
  <c r="AE78" i="17" a="1"/>
  <c r="AE78" i="17" s="1"/>
  <c r="C78" i="24" s="1"/>
  <c r="AE77" i="17" a="1"/>
  <c r="AE77" i="17" s="1"/>
  <c r="C77" i="24" s="1"/>
  <c r="AE76" i="17" a="1"/>
  <c r="AE76" i="17" s="1"/>
  <c r="C76" i="24" s="1"/>
  <c r="AE75" i="17" a="1"/>
  <c r="AE75" i="17" s="1"/>
  <c r="C75" i="24" s="1"/>
  <c r="AE74" i="17" a="1"/>
  <c r="AE74" i="17" s="1"/>
  <c r="C74" i="24" s="1"/>
  <c r="AE73" i="17" a="1"/>
  <c r="AE73" i="17" s="1"/>
  <c r="C73" i="24" s="1"/>
  <c r="AE673" i="17" a="1"/>
  <c r="AE673" i="17" s="1"/>
  <c r="C673" i="24" s="1"/>
  <c r="AE672" i="17" a="1"/>
  <c r="AE672" i="17" s="1"/>
  <c r="C672" i="24" s="1"/>
  <c r="AE671" i="17" a="1"/>
  <c r="AE671" i="17" s="1"/>
  <c r="C671" i="24" s="1"/>
  <c r="AE670" i="17" a="1"/>
  <c r="AE670" i="17" s="1"/>
  <c r="C670" i="24" s="1"/>
  <c r="AE543" i="17" a="1"/>
  <c r="AE543" i="17" s="1"/>
  <c r="C543" i="24" s="1"/>
  <c r="AE542" i="17" a="1"/>
  <c r="AE542" i="17" s="1"/>
  <c r="C542" i="24" s="1"/>
  <c r="AE488" i="17" a="1"/>
  <c r="AE488" i="17" s="1"/>
  <c r="C488" i="24" s="1"/>
  <c r="AE487" i="17" a="1"/>
  <c r="AE487" i="17" s="1"/>
  <c r="C487" i="24" s="1"/>
  <c r="AE486" i="17" a="1"/>
  <c r="AE486" i="17" s="1"/>
  <c r="C486" i="24" s="1"/>
  <c r="AE287" i="17" a="1"/>
  <c r="AE287" i="17" s="1"/>
  <c r="C287" i="24" s="1"/>
  <c r="AE259" i="17" a="1"/>
  <c r="AE259" i="17" s="1"/>
  <c r="C259" i="24" s="1"/>
  <c r="AE258" i="17" a="1"/>
  <c r="AE258" i="17" s="1"/>
  <c r="C258" i="24" s="1"/>
  <c r="AE257" i="17" a="1"/>
  <c r="AE257" i="17" s="1"/>
  <c r="C257" i="24" s="1"/>
  <c r="AE256" i="17" a="1"/>
  <c r="AE256" i="17" s="1"/>
  <c r="C256" i="24" s="1"/>
  <c r="AE255" i="17" a="1"/>
  <c r="AE255" i="17" s="1"/>
  <c r="C255" i="24" s="1"/>
  <c r="AE254" i="17" a="1"/>
  <c r="AE254" i="17" s="1"/>
  <c r="C254" i="24" s="1"/>
  <c r="AE253" i="17" a="1"/>
  <c r="AE253" i="17" s="1"/>
  <c r="C253" i="24" s="1"/>
  <c r="AE252" i="17" a="1"/>
  <c r="AE252" i="17" s="1"/>
  <c r="C252" i="24" s="1"/>
  <c r="AE251" i="17" a="1"/>
  <c r="AE251" i="17" s="1"/>
  <c r="C251" i="24" s="1"/>
  <c r="AE250" i="17" a="1"/>
  <c r="AE250" i="17" s="1"/>
  <c r="C250" i="24" s="1"/>
  <c r="AE249" i="17" a="1"/>
  <c r="AE249" i="17" s="1"/>
  <c r="C249" i="24" s="1"/>
  <c r="AE248" i="17" a="1"/>
  <c r="AE248" i="17" s="1"/>
  <c r="C248" i="24" s="1"/>
  <c r="AE247" i="17" a="1"/>
  <c r="AE247" i="17" s="1"/>
  <c r="C247" i="24" s="1"/>
  <c r="AE246" i="17" a="1"/>
  <c r="AE246" i="17" s="1"/>
  <c r="C246" i="24" s="1"/>
  <c r="AE669" i="17" a="1"/>
  <c r="AE669" i="17" s="1"/>
  <c r="C669" i="24" s="1"/>
  <c r="AE668" i="17" a="1"/>
  <c r="AE668" i="17" s="1"/>
  <c r="C668" i="24" s="1"/>
  <c r="AE509" i="17" a="1"/>
  <c r="AE509" i="17" s="1"/>
  <c r="C509" i="24" s="1"/>
  <c r="AE505" i="17" a="1"/>
  <c r="AE505" i="17" s="1"/>
  <c r="C505" i="24" s="1"/>
  <c r="AE503" i="17" a="1"/>
  <c r="AE503" i="17" s="1"/>
  <c r="C503" i="24" s="1"/>
  <c r="AE502" i="17" a="1"/>
  <c r="AE502" i="17" s="1"/>
  <c r="C502" i="24" s="1"/>
  <c r="AE501" i="17" a="1"/>
  <c r="AE501" i="17" s="1"/>
  <c r="C501" i="24" s="1"/>
  <c r="AE500" i="17" a="1"/>
  <c r="AE500" i="17" s="1"/>
  <c r="C500" i="24" s="1"/>
  <c r="AE499" i="17" a="1"/>
  <c r="AE499" i="17" s="1"/>
  <c r="C499" i="24" s="1"/>
  <c r="AE498" i="17" a="1"/>
  <c r="AE498" i="17" s="1"/>
  <c r="C498" i="24" s="1"/>
  <c r="AE497" i="17" a="1"/>
  <c r="AE497" i="17" s="1"/>
  <c r="C497" i="24" s="1"/>
  <c r="AE496" i="17" a="1"/>
  <c r="AE496" i="17" s="1"/>
  <c r="C496" i="24" s="1"/>
  <c r="AE495" i="17" a="1"/>
  <c r="AE495" i="17" s="1"/>
  <c r="C495" i="24" s="1"/>
  <c r="AE494" i="17" a="1"/>
  <c r="AE494" i="17" s="1"/>
  <c r="C494" i="24" s="1"/>
  <c r="AE493" i="17" a="1"/>
  <c r="AE493" i="17" s="1"/>
  <c r="C493" i="24" s="1"/>
  <c r="AE492" i="17" a="1"/>
  <c r="AE492" i="17" s="1"/>
  <c r="C492" i="24" s="1"/>
  <c r="AE491" i="17" a="1"/>
  <c r="AE491" i="17" s="1"/>
  <c r="C491" i="24" s="1"/>
  <c r="AE490" i="17" a="1"/>
  <c r="AE490" i="17" s="1"/>
  <c r="C490" i="24" s="1"/>
  <c r="AE604" i="17" a="1"/>
  <c r="AE604" i="17" s="1"/>
  <c r="C604" i="24" s="1"/>
  <c r="AE603" i="17" a="1"/>
  <c r="AE603" i="17" s="1"/>
  <c r="C603" i="24" s="1"/>
  <c r="AE602" i="17" a="1"/>
  <c r="AE602" i="17" s="1"/>
  <c r="C602" i="24" s="1"/>
  <c r="AE601" i="17" a="1"/>
  <c r="AE601" i="17" s="1"/>
  <c r="C601" i="24" s="1"/>
  <c r="AE532" i="17" a="1"/>
  <c r="AE532" i="17" s="1"/>
  <c r="C532" i="24" s="1"/>
  <c r="AE531" i="17" a="1"/>
  <c r="AE531" i="17" s="1"/>
  <c r="C531" i="24" s="1"/>
  <c r="AE530" i="17" a="1"/>
  <c r="AE530" i="17" s="1"/>
  <c r="C530" i="24" s="1"/>
  <c r="AE529" i="17" a="1"/>
  <c r="AE529" i="17" s="1"/>
  <c r="C529" i="24" s="1"/>
  <c r="AE528" i="17" a="1"/>
  <c r="AE528" i="17" s="1"/>
  <c r="C528" i="24" s="1"/>
  <c r="AE527" i="17" a="1"/>
  <c r="AE527" i="17" s="1"/>
  <c r="C527" i="24" s="1"/>
  <c r="AE526" i="17" a="1"/>
  <c r="AE526" i="17" s="1"/>
  <c r="C526" i="24" s="1"/>
  <c r="AE525" i="17" a="1"/>
  <c r="AE525" i="17" s="1"/>
  <c r="C525" i="24" s="1"/>
  <c r="AE524" i="17" a="1"/>
  <c r="AE524" i="17" s="1"/>
  <c r="C524" i="24" s="1"/>
  <c r="AE523" i="17" a="1"/>
  <c r="AE523" i="17" s="1"/>
  <c r="C523" i="24" s="1"/>
  <c r="AE522" i="17" a="1"/>
  <c r="AE522" i="17" s="1"/>
  <c r="C522" i="24" s="1"/>
  <c r="AE521" i="17" a="1"/>
  <c r="AE521" i="17" s="1"/>
  <c r="C521" i="24" s="1"/>
  <c r="AE520" i="17" a="1"/>
  <c r="AE520" i="17" s="1"/>
  <c r="C520" i="24" s="1"/>
  <c r="AE519" i="17" a="1"/>
  <c r="AE519" i="17" s="1"/>
  <c r="C519" i="24" s="1"/>
  <c r="AE518" i="17" a="1"/>
  <c r="AE518" i="17" s="1"/>
  <c r="C518" i="24" s="1"/>
  <c r="AE517" i="17" a="1"/>
  <c r="AE517" i="17" s="1"/>
  <c r="C517" i="24" s="1"/>
  <c r="AE516" i="17" a="1"/>
  <c r="AE516" i="17" s="1"/>
  <c r="C516" i="24" s="1"/>
  <c r="AE515" i="17" a="1"/>
  <c r="AE515" i="17" s="1"/>
  <c r="C515" i="24" s="1"/>
  <c r="AE514" i="17" a="1"/>
  <c r="AE514" i="17" s="1"/>
  <c r="C514" i="24" s="1"/>
  <c r="AE513" i="17" a="1"/>
  <c r="AE513" i="17" s="1"/>
  <c r="C513" i="24" s="1"/>
  <c r="AE512" i="17" a="1"/>
  <c r="AE512" i="17" s="1"/>
  <c r="C512" i="24" s="1"/>
  <c r="AE511" i="17" a="1"/>
  <c r="AE511" i="17" s="1"/>
  <c r="C511" i="24" s="1"/>
  <c r="AE510" i="17" a="1"/>
  <c r="AE510" i="17" s="1"/>
  <c r="C510" i="24" s="1"/>
  <c r="AE508" i="17" a="1"/>
  <c r="AE508" i="17" s="1"/>
  <c r="C508" i="24" s="1"/>
  <c r="AE507" i="17" a="1"/>
  <c r="AE507" i="17" s="1"/>
  <c r="C507" i="24" s="1"/>
  <c r="AE506" i="17" a="1"/>
  <c r="AE506" i="17" s="1"/>
  <c r="C506" i="24" s="1"/>
  <c r="AE450" i="17" a="1"/>
  <c r="AE450" i="17" s="1"/>
  <c r="C450" i="24" s="1"/>
  <c r="AE449" i="17" a="1"/>
  <c r="AE449" i="17" s="1"/>
  <c r="C449" i="24" s="1"/>
  <c r="AE448" i="17" a="1"/>
  <c r="AE448" i="17" s="1"/>
  <c r="C448" i="24" s="1"/>
  <c r="AE447" i="17" a="1"/>
  <c r="AE447" i="17" s="1"/>
  <c r="C447" i="24" s="1"/>
  <c r="AE446" i="17" a="1"/>
  <c r="AE446" i="17" s="1"/>
  <c r="C446" i="24" s="1"/>
  <c r="AE445" i="17" a="1"/>
  <c r="AE445" i="17" s="1"/>
  <c r="C445" i="24" s="1"/>
  <c r="AE444" i="17" a="1"/>
  <c r="AE444" i="17" s="1"/>
  <c r="C444" i="24" s="1"/>
  <c r="AE443" i="17" a="1"/>
  <c r="AE443" i="17" s="1"/>
  <c r="C443" i="24" s="1"/>
  <c r="AE442" i="17" a="1"/>
  <c r="AE442" i="17" s="1"/>
  <c r="C442" i="24" s="1"/>
  <c r="AE441" i="17" a="1"/>
  <c r="AE441" i="17" s="1"/>
  <c r="C441" i="24" s="1"/>
  <c r="AE440" i="17" a="1"/>
  <c r="AE440" i="17" s="1"/>
  <c r="C440" i="24" s="1"/>
  <c r="AE439" i="17" a="1"/>
  <c r="AE439" i="17" s="1"/>
  <c r="C439" i="24" s="1"/>
  <c r="AE438" i="17" a="1"/>
  <c r="AE438" i="17" s="1"/>
  <c r="C438" i="24" s="1"/>
  <c r="AE437" i="17" a="1"/>
  <c r="AE437" i="17" s="1"/>
  <c r="C437" i="24" s="1"/>
  <c r="AE436" i="17" a="1"/>
  <c r="AE436" i="17" s="1"/>
  <c r="C436" i="24" s="1"/>
  <c r="AE435" i="17" a="1"/>
  <c r="AE435" i="17" s="1"/>
  <c r="C435" i="24" s="1"/>
  <c r="AE434" i="17" a="1"/>
  <c r="AE434" i="17" s="1"/>
  <c r="C434" i="24" s="1"/>
  <c r="AE433" i="17" a="1"/>
  <c r="AE433" i="17" s="1"/>
  <c r="C433" i="24" s="1"/>
  <c r="AE432" i="17" a="1"/>
  <c r="AE432" i="17" s="1"/>
  <c r="C432" i="24" s="1"/>
  <c r="AE431" i="17" a="1"/>
  <c r="AE431" i="17" s="1"/>
  <c r="C431" i="24" s="1"/>
  <c r="AE430" i="17" a="1"/>
  <c r="AE430" i="17" s="1"/>
  <c r="C430" i="24" s="1"/>
  <c r="AE429" i="17" a="1"/>
  <c r="AE429" i="17" s="1"/>
  <c r="C429" i="24" s="1"/>
  <c r="AE428" i="17" a="1"/>
  <c r="AE428" i="17" s="1"/>
  <c r="C428" i="24" s="1"/>
  <c r="AE427" i="17" a="1"/>
  <c r="AE427" i="17" s="1"/>
  <c r="C427" i="24" s="1"/>
  <c r="AE426" i="17" a="1"/>
  <c r="AE426" i="17" s="1"/>
  <c r="C426" i="24" s="1"/>
  <c r="AE425" i="17" a="1"/>
  <c r="AE425" i="17" s="1"/>
  <c r="C425" i="24" s="1"/>
  <c r="AE424" i="17" a="1"/>
  <c r="AE424" i="17" s="1"/>
  <c r="C424" i="24" s="1"/>
  <c r="AE423" i="17" a="1"/>
  <c r="AE423" i="17" s="1"/>
  <c r="C423" i="24" s="1"/>
  <c r="AE422" i="17" a="1"/>
  <c r="AE422" i="17" s="1"/>
  <c r="C422" i="24" s="1"/>
  <c r="AE421" i="17" a="1"/>
  <c r="AE421" i="17" s="1"/>
  <c r="C421" i="24" s="1"/>
  <c r="AE420" i="17" a="1"/>
  <c r="AE420" i="17" s="1"/>
  <c r="C420" i="24" s="1"/>
  <c r="AE389" i="17" a="1"/>
  <c r="AE389" i="17" s="1"/>
  <c r="C389" i="24" s="1"/>
  <c r="AE388" i="17" a="1"/>
  <c r="AE388" i="17" s="1"/>
  <c r="C388" i="24" s="1"/>
  <c r="AE387" i="17" a="1"/>
  <c r="AE387" i="17" s="1"/>
  <c r="C387" i="24" s="1"/>
  <c r="AE386" i="17" a="1"/>
  <c r="AE386" i="17" s="1"/>
  <c r="C386" i="24" s="1"/>
  <c r="AE385" i="17" a="1"/>
  <c r="AE385" i="17" s="1"/>
  <c r="C385" i="24" s="1"/>
  <c r="AE384" i="17" a="1"/>
  <c r="AE384" i="17" s="1"/>
  <c r="C384" i="24" s="1"/>
  <c r="AE383" i="17" a="1"/>
  <c r="AE383" i="17" s="1"/>
  <c r="C383" i="24" s="1"/>
  <c r="AE382" i="17" a="1"/>
  <c r="AE382" i="17" s="1"/>
  <c r="C382" i="24" s="1"/>
  <c r="AE381" i="17" a="1"/>
  <c r="AE381" i="17" s="1"/>
  <c r="C381" i="24" s="1"/>
  <c r="AE380" i="17" a="1"/>
  <c r="AE380" i="17" s="1"/>
  <c r="C380" i="24" s="1"/>
  <c r="AE379" i="17" a="1"/>
  <c r="AE379" i="17" s="1"/>
  <c r="C379" i="24" s="1"/>
  <c r="AE378" i="17" a="1"/>
  <c r="AE378" i="17" s="1"/>
  <c r="C378" i="24" s="1"/>
  <c r="AE377" i="17" a="1"/>
  <c r="AE377" i="17" s="1"/>
  <c r="C377" i="24" s="1"/>
  <c r="AE376" i="17" a="1"/>
  <c r="AE376" i="17" s="1"/>
  <c r="C376" i="24" s="1"/>
  <c r="AE375" i="17" a="1"/>
  <c r="AE375" i="17" s="1"/>
  <c r="C375" i="24" s="1"/>
  <c r="AE374" i="17" a="1"/>
  <c r="AE374" i="17" s="1"/>
  <c r="C374" i="24" s="1"/>
  <c r="AE373" i="17" a="1"/>
  <c r="AE373" i="17" s="1"/>
  <c r="C373" i="24" s="1"/>
  <c r="AE372" i="17" a="1"/>
  <c r="AE372" i="17" s="1"/>
  <c r="C372" i="24" s="1"/>
  <c r="AE371" i="17" a="1"/>
  <c r="AE371" i="17" s="1"/>
  <c r="C371" i="24" s="1"/>
  <c r="AE370" i="17" a="1"/>
  <c r="AE370" i="17" s="1"/>
  <c r="C370" i="24" s="1"/>
  <c r="AE369" i="17" a="1"/>
  <c r="AE369" i="17" s="1"/>
  <c r="C369" i="24" s="1"/>
  <c r="AE368" i="17" a="1"/>
  <c r="AE368" i="17" s="1"/>
  <c r="C368" i="24" s="1"/>
  <c r="AE367" i="17" a="1"/>
  <c r="AE367" i="17" s="1"/>
  <c r="C367" i="24" s="1"/>
  <c r="AE366" i="17" a="1"/>
  <c r="AE366" i="17" s="1"/>
  <c r="C366" i="24" s="1"/>
  <c r="AE365" i="17" a="1"/>
  <c r="AE365" i="17" s="1"/>
  <c r="C365" i="24" s="1"/>
  <c r="AE364" i="17" a="1"/>
  <c r="AE364" i="17" s="1"/>
  <c r="C364" i="24" s="1"/>
  <c r="AE363" i="17" a="1"/>
  <c r="AE363" i="17" s="1"/>
  <c r="C363" i="24" s="1"/>
  <c r="AE362" i="17" a="1"/>
  <c r="AE362" i="17" s="1"/>
  <c r="C362" i="24" s="1"/>
  <c r="AE361" i="17" a="1"/>
  <c r="AE361" i="17" s="1"/>
  <c r="C361" i="24" s="1"/>
  <c r="AE360" i="17" a="1"/>
  <c r="AE360" i="17" s="1"/>
  <c r="C360" i="24" s="1"/>
  <c r="AE359" i="17" a="1"/>
  <c r="AE359" i="17" s="1"/>
  <c r="C359" i="24" s="1"/>
  <c r="AE358" i="17" a="1"/>
  <c r="AE358" i="17" s="1"/>
  <c r="C358" i="24" s="1"/>
  <c r="AE357" i="17" a="1"/>
  <c r="AE357" i="17" s="1"/>
  <c r="C357" i="24" s="1"/>
  <c r="AE356" i="17" a="1"/>
  <c r="AE356" i="17" s="1"/>
  <c r="C356" i="24" s="1"/>
  <c r="AE355" i="17" a="1"/>
  <c r="AE355" i="17" s="1"/>
  <c r="C355" i="24" s="1"/>
  <c r="AE354" i="17" a="1"/>
  <c r="AE354" i="17" s="1"/>
  <c r="C354" i="24" s="1"/>
  <c r="AE353" i="17" a="1"/>
  <c r="AE353" i="17" s="1"/>
  <c r="C353" i="24" s="1"/>
  <c r="AE352" i="17" a="1"/>
  <c r="AE352" i="17" s="1"/>
  <c r="C352" i="24" s="1"/>
  <c r="AE351" i="17" a="1"/>
  <c r="AE351" i="17" s="1"/>
  <c r="C351" i="24" s="1"/>
  <c r="AE299" i="17" a="1"/>
  <c r="AE299" i="17" s="1"/>
  <c r="C299" i="24" s="1"/>
  <c r="AE298" i="17" a="1"/>
  <c r="AE298" i="17" s="1"/>
  <c r="C298" i="24" s="1"/>
  <c r="AE297" i="17" a="1"/>
  <c r="AE297" i="17" s="1"/>
  <c r="C297" i="24" s="1"/>
  <c r="AE296" i="17" a="1"/>
  <c r="AE296" i="17" s="1"/>
  <c r="C296" i="24" s="1"/>
  <c r="AE295" i="17" a="1"/>
  <c r="AE295" i="17" s="1"/>
  <c r="C295" i="24" s="1"/>
  <c r="AE294" i="17" a="1"/>
  <c r="AE294" i="17" s="1"/>
  <c r="C294" i="24" s="1"/>
  <c r="AE293" i="17" a="1"/>
  <c r="AE293" i="17" s="1"/>
  <c r="C293" i="24" s="1"/>
  <c r="AE292" i="17" a="1"/>
  <c r="AE292" i="17" s="1"/>
  <c r="C292" i="24" s="1"/>
  <c r="AE137" i="17" a="1"/>
  <c r="AE137" i="17" s="1"/>
  <c r="C137" i="24" s="1"/>
  <c r="AE136" i="17" a="1"/>
  <c r="AE136" i="17" s="1"/>
  <c r="C136" i="24" s="1"/>
  <c r="AE135" i="17" a="1"/>
  <c r="AE135" i="17" s="1"/>
  <c r="C135" i="24" s="1"/>
  <c r="AE134" i="17" a="1"/>
  <c r="AE134" i="17" s="1"/>
  <c r="C134" i="24" s="1"/>
  <c r="AE133" i="17" a="1"/>
  <c r="AE133" i="17" s="1"/>
  <c r="C133" i="24" s="1"/>
  <c r="AE132" i="17" a="1"/>
  <c r="AE132" i="17" s="1"/>
  <c r="C132" i="24" s="1"/>
  <c r="AE131" i="17" a="1"/>
  <c r="AE131" i="17" s="1"/>
  <c r="C131" i="24" s="1"/>
  <c r="AE130" i="17" a="1"/>
  <c r="AE130" i="17" s="1"/>
  <c r="C130" i="24" s="1"/>
  <c r="AE129" i="17" a="1"/>
  <c r="AE129" i="17" s="1"/>
  <c r="C129" i="24" s="1"/>
  <c r="AE128" i="17" a="1"/>
  <c r="AE128" i="17" s="1"/>
  <c r="C128" i="24" s="1"/>
  <c r="AE127" i="17" a="1"/>
  <c r="AE127" i="17" s="1"/>
  <c r="C127" i="24" s="1"/>
  <c r="AE126" i="17" a="1"/>
  <c r="AE126" i="17" s="1"/>
  <c r="C126" i="24" s="1"/>
  <c r="AE125" i="17" a="1"/>
  <c r="AE125" i="17" s="1"/>
  <c r="C125" i="24" s="1"/>
  <c r="AE124" i="17" a="1"/>
  <c r="AE124" i="17" s="1"/>
  <c r="C124" i="24" s="1"/>
  <c r="AE123" i="17" a="1"/>
  <c r="AE123" i="17" s="1"/>
  <c r="C123" i="24" s="1"/>
  <c r="AE122" i="17" a="1"/>
  <c r="AE122" i="17" s="1"/>
  <c r="C122" i="24" s="1"/>
  <c r="AE121" i="17" a="1"/>
  <c r="AE121" i="17" s="1"/>
  <c r="C121" i="24" s="1"/>
  <c r="AE120" i="17" a="1"/>
  <c r="AE120" i="17" s="1"/>
  <c r="C120" i="24" s="1"/>
  <c r="AE119" i="17" a="1"/>
  <c r="AE119" i="17" s="1"/>
  <c r="C119" i="24" s="1"/>
  <c r="AE118" i="17" a="1"/>
  <c r="AE118" i="17" s="1"/>
  <c r="C118" i="24" s="1"/>
  <c r="AE117" i="17" a="1"/>
  <c r="AE117" i="17" s="1"/>
  <c r="C117" i="24" s="1"/>
  <c r="AE116" i="17" a="1"/>
  <c r="AE116" i="17" s="1"/>
  <c r="C116" i="24" s="1"/>
  <c r="AE115" i="17" a="1"/>
  <c r="AE115" i="17" s="1"/>
  <c r="C115" i="24" s="1"/>
  <c r="AE114" i="17" a="1"/>
  <c r="AE114" i="17" s="1"/>
  <c r="C114" i="24" s="1"/>
  <c r="AE113" i="17" a="1"/>
  <c r="AE113" i="17" s="1"/>
  <c r="C113" i="24" s="1"/>
  <c r="AE112" i="17" a="1"/>
  <c r="AE112" i="17" s="1"/>
  <c r="C112" i="24" s="1"/>
  <c r="AE111" i="17" a="1"/>
  <c r="AE111" i="17" s="1"/>
  <c r="C111" i="24" s="1"/>
  <c r="AE110" i="17" a="1"/>
  <c r="AE110" i="17" s="1"/>
  <c r="C110" i="24" s="1"/>
  <c r="AE109" i="17" a="1"/>
  <c r="AE109" i="17" s="1"/>
  <c r="C109" i="24" s="1"/>
  <c r="AE108" i="17" a="1"/>
  <c r="AE108" i="17" s="1"/>
  <c r="C108" i="24" s="1"/>
  <c r="AE107" i="17" a="1"/>
  <c r="AE107" i="17" s="1"/>
  <c r="C107" i="24" s="1"/>
  <c r="AE106" i="17" a="1"/>
  <c r="AE106" i="17" s="1"/>
  <c r="C106" i="24" s="1"/>
  <c r="AE105" i="17" a="1"/>
  <c r="AE105" i="17" s="1"/>
  <c r="C105" i="24" s="1"/>
  <c r="AE104" i="17" a="1"/>
  <c r="AE104" i="17" s="1"/>
  <c r="C104" i="24" s="1"/>
  <c r="AE103" i="17" a="1"/>
  <c r="AE103" i="17" s="1"/>
  <c r="C103" i="24" s="1"/>
  <c r="AE102" i="17" a="1"/>
  <c r="AE102" i="17" s="1"/>
  <c r="C102" i="24" s="1"/>
  <c r="AE101" i="17" a="1"/>
  <c r="AE101" i="17" s="1"/>
  <c r="C101" i="24" s="1"/>
  <c r="AE100" i="17" a="1"/>
  <c r="AE100" i="17" s="1"/>
  <c r="C100" i="24" s="1"/>
  <c r="AE99" i="17" a="1"/>
  <c r="AE99" i="17" s="1"/>
  <c r="C99" i="24" s="1"/>
  <c r="AE98" i="17" a="1"/>
  <c r="AE98" i="17" s="1"/>
  <c r="C98" i="24" s="1"/>
  <c r="AE97" i="17" a="1"/>
  <c r="AE97" i="17" s="1"/>
  <c r="C97" i="24" s="1"/>
  <c r="AE96" i="17" a="1"/>
  <c r="AE96" i="17" s="1"/>
  <c r="C96" i="24" s="1"/>
  <c r="AE95" i="17" a="1"/>
  <c r="AE95" i="17" s="1"/>
  <c r="C95" i="24" s="1"/>
  <c r="AE94" i="17" a="1"/>
  <c r="AE94" i="17" s="1"/>
  <c r="C94" i="24" s="1"/>
  <c r="AE93" i="17" a="1"/>
  <c r="AE93" i="17" s="1"/>
  <c r="C93" i="24" s="1"/>
  <c r="AE92" i="17" a="1"/>
  <c r="AE92" i="17" s="1"/>
  <c r="C92" i="24" s="1"/>
  <c r="AE91" i="17" a="1"/>
  <c r="AE91" i="17" s="1"/>
  <c r="C91" i="24" s="1"/>
  <c r="AE90" i="17" a="1"/>
  <c r="AE90" i="17" s="1"/>
  <c r="C90" i="24" s="1"/>
  <c r="AE89" i="17" a="1"/>
  <c r="AE89" i="17" s="1"/>
  <c r="C89" i="24" s="1"/>
  <c r="AE88" i="17" a="1"/>
  <c r="AE88" i="17" s="1"/>
  <c r="C88" i="24" s="1"/>
  <c r="AE87" i="17" a="1"/>
  <c r="AE87" i="17" s="1"/>
  <c r="C87" i="24" s="1"/>
  <c r="AE86" i="17" a="1"/>
  <c r="AE86" i="17" s="1"/>
  <c r="C86" i="24" s="1"/>
  <c r="C793" i="24"/>
  <c r="AE481" i="17" a="1"/>
  <c r="AE481" i="17" s="1"/>
  <c r="C481" i="24" s="1"/>
  <c r="AE707" i="17" a="1"/>
  <c r="AE707" i="17" s="1"/>
  <c r="C707" i="24" s="1"/>
  <c r="AE706" i="17" a="1"/>
  <c r="AE706" i="17" s="1"/>
  <c r="C706" i="24" s="1"/>
  <c r="AE705" i="17" a="1"/>
  <c r="AE705" i="17" s="1"/>
  <c r="C705" i="24" s="1"/>
  <c r="AE704" i="17" a="1"/>
  <c r="AE704" i="17" s="1"/>
  <c r="C704" i="24" s="1"/>
  <c r="AE703" i="17" a="1"/>
  <c r="AE703" i="17" s="1"/>
  <c r="C703" i="24" s="1"/>
  <c r="AE702" i="17" a="1"/>
  <c r="AE702" i="17" s="1"/>
  <c r="C702" i="24" s="1"/>
  <c r="AE701" i="17" a="1"/>
  <c r="AE701" i="17" s="1"/>
  <c r="C701" i="24" s="1"/>
  <c r="AE541" i="17" a="1"/>
  <c r="AE541" i="17" s="1"/>
  <c r="C541" i="24" s="1"/>
  <c r="AE540" i="17" a="1"/>
  <c r="AE540" i="17" s="1"/>
  <c r="C540" i="24" s="1"/>
  <c r="AE539" i="17" a="1"/>
  <c r="AE539" i="17" s="1"/>
  <c r="C539" i="24" s="1"/>
  <c r="AE538" i="17" a="1"/>
  <c r="AE538" i="17" s="1"/>
  <c r="C538" i="24" s="1"/>
  <c r="AE537" i="17" a="1"/>
  <c r="AE537" i="17" s="1"/>
  <c r="C537" i="24" s="1"/>
  <c r="AE536" i="17" a="1"/>
  <c r="AE536" i="17" s="1"/>
  <c r="C536" i="24" s="1"/>
  <c r="AE535" i="17" a="1"/>
  <c r="AE535" i="17" s="1"/>
  <c r="C535" i="24" s="1"/>
  <c r="AE534" i="17" a="1"/>
  <c r="AE534" i="17" s="1"/>
  <c r="C534" i="24" s="1"/>
  <c r="AE533" i="17" a="1"/>
  <c r="AE533" i="17" s="1"/>
  <c r="C533" i="24" s="1"/>
  <c r="AE419" i="17" a="1"/>
  <c r="AE419" i="17" s="1"/>
  <c r="C419" i="24" s="1"/>
  <c r="AE418" i="17" a="1"/>
  <c r="AE418" i="17" s="1"/>
  <c r="C418" i="24" s="1"/>
  <c r="AE417" i="17" a="1"/>
  <c r="AE417" i="17" s="1"/>
  <c r="C417" i="24" s="1"/>
  <c r="AE416" i="17" a="1"/>
  <c r="AE416" i="17" s="1"/>
  <c r="C416" i="24" s="1"/>
  <c r="AE415" i="17" a="1"/>
  <c r="AE415" i="17" s="1"/>
  <c r="C415" i="24" s="1"/>
  <c r="AE414" i="17" a="1"/>
  <c r="AE414" i="17" s="1"/>
  <c r="C414" i="24" s="1"/>
  <c r="AE413" i="17" a="1"/>
  <c r="AE413" i="17" s="1"/>
  <c r="C413" i="24" s="1"/>
  <c r="AE412" i="17" a="1"/>
  <c r="AE412" i="17" s="1"/>
  <c r="C412" i="24" s="1"/>
  <c r="AE411" i="17" a="1"/>
  <c r="AE411" i="17" s="1"/>
  <c r="C411" i="24" s="1"/>
  <c r="AE410" i="17" a="1"/>
  <c r="AE410" i="17" s="1"/>
  <c r="C410" i="24" s="1"/>
  <c r="AE409" i="17" a="1"/>
  <c r="AE409" i="17" s="1"/>
  <c r="C409" i="24" s="1"/>
  <c r="AE408" i="17" a="1"/>
  <c r="AE408" i="17" s="1"/>
  <c r="C408" i="24" s="1"/>
  <c r="AE407" i="17" a="1"/>
  <c r="AE407" i="17" s="1"/>
  <c r="C407" i="24" s="1"/>
  <c r="AE406" i="17" a="1"/>
  <c r="AE406" i="17" s="1"/>
  <c r="C406" i="24" s="1"/>
  <c r="AE405" i="17" a="1"/>
  <c r="AE405" i="17" s="1"/>
  <c r="C405" i="24" s="1"/>
  <c r="AE404" i="17" a="1"/>
  <c r="AE404" i="17" s="1"/>
  <c r="C404" i="24" s="1"/>
  <c r="AE403" i="17" a="1"/>
  <c r="AE403" i="17" s="1"/>
  <c r="C403" i="24" s="1"/>
  <c r="AE402" i="17" a="1"/>
  <c r="AE402" i="17" s="1"/>
  <c r="C402" i="24" s="1"/>
  <c r="AE401" i="17" a="1"/>
  <c r="AE401" i="17" s="1"/>
  <c r="C401" i="24" s="1"/>
  <c r="AE400" i="17" a="1"/>
  <c r="AE400" i="17" s="1"/>
  <c r="C400" i="24" s="1"/>
  <c r="AE399" i="17" a="1"/>
  <c r="AE399" i="17" s="1"/>
  <c r="C399" i="24" s="1"/>
  <c r="AE398" i="17" a="1"/>
  <c r="AE398" i="17" s="1"/>
  <c r="C398" i="24" s="1"/>
  <c r="AE397" i="17" a="1"/>
  <c r="AE397" i="17" s="1"/>
  <c r="C397" i="24" s="1"/>
  <c r="AE396" i="17" a="1"/>
  <c r="AE396" i="17" s="1"/>
  <c r="C396" i="24" s="1"/>
  <c r="AE395" i="17" a="1"/>
  <c r="AE395" i="17" s="1"/>
  <c r="C395" i="24" s="1"/>
  <c r="AE394" i="17" a="1"/>
  <c r="AE394" i="17" s="1"/>
  <c r="C394" i="24" s="1"/>
  <c r="AE393" i="17" a="1"/>
  <c r="AE393" i="17" s="1"/>
  <c r="C393" i="24" s="1"/>
  <c r="AE392" i="17" a="1"/>
  <c r="AE392" i="17" s="1"/>
  <c r="C392" i="24" s="1"/>
  <c r="AE391" i="17" a="1"/>
  <c r="AE391" i="17" s="1"/>
  <c r="C391" i="24" s="1"/>
  <c r="AE390" i="17" a="1"/>
  <c r="AE390" i="17" s="1"/>
  <c r="C390" i="24" s="1"/>
  <c r="AE286" i="17" a="1"/>
  <c r="AE286" i="17" s="1"/>
  <c r="C286" i="24" s="1"/>
  <c r="AE285" i="17" a="1"/>
  <c r="AE285" i="17" s="1"/>
  <c r="C285" i="24" s="1"/>
  <c r="AE284" i="17" a="1"/>
  <c r="AE284" i="17" s="1"/>
  <c r="C284" i="24" s="1"/>
  <c r="AE283" i="17" a="1"/>
  <c r="AE283" i="17" s="1"/>
  <c r="C283" i="24" s="1"/>
  <c r="AE282" i="17" a="1"/>
  <c r="AE282" i="17" s="1"/>
  <c r="C282" i="24" s="1"/>
  <c r="AE281" i="17" a="1"/>
  <c r="AE281" i="17" s="1"/>
  <c r="C281" i="24" s="1"/>
  <c r="AE280" i="17" a="1"/>
  <c r="AE280" i="17" s="1"/>
  <c r="C280" i="24" s="1"/>
  <c r="AE279" i="17" a="1"/>
  <c r="AE279" i="17" s="1"/>
  <c r="C279" i="24" s="1"/>
  <c r="AE278" i="17" a="1"/>
  <c r="AE278" i="17" s="1"/>
  <c r="C278" i="24" s="1"/>
  <c r="AE277" i="17" a="1"/>
  <c r="AE277" i="17" s="1"/>
  <c r="C277" i="24" s="1"/>
  <c r="AE276" i="17" a="1"/>
  <c r="AE276" i="17" s="1"/>
  <c r="C276" i="24" s="1"/>
  <c r="AE275" i="17" a="1"/>
  <c r="AE275" i="17" s="1"/>
  <c r="C275" i="24" s="1"/>
  <c r="AE274" i="17" a="1"/>
  <c r="AE274" i="17" s="1"/>
  <c r="C274" i="24" s="1"/>
  <c r="AE273" i="17" a="1"/>
  <c r="AE273" i="17" s="1"/>
  <c r="C273" i="24" s="1"/>
  <c r="AE272" i="17" a="1"/>
  <c r="AE272" i="17" s="1"/>
  <c r="C272" i="24" s="1"/>
  <c r="AE271" i="17" a="1"/>
  <c r="AE271" i="17" s="1"/>
  <c r="C271" i="24" s="1"/>
  <c r="AE270" i="17" a="1"/>
  <c r="AE270" i="17" s="1"/>
  <c r="C270" i="24" s="1"/>
  <c r="AE269" i="17" a="1"/>
  <c r="AE269" i="17" s="1"/>
  <c r="C269" i="24" s="1"/>
  <c r="AE268" i="17" a="1"/>
  <c r="AE268" i="17" s="1"/>
  <c r="C268" i="24" s="1"/>
  <c r="AE267" i="17" a="1"/>
  <c r="AE267" i="17" s="1"/>
  <c r="C267" i="24" s="1"/>
  <c r="AE266" i="17" a="1"/>
  <c r="AE266" i="17" s="1"/>
  <c r="C266" i="24" s="1"/>
  <c r="AE265" i="17" a="1"/>
  <c r="AE265" i="17" s="1"/>
  <c r="C265" i="24" s="1"/>
  <c r="AE264" i="17" a="1"/>
  <c r="AE264" i="17" s="1"/>
  <c r="C264" i="24" s="1"/>
  <c r="AE263" i="17" a="1"/>
  <c r="AE263" i="17" s="1"/>
  <c r="C263" i="24" s="1"/>
  <c r="AE262" i="17" a="1"/>
  <c r="AE262" i="17" s="1"/>
  <c r="C262" i="24" s="1"/>
  <c r="AE261" i="17" a="1"/>
  <c r="AE261" i="17" s="1"/>
  <c r="C261" i="24" s="1"/>
  <c r="AE260" i="17" a="1"/>
  <c r="AE260" i="17" s="1"/>
  <c r="C260" i="24" s="1"/>
  <c r="AE153" i="17" a="1"/>
  <c r="AE153" i="17" s="1"/>
  <c r="C153" i="24" s="1"/>
  <c r="AE152" i="17" a="1"/>
  <c r="AE152" i="17" s="1"/>
  <c r="C152" i="24" s="1"/>
  <c r="AE151" i="17" a="1"/>
  <c r="AE151" i="17" s="1"/>
  <c r="C151" i="24" s="1"/>
  <c r="AE150" i="17" a="1"/>
  <c r="AE150" i="17" s="1"/>
  <c r="C150" i="24" s="1"/>
  <c r="AE149" i="17" a="1"/>
  <c r="AE149" i="17" s="1"/>
  <c r="C149" i="24" s="1"/>
  <c r="AE148" i="17" a="1"/>
  <c r="AE148" i="17" s="1"/>
  <c r="C148" i="24" s="1"/>
  <c r="AE147" i="17" a="1"/>
  <c r="AE147" i="17" s="1"/>
  <c r="C147" i="24" s="1"/>
  <c r="AE146" i="17" a="1"/>
  <c r="AE146" i="17" s="1"/>
  <c r="C146" i="24" s="1"/>
  <c r="AE145" i="17" a="1"/>
  <c r="AE145" i="17" s="1"/>
  <c r="C145" i="24" s="1"/>
  <c r="AE144" i="17" a="1"/>
  <c r="AE144" i="17" s="1"/>
  <c r="C144" i="24" s="1"/>
  <c r="AE143" i="17" a="1"/>
  <c r="AE143" i="17" s="1"/>
  <c r="C143" i="24" s="1"/>
  <c r="AE142" i="17" a="1"/>
  <c r="AE142" i="17" s="1"/>
  <c r="C142" i="24" s="1"/>
  <c r="AE141" i="17" a="1"/>
  <c r="AE141" i="17" s="1"/>
  <c r="C141" i="24" s="1"/>
  <c r="AE140" i="17" a="1"/>
  <c r="AE140" i="17" s="1"/>
  <c r="C140" i="24" s="1"/>
  <c r="AE139" i="17" a="1"/>
  <c r="AE139" i="17" s="1"/>
  <c r="C139" i="24" s="1"/>
  <c r="AE138" i="17" a="1"/>
  <c r="AE138" i="17" s="1"/>
  <c r="C138" i="24" s="1"/>
  <c r="AE19" i="17" a="1"/>
  <c r="AE19" i="17" s="1"/>
  <c r="C19" i="24" s="1"/>
  <c r="AE18" i="17" a="1"/>
  <c r="AE18" i="17" s="1"/>
  <c r="C18" i="24" s="1"/>
  <c r="AE17" i="17" a="1"/>
  <c r="AE17" i="17" s="1"/>
  <c r="C17" i="24" s="1"/>
  <c r="AE16" i="17" a="1"/>
  <c r="AE16" i="17" s="1"/>
  <c r="C16" i="24" s="1"/>
  <c r="AE15" i="17" a="1"/>
  <c r="AE15" i="17" s="1"/>
  <c r="C15" i="24" s="1"/>
  <c r="AE14" i="17" a="1"/>
  <c r="AE14" i="17" s="1"/>
  <c r="C14" i="24" s="1"/>
  <c r="AE13" i="17" a="1"/>
  <c r="AE13" i="17" s="1"/>
  <c r="C13" i="24" s="1"/>
  <c r="AE12" i="17" a="1"/>
  <c r="AE12" i="17" s="1"/>
  <c r="C12" i="24" s="1"/>
  <c r="AE11" i="17" a="1"/>
  <c r="AE11" i="17" s="1"/>
  <c r="C11" i="24" s="1"/>
  <c r="AE10" i="17" a="1"/>
  <c r="AE10" i="17" s="1"/>
  <c r="C10" i="24" s="1"/>
  <c r="AE9" i="17" a="1"/>
  <c r="AE9" i="17" s="1"/>
  <c r="C9" i="24" s="1"/>
  <c r="AE8" i="17" a="1"/>
  <c r="AE8" i="17" s="1"/>
  <c r="C8" i="24" s="1"/>
  <c r="AE7" i="17" a="1"/>
  <c r="AE7" i="17" s="1"/>
  <c r="C7" i="24" s="1"/>
  <c r="AE6" i="17" a="1"/>
  <c r="AE6" i="17" s="1"/>
  <c r="C6" i="24" s="1"/>
  <c r="AE5" i="17" a="1"/>
  <c r="AE5" i="17" s="1"/>
  <c r="C5" i="24" s="1"/>
  <c r="AE4" i="17" a="1"/>
  <c r="AE4" i="17" s="1"/>
  <c r="C4" i="24" s="1"/>
  <c r="AE3" i="17" a="1"/>
  <c r="AE3" i="17" s="1"/>
  <c r="C3" i="24" s="1"/>
  <c r="AE2" i="17" a="1"/>
  <c r="AE2" i="17" s="1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C783" i="24"/>
  <c r="B783" i="24"/>
  <c r="C782" i="24"/>
  <c r="B782" i="24"/>
  <c r="C781" i="24"/>
  <c r="B781" i="24"/>
  <c r="C780" i="24"/>
  <c r="B780" i="24"/>
  <c r="C779" i="24"/>
  <c r="B779" i="24"/>
  <c r="C778" i="24"/>
  <c r="B778" i="24"/>
  <c r="C777" i="24"/>
  <c r="B777" i="24"/>
  <c r="C776" i="24"/>
  <c r="B776" i="24"/>
  <c r="C775" i="24"/>
  <c r="B775" i="24"/>
  <c r="C774" i="24"/>
  <c r="B774" i="24"/>
  <c r="C773" i="24"/>
  <c r="B773" i="24"/>
  <c r="C772" i="24"/>
  <c r="B772" i="24"/>
  <c r="C771" i="24"/>
  <c r="B771" i="24"/>
  <c r="C770" i="24"/>
  <c r="B770" i="24"/>
  <c r="C769" i="24"/>
  <c r="B769" i="24"/>
  <c r="C768" i="24"/>
  <c r="B768" i="24"/>
  <c r="C767" i="24"/>
  <c r="B767" i="24"/>
  <c r="C766" i="24"/>
  <c r="B766" i="24"/>
  <c r="C765" i="24"/>
  <c r="B765" i="24"/>
  <c r="C764" i="24"/>
  <c r="B764" i="24"/>
  <c r="C763" i="24"/>
  <c r="B763" i="24"/>
  <c r="C762" i="24"/>
  <c r="B762" i="24"/>
  <c r="C761" i="24"/>
  <c r="B761" i="24"/>
  <c r="C760" i="24"/>
  <c r="B760" i="24"/>
  <c r="C759" i="24"/>
  <c r="B759" i="24"/>
  <c r="C758" i="24"/>
  <c r="B758" i="24"/>
  <c r="C757" i="24"/>
  <c r="B757" i="24"/>
  <c r="C756" i="24"/>
  <c r="B756" i="24"/>
  <c r="C755" i="24"/>
  <c r="B755" i="24"/>
  <c r="C754" i="24"/>
  <c r="B754" i="24"/>
  <c r="C753" i="24"/>
  <c r="B753" i="24"/>
  <c r="C752" i="24"/>
  <c r="B752" i="24"/>
  <c r="C751" i="24"/>
  <c r="B751" i="24"/>
  <c r="C750" i="24"/>
  <c r="B750" i="24"/>
  <c r="C749" i="24"/>
  <c r="B749" i="24"/>
  <c r="C748" i="24"/>
  <c r="B748" i="24"/>
  <c r="C747" i="24"/>
  <c r="B747" i="24"/>
  <c r="C746" i="24"/>
  <c r="B746" i="24"/>
  <c r="C745" i="24"/>
  <c r="B745" i="24"/>
  <c r="C744" i="24"/>
  <c r="B744" i="24"/>
  <c r="C743" i="24"/>
  <c r="B743" i="24"/>
  <c r="C742" i="24"/>
  <c r="B742" i="24"/>
  <c r="C741" i="24"/>
  <c r="B741" i="24"/>
  <c r="C740" i="24"/>
  <c r="B740" i="24"/>
  <c r="C739" i="24"/>
  <c r="B739" i="24"/>
  <c r="C738" i="24"/>
  <c r="B738" i="24"/>
  <c r="C737" i="24"/>
  <c r="B737" i="24"/>
  <c r="C736" i="24"/>
  <c r="B736" i="24"/>
  <c r="C735" i="24"/>
  <c r="B735" i="24"/>
  <c r="C734" i="24"/>
  <c r="B734" i="24"/>
  <c r="C733" i="24"/>
  <c r="B733" i="24"/>
  <c r="C732" i="24"/>
  <c r="B732" i="24"/>
  <c r="C731" i="24"/>
  <c r="B731" i="24"/>
  <c r="C730" i="24"/>
  <c r="B730" i="24"/>
  <c r="B729" i="24"/>
  <c r="B728" i="24"/>
  <c r="C727" i="24"/>
  <c r="B727" i="24"/>
  <c r="B726" i="24"/>
  <c r="B725" i="24"/>
  <c r="C724" i="24"/>
  <c r="B724" i="24"/>
  <c r="C723" i="24"/>
  <c r="B723" i="24"/>
  <c r="C722" i="24"/>
  <c r="B722" i="24"/>
  <c r="C721" i="24"/>
  <c r="B721" i="24"/>
  <c r="C720" i="24"/>
  <c r="B720" i="24"/>
  <c r="C719" i="24"/>
  <c r="B719" i="24"/>
  <c r="C718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R468" i="17"/>
  <c r="T468" i="17" s="1"/>
  <c r="R464" i="17"/>
  <c r="T464" i="17" s="1"/>
  <c r="R556" i="17"/>
  <c r="T556" i="17" s="1"/>
  <c r="R538" i="17"/>
  <c r="T538" i="17" s="1"/>
  <c r="R518" i="17"/>
  <c r="T518" i="17" s="1"/>
  <c r="R514" i="17"/>
  <c r="T514" i="17" s="1"/>
  <c r="R511" i="17"/>
  <c r="T511" i="17" s="1"/>
  <c r="R492" i="17"/>
  <c r="T492" i="17" s="1"/>
  <c r="R463" i="17"/>
  <c r="T463" i="17" s="1"/>
  <c r="R460" i="17"/>
  <c r="T460" i="17" s="1"/>
  <c r="R459" i="17"/>
  <c r="T459" i="17" s="1"/>
  <c r="R457" i="17"/>
  <c r="T457" i="17" s="1"/>
  <c r="R754" i="17"/>
  <c r="T754" i="17" s="1"/>
  <c r="V469" i="17"/>
  <c r="R455" i="17"/>
  <c r="T455" i="17" s="1"/>
  <c r="R406" i="17"/>
  <c r="T406" i="17" s="1"/>
  <c r="R530" i="17"/>
  <c r="T530" i="17" s="1"/>
  <c r="R519" i="17"/>
  <c r="T519" i="17" s="1"/>
  <c r="R516" i="17"/>
  <c r="T516" i="17" s="1"/>
  <c r="R512" i="17"/>
  <c r="T512" i="17" s="1"/>
  <c r="R508" i="17"/>
  <c r="T508" i="17" s="1"/>
  <c r="R509" i="17"/>
  <c r="T509" i="17" s="1"/>
  <c r="R481" i="17"/>
  <c r="T481" i="17" s="1"/>
  <c r="R453" i="17"/>
  <c r="T453" i="17" s="1"/>
  <c r="H792" i="14"/>
  <c r="E792" i="19"/>
  <c r="R458" i="17"/>
  <c r="T458" i="17" s="1"/>
  <c r="R461" i="17"/>
  <c r="T461" i="17" s="1"/>
  <c r="R456" i="17"/>
  <c r="T456" i="17" s="1"/>
  <c r="H791" i="14"/>
  <c r="E791" i="19"/>
  <c r="H5" i="14"/>
  <c r="H790" i="14"/>
  <c r="E790" i="19"/>
  <c r="H515" i="14"/>
  <c r="E515" i="19"/>
  <c r="H514" i="14"/>
  <c r="E514" i="19"/>
  <c r="H513" i="14"/>
  <c r="E513" i="19"/>
  <c r="H512" i="14"/>
  <c r="E512" i="19"/>
  <c r="H511" i="14"/>
  <c r="E511" i="19"/>
  <c r="H510" i="14"/>
  <c r="E510" i="19"/>
  <c r="H509" i="14"/>
  <c r="E509" i="19"/>
  <c r="H508" i="14"/>
  <c r="E508" i="19"/>
  <c r="H507" i="14"/>
  <c r="E507" i="19"/>
  <c r="H506" i="14"/>
  <c r="E506" i="19"/>
  <c r="H505" i="14"/>
  <c r="E505" i="19"/>
  <c r="H590" i="14"/>
  <c r="E590" i="19"/>
  <c r="H589" i="14"/>
  <c r="E589" i="19"/>
  <c r="H588" i="14"/>
  <c r="E588" i="19"/>
  <c r="H587" i="14"/>
  <c r="E587" i="19"/>
  <c r="H586" i="14"/>
  <c r="E586" i="19"/>
  <c r="H585" i="14"/>
  <c r="E585" i="19"/>
  <c r="H584" i="14"/>
  <c r="E584" i="19"/>
  <c r="H583" i="14"/>
  <c r="E583" i="19"/>
  <c r="H582" i="14"/>
  <c r="E582" i="19"/>
  <c r="H581" i="14"/>
  <c r="E581" i="19"/>
  <c r="H580" i="14"/>
  <c r="E580" i="19"/>
  <c r="H579" i="14"/>
  <c r="E579" i="19"/>
  <c r="H578" i="14"/>
  <c r="E578" i="19"/>
  <c r="H577" i="14"/>
  <c r="E577" i="19"/>
  <c r="H576" i="14"/>
  <c r="E576" i="19"/>
  <c r="H575" i="14"/>
  <c r="E575" i="19"/>
  <c r="H574" i="14"/>
  <c r="E574" i="19"/>
  <c r="H573" i="14"/>
  <c r="E573" i="19"/>
  <c r="H572" i="14"/>
  <c r="E572" i="19"/>
  <c r="H571" i="14"/>
  <c r="E571" i="19"/>
  <c r="H570" i="14"/>
  <c r="E570" i="19"/>
  <c r="H569" i="14"/>
  <c r="E569" i="19"/>
  <c r="H568" i="14"/>
  <c r="E568" i="19"/>
  <c r="H567" i="14"/>
  <c r="E567" i="19"/>
  <c r="H566" i="14"/>
  <c r="E566" i="19"/>
  <c r="H565" i="14"/>
  <c r="E565" i="19"/>
  <c r="H564" i="14"/>
  <c r="H563" i="14"/>
  <c r="E563" i="19"/>
  <c r="H562" i="14"/>
  <c r="E562" i="19"/>
  <c r="H561" i="14"/>
  <c r="E561" i="19"/>
  <c r="H560" i="14"/>
  <c r="E560" i="19"/>
  <c r="H559" i="14"/>
  <c r="E559" i="19"/>
  <c r="H558" i="14"/>
  <c r="E558" i="19"/>
  <c r="H557" i="14"/>
  <c r="E557" i="19"/>
  <c r="H556" i="14"/>
  <c r="E556" i="19"/>
  <c r="H555" i="14"/>
  <c r="E555" i="19"/>
  <c r="H554" i="14"/>
  <c r="E554" i="19"/>
  <c r="H553" i="14"/>
  <c r="E553" i="19"/>
  <c r="H552" i="14"/>
  <c r="E552" i="19"/>
  <c r="H551" i="14"/>
  <c r="E551" i="19"/>
  <c r="H550" i="14"/>
  <c r="E550" i="19"/>
  <c r="H549" i="14"/>
  <c r="E549" i="19"/>
  <c r="H548" i="14"/>
  <c r="E548" i="19"/>
  <c r="H547" i="14"/>
  <c r="E547" i="19"/>
  <c r="H546" i="14"/>
  <c r="E546" i="19"/>
  <c r="H545" i="14"/>
  <c r="E545" i="19"/>
  <c r="H544" i="14"/>
  <c r="E544" i="19"/>
  <c r="H543" i="14"/>
  <c r="E543" i="19"/>
  <c r="H542" i="14"/>
  <c r="E542" i="19"/>
  <c r="H541" i="14"/>
  <c r="E541" i="19"/>
  <c r="H540" i="14"/>
  <c r="E540" i="19"/>
  <c r="H539" i="14"/>
  <c r="E539" i="19"/>
  <c r="H538" i="14"/>
  <c r="E538" i="19"/>
  <c r="H537" i="14"/>
  <c r="E537" i="19"/>
  <c r="H536" i="14"/>
  <c r="E536" i="19"/>
  <c r="H535" i="14"/>
  <c r="E535" i="19"/>
  <c r="H534" i="14"/>
  <c r="E534" i="19"/>
  <c r="H533" i="14"/>
  <c r="E533" i="19"/>
  <c r="H532" i="14"/>
  <c r="E532" i="19"/>
  <c r="H531" i="14"/>
  <c r="E531" i="19"/>
  <c r="H530" i="14"/>
  <c r="E530" i="19"/>
  <c r="H529" i="14"/>
  <c r="E529" i="19"/>
  <c r="H528" i="14"/>
  <c r="E528" i="19"/>
  <c r="H527" i="14"/>
  <c r="E527" i="19"/>
  <c r="H526" i="14"/>
  <c r="E526" i="19"/>
  <c r="H525" i="14"/>
  <c r="E525" i="19"/>
  <c r="H524" i="14"/>
  <c r="E524" i="19"/>
  <c r="H523" i="14"/>
  <c r="E523" i="19"/>
  <c r="H522" i="14"/>
  <c r="E522" i="19"/>
  <c r="H521" i="14"/>
  <c r="E521" i="19"/>
  <c r="H520" i="14"/>
  <c r="E520" i="19"/>
  <c r="H519" i="14"/>
  <c r="E519" i="19"/>
  <c r="H518" i="14"/>
  <c r="E518" i="19"/>
  <c r="H517" i="14"/>
  <c r="E517" i="19"/>
  <c r="H516" i="14"/>
  <c r="E516" i="19"/>
  <c r="H592" i="14"/>
  <c r="E592" i="19"/>
  <c r="H591" i="14"/>
  <c r="E591" i="19"/>
  <c r="H445" i="14"/>
  <c r="E445" i="19"/>
  <c r="H444" i="14"/>
  <c r="E444" i="19"/>
  <c r="H443" i="14"/>
  <c r="E443" i="19"/>
  <c r="H442" i="14"/>
  <c r="E442" i="19"/>
  <c r="H441" i="14"/>
  <c r="E441" i="19"/>
  <c r="H440" i="14"/>
  <c r="E440" i="19"/>
  <c r="H439" i="14"/>
  <c r="E439" i="19"/>
  <c r="H438" i="14"/>
  <c r="E438" i="19"/>
  <c r="H437" i="14"/>
  <c r="E437" i="19"/>
  <c r="H436" i="14"/>
  <c r="E436" i="19"/>
  <c r="H435" i="14"/>
  <c r="E435" i="19"/>
  <c r="H434" i="14"/>
  <c r="E434" i="19"/>
  <c r="H433" i="14"/>
  <c r="E433" i="19"/>
  <c r="H432" i="14"/>
  <c r="E432" i="19"/>
  <c r="H431" i="14"/>
  <c r="E431" i="19"/>
  <c r="H430" i="14"/>
  <c r="E430" i="19"/>
  <c r="H429" i="14"/>
  <c r="E429" i="19"/>
  <c r="H428" i="14"/>
  <c r="E428" i="19"/>
  <c r="H427" i="14"/>
  <c r="E427" i="19"/>
  <c r="H426" i="14"/>
  <c r="E426" i="19"/>
  <c r="H425" i="14"/>
  <c r="E425" i="19"/>
  <c r="H424" i="14"/>
  <c r="E424" i="19"/>
  <c r="H423" i="14"/>
  <c r="E423" i="19"/>
  <c r="H422" i="14"/>
  <c r="E422" i="19"/>
  <c r="H421" i="14"/>
  <c r="E421" i="19"/>
  <c r="H420" i="14"/>
  <c r="E420" i="19"/>
  <c r="H419" i="14"/>
  <c r="E419" i="19"/>
  <c r="H418" i="14"/>
  <c r="E418" i="19"/>
  <c r="H417" i="14"/>
  <c r="E417" i="19"/>
  <c r="H416" i="14"/>
  <c r="E416" i="19"/>
  <c r="H415" i="14"/>
  <c r="E415" i="19"/>
  <c r="H414" i="14"/>
  <c r="E414" i="19"/>
  <c r="H413" i="14"/>
  <c r="E413" i="19"/>
  <c r="H412" i="14"/>
  <c r="E412" i="19"/>
  <c r="H411" i="14"/>
  <c r="E411" i="19"/>
  <c r="H410" i="14"/>
  <c r="E410" i="19"/>
  <c r="H409" i="14"/>
  <c r="E409" i="19"/>
  <c r="H408" i="14"/>
  <c r="E408" i="19"/>
  <c r="H16" i="14"/>
  <c r="E16" i="19"/>
  <c r="H15" i="14"/>
  <c r="E15" i="19"/>
  <c r="H14" i="14"/>
  <c r="E14" i="19"/>
  <c r="H13" i="14"/>
  <c r="E13" i="19"/>
  <c r="H12" i="14"/>
  <c r="E12" i="19"/>
  <c r="H11" i="14"/>
  <c r="E11" i="19"/>
  <c r="H10" i="14"/>
  <c r="E10" i="19"/>
  <c r="H9" i="14"/>
  <c r="E9" i="19"/>
  <c r="H8" i="14"/>
  <c r="E8" i="19"/>
  <c r="H7" i="14"/>
  <c r="E7" i="19"/>
  <c r="E789" i="19"/>
  <c r="H789" i="14"/>
  <c r="E788" i="19"/>
  <c r="H788" i="14"/>
  <c r="E787" i="19"/>
  <c r="H787" i="14"/>
  <c r="E786" i="19"/>
  <c r="H786" i="14"/>
  <c r="E785" i="19"/>
  <c r="H785" i="14"/>
  <c r="E784" i="19"/>
  <c r="H784" i="14"/>
  <c r="E783" i="19"/>
  <c r="H783" i="14"/>
  <c r="E782" i="19"/>
  <c r="H782" i="14"/>
  <c r="E781" i="19"/>
  <c r="H781" i="14"/>
  <c r="E780" i="19"/>
  <c r="H780" i="14"/>
  <c r="E779" i="19"/>
  <c r="H779" i="14"/>
  <c r="E778" i="19"/>
  <c r="H778" i="14"/>
  <c r="E777" i="19"/>
  <c r="H777" i="14"/>
  <c r="E776" i="19"/>
  <c r="H776" i="14"/>
  <c r="E775" i="19"/>
  <c r="H775" i="14"/>
  <c r="E774" i="19"/>
  <c r="H774" i="14"/>
  <c r="E773" i="19"/>
  <c r="H773" i="14"/>
  <c r="E772" i="19"/>
  <c r="H772" i="14"/>
  <c r="E771" i="19"/>
  <c r="H771" i="14"/>
  <c r="E770" i="19"/>
  <c r="H770" i="14"/>
  <c r="E769" i="19"/>
  <c r="H769" i="14"/>
  <c r="E768" i="19"/>
  <c r="H768" i="14"/>
  <c r="E767" i="19"/>
  <c r="H767" i="14"/>
  <c r="E766" i="19"/>
  <c r="H766" i="14"/>
  <c r="E765" i="19"/>
  <c r="H765" i="14"/>
  <c r="E764" i="19"/>
  <c r="H764" i="14"/>
  <c r="E763" i="19"/>
  <c r="H763" i="14"/>
  <c r="E762" i="19"/>
  <c r="H762" i="14"/>
  <c r="E761" i="19"/>
  <c r="H761" i="14"/>
  <c r="E760" i="19"/>
  <c r="H760" i="14"/>
  <c r="E759" i="19"/>
  <c r="H759" i="14"/>
  <c r="E758" i="19"/>
  <c r="H758" i="14"/>
  <c r="E757" i="19"/>
  <c r="H757" i="14"/>
  <c r="E756" i="19"/>
  <c r="H756" i="14"/>
  <c r="E755" i="19"/>
  <c r="H755" i="14"/>
  <c r="E754" i="19"/>
  <c r="H754" i="14"/>
  <c r="E753" i="19"/>
  <c r="H753" i="14"/>
  <c r="E752" i="19"/>
  <c r="H752" i="14"/>
  <c r="E751" i="19"/>
  <c r="H751" i="14"/>
  <c r="E750" i="19"/>
  <c r="H750" i="14"/>
  <c r="E749" i="19"/>
  <c r="H749" i="14"/>
  <c r="E748" i="19"/>
  <c r="H748" i="14"/>
  <c r="E747" i="19"/>
  <c r="H747" i="14"/>
  <c r="E746" i="19"/>
  <c r="H746" i="14"/>
  <c r="E745" i="19"/>
  <c r="H745" i="14"/>
  <c r="E744" i="19"/>
  <c r="H744" i="14"/>
  <c r="E743" i="19"/>
  <c r="H743" i="14"/>
  <c r="E742" i="19"/>
  <c r="H742" i="14"/>
  <c r="E741" i="19"/>
  <c r="H741" i="14"/>
  <c r="E740" i="19"/>
  <c r="H740" i="14"/>
  <c r="E739" i="19"/>
  <c r="H739" i="14"/>
  <c r="E738" i="19"/>
  <c r="H738" i="14"/>
  <c r="E737" i="19"/>
  <c r="H737" i="14"/>
  <c r="E736" i="19"/>
  <c r="H736" i="14"/>
  <c r="E735" i="19"/>
  <c r="H735" i="14"/>
  <c r="E734" i="19"/>
  <c r="H734" i="14"/>
  <c r="E733" i="19"/>
  <c r="H733" i="14"/>
  <c r="E732" i="19"/>
  <c r="H732" i="14"/>
  <c r="E731" i="19"/>
  <c r="H731" i="14"/>
  <c r="E730" i="19"/>
  <c r="H730" i="14"/>
  <c r="E729" i="19"/>
  <c r="H729" i="14"/>
  <c r="E728" i="19"/>
  <c r="H728" i="14"/>
  <c r="E727" i="19"/>
  <c r="H727" i="14"/>
  <c r="E726" i="19"/>
  <c r="H726" i="14"/>
  <c r="E725" i="19"/>
  <c r="H725" i="14"/>
  <c r="E724" i="19"/>
  <c r="H724" i="14"/>
  <c r="E723" i="19"/>
  <c r="H723" i="14"/>
  <c r="E722" i="19"/>
  <c r="H722" i="14"/>
  <c r="E721" i="19"/>
  <c r="H721" i="14"/>
  <c r="E720" i="19"/>
  <c r="H720" i="14"/>
  <c r="E719" i="19"/>
  <c r="H719" i="14"/>
  <c r="E718" i="19"/>
  <c r="H718" i="14"/>
  <c r="E717" i="19"/>
  <c r="H717" i="14"/>
  <c r="E716" i="19"/>
  <c r="H716" i="14"/>
  <c r="E715" i="19"/>
  <c r="H715" i="14"/>
  <c r="E714" i="19"/>
  <c r="H714" i="14"/>
  <c r="E713" i="19"/>
  <c r="H713" i="14"/>
  <c r="E712" i="19"/>
  <c r="H712" i="14"/>
  <c r="E711" i="19"/>
  <c r="H711" i="14"/>
  <c r="E710" i="19"/>
  <c r="H710" i="14"/>
  <c r="E709" i="19"/>
  <c r="H709" i="14"/>
  <c r="E708" i="19"/>
  <c r="H708" i="14"/>
  <c r="E707" i="19"/>
  <c r="H707" i="14"/>
  <c r="E706" i="19"/>
  <c r="H706" i="14"/>
  <c r="E705" i="19"/>
  <c r="H705" i="14"/>
  <c r="E704" i="19"/>
  <c r="H704" i="14"/>
  <c r="E703" i="19"/>
  <c r="H703" i="14"/>
  <c r="E702" i="19"/>
  <c r="H702" i="14"/>
  <c r="E701" i="19"/>
  <c r="H701" i="14"/>
  <c r="E700" i="19"/>
  <c r="H700" i="14"/>
  <c r="E699" i="19"/>
  <c r="H699" i="14"/>
  <c r="E698" i="19"/>
  <c r="H698" i="14"/>
  <c r="E697" i="19"/>
  <c r="H697" i="14"/>
  <c r="E696" i="19"/>
  <c r="H696" i="14"/>
  <c r="E695" i="19"/>
  <c r="H695" i="14"/>
  <c r="E694" i="19"/>
  <c r="H694" i="14"/>
  <c r="E693" i="19"/>
  <c r="H693" i="14"/>
  <c r="E692" i="19"/>
  <c r="H692" i="14"/>
  <c r="E691" i="19"/>
  <c r="H691" i="14"/>
  <c r="E690" i="19"/>
  <c r="H690" i="14"/>
  <c r="E689" i="19"/>
  <c r="H689" i="14"/>
  <c r="E688" i="19"/>
  <c r="H688" i="14"/>
  <c r="E687" i="19"/>
  <c r="H687" i="14"/>
  <c r="E686" i="19"/>
  <c r="H686" i="14"/>
  <c r="E685" i="19"/>
  <c r="H685" i="14"/>
  <c r="E684" i="19"/>
  <c r="H684" i="14"/>
  <c r="E683" i="19"/>
  <c r="H683" i="14"/>
  <c r="E682" i="19"/>
  <c r="H682" i="14"/>
  <c r="E681" i="19"/>
  <c r="H681" i="14"/>
  <c r="E680" i="19"/>
  <c r="H680" i="14"/>
  <c r="E679" i="19"/>
  <c r="H679" i="14"/>
  <c r="E678" i="19"/>
  <c r="H678" i="14"/>
  <c r="E677" i="19"/>
  <c r="H677" i="14"/>
  <c r="E676" i="19"/>
  <c r="H676" i="14"/>
  <c r="E675" i="19"/>
  <c r="H675" i="14"/>
  <c r="E674" i="19"/>
  <c r="H674" i="14"/>
  <c r="E673" i="19"/>
  <c r="H673" i="14"/>
  <c r="E672" i="19"/>
  <c r="H672" i="14"/>
  <c r="E671" i="19"/>
  <c r="H671" i="14"/>
  <c r="E670" i="19"/>
  <c r="H670" i="14"/>
  <c r="E669" i="19"/>
  <c r="H669" i="14"/>
  <c r="E668" i="19"/>
  <c r="H668" i="14"/>
  <c r="E667" i="19"/>
  <c r="H667" i="14"/>
  <c r="E666" i="19"/>
  <c r="H666" i="14"/>
  <c r="E665" i="19"/>
  <c r="H665" i="14"/>
  <c r="E664" i="19"/>
  <c r="H664" i="14"/>
  <c r="E663" i="19"/>
  <c r="H663" i="14"/>
  <c r="E662" i="19"/>
  <c r="H662" i="14"/>
  <c r="E661" i="19"/>
  <c r="H661" i="14"/>
  <c r="E660" i="19"/>
  <c r="H660" i="14"/>
  <c r="E659" i="19"/>
  <c r="H659" i="14"/>
  <c r="E658" i="19"/>
  <c r="H658" i="14"/>
  <c r="E657" i="19"/>
  <c r="H657" i="14"/>
  <c r="E656" i="19"/>
  <c r="H656" i="14"/>
  <c r="E655" i="19"/>
  <c r="H655" i="14"/>
  <c r="E654" i="19"/>
  <c r="H654" i="14"/>
  <c r="E653" i="19"/>
  <c r="H653" i="14"/>
  <c r="E652" i="19"/>
  <c r="H652" i="14"/>
  <c r="E651" i="19"/>
  <c r="H651" i="14"/>
  <c r="E650" i="19"/>
  <c r="H650" i="14"/>
  <c r="E649" i="19"/>
  <c r="H649" i="14"/>
  <c r="E648" i="19"/>
  <c r="H648" i="14"/>
  <c r="E647" i="19"/>
  <c r="H647" i="14"/>
  <c r="E646" i="19"/>
  <c r="H646" i="14"/>
  <c r="E645" i="19"/>
  <c r="H645" i="14"/>
  <c r="E644" i="19"/>
  <c r="H644" i="14"/>
  <c r="E643" i="19"/>
  <c r="H643" i="14"/>
  <c r="E642" i="19"/>
  <c r="H642" i="14"/>
  <c r="E641" i="19"/>
  <c r="H641" i="14"/>
  <c r="E640" i="19"/>
  <c r="H640" i="14"/>
  <c r="E639" i="19"/>
  <c r="H639" i="14"/>
  <c r="E638" i="19"/>
  <c r="H638" i="14"/>
  <c r="E637" i="19"/>
  <c r="H637" i="14"/>
  <c r="E636" i="19"/>
  <c r="H636" i="14"/>
  <c r="E635" i="19"/>
  <c r="H635" i="14"/>
  <c r="E634" i="19"/>
  <c r="H634" i="14"/>
  <c r="E633" i="19"/>
  <c r="H633" i="14"/>
  <c r="E632" i="19"/>
  <c r="H632" i="14"/>
  <c r="E631" i="19"/>
  <c r="H631" i="14"/>
  <c r="E630" i="19"/>
  <c r="H630" i="14"/>
  <c r="E629" i="19"/>
  <c r="H629" i="14"/>
  <c r="E628" i="19"/>
  <c r="H628" i="14"/>
  <c r="E627" i="19"/>
  <c r="H627" i="14"/>
  <c r="E626" i="19"/>
  <c r="H626" i="14"/>
  <c r="E625" i="19"/>
  <c r="H625" i="14"/>
  <c r="E624" i="19"/>
  <c r="H624" i="14"/>
  <c r="E623" i="19"/>
  <c r="H623" i="14"/>
  <c r="E622" i="19"/>
  <c r="H622" i="14"/>
  <c r="E621" i="19"/>
  <c r="H621" i="14"/>
  <c r="E620" i="19"/>
  <c r="H620" i="14"/>
  <c r="E619" i="19"/>
  <c r="H619" i="14"/>
  <c r="E618" i="19"/>
  <c r="H618" i="14"/>
  <c r="E617" i="19"/>
  <c r="H617" i="14"/>
  <c r="E616" i="19"/>
  <c r="H616" i="14"/>
  <c r="E615" i="19"/>
  <c r="H615" i="14"/>
  <c r="E614" i="19"/>
  <c r="H614" i="14"/>
  <c r="E613" i="19"/>
  <c r="H613" i="14"/>
  <c r="E612" i="19"/>
  <c r="H612" i="14"/>
  <c r="E611" i="19"/>
  <c r="H611" i="14"/>
  <c r="E610" i="19"/>
  <c r="H610" i="14"/>
  <c r="E609" i="19"/>
  <c r="H609" i="14"/>
  <c r="E608" i="19"/>
  <c r="H608" i="14"/>
  <c r="E607" i="19"/>
  <c r="H607" i="14"/>
  <c r="E606" i="19"/>
  <c r="H606" i="14"/>
  <c r="E605" i="19"/>
  <c r="H605" i="14"/>
  <c r="E604" i="19"/>
  <c r="H604" i="14"/>
  <c r="E603" i="19"/>
  <c r="H603" i="14"/>
  <c r="E602" i="19"/>
  <c r="H602" i="14"/>
  <c r="E601" i="19"/>
  <c r="H601" i="14"/>
  <c r="E600" i="19"/>
  <c r="H600" i="14"/>
  <c r="E599" i="19"/>
  <c r="H599" i="14"/>
  <c r="E598" i="19"/>
  <c r="H598" i="14"/>
  <c r="E597" i="19"/>
  <c r="H597" i="14"/>
  <c r="E596" i="19"/>
  <c r="H596" i="14"/>
  <c r="E595" i="19"/>
  <c r="H595" i="14"/>
  <c r="E594" i="19"/>
  <c r="H594" i="14"/>
  <c r="E593" i="19"/>
  <c r="H593" i="14"/>
  <c r="E504" i="19"/>
  <c r="H504" i="14"/>
  <c r="E503" i="19"/>
  <c r="H503" i="14"/>
  <c r="H502" i="14"/>
  <c r="E502" i="19"/>
  <c r="H501" i="14"/>
  <c r="E501" i="19"/>
  <c r="E500" i="19"/>
  <c r="H500" i="14"/>
  <c r="H499" i="14"/>
  <c r="E499" i="19"/>
  <c r="H498" i="14"/>
  <c r="E498" i="19"/>
  <c r="E497" i="19"/>
  <c r="H497" i="14"/>
  <c r="E496" i="19"/>
  <c r="H496" i="14"/>
  <c r="E495" i="19"/>
  <c r="H495" i="14"/>
  <c r="E494" i="19"/>
  <c r="H494" i="14"/>
  <c r="E493" i="19"/>
  <c r="H493" i="14"/>
  <c r="E492" i="19"/>
  <c r="H492" i="14"/>
  <c r="E491" i="19"/>
  <c r="H491" i="14"/>
  <c r="E490" i="19"/>
  <c r="H490" i="14"/>
  <c r="E489" i="19"/>
  <c r="H489" i="14"/>
  <c r="E488" i="19"/>
  <c r="H488" i="14"/>
  <c r="E487" i="19"/>
  <c r="H487" i="14"/>
  <c r="E486" i="19"/>
  <c r="H486" i="14"/>
  <c r="H485" i="14"/>
  <c r="E485" i="19"/>
  <c r="E484" i="19"/>
  <c r="H484" i="14"/>
  <c r="E483" i="19"/>
  <c r="H483" i="14"/>
  <c r="H482" i="14"/>
  <c r="E482" i="19"/>
  <c r="H481" i="14"/>
  <c r="E481" i="19"/>
  <c r="H480" i="14"/>
  <c r="E480" i="19"/>
  <c r="H479" i="14"/>
  <c r="E479" i="19"/>
  <c r="H478" i="14"/>
  <c r="E478" i="19"/>
  <c r="H477" i="14"/>
  <c r="E477" i="19"/>
  <c r="H476" i="14"/>
  <c r="E476" i="19"/>
  <c r="E475" i="19"/>
  <c r="H475" i="14"/>
  <c r="H474" i="14"/>
  <c r="E474" i="19"/>
  <c r="H473" i="14"/>
  <c r="E473" i="19"/>
  <c r="H472" i="14"/>
  <c r="E472" i="19"/>
  <c r="H471" i="14"/>
  <c r="E471" i="19"/>
  <c r="H470" i="14"/>
  <c r="E470" i="19"/>
  <c r="H469" i="14"/>
  <c r="E469" i="19"/>
  <c r="H468" i="14"/>
  <c r="E468" i="19"/>
  <c r="H467" i="14"/>
  <c r="E467" i="19"/>
  <c r="H466" i="14"/>
  <c r="E466" i="19"/>
  <c r="H465" i="14"/>
  <c r="E465" i="19"/>
  <c r="H464" i="14"/>
  <c r="E464" i="19"/>
  <c r="H463" i="14"/>
  <c r="E463" i="19"/>
  <c r="E462" i="19"/>
  <c r="H462" i="14"/>
  <c r="E461" i="19"/>
  <c r="H461" i="14"/>
  <c r="E460" i="19"/>
  <c r="H460" i="14"/>
  <c r="E459" i="19"/>
  <c r="H459" i="14"/>
  <c r="H458" i="14"/>
  <c r="E458" i="19"/>
  <c r="H457" i="14"/>
  <c r="E457" i="19"/>
  <c r="H456" i="14"/>
  <c r="E456" i="19"/>
  <c r="H455" i="14"/>
  <c r="E455" i="19"/>
  <c r="H454" i="14"/>
  <c r="E454" i="19"/>
  <c r="E453" i="19"/>
  <c r="H453" i="14"/>
  <c r="H452" i="14"/>
  <c r="E452" i="19"/>
  <c r="H451" i="14"/>
  <c r="E451" i="19"/>
  <c r="H450" i="14"/>
  <c r="E450" i="19"/>
  <c r="H449" i="14"/>
  <c r="E449" i="19"/>
  <c r="H448" i="14"/>
  <c r="E448" i="19"/>
  <c r="E447" i="19"/>
  <c r="H447" i="14"/>
  <c r="E446" i="19"/>
  <c r="H446" i="14"/>
  <c r="E407" i="19"/>
  <c r="H407" i="14"/>
  <c r="E406" i="19"/>
  <c r="H406" i="14"/>
  <c r="E405" i="19"/>
  <c r="H405" i="14"/>
  <c r="E404" i="19"/>
  <c r="H404" i="14"/>
  <c r="E403" i="19"/>
  <c r="H403" i="14"/>
  <c r="E402" i="19"/>
  <c r="H402" i="14"/>
  <c r="E401" i="19"/>
  <c r="H401" i="14"/>
  <c r="E400" i="19"/>
  <c r="H400" i="14"/>
  <c r="E399" i="19"/>
  <c r="H399" i="14"/>
  <c r="E398" i="19"/>
  <c r="H398" i="14"/>
  <c r="E397" i="19"/>
  <c r="H397" i="14"/>
  <c r="E396" i="19"/>
  <c r="H396" i="14"/>
  <c r="E395" i="19"/>
  <c r="H395" i="14"/>
  <c r="E394" i="19"/>
  <c r="H394" i="14"/>
  <c r="E393" i="19"/>
  <c r="H393" i="14"/>
  <c r="E392" i="19"/>
  <c r="H392" i="14"/>
  <c r="E391" i="19"/>
  <c r="H391" i="14"/>
  <c r="E390" i="19"/>
  <c r="H390" i="14"/>
  <c r="E389" i="19"/>
  <c r="H389" i="14"/>
  <c r="E388" i="19"/>
  <c r="H388" i="14"/>
  <c r="E387" i="19"/>
  <c r="H387" i="14"/>
  <c r="E386" i="19"/>
  <c r="H386" i="14"/>
  <c r="E385" i="19"/>
  <c r="H385" i="14"/>
  <c r="E384" i="19"/>
  <c r="H384" i="14"/>
  <c r="E383" i="19"/>
  <c r="H383" i="14"/>
  <c r="E382" i="19"/>
  <c r="H382" i="14"/>
  <c r="E381" i="19"/>
  <c r="H381" i="14"/>
  <c r="E380" i="19"/>
  <c r="H380" i="14"/>
  <c r="E379" i="19"/>
  <c r="H379" i="14"/>
  <c r="E378" i="19"/>
  <c r="H378" i="14"/>
  <c r="E377" i="19"/>
  <c r="H377" i="14"/>
  <c r="E376" i="19"/>
  <c r="H376" i="14"/>
  <c r="E375" i="19"/>
  <c r="H375" i="14"/>
  <c r="E374" i="19"/>
  <c r="H374" i="14"/>
  <c r="E373" i="19"/>
  <c r="H373" i="14"/>
  <c r="E372" i="19"/>
  <c r="H372" i="14"/>
  <c r="E371" i="19"/>
  <c r="H371" i="14"/>
  <c r="E370" i="19"/>
  <c r="H370" i="14"/>
  <c r="E369" i="19"/>
  <c r="H369" i="14"/>
  <c r="E368" i="19"/>
  <c r="H368" i="14"/>
  <c r="E367" i="19"/>
  <c r="H367" i="14"/>
  <c r="E366" i="19"/>
  <c r="H366" i="14"/>
  <c r="E365" i="19"/>
  <c r="H365" i="14"/>
  <c r="E364" i="19"/>
  <c r="H364" i="14"/>
  <c r="E363" i="19"/>
  <c r="H363" i="14"/>
  <c r="E362" i="19"/>
  <c r="H362" i="14"/>
  <c r="E361" i="19"/>
  <c r="H361" i="14"/>
  <c r="E360" i="19"/>
  <c r="H360" i="14"/>
  <c r="E359" i="19"/>
  <c r="H359" i="14"/>
  <c r="E358" i="19"/>
  <c r="H358" i="14"/>
  <c r="E357" i="19"/>
  <c r="H357" i="14"/>
  <c r="E356" i="19"/>
  <c r="H356" i="14"/>
  <c r="E355" i="19"/>
  <c r="H355" i="14"/>
  <c r="E354" i="19"/>
  <c r="H354" i="14"/>
  <c r="E353" i="19"/>
  <c r="H353" i="14"/>
  <c r="E352" i="19"/>
  <c r="H352" i="14"/>
  <c r="E351" i="19"/>
  <c r="H351" i="14"/>
  <c r="E350" i="19"/>
  <c r="H350" i="14"/>
  <c r="E349" i="19"/>
  <c r="H349" i="14"/>
  <c r="E348" i="19"/>
  <c r="H348" i="14"/>
  <c r="E347" i="19"/>
  <c r="H347" i="14"/>
  <c r="E346" i="19"/>
  <c r="H346" i="14"/>
  <c r="E345" i="19"/>
  <c r="H345" i="14"/>
  <c r="E344" i="19"/>
  <c r="H344" i="14"/>
  <c r="E343" i="19"/>
  <c r="H343" i="14"/>
  <c r="E342" i="19"/>
  <c r="H342" i="14"/>
  <c r="E341" i="19"/>
  <c r="H341" i="14"/>
  <c r="E340" i="19"/>
  <c r="H340" i="14"/>
  <c r="E339" i="19"/>
  <c r="H339" i="14"/>
  <c r="E338" i="19"/>
  <c r="H338" i="14"/>
  <c r="E337" i="19"/>
  <c r="H337" i="14"/>
  <c r="E336" i="19"/>
  <c r="H336" i="14"/>
  <c r="E335" i="19"/>
  <c r="H335" i="14"/>
  <c r="E334" i="19"/>
  <c r="H334" i="14"/>
  <c r="E333" i="19"/>
  <c r="H333" i="14"/>
  <c r="E332" i="19"/>
  <c r="H332" i="14"/>
  <c r="E331" i="19"/>
  <c r="H331" i="14"/>
  <c r="E330" i="19"/>
  <c r="H330" i="14"/>
  <c r="E329" i="19"/>
  <c r="H329" i="14"/>
  <c r="E328" i="19"/>
  <c r="H328" i="14"/>
  <c r="E327" i="19"/>
  <c r="H327" i="14"/>
  <c r="E326" i="19"/>
  <c r="H326" i="14"/>
  <c r="E325" i="19"/>
  <c r="H325" i="14"/>
  <c r="E324" i="19"/>
  <c r="H324" i="14"/>
  <c r="E323" i="19"/>
  <c r="H323" i="14"/>
  <c r="E322" i="19"/>
  <c r="H322" i="14"/>
  <c r="E321" i="19"/>
  <c r="H321" i="14"/>
  <c r="E320" i="19"/>
  <c r="H320" i="14"/>
  <c r="E319" i="19"/>
  <c r="H319" i="14"/>
  <c r="E318" i="19"/>
  <c r="H318" i="14"/>
  <c r="E317" i="19"/>
  <c r="H317" i="14"/>
  <c r="E316" i="19"/>
  <c r="H316" i="14"/>
  <c r="E315" i="19"/>
  <c r="H315" i="14"/>
  <c r="E314" i="19"/>
  <c r="H314" i="14"/>
  <c r="E313" i="19"/>
  <c r="H313" i="14"/>
  <c r="E312" i="19"/>
  <c r="H312" i="14"/>
  <c r="E311" i="19"/>
  <c r="H311" i="14"/>
  <c r="E310" i="19"/>
  <c r="H310" i="14"/>
  <c r="E309" i="19"/>
  <c r="H309" i="14"/>
  <c r="E308" i="19"/>
  <c r="H308" i="14"/>
  <c r="E307" i="19"/>
  <c r="H307" i="14"/>
  <c r="E306" i="19"/>
  <c r="H306" i="14"/>
  <c r="E305" i="19"/>
  <c r="H305" i="14"/>
  <c r="E304" i="19"/>
  <c r="H304" i="14"/>
  <c r="E303" i="19"/>
  <c r="H303" i="14"/>
  <c r="E302" i="19"/>
  <c r="H302" i="14"/>
  <c r="E301" i="19"/>
  <c r="H301" i="14"/>
  <c r="E300" i="19"/>
  <c r="H300" i="14"/>
  <c r="E299" i="19"/>
  <c r="H299" i="14"/>
  <c r="E298" i="19"/>
  <c r="H298" i="14"/>
  <c r="E297" i="19"/>
  <c r="H297" i="14"/>
  <c r="E296" i="19"/>
  <c r="H296" i="14"/>
  <c r="E295" i="19"/>
  <c r="H295" i="14"/>
  <c r="E294" i="19"/>
  <c r="H294" i="14"/>
  <c r="E293" i="19"/>
  <c r="H293" i="14"/>
  <c r="E292" i="19"/>
  <c r="H292" i="14"/>
  <c r="E291" i="19"/>
  <c r="H291" i="14"/>
  <c r="E290" i="19"/>
  <c r="H290" i="14"/>
  <c r="E289" i="19"/>
  <c r="H289" i="14"/>
  <c r="E288" i="19"/>
  <c r="H288" i="14"/>
  <c r="E287" i="19"/>
  <c r="H287" i="14"/>
  <c r="E286" i="19"/>
  <c r="H286" i="14"/>
  <c r="E285" i="19"/>
  <c r="H285" i="14"/>
  <c r="E284" i="19"/>
  <c r="H284" i="14"/>
  <c r="E283" i="19"/>
  <c r="H283" i="14"/>
  <c r="E282" i="19"/>
  <c r="H282" i="14"/>
  <c r="E281" i="19"/>
  <c r="H281" i="14"/>
  <c r="E280" i="19"/>
  <c r="H280" i="14"/>
  <c r="E279" i="19"/>
  <c r="H279" i="14"/>
  <c r="E278" i="19"/>
  <c r="H278" i="14"/>
  <c r="E277" i="19"/>
  <c r="H277" i="14"/>
  <c r="E276" i="19"/>
  <c r="H276" i="14"/>
  <c r="E275" i="19"/>
  <c r="H275" i="14"/>
  <c r="E274" i="19"/>
  <c r="H274" i="14"/>
  <c r="E273" i="19"/>
  <c r="H273" i="14"/>
  <c r="E272" i="19"/>
  <c r="H272" i="14"/>
  <c r="E271" i="19"/>
  <c r="H271" i="14"/>
  <c r="E270" i="19"/>
  <c r="H270" i="14"/>
  <c r="E269" i="19"/>
  <c r="H269" i="14"/>
  <c r="E268" i="19"/>
  <c r="H268" i="14"/>
  <c r="E267" i="19"/>
  <c r="H267" i="14"/>
  <c r="E266" i="19"/>
  <c r="H266" i="14"/>
  <c r="E265" i="19"/>
  <c r="H265" i="14"/>
  <c r="E264" i="19"/>
  <c r="H264" i="14"/>
  <c r="E263" i="19"/>
  <c r="H263" i="14"/>
  <c r="E262" i="19"/>
  <c r="H262" i="14"/>
  <c r="E261" i="19"/>
  <c r="H261" i="14"/>
  <c r="E260" i="19"/>
  <c r="H260" i="14"/>
  <c r="E259" i="19"/>
  <c r="H259" i="14"/>
  <c r="E258" i="19"/>
  <c r="H258" i="14"/>
  <c r="E257" i="19"/>
  <c r="H257" i="14"/>
  <c r="E256" i="19"/>
  <c r="H256" i="14"/>
  <c r="E255" i="19"/>
  <c r="H255" i="14"/>
  <c r="E254" i="19"/>
  <c r="H254" i="14"/>
  <c r="E253" i="19"/>
  <c r="H253" i="14"/>
  <c r="E252" i="19"/>
  <c r="H252" i="14"/>
  <c r="E251" i="19"/>
  <c r="H251" i="14"/>
  <c r="E250" i="19"/>
  <c r="H250" i="14"/>
  <c r="E249" i="19"/>
  <c r="H249" i="14"/>
  <c r="E248" i="19"/>
  <c r="H248" i="14"/>
  <c r="E247" i="19"/>
  <c r="H247" i="14"/>
  <c r="E246" i="19"/>
  <c r="H246" i="14"/>
  <c r="E245" i="19"/>
  <c r="H245" i="14"/>
  <c r="E244" i="19"/>
  <c r="H244" i="14"/>
  <c r="E243" i="19"/>
  <c r="H243" i="14"/>
  <c r="E242" i="19"/>
  <c r="H242" i="14"/>
  <c r="E241" i="19"/>
  <c r="H241" i="14"/>
  <c r="E240" i="19"/>
  <c r="H240" i="14"/>
  <c r="E239" i="19"/>
  <c r="H239" i="14"/>
  <c r="E238" i="19"/>
  <c r="H238" i="14"/>
  <c r="E237" i="19"/>
  <c r="H237" i="14"/>
  <c r="E236" i="19"/>
  <c r="H236" i="14"/>
  <c r="E235" i="19"/>
  <c r="H235" i="14"/>
  <c r="E234" i="19"/>
  <c r="H234" i="14"/>
  <c r="E233" i="19"/>
  <c r="H233" i="14"/>
  <c r="E232" i="19"/>
  <c r="H232" i="14"/>
  <c r="E231" i="19"/>
  <c r="H231" i="14"/>
  <c r="E230" i="19"/>
  <c r="H230" i="14"/>
  <c r="E229" i="19"/>
  <c r="H229" i="14"/>
  <c r="E228" i="19"/>
  <c r="H228" i="14"/>
  <c r="E227" i="19"/>
  <c r="H227" i="14"/>
  <c r="E226" i="19"/>
  <c r="H226" i="14"/>
  <c r="E225" i="19"/>
  <c r="H225" i="14"/>
  <c r="E224" i="19"/>
  <c r="H224" i="14"/>
  <c r="E223" i="19"/>
  <c r="H223" i="14"/>
  <c r="E222" i="19"/>
  <c r="H222" i="14"/>
  <c r="E221" i="19"/>
  <c r="H221" i="14"/>
  <c r="E220" i="19"/>
  <c r="H220" i="14"/>
  <c r="E219" i="19"/>
  <c r="H219" i="14"/>
  <c r="E218" i="19"/>
  <c r="H218" i="14"/>
  <c r="E217" i="19"/>
  <c r="H217" i="14"/>
  <c r="E216" i="19"/>
  <c r="H216" i="14"/>
  <c r="E215" i="19"/>
  <c r="H215" i="14"/>
  <c r="E214" i="19"/>
  <c r="H214" i="14"/>
  <c r="E213" i="19"/>
  <c r="H213" i="14"/>
  <c r="E212" i="19"/>
  <c r="H212" i="14"/>
  <c r="E211" i="19"/>
  <c r="H211" i="14"/>
  <c r="E210" i="19"/>
  <c r="H210" i="14"/>
  <c r="E209" i="19"/>
  <c r="H209" i="14"/>
  <c r="E208" i="19"/>
  <c r="H208" i="14"/>
  <c r="E207" i="19"/>
  <c r="H207" i="14"/>
  <c r="E206" i="19"/>
  <c r="H206" i="14"/>
  <c r="E205" i="19"/>
  <c r="H205" i="14"/>
  <c r="E204" i="19"/>
  <c r="H204" i="14"/>
  <c r="E203" i="19"/>
  <c r="H203" i="14"/>
  <c r="E202" i="19"/>
  <c r="H202" i="14"/>
  <c r="E201" i="19"/>
  <c r="H201" i="14"/>
  <c r="E200" i="19"/>
  <c r="H200" i="14"/>
  <c r="E199" i="19"/>
  <c r="H199" i="14"/>
  <c r="E198" i="19"/>
  <c r="H198" i="14"/>
  <c r="E197" i="19"/>
  <c r="H197" i="14"/>
  <c r="E196" i="19"/>
  <c r="H196" i="14"/>
  <c r="E195" i="19"/>
  <c r="H195" i="14"/>
  <c r="E194" i="19"/>
  <c r="H194" i="14"/>
  <c r="E193" i="19"/>
  <c r="H193" i="14"/>
  <c r="E192" i="19"/>
  <c r="H192" i="14"/>
  <c r="E191" i="19"/>
  <c r="H191" i="14"/>
  <c r="E190" i="19"/>
  <c r="H190" i="14"/>
  <c r="E189" i="19"/>
  <c r="H189" i="14"/>
  <c r="E188" i="19"/>
  <c r="H188" i="14"/>
  <c r="E187" i="19"/>
  <c r="H187" i="14"/>
  <c r="E186" i="19"/>
  <c r="H186" i="14"/>
  <c r="E185" i="19"/>
  <c r="H185" i="14"/>
  <c r="E184" i="19"/>
  <c r="H184" i="14"/>
  <c r="E183" i="19"/>
  <c r="H183" i="14"/>
  <c r="E182" i="19"/>
  <c r="H182" i="14"/>
  <c r="E181" i="19"/>
  <c r="H181" i="14"/>
  <c r="E180" i="19"/>
  <c r="H180" i="14"/>
  <c r="E179" i="19"/>
  <c r="H179" i="14"/>
  <c r="E178" i="19"/>
  <c r="H178" i="14"/>
  <c r="E177" i="19"/>
  <c r="H177" i="14"/>
  <c r="E176" i="19"/>
  <c r="H176" i="14"/>
  <c r="E175" i="19"/>
  <c r="H175" i="14"/>
  <c r="E174" i="19"/>
  <c r="H174" i="14"/>
  <c r="E173" i="19"/>
  <c r="H173" i="14"/>
  <c r="E172" i="19"/>
  <c r="H172" i="14"/>
  <c r="E171" i="19"/>
  <c r="H171" i="14"/>
  <c r="E170" i="19"/>
  <c r="H170" i="14"/>
  <c r="E169" i="19"/>
  <c r="H169" i="14"/>
  <c r="E168" i="19"/>
  <c r="H168" i="14"/>
  <c r="E167" i="19"/>
  <c r="H167" i="14"/>
  <c r="E166" i="19"/>
  <c r="H166" i="14"/>
  <c r="E165" i="19"/>
  <c r="H165" i="14"/>
  <c r="E164" i="19"/>
  <c r="H164" i="14"/>
  <c r="E163" i="19"/>
  <c r="H163" i="14"/>
  <c r="E162" i="19"/>
  <c r="H162" i="14"/>
  <c r="E161" i="19"/>
  <c r="H161" i="14"/>
  <c r="E160" i="19"/>
  <c r="H160" i="14"/>
  <c r="E159" i="19"/>
  <c r="H159" i="14"/>
  <c r="E158" i="19"/>
  <c r="H158" i="14"/>
  <c r="E157" i="19"/>
  <c r="H157" i="14"/>
  <c r="E156" i="19"/>
  <c r="H156" i="14"/>
  <c r="E155" i="19"/>
  <c r="H155" i="14"/>
  <c r="E154" i="19"/>
  <c r="H154" i="14"/>
  <c r="E153" i="19"/>
  <c r="H153" i="14"/>
  <c r="E152" i="19"/>
  <c r="H152" i="14"/>
  <c r="E151" i="19"/>
  <c r="H151" i="14"/>
  <c r="E150" i="19"/>
  <c r="H150" i="14"/>
  <c r="E149" i="19"/>
  <c r="H149" i="14"/>
  <c r="E148" i="19"/>
  <c r="H148" i="14"/>
  <c r="E147" i="19"/>
  <c r="H147" i="14"/>
  <c r="E146" i="19"/>
  <c r="H146" i="14"/>
  <c r="E145" i="19"/>
  <c r="H145" i="14"/>
  <c r="E144" i="19"/>
  <c r="H144" i="14"/>
  <c r="E143" i="19"/>
  <c r="H143" i="14"/>
  <c r="E142" i="19"/>
  <c r="H142" i="14"/>
  <c r="E141" i="19"/>
  <c r="H141" i="14"/>
  <c r="E140" i="19"/>
  <c r="H140" i="14"/>
  <c r="E139" i="19"/>
  <c r="H139" i="14"/>
  <c r="E138" i="19"/>
  <c r="H138" i="14"/>
  <c r="E137" i="19"/>
  <c r="H137" i="14"/>
  <c r="E136" i="19"/>
  <c r="H136" i="14"/>
  <c r="E135" i="19"/>
  <c r="H135" i="14"/>
  <c r="E134" i="19"/>
  <c r="H134" i="14"/>
  <c r="E133" i="19"/>
  <c r="H133" i="14"/>
  <c r="E132" i="19"/>
  <c r="H132" i="14"/>
  <c r="E131" i="19"/>
  <c r="H131" i="14"/>
  <c r="E130" i="19"/>
  <c r="H130" i="14"/>
  <c r="E129" i="19"/>
  <c r="H129" i="14"/>
  <c r="E128" i="19"/>
  <c r="H128" i="14"/>
  <c r="E127" i="19"/>
  <c r="H127" i="14"/>
  <c r="E126" i="19"/>
  <c r="H126" i="14"/>
  <c r="E125" i="19"/>
  <c r="H125" i="14"/>
  <c r="E124" i="19"/>
  <c r="H124" i="14"/>
  <c r="E123" i="19"/>
  <c r="H123" i="14"/>
  <c r="E122" i="19"/>
  <c r="H122" i="14"/>
  <c r="E121" i="19"/>
  <c r="H121" i="14"/>
  <c r="E120" i="19"/>
  <c r="H120" i="14"/>
  <c r="E119" i="19"/>
  <c r="H119" i="14"/>
  <c r="E118" i="19"/>
  <c r="H118" i="14"/>
  <c r="E117" i="19"/>
  <c r="H117" i="14"/>
  <c r="E116" i="19"/>
  <c r="H116" i="14"/>
  <c r="E115" i="19"/>
  <c r="H115" i="14"/>
  <c r="E114" i="19"/>
  <c r="H114" i="14"/>
  <c r="E113" i="19"/>
  <c r="H113" i="14"/>
  <c r="E112" i="19"/>
  <c r="H112" i="14"/>
  <c r="E111" i="19"/>
  <c r="H111" i="14"/>
  <c r="E110" i="19"/>
  <c r="H110" i="14"/>
  <c r="E109" i="19"/>
  <c r="H109" i="14"/>
  <c r="E108" i="19"/>
  <c r="H108" i="14"/>
  <c r="E107" i="19"/>
  <c r="H107" i="14"/>
  <c r="E106" i="19"/>
  <c r="H106" i="14"/>
  <c r="E105" i="19"/>
  <c r="H105" i="14"/>
  <c r="E104" i="19"/>
  <c r="H104" i="14"/>
  <c r="E103" i="19"/>
  <c r="H103" i="14"/>
  <c r="E102" i="19"/>
  <c r="H102" i="14"/>
  <c r="E101" i="19"/>
  <c r="H101" i="14"/>
  <c r="E100" i="19"/>
  <c r="H100" i="14"/>
  <c r="E99" i="19"/>
  <c r="H99" i="14"/>
  <c r="E98" i="19"/>
  <c r="H98" i="14"/>
  <c r="E97" i="19"/>
  <c r="H97" i="14"/>
  <c r="E96" i="19"/>
  <c r="H96" i="14"/>
  <c r="E95" i="19"/>
  <c r="H95" i="14"/>
  <c r="E94" i="19"/>
  <c r="H94" i="14"/>
  <c r="E93" i="19"/>
  <c r="H93" i="14"/>
  <c r="E92" i="19"/>
  <c r="H92" i="14"/>
  <c r="E91" i="19"/>
  <c r="H91" i="14"/>
  <c r="E90" i="19"/>
  <c r="H90" i="14"/>
  <c r="E89" i="19"/>
  <c r="H89" i="14"/>
  <c r="E88" i="19"/>
  <c r="H88" i="14"/>
  <c r="E87" i="19"/>
  <c r="H87" i="14"/>
  <c r="E86" i="19"/>
  <c r="H86" i="14"/>
  <c r="E85" i="19"/>
  <c r="H85" i="14"/>
  <c r="E84" i="19"/>
  <c r="H84" i="14"/>
  <c r="E83" i="19"/>
  <c r="H83" i="14"/>
  <c r="E82" i="19"/>
  <c r="H82" i="14"/>
  <c r="E81" i="19"/>
  <c r="H81" i="14"/>
  <c r="E80" i="19"/>
  <c r="H80" i="14"/>
  <c r="E79" i="19"/>
  <c r="H79" i="14"/>
  <c r="E78" i="19"/>
  <c r="H78" i="14"/>
  <c r="E77" i="19"/>
  <c r="H77" i="14"/>
  <c r="E76" i="19"/>
  <c r="H76" i="14"/>
  <c r="E75" i="19"/>
  <c r="H75" i="14"/>
  <c r="E74" i="19"/>
  <c r="H74" i="14"/>
  <c r="E73" i="19"/>
  <c r="H73" i="14"/>
  <c r="E72" i="19"/>
  <c r="H72" i="14"/>
  <c r="E71" i="19"/>
  <c r="H71" i="14"/>
  <c r="E70" i="19"/>
  <c r="H70" i="14"/>
  <c r="E69" i="19"/>
  <c r="H69" i="14"/>
  <c r="E68" i="19"/>
  <c r="H68" i="14"/>
  <c r="E67" i="19"/>
  <c r="H67" i="14"/>
  <c r="E66" i="19"/>
  <c r="H66" i="14"/>
  <c r="E65" i="19"/>
  <c r="H65" i="14"/>
  <c r="E64" i="19"/>
  <c r="H64" i="14"/>
  <c r="E63" i="19"/>
  <c r="H63" i="14"/>
  <c r="E62" i="19"/>
  <c r="H62" i="14"/>
  <c r="E61" i="19"/>
  <c r="H61" i="14"/>
  <c r="E60" i="19"/>
  <c r="H60" i="14"/>
  <c r="E59" i="19"/>
  <c r="H59" i="14"/>
  <c r="E58" i="19"/>
  <c r="H58" i="14"/>
  <c r="E57" i="19"/>
  <c r="H57" i="14"/>
  <c r="H56" i="14"/>
  <c r="E56" i="19"/>
  <c r="H55" i="14"/>
  <c r="E55" i="19"/>
  <c r="E54" i="19"/>
  <c r="H54" i="14"/>
  <c r="H53" i="14"/>
  <c r="E53" i="19"/>
  <c r="E52" i="19"/>
  <c r="H52" i="14"/>
  <c r="E51" i="19"/>
  <c r="H51" i="14"/>
  <c r="E50" i="19"/>
  <c r="H50" i="14"/>
  <c r="E49" i="19"/>
  <c r="H49" i="14"/>
  <c r="E48" i="19"/>
  <c r="H48" i="14"/>
  <c r="E47" i="19"/>
  <c r="H47" i="14"/>
  <c r="E46" i="19"/>
  <c r="H46" i="14"/>
  <c r="H45" i="14"/>
  <c r="E45" i="19"/>
  <c r="E44" i="19"/>
  <c r="H44" i="14"/>
  <c r="H43" i="14"/>
  <c r="E43" i="19"/>
  <c r="H42" i="14"/>
  <c r="E42" i="19"/>
  <c r="H41" i="14"/>
  <c r="E41" i="19"/>
  <c r="H40" i="14"/>
  <c r="E40" i="19"/>
  <c r="E39" i="19"/>
  <c r="H39" i="14"/>
  <c r="H38" i="14"/>
  <c r="E38" i="19"/>
  <c r="E37" i="19"/>
  <c r="H37" i="14"/>
  <c r="E36" i="19"/>
  <c r="H36" i="14"/>
  <c r="H35" i="14"/>
  <c r="E35" i="19"/>
  <c r="E34" i="19"/>
  <c r="H34" i="14"/>
  <c r="E33" i="19"/>
  <c r="H33" i="14"/>
  <c r="E32" i="19"/>
  <c r="H32" i="14"/>
  <c r="E31" i="19"/>
  <c r="H31" i="14"/>
  <c r="E30" i="19"/>
  <c r="H30" i="14"/>
  <c r="H29" i="14"/>
  <c r="E29" i="19"/>
  <c r="E28" i="19"/>
  <c r="H28" i="14"/>
  <c r="E27" i="19"/>
  <c r="H27" i="14"/>
  <c r="E26" i="19"/>
  <c r="H26" i="14"/>
  <c r="E25" i="19"/>
  <c r="H25" i="14"/>
  <c r="E24" i="19"/>
  <c r="H24" i="14"/>
  <c r="H23" i="14"/>
  <c r="E23" i="19"/>
  <c r="E22" i="19"/>
  <c r="H22" i="14"/>
  <c r="H21" i="14"/>
  <c r="E21" i="19"/>
  <c r="E20" i="19"/>
  <c r="H20" i="14"/>
  <c r="H19" i="14"/>
  <c r="E19" i="19"/>
  <c r="E18" i="19"/>
  <c r="H18" i="14"/>
  <c r="H17" i="14"/>
  <c r="E17" i="19"/>
  <c r="E6" i="19"/>
  <c r="H6" i="14"/>
  <c r="E4" i="19"/>
  <c r="H4" i="14"/>
  <c r="E3" i="19"/>
  <c r="H3" i="14"/>
  <c r="E2" i="19"/>
  <c r="H2" i="14"/>
  <c r="R791" i="17"/>
  <c r="T791" i="17" s="1"/>
  <c r="E800" i="14" l="1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C2" i="24"/>
  <c r="E801" i="14" l="1"/>
  <c r="E802" i="14" s="1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G2" i="24" l="1"/>
  <c r="J2" i="24"/>
  <c r="M2" i="24"/>
  <c r="O2" i="24"/>
  <c r="I2" i="24"/>
  <c r="K2" i="24"/>
  <c r="L2" i="24"/>
  <c r="N2" i="24"/>
  <c r="H2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06" authorId="0" shapeId="0" xr:uid="{177FE07D-B978-48D3-BB75-E4ACF78D58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If this was in the 1960s as the legacy data says then it's not a J-class but a G-class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O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P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Q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S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O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P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Q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P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Q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Q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O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Q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Q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L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N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Q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Q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Q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Q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Q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Q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Q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Q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L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Q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P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Q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Q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Q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Q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Q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Q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Q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Q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Q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Q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Q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Q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V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Q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V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V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V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N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Q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V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Q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V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Q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V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S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V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Q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Q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V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Q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Q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V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Q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Q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O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N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O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Q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N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Q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Q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V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O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Q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N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Q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Q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V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O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Q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N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Q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O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N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O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Q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Q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Q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Q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Q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Q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Q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Q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O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Q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O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Q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O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Q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O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Q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O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Q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N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N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N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Q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Q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P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Q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O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Q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O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P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Q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Q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Q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Q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V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O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Q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Q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Q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Q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Q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Q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Q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Q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O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Q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Q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P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N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O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E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F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G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<sst xmlns="http://schemas.openxmlformats.org/spreadsheetml/2006/main" count="18761" uniqueCount="3080">
  <si>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</si>
  <si>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</si>
  <si>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</si>
  <si>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</si>
  <si>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</si>
  <si>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</si>
  <si>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</si>
  <si>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</si>
  <si>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</si>
  <si>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</si>
  <si>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</si>
  <si>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</si>
  <si>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</si>
  <si>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</si>
  <si>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</si>
  <si>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</si>
  <si>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</si>
  <si>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</si>
  <si>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</si>
  <si>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</si>
  <si>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</si>
  <si>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</si>
  <si>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</si>
  <si>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</si>
  <si>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</si>
  <si>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</si>
  <si>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</si>
  <si>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</si>
  <si>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</si>
  <si>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</si>
  <si>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</si>
  <si>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</si>
  <si>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</si>
  <si>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</si>
  <si>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</si>
  <si>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</si>
  <si>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</si>
  <si>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</si>
  <si>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</si>
  <si>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</si>
  <si>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</si>
  <si>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</si>
  <si>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</si>
  <si>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</si>
  <si>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</si>
  <si>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</si>
  <si>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</si>
  <si>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</si>
  <si>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</si>
  <si>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</si>
  <si>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</si>
  <si>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</si>
  <si>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</si>
  <si>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</si>
  <si>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</si>
  <si>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</si>
  <si>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</si>
  <si>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</si>
  <si>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</si>
  <si>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</si>
  <si>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</si>
  <si>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</si>
  <si>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</si>
  <si>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</si>
  <si>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</si>
  <si>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</si>
  <si>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</si>
  <si>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</si>
  <si>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</si>
  <si>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</si>
  <si>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</si>
  <si>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</si>
  <si>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</si>
  <si>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</si>
  <si>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</si>
  <si>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</si>
  <si>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</si>
  <si>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</si>
  <si>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</si>
  <si>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</si>
  <si>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</si>
  <si>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</si>
  <si>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</si>
  <si>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</si>
  <si>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</si>
  <si>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</si>
  <si>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</si>
  <si>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</si>
  <si>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</si>
  <si>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</si>
  <si>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</si>
  <si>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</si>
  <si>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</si>
  <si>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</si>
  <si>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</si>
  <si>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</si>
  <si>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</si>
  <si>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</si>
  <si>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</si>
  <si>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</si>
  <si>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</si>
  <si>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</si>
  <si>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</si>
  <si>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</si>
  <si>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</si>
  <si>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</si>
  <si>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</si>
  <si>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</si>
  <si>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</si>
  <si>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</si>
  <si>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</si>
  <si>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</si>
  <si>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</si>
  <si>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</si>
  <si>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</si>
  <si>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</si>
  <si>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</si>
  <si>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</si>
  <si>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</si>
  <si>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</si>
  <si>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</si>
  <si>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</si>
  <si>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</si>
  <si>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</si>
  <si>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</si>
  <si>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</si>
  <si>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</si>
  <si>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</si>
  <si>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</si>
  <si>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</si>
  <si>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</si>
  <si>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</si>
  <si>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</si>
  <si>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</si>
  <si>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</si>
  <si>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</si>
  <si>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</si>
  <si>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</si>
  <si>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</si>
  <si>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</si>
  <si>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</si>
  <si>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</si>
  <si>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</si>
  <si>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</si>
  <si>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</si>
  <si>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</si>
  <si>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</si>
  <si>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</si>
  <si>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</si>
  <si>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</si>
  <si>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</si>
  <si>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</si>
  <si>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</si>
  <si>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</si>
  <si>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</si>
  <si>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</si>
  <si>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</si>
  <si>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</si>
  <si>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</si>
  <si>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</si>
  <si>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</si>
  <si>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</si>
  <si>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</si>
  <si>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</si>
  <si>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</si>
  <si>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</si>
  <si>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</si>
  <si>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</si>
  <si>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</si>
  <si>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</si>
  <si>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</si>
  <si>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</si>
  <si>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</si>
  <si>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</si>
  <si>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</si>
  <si>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</si>
  <si>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</si>
  <si>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</si>
  <si>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</si>
  <si>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</si>
  <si>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</si>
  <si>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</si>
  <si>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</si>
  <si>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</si>
  <si>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</si>
  <si>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</si>
  <si>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</si>
  <si>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</si>
  <si>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</si>
  <si>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</si>
  <si>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</si>
  <si>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</si>
  <si>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</si>
  <si>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</si>
  <si>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</si>
  <si>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</si>
  <si>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</si>
  <si>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</si>
  <si>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</si>
  <si>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</si>
  <si>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</si>
  <si>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</si>
  <si>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</si>
  <si>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</si>
  <si>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</si>
  <si>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</si>
  <si>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</si>
  <si>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</si>
  <si>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</si>
  <si>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</si>
  <si>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</si>
  <si>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</si>
  <si>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</si>
  <si>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</si>
  <si>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</si>
  <si>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</si>
  <si>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</si>
  <si>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</si>
  <si>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</si>
  <si>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</si>
  <si>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</si>
  <si>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</si>
  <si>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</si>
  <si>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</si>
  <si>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</si>
  <si>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</si>
  <si>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</si>
  <si>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</si>
  <si>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</si>
  <si>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</si>
  <si>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</si>
  <si>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</si>
  <si>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</si>
  <si>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</si>
  <si>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</si>
  <si>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</si>
  <si>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</si>
  <si>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</si>
  <si>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</si>
  <si>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</si>
  <si>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</si>
  <si>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</si>
  <si>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</si>
  <si>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</si>
  <si>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</si>
  <si>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</si>
  <si>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</si>
  <si>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</si>
  <si>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</si>
  <si>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</si>
  <si>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</si>
  <si>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</si>
  <si>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</si>
  <si>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</si>
  <si>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</si>
  <si>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</si>
  <si>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</si>
  <si>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</si>
  <si>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</si>
  <si>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</si>
  <si>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</si>
  <si>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</si>
  <si>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</si>
  <si>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</si>
  <si>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</si>
  <si>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</si>
  <si>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</si>
  <si>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</si>
  <si>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</si>
  <si>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</si>
  <si>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</si>
  <si>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</si>
  <si>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</si>
  <si>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</si>
  <si>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</si>
  <si>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</si>
  <si>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</si>
  <si>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</si>
  <si>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</si>
  <si>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</si>
  <si>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</si>
  <si>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</si>
  <si>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</si>
  <si>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</si>
  <si>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</si>
  <si>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</si>
  <si>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</si>
  <si>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</si>
  <si>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</si>
  <si>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</si>
  <si>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</si>
  <si>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</si>
  <si>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</si>
  <si>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</si>
  <si>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</si>
  <si>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</si>
  <si>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</si>
  <si>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</si>
  <si>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</si>
  <si>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</si>
  <si>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</si>
  <si>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</si>
  <si>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</si>
  <si>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</si>
  <si>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</si>
  <si>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</si>
  <si>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</si>
  <si>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</si>
  <si>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</si>
  <si>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</si>
  <si>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</si>
  <si>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</si>
  <si>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</si>
  <si>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</si>
  <si>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</si>
  <si>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</si>
  <si>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</si>
  <si>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</si>
  <si>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</si>
  <si>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</si>
  <si>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</si>
  <si>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</si>
  <si>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</si>
  <si>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</si>
  <si>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</si>
  <si>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</si>
  <si>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</si>
  <si>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</si>
  <si>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</si>
  <si>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</si>
  <si>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</si>
  <si>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</si>
  <si>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</si>
  <si>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</si>
  <si>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</si>
  <si>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</si>
  <si>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</si>
  <si>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</si>
  <si>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</si>
  <si>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</si>
  <si>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</si>
  <si>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</si>
  <si>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</si>
  <si>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</si>
  <si>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</si>
  <si>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</si>
  <si>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</si>
  <si>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</si>
  <si>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</si>
  <si>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</si>
  <si>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</si>
  <si>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</si>
  <si>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</si>
  <si>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</si>
  <si>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</si>
  <si>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</si>
  <si>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</si>
  <si>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</si>
  <si>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</si>
  <si>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</si>
  <si>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</si>
  <si>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</si>
  <si>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</si>
  <si>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</si>
  <si>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</si>
  <si>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</si>
  <si>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</si>
  <si>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</si>
  <si>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</si>
  <si>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</si>
  <si>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</si>
  <si>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</si>
  <si>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</si>
  <si>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</si>
  <si>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</si>
  <si>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</si>
  <si>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</si>
  <si>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</si>
  <si>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</si>
  <si>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</si>
  <si>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</si>
  <si>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</si>
  <si>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</si>
  <si>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</si>
  <si>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</si>
  <si>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</si>
  <si>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</si>
  <si>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</si>
  <si>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</si>
  <si>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</si>
  <si>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</si>
  <si>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</si>
  <si>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</si>
  <si>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</si>
  <si>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</si>
  <si>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</si>
  <si>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</si>
  <si>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</si>
  <si>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</si>
  <si>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</si>
  <si>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</si>
  <si>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</si>
  <si>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</si>
  <si>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</si>
  <si>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</si>
  <si>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</si>
  <si>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</si>
  <si>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</si>
  <si>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</si>
  <si>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</si>
  <si>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</si>
  <si>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</si>
  <si>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</si>
  <si>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</si>
  <si>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</si>
  <si>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</si>
  <si>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</si>
  <si>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</si>
  <si>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</si>
  <si>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</si>
  <si>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</si>
  <si>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</si>
  <si>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</si>
  <si>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</si>
  <si>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</si>
  <si>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</si>
  <si>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</si>
  <si>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</si>
  <si>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</si>
  <si>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</si>
  <si>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</si>
  <si>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</si>
  <si>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</si>
  <si>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</si>
  <si>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</si>
  <si>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</si>
  <si>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</si>
  <si>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</si>
  <si>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</si>
  <si>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</si>
  <si>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</si>
  <si>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</si>
  <si>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</si>
  <si>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</si>
  <si>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</si>
  <si>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</si>
  <si>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</si>
  <si>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</si>
  <si>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</si>
  <si>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</si>
  <si>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</si>
  <si>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</si>
  <si>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</si>
  <si>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</si>
  <si>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</si>
  <si>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</si>
  <si>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</si>
  <si>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</si>
  <si>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</si>
  <si>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</si>
  <si>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</si>
  <si>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</si>
  <si>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</si>
  <si>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</si>
  <si>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</si>
  <si>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</si>
  <si>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</si>
  <si>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</si>
  <si>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</si>
  <si>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</si>
  <si>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</si>
  <si>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</si>
  <si>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</si>
  <si>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</si>
  <si>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</si>
  <si>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</si>
  <si>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</si>
  <si>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</si>
  <si>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</si>
  <si>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</si>
  <si>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</si>
  <si>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</si>
  <si>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</si>
  <si>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</si>
  <si>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</si>
  <si>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</si>
  <si>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</si>
  <si>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</si>
  <si>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</si>
  <si>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</si>
  <si>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</si>
  <si>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</si>
  <si>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</si>
  <si>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</si>
  <si>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</si>
  <si>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</si>
  <si>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</si>
  <si>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</si>
  <si>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</si>
  <si>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</si>
  <si>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</si>
  <si>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</si>
  <si>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</si>
  <si>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</si>
  <si>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</si>
  <si>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</si>
  <si>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</si>
  <si>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</si>
  <si>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</si>
  <si>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</si>
  <si>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</si>
  <si>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</si>
  <si>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</si>
  <si>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</si>
  <si>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</si>
  <si>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</si>
  <si>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</si>
  <si>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</si>
  <si>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</si>
  <si>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</si>
  <si>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</si>
  <si>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</si>
  <si>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</si>
  <si>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</si>
  <si>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</si>
  <si>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</si>
  <si>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</si>
  <si>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</si>
  <si>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</si>
  <si>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</si>
  <si>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</si>
  <si>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</si>
  <si>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</si>
  <si>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</si>
  <si>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</si>
  <si>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</si>
  <si>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</si>
  <si>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</si>
  <si>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</si>
  <si>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</si>
  <si>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</si>
  <si>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</si>
  <si>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</si>
  <si>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</si>
  <si>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</si>
  <si>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</si>
  <si>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</si>
  <si>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</si>
  <si>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</si>
  <si>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</si>
  <si>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</si>
  <si>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</si>
  <si>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</si>
  <si>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</si>
  <si>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</si>
  <si>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</si>
  <si>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</si>
  <si>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</si>
  <si>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</si>
  <si>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</si>
  <si>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</si>
  <si>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</si>
  <si>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</si>
  <si>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</si>
  <si>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</si>
  <si>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</si>
  <si>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</si>
  <si>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</si>
  <si>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</si>
  <si>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</si>
  <si>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</si>
  <si>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</si>
  <si>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</si>
  <si>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</si>
  <si>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</si>
  <si>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</si>
  <si>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</si>
  <si>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</si>
  <si>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</si>
  <si>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</si>
  <si>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</si>
  <si>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</si>
  <si>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</si>
  <si>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</si>
  <si>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</si>
  <si>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</si>
  <si>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</si>
  <si>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</si>
  <si>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</si>
  <si>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</si>
  <si>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</si>
  <si>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</si>
  <si>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</si>
  <si>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</si>
  <si>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</si>
  <si>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</si>
  <si>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</si>
  <si>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</si>
  <si>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</si>
  <si>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</si>
  <si>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</si>
  <si>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</si>
  <si>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</si>
  <si>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</si>
  <si>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</si>
  <si>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</si>
  <si>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</si>
  <si>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</si>
  <si>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</si>
  <si>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</si>
  <si>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</si>
  <si>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</si>
  <si>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</si>
  <si>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</si>
  <si>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</si>
  <si>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</si>
  <si>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</si>
  <si>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</si>
  <si>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</si>
  <si>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</si>
  <si>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</si>
  <si>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</si>
  <si>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</si>
  <si>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</si>
  <si>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</si>
  <si>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</si>
  <si>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</si>
  <si>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</si>
  <si>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</si>
  <si>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</si>
  <si>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</si>
  <si>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</si>
  <si>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</si>
  <si>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</si>
  <si>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</si>
  <si>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</si>
  <si>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</si>
  <si>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</si>
  <si>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</si>
  <si>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</si>
  <si>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</si>
  <si>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</si>
  <si>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</si>
  <si>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</si>
  <si>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</si>
  <si>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</si>
  <si>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</si>
  <si>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</si>
  <si>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</si>
  <si>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</si>
  <si>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</si>
  <si>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</si>
  <si>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</si>
  <si>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</si>
  <si>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</si>
  <si>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</si>
  <si>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</si>
  <si>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</si>
  <si>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</si>
  <si>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</si>
  <si>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</si>
  <si>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</si>
  <si>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</si>
  <si>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</si>
  <si>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</si>
  <si>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</si>
  <si>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</si>
  <si>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</si>
  <si>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</si>
  <si>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</si>
  <si>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</si>
  <si>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</si>
  <si>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</si>
  <si>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</si>
  <si>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</si>
  <si>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</si>
  <si>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</si>
  <si>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</si>
  <si>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</si>
  <si>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</si>
  <si>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</si>
  <si>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</si>
  <si>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</si>
  <si>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</si>
  <si>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</si>
  <si>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</si>
  <si>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</si>
  <si>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</si>
  <si>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</si>
  <si>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</si>
  <si>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</si>
  <si>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</si>
  <si>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</si>
  <si>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</si>
  <si>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</si>
  <si>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</si>
  <si>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</si>
  <si>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</si>
  <si>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</si>
  <si>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</si>
  <si>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</si>
  <si>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</si>
  <si>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</si>
  <si>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</si>
  <si>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</si>
  <si>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</si>
  <si>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</si>
  <si>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</si>
  <si>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</si>
  <si>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</si>
  <si>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</si>
  <si>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</si>
  <si>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</si>
  <si>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</si>
  <si>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</si>
  <si>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</si>
  <si>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</si>
  <si>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</si>
  <si>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</si>
  <si>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</si>
  <si>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</si>
  <si>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</si>
  <si>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</si>
  <si>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</si>
  <si>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</si>
  <si>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</si>
  <si>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</si>
  <si>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</si>
  <si>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</si>
  <si>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</si>
  <si>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</si>
  <si>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</si>
  <si>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</si>
  <si>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</si>
  <si>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</si>
  <si>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</si>
  <si>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</si>
  <si>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</si>
  <si>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</si>
  <si>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</si>
  <si>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</si>
  <si>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</si>
  <si>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</si>
  <si>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</si>
  <si>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</si>
  <si>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</si>
  <si>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</si>
  <si>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</si>
  <si>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</si>
  <si>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</si>
  <si>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</si>
  <si>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</si>
  <si>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</si>
  <si>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</si>
  <si>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</si>
  <si>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</si>
  <si>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</si>
  <si>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</si>
  <si>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</si>
  <si>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</si>
  <si>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</si>
  <si>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</si>
  <si>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</si>
  <si>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</si>
  <si>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</si>
  <si>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</si>
  <si>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</si>
  <si>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</si>
  <si>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</si>
  <si>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</si>
  <si>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</si>
  <si>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</si>
  <si>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</si>
  <si>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</si>
  <si>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</si>
  <si>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</si>
  <si>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</si>
  <si>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</si>
  <si>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</si>
  <si>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</si>
  <si>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</si>
  <si>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</si>
  <si>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</si>
  <si>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</si>
  <si>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</si>
  <si>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</si>
  <si>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</si>
  <si>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</si>
  <si>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</si>
  <si>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</si>
  <si>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</si>
  <si>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</si>
  <si>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</si>
  <si>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</si>
  <si>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</si>
  <si>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</si>
  <si>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</si>
  <si>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</si>
  <si>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</si>
  <si>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</si>
  <si>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</si>
  <si>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</si>
  <si>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</si>
  <si>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</si>
  <si>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</si>
  <si>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</si>
  <si>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</si>
  <si>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</si>
  <si>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</si>
  <si>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</si>
  <si>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</si>
  <si>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</si>
  <si>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</si>
  <si>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</si>
  <si>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</si>
  <si>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</si>
  <si>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</si>
  <si>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</si>
  <si>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</si>
  <si>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</si>
  <si>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</si>
  <si>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</si>
  <si>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</si>
  <si>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</si>
  <si>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</si>
  <si>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</si>
  <si>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</si>
  <si>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</si>
  <si>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</si>
  <si>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</si>
  <si>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</si>
  <si>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</si>
  <si>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</si>
  <si>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</si>
  <si>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</si>
  <si>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</si>
  <si>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</si>
  <si>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</si>
  <si>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</si>
  <si>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</si>
  <si>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</si>
  <si>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</si>
  <si>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</si>
  <si>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</si>
  <si>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</si>
  <si>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</si>
  <si>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</si>
  <si>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</si>
  <si>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</si>
  <si>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</si>
  <si>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</si>
  <si>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</si>
  <si>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</si>
  <si>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</si>
  <si>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</si>
  <si>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</si>
  <si>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</si>
  <si>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</si>
  <si>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</si>
  <si>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</si>
  <si>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</si>
  <si>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</si>
  <si>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</si>
  <si>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</si>
  <si>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</si>
  <si>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</si>
  <si>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</si>
  <si>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</si>
  <si>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</si>
  <si>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</si>
  <si>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</si>
  <si>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</si>
  <si>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</si>
  <si>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</si>
  <si>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</si>
  <si>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</si>
  <si>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</si>
  <si>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</si>
  <si>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</si>
  <si>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</si>
  <si>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</si>
  <si>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</si>
  <si>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</si>
  <si>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</si>
  <si>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</si>
  <si>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</si>
  <si>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</si>
  <si>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</si>
  <si>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</si>
  <si>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</si>
  <si>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</si>
  <si>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</si>
  <si>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</si>
  <si>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</si>
  <si>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</si>
  <si>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</si>
  <si>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</si>
  <si>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</si>
  <si>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</si>
  <si>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</si>
  <si>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</si>
  <si>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</si>
  <si>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</si>
  <si>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</si>
  <si>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</si>
  <si>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</si>
  <si>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</si>
  <si>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</si>
  <si>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</si>
  <si>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</si>
  <si>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</si>
  <si>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</si>
  <si>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</si>
  <si>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</si>
  <si>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</si>
  <si>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</si>
  <si>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</si>
  <si>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</si>
  <si>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</si>
  <si>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</si>
  <si>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</si>
  <si>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</si>
  <si>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</si>
  <si>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</si>
  <si>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</si>
  <si>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</si>
  <si>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</si>
  <si>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</si>
  <si>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</si>
  <si>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</si>
  <si>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</si>
  <si>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</si>
  <si>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</si>
  <si>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</si>
  <si>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</si>
  <si>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</si>
  <si>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</si>
  <si>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</si>
  <si>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</si>
  <si>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</si>
  <si>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</si>
  <si>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</si>
  <si>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</si>
  <si>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</si>
  <si>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</si>
  <si>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</si>
  <si>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</si>
  <si>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</si>
  <si>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</si>
  <si>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</si>
  <si>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</si>
  <si>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</si>
  <si>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</si>
  <si>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</si>
  <si>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</si>
  <si>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</si>
  <si>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</si>
  <si>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</si>
  <si>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</si>
  <si>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</si>
  <si>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</si>
  <si>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</si>
  <si>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</si>
  <si>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</si>
  <si>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</si>
  <si>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</si>
  <si>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</si>
  <si>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</si>
  <si>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</si>
  <si>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</si>
  <si>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</si>
  <si>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</si>
  <si>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</si>
  <si>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</si>
  <si>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</si>
  <si>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</si>
  <si>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</si>
  <si>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</si>
  <si>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</si>
  <si>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</si>
  <si>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</si>
  <si>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</si>
  <si>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</si>
  <si>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</si>
  <si>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</si>
  <si>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</si>
  <si>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</si>
  <si>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</si>
  <si>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</si>
  <si>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</si>
  <si>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</si>
  <si>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</si>
  <si>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</si>
  <si>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</si>
  <si>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</si>
  <si>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</si>
  <si>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</si>
  <si>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</si>
  <si>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</si>
  <si>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</si>
  <si>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</si>
  <si>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</si>
  <si>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</si>
  <si>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</si>
  <si>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</si>
  <si>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</si>
  <si>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</si>
  <si>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</si>
  <si>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</si>
  <si>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</si>
  <si>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</si>
  <si>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</si>
  <si>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</si>
  <si>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</si>
  <si>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</si>
  <si>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</si>
  <si>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</si>
  <si>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</si>
  <si>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</si>
  <si>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</si>
  <si>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</si>
  <si>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</si>
  <si>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</si>
  <si>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</si>
  <si>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</si>
  <si>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</si>
  <si>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</si>
  <si>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</si>
  <si>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</si>
  <si>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</si>
  <si>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</si>
  <si>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</si>
  <si>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</si>
  <si>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</si>
  <si>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</si>
  <si>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</si>
  <si>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</si>
  <si>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</si>
  <si>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</si>
  <si>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</si>
  <si>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</si>
  <si>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</si>
  <si>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</si>
  <si>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</si>
  <si>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</si>
  <si>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</si>
  <si>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</si>
  <si>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</si>
  <si>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</si>
  <si>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</si>
  <si>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</si>
  <si>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</si>
  <si>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</si>
  <si>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</si>
  <si>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</si>
  <si>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</si>
  <si>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</si>
  <si>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</si>
  <si>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</si>
  <si>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</si>
  <si>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</si>
  <si>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</si>
  <si>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</si>
  <si>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</si>
  <si>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</si>
  <si>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</si>
  <si>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</si>
  <si>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</si>
  <si>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</si>
  <si>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</si>
  <si>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</si>
  <si>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</si>
  <si>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</si>
  <si>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</si>
  <si>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</si>
  <si>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</si>
  <si>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</si>
  <si>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</si>
  <si>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</si>
  <si>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</si>
  <si>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</si>
  <si>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</si>
  <si>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</si>
  <si>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</si>
  <si>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</si>
  <si>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</si>
  <si>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</si>
  <si>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</si>
  <si>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</si>
  <si>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</si>
  <si>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</si>
  <si>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</si>
  <si>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</si>
  <si>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</si>
  <si>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</si>
  <si>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</si>
  <si>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</si>
  <si>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</si>
  <si>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</si>
  <si>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</si>
  <si>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</si>
  <si>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</si>
  <si>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</si>
  <si>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</si>
  <si>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</si>
  <si>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</si>
  <si>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</si>
  <si>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</si>
  <si>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</si>
  <si>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</si>
  <si>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</si>
  <si>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</si>
  <si>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</si>
  <si>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</si>
  <si>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</si>
  <si>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</si>
  <si>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</si>
  <si>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</si>
  <si>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</si>
  <si>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</si>
  <si>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</si>
  <si>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</si>
  <si>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</si>
  <si>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</si>
  <si>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</si>
  <si>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</si>
  <si>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</si>
  <si>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</si>
  <si>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</si>
  <si>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</si>
  <si>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</si>
  <si>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</si>
  <si>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</si>
  <si>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</si>
  <si>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</si>
  <si>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</si>
  <si>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</si>
  <si>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</si>
  <si>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</si>
  <si>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</si>
  <si>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</si>
  <si>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</si>
  <si>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</si>
  <si>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</si>
  <si>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</si>
  <si>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</si>
  <si>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</si>
  <si>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</si>
  <si>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</si>
  <si>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</si>
  <si>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</si>
  <si>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</si>
  <si>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</si>
  <si>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</si>
  <si>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</si>
  <si>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</si>
  <si>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</si>
  <si>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</si>
  <si>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</si>
  <si>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</si>
  <si>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</si>
  <si>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</si>
  <si>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</si>
  <si>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</si>
  <si>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</si>
  <si>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</si>
  <si>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</si>
  <si>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</si>
  <si>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</si>
  <si>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</si>
  <si>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</si>
  <si>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</si>
  <si>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</si>
  <si>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</si>
  <si>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</si>
  <si>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</si>
  <si>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</si>
  <si>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KKStB 310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</si>
  <si>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</si>
  <si>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</si>
  <si>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</si>
  <si>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</si>
  <si>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</si>
  <si>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</si>
  <si>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</si>
  <si>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</si>
  <si>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</si>
  <si>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</si>
  <si>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</si>
  <si>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</si>
  <si>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</si>
  <si>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</si>
  <si>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</si>
  <si>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</si>
  <si>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</si>
  <si>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</si>
  <si>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</si>
  <si>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</si>
  <si>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</si>
  <si>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</si>
  <si>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</si>
  <si>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</si>
  <si>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</si>
  <si>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</si>
  <si>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</si>
  <si>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</si>
  <si>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</si>
  <si>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</si>
  <si>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</si>
  <si>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</si>
  <si>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</si>
  <si>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</si>
  <si>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</si>
  <si>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</si>
  <si>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</si>
  <si>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</si>
  <si>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</si>
  <si>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</si>
  <si>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</si>
  <si>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</si>
  <si>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</si>
  <si>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</si>
  <si>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</si>
  <si>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</si>
  <si>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</si>
  <si>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</si>
  <si>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</si>
  <si>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</si>
  <si>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</si>
  <si>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</si>
  <si>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</si>
  <si>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</si>
  <si>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</si>
  <si>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</si>
  <si>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</si>
  <si>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</si>
  <si>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</si>
  <si>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</si>
  <si>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</si>
  <si>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</si>
  <si>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</si>
  <si>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</si>
  <si>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</si>
  <si>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</si>
  <si>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</si>
  <si>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</si>
  <si>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</si>
  <si>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</si>
  <si>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</si>
  <si>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</si>
  <si>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</si>
  <si>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</si>
  <si>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</si>
  <si>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</si>
  <si>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</si>
  <si>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</si>
  <si>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</si>
  <si>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</si>
  <si>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</si>
  <si>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</si>
  <si>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</si>
  <si>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</si>
  <si>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</si>
  <si>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</si>
  <si>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</si>
  <si>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</si>
  <si>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</si>
  <si>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</si>
  <si>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</si>
  <si>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</si>
  <si>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</si>
  <si>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</si>
  <si>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</si>
  <si>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</si>
  <si>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</si>
  <si>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</si>
  <si>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</si>
  <si>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</si>
  <si>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</si>
  <si>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</si>
  <si>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</si>
  <si>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</si>
  <si>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</si>
  <si>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</si>
  <si>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</si>
  <si>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</si>
  <si>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</si>
  <si>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</si>
  <si>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</si>
  <si>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</si>
  <si>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</si>
  <si>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</si>
  <si>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</si>
  <si>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</si>
  <si>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</si>
  <si>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</si>
  <si>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</si>
  <si>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</si>
  <si>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</si>
  <si>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</si>
  <si>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</si>
  <si>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</si>
  <si>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</si>
  <si>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</si>
  <si>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</si>
  <si>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</si>
  <si>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</si>
  <si>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</si>
  <si>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</si>
  <si>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</si>
  <si>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</si>
  <si>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</si>
  <si>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</si>
  <si>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</si>
  <si>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</si>
  <si>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</si>
  <si>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</si>
  <si>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</si>
  <si>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</si>
  <si>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</si>
  <si>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</si>
  <si>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</si>
  <si>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</si>
  <si>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</si>
  <si>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</si>
  <si>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</si>
  <si>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</si>
  <si>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</si>
  <si>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</si>
  <si>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</si>
  <si>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</si>
  <si>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</si>
  <si>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</si>
  <si>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</si>
  <si>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</si>
  <si>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</si>
  <si>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</si>
  <si>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</si>
  <si>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</si>
  <si>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</si>
  <si>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</si>
  <si>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</si>
  <si>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</si>
  <si>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</si>
  <si>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</si>
  <si>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</si>
  <si>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</si>
  <si>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</si>
  <si>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</si>
  <si>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</si>
  <si>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</si>
  <si>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</si>
  <si>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</si>
  <si>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</si>
  <si>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</si>
  <si>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</si>
  <si>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</si>
  <si>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</si>
  <si>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</si>
  <si>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</si>
  <si>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</si>
  <si>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</si>
  <si>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</si>
  <si>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</si>
  <si>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</si>
  <si>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</si>
  <si>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</si>
  <si>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</si>
  <si>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</si>
  <si>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</si>
  <si>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</si>
  <si>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</si>
  <si>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</si>
  <si>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</si>
  <si>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</si>
  <si>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</si>
  <si>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</si>
  <si>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</si>
  <si>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</si>
  <si>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</si>
  <si>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</si>
  <si>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</si>
  <si>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</si>
  <si>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</si>
  <si>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</si>
  <si>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</si>
  <si>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</si>
  <si>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</si>
  <si>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</si>
  <si>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</si>
  <si>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</si>
  <si>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</si>
  <si>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</si>
  <si>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</si>
  <si>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</si>
  <si>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</si>
  <si>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</si>
  <si>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</si>
  <si>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</si>
  <si>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</si>
  <si>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</si>
  <si>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</si>
  <si>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</si>
  <si>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</si>
  <si>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</si>
  <si>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</si>
  <si>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</si>
  <si>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</si>
  <si>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</si>
  <si>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</si>
  <si>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</si>
  <si>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</si>
  <si>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</si>
  <si>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</si>
  <si>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</si>
  <si>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</si>
  <si>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</si>
  <si>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</si>
  <si>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</si>
  <si>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</si>
  <si>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</si>
  <si>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</si>
  <si>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</si>
  <si>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</si>
  <si>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</si>
  <si>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</si>
  <si>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</si>
  <si>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</si>
  <si>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</si>
  <si>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</si>
  <si>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</si>
  <si>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</si>
  <si>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</si>
  <si>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</si>
  <si>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</si>
  <si>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</si>
  <si>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</si>
  <si>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</si>
  <si>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</si>
  <si>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</si>
  <si>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</si>
  <si>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</si>
  <si>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</si>
  <si>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</si>
  <si>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</si>
  <si>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</si>
  <si>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</si>
  <si>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</si>
  <si>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</si>
  <si>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</si>
  <si>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</si>
  <si>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</si>
  <si>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</si>
  <si>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</si>
  <si>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</si>
  <si>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</si>
  <si>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</si>
  <si>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</si>
  <si>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</si>
  <si>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</si>
  <si>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</si>
  <si>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</si>
  <si>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</si>
  <si>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</si>
  <si>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</si>
  <si>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</si>
  <si>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</si>
  <si>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</si>
  <si>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</si>
  <si>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</si>
  <si>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</si>
  <si>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</si>
  <si>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</si>
  <si>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</si>
  <si>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</si>
  <si>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</si>
  <si>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</si>
  <si>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</si>
  <si>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</si>
  <si>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</si>
  <si>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</si>
  <si>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</si>
  <si>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</si>
  <si>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</si>
  <si>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</si>
  <si>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</si>
  <si>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</si>
  <si>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</si>
  <si>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</si>
  <si>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</si>
  <si>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</si>
  <si>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</si>
  <si>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</si>
  <si>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</si>
  <si>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</si>
  <si>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</si>
  <si>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</si>
  <si>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</si>
  <si>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</si>
  <si>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</si>
  <si>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</si>
  <si>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</si>
  <si>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</si>
  <si>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</si>
  <si>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</si>
  <si>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</si>
  <si>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</si>
  <si>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</si>
  <si>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</si>
  <si>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</si>
  <si>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</si>
  <si>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</si>
  <si>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</si>
  <si>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</si>
  <si>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</si>
  <si>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</si>
  <si>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</si>
  <si>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</si>
  <si>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</si>
  <si>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</si>
  <si>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</si>
  <si>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</si>
  <si>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</si>
  <si>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</si>
  <si>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</si>
  <si>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</si>
  <si>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</si>
  <si>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</si>
  <si>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</si>
  <si>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</si>
  <si>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</si>
  <si>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</si>
  <si>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</si>
  <si>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</si>
  <si>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</si>
  <si>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</si>
  <si>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</si>
  <si>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</si>
  <si>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</si>
  <si>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</si>
  <si>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</si>
  <si>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</si>
  <si>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</si>
  <si>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</si>
  <si>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</si>
  <si>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</si>
  <si>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</si>
  <si>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</si>
  <si>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</si>
  <si>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</si>
  <si>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</si>
  <si>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</si>
  <si>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</si>
  <si>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</si>
  <si>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</si>
  <si>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</si>
  <si>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</si>
  <si>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</si>
  <si>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</si>
  <si>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</si>
  <si>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</si>
  <si>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</si>
  <si>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</si>
  <si>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</si>
  <si>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</si>
  <si>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</si>
  <si>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</si>
  <si>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</si>
  <si>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</si>
  <si>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</si>
  <si>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</si>
  <si>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</si>
  <si>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</si>
  <si>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</si>
  <si>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</si>
  <si>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</si>
  <si>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</si>
  <si>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</si>
  <si>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</si>
  <si>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</si>
  <si>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</si>
  <si>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</si>
  <si>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</si>
  <si>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</si>
  <si>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</si>
  <si>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</si>
  <si>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</si>
  <si>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</si>
  <si>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</si>
  <si>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</si>
  <si>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</si>
  <si>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</si>
  <si>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</si>
  <si>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</si>
  <si>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</si>
  <si>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</si>
  <si>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</si>
  <si>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</si>
  <si>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</si>
  <si>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</si>
  <si>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</si>
  <si>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</si>
  <si>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</si>
  <si>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</si>
  <si>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</si>
  <si>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</si>
  <si>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</si>
  <si>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</si>
  <si>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</si>
  <si>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</si>
  <si>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</si>
  <si>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</si>
  <si>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</si>
  <si>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</si>
  <si>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</si>
  <si>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</si>
  <si>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</si>
  <si>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</si>
  <si>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</si>
  <si>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</si>
  <si>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</si>
  <si>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</si>
  <si>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</si>
  <si>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</si>
  <si>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</si>
  <si>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</si>
  <si>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</si>
  <si>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</si>
  <si>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</si>
  <si>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</si>
  <si>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</si>
  <si>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</si>
  <si>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</si>
  <si>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</si>
  <si>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</si>
  <si>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</si>
  <si>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</si>
  <si>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</si>
  <si>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</si>
  <si>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</si>
  <si>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</si>
  <si>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</si>
  <si>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</si>
  <si>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</si>
  <si>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</si>
  <si>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</si>
  <si>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</si>
  <si>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</si>
  <si>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</si>
  <si>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</si>
  <si>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</si>
  <si>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</si>
  <si>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</si>
  <si>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</si>
  <si>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</si>
  <si>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</si>
  <si>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</si>
  <si>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</si>
  <si>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</si>
  <si>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</si>
  <si>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</si>
  <si>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</si>
  <si>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</si>
  <si>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</si>
  <si>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</si>
  <si>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</si>
  <si>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</si>
  <si>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</si>
  <si>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</si>
  <si>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</si>
  <si>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</si>
  <si>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</si>
  <si>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</si>
  <si>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</si>
  <si>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</si>
  <si>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</si>
  <si>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</si>
  <si>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</si>
  <si>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</si>
  <si>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</si>
  <si>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</si>
  <si>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</si>
  <si>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</si>
  <si>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</si>
  <si>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</si>
  <si>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</si>
  <si>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</si>
  <si>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</si>
  <si>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</si>
  <si>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</si>
  <si>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</si>
  <si>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</si>
  <si>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</si>
  <si>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</si>
  <si>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</si>
  <si>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</si>
  <si>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</si>
  <si>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</si>
  <si>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</si>
  <si>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</si>
  <si>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</si>
  <si>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</si>
  <si>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</si>
  <si>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</si>
  <si>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</si>
  <si>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</si>
  <si>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</si>
  <si>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</si>
  <si>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</si>
  <si>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</si>
  <si>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</si>
  <si>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</si>
  <si>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</si>
  <si>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</si>
  <si>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</si>
  <si>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</si>
  <si>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</si>
  <si>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</si>
  <si>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</si>
  <si>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</si>
  <si>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</si>
  <si>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</si>
  <si>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</si>
  <si>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</si>
  <si>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</si>
  <si>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</si>
  <si>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</si>
  <si>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</si>
  <si>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</si>
  <si>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</si>
  <si>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</si>
  <si>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</si>
  <si>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</si>
  <si>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</si>
  <si>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</si>
  <si>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</si>
  <si>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</si>
  <si>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</si>
  <si>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</si>
  <si>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</si>
  <si>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</si>
  <si>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</si>
  <si>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</si>
  <si>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</si>
  <si>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</si>
  <si>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</si>
  <si>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</si>
  <si>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</si>
  <si>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</si>
  <si>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</si>
  <si>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</si>
  <si>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</si>
  <si>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</si>
  <si>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</si>
  <si>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</si>
  <si>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</si>
  <si>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</si>
  <si>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</si>
  <si>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</si>
  <si>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</si>
  <si>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</si>
  <si>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</si>
  <si>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</si>
  <si>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</si>
  <si>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</si>
  <si>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</si>
  <si>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</si>
  <si>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</si>
  <si>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</si>
  <si>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</si>
  <si>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</si>
  <si>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</si>
  <si>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</si>
  <si>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</si>
  <si>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</si>
  <si>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</si>
  <si>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</si>
  <si>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</si>
  <si>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</si>
  <si>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</si>
  <si>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</si>
  <si>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</si>
  <si>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</si>
  <si>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</si>
  <si>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</si>
  <si>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</si>
  <si>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</si>
  <si>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</si>
  <si>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</si>
  <si>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</si>
  <si>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</si>
  <si>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</si>
  <si>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</si>
  <si>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</si>
  <si>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</si>
  <si>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</si>
  <si>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</si>
  <si>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</si>
  <si>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</si>
  <si>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</si>
  <si>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</si>
  <si>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</si>
  <si>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</si>
  <si>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</si>
  <si>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</si>
  <si>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</si>
  <si>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</si>
  <si>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</si>
  <si>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</si>
  <si>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</si>
  <si>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</si>
  <si>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</si>
  <si>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</si>
  <si>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</si>
  <si>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</si>
  <si>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</si>
  <si>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</si>
  <si>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</si>
  <si>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</si>
  <si>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</si>
  <si>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</si>
  <si>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</si>
  <si>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</si>
  <si>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</si>
  <si>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</si>
  <si>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</si>
  <si>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</si>
  <si>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</si>
  <si>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</si>
  <si>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</si>
  <si>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</si>
  <si>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</si>
  <si>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</si>
  <si>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</si>
  <si>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</si>
  <si>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</si>
  <si>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</si>
  <si>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</si>
  <si>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</si>
  <si>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</si>
  <si>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</si>
  <si>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</si>
  <si>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</si>
  <si>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</si>
  <si>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</si>
  <si>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</si>
  <si>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</si>
  <si>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</si>
  <si>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</si>
  <si>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</si>
  <si>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</si>
  <si>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</si>
  <si>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</si>
  <si>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</si>
  <si>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</si>
  <si>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</si>
  <si>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</si>
  <si>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</si>
  <si>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</si>
  <si>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</si>
  <si>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</si>
  <si>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</si>
  <si>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</si>
  <si>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</si>
  <si>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</si>
  <si>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</si>
  <si>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</si>
  <si>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</si>
  <si>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</si>
  <si>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</si>
  <si>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</si>
  <si>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</si>
  <si>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</si>
  <si>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</si>
  <si>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</si>
  <si>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</si>
  <si>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</si>
  <si>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</si>
  <si>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</si>
  <si>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</si>
  <si>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</si>
  <si>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</si>
  <si>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</si>
  <si>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</si>
  <si>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</si>
  <si>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</si>
  <si>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</si>
  <si>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</si>
  <si>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</si>
  <si>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</si>
  <si>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</si>
  <si>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</si>
  <si>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</si>
  <si>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</si>
  <si>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</si>
  <si>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</si>
  <si>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</si>
  <si>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</si>
  <si>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</si>
  <si>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</si>
  <si>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</si>
  <si>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</si>
  <si>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</si>
  <si>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</si>
  <si>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</si>
  <si>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</si>
  <si>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</si>
  <si>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</si>
  <si>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</si>
  <si>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</si>
  <si>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</si>
  <si>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</si>
  <si>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</si>
  <si>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</si>
  <si>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</si>
  <si>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</si>
  <si>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</si>
  <si>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</si>
  <si>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</si>
  <si>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</si>
  <si>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</si>
  <si>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</si>
  <si>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</si>
  <si>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</si>
  <si>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</si>
  <si>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</si>
  <si>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</si>
  <si>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</si>
  <si>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</si>
  <si>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</si>
  <si>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</si>
  <si>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</si>
  <si>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</si>
  <si>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</si>
  <si>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</si>
  <si>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</si>
  <si>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</si>
  <si>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</si>
  <si>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</si>
  <si>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</si>
  <si>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</si>
  <si>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</si>
  <si>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</si>
  <si>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</si>
  <si>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</si>
  <si>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</si>
  <si>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</si>
  <si>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</si>
  <si>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</si>
  <si>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</si>
  <si>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</si>
  <si>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</si>
  <si>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</si>
  <si>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</si>
  <si>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</si>
  <si>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</si>
  <si>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</si>
  <si>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</si>
  <si>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</si>
  <si>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</si>
  <si>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</si>
  <si>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</si>
  <si>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</si>
  <si>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</si>
  <si>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</si>
  <si>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</si>
  <si>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</si>
  <si>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</si>
  <si>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</si>
  <si>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</si>
  <si>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</si>
  <si>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</si>
  <si>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</si>
  <si>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</si>
  <si>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</si>
  <si>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</si>
  <si>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</si>
  <si>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</si>
  <si>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</si>
  <si>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</si>
  <si>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</si>
  <si>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</si>
  <si>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</si>
  <si>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</si>
  <si>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Türkiye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</si>
  <si>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</si>
  <si>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</si>
  <si>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</si>
  <si>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</si>
  <si>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</si>
  <si>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</si>
  <si>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</si>
  <si>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</si>
  <si>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</si>
  <si>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</si>
  <si>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</si>
  <si>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</si>
  <si>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</si>
  <si>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</si>
  <si>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</si>
  <si>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</si>
  <si>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</si>
  <si>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</si>
  <si>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</si>
  <si>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</si>
  <si>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</si>
  <si>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</si>
  <si>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</si>
  <si>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</si>
  <si>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</si>
  <si>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</si>
  <si>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</si>
  <si>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</si>
  <si>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</si>
  <si>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</si>
  <si>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</si>
  <si>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</si>
  <si>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</si>
  <si>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</si>
  <si>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</si>
  <si>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</si>
  <si>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</si>
  <si>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</si>
  <si>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</si>
  <si>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</si>
  <si>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</si>
  <si>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</si>
  <si>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</si>
  <si>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</si>
  <si>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</si>
  <si>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</si>
  <si>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</si>
  <si>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</si>
  <si>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</si>
  <si>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</si>
  <si>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</si>
  <si>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</si>
  <si>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</si>
  <si>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</si>
  <si>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</si>
  <si>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</si>
  <si>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</si>
  <si>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</si>
  <si>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</si>
  <si>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</si>
  <si>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</si>
  <si>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</si>
  <si>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</si>
  <si>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</si>
  <si>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</si>
  <si>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</si>
  <si>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</si>
  <si>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</si>
  <si>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</si>
  <si>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</si>
  <si>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</si>
  <si>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</si>
  <si>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</si>
  <si>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</si>
  <si>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</si>
  <si>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</si>
  <si>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</si>
  <si>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</si>
  <si>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</si>
  <si>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</si>
  <si>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</si>
  <si>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</si>
  <si>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</si>
  <si>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</si>
  <si>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</si>
  <si>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</si>
  <si>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</si>
  <si>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</si>
  <si>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</si>
  <si>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</si>
  <si>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</si>
  <si>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</si>
  <si>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</si>
  <si>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</si>
  <si>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</si>
  <si>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</si>
  <si>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</si>
  <si>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</si>
  <si>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</si>
  <si>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</si>
  <si>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</si>
  <si>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</si>
  <si>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</si>
  <si>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</si>
  <si>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</si>
  <si>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</si>
  <si>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</si>
  <si>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</si>
  <si>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</si>
  <si>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</si>
  <si>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</si>
  <si>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</si>
  <si>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</si>
  <si>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</si>
  <si>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</si>
  <si>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</si>
  <si>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</si>
  <si>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</si>
  <si>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</si>
  <si>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</si>
  <si>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</si>
  <si>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</si>
  <si>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</si>
  <si>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</si>
  <si>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</si>
  <si>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</si>
  <si>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</si>
  <si>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</si>
  <si>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</si>
  <si>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</si>
  <si>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</si>
  <si>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</si>
  <si>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</si>
  <si>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</si>
  <si>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</si>
  <si>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</si>
  <si>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</si>
  <si>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</si>
  <si>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</si>
  <si>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</si>
  <si>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</si>
  <si>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</si>
  <si>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</si>
  <si>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</si>
  <si>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</si>
  <si>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</si>
  <si>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</si>
  <si>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</si>
  <si>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</si>
  <si>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</si>
  <si>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</si>
  <si>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</si>
  <si>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</si>
  <si>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</si>
  <si>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</si>
  <si>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</si>
  <si>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</si>
  <si>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</si>
  <si>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</si>
  <si>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</si>
  <si>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</si>
  <si>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</si>
  <si>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</si>
  <si>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</si>
  <si>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</si>
  <si>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</si>
  <si>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</si>
  <si>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</si>
  <si>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</si>
  <si>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</si>
  <si>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</si>
  <si>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</si>
  <si>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</si>
  <si>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</si>
  <si>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</si>
  <si>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</si>
  <si>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</si>
  <si>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</si>
  <si>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</si>
  <si>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</si>
  <si>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</si>
  <si>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</si>
  <si>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</si>
  <si>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</si>
  <si>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</si>
  <si>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</si>
  <si>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</si>
  <si>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</si>
  <si>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</si>
  <si>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</si>
  <si>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</si>
  <si>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</si>
  <si>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</si>
  <si>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</si>
  <si>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</si>
  <si>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</si>
  <si>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</si>
  <si>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</si>
  <si>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</si>
  <si>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</si>
  <si>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</si>
  <si>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</si>
  <si>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</si>
  <si>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</si>
  <si>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</si>
  <si>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</si>
  <si>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</si>
  <si>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</si>
  <si>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</si>
  <si>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</si>
  <si>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</si>
  <si>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</si>
  <si>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</si>
  <si>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</si>
  <si>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</si>
  <si>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</si>
  <si>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</si>
  <si>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</si>
  <si>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</si>
  <si>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</si>
  <si>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</si>
  <si>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</si>
  <si>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</si>
  <si>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</si>
  <si>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</si>
  <si>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</si>
  <si>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</si>
  <si>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</si>
  <si>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</si>
  <si>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</si>
  <si>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</si>
  <si>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</si>
  <si>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</si>
  <si>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</si>
  <si>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</si>
  <si>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</si>
  <si>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</si>
  <si>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</si>
  <si>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</si>
  <si>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</si>
  <si>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</si>
  <si>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</si>
  <si>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</si>
  <si>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</si>
  <si>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</si>
  <si>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</si>
  <si>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</si>
  <si>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</si>
  <si>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</si>
  <si>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</si>
  <si>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</si>
  <si>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</si>
  <si>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</si>
  <si>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</si>
  <si>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</si>
  <si>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</si>
  <si>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</si>
  <si>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</si>
  <si>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</si>
  <si>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</si>
  <si>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</si>
  <si>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</si>
  <si>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</si>
  <si>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</si>
  <si>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</si>
  <si>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</si>
  <si>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</si>
  <si>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</si>
  <si>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</si>
  <si>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</si>
  <si>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</si>
  <si>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</si>
  <si>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</si>
  <si>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</si>
  <si>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</si>
  <si>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</si>
  <si>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</si>
  <si>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</si>
  <si>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</si>
  <si>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</si>
  <si>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</si>
  <si>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</si>
  <si>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</si>
  <si>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</si>
  <si>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</si>
  <si>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</si>
  <si>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</si>
  <si>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</si>
  <si>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</si>
  <si>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</si>
  <si>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</si>
  <si>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</si>
  <si>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</si>
  <si>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</si>
  <si>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</si>
  <si>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</si>
  <si>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</si>
  <si>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</si>
  <si>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</si>
  <si>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</si>
  <si>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</si>
  <si>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</si>
  <si>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</si>
  <si>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</si>
  <si>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</si>
  <si>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</si>
  <si>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</si>
  <si>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</si>
  <si>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</si>
  <si>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</si>
  <si>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</si>
  <si>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</si>
  <si>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</si>
  <si>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</si>
  <si>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</si>
  <si>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</si>
  <si>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</si>
  <si>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</si>
  <si>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</si>
  <si>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</si>
  <si>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</si>
  <si>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</si>
  <si>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</si>
  <si>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</si>
  <si>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</si>
  <si>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</si>
  <si>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</si>
  <si>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</si>
  <si>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</si>
  <si>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</si>
  <si>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</si>
  <si>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</si>
  <si>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ČSD Class M 120.4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</si>
  <si>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</si>
  <si>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</si>
  <si>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</si>
  <si>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</si>
  <si>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</si>
  <si>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</si>
  <si>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</si>
  <si>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</si>
  <si>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</si>
  <si>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</si>
  <si>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</si>
  <si>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</si>
  <si>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</si>
  <si>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BDZ 19,001.7 (29-01)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</si>
  <si>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</si>
  <si>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</si>
  <si>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</si>
  <si>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</si>
  <si>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</si>
  <si>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</si>
  <si>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</si>
  <si>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</si>
  <si>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</si>
  <si>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</si>
  <si>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</si>
  <si>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</si>
  <si>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</si>
  <si>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ZSSK 49.0 (CSD EMU 49.0)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</si>
  <si>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</si>
  <si>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</si>
  <si>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</si>
  <si>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</si>
  <si>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</si>
  <si>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</si>
  <si>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</si>
  <si>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</si>
  <si>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</si>
  <si>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</si>
  <si>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</si>
  <si>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</si>
  <si>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</si>
  <si>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</si>
  <si>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</si>
  <si>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</si>
  <si>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</si>
  <si>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</si>
  <si>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</si>
  <si>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</si>
  <si>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</si>
  <si>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</si>
  <si>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</si>
  <si>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</si>
  <si>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</si>
  <si>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HZ 51 (MÁV 375)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</si>
  <si>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</si>
  <si>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</si>
  <si>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</si>
  <si>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</si>
  <si>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</si>
  <si>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</si>
  <si>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</si>
  <si>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</si>
  <si>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</si>
  <si>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</si>
  <si>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</si>
  <si>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</si>
  <si>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</si>
  <si>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</si>
  <si>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</si>
  <si>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</si>
  <si>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</si>
  <si>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</si>
  <si>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</si>
  <si>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</si>
  <si>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</si>
  <si>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</si>
  <si>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</si>
  <si>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</si>
  <si>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</si>
  <si>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</si>
  <si>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</si>
  <si>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</si>
  <si>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</si>
  <si>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</si>
  <si>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</si>
  <si>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</si>
  <si>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</si>
  <si>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</si>
  <si>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</si>
  <si>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</si>
  <si>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</si>
  <si>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</si>
  <si>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</si>
  <si>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</si>
  <si>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</si>
  <si>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</si>
  <si>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</si>
  <si>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SWA 2-8-0 '8-Tender'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</si>
  <si>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</si>
  <si>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</si>
  <si>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</si>
  <si>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</si>
  <si>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</si>
  <si>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</si>
  <si>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</si>
  <si>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</si>
  <si>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ENR 1100 (LMS Fowler 3F / WD 0-6-0T)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</si>
  <si>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</si>
  <si>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</si>
  <si>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</si>
  <si>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</si>
  <si>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</si>
  <si>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</si>
  <si>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</si>
  <si>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</si>
  <si>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</si>
  <si>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</si>
  <si>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</si>
  <si>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</si>
  <si>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</si>
  <si>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</si>
  <si>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</si>
  <si>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</si>
  <si>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</si>
  <si>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</si>
  <si>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</si>
  <si>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</si>
  <si>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</si>
  <si>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</si>
  <si>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</si>
  <si>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</si>
  <si>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</si>
  <si>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</si>
  <si>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</si>
  <si>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</si>
  <si>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</si>
  <si>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</si>
  <si>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</si>
  <si>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</si>
  <si>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</si>
  <si>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</si>
  <si>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</si>
  <si>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</si>
  <si>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</si>
  <si>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</si>
  <si>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</si>
  <si>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</si>
  <si>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</si>
  <si>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</si>
  <si>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</si>
  <si>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</si>
  <si>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</si>
  <si>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</si>
  <si>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</si>
  <si>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</si>
  <si>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</si>
  <si>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</si>
  <si>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</si>
  <si>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</si>
  <si>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</si>
  <si>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</si>
  <si>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</si>
  <si>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</si>
  <si>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</si>
  <si>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</si>
  <si>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</si>
  <si>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</si>
  <si>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</si>
  <si>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</si>
  <si>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</si>
  <si>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Liberia "Class 08" (Ex-BR)</t>
  </si>
  <si>
    <t>https://en.wikipedia.org/wiki/British_Rail_Class_08</t>
  </si>
  <si>
    <t>ÖBB 5042</t>
  </si>
  <si>
    <t>ÖBB 5047</t>
  </si>
  <si>
    <t>ÖBB 4855</t>
  </si>
  <si>
    <t>ÖBB 2060</t>
  </si>
  <si>
    <t>ÖBB 1161</t>
  </si>
  <si>
    <t>ÖBB 1020 'Krokodil'</t>
  </si>
  <si>
    <t>ÖBB 1044</t>
  </si>
  <si>
    <t>ÖBB 1063</t>
  </si>
  <si>
    <t>ÖBB 4030</t>
  </si>
  <si>
    <t>ÖBB 4041</t>
  </si>
  <si>
    <t>MÁV 377</t>
  </si>
  <si>
    <t>HZ 11/MÁV 424</t>
  </si>
  <si>
    <t>MÁV 242</t>
  </si>
  <si>
    <t>MÁV M44</t>
  </si>
  <si>
    <t>MÁV M28</t>
  </si>
  <si>
    <t>MÁV V43</t>
  </si>
  <si>
    <t>MÁV BDVmot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</si>
  <si>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</si>
  <si>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</si>
  <si>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</si>
  <si>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</si>
  <si>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</si>
  <si>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</si>
  <si>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</si>
  <si>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</si>
  <si>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</si>
  <si>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</si>
  <si>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</si>
  <si>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</si>
  <si>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</si>
  <si>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</si>
  <si>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</si>
  <si>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</si>
  <si>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</si>
  <si>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</si>
  <si>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MF GM-EMD-G16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</si>
  <si>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</si>
  <si>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</si>
  <si>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</si>
  <si>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</si>
  <si>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</si>
  <si>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</si>
  <si>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</si>
  <si>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</si>
  <si>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</si>
  <si>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</si>
  <si>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</si>
  <si>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</si>
  <si>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</si>
  <si>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</si>
  <si>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</si>
  <si>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</si>
  <si>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</si>
  <si>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</si>
  <si>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</si>
  <si>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</si>
  <si>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</si>
  <si>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</si>
  <si>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</si>
  <si>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</si>
  <si>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</si>
  <si>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</si>
  <si>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</si>
  <si>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</si>
  <si>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</si>
  <si>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</si>
  <si>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</si>
  <si>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</si>
  <si>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</si>
  <si>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</si>
  <si>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</si>
  <si>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</si>
  <si>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</si>
  <si>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</si>
  <si>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CIÉ 113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</si>
  <si>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</si>
  <si>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</si>
  <si>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</si>
  <si>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</si>
  <si>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CIÉ 001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</si>
  <si>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</si>
  <si>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</si>
  <si>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</si>
  <si>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</si>
  <si>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</si>
  <si>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</si>
  <si>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</si>
  <si>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</si>
  <si>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</si>
  <si>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</si>
  <si>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</si>
  <si>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</si>
  <si>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IÉ 201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</si>
  <si>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</si>
  <si>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</si>
  <si>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</si>
  <si>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</si>
  <si>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</si>
  <si>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</si>
  <si>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</si>
  <si>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</si>
  <si>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</si>
  <si>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</si>
  <si>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</si>
  <si>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</si>
  <si>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</si>
  <si>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</si>
  <si>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</si>
  <si>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</si>
  <si>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</si>
  <si>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</si>
  <si>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</si>
  <si>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</si>
  <si>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</si>
  <si>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</si>
  <si>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</si>
  <si>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</si>
  <si>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</si>
  <si>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</si>
  <si>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</si>
  <si>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</si>
  <si>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</si>
  <si>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</si>
  <si>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</si>
  <si>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</si>
  <si>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</si>
  <si>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</si>
  <si>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</si>
  <si>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</si>
  <si>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</si>
  <si>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</si>
  <si>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</si>
  <si>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</si>
  <si>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</si>
  <si>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</si>
  <si>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</si>
  <si>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</si>
  <si>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</si>
  <si>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</si>
  <si>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</si>
  <si>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</si>
  <si>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</si>
  <si>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</si>
  <si>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</si>
  <si>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</si>
  <si>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</si>
  <si>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</si>
  <si>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</si>
  <si>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</si>
  <si>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</si>
  <si>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</si>
  <si>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</si>
  <si>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</si>
  <si>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</si>
  <si>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</si>
  <si>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</si>
  <si>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</si>
  <si>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</si>
  <si>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</si>
  <si>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</si>
  <si>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</si>
  <si>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</si>
  <si>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</si>
  <si>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</si>
  <si>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</si>
  <si>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</si>
  <si>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</si>
  <si>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</si>
  <si>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</si>
  <si>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</si>
  <si>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</si>
  <si>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</si>
  <si>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</si>
  <si>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</si>
  <si>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</si>
  <si>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</si>
  <si>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</si>
  <si>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</si>
  <si>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</si>
  <si>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</si>
  <si>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</si>
  <si>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</si>
  <si>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</si>
  <si>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</si>
  <si>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</si>
  <si>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</si>
  <si>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</si>
  <si>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</si>
  <si>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</si>
  <si>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</si>
  <si>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</si>
  <si>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</si>
  <si>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</si>
  <si>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</si>
  <si>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</si>
  <si>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</si>
  <si>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</si>
  <si>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</si>
  <si>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</si>
  <si>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</si>
  <si>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</si>
  <si>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</si>
  <si>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</si>
  <si>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</si>
  <si>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</si>
  <si>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</si>
  <si>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</si>
  <si>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</si>
  <si>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</si>
  <si>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</si>
  <si>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</si>
  <si>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</si>
  <si>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</si>
  <si>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</si>
  <si>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</si>
  <si>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</si>
  <si>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</si>
  <si>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</si>
  <si>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</si>
  <si>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</si>
  <si>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</si>
  <si>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</si>
  <si>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</si>
  <si>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</si>
  <si>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</si>
  <si>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</si>
  <si>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</si>
  <si>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</si>
  <si>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</si>
  <si>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</si>
  <si>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</si>
  <si>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</si>
  <si>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</si>
  <si>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</si>
  <si>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</si>
  <si>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</si>
  <si>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</si>
  <si>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</si>
  <si>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</si>
  <si>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</si>
  <si>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</si>
  <si>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</si>
  <si>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</si>
  <si>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</si>
  <si>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</si>
  <si>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</si>
  <si>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</si>
  <si>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</si>
  <si>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</si>
  <si>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</si>
  <si>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</si>
  <si>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</si>
  <si>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</si>
  <si>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</si>
  <si>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</si>
  <si>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</si>
  <si>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</si>
  <si>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</si>
  <si>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</si>
  <si>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</si>
  <si>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</si>
  <si>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</si>
  <si>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</si>
  <si>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</si>
  <si>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</si>
  <si>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</si>
  <si>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</si>
  <si>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</si>
  <si>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</si>
  <si>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</si>
  <si>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</si>
  <si>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</si>
  <si>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</si>
  <si>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</si>
  <si>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</si>
  <si>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</si>
  <si>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</si>
  <si>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</si>
  <si>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</si>
  <si>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</si>
  <si>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</si>
  <si>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</si>
  <si>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</si>
  <si>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</si>
  <si>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</si>
  <si>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</si>
  <si>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</si>
  <si>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</si>
  <si>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</si>
  <si>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</si>
  <si>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</si>
  <si>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ČD 809</t>
  </si>
  <si>
    <t>ČD M290</t>
  </si>
  <si>
    <t>ČD 840</t>
  </si>
  <si>
    <t>ČD M400 (kkStB 40.0)</t>
  </si>
  <si>
    <t>ČD 534.1</t>
  </si>
  <si>
    <t>ČD 459.0</t>
  </si>
  <si>
    <t>ČD 720 ChME2</t>
  </si>
  <si>
    <t>TČDD DH7000</t>
  </si>
  <si>
    <t>ČD ES 499.1/363</t>
  </si>
  <si>
    <t>ČD S499</t>
  </si>
  <si>
    <t>ČD 380</t>
  </si>
  <si>
    <t>ČD M131</t>
  </si>
  <si>
    <t>TČDD MT 5500</t>
  </si>
  <si>
    <t>ČD 814</t>
  </si>
  <si>
    <t>ČD 680 'Pendolino'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</si>
  <si>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</si>
  <si>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</si>
  <si>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</si>
  <si>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</si>
  <si>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</si>
  <si>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</si>
  <si>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</si>
  <si>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</si>
  <si>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</si>
  <si>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</si>
  <si>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</si>
  <si>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</si>
  <si>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</si>
  <si>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</si>
  <si>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</si>
  <si>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</si>
  <si>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</si>
  <si>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</si>
  <si>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</si>
  <si>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</si>
  <si>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</si>
  <si>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</si>
  <si>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</si>
  <si>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</si>
  <si>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</si>
  <si>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</si>
  <si>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</si>
  <si>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</si>
  <si>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</si>
  <si>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</si>
  <si>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</si>
  <si>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</si>
  <si>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</si>
  <si>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</si>
  <si>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</si>
  <si>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</si>
  <si>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</si>
  <si>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</si>
  <si>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</si>
  <si>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</si>
  <si>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</si>
  <si>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</si>
  <si>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</si>
  <si>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</si>
  <si>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</si>
  <si>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</si>
  <si>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</si>
  <si>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</si>
  <si>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</si>
  <si>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</si>
  <si>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</si>
  <si>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</si>
  <si>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</si>
  <si>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</si>
  <si>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</si>
  <si>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</si>
  <si>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</si>
  <si>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</si>
  <si>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</si>
  <si>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</si>
  <si>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</si>
  <si>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</si>
  <si>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</si>
  <si>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</si>
  <si>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</si>
  <si>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</si>
  <si>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</si>
  <si>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</si>
  <si>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</si>
  <si>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</si>
  <si>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</si>
  <si>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</si>
  <si>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</si>
  <si>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</si>
  <si>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</si>
  <si>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</si>
  <si>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</si>
  <si>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</si>
  <si>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</si>
  <si>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</si>
  <si>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</si>
  <si>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</si>
  <si>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</si>
  <si>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</si>
  <si>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</si>
  <si>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</si>
  <si>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</si>
  <si>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</si>
  <si>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</si>
  <si>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</si>
  <si>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</si>
  <si>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</si>
  <si>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</si>
  <si>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</si>
  <si>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</si>
  <si>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</si>
  <si>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</si>
  <si>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</si>
  <si>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</si>
  <si>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</si>
  <si>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</si>
  <si>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</si>
  <si>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</si>
  <si>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</si>
  <si>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</si>
  <si>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</si>
  <si>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</si>
  <si>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</si>
  <si>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</si>
  <si>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</si>
  <si>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</si>
  <si>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</si>
  <si>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</si>
  <si>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</si>
  <si>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</si>
  <si>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</si>
  <si>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</si>
  <si>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</si>
  <si>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</si>
  <si>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</si>
  <si>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</si>
  <si>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</si>
  <si>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</si>
  <si>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</si>
  <si>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</si>
  <si>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</si>
  <si>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</si>
  <si>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</si>
  <si>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</si>
  <si>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</si>
  <si>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</si>
  <si>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</si>
  <si>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</si>
  <si>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</si>
  <si>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</si>
  <si>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</si>
  <si>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</si>
  <si>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</si>
  <si>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</si>
  <si>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</si>
  <si>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</si>
  <si>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</si>
  <si>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</si>
  <si>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</si>
  <si>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</si>
  <si>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</si>
  <si>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</si>
  <si>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</si>
  <si>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</si>
  <si>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</si>
  <si>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</si>
  <si>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</si>
  <si>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</si>
  <si>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</si>
  <si>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</si>
  <si>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</si>
  <si>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</si>
  <si>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</si>
  <si>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</si>
  <si>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</si>
  <si>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</si>
  <si>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</si>
  <si>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</si>
  <si>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</si>
  <si>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</si>
  <si>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</si>
  <si>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</si>
  <si>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</si>
  <si>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</si>
  <si>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</si>
  <si>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</si>
  <si>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</si>
  <si>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</si>
  <si>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</si>
  <si>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</si>
  <si>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MRS "He 4/4" (900 Series)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</si>
  <si>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</si>
  <si>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</si>
  <si>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</si>
  <si>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</si>
  <si>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</si>
  <si>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</si>
  <si>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</si>
  <si>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</si>
  <si>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Shunter (Freight)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</si>
  <si>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</si>
  <si>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</si>
  <si>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</si>
  <si>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</si>
  <si>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</si>
  <si>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</si>
  <si>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</si>
  <si>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</si>
  <si>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</si>
  <si>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</si>
  <si>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</si>
  <si>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</si>
  <si>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</si>
  <si>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</si>
  <si>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Commuter Coach</t>
  </si>
  <si>
    <t>Regional Coach</t>
  </si>
  <si>
    <t>Mail Coach</t>
  </si>
  <si>
    <t>Express Coach</t>
  </si>
  <si>
    <t>HS Coach</t>
  </si>
  <si>
    <t>rbs_Gemany_Hessian_Ludwig_Railway_Type_Thomas</t>
  </si>
  <si>
    <t>https://www.loco-info.com/view.aspx?id=17041&amp;t=Class&amp;cookies=decline</t>
  </si>
  <si>
    <t>rbs_Austria_NOLB_30_33</t>
  </si>
  <si>
    <t>NÖLB 1</t>
  </si>
  <si>
    <t>NÖLB 30-33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</si>
  <si>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</si>
  <si>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</si>
  <si>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</si>
  <si>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</si>
  <si>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</si>
  <si>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</si>
  <si>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</si>
  <si>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</si>
  <si>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</si>
  <si>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</si>
  <si>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</si>
  <si>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</si>
  <si>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</si>
  <si>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</si>
  <si>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</si>
  <si>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FCGR (BAGS) No. 315 2-4-0T</t>
  </si>
  <si>
    <t>Haine-Saint-Pierre Golwé</t>
  </si>
  <si>
    <t>Mozambique Rwy 101</t>
  </si>
  <si>
    <t>Hessian Ludwig Rwy 'Thomas'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</si>
  <si>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</si>
  <si>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</si>
  <si>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</si>
  <si>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</si>
  <si>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</si>
  <si>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</si>
  <si>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</si>
  <si>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</si>
  <si>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</si>
  <si>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</si>
  <si>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</si>
  <si>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</si>
  <si>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Alsthom BB-BB</t>
  </si>
  <si>
    <t>diesel_Zimbabwe_Sorefame_DE8</t>
  </si>
  <si>
    <t>Sorefame DE8</t>
  </si>
  <si>
    <t>diesel_Ivory_Coast_GMD_GT22LC2</t>
  </si>
  <si>
    <t>GMD GT22LC-2</t>
  </si>
  <si>
    <t>https://en.wikipedia.org/wiki/EMD_GT22_Series#GT22LC-2</t>
  </si>
  <si>
    <t>electric_Tanzania_TRC_E6800</t>
  </si>
  <si>
    <t>https://www.railvolution.net/news/new-locomotives-for-tanzania</t>
  </si>
  <si>
    <t>Hyundai Rotem/Skoda TRC E6800</t>
  </si>
  <si>
    <t>7th Gen Boxcar Type 1</t>
  </si>
  <si>
    <t>7th Gen Boxcar Type 2</t>
  </si>
  <si>
    <t>7th Gen Self-discharging Hopper Type 1</t>
  </si>
  <si>
    <t>7th Gen Self-discharging Hopper Type 2</t>
  </si>
  <si>
    <t>7th Gen Silo Type 1</t>
  </si>
  <si>
    <t>7th Gen Silo Type 2</t>
  </si>
  <si>
    <t>2nd Gen Wooden Box Van Type 1</t>
  </si>
  <si>
    <t>2nd Gen Wooden Box Van Type 2</t>
  </si>
  <si>
    <t>3rd Gen Wooden Boxcar Type 1</t>
  </si>
  <si>
    <t>3rd Gen Wooden Boxcar Type 2</t>
  </si>
  <si>
    <t>3rd Gen Silo Type 1</t>
  </si>
  <si>
    <t>3rd Gen Silo Type 2</t>
  </si>
  <si>
    <t>4th Gen Boxcar Type 1</t>
  </si>
  <si>
    <t>4th Gen Boxcar Type 2</t>
  </si>
  <si>
    <t>4th Gen Silo Type 1</t>
  </si>
  <si>
    <t>4th Gen Silo Type 2</t>
  </si>
  <si>
    <t>4th Gen Self-discharging Hopper Type 1</t>
  </si>
  <si>
    <t>4th Gen Self-discharging Hopper Type 2</t>
  </si>
  <si>
    <t>5th Gen Boxcar Type 1</t>
  </si>
  <si>
    <t>5th Gen Boxcar Type 2</t>
  </si>
  <si>
    <t>5th Gen Silo Type 1</t>
  </si>
  <si>
    <t>5th Gen Silo Type 2</t>
  </si>
  <si>
    <t>5th Gen Self-discharging Hopper Type 1</t>
  </si>
  <si>
    <t>5th Gen Self-discharging Hopper Type 2</t>
  </si>
  <si>
    <t>6th Gen Boxcar Type 1</t>
  </si>
  <si>
    <t>6th Gen Boxcar Type 2</t>
  </si>
  <si>
    <t>6th Gen Silo Type 1</t>
  </si>
  <si>
    <t>6th Gen Silo Type 2</t>
  </si>
  <si>
    <t>6th Gen Self-discharging Hopper Type 1</t>
  </si>
  <si>
    <t>6th Gen Self-discharging Hopper Type 2</t>
  </si>
  <si>
    <t>Service Car Type 1</t>
  </si>
  <si>
    <t>Service Car Type 2</t>
  </si>
  <si>
    <t>mtro_USA_Brooklyn_Union_Gate_Car</t>
  </si>
  <si>
    <t>Brooklyn Union Gate 1300</t>
  </si>
  <si>
    <t>Brooklyn Union Gate Elevated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</si>
</sst>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0" fontId="0" fillId="0" borderId="14" xfId="0" applyFont="1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  <xf numFmtId="1" fontId="0" fillId="0" borderId="11" xfId="42" applyNumberFormat="1" applyFont="1" applyBorder="1"/>
    <xf numFmtId="0" fontId="0" fillId="0" borderId="16" xfId="0" applyFont="1" applyBorder="1"/>
    <xf numFmtId="1" fontId="0" fillId="0" borderId="17" xfId="0" applyNumberFormat="1" applyFont="1" applyBorder="1"/>
    <xf numFmtId="1" fontId="0" fillId="0" borderId="14" xfId="0" applyNumberFormat="1" applyFont="1" applyBorder="1"/>
    <xf numFmtId="1" fontId="0" fillId="0" borderId="16" xfId="0" applyNumberFormat="1" applyFont="1" applyBorder="1"/>
    <xf numFmtId="0" fontId="25" fillId="0" borderId="13" xfId="0" applyFont="1" applyBorder="1"/>
    <xf numFmtId="0" fontId="0" fillId="0" borderId="0" xfId="0" applyBorder="1"/>
    <xf numFmtId="0" fontId="0" fillId="0" borderId="13" xfId="0" applyFont="1" applyBorder="1"/>
    <xf numFmtId="0" fontId="0" fillId="0" borderId="0" xfId="0" applyNumberFormat="1" applyBorder="1"/>
    <xf numFmtId="0" fontId="25" fillId="0" borderId="0" xfId="0" applyNumberFormat="1" applyFon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9"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25.722402662039" createdVersion="8" refreshedVersion="8" minRefreshableVersion="3" recordCount="79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3">
        <s v="Powered/Unpowered Sundry"/>
        <s v="Commuter / Urban"/>
        <s v="Light Freight"/>
        <s v="Ultra-High-Speed (Pax)"/>
        <s v="Express (Passenger)"/>
        <s v="Shunter (Freight)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mmuter Coach"/>
        <s v="Regional Coach"/>
        <s v="Mail Coach"/>
        <s v="Express Coach"/>
        <s v="HS Coach"/>
        <m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2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1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2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1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O804" totalsRowShown="0" headerRowDxfId="18">
  <autoFilter ref="A1:O804" xr:uid="{A2EA8B49-66CF-4BEA-9B39-A62C2B50785A}"/>
  <tableColumns count="15">
    <tableColumn id="1" xr3:uid="{FF4A1243-8066-4FF2-9225-EDE41896A1A5}" name="VEHIDCODE"/>
    <tableColumn id="2" xr3:uid="{44DB3ECB-3D36-4D92-B31F-6B9604288D8B}" name="FILENAMES_EXPECTED" dataDxfId="17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6"/>
    <tableColumn id="17" xr3:uid="{52550B53-5A6E-4D0B-A358-FCA22B56CC77}" name="WEB"/>
    <tableColumn id="15" xr3:uid="{C9DBDDFF-A526-4383-A426-8408C4B17785}" name="IS_POWERED_UNPOWERED_SUNDRY" dataDxfId="15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4">
      <calculatedColumnFormula>ISNUMBER(_xlfn.XMATCH(CONTROL[[#This Row],[VEHIDCODE]],TRACK_TYPES[VEHIDCODE],0))</calculatedColumnFormula>
    </tableColumn>
    <tableColumn id="14" xr3:uid="{222C2DB1-CA5D-4369-995A-6A316AC5C947}" name="PROPERTIES" dataDxfId="13">
      <calculatedColumnFormula>ISNUMBER(_xlfn.XMATCH(CONTROL[[#This Row],[VEHIDCODE]],PROPERTIES[VEHIDCODE],0))</calculatedColumnFormula>
    </tableColumn>
    <tableColumn id="13" xr3:uid="{473FD571-A166-4EC8-8B7B-F1D30044570B}" name="FLAGS" dataDxfId="12">
      <calculatedColumnFormula>ISNUMBER(_xlfn.XMATCH(CONTROL[[#This Row],[VEHIDCODE]],FLAGS[VEHIDCODE],0))</calculatedColumnFormula>
    </tableColumn>
    <tableColumn id="10" xr3:uid="{7783F713-60B4-45CF-AEB3-EE02271B3D6F}" name="GRAPHICS_PROPERTIES" dataDxfId="11">
      <calculatedColumnFormula>ISNUMBER(_xlfn.XMATCH(CONTROL[[#This Row],[VEHIDCODE]],GRAPHICS_PROPERTIES[VEHIDCODE],0))</calculatedColumnFormula>
    </tableColumn>
    <tableColumn id="9" xr3:uid="{7B229E25-CF6B-4C5F-B4A4-FEC34CB93E9B}" name="ITEM" dataDxfId="10">
      <calculatedColumnFormula>"item_"&amp;CONTROL[[#This Row],[VEHIDCODE]]</calculatedColumnFormula>
    </tableColumn>
    <tableColumn id="8" xr3:uid="{327E5CDA-51AE-4721-ACBD-5E8C3D890998}" name="NAME" dataDxfId="9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F804" totalsRowShown="0" headerRowDxfId="56">
  <autoFilter ref="A1:AF804" xr:uid="{6DCCB998-B5D1-4B0D-8701-BC0E171A94CA}"/>
  <tableColumns count="32">
    <tableColumn id="1" xr3:uid="{173D09BF-30BA-4FF2-B4FE-F09962415DA2}" name="VEHIDCODE" dataDxfId="55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54"/>
    <tableColumn id="19" xr3:uid="{FD65B400-35DE-464D-97AA-B59BB7DAE7DB}" name="COUNTRY_CODE" dataDxfId="53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9" xr3:uid="{0BFBDA13-AA0B-4A8D-94FE-11C403AB0DE8}" name="LOADINGSPEED" dataDxfId="52"/>
    <tableColumn id="58" xr3:uid="{37DCFD33-B11D-4E3C-9899-EA36DBD4DBC0}" name="LOADINGSPEED_VALUE" dataDxfId="19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51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50"/>
    <tableColumn id="24" xr3:uid="{FFD5C22B-7B16-440D-91CC-48C8761050DA}" name="TE_COEFFICIENT_CALC" dataDxfId="49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48"/>
    <tableColumn id="14" xr3:uid="{123AAB87-6D4C-406A-A5E1-A61DC2DDFFEE}" name="TE_COEFFICIENT" dataDxfId="47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46"/>
    <tableColumn id="18" xr3:uid="{EB0CE86B-9E06-4ADD-85C1-EA622DE32153}" name="WAGON_CAPACITY" dataDxfId="45"/>
    <tableColumn id="15" xr3:uid="{3558C882-A912-4F84-BDE6-BC0A2A676C4B}" name="WAGON_LENGTH" dataDxfId="44"/>
    <tableColumn id="71" xr3:uid="{3D8AA890-C1F2-4EBD-90E3-21F948960989}" name="PURCHASE_CARGO_CAPACITY" dataDxfId="43"/>
    <tableColumn id="30" xr3:uid="{235283C1-F061-434B-8C4A-AD474FB16FE8}" name="REGION1" dataDxfId="42"/>
    <tableColumn id="29" xr3:uid="{19EC58E3-4FB9-44BC-BFFA-4C7DCCC53DA8}" name="REGION2" dataDxfId="41"/>
    <tableColumn id="27" xr3:uid="{C00DC499-0060-4E48-A71D-AE565097985F}" name="REGION3" dataDxfId="40"/>
    <tableColumn id="56" xr3:uid="{188F57E8-1157-47DF-9E8F-B5F737649F6C}" name="PURCHASECOST_VALUE" dataDxfId="39"/>
    <tableColumn id="28" xr3:uid="{B24767B4-97D7-4814-9BBD-1231E1A0A0A7}" name="RUNNINGCOST_VALUE" dataDxfId="38"/>
    <tableColumn id="22" xr3:uid="{68BAA036-8189-4A5A-B0EF-3F284C15672C}" name="COST_CAT" dataDxfId="37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36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804" totalsRowShown="0" headerRowDxfId="138">
  <autoFilter ref="A1:AF804" xr:uid="{6DCCB998-B5D1-4B0D-8701-BC0E171A94CA}"/>
  <tableColumns count="32">
    <tableColumn id="1" xr3:uid="{CDEAF13A-A986-4600-A992-A08C1CA6142C}" name="VEHIDCODE" dataDxfId="137"/>
    <tableColumn id="55" xr3:uid="{839D134C-3027-42F4-BA04-3BA8BFF71A3B}" name="TRACK_TYPE_STANDARD_GAUGE_RAILTYPE_OHLE" dataDxfId="136"/>
    <tableColumn id="54" xr3:uid="{5D83FD10-ABCB-4FE7-A7DB-4A857A58D719}" name="TRACK_TYPE_STANDARD_GAUGE_RAILTYPE_25KV" dataDxfId="135"/>
    <tableColumn id="53" xr3:uid="{56183170-0B7F-45FB-91B4-356C62C246AD}" name="TRACK_TYPE_STANDARD_GAUGE_RAILTYPE_15KV" dataDxfId="134"/>
    <tableColumn id="52" xr3:uid="{5B71BE07-0EB9-4DEB-A8E8-252C9D979AC2}" name="TRACK_TYPE_STANDARD_GAUGE_RAILTYPE_3KV" dataDxfId="133"/>
    <tableColumn id="51" xr3:uid="{5A6435EB-111E-4AED-A8E1-AEFF82C34393}" name="TRACK_TYPE_STANDARD_GAUGE_RAILTYPE_1500V" dataDxfId="132"/>
    <tableColumn id="50" xr3:uid="{14CA70EA-0EE7-44BA-9D77-FC902C0596DD}" name="TRACK_TYPE_STANDARD_GAUGE_RAILTYPE_3RD" dataDxfId="131"/>
    <tableColumn id="49" xr3:uid="{3A15447A-9663-43FB-8EFF-8F8034548FB0}" name="TRACK_TYPE_STANDARD_GAUGE_RAILTYPE_4TH" dataDxfId="130"/>
    <tableColumn id="48" xr3:uid="{E44E324A-492F-4566-8DC9-0A6F58F40EA9}" name="TRACK_TYPE_STANDARD_GAUGE_RAILTYPE_DUAL" dataDxfId="129"/>
    <tableColumn id="47" xr3:uid="{FE3223C6-E685-4456-91E9-10AEB3B699E7}" name="TRACK_TYPE_STANDARD_GAUGE_RAILTYPE_NONE" dataDxfId="128"/>
    <tableColumn id="46" xr3:uid="{D39969E8-C0CA-4A59-A556-D29019991069}" name="TRACK_TYPE_NARROW_GAUGE_RAILTYPE_OHLE" dataDxfId="127"/>
    <tableColumn id="45" xr3:uid="{5266A9E9-D840-4460-AB81-A081897372F3}" name="TRACK_TYPE_NARROW_GAUGE_RAILTYPE_25KV" dataDxfId="126"/>
    <tableColumn id="44" xr3:uid="{7B4C44D1-C745-4291-86A0-777579742A84}" name="TRACK_TYPE_NARROW_GAUGE_RAILTYPE_15KV" dataDxfId="125"/>
    <tableColumn id="43" xr3:uid="{8736D285-A163-4DBE-84E1-870118B47F14}" name="TRACK_TYPE_NARROW_GAUGE_RAILTYPE_3KV" dataDxfId="124"/>
    <tableColumn id="42" xr3:uid="{6FBBA2FB-4743-4072-B4E0-C42BBDA1CC47}" name="TRACK_TYPE_NARROW_GAUGE_RAILTYPE_1500V" dataDxfId="123"/>
    <tableColumn id="41" xr3:uid="{D3ED2E70-19BF-4D92-A76B-0F0F03D31947}" name="TRACK_TYPE_NARROW_GAUGE_RAILTYPE_3RD" dataDxfId="122"/>
    <tableColumn id="40" xr3:uid="{F38AE7AF-B798-40A5-992A-13685296E710}" name="TRACK_TYPE_NARROW_GAUGE_RAILTYPE_4TH" dataDxfId="121"/>
    <tableColumn id="39" xr3:uid="{16463F64-2239-4E7F-8257-47F324BF8959}" name="TRACK_TYPE_NARROW_GAUGE_RAILTYPE_DUAL" dataDxfId="120"/>
    <tableColumn id="38" xr3:uid="{97037A15-9172-4057-863E-582804353817}" name="TRACK_TYPE_NARROW_GAUGE_RAILTYPE_NONE" dataDxfId="119"/>
    <tableColumn id="37" xr3:uid="{24999D59-5A4F-4A21-B8B4-EBDBF9F8BF1E}" name="TRACK_TYPE_BROAD_GAUGE_RAILTYPE_OHLE" dataDxfId="118"/>
    <tableColumn id="36" xr3:uid="{31AB3927-D18B-49AD-8EF5-C7E9FF4CEDF3}" name="TRACK_TYPE_BROAD_GAUGE_RAILTYPE_25KV" dataDxfId="117"/>
    <tableColumn id="35" xr3:uid="{CB3432E7-4DAE-4807-9CE5-4CB1ACECD395}" name="TRACK_TYPE_BROAD_GAUGE_RAILTYPE_15KV" dataDxfId="116"/>
    <tableColumn id="34" xr3:uid="{E3936FE4-2B46-4DC0-84C0-44C7892A0927}" name="TRACK_TYPE_BROAD_GAUGE_RAILTYPE_3KV" dataDxfId="115"/>
    <tableColumn id="33" xr3:uid="{A5FAA105-CF81-4A75-8967-5721104454E8}" name="TRACK_TYPE_BROAD_GAUGE_RAILTYPE_1500V" dataDxfId="114"/>
    <tableColumn id="32" xr3:uid="{439CDFDE-6BFC-446C-87CF-28C8FF65FCE0}" name="TRACK_TYPE_BROAD_GAUGE_RAILTYPE_3RD" dataDxfId="113"/>
    <tableColumn id="31" xr3:uid="{219AB5E3-CDFF-41B3-BD58-F7427606D15F}" name="TRACK_TYPE_BROAD_GAUGE_RAILTYPE_4TH" dataDxfId="112"/>
    <tableColumn id="30" xr3:uid="{01529768-EA0D-4662-B835-74641896CE3F}" name="TRACK_TYPE_BROAD_GAUGE_RAILTYPE_DUAL" dataDxfId="111"/>
    <tableColumn id="29" xr3:uid="{32C384AB-18DB-4161-B29B-A363A2547BB2}" name="TRACK_TYPE_BROAD_GAUGE_RAILTYPE_NONE" dataDxfId="110"/>
    <tableColumn id="26" xr3:uid="{1CFC6F26-22A8-42EE-972B-0F7ED6623B5A}" name="TRACK_TYPE_MONO" dataDxfId="109"/>
    <tableColumn id="25" xr3:uid="{62939270-15C1-494E-9C53-6EA9E8209C3B}" name="TRACK_TYPE_MGLV" dataDxfId="108"/>
    <tableColumn id="24" xr3:uid="{9DA86EDA-F2AB-4C2D-918E-5260313FD8B3}" name="TRACK_TYPE_MTRO" dataDxfId="107"/>
    <tableColumn id="21" xr3:uid="{E6F11214-E912-4D1C-980D-A111C93B0BED}" name="CHECK_ANY_TT" dataDxfId="106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G804" totalsRowShown="0" headerRowDxfId="105">
  <autoFilter ref="A1:G804" xr:uid="{6DCCB998-B5D1-4B0D-8701-BC0E171A94CA}"/>
  <tableColumns count="7">
    <tableColumn id="1" xr3:uid="{327CDBB6-E1D6-4B9F-9625-C81419775134}" name="VEHIDCODE" dataDxfId="104"/>
    <tableColumn id="101" xr3:uid="{78690AEB-EA8F-4FC7-9651-C84D8F318EE9}" name="MISC_FLAGS_TRAIN_FLAG_2CC" dataDxfId="103"/>
    <tableColumn id="100" xr3:uid="{90DBB1A2-A86F-42C6-B2B8-64A2FD6690AB}" name="MISC_FLAGS_TRAIN_FLAG_MU" dataDxfId="102"/>
    <tableColumn id="99" xr3:uid="{DA6644B2-20CC-47E2-B1B5-10210B43738A}" name="MISC_FLAGS_TRAIN_FLAG_AUTOREFIT" dataDxfId="101"/>
    <tableColumn id="108" xr3:uid="{980A5687-92C0-42A0-811D-C3D4EA0876D1}" name="VISUAL_EFFECT_1" dataDxfId="100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99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04" totalsRowShown="0" headerRowDxfId="98">
  <autoFilter ref="A1:D804" xr:uid="{6DCCB998-B5D1-4B0D-8701-BC0E171A94CA}"/>
  <tableColumns count="4">
    <tableColumn id="1" xr3:uid="{0B6094CF-6CA6-410A-A041-C85FACC0820E}" name="VEHIDCODE" dataDxfId="97"/>
    <tableColumn id="7" xr3:uid="{3D8CAD9A-C0D1-459B-8D7C-DFC931F5B279}" name="PANTOGRAPH_POSITION" dataDxfId="96"/>
    <tableColumn id="6" xr3:uid="{E0637D36-B3FC-4486-87F9-603EB2076188}" name="TEMPLATE_ID" dataDxfId="95"/>
    <tableColumn id="9" xr3:uid="{FEF2BF9C-74F1-405C-9871-E4301805E364}" name="TEMPLATE_AMENDMENT_CODE" dataDxfId="9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93" headerRowBorderDxfId="92" tableBorderDxfId="91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90" headerRowBorderDxfId="89" tableBorderDxfId="88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87" dataDxfId="86" tableBorderDxfId="85">
  <autoFilter ref="A1:A17" xr:uid="{0B243503-43AD-403A-90CE-B69D05B25C30}"/>
  <tableColumns count="1">
    <tableColumn id="1" xr3:uid="{3709FB1B-DE08-4A3E-8CA6-F5322D2A3261}" name="VALID_REGIONS" dataDxfId="8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N256" totalsRowShown="0" headerRowDxfId="83" dataDxfId="82">
  <autoFilter ref="M1:N256" xr:uid="{E4DFB3C9-057E-4E0D-A87A-3C00FA3349E8}"/>
  <sortState xmlns:xlrd2="http://schemas.microsoft.com/office/spreadsheetml/2017/richdata2" ref="M2:N255">
    <sortCondition ref="N240:N255"/>
  </sortState>
  <tableColumns count="2">
    <tableColumn id="1" xr3:uid="{6AD0A310-1E8F-47A7-8279-8DD530ABC996}" name="COUNTRY_LABEL" dataDxfId="81"/>
    <tableColumn id="2" xr3:uid="{CCC9A744-4F42-4023-A516-9395213016EB}" name="COUNTRY_DESCRIPTION" dataDxfId="8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5" totalsRowShown="0" dataDxfId="78" headerRowBorderDxfId="79" tableBorderDxfId="77" totalsRowBorderDxfId="76">
  <autoFilter ref="K1:K25" xr:uid="{686D0694-AFBC-4B91-A3D3-72E1CCF00B7D}"/>
  <tableColumns count="1">
    <tableColumn id="1" xr3:uid="{7F0999BD-E0C9-463F-A054-2DA49D41A9EE}" name="VEHID_ID_CATEGORY" dataDxfId="7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5" totalsRowShown="0">
  <autoFilter ref="A1:D25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74"/>
    <tableColumn id="4" xr3:uid="{3DDC8685-BA3D-40E8-A910-1E59013A762D}" name="Range End" dataDxfId="7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72" dataDxfId="71">
  <autoFilter ref="A1:N16" xr:uid="{863AE95D-BE34-47D8-B01B-1170BF25FDF2}"/>
  <tableColumns count="14">
    <tableColumn id="1" xr3:uid="{5F487593-655E-41B5-B155-86F88B53946D}" name="COST_CAT" dataDxfId="70"/>
    <tableColumn id="2" xr3:uid="{33F9C454-EDB2-4DA7-BF7A-64CBC12EBC9B}" name="P1" dataDxfId="69"/>
    <tableColumn id="3" xr3:uid="{25FB11D0-082D-4DE3-9821-1367939D8742}" name="P2" dataDxfId="68"/>
    <tableColumn id="4" xr3:uid="{19CDF402-C641-4217-A953-2A851DF85ADB}" name="P3" dataDxfId="67"/>
    <tableColumn id="5" xr3:uid="{1EF59E2C-32FF-4712-AD89-CBF77E507832}" name="P4" dataDxfId="66"/>
    <tableColumn id="6" xr3:uid="{04250F90-183D-4392-BE27-C420F795E1DC}" name="P5" dataDxfId="65"/>
    <tableColumn id="7" xr3:uid="{F7062C4F-5B57-4110-A21E-BDC8820130D9}" name="P6" dataDxfId="64"/>
    <tableColumn id="8" xr3:uid="{B47621AA-9D6F-4396-B3D9-BD8CF656F30E}" name="P7" dataDxfId="63"/>
    <tableColumn id="9" xr3:uid="{7055539E-C4C8-407D-91F5-6CB021EDE84F}" name="R1" dataDxfId="62"/>
    <tableColumn id="10" xr3:uid="{D17981EB-EB8A-4630-958C-3792D72CD53F}" name="R2" dataDxfId="61"/>
    <tableColumn id="11" xr3:uid="{85EDD15A-812B-4C42-B03A-D558B807622E}" name="R3" dataDxfId="60"/>
    <tableColumn id="12" xr3:uid="{61A73E38-33EC-41D1-B899-56F15EDBDD59}" name="R4" dataDxfId="59"/>
    <tableColumn id="13" xr3:uid="{7A83ADCF-C18F-402F-81A8-0F935E928ED9}" name="R5" dataDxfId="58"/>
    <tableColumn id="14" xr3:uid="{1140F6C7-9C3D-4800-9F3B-DC6E6EBE9541}" name="R6" dataDxfId="57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O804"/>
  <sheetViews>
    <sheetView tabSelected="1" workbookViewId="0">
      <pane xSplit="1" ySplit="1" topLeftCell="B551" activePane="bottomRight" state="frozen"/>
      <selection pane="topRight" activeCell="B1" sqref="B1"/>
      <selection pane="bottomLeft" activeCell="A2" sqref="A2"/>
      <selection pane="bottomRight" activeCell="B564" sqref="B564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23.3046875" customWidth="1"/>
    <col min="5" max="5" width="10.84375" bestFit="1" customWidth="1"/>
    <col min="6" max="6" width="34.53515625" bestFit="1" customWidth="1"/>
    <col min="7" max="7" width="10.84375" customWidth="1"/>
    <col min="8" max="8" width="13.921875" customWidth="1"/>
    <col min="9" max="9" width="11.23046875" style="2" customWidth="1"/>
    <col min="14" max="14" width="55.3046875" bestFit="1" customWidth="1"/>
    <col min="15" max="15" width="53.84375" bestFit="1" customWidth="1"/>
    <col min="16" max="16" width="55.3046875" customWidth="1"/>
    <col min="17" max="17" width="53.84375" customWidth="1"/>
  </cols>
  <sheetData>
    <row r="1" spans="1:15" ht="43.75">
      <c r="A1" s="1" t="s">
        <v>0</v>
      </c>
      <c r="B1" s="6" t="s">
        <v>902</v>
      </c>
      <c r="C1" s="6" t="s">
        <v>687</v>
      </c>
      <c r="D1" s="6" t="s">
        <v>978</v>
      </c>
      <c r="E1" s="6" t="s">
        <v>926</v>
      </c>
      <c r="F1" s="6" t="s">
        <v>2482</v>
      </c>
      <c r="G1" s="6" t="s">
        <v>2299</v>
      </c>
      <c r="H1" s="6" t="s">
        <v>1063</v>
      </c>
      <c r="I1" s="21" t="s">
        <v>923</v>
      </c>
      <c r="J1" s="6" t="s">
        <v>1059</v>
      </c>
      <c r="K1" s="6" t="s">
        <v>1062</v>
      </c>
      <c r="L1" s="6" t="s">
        <v>1061</v>
      </c>
      <c r="M1" s="6" t="s">
        <v>1060</v>
      </c>
      <c r="N1" s="7" t="s">
        <v>688</v>
      </c>
      <c r="O1" s="7" t="s">
        <v>689</v>
      </c>
    </row>
    <row r="2" spans="1:15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972</v>
      </c>
      <c r="E2">
        <v>13005</v>
      </c>
      <c r="F2" t="s">
        <v>1064</v>
      </c>
      <c r="G2" t="s">
        <v>1749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ISNUMBER(_xlfn.XMATCH(CONTROL[[#This Row],[VEHIDCODE]],GRAPHICS_PROPERTIES[VEHIDCODE],0))</f>
        <v>1</v>
      </c>
      <c r="N2" s="31" t="str">
        <f>"item_"&amp;CONTROL[[#This Row],[VEHIDCODE]]</f>
        <v>item_mglv_Maglev_Wagon_Powered</v>
      </c>
      <c r="O2" s="31" t="str">
        <f>"str_"&amp;CONTROL[[#This Row],[VEHIDCODE]]</f>
        <v>str_mglv_Maglev_Wagon_Powered</v>
      </c>
    </row>
    <row r="3" spans="1:15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972</v>
      </c>
      <c r="E3">
        <v>13004</v>
      </c>
      <c r="F3" t="s">
        <v>1064</v>
      </c>
      <c r="G3" t="s">
        <v>1749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ISNUMBER(_xlfn.XMATCH(CONTROL[[#This Row],[VEHIDCODE]],GRAPHICS_PROPERTIES[VEHIDCODE],0))</f>
        <v>1</v>
      </c>
      <c r="N3" s="31" t="str">
        <f>"item_"&amp;CONTROL[[#This Row],[VEHIDCODE]]</f>
        <v>item_mglv_Maglev_Wagon_Unpowered</v>
      </c>
      <c r="O3" s="31" t="str">
        <f>"str_"&amp;CONTROL[[#This Row],[VEHIDCODE]]</f>
        <v>str_mglv_Maglev_Wagon_Unpowered</v>
      </c>
    </row>
    <row r="4" spans="1:15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t="s">
        <v>3003</v>
      </c>
      <c r="G4" t="s">
        <v>2283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ISNUMBER(_xlfn.XMATCH(CONTROL[[#This Row],[VEHIDCODE]],GRAPHICS_PROPERTIES[VEHIDCODE],0))</f>
        <v>1</v>
      </c>
      <c r="N4" s="31" t="str">
        <f>"item_"&amp;CONTROL[[#This Row],[VEHIDCODE]]</f>
        <v>item_rbs_Austria_NOLB_1</v>
      </c>
      <c r="O4" s="31" t="str">
        <f>"str_"&amp;CONTROL[[#This Row],[VEHIDCODE]]</f>
        <v>str_rbs_Austria_NOLB_1</v>
      </c>
    </row>
    <row r="5" spans="1:15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t="s">
        <v>1065</v>
      </c>
      <c r="G5" t="s">
        <v>2284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ISNUMBER(_xlfn.XMATCH(CONTROL[[#This Row],[VEHIDCODE]],GRAPHICS_PROPERTIES[VEHIDCODE],0))</f>
        <v>1</v>
      </c>
      <c r="N5" s="31" t="str">
        <f>"item_"&amp;CONTROL[[#This Row],[VEHIDCODE]]</f>
        <v>item_rbs_Italy_FS_86</v>
      </c>
      <c r="O5" s="31" t="str">
        <f>"str_"&amp;CONTROL[[#This Row],[VEHIDCODE]]</f>
        <v>str_rbs_Italy_FS_86</v>
      </c>
    </row>
    <row r="6" spans="1:15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t="s">
        <v>1066</v>
      </c>
      <c r="G6" t="s">
        <v>2285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ISNUMBER(_xlfn.XMATCH(CONTROL[[#This Row],[VEHIDCODE]],GRAPHICS_PROPERTIES[VEHIDCODE],0))</f>
        <v>1</v>
      </c>
      <c r="N6" s="31" t="str">
        <f>"item_"&amp;CONTROL[[#This Row],[VEHIDCODE]]</f>
        <v>item_rbs_Australia_Victorian_Railways_Rowan_Railmotor</v>
      </c>
      <c r="O6" s="31" t="str">
        <f>"str_"&amp;CONTROL[[#This Row],[VEHIDCODE]]</f>
        <v>str_rbs_Australia_Victorian_Railways_Rowan_Railmotor</v>
      </c>
    </row>
    <row r="7" spans="1:15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t="s">
        <v>1067</v>
      </c>
      <c r="G7" t="s">
        <v>2286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ISNUMBER(_xlfn.XMATCH(CONTROL[[#This Row],[VEHIDCODE]],GRAPHICS_PROPERTIES[VEHIDCODE],0))</f>
        <v>1</v>
      </c>
      <c r="N7" s="31" t="str">
        <f>"item_"&amp;CONTROL[[#This Row],[VEHIDCODE]]</f>
        <v>item_rbs_Switzerland_UeBB_Czm_1_2</v>
      </c>
      <c r="O7" s="31" t="str">
        <f>"str_"&amp;CONTROL[[#This Row],[VEHIDCODE]]</f>
        <v>str_rbs_Switzerland_UeBB_Czm_1_2</v>
      </c>
    </row>
    <row r="8" spans="1:15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t="s">
        <v>1068</v>
      </c>
      <c r="G8" t="s">
        <v>2288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ISNUMBER(_xlfn.XMATCH(CONTROL[[#This Row],[VEHIDCODE]],GRAPHICS_PROPERTIES[VEHIDCODE],0))</f>
        <v>1</v>
      </c>
      <c r="N8" s="31" t="str">
        <f>"item_"&amp;CONTROL[[#This Row],[VEHIDCODE]]</f>
        <v>item_rbs_Germany_Bavarian_MCCi</v>
      </c>
      <c r="O8" s="31" t="str">
        <f>"str_"&amp;CONTROL[[#This Row],[VEHIDCODE]]</f>
        <v>str_rbs_Germany_Bavarian_MCCi</v>
      </c>
    </row>
    <row r="9" spans="1:15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t="s">
        <v>1069</v>
      </c>
      <c r="G9" t="s">
        <v>2287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ISNUMBER(_xlfn.XMATCH(CONTROL[[#This Row],[VEHIDCODE]],GRAPHICS_PROPERTIES[VEHIDCODE],0))</f>
        <v>1</v>
      </c>
      <c r="N9" s="31" t="str">
        <f>"item_"&amp;CONTROL[[#This Row],[VEHIDCODE]]</f>
        <v>item_rbs_South_Africa_CSAR_Railmotor</v>
      </c>
      <c r="O9" s="31" t="str">
        <f>"str_"&amp;CONTROL[[#This Row],[VEHIDCODE]]</f>
        <v>str_rbs_South_Africa_CSAR_Railmotor</v>
      </c>
    </row>
    <row r="10" spans="1:15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t="s">
        <v>1070</v>
      </c>
      <c r="G10" t="s">
        <v>2289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ISNUMBER(_xlfn.XMATCH(CONTROL[[#This Row],[VEHIDCODE]],GRAPHICS_PROPERTIES[VEHIDCODE],0))</f>
        <v>1</v>
      </c>
      <c r="N10" s="31" t="str">
        <f>"item_"&amp;CONTROL[[#This Row],[VEHIDCODE]]</f>
        <v>item_rbs_Australia_Victorian_Railways_Motor_Car_3</v>
      </c>
      <c r="O10" s="31" t="str">
        <f>"str_"&amp;CONTROL[[#This Row],[VEHIDCODE]]</f>
        <v>str_rbs_Australia_Victorian_Railways_Motor_Car_3</v>
      </c>
    </row>
    <row r="11" spans="1:15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t="s">
        <v>1071</v>
      </c>
      <c r="G11" t="s">
        <v>2291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ISNUMBER(_xlfn.XMATCH(CONTROL[[#This Row],[VEHIDCODE]],GRAPHICS_PROPERTIES[VEHIDCODE],0))</f>
        <v>1</v>
      </c>
      <c r="N11" s="31" t="str">
        <f>"item_"&amp;CONTROL[[#This Row],[VEHIDCODE]]</f>
        <v>item_rbs_Austria_kkStB_4_0</v>
      </c>
      <c r="O11" s="31" t="str">
        <f>"str_"&amp;CONTROL[[#This Row],[VEHIDCODE]]</f>
        <v>str_rbs_Austria_kkStB_4_0</v>
      </c>
    </row>
    <row r="12" spans="1:15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t="s">
        <v>1072</v>
      </c>
      <c r="G12" t="s">
        <v>2290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ISNUMBER(_xlfn.XMATCH(CONTROL[[#This Row],[VEHIDCODE]],GRAPHICS_PROPERTIES[VEHIDCODE],0))</f>
        <v>1</v>
      </c>
      <c r="N12" s="31" t="str">
        <f>"item_"&amp;CONTROL[[#This Row],[VEHIDCODE]]</f>
        <v>item_rbd_Australia_Victorian_Railways_AEC_RM1</v>
      </c>
      <c r="O12" s="31" t="str">
        <f>"str_"&amp;CONTROL[[#This Row],[VEHIDCODE]]</f>
        <v>str_rbd_Australia_Victorian_Railways_AEC_RM1</v>
      </c>
    </row>
    <row r="13" spans="1:15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t="s">
        <v>1073</v>
      </c>
      <c r="G13" t="s">
        <v>2292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ISNUMBER(_xlfn.XMATCH(CONTROL[[#This Row],[VEHIDCODE]],GRAPHICS_PROPERTIES[VEHIDCODE],0))</f>
        <v>1</v>
      </c>
      <c r="N13" s="31" t="str">
        <f>"item_"&amp;CONTROL[[#This Row],[VEHIDCODE]]</f>
        <v>item_rbd_Germany_DB_VT_133</v>
      </c>
      <c r="O13" s="31" t="str">
        <f>"str_"&amp;CONTROL[[#This Row],[VEHIDCODE]]</f>
        <v>str_rbd_Germany_DB_VT_133</v>
      </c>
    </row>
    <row r="14" spans="1:15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t="s">
        <v>1074</v>
      </c>
      <c r="G14" t="s">
        <v>2293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ISNUMBER(_xlfn.XMATCH(CONTROL[[#This Row],[VEHIDCODE]],GRAPHICS_PROPERTIES[VEHIDCODE],0))</f>
        <v>1</v>
      </c>
      <c r="N14" s="31" t="str">
        <f>"item_"&amp;CONTROL[[#This Row],[VEHIDCODE]]</f>
        <v>item_rbd_United_Kingdom_GWR_AEC_Railcar</v>
      </c>
      <c r="O14" s="31" t="str">
        <f>"str_"&amp;CONTROL[[#This Row],[VEHIDCODE]]</f>
        <v>str_rbd_United_Kingdom_GWR_AEC_Railcar</v>
      </c>
    </row>
    <row r="15" spans="1:15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t="s">
        <v>2490</v>
      </c>
      <c r="G15" t="s">
        <v>2294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ISNUMBER(_xlfn.XMATCH(CONTROL[[#This Row],[VEHIDCODE]],GRAPHICS_PROPERTIES[VEHIDCODE],0))</f>
        <v>1</v>
      </c>
      <c r="N15" s="31" t="str">
        <f>"item_"&amp;CONTROL[[#This Row],[VEHIDCODE]]</f>
        <v>item_rbd_Austria_OBB_5042</v>
      </c>
      <c r="O15" s="31" t="str">
        <f>"str_"&amp;CONTROL[[#This Row],[VEHIDCODE]]</f>
        <v>str_rbd_Austria_OBB_5042</v>
      </c>
    </row>
    <row r="16" spans="1:15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t="s">
        <v>1075</v>
      </c>
      <c r="G16" t="s">
        <v>2295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ISNUMBER(_xlfn.XMATCH(CONTROL[[#This Row],[VEHIDCODE]],GRAPHICS_PROPERTIES[VEHIDCODE],0))</f>
        <v>1</v>
      </c>
      <c r="N16" s="31" t="str">
        <f>"item_"&amp;CONTROL[[#This Row],[VEHIDCODE]]</f>
        <v>item_rbd_New_Zealand_NZR_RM31</v>
      </c>
      <c r="O16" s="31" t="str">
        <f>"str_"&amp;CONTROL[[#This Row],[VEHIDCODE]]</f>
        <v>str_rbd_New_Zealand_NZR_RM31</v>
      </c>
    </row>
    <row r="17" spans="1:15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t="s">
        <v>1076</v>
      </c>
      <c r="G17" t="s">
        <v>2296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ISNUMBER(_xlfn.XMATCH(CONTROL[[#This Row],[VEHIDCODE]],GRAPHICS_PROPERTIES[VEHIDCODE],0))</f>
        <v>1</v>
      </c>
      <c r="N17" s="31" t="str">
        <f>"item_"&amp;CONTROL[[#This Row],[VEHIDCODE]]</f>
        <v>item_rbd_Portugal_CP_0100</v>
      </c>
      <c r="O17" s="31" t="str">
        <f>"str_"&amp;CONTROL[[#This Row],[VEHIDCODE]]</f>
        <v>str_rbd_Portugal_CP_0100</v>
      </c>
    </row>
    <row r="18" spans="1:15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t="s">
        <v>1077</v>
      </c>
      <c r="G18" t="s">
        <v>2297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ISNUMBER(_xlfn.XMATCH(CONTROL[[#This Row],[VEHIDCODE]],GRAPHICS_PROPERTIES[VEHIDCODE],0))</f>
        <v>1</v>
      </c>
      <c r="N18" s="31" t="str">
        <f>"item_"&amp;CONTROL[[#This Row],[VEHIDCODE]]</f>
        <v>item_rbd_USA_Amtrak_Budd_RDC</v>
      </c>
      <c r="O18" s="31" t="str">
        <f>"str_"&amp;CONTROL[[#This Row],[VEHIDCODE]]</f>
        <v>str_rbd_USA_Amtrak_Budd_RDC</v>
      </c>
    </row>
    <row r="19" spans="1:15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t="s">
        <v>1078</v>
      </c>
      <c r="G19" t="s">
        <v>2298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ISNUMBER(_xlfn.XMATCH(CONTROL[[#This Row],[VEHIDCODE]],GRAPHICS_PROPERTIES[VEHIDCODE],0))</f>
        <v>1</v>
      </c>
      <c r="N19" s="31" t="str">
        <f>"item_"&amp;CONTROL[[#This Row],[VEHIDCODE]]</f>
        <v>item_rbd_Germany_DB_VT_989</v>
      </c>
      <c r="O19" s="31" t="str">
        <f>"str_"&amp;CONTROL[[#This Row],[VEHIDCODE]]</f>
        <v>str_rbd_Germany_DB_VT_989</v>
      </c>
    </row>
    <row r="20" spans="1:15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t="s">
        <v>2301</v>
      </c>
      <c r="G20" t="s">
        <v>2300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ISNUMBER(_xlfn.XMATCH(CONTROL[[#This Row],[VEHIDCODE]],GRAPHICS_PROPERTIES[VEHIDCODE],0))</f>
        <v>1</v>
      </c>
      <c r="N20" s="31" t="str">
        <f>"item_"&amp;CONTROL[[#This Row],[VEHIDCODE]]</f>
        <v>item_rbd_Germany_OHE_520_GDT</v>
      </c>
      <c r="O20" s="31" t="str">
        <f>"str_"&amp;CONTROL[[#This Row],[VEHIDCODE]]</f>
        <v>str_rbd_Germany_OHE_520_GDT</v>
      </c>
    </row>
    <row r="21" spans="1:15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t="s">
        <v>1079</v>
      </c>
      <c r="G21" t="s">
        <v>2302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ISNUMBER(_xlfn.XMATCH(CONTROL[[#This Row],[VEHIDCODE]],GRAPHICS_PROPERTIES[VEHIDCODE],0))</f>
        <v>1</v>
      </c>
      <c r="N21" s="31" t="str">
        <f>"item_"&amp;CONTROL[[#This Row],[VEHIDCODE]]</f>
        <v>item_rbd_Netherlands_NS_20_Kameel</v>
      </c>
      <c r="O21" s="31" t="str">
        <f>"str_"&amp;CONTROL[[#This Row],[VEHIDCODE]]</f>
        <v>str_rbd_Netherlands_NS_20_Kameel</v>
      </c>
    </row>
    <row r="22" spans="1:15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t="s">
        <v>1080</v>
      </c>
      <c r="G22" t="s">
        <v>2303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ISNUMBER(_xlfn.XMATCH(CONTROL[[#This Row],[VEHIDCODE]],GRAPHICS_PROPERTIES[VEHIDCODE],0))</f>
        <v>1</v>
      </c>
      <c r="N22" s="31" t="str">
        <f>"item_"&amp;CONTROL[[#This Row],[VEHIDCODE]]</f>
        <v>item_rbd_Netherlands_NS_DH1</v>
      </c>
      <c r="O22" s="31" t="str">
        <f>"str_"&amp;CONTROL[[#This Row],[VEHIDCODE]]</f>
        <v>str_rbd_Netherlands_NS_DH1</v>
      </c>
    </row>
    <row r="23" spans="1:15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t="s">
        <v>2491</v>
      </c>
      <c r="G23" t="s">
        <v>2304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ISNUMBER(_xlfn.XMATCH(CONTROL[[#This Row],[VEHIDCODE]],GRAPHICS_PROPERTIES[VEHIDCODE],0))</f>
        <v>1</v>
      </c>
      <c r="N23" s="31" t="str">
        <f>"item_"&amp;CONTROL[[#This Row],[VEHIDCODE]]</f>
        <v>item_rbd_Austria_OBB_5047</v>
      </c>
      <c r="O23" s="31" t="str">
        <f>"str_"&amp;CONTROL[[#This Row],[VEHIDCODE]]</f>
        <v>str_rbd_Austria_OBB_5047</v>
      </c>
    </row>
    <row r="24" spans="1:15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t="s">
        <v>1081</v>
      </c>
      <c r="G24" t="s">
        <v>2305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ISNUMBER(_xlfn.XMATCH(CONTROL[[#This Row],[VEHIDCODE]],GRAPHICS_PROPERTIES[VEHIDCODE],0))</f>
        <v>1</v>
      </c>
      <c r="N24" s="31" t="str">
        <f>"item_"&amp;CONTROL[[#This Row],[VEHIDCODE]]</f>
        <v>item_rbd_United_Kingdom_BR_153_Super_Sprinter</v>
      </c>
      <c r="O24" s="31" t="str">
        <f>"str_"&amp;CONTROL[[#This Row],[VEHIDCODE]]</f>
        <v>str_rbd_United_Kingdom_BR_153_Super_Sprinter</v>
      </c>
    </row>
    <row r="25" spans="1:15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t="s">
        <v>2781</v>
      </c>
      <c r="G25" t="s">
        <v>2306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ISNUMBER(_xlfn.XMATCH(CONTROL[[#This Row],[VEHIDCODE]],GRAPHICS_PROPERTIES[VEHIDCODE],0))</f>
        <v>1</v>
      </c>
      <c r="N25" s="31" t="str">
        <f>"item_"&amp;CONTROL[[#This Row],[VEHIDCODE]]</f>
        <v>item_rbd_Czech_Republic_CD_809</v>
      </c>
      <c r="O25" s="31" t="str">
        <f>"str_"&amp;CONTROL[[#This Row],[VEHIDCODE]]</f>
        <v>str_rbd_Czech_Republic_CD_809</v>
      </c>
    </row>
    <row r="26" spans="1:15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t="s">
        <v>1082</v>
      </c>
      <c r="G26" t="s">
        <v>2307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ISNUMBER(_xlfn.XMATCH(CONTROL[[#This Row],[VEHIDCODE]],GRAPHICS_PROPERTIES[VEHIDCODE],0))</f>
        <v>1</v>
      </c>
      <c r="N26" s="31" t="str">
        <f>"item_"&amp;CONTROL[[#This Row],[VEHIDCODE]]</f>
        <v>item_rbd_Germany_DB_670</v>
      </c>
      <c r="O26" s="31" t="str">
        <f>"str_"&amp;CONTROL[[#This Row],[VEHIDCODE]]</f>
        <v>str_rbd_Germany_DB_670</v>
      </c>
    </row>
    <row r="27" spans="1:15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t="s">
        <v>1083</v>
      </c>
      <c r="G27" t="s">
        <v>2308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ISNUMBER(_xlfn.XMATCH(CONTROL[[#This Row],[VEHIDCODE]],GRAPHICS_PROPERTIES[VEHIDCODE],0))</f>
        <v>1</v>
      </c>
      <c r="N27" s="31" t="str">
        <f>"item_"&amp;CONTROL[[#This Row],[VEHIDCODE]]</f>
        <v>item_rbd_Lithuania_Lithuanian_Railways_AR2</v>
      </c>
      <c r="O27" s="31" t="str">
        <f>"str_"&amp;CONTROL[[#This Row],[VEHIDCODE]]</f>
        <v>str_rbd_Lithuania_Lithuanian_Railways_AR2</v>
      </c>
    </row>
    <row r="28" spans="1:15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t="s">
        <v>2309</v>
      </c>
      <c r="G28" t="s">
        <v>2310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ISNUMBER(_xlfn.XMATCH(CONTROL[[#This Row],[VEHIDCODE]],GRAPHICS_PROPERTIES[VEHIDCODE],0))</f>
        <v>1</v>
      </c>
      <c r="N28" s="31" t="str">
        <f>"item_"&amp;CONTROL[[#This Row],[VEHIDCODE]]</f>
        <v>item_rbd_Austria_kkStB_19</v>
      </c>
      <c r="O28" s="31" t="str">
        <f>"str_"&amp;CONTROL[[#This Row],[VEHIDCODE]]</f>
        <v>str_rbd_Austria_kkStB_19</v>
      </c>
    </row>
    <row r="29" spans="1:15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t="s">
        <v>1084</v>
      </c>
      <c r="G29" t="s">
        <v>2311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ISNUMBER(_xlfn.XMATCH(CONTROL[[#This Row],[VEHIDCODE]],GRAPHICS_PROPERTIES[VEHIDCODE],0))</f>
        <v>1</v>
      </c>
      <c r="N29" s="31" t="str">
        <f>"item_"&amp;CONTROL[[#This Row],[VEHIDCODE]]</f>
        <v>item_rbd_USA_Virginia_Truckee_Motor_Car_22</v>
      </c>
      <c r="O29" s="31" t="str">
        <f>"str_"&amp;CONTROL[[#This Row],[VEHIDCODE]]</f>
        <v>str_rbd_USA_Virginia_Truckee_Motor_Car_22</v>
      </c>
    </row>
    <row r="30" spans="1:15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t="s">
        <v>2313</v>
      </c>
      <c r="G30" t="s">
        <v>2312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ISNUMBER(_xlfn.XMATCH(CONTROL[[#This Row],[VEHIDCODE]],GRAPHICS_PROPERTIES[VEHIDCODE],0))</f>
        <v>1</v>
      </c>
      <c r="N30" s="31" t="str">
        <f>"item_"&amp;CONTROL[[#This Row],[VEHIDCODE]]</f>
        <v>item_rbd_Germany_Saxon_DET_1_2</v>
      </c>
      <c r="O30" s="31" t="str">
        <f>"str_"&amp;CONTROL[[#This Row],[VEHIDCODE]]</f>
        <v>str_rbd_Germany_Saxon_DET_1_2</v>
      </c>
    </row>
    <row r="31" spans="1:15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t="s">
        <v>1085</v>
      </c>
      <c r="G31" t="s">
        <v>2314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ISNUMBER(_xlfn.XMATCH(CONTROL[[#This Row],[VEHIDCODE]],GRAPHICS_PROPERTIES[VEHIDCODE],0))</f>
        <v>1</v>
      </c>
      <c r="N31" s="31" t="str">
        <f>"item_"&amp;CONTROL[[#This Row],[VEHIDCODE]]</f>
        <v>item_rbd_UK_WC_PR_Drewry_Railcar</v>
      </c>
      <c r="O31" s="31" t="str">
        <f>"str_"&amp;CONTROL[[#This Row],[VEHIDCODE]]</f>
        <v>str_rbd_UK_WC_PR_Drewry_Railcar</v>
      </c>
    </row>
    <row r="32" spans="1:15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t="s">
        <v>1086</v>
      </c>
      <c r="G32" t="s">
        <v>2315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ISNUMBER(_xlfn.XMATCH(CONTROL[[#This Row],[VEHIDCODE]],GRAPHICS_PROPERTIES[VEHIDCODE],0))</f>
        <v>1</v>
      </c>
      <c r="N32" s="31" t="str">
        <f>"item_"&amp;CONTROL[[#This Row],[VEHIDCODE]]</f>
        <v>item_rbd_Germany_BSt_6001</v>
      </c>
      <c r="O32" s="31" t="str">
        <f>"str_"&amp;CONTROL[[#This Row],[VEHIDCODE]]</f>
        <v>str_rbd_Germany_BSt_6001</v>
      </c>
    </row>
    <row r="33" spans="1:15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t="s">
        <v>1087</v>
      </c>
      <c r="G33" t="s">
        <v>2316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ISNUMBER(_xlfn.XMATCH(CONTROL[[#This Row],[VEHIDCODE]],GRAPHICS_PROPERTIES[VEHIDCODE],0))</f>
        <v>1</v>
      </c>
      <c r="N33" s="31" t="str">
        <f>"item_"&amp;CONTROL[[#This Row],[VEHIDCODE]]</f>
        <v>item_rbd_Australia_Victorian_Railways_DERM</v>
      </c>
      <c r="O33" s="31" t="str">
        <f>"str_"&amp;CONTROL[[#This Row],[VEHIDCODE]]</f>
        <v>str_rbd_Australia_Victorian_Railways_DERM</v>
      </c>
    </row>
    <row r="34" spans="1:15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t="s">
        <v>2317</v>
      </c>
      <c r="G34" t="s">
        <v>2318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ISNUMBER(_xlfn.XMATCH(CONTROL[[#This Row],[VEHIDCODE]],GRAPHICS_PROPERTIES[VEHIDCODE],0))</f>
        <v>1</v>
      </c>
      <c r="N34" s="31" t="str">
        <f>"item_"&amp;CONTROL[[#This Row],[VEHIDCODE]]</f>
        <v>item_rbd_Czech_Republic_CD_M120</v>
      </c>
      <c r="O34" s="31" t="str">
        <f>"str_"&amp;CONTROL[[#This Row],[VEHIDCODE]]</f>
        <v>str_rbd_Czech_Republic_CD_M120</v>
      </c>
    </row>
    <row r="35" spans="1:15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t="s">
        <v>1088</v>
      </c>
      <c r="G35" t="s">
        <v>2319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ISNUMBER(_xlfn.XMATCH(CONTROL[[#This Row],[VEHIDCODE]],GRAPHICS_PROPERTIES[VEHIDCODE],0))</f>
        <v>1</v>
      </c>
      <c r="N35" s="31" t="str">
        <f>"item_"&amp;CONTROL[[#This Row],[VEHIDCODE]]</f>
        <v>item_rbd_Germany_Schienenzeppelin</v>
      </c>
      <c r="O35" s="31" t="str">
        <f>"str_"&amp;CONTROL[[#This Row],[VEHIDCODE]]</f>
        <v>str_rbd_Germany_Schienenzeppelin</v>
      </c>
    </row>
    <row r="36" spans="1:15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t="s">
        <v>2322</v>
      </c>
      <c r="G36" t="s">
        <v>2321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ISNUMBER(_xlfn.XMATCH(CONTROL[[#This Row],[VEHIDCODE]],GRAPHICS_PROPERTIES[VEHIDCODE],0))</f>
        <v>1</v>
      </c>
      <c r="N36" s="31" t="str">
        <f>"item_"&amp;CONTROL[[#This Row],[VEHIDCODE]]</f>
        <v>item_rbd_Denmark_DSB_MO</v>
      </c>
      <c r="O36" s="31" t="str">
        <f>"str_"&amp;CONTROL[[#This Row],[VEHIDCODE]]</f>
        <v>str_rbd_Denmark_DSB_MO</v>
      </c>
    </row>
    <row r="37" spans="1:15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t="s">
        <v>1089</v>
      </c>
      <c r="G37" t="s">
        <v>2320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ISNUMBER(_xlfn.XMATCH(CONTROL[[#This Row],[VEHIDCODE]],GRAPHICS_PROPERTIES[VEHIDCODE],0))</f>
        <v>1</v>
      </c>
      <c r="N37" s="31" t="str">
        <f>"item_"&amp;CONTROL[[#This Row],[VEHIDCODE]]</f>
        <v>item_rbd_Norway_NSB_Cmb_17</v>
      </c>
      <c r="O37" s="31" t="str">
        <f>"str_"&amp;CONTROL[[#This Row],[VEHIDCODE]]</f>
        <v>str_rbd_Norway_NSB_Cmb_17</v>
      </c>
    </row>
    <row r="38" spans="1:15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t="s">
        <v>2782</v>
      </c>
      <c r="G38" t="s">
        <v>2323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ISNUMBER(_xlfn.XMATCH(CONTROL[[#This Row],[VEHIDCODE]],GRAPHICS_PROPERTIES[VEHIDCODE],0))</f>
        <v>1</v>
      </c>
      <c r="N38" s="31" t="str">
        <f>"item_"&amp;CONTROL[[#This Row],[VEHIDCODE]]</f>
        <v>item_rbd_Czech_Republic_CD_M290</v>
      </c>
      <c r="O38" s="31" t="str">
        <f>"str_"&amp;CONTROL[[#This Row],[VEHIDCODE]]</f>
        <v>str_rbd_Czech_Republic_CD_M290</v>
      </c>
    </row>
    <row r="39" spans="1:15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t="s">
        <v>2325</v>
      </c>
      <c r="G39" t="s">
        <v>2324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ISNUMBER(_xlfn.XMATCH(CONTROL[[#This Row],[VEHIDCODE]],GRAPHICS_PROPERTIES[VEHIDCODE],0))</f>
        <v>1</v>
      </c>
      <c r="N39" s="31" t="str">
        <f>"item_"&amp;CONTROL[[#This Row],[VEHIDCODE]]</f>
        <v>item_rbd_Netherlands_NS_omBC</v>
      </c>
      <c r="O39" s="31" t="str">
        <f>"str_"&amp;CONTROL[[#This Row],[VEHIDCODE]]</f>
        <v>str_rbd_Netherlands_NS_omBC</v>
      </c>
    </row>
    <row r="40" spans="1:15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t="s">
        <v>1090</v>
      </c>
      <c r="G40" t="s">
        <v>2326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ISNUMBER(_xlfn.XMATCH(CONTROL[[#This Row],[VEHIDCODE]],GRAPHICS_PROPERTIES[VEHIDCODE],0))</f>
        <v>1</v>
      </c>
      <c r="N40" s="31" t="str">
        <f>"item_"&amp;CONTROL[[#This Row],[VEHIDCODE]]</f>
        <v>item_rbd_Australia_NSWGR_Class_400</v>
      </c>
      <c r="O40" s="31" t="str">
        <f>"str_"&amp;CONTROL[[#This Row],[VEHIDCODE]]</f>
        <v>str_rbd_Australia_NSWGR_Class_400</v>
      </c>
    </row>
    <row r="41" spans="1:15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t="s">
        <v>1091</v>
      </c>
      <c r="G41" t="s">
        <v>2327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ISNUMBER(_xlfn.XMATCH(CONTROL[[#This Row],[VEHIDCODE]],GRAPHICS_PROPERTIES[VEHIDCODE],0))</f>
        <v>1</v>
      </c>
      <c r="N41" s="31" t="str">
        <f>"item_"&amp;CONTROL[[#This Row],[VEHIDCODE]]</f>
        <v>item_rbd_Portugal_CP_USD_9050</v>
      </c>
      <c r="O41" s="31" t="str">
        <f>"str_"&amp;CONTROL[[#This Row],[VEHIDCODE]]</f>
        <v>str_rbd_Portugal_CP_USD_9050</v>
      </c>
    </row>
    <row r="42" spans="1:15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t="s">
        <v>2329</v>
      </c>
      <c r="G42" t="s">
        <v>2328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ISNUMBER(_xlfn.XMATCH(CONTROL[[#This Row],[VEHIDCODE]],GRAPHICS_PROPERTIES[VEHIDCODE],0))</f>
        <v>1</v>
      </c>
      <c r="N42" s="31" t="str">
        <f>"item_"&amp;CONTROL[[#This Row],[VEHIDCODE]]</f>
        <v>item_rbd_Belgium_SNCB_Class_42</v>
      </c>
      <c r="O42" s="31" t="str">
        <f>"str_"&amp;CONTROL[[#This Row],[VEHIDCODE]]</f>
        <v>str_rbd_Belgium_SNCB_Class_42</v>
      </c>
    </row>
    <row r="43" spans="1:15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t="s">
        <v>2331</v>
      </c>
      <c r="G43" t="s">
        <v>2330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ISNUMBER(_xlfn.XMATCH(CONTROL[[#This Row],[VEHIDCODE]],GRAPHICS_PROPERTIES[VEHIDCODE],0))</f>
        <v>1</v>
      </c>
      <c r="N43" s="31" t="str">
        <f>"item_"&amp;CONTROL[[#This Row],[VEHIDCODE]]</f>
        <v>item_rbd_Bulgaria_BDZ_19</v>
      </c>
      <c r="O43" s="31" t="str">
        <f>"str_"&amp;CONTROL[[#This Row],[VEHIDCODE]]</f>
        <v>str_rbd_Bulgaria_BDZ_19</v>
      </c>
    </row>
    <row r="44" spans="1:15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t="s">
        <v>1092</v>
      </c>
      <c r="G44" t="s">
        <v>2332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ISNUMBER(_xlfn.XMATCH(CONTROL[[#This Row],[VEHIDCODE]],GRAPHICS_PROPERTIES[VEHIDCODE],0))</f>
        <v>1</v>
      </c>
      <c r="N44" s="31" t="str">
        <f>"item_"&amp;CONTROL[[#This Row],[VEHIDCODE]]</f>
        <v>item_rbd_Greece_OSE_AA71</v>
      </c>
      <c r="O44" s="31" t="str">
        <f>"str_"&amp;CONTROL[[#This Row],[VEHIDCODE]]</f>
        <v>str_rbd_Greece_OSE_AA71</v>
      </c>
    </row>
    <row r="45" spans="1:15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t="s">
        <v>2333</v>
      </c>
      <c r="G45" t="s">
        <v>2334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ISNUMBER(_xlfn.XMATCH(CONTROL[[#This Row],[VEHIDCODE]],GRAPHICS_PROPERTIES[VEHIDCODE],0))</f>
        <v>1</v>
      </c>
      <c r="N45" s="31" t="str">
        <f>"item_"&amp;CONTROL[[#This Row],[VEHIDCODE]]</f>
        <v>item_rbd_Tunisia_SNCFT_Z431</v>
      </c>
      <c r="O45" s="31" t="str">
        <f>"str_"&amp;CONTROL[[#This Row],[VEHIDCODE]]</f>
        <v>str_rbd_Tunisia_SNCFT_Z431</v>
      </c>
    </row>
    <row r="46" spans="1:15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t="s">
        <v>2335</v>
      </c>
      <c r="G46" t="s">
        <v>2336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ISNUMBER(_xlfn.XMATCH(CONTROL[[#This Row],[VEHIDCODE]],GRAPHICS_PROPERTIES[VEHIDCODE],0))</f>
        <v>1</v>
      </c>
      <c r="N46" s="31" t="str">
        <f>"item_"&amp;CONTROL[[#This Row],[VEHIDCODE]]</f>
        <v>item_rbd_USA_Amtrak_SPV_200</v>
      </c>
      <c r="O46" s="31" t="str">
        <f>"str_"&amp;CONTROL[[#This Row],[VEHIDCODE]]</f>
        <v>str_rbd_USA_Amtrak_SPV_200</v>
      </c>
    </row>
    <row r="47" spans="1:15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t="s">
        <v>1093</v>
      </c>
      <c r="G47" t="s">
        <v>2337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ISNUMBER(_xlfn.XMATCH(CONTROL[[#This Row],[VEHIDCODE]],GRAPHICS_PROPERTIES[VEHIDCODE],0))</f>
        <v>1</v>
      </c>
      <c r="N47" s="31" t="str">
        <f>"item_"&amp;CONTROL[[#This Row],[VEHIDCODE]]</f>
        <v>item_rbd_Finland_VR_Dm12</v>
      </c>
      <c r="O47" s="31" t="str">
        <f>"str_"&amp;CONTROL[[#This Row],[VEHIDCODE]]</f>
        <v>str_rbd_Finland_VR_Dm12</v>
      </c>
    </row>
    <row r="48" spans="1:15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t="s">
        <v>2783</v>
      </c>
      <c r="G48" t="s">
        <v>2338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ISNUMBER(_xlfn.XMATCH(CONTROL[[#This Row],[VEHIDCODE]],GRAPHICS_PROPERTIES[VEHIDCODE],0))</f>
        <v>1</v>
      </c>
      <c r="N48" s="31" t="str">
        <f>"item_"&amp;CONTROL[[#This Row],[VEHIDCODE]]</f>
        <v>item_rbd_Czech_Republic_CD_840</v>
      </c>
      <c r="O48" s="31" t="str">
        <f>"str_"&amp;CONTROL[[#This Row],[VEHIDCODE]]</f>
        <v>str_rbd_Czech_Republic_CD_840</v>
      </c>
    </row>
    <row r="49" spans="1:15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t="s">
        <v>2340</v>
      </c>
      <c r="G49" t="s">
        <v>2339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ISNUMBER(_xlfn.XMATCH(CONTROL[[#This Row],[VEHIDCODE]],GRAPHICS_PROPERTIES[VEHIDCODE],0))</f>
        <v>1</v>
      </c>
      <c r="N49" s="31" t="str">
        <f>"item_"&amp;CONTROL[[#This Row],[VEHIDCODE]]</f>
        <v>item_rbd_Italy_FS_ALn_668</v>
      </c>
      <c r="O49" s="31" t="str">
        <f>"str_"&amp;CONTROL[[#This Row],[VEHIDCODE]]</f>
        <v>str_rbd_Italy_FS_ALn_668</v>
      </c>
    </row>
    <row r="50" spans="1:15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t="s">
        <v>2784</v>
      </c>
      <c r="G50" t="s">
        <v>2341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ISNUMBER(_xlfn.XMATCH(CONTROL[[#This Row],[VEHIDCODE]],GRAPHICS_PROPERTIES[VEHIDCODE],0))</f>
        <v>1</v>
      </c>
      <c r="N50" s="31" t="str">
        <f>"item_"&amp;CONTROL[[#This Row],[VEHIDCODE]]</f>
        <v>item_rbe_Czech_Republic_CD_M400</v>
      </c>
      <c r="O50" s="31" t="str">
        <f>"str_"&amp;CONTROL[[#This Row],[VEHIDCODE]]</f>
        <v>str_rbe_Czech_Republic_CD_M400</v>
      </c>
    </row>
    <row r="51" spans="1:15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t="s">
        <v>1094</v>
      </c>
      <c r="G51" t="s">
        <v>2342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ISNUMBER(_xlfn.XMATCH(CONTROL[[#This Row],[VEHIDCODE]],GRAPHICS_PROPERTIES[VEHIDCODE],0))</f>
        <v>1</v>
      </c>
      <c r="N51" s="31" t="str">
        <f>"item_"&amp;CONTROL[[#This Row],[VEHIDCODE]]</f>
        <v>item_rbe_France_SNCF_Z_7100</v>
      </c>
      <c r="O51" s="31" t="str">
        <f>"str_"&amp;CONTROL[[#This Row],[VEHIDCODE]]</f>
        <v>str_rbe_France_SNCF_Z_7100</v>
      </c>
    </row>
    <row r="52" spans="1:15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t="s">
        <v>1095</v>
      </c>
      <c r="G52" t="s">
        <v>2343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ISNUMBER(_xlfn.XMATCH(CONTROL[[#This Row],[VEHIDCODE]],GRAPHICS_PROPERTIES[VEHIDCODE],0))</f>
        <v>1</v>
      </c>
      <c r="N52" s="31" t="str">
        <f>"item_"&amp;CONTROL[[#This Row],[VEHIDCODE]]</f>
        <v>item_rbe_Germany_Buckower_Kleinbahn_Nr_1_3</v>
      </c>
      <c r="O52" s="31" t="str">
        <f>"str_"&amp;CONTROL[[#This Row],[VEHIDCODE]]</f>
        <v>str_rbe_Germany_Buckower_Kleinbahn_Nr_1_3</v>
      </c>
    </row>
    <row r="53" spans="1:15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t="s">
        <v>2347</v>
      </c>
      <c r="G53" t="s">
        <v>2346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ISNUMBER(_xlfn.XMATCH(CONTROL[[#This Row],[VEHIDCODE]],GRAPHICS_PROPERTIES[VEHIDCODE],0))</f>
        <v>1</v>
      </c>
      <c r="N53" s="31" t="str">
        <f>"item_"&amp;CONTROL[[#This Row],[VEHIDCODE]]</f>
        <v>item_rbe_Germany_DB_4792</v>
      </c>
      <c r="O53" s="31" t="str">
        <f>"str_"&amp;CONTROL[[#This Row],[VEHIDCODE]]</f>
        <v>str_rbe_Germany_DB_4792</v>
      </c>
    </row>
    <row r="54" spans="1:15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t="s">
        <v>2345</v>
      </c>
      <c r="G54" t="s">
        <v>2344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ISNUMBER(_xlfn.XMATCH(CONTROL[[#This Row],[VEHIDCODE]],GRAPHICS_PROPERTIES[VEHIDCODE],0))</f>
        <v>1</v>
      </c>
      <c r="N54" s="31" t="str">
        <f>"item_"&amp;CONTROL[[#This Row],[VEHIDCODE]]</f>
        <v>item_rbe_Slovakia_ZSSK_490</v>
      </c>
      <c r="O54" s="31" t="str">
        <f>"str_"&amp;CONTROL[[#This Row],[VEHIDCODE]]</f>
        <v>str_rbe_Slovakia_ZSSK_490</v>
      </c>
    </row>
    <row r="55" spans="1:15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t="s">
        <v>1096</v>
      </c>
      <c r="G55" t="s">
        <v>2348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ISNUMBER(_xlfn.XMATCH(CONTROL[[#This Row],[VEHIDCODE]],GRAPHICS_PROPERTIES[VEHIDCODE],0))</f>
        <v>1</v>
      </c>
      <c r="N55" s="31" t="str">
        <f>"item_"&amp;CONTROL[[#This Row],[VEHIDCODE]]</f>
        <v>item_rbe_Italy_FS_ALe_840</v>
      </c>
      <c r="O55" s="31" t="str">
        <f>"str_"&amp;CONTROL[[#This Row],[VEHIDCODE]]</f>
        <v>str_rbe_Italy_FS_ALe_840</v>
      </c>
    </row>
    <row r="56" spans="1:15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t="s">
        <v>1097</v>
      </c>
      <c r="G56" t="s">
        <v>2349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ISNUMBER(_xlfn.XMATCH(CONTROL[[#This Row],[VEHIDCODE]],GRAPHICS_PROPERTIES[VEHIDCODE],0))</f>
        <v>1</v>
      </c>
      <c r="N56" s="31" t="str">
        <f>"item_"&amp;CONTROL[[#This Row],[VEHIDCODE]]</f>
        <v>item_rbe_Italy_FG_ALe_80</v>
      </c>
      <c r="O56" s="31" t="str">
        <f>"str_"&amp;CONTROL[[#This Row],[VEHIDCODE]]</f>
        <v>str_rbe_Italy_FG_ALe_80</v>
      </c>
    </row>
    <row r="57" spans="1:15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t="s">
        <v>1098</v>
      </c>
      <c r="G57" t="s">
        <v>2350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ISNUMBER(_xlfn.XMATCH(CONTROL[[#This Row],[VEHIDCODE]],GRAPHICS_PROPERTIES[VEHIDCODE],0))</f>
        <v>1</v>
      </c>
      <c r="N57" s="31" t="str">
        <f>"item_"&amp;CONTROL[[#This Row],[VEHIDCODE]]</f>
        <v>item_rbe_Italy_FS_E623</v>
      </c>
      <c r="O57" s="31" t="str">
        <f>"str_"&amp;CONTROL[[#This Row],[VEHIDCODE]]</f>
        <v>str_rbe_Italy_FS_E623</v>
      </c>
    </row>
    <row r="58" spans="1:15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t="s">
        <v>1759</v>
      </c>
      <c r="G58" t="s">
        <v>2351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ISNUMBER(_xlfn.XMATCH(CONTROL[[#This Row],[VEHIDCODE]],GRAPHICS_PROPERTIES[VEHIDCODE],0))</f>
        <v>1</v>
      </c>
      <c r="N58" s="31" t="str">
        <f>"item_"&amp;CONTROL[[#This Row],[VEHIDCODE]]</f>
        <v>item_rbe_Morocco_ONCFM_ZAB1000</v>
      </c>
      <c r="O58" s="31" t="str">
        <f>"str_"&amp;CONTROL[[#This Row],[VEHIDCODE]]</f>
        <v>str_rbe_Morocco_ONCFM_ZAB1000</v>
      </c>
    </row>
    <row r="59" spans="1:15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t="s">
        <v>1099</v>
      </c>
      <c r="G59" t="s">
        <v>2352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ISNUMBER(_xlfn.XMATCH(CONTROL[[#This Row],[VEHIDCODE]],GRAPHICS_PROPERTIES[VEHIDCODE],0))</f>
        <v>1</v>
      </c>
      <c r="N59" s="31" t="str">
        <f>"item_"&amp;CONTROL[[#This Row],[VEHIDCODE]]</f>
        <v>item_rbe_Poland_PKP_EN81</v>
      </c>
      <c r="O59" s="31" t="str">
        <f>"str_"&amp;CONTROL[[#This Row],[VEHIDCODE]]</f>
        <v>str_rbe_Poland_PKP_EN81</v>
      </c>
    </row>
    <row r="60" spans="1:15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t="s">
        <v>2492</v>
      </c>
      <c r="G60" t="s">
        <v>2353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ISNUMBER(_xlfn.XMATCH(CONTROL[[#This Row],[VEHIDCODE]],GRAPHICS_PROPERTIES[VEHIDCODE],0))</f>
        <v>1</v>
      </c>
      <c r="N60" s="31" t="str">
        <f>"item_"&amp;CONTROL[[#This Row],[VEHIDCODE]]</f>
        <v>item_rbe_Austria_OBB_4855</v>
      </c>
      <c r="O60" s="31" t="str">
        <f>"str_"&amp;CONTROL[[#This Row],[VEHIDCODE]]</f>
        <v>str_rbe_Austria_OBB_4855</v>
      </c>
    </row>
    <row r="61" spans="1:15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t="s">
        <v>1100</v>
      </c>
      <c r="G61" t="s">
        <v>2354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ISNUMBER(_xlfn.XMATCH(CONTROL[[#This Row],[VEHIDCODE]],GRAPHICS_PROPERTIES[VEHIDCODE],0))</f>
        <v>1</v>
      </c>
      <c r="N61" s="31" t="str">
        <f>"item_"&amp;CONTROL[[#This Row],[VEHIDCODE]]</f>
        <v>item_rbe_Austria_MBS_ET_10109</v>
      </c>
      <c r="O61" s="31" t="str">
        <f>"str_"&amp;CONTROL[[#This Row],[VEHIDCODE]]</f>
        <v>str_rbe_Austria_MBS_ET_10109</v>
      </c>
    </row>
    <row r="62" spans="1:15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t="s">
        <v>1101</v>
      </c>
      <c r="G62" t="s">
        <v>2355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ISNUMBER(_xlfn.XMATCH(CONTROL[[#This Row],[VEHIDCODE]],GRAPHICS_PROPERTIES[VEHIDCODE],0))</f>
        <v>1</v>
      </c>
      <c r="N62" s="31" t="str">
        <f>"item_"&amp;CONTROL[[#This Row],[VEHIDCODE]]</f>
        <v>item_rbe_Germany_DB_ET_85</v>
      </c>
      <c r="O62" s="31" t="str">
        <f>"str_"&amp;CONTROL[[#This Row],[VEHIDCODE]]</f>
        <v>str_rbe_Germany_DB_ET_85</v>
      </c>
    </row>
    <row r="63" spans="1:15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t="s">
        <v>1102</v>
      </c>
      <c r="G63" t="s">
        <v>2356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ISNUMBER(_xlfn.XMATCH(CONTROL[[#This Row],[VEHIDCODE]],GRAPHICS_PROPERTIES[VEHIDCODE],0))</f>
        <v>1</v>
      </c>
      <c r="N63" s="31" t="str">
        <f>"item_"&amp;CONTROL[[#This Row],[VEHIDCODE]]</f>
        <v>item_rbe_Sweden_SJ_X16</v>
      </c>
      <c r="O63" s="31" t="str">
        <f>"str_"&amp;CONTROL[[#This Row],[VEHIDCODE]]</f>
        <v>str_rbe_Sweden_SJ_X16</v>
      </c>
    </row>
    <row r="64" spans="1:15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t="s">
        <v>1103</v>
      </c>
      <c r="G64" t="s">
        <v>2357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ISNUMBER(_xlfn.XMATCH(CONTROL[[#This Row],[VEHIDCODE]],GRAPHICS_PROPERTIES[VEHIDCODE],0))</f>
        <v>1</v>
      </c>
      <c r="N64" s="31" t="str">
        <f>"item_"&amp;CONTROL[[#This Row],[VEHIDCODE]]</f>
        <v>item_rbe_USA_Pennsylvania_Railroad_Silverliner_II</v>
      </c>
      <c r="O64" s="31" t="str">
        <f>"str_"&amp;CONTROL[[#This Row],[VEHIDCODE]]</f>
        <v>str_rbe_USA_Pennsylvania_Railroad_Silverliner_II</v>
      </c>
    </row>
    <row r="65" spans="1:15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t="s">
        <v>1104</v>
      </c>
      <c r="G65" t="s">
        <v>2358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ISNUMBER(_xlfn.XMATCH(CONTROL[[#This Row],[VEHIDCODE]],GRAPHICS_PROPERTIES[VEHIDCODE],0))</f>
        <v>1</v>
      </c>
      <c r="N65" s="31" t="str">
        <f>"item_"&amp;CONTROL[[#This Row],[VEHIDCODE]]</f>
        <v>item_rbe_USA_SEPTA_Silverliner_V</v>
      </c>
      <c r="O65" s="31" t="str">
        <f>"str_"&amp;CONTROL[[#This Row],[VEHIDCODE]]</f>
        <v>str_rbe_USA_SEPTA_Silverliner_V</v>
      </c>
    </row>
    <row r="66" spans="1:15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t="s">
        <v>1105</v>
      </c>
      <c r="G66" t="s">
        <v>2359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ISNUMBER(_xlfn.XMATCH(CONTROL[[#This Row],[VEHIDCODE]],GRAPHICS_PROPERTIES[VEHIDCODE],0))</f>
        <v>1</v>
      </c>
      <c r="N66" s="31" t="str">
        <f>"item_"&amp;CONTROL[[#This Row],[VEHIDCODE]]</f>
        <v>item_steam_Belgium_Le_Belge</v>
      </c>
      <c r="O66" s="31" t="str">
        <f>"str_"&amp;CONTROL[[#This Row],[VEHIDCODE]]</f>
        <v>str_steam_Belgium_Le_Belge</v>
      </c>
    </row>
    <row r="67" spans="1:15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t="s">
        <v>1106</v>
      </c>
      <c r="G67" t="s">
        <v>2360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ISNUMBER(_xlfn.XMATCH(CONTROL[[#This Row],[VEHIDCODE]],GRAPHICS_PROPERTIES[VEHIDCODE],0))</f>
        <v>1</v>
      </c>
      <c r="N67" s="31" t="str">
        <f>"item_"&amp;CONTROL[[#This Row],[VEHIDCODE]]</f>
        <v>item_steam_USA_4_4_0_American</v>
      </c>
      <c r="O67" s="31" t="str">
        <f>"str_"&amp;CONTROL[[#This Row],[VEHIDCODE]]</f>
        <v>str_steam_USA_4_4_0_American</v>
      </c>
    </row>
    <row r="68" spans="1:15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t="s">
        <v>1107</v>
      </c>
      <c r="G68" t="s">
        <v>2361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ISNUMBER(_xlfn.XMATCH(CONTROL[[#This Row],[VEHIDCODE]],GRAPHICS_PROPERTIES[VEHIDCODE],0))</f>
        <v>1</v>
      </c>
      <c r="N68" s="31" t="str">
        <f>"item_"&amp;CONTROL[[#This Row],[VEHIDCODE]]</f>
        <v>item_steam_Switzerland_SBB_Ec_2_5</v>
      </c>
      <c r="O68" s="31" t="str">
        <f>"str_"&amp;CONTROL[[#This Row],[VEHIDCODE]]</f>
        <v>str_steam_Switzerland_SBB_Ec_2_5</v>
      </c>
    </row>
    <row r="69" spans="1:15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t="s">
        <v>1108</v>
      </c>
      <c r="G69" t="s">
        <v>2362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ISNUMBER(_xlfn.XMATCH(CONTROL[[#This Row],[VEHIDCODE]],GRAPHICS_PROPERTIES[VEHIDCODE],0))</f>
        <v>1</v>
      </c>
      <c r="N69" s="31" t="str">
        <f>"item_"&amp;CONTROL[[#This Row],[VEHIDCODE]]</f>
        <v>item_steam_USA_4_6_0_Ten_wheeler</v>
      </c>
      <c r="O69" s="31" t="str">
        <f>"str_"&amp;CONTROL[[#This Row],[VEHIDCODE]]</f>
        <v>str_steam_USA_4_6_0_Ten_wheeler</v>
      </c>
    </row>
    <row r="70" spans="1:15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t="s">
        <v>1109</v>
      </c>
      <c r="G70" t="s">
        <v>2363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ISNUMBER(_xlfn.XMATCH(CONTROL[[#This Row],[VEHIDCODE]],GRAPHICS_PROPERTIES[VEHIDCODE],0))</f>
        <v>1</v>
      </c>
      <c r="N70" s="31" t="str">
        <f>"item_"&amp;CONTROL[[#This Row],[VEHIDCODE]]</f>
        <v>item_steam_USA_2_8_0_Consolidation</v>
      </c>
      <c r="O70" s="31" t="str">
        <f>"str_"&amp;CONTROL[[#This Row],[VEHIDCODE]]</f>
        <v>str_steam_USA_2_8_0_Consolidation</v>
      </c>
    </row>
    <row r="71" spans="1:15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t="s">
        <v>2500</v>
      </c>
      <c r="G71" t="s">
        <v>2364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ISNUMBER(_xlfn.XMATCH(CONTROL[[#This Row],[VEHIDCODE]],GRAPHICS_PROPERTIES[VEHIDCODE],0))</f>
        <v>1</v>
      </c>
      <c r="N71" s="31" t="str">
        <f>"item_"&amp;CONTROL[[#This Row],[VEHIDCODE]]</f>
        <v>item_steam_Hungary_MAV_377</v>
      </c>
      <c r="O71" s="31" t="str">
        <f>"str_"&amp;CONTROL[[#This Row],[VEHIDCODE]]</f>
        <v>str_steam_Hungary_MAV_377</v>
      </c>
    </row>
    <row r="72" spans="1:15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t="s">
        <v>1110</v>
      </c>
      <c r="G72" t="s">
        <v>2365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ISNUMBER(_xlfn.XMATCH(CONTROL[[#This Row],[VEHIDCODE]],GRAPHICS_PROPERTIES[VEHIDCODE],0))</f>
        <v>1</v>
      </c>
      <c r="N72" s="31" t="str">
        <f>"item_"&amp;CONTROL[[#This Row],[VEHIDCODE]]</f>
        <v>item_steam_Austria_KkStB_99</v>
      </c>
      <c r="O72" s="31" t="str">
        <f>"str_"&amp;CONTROL[[#This Row],[VEHIDCODE]]</f>
        <v>str_steam_Austria_KkStB_99</v>
      </c>
    </row>
    <row r="73" spans="1:15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t="s">
        <v>1111</v>
      </c>
      <c r="G73" t="s">
        <v>2366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ISNUMBER(_xlfn.XMATCH(CONTROL[[#This Row],[VEHIDCODE]],GRAPHICS_PROPERTIES[VEHIDCODE],0))</f>
        <v>1</v>
      </c>
      <c r="N73" s="31" t="str">
        <f>"item_"&amp;CONTROL[[#This Row],[VEHIDCODE]]</f>
        <v>item_steam_UK_Caledonian_Railway_439</v>
      </c>
      <c r="O73" s="31" t="str">
        <f>"str_"&amp;CONTROL[[#This Row],[VEHIDCODE]]</f>
        <v>str_steam_UK_Caledonian_Railway_439</v>
      </c>
    </row>
    <row r="74" spans="1:15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t="s">
        <v>1112</v>
      </c>
      <c r="G74" t="s">
        <v>2367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ISNUMBER(_xlfn.XMATCH(CONTROL[[#This Row],[VEHIDCODE]],GRAPHICS_PROPERTIES[VEHIDCODE],0))</f>
        <v>1</v>
      </c>
      <c r="N74" s="31" t="str">
        <f>"item_"&amp;CONTROL[[#This Row],[VEHIDCODE]]</f>
        <v>item_steam_Switzerland_SBB_A_3_5</v>
      </c>
      <c r="O74" s="31" t="str">
        <f>"str_"&amp;CONTROL[[#This Row],[VEHIDCODE]]</f>
        <v>str_steam_Switzerland_SBB_A_3_5</v>
      </c>
    </row>
    <row r="75" spans="1:15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t="s">
        <v>1113</v>
      </c>
      <c r="G75" t="s">
        <v>2368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ISNUMBER(_xlfn.XMATCH(CONTROL[[#This Row],[VEHIDCODE]],GRAPHICS_PROPERTIES[VEHIDCODE],0))</f>
        <v>1</v>
      </c>
      <c r="N75" s="31" t="str">
        <f>"item_"&amp;CONTROL[[#This Row],[VEHIDCODE]]</f>
        <v>item_steam_Switzerland_SBB_E_3_3</v>
      </c>
      <c r="O75" s="31" t="str">
        <f>"str_"&amp;CONTROL[[#This Row],[VEHIDCODE]]</f>
        <v>str_steam_Switzerland_SBB_E_3_3</v>
      </c>
    </row>
    <row r="76" spans="1:15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t="s">
        <v>1114</v>
      </c>
      <c r="G76" t="s">
        <v>2369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ISNUMBER(_xlfn.XMATCH(CONTROL[[#This Row],[VEHIDCODE]],GRAPHICS_PROPERTIES[VEHIDCODE],0))</f>
        <v>1</v>
      </c>
      <c r="N76" s="31" t="str">
        <f>"item_"&amp;CONTROL[[#This Row],[VEHIDCODE]]</f>
        <v>item_steam_Austria_KkStB_299</v>
      </c>
      <c r="O76" s="31" t="str">
        <f>"str_"&amp;CONTROL[[#This Row],[VEHIDCODE]]</f>
        <v>str_steam_Austria_KkStB_299</v>
      </c>
    </row>
    <row r="77" spans="1:15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t="s">
        <v>1115</v>
      </c>
      <c r="G77" t="s">
        <v>2370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ISNUMBER(_xlfn.XMATCH(CONTROL[[#This Row],[VEHIDCODE]],GRAPHICS_PROPERTIES[VEHIDCODE],0))</f>
        <v>1</v>
      </c>
      <c r="N77" s="31" t="str">
        <f>"item_"&amp;CONTROL[[#This Row],[VEHIDCODE]]</f>
        <v>item_steam_New_Zealand_NZR_X_Class</v>
      </c>
      <c r="O77" s="31" t="str">
        <f>"str_"&amp;CONTROL[[#This Row],[VEHIDCODE]]</f>
        <v>str_steam_New_Zealand_NZR_X_Class</v>
      </c>
    </row>
    <row r="78" spans="1:15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t="s">
        <v>2371</v>
      </c>
      <c r="G78" t="s">
        <v>2372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ISNUMBER(_xlfn.XMATCH(CONTROL[[#This Row],[VEHIDCODE]],GRAPHICS_PROPERTIES[VEHIDCODE],0))</f>
        <v>1</v>
      </c>
      <c r="N78" s="31" t="str">
        <f>"item_"&amp;CONTROL[[#This Row],[VEHIDCODE]]</f>
        <v>item_steam_Croatia_HZ_51</v>
      </c>
      <c r="O78" s="31" t="str">
        <f>"str_"&amp;CONTROL[[#This Row],[VEHIDCODE]]</f>
        <v>str_steam_Croatia_HZ_51</v>
      </c>
    </row>
    <row r="79" spans="1:15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t="s">
        <v>1116</v>
      </c>
      <c r="G79" t="s">
        <v>2373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ISNUMBER(_xlfn.XMATCH(CONTROL[[#This Row],[VEHIDCODE]],GRAPHICS_PROPERTIES[VEHIDCODE],0))</f>
        <v>1</v>
      </c>
      <c r="N79" s="31" t="str">
        <f>"item_"&amp;CONTROL[[#This Row],[VEHIDCODE]]</f>
        <v>item_steam_Italy_FS_880</v>
      </c>
      <c r="O79" s="31" t="str">
        <f>"str_"&amp;CONTROL[[#This Row],[VEHIDCODE]]</f>
        <v>str_steam_Italy_FS_880</v>
      </c>
    </row>
    <row r="80" spans="1:15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t="s">
        <v>1117</v>
      </c>
      <c r="G80" t="s">
        <v>2374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ISNUMBER(_xlfn.XMATCH(CONTROL[[#This Row],[VEHIDCODE]],GRAPHICS_PROPERTIES[VEHIDCODE],0))</f>
        <v>1</v>
      </c>
      <c r="N80" s="31" t="str">
        <f>"item_"&amp;CONTROL[[#This Row],[VEHIDCODE]]</f>
        <v>item_steam_Argentina_FCNEA_11B_2_8_0</v>
      </c>
      <c r="O80" s="31" t="str">
        <f>"str_"&amp;CONTROL[[#This Row],[VEHIDCODE]]</f>
        <v>str_steam_Argentina_FCNEA_11B_2_8_0</v>
      </c>
    </row>
    <row r="81" spans="1:15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t="s">
        <v>1118</v>
      </c>
      <c r="G81" t="s">
        <v>3016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ISNUMBER(_xlfn.XMATCH(CONTROL[[#This Row],[VEHIDCODE]],GRAPHICS_PROPERTIES[VEHIDCODE],0))</f>
        <v>1</v>
      </c>
      <c r="N81" s="31" t="str">
        <f>"item_"&amp;CONTROL[[#This Row],[VEHIDCODE]]</f>
        <v>item_steam_France_SNCF_140C</v>
      </c>
      <c r="O81" s="31" t="str">
        <f>"str_"&amp;CONTROL[[#This Row],[VEHIDCODE]]</f>
        <v>str_steam_France_SNCF_140C</v>
      </c>
    </row>
    <row r="82" spans="1:15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t="s">
        <v>1119</v>
      </c>
      <c r="G82" t="s">
        <v>3015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ISNUMBER(_xlfn.XMATCH(CONTROL[[#This Row],[VEHIDCODE]],GRAPHICS_PROPERTIES[VEHIDCODE],0))</f>
        <v>1</v>
      </c>
      <c r="N82" s="31" t="str">
        <f>"item_"&amp;CONTROL[[#This Row],[VEHIDCODE]]</f>
        <v>item_steam_France_SNCF_141TA</v>
      </c>
      <c r="O82" s="31" t="str">
        <f>"str_"&amp;CONTROL[[#This Row],[VEHIDCODE]]</f>
        <v>str_steam_France_SNCF_141TA</v>
      </c>
    </row>
    <row r="83" spans="1:15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t="s">
        <v>2376</v>
      </c>
      <c r="G83" t="s">
        <v>2375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ISNUMBER(_xlfn.XMATCH(CONTROL[[#This Row],[VEHIDCODE]],GRAPHICS_PROPERTIES[VEHIDCODE],0))</f>
        <v>1</v>
      </c>
      <c r="N83" s="31" t="str">
        <f>"item_"&amp;CONTROL[[#This Row],[VEHIDCODE]]</f>
        <v>item_steam_UK_GWR_4900</v>
      </c>
      <c r="O83" s="31" t="str">
        <f>"str_"&amp;CONTROL[[#This Row],[VEHIDCODE]]</f>
        <v>str_steam_UK_GWR_4900</v>
      </c>
    </row>
    <row r="84" spans="1:15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t="s">
        <v>2377</v>
      </c>
      <c r="G84" t="s">
        <v>2378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ISNUMBER(_xlfn.XMATCH(CONTROL[[#This Row],[VEHIDCODE]],GRAPHICS_PROPERTIES[VEHIDCODE],0))</f>
        <v>1</v>
      </c>
      <c r="N84" s="31" t="str">
        <f>"item_"&amp;CONTROL[[#This Row],[VEHIDCODE]]</f>
        <v>item_steam_UK_GWR_5700</v>
      </c>
      <c r="O84" s="31" t="str">
        <f>"str_"&amp;CONTROL[[#This Row],[VEHIDCODE]]</f>
        <v>str_steam_UK_GWR_5700</v>
      </c>
    </row>
    <row r="85" spans="1:15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t="s">
        <v>2379</v>
      </c>
      <c r="G85" t="s">
        <v>2380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ISNUMBER(_xlfn.XMATCH(CONTROL[[#This Row],[VEHIDCODE]],GRAPHICS_PROPERTIES[VEHIDCODE],0))</f>
        <v>1</v>
      </c>
      <c r="N85" s="31" t="str">
        <f>"item_"&amp;CONTROL[[#This Row],[VEHIDCODE]]</f>
        <v>item_steam_Netherlands_NS_6300</v>
      </c>
      <c r="O85" s="31" t="str">
        <f>"str_"&amp;CONTROL[[#This Row],[VEHIDCODE]]</f>
        <v>str_steam_Netherlands_NS_6300</v>
      </c>
    </row>
    <row r="86" spans="1:15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t="s">
        <v>2381</v>
      </c>
      <c r="G86" t="s">
        <v>2382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ISNUMBER(_xlfn.XMATCH(CONTROL[[#This Row],[VEHIDCODE]],GRAPHICS_PROPERTIES[VEHIDCODE],0))</f>
        <v>1</v>
      </c>
      <c r="N86" s="31" t="str">
        <f>"item_"&amp;CONTROL[[#This Row],[VEHIDCODE]]</f>
        <v>item_steam_USA_AT_SF_5000</v>
      </c>
      <c r="O86" s="31" t="str">
        <f>"str_"&amp;CONTROL[[#This Row],[VEHIDCODE]]</f>
        <v>str_steam_USA_AT_SF_5000</v>
      </c>
    </row>
    <row r="87" spans="1:15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t="s">
        <v>1120</v>
      </c>
      <c r="G87" t="s">
        <v>2383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ISNUMBER(_xlfn.XMATCH(CONTROL[[#This Row],[VEHIDCODE]],GRAPHICS_PROPERTIES[VEHIDCODE],0))</f>
        <v>1</v>
      </c>
      <c r="N87" s="31" t="str">
        <f>"item_"&amp;CONTROL[[#This Row],[VEHIDCODE]]</f>
        <v>item_steam_Germany_Prussian_S10</v>
      </c>
      <c r="O87" s="31" t="str">
        <f>"str_"&amp;CONTROL[[#This Row],[VEHIDCODE]]</f>
        <v>str_steam_Germany_Prussian_S10</v>
      </c>
    </row>
    <row r="88" spans="1:15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t="s">
        <v>1121</v>
      </c>
      <c r="G88" t="s">
        <v>2384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ISNUMBER(_xlfn.XMATCH(CONTROL[[#This Row],[VEHIDCODE]],GRAPHICS_PROPERTIES[VEHIDCODE],0))</f>
        <v>1</v>
      </c>
      <c r="N88" s="31" t="str">
        <f>"item_"&amp;CONTROL[[#This Row],[VEHIDCODE]]</f>
        <v>item_steam_UK_LMS_5MT_Black_Five</v>
      </c>
      <c r="O88" s="31" t="str">
        <f>"str_"&amp;CONTROL[[#This Row],[VEHIDCODE]]</f>
        <v>str_steam_UK_LMS_5MT_Black_Five</v>
      </c>
    </row>
    <row r="89" spans="1:15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t="s">
        <v>1122</v>
      </c>
      <c r="G89" t="s">
        <v>2385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ISNUMBER(_xlfn.XMATCH(CONTROL[[#This Row],[VEHIDCODE]],GRAPHICS_PROPERTIES[VEHIDCODE],0))</f>
        <v>1</v>
      </c>
      <c r="N89" s="31" t="str">
        <f>"item_"&amp;CONTROL[[#This Row],[VEHIDCODE]]</f>
        <v>item_steam_Russia_RZD_9P</v>
      </c>
      <c r="O89" s="31" t="str">
        <f>"str_"&amp;CONTROL[[#This Row],[VEHIDCODE]]</f>
        <v>str_steam_Russia_RZD_9P</v>
      </c>
    </row>
    <row r="90" spans="1:15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t="s">
        <v>1123</v>
      </c>
      <c r="G90" t="s">
        <v>2386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ISNUMBER(_xlfn.XMATCH(CONTROL[[#This Row],[VEHIDCODE]],GRAPHICS_PROPERTIES[VEHIDCODE],0))</f>
        <v>1</v>
      </c>
      <c r="N90" s="31" t="str">
        <f>"item_"&amp;CONTROL[[#This Row],[VEHIDCODE]]</f>
        <v>item_steam_UK_LNER_A4_Gresley</v>
      </c>
      <c r="O90" s="31" t="str">
        <f>"str_"&amp;CONTROL[[#This Row],[VEHIDCODE]]</f>
        <v>str_steam_UK_LNER_A4_Gresley</v>
      </c>
    </row>
    <row r="91" spans="1:15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t="s">
        <v>1124</v>
      </c>
      <c r="G91" t="s">
        <v>2387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ISNUMBER(_xlfn.XMATCH(CONTROL[[#This Row],[VEHIDCODE]],GRAPHICS_PROPERTIES[VEHIDCODE],0))</f>
        <v>1</v>
      </c>
      <c r="N91" s="31" t="str">
        <f>"item_"&amp;CONTROL[[#This Row],[VEHIDCODE]]</f>
        <v>item_steam_Canada_CPR_Royal_Hudson</v>
      </c>
      <c r="O91" s="31" t="str">
        <f>"str_"&amp;CONTROL[[#This Row],[VEHIDCODE]]</f>
        <v>str_steam_Canada_CPR_Royal_Hudson</v>
      </c>
    </row>
    <row r="92" spans="1:15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t="s">
        <v>1125</v>
      </c>
      <c r="G92" t="s">
        <v>3017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ISNUMBER(_xlfn.XMATCH(CONTROL[[#This Row],[VEHIDCODE]],GRAPHICS_PROPERTIES[VEHIDCODE],0))</f>
        <v>1</v>
      </c>
      <c r="N92" s="31" t="str">
        <f>"item_"&amp;CONTROL[[#This Row],[VEHIDCODE]]</f>
        <v>item_steam_Denmark_DSB_E</v>
      </c>
      <c r="O92" s="31" t="str">
        <f>"str_"&amp;CONTROL[[#This Row],[VEHIDCODE]]</f>
        <v>str_steam_Denmark_DSB_E</v>
      </c>
    </row>
    <row r="93" spans="1:15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t="s">
        <v>3011</v>
      </c>
      <c r="G93" t="s">
        <v>3012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ISNUMBER(_xlfn.XMATCH(CONTROL[[#This Row],[VEHIDCODE]],GRAPHICS_PROPERTIES[VEHIDCODE],0))</f>
        <v>1</v>
      </c>
      <c r="N93" s="31" t="str">
        <f>"item_"&amp;CONTROL[[#This Row],[VEHIDCODE]]</f>
        <v>item_steam_Germany_DB_52</v>
      </c>
      <c r="O93" s="31" t="str">
        <f>"str_"&amp;CONTROL[[#This Row],[VEHIDCODE]]</f>
        <v>str_steam_Germany_DB_52</v>
      </c>
    </row>
    <row r="94" spans="1:15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t="s">
        <v>1126</v>
      </c>
      <c r="G94" t="s">
        <v>2388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ISNUMBER(_xlfn.XMATCH(CONTROL[[#This Row],[VEHIDCODE]],GRAPHICS_PROPERTIES[VEHIDCODE],0))</f>
        <v>1</v>
      </c>
      <c r="N94" s="31" t="str">
        <f>"item_"&amp;CONTROL[[#This Row],[VEHIDCODE]]</f>
        <v>item_steam_UK_LNER_A1_Peppercorn</v>
      </c>
      <c r="O94" s="31" t="str">
        <f>"str_"&amp;CONTROL[[#This Row],[VEHIDCODE]]</f>
        <v>str_steam_UK_LNER_A1_Peppercorn</v>
      </c>
    </row>
    <row r="95" spans="1:15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t="s">
        <v>2271</v>
      </c>
      <c r="G95" t="s">
        <v>2389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ISNUMBER(_xlfn.XMATCH(CONTROL[[#This Row],[VEHIDCODE]],GRAPHICS_PROPERTIES[VEHIDCODE],0))</f>
        <v>1</v>
      </c>
      <c r="N95" s="31" t="str">
        <f>"item_"&amp;CONTROL[[#This Row],[VEHIDCODE]]</f>
        <v>item_steam_South_Africa_SAR_25</v>
      </c>
      <c r="O95" s="31" t="str">
        <f>"str_"&amp;CONTROL[[#This Row],[VEHIDCODE]]</f>
        <v>str_steam_South_Africa_SAR_25</v>
      </c>
    </row>
    <row r="96" spans="1:15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t="s">
        <v>1127</v>
      </c>
      <c r="G96" t="s">
        <v>2390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ISNUMBER(_xlfn.XMATCH(CONTROL[[#This Row],[VEHIDCODE]],GRAPHICS_PROPERTIES[VEHIDCODE],0))</f>
        <v>1</v>
      </c>
      <c r="N96" s="31" t="str">
        <f>"item_"&amp;CONTROL[[#This Row],[VEHIDCODE]]</f>
        <v>item_steam_Russia_RZD_P36</v>
      </c>
      <c r="O96" s="31" t="str">
        <f>"str_"&amp;CONTROL[[#This Row],[VEHIDCODE]]</f>
        <v>str_steam_Russia_RZD_P36</v>
      </c>
    </row>
    <row r="97" spans="1:15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t="s">
        <v>1128</v>
      </c>
      <c r="G97" t="s">
        <v>2391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ISNUMBER(_xlfn.XMATCH(CONTROL[[#This Row],[VEHIDCODE]],GRAPHICS_PROPERTIES[VEHIDCODE],0))</f>
        <v>1</v>
      </c>
      <c r="N97" s="31" t="str">
        <f>"item_"&amp;CONTROL[[#This Row],[VEHIDCODE]]</f>
        <v>item_steam_France_SNCF_150B</v>
      </c>
      <c r="O97" s="31" t="str">
        <f>"str_"&amp;CONTROL[[#This Row],[VEHIDCODE]]</f>
        <v>str_steam_France_SNCF_150B</v>
      </c>
    </row>
    <row r="98" spans="1:15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t="s">
        <v>1129</v>
      </c>
      <c r="G98" t="s">
        <v>2392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ISNUMBER(_xlfn.XMATCH(CONTROL[[#This Row],[VEHIDCODE]],GRAPHICS_PROPERTIES[VEHIDCODE],0))</f>
        <v>1</v>
      </c>
      <c r="N98" s="31" t="str">
        <f>"item_"&amp;CONTROL[[#This Row],[VEHIDCODE]]</f>
        <v>item_steam_Italy_FS_895</v>
      </c>
      <c r="O98" s="31" t="str">
        <f>"str_"&amp;CONTROL[[#This Row],[VEHIDCODE]]</f>
        <v>str_steam_Italy_FS_895</v>
      </c>
    </row>
    <row r="99" spans="1:15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t="s">
        <v>1130</v>
      </c>
      <c r="G99" t="s">
        <v>2393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ISNUMBER(_xlfn.XMATCH(CONTROL[[#This Row],[VEHIDCODE]],GRAPHICS_PROPERTIES[VEHIDCODE],0))</f>
        <v>1</v>
      </c>
      <c r="N99" s="31" t="str">
        <f>"item_"&amp;CONTROL[[#This Row],[VEHIDCODE]]</f>
        <v>item_steam_Poland_PKP_Okz32</v>
      </c>
      <c r="O99" s="31" t="str">
        <f>"str_"&amp;CONTROL[[#This Row],[VEHIDCODE]]</f>
        <v>str_steam_Poland_PKP_Okz32</v>
      </c>
    </row>
    <row r="100" spans="1:15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t="s">
        <v>2394</v>
      </c>
      <c r="G100" t="s">
        <v>2395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ISNUMBER(_xlfn.XMATCH(CONTROL[[#This Row],[VEHIDCODE]],GRAPHICS_PROPERTIES[VEHIDCODE],0))</f>
        <v>1</v>
      </c>
      <c r="N100" s="31" t="str">
        <f>"item_"&amp;CONTROL[[#This Row],[VEHIDCODE]]</f>
        <v>item_steam_Switzerland_SBB_C_5_6</v>
      </c>
      <c r="O100" s="31" t="str">
        <f>"str_"&amp;CONTROL[[#This Row],[VEHIDCODE]]</f>
        <v>str_steam_Switzerland_SBB_C_5_6</v>
      </c>
    </row>
    <row r="101" spans="1:15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t="s">
        <v>1131</v>
      </c>
      <c r="G101" t="s">
        <v>2396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ISNUMBER(_xlfn.XMATCH(CONTROL[[#This Row],[VEHIDCODE]],GRAPHICS_PROPERTIES[VEHIDCODE],0))</f>
        <v>1</v>
      </c>
      <c r="N101" s="31" t="str">
        <f>"item_"&amp;CONTROL[[#This Row],[VEHIDCODE]]</f>
        <v>item_steam_USA_UP_4000_Big_Boy</v>
      </c>
      <c r="O101" s="31" t="str">
        <f>"str_"&amp;CONTROL[[#This Row],[VEHIDCODE]]</f>
        <v>str_steam_USA_UP_4000_Big_Boy</v>
      </c>
    </row>
    <row r="102" spans="1:15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t="s">
        <v>3009</v>
      </c>
      <c r="G102" t="s">
        <v>2397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ISNUMBER(_xlfn.XMATCH(CONTROL[[#This Row],[VEHIDCODE]],GRAPHICS_PROPERTIES[VEHIDCODE],0))</f>
        <v>1</v>
      </c>
      <c r="N102" s="31" t="str">
        <f>"item_"&amp;CONTROL[[#This Row],[VEHIDCODE]]</f>
        <v>item_steam_Netherlands_NRS_11</v>
      </c>
      <c r="O102" s="31" t="str">
        <f>"str_"&amp;CONTROL[[#This Row],[VEHIDCODE]]</f>
        <v>str_steam_Netherlands_NRS_11</v>
      </c>
    </row>
    <row r="103" spans="1:15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t="s">
        <v>1132</v>
      </c>
      <c r="G103" t="s">
        <v>2398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ISNUMBER(_xlfn.XMATCH(CONTROL[[#This Row],[VEHIDCODE]],GRAPHICS_PROPERTIES[VEHIDCODE],0))</f>
        <v>1</v>
      </c>
      <c r="N103" s="31" t="str">
        <f>"item_"&amp;CONTROL[[#This Row],[VEHIDCODE]]</f>
        <v>item_steam_UK_GWR_Iron_DUKe_Class</v>
      </c>
      <c r="O103" s="31" t="str">
        <f>"str_"&amp;CONTROL[[#This Row],[VEHIDCODE]]</f>
        <v>str_steam_UK_GWR_Iron_DUKe_Class</v>
      </c>
    </row>
    <row r="104" spans="1:15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t="s">
        <v>1133</v>
      </c>
      <c r="G104" t="s">
        <v>2399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ISNUMBER(_xlfn.XMATCH(CONTROL[[#This Row],[VEHIDCODE]],GRAPHICS_PROPERTIES[VEHIDCODE],0))</f>
        <v>1</v>
      </c>
      <c r="N104" s="31" t="str">
        <f>"item_"&amp;CONTROL[[#This Row],[VEHIDCODE]]</f>
        <v>item_steam_Australia_Sidney_Railway_Locomotive_No1</v>
      </c>
      <c r="O104" s="31" t="str">
        <f>"str_"&amp;CONTROL[[#This Row],[VEHIDCODE]]</f>
        <v>str_steam_Australia_Sidney_Railway_Locomotive_No1</v>
      </c>
    </row>
    <row r="105" spans="1:15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t="s">
        <v>1134</v>
      </c>
      <c r="G105" t="s">
        <v>2400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ISNUMBER(_xlfn.XMATCH(CONTROL[[#This Row],[VEHIDCODE]],GRAPHICS_PROPERTIES[VEHIDCODE],0))</f>
        <v>1</v>
      </c>
      <c r="N105" s="31" t="str">
        <f>"item_"&amp;CONTROL[[#This Row],[VEHIDCODE]]</f>
        <v>item_steam_USA_Central_Pacific_4_2_2</v>
      </c>
      <c r="O105" s="31" t="str">
        <f>"str_"&amp;CONTROL[[#This Row],[VEHIDCODE]]</f>
        <v>str_steam_USA_Central_Pacific_4_2_2</v>
      </c>
    </row>
    <row r="106" spans="1:15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t="s">
        <v>1135</v>
      </c>
      <c r="G106" t="s">
        <v>2401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ISNUMBER(_xlfn.XMATCH(CONTROL[[#This Row],[VEHIDCODE]],GRAPHICS_PROPERTIES[VEHIDCODE],0))</f>
        <v>1</v>
      </c>
      <c r="N106" s="31" t="str">
        <f>"item_"&amp;CONTROL[[#This Row],[VEHIDCODE]]</f>
        <v>item_steam_Netherlands_NS_700</v>
      </c>
      <c r="O106" s="31" t="str">
        <f>"str_"&amp;CONTROL[[#This Row],[VEHIDCODE]]</f>
        <v>str_steam_Netherlands_NS_700</v>
      </c>
    </row>
    <row r="107" spans="1:15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t="s">
        <v>1136</v>
      </c>
      <c r="G107" t="s">
        <v>2402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ISNUMBER(_xlfn.XMATCH(CONTROL[[#This Row],[VEHIDCODE]],GRAPHICS_PROPERTIES[VEHIDCODE],0))</f>
        <v>1</v>
      </c>
      <c r="N107" s="31" t="str">
        <f>"item_"&amp;CONTROL[[#This Row],[VEHIDCODE]]</f>
        <v>item_steam_South_Africa_Natal_Government_Railways_2_6_0T</v>
      </c>
      <c r="O107" s="31" t="str">
        <f>"str_"&amp;CONTROL[[#This Row],[VEHIDCODE]]</f>
        <v>str_steam_South_Africa_Natal_Government_Railways_2_6_0T</v>
      </c>
    </row>
    <row r="108" spans="1:15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t="s">
        <v>1137</v>
      </c>
      <c r="G108" t="s">
        <v>2403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ISNUMBER(_xlfn.XMATCH(CONTROL[[#This Row],[VEHIDCODE]],GRAPHICS_PROPERTIES[VEHIDCODE],0))</f>
        <v>1</v>
      </c>
      <c r="N108" s="31" t="str">
        <f>"item_"&amp;CONTROL[[#This Row],[VEHIDCODE]]</f>
        <v>item_steam_Australia_NSWGR_Z25_Class</v>
      </c>
      <c r="O108" s="31" t="str">
        <f>"str_"&amp;CONTROL[[#This Row],[VEHIDCODE]]</f>
        <v>str_steam_Australia_NSWGR_Z25_Class</v>
      </c>
    </row>
    <row r="109" spans="1:15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t="s">
        <v>1138</v>
      </c>
      <c r="G109" t="s">
        <v>2405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ISNUMBER(_xlfn.XMATCH(CONTROL[[#This Row],[VEHIDCODE]],GRAPHICS_PROPERTIES[VEHIDCODE],0))</f>
        <v>1</v>
      </c>
      <c r="N109" s="31" t="str">
        <f>"item_"&amp;CONTROL[[#This Row],[VEHIDCODE]]</f>
        <v>item_steam_Canada_Canadian_Pacific_374</v>
      </c>
      <c r="O109" s="31" t="str">
        <f>"str_"&amp;CONTROL[[#This Row],[VEHIDCODE]]</f>
        <v>str_steam_Canada_Canadian_Pacific_374</v>
      </c>
    </row>
    <row r="110" spans="1:15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t="s">
        <v>1139</v>
      </c>
      <c r="G110" t="s">
        <v>2404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ISNUMBER(_xlfn.XMATCH(CONTROL[[#This Row],[VEHIDCODE]],GRAPHICS_PROPERTIES[VEHIDCODE],0))</f>
        <v>1</v>
      </c>
      <c r="N110" s="31" t="str">
        <f>"item_"&amp;CONTROL[[#This Row],[VEHIDCODE]]</f>
        <v>item_steam_South_Africa_PPR_35_tonner_4_6_0T</v>
      </c>
      <c r="O110" s="31" t="str">
        <f>"str_"&amp;CONTROL[[#This Row],[VEHIDCODE]]</f>
        <v>str_steam_South_Africa_PPR_35_tonner_4_6_0T</v>
      </c>
    </row>
    <row r="111" spans="1:15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t="s">
        <v>1140</v>
      </c>
      <c r="G111" t="s">
        <v>2406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ISNUMBER(_xlfn.XMATCH(CONTROL[[#This Row],[VEHIDCODE]],GRAPHICS_PROPERTIES[VEHIDCODE],0))</f>
        <v>1</v>
      </c>
      <c r="N111" s="31" t="str">
        <f>"item_"&amp;CONTROL[[#This Row],[VEHIDCODE]]</f>
        <v>item_steam_Spain_RENFE_Class_040</v>
      </c>
      <c r="O111" s="31" t="str">
        <f>"str_"&amp;CONTROL[[#This Row],[VEHIDCODE]]</f>
        <v>str_steam_Spain_RENFE_Class_040</v>
      </c>
    </row>
    <row r="112" spans="1:15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t="s">
        <v>2267</v>
      </c>
      <c r="G112" t="s">
        <v>2407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ISNUMBER(_xlfn.XMATCH(CONTROL[[#This Row],[VEHIDCODE]],GRAPHICS_PROPERTIES[VEHIDCODE],0))</f>
        <v>1</v>
      </c>
      <c r="N112" s="31" t="str">
        <f>"item_"&amp;CONTROL[[#This Row],[VEHIDCODE]]</f>
        <v>item_steam_Germany_Saxon_IV_K</v>
      </c>
      <c r="O112" s="31" t="str">
        <f>"str_"&amp;CONTROL[[#This Row],[VEHIDCODE]]</f>
        <v>str_steam_Germany_Saxon_IV_K</v>
      </c>
    </row>
    <row r="113" spans="1:15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t="s">
        <v>1141</v>
      </c>
      <c r="G113" t="s">
        <v>2408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ISNUMBER(_xlfn.XMATCH(CONTROL[[#This Row],[VEHIDCODE]],GRAPHICS_PROPERTIES[VEHIDCODE],0))</f>
        <v>1</v>
      </c>
      <c r="N113" s="31" t="str">
        <f>"item_"&amp;CONTROL[[#This Row],[VEHIDCODE]]</f>
        <v>item_steam_Germany_Prussian_S_3</v>
      </c>
      <c r="O113" s="31" t="str">
        <f>"str_"&amp;CONTROL[[#This Row],[VEHIDCODE]]</f>
        <v>str_steam_Germany_Prussian_S_3</v>
      </c>
    </row>
    <row r="114" spans="1:15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t="s">
        <v>1142</v>
      </c>
      <c r="G114" t="s">
        <v>2409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ISNUMBER(_xlfn.XMATCH(CONTROL[[#This Row],[VEHIDCODE]],GRAPHICS_PROPERTIES[VEHIDCODE],0))</f>
        <v>1</v>
      </c>
      <c r="N114" s="31" t="str">
        <f>"item_"&amp;CONTROL[[#This Row],[VEHIDCODE]]</f>
        <v>item_steam_Norway_NSB_Class_XXI</v>
      </c>
      <c r="O114" s="31" t="str">
        <f>"str_"&amp;CONTROL[[#This Row],[VEHIDCODE]]</f>
        <v>str_steam_Norway_NSB_Class_XXI</v>
      </c>
    </row>
    <row r="115" spans="1:15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t="s">
        <v>1143</v>
      </c>
      <c r="G115" t="s">
        <v>2410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ISNUMBER(_xlfn.XMATCH(CONTROL[[#This Row],[VEHIDCODE]],GRAPHICS_PROPERTIES[VEHIDCODE],0))</f>
        <v>1</v>
      </c>
      <c r="N115" s="31" t="str">
        <f>"item_"&amp;CONTROL[[#This Row],[VEHIDCODE]]</f>
        <v>item_steam_USA_PRR_D16</v>
      </c>
      <c r="O115" s="31" t="str">
        <f>"str_"&amp;CONTROL[[#This Row],[VEHIDCODE]]</f>
        <v>str_steam_USA_PRR_D16</v>
      </c>
    </row>
    <row r="116" spans="1:15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t="s">
        <v>1144</v>
      </c>
      <c r="G116" t="s">
        <v>2411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ISNUMBER(_xlfn.XMATCH(CONTROL[[#This Row],[VEHIDCODE]],GRAPHICS_PROPERTIES[VEHIDCODE],0))</f>
        <v>1</v>
      </c>
      <c r="N116" s="31" t="str">
        <f>"item_"&amp;CONTROL[[#This Row],[VEHIDCODE]]</f>
        <v>item_steam_Netherlands_NS_8100</v>
      </c>
      <c r="O116" s="31" t="str">
        <f>"str_"&amp;CONTROL[[#This Row],[VEHIDCODE]]</f>
        <v>str_steam_Netherlands_NS_8100</v>
      </c>
    </row>
    <row r="117" spans="1:15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t="s">
        <v>2412</v>
      </c>
      <c r="G117" t="s">
        <v>2413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ISNUMBER(_xlfn.XMATCH(CONTROL[[#This Row],[VEHIDCODE]],GRAPHICS_PROPERTIES[VEHIDCODE],0))</f>
        <v>1</v>
      </c>
      <c r="N117" s="31" t="str">
        <f>"item_"&amp;CONTROL[[#This Row],[VEHIDCODE]]</f>
        <v>item_steam_South_Africa_SAR_MD_Class</v>
      </c>
      <c r="O117" s="31" t="str">
        <f>"str_"&amp;CONTROL[[#This Row],[VEHIDCODE]]</f>
        <v>str_steam_South_Africa_SAR_MD_Class</v>
      </c>
    </row>
    <row r="118" spans="1:15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t="s">
        <v>2415</v>
      </c>
      <c r="G118" t="s">
        <v>2414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ISNUMBER(_xlfn.XMATCH(CONTROL[[#This Row],[VEHIDCODE]],GRAPHICS_PROPERTIES[VEHIDCODE],0))</f>
        <v>1</v>
      </c>
      <c r="N118" s="31" t="str">
        <f>"item_"&amp;CONTROL[[#This Row],[VEHIDCODE]]</f>
        <v>item_steam_Angola_South_West_African_2_8_0</v>
      </c>
      <c r="O118" s="31" t="str">
        <f>"str_"&amp;CONTROL[[#This Row],[VEHIDCODE]]</f>
        <v>str_steam_Angola_South_West_African_2_8_0</v>
      </c>
    </row>
    <row r="119" spans="1:15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t="s">
        <v>1145</v>
      </c>
      <c r="G119" t="s">
        <v>2416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ISNUMBER(_xlfn.XMATCH(CONTROL[[#This Row],[VEHIDCODE]],GRAPHICS_PROPERTIES[VEHIDCODE],0))</f>
        <v>1</v>
      </c>
      <c r="N119" s="31" t="str">
        <f>"item_"&amp;CONTROL[[#This Row],[VEHIDCODE]]</f>
        <v>item_steam_UK_LNER_N7</v>
      </c>
      <c r="O119" s="31" t="str">
        <f>"str_"&amp;CONTROL[[#This Row],[VEHIDCODE]]</f>
        <v>str_steam_UK_LNER_N7</v>
      </c>
    </row>
    <row r="120" spans="1:15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t="s">
        <v>2266</v>
      </c>
      <c r="G120" t="s">
        <v>2417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ISNUMBER(_xlfn.XMATCH(CONTROL[[#This Row],[VEHIDCODE]],GRAPHICS_PROPERTIES[VEHIDCODE],0))</f>
        <v>1</v>
      </c>
      <c r="N120" s="31" t="str">
        <f>"item_"&amp;CONTROL[[#This Row],[VEHIDCODE]]</f>
        <v>item_steam_Germany_Saxon_XX_HV</v>
      </c>
      <c r="O120" s="31" t="str">
        <f>"str_"&amp;CONTROL[[#This Row],[VEHIDCODE]]</f>
        <v>str_steam_Germany_Saxon_XX_HV</v>
      </c>
    </row>
    <row r="121" spans="1:15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t="s">
        <v>1146</v>
      </c>
      <c r="G121" t="s">
        <v>2418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ISNUMBER(_xlfn.XMATCH(CONTROL[[#This Row],[VEHIDCODE]],GRAPHICS_PROPERTIES[VEHIDCODE],0))</f>
        <v>1</v>
      </c>
      <c r="N121" s="31" t="str">
        <f>"item_"&amp;CONTROL[[#This Row],[VEHIDCODE]]</f>
        <v>item_steam_Belgium_NMBS_Type_7</v>
      </c>
      <c r="O121" s="31" t="str">
        <f>"str_"&amp;CONTROL[[#This Row],[VEHIDCODE]]</f>
        <v>str_steam_Belgium_NMBS_Type_7</v>
      </c>
    </row>
    <row r="122" spans="1:15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t="s">
        <v>1147</v>
      </c>
      <c r="G122" t="s">
        <v>2419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ISNUMBER(_xlfn.XMATCH(CONTROL[[#This Row],[VEHIDCODE]],GRAPHICS_PROPERTIES[VEHIDCODE],0))</f>
        <v>1</v>
      </c>
      <c r="N122" s="31" t="str">
        <f>"item_"&amp;CONTROL[[#This Row],[VEHIDCODE]]</f>
        <v>item_steam_Ireland_DSER_15</v>
      </c>
      <c r="O122" s="31" t="str">
        <f>"str_"&amp;CONTROL[[#This Row],[VEHIDCODE]]</f>
        <v>str_steam_Ireland_DSER_15</v>
      </c>
    </row>
    <row r="123" spans="1:15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t="s">
        <v>1148</v>
      </c>
      <c r="G123" t="s">
        <v>2420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ISNUMBER(_xlfn.XMATCH(CONTROL[[#This Row],[VEHIDCODE]],GRAPHICS_PROPERTIES[VEHIDCODE],0))</f>
        <v>1</v>
      </c>
      <c r="N123" s="31" t="str">
        <f>"item_"&amp;CONTROL[[#This Row],[VEHIDCODE]]</f>
        <v>item_steam_USA_Sierra_Railroad_28</v>
      </c>
      <c r="O123" s="31" t="str">
        <f>"str_"&amp;CONTROL[[#This Row],[VEHIDCODE]]</f>
        <v>str_steam_USA_Sierra_Railroad_28</v>
      </c>
    </row>
    <row r="124" spans="1:15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t="s">
        <v>3019</v>
      </c>
      <c r="G124" t="s">
        <v>2421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ISNUMBER(_xlfn.XMATCH(CONTROL[[#This Row],[VEHIDCODE]],GRAPHICS_PROPERTIES[VEHIDCODE],0))</f>
        <v>1</v>
      </c>
      <c r="N124" s="31" t="str">
        <f>"item_"&amp;CONTROL[[#This Row],[VEHIDCODE]]</f>
        <v>item_steam_Canada_CN_U_1_Class</v>
      </c>
      <c r="O124" s="31" t="str">
        <f>"str_"&amp;CONTROL[[#This Row],[VEHIDCODE]]</f>
        <v>str_steam_Canada_CN_U_1_Class</v>
      </c>
    </row>
    <row r="125" spans="1:15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t="s">
        <v>1149</v>
      </c>
      <c r="G125" t="s">
        <v>2422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ISNUMBER(_xlfn.XMATCH(CONTROL[[#This Row],[VEHIDCODE]],GRAPHICS_PROPERTIES[VEHIDCODE],0))</f>
        <v>1</v>
      </c>
      <c r="N125" s="31" t="str">
        <f>"item_"&amp;CONTROL[[#This Row],[VEHIDCODE]]</f>
        <v>item_steam_India_Indian_Railways_XB_Class</v>
      </c>
      <c r="O125" s="31" t="str">
        <f>"str_"&amp;CONTROL[[#This Row],[VEHIDCODE]]</f>
        <v>str_steam_India_Indian_Railways_XB_Class</v>
      </c>
    </row>
    <row r="126" spans="1:15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t="s">
        <v>1150</v>
      </c>
      <c r="G126" t="s">
        <v>2423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ISNUMBER(_xlfn.XMATCH(CONTROL[[#This Row],[VEHIDCODE]],GRAPHICS_PROPERTIES[VEHIDCODE],0))</f>
        <v>1</v>
      </c>
      <c r="N126" s="31" t="str">
        <f>"item_"&amp;CONTROL[[#This Row],[VEHIDCODE]]</f>
        <v>item_steam_Iraq_Iraqi_State_Railways_PC_Class</v>
      </c>
      <c r="O126" s="31" t="str">
        <f>"str_"&amp;CONTROL[[#This Row],[VEHIDCODE]]</f>
        <v>str_steam_Iraq_Iraqi_State_Railways_PC_Class</v>
      </c>
    </row>
    <row r="127" spans="1:15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t="s">
        <v>2424</v>
      </c>
      <c r="G127" t="s">
        <v>1749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ISNUMBER(_xlfn.XMATCH(CONTROL[[#This Row],[VEHIDCODE]],GRAPHICS_PROPERTIES[VEHIDCODE],0))</f>
        <v>1</v>
      </c>
      <c r="N127" s="31" t="str">
        <f>"item_"&amp;CONTROL[[#This Row],[VEHIDCODE]]</f>
        <v>item_steam_Egypt_ENR_1100</v>
      </c>
      <c r="O127" s="31" t="str">
        <f>"str_"&amp;CONTROL[[#This Row],[VEHIDCODE]]</f>
        <v>str_steam_Egypt_ENR_1100</v>
      </c>
    </row>
    <row r="128" spans="1:15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t="s">
        <v>1151</v>
      </c>
      <c r="G128" t="s">
        <v>2425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ISNUMBER(_xlfn.XMATCH(CONTROL[[#This Row],[VEHIDCODE]],GRAPHICS_PROPERTIES[VEHIDCODE],0))</f>
        <v>1</v>
      </c>
      <c r="N128" s="31" t="str">
        <f>"item_"&amp;CONTROL[[#This Row],[VEHIDCODE]]</f>
        <v>item_steam_UK_GWR_1600_Class</v>
      </c>
      <c r="O128" s="31" t="str">
        <f>"str_"&amp;CONTROL[[#This Row],[VEHIDCODE]]</f>
        <v>str_steam_UK_GWR_1600_Class</v>
      </c>
    </row>
    <row r="129" spans="1:15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t="s">
        <v>1152</v>
      </c>
      <c r="G129" t="s">
        <v>2426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ISNUMBER(_xlfn.XMATCH(CONTROL[[#This Row],[VEHIDCODE]],GRAPHICS_PROPERTIES[VEHIDCODE],0))</f>
        <v>1</v>
      </c>
      <c r="N129" s="31" t="str">
        <f>"item_"&amp;CONTROL[[#This Row],[VEHIDCODE]]</f>
        <v>item_steam_Australia_Victorian_Railways_R_Class</v>
      </c>
      <c r="O129" s="31" t="str">
        <f>"str_"&amp;CONTROL[[#This Row],[VEHIDCODE]]</f>
        <v>str_steam_Australia_Victorian_Railways_R_Class</v>
      </c>
    </row>
    <row r="130" spans="1:15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t="s">
        <v>1153</v>
      </c>
      <c r="G130" t="s">
        <v>2427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ISNUMBER(_xlfn.XMATCH(CONTROL[[#This Row],[VEHIDCODE]],GRAPHICS_PROPERTIES[VEHIDCODE],0))</f>
        <v>1</v>
      </c>
      <c r="N130" s="31" t="str">
        <f>"item_"&amp;CONTROL[[#This Row],[VEHIDCODE]]</f>
        <v>item_steam_Germany_DB_9977_79</v>
      </c>
      <c r="O130" s="31" t="str">
        <f>"str_"&amp;CONTROL[[#This Row],[VEHIDCODE]]</f>
        <v>str_steam_Germany_DB_9977_79</v>
      </c>
    </row>
    <row r="131" spans="1:15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t="s">
        <v>3014</v>
      </c>
      <c r="G131" t="s">
        <v>3013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ISNUMBER(_xlfn.XMATCH(CONTROL[[#This Row],[VEHIDCODE]],GRAPHICS_PROPERTIES[VEHIDCODE],0))</f>
        <v>1</v>
      </c>
      <c r="N131" s="31" t="str">
        <f>"item_"&amp;CONTROL[[#This Row],[VEHIDCODE]]</f>
        <v>item_steam_Germany_DB_18_201</v>
      </c>
      <c r="O131" s="31" t="str">
        <f>"str_"&amp;CONTROL[[#This Row],[VEHIDCODE]]</f>
        <v>str_steam_Germany_DB_18_201</v>
      </c>
    </row>
    <row r="132" spans="1:15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t="s">
        <v>1154</v>
      </c>
      <c r="G132" t="s">
        <v>2428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ISNUMBER(_xlfn.XMATCH(CONTROL[[#This Row],[VEHIDCODE]],GRAPHICS_PROPERTIES[VEHIDCODE],0))</f>
        <v>1</v>
      </c>
      <c r="N132" s="31" t="str">
        <f>"item_"&amp;CONTROL[[#This Row],[VEHIDCODE]]</f>
        <v>item_steam_New_Zealand_NZR_WAB</v>
      </c>
      <c r="O132" s="31" t="str">
        <f>"str_"&amp;CONTROL[[#This Row],[VEHIDCODE]]</f>
        <v>str_steam_New_Zealand_NZR_WAB</v>
      </c>
    </row>
    <row r="133" spans="1:15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t="s">
        <v>1155</v>
      </c>
      <c r="G133" t="s">
        <v>2429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ISNUMBER(_xlfn.XMATCH(CONTROL[[#This Row],[VEHIDCODE]],GRAPHICS_PROPERTIES[VEHIDCODE],0))</f>
        <v>1</v>
      </c>
      <c r="N133" s="31" t="str">
        <f>"item_"&amp;CONTROL[[#This Row],[VEHIDCODE]]</f>
        <v>item_steam_Australia_NSWGR_D57</v>
      </c>
      <c r="O133" s="31" t="str">
        <f>"str_"&amp;CONTROL[[#This Row],[VEHIDCODE]]</f>
        <v>str_steam_Australia_NSWGR_D57</v>
      </c>
    </row>
    <row r="134" spans="1:15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t="s">
        <v>1156</v>
      </c>
      <c r="G134" t="s">
        <v>2430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ISNUMBER(_xlfn.XMATCH(CONTROL[[#This Row],[VEHIDCODE]],GRAPHICS_PROPERTIES[VEHIDCODE],0))</f>
        <v>1</v>
      </c>
      <c r="N134" s="31" t="str">
        <f>"item_"&amp;CONTROL[[#This Row],[VEHIDCODE]]</f>
        <v>item_steam_Australia_South_Australian_Railways_520</v>
      </c>
      <c r="O134" s="31" t="str">
        <f>"str_"&amp;CONTROL[[#This Row],[VEHIDCODE]]</f>
        <v>str_steam_Australia_South_Australian_Railways_520</v>
      </c>
    </row>
    <row r="135" spans="1:15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t="s">
        <v>1157</v>
      </c>
      <c r="G135" t="s">
        <v>2431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ISNUMBER(_xlfn.XMATCH(CONTROL[[#This Row],[VEHIDCODE]],GRAPHICS_PROPERTIES[VEHIDCODE],0))</f>
        <v>1</v>
      </c>
      <c r="N135" s="31" t="str">
        <f>"item_"&amp;CONTROL[[#This Row],[VEHIDCODE]]</f>
        <v>item_steam_Australia_NSWGR_AD60</v>
      </c>
      <c r="O135" s="31" t="str">
        <f>"str_"&amp;CONTROL[[#This Row],[VEHIDCODE]]</f>
        <v>str_steam_Australia_NSWGR_AD60</v>
      </c>
    </row>
    <row r="136" spans="1:15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t="s">
        <v>1158</v>
      </c>
      <c r="G136" t="s">
        <v>2432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ISNUMBER(_xlfn.XMATCH(CONTROL[[#This Row],[VEHIDCODE]],GRAPHICS_PROPERTIES[VEHIDCODE],0))</f>
        <v>1</v>
      </c>
      <c r="N136" s="31" t="str">
        <f>"item_"&amp;CONTROL[[#This Row],[VEHIDCODE]]</f>
        <v>item_steam_Uruguay_AFE_N1_2_6_0</v>
      </c>
      <c r="O136" s="31" t="str">
        <f>"str_"&amp;CONTROL[[#This Row],[VEHIDCODE]]</f>
        <v>str_steam_Uruguay_AFE_N1_2_6_0</v>
      </c>
    </row>
    <row r="137" spans="1:15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t="s">
        <v>1159</v>
      </c>
      <c r="G137" t="s">
        <v>2434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ISNUMBER(_xlfn.XMATCH(CONTROL[[#This Row],[VEHIDCODE]],GRAPHICS_PROPERTIES[VEHIDCODE],0))</f>
        <v>1</v>
      </c>
      <c r="N137" s="31" t="str">
        <f>"item_"&amp;CONTROL[[#This Row],[VEHIDCODE]]</f>
        <v>item_steam_Argentina_FCCA_PS11</v>
      </c>
      <c r="O137" s="31" t="str">
        <f>"str_"&amp;CONTROL[[#This Row],[VEHIDCODE]]</f>
        <v>str_steam_Argentina_FCCA_PS11</v>
      </c>
    </row>
    <row r="138" spans="1:15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t="s">
        <v>2435</v>
      </c>
      <c r="G138" t="s">
        <v>2436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ISNUMBER(_xlfn.XMATCH(CONTROL[[#This Row],[VEHIDCODE]],GRAPHICS_PROPERTIES[VEHIDCODE],0))</f>
        <v>1</v>
      </c>
      <c r="N138" s="31" t="str">
        <f>"item_"&amp;CONTROL[[#This Row],[VEHIDCODE]]</f>
        <v>item_steam_South_Africa_Harbour_Board_EL_0_4_0</v>
      </c>
      <c r="O138" s="31" t="str">
        <f>"str_"&amp;CONTROL[[#This Row],[VEHIDCODE]]</f>
        <v>str_steam_South_Africa_Harbour_Board_EL_0_4_0</v>
      </c>
    </row>
    <row r="139" spans="1:15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t="s">
        <v>1160</v>
      </c>
      <c r="G139" t="s">
        <v>2437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ISNUMBER(_xlfn.XMATCH(CONTROL[[#This Row],[VEHIDCODE]],GRAPHICS_PROPERTIES[VEHIDCODE],0))</f>
        <v>1</v>
      </c>
      <c r="N139" s="31" t="str">
        <f>"item_"&amp;CONTROL[[#This Row],[VEHIDCODE]]</f>
        <v>item_steam_Mozambique_Beira_Railway_BR6_F2_Falcon</v>
      </c>
      <c r="O139" s="31" t="str">
        <f>"str_"&amp;CONTROL[[#This Row],[VEHIDCODE]]</f>
        <v>str_steam_Mozambique_Beira_Railway_BR6_F2_Falcon</v>
      </c>
    </row>
    <row r="140" spans="1:15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t="s">
        <v>1161</v>
      </c>
      <c r="G140" t="s">
        <v>2438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ISNUMBER(_xlfn.XMATCH(CONTROL[[#This Row],[VEHIDCODE]],GRAPHICS_PROPERTIES[VEHIDCODE],0))</f>
        <v>1</v>
      </c>
      <c r="N140" s="31" t="str">
        <f>"item_"&amp;CONTROL[[#This Row],[VEHIDCODE]]</f>
        <v>item_steam_Eritrea_Eritrean_Railway_R440</v>
      </c>
      <c r="O140" s="31" t="str">
        <f>"str_"&amp;CONTROL[[#This Row],[VEHIDCODE]]</f>
        <v>str_steam_Eritrea_Eritrean_Railway_R440</v>
      </c>
    </row>
    <row r="141" spans="1:15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t="s">
        <v>1162</v>
      </c>
      <c r="G141" t="s">
        <v>2439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ISNUMBER(_xlfn.XMATCH(CONTROL[[#This Row],[VEHIDCODE]],GRAPHICS_PROPERTIES[VEHIDCODE],0))</f>
        <v>1</v>
      </c>
      <c r="N141" s="31" t="str">
        <f>"item_"&amp;CONTROL[[#This Row],[VEHIDCODE]]</f>
        <v>item_steam_Kenya_East_African_Railway_23</v>
      </c>
      <c r="O141" s="31" t="str">
        <f>"str_"&amp;CONTROL[[#This Row],[VEHIDCODE]]</f>
        <v>str_steam_Kenya_East_African_Railway_23</v>
      </c>
    </row>
    <row r="142" spans="1:15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t="s">
        <v>1163</v>
      </c>
      <c r="G142" t="s">
        <v>2440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ISNUMBER(_xlfn.XMATCH(CONTROL[[#This Row],[VEHIDCODE]],GRAPHICS_PROPERTIES[VEHIDCODE],0))</f>
        <v>1</v>
      </c>
      <c r="N142" s="31" t="str">
        <f>"item_"&amp;CONTROL[[#This Row],[VEHIDCODE]]</f>
        <v>item_steam_Kenya_East_African_Railway_21</v>
      </c>
      <c r="O142" s="31" t="str">
        <f>"str_"&amp;CONTROL[[#This Row],[VEHIDCODE]]</f>
        <v>str_steam_Kenya_East_African_Railway_21</v>
      </c>
    </row>
    <row r="143" spans="1:15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t="s">
        <v>1164</v>
      </c>
      <c r="G143" t="s">
        <v>2441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ISNUMBER(_xlfn.XMATCH(CONTROL[[#This Row],[VEHIDCODE]],GRAPHICS_PROPERTIES[VEHIDCODE],0))</f>
        <v>1</v>
      </c>
      <c r="N143" s="31" t="str">
        <f>"item_"&amp;CONTROL[[#This Row],[VEHIDCODE]]</f>
        <v>item_steam_Zimbabwe_Zimbabwe_Railways_15</v>
      </c>
      <c r="O143" s="31" t="str">
        <f>"str_"&amp;CONTROL[[#This Row],[VEHIDCODE]]</f>
        <v>str_steam_Zimbabwe_Zimbabwe_Railways_15</v>
      </c>
    </row>
    <row r="144" spans="1:15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t="s">
        <v>1165</v>
      </c>
      <c r="G144" t="s">
        <v>2442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ISNUMBER(_xlfn.XMATCH(CONTROL[[#This Row],[VEHIDCODE]],GRAPHICS_PROPERTIES[VEHIDCODE],0))</f>
        <v>1</v>
      </c>
      <c r="N144" s="31" t="str">
        <f>"item_"&amp;CONTROL[[#This Row],[VEHIDCODE]]</f>
        <v>item_steam_South_Africa_SAR_GMA_4_8_2_2_8_4</v>
      </c>
      <c r="O144" s="31" t="str">
        <f>"str_"&amp;CONTROL[[#This Row],[VEHIDCODE]]</f>
        <v>str_steam_South_Africa_SAR_GMA_4_8_2_2_8_4</v>
      </c>
    </row>
    <row r="145" spans="1:15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t="s">
        <v>1166</v>
      </c>
      <c r="G145" t="s">
        <v>2443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ISNUMBER(_xlfn.XMATCH(CONTROL[[#This Row],[VEHIDCODE]],GRAPHICS_PROPERTIES[VEHIDCODE],0))</f>
        <v>1</v>
      </c>
      <c r="N145" s="31" t="str">
        <f>"item_"&amp;CONTROL[[#This Row],[VEHIDCODE]]</f>
        <v>item_steam_Kenya_East_African_Railway_31</v>
      </c>
      <c r="O145" s="31" t="str">
        <f>"str_"&amp;CONTROL[[#This Row],[VEHIDCODE]]</f>
        <v>str_steam_Kenya_East_African_Railway_31</v>
      </c>
    </row>
    <row r="146" spans="1:15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t="s">
        <v>3010</v>
      </c>
      <c r="G146" t="s">
        <v>2444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ISNUMBER(_xlfn.XMATCH(CONTROL[[#This Row],[VEHIDCODE]],GRAPHICS_PROPERTIES[VEHIDCODE],0))</f>
        <v>1</v>
      </c>
      <c r="N146" s="31" t="str">
        <f>"item_"&amp;CONTROL[[#This Row],[VEHIDCODE]]</f>
        <v>item_steam_India_Fairy_Queen</v>
      </c>
      <c r="O146" s="31" t="str">
        <f>"str_"&amp;CONTROL[[#This Row],[VEHIDCODE]]</f>
        <v>str_steam_India_Fairy_Queen</v>
      </c>
    </row>
    <row r="147" spans="1:15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t="s">
        <v>1167</v>
      </c>
      <c r="G147" t="s">
        <v>2445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ISNUMBER(_xlfn.XMATCH(CONTROL[[#This Row],[VEHIDCODE]],GRAPHICS_PROPERTIES[VEHIDCODE],0))</f>
        <v>1</v>
      </c>
      <c r="N147" s="31" t="str">
        <f>"item_"&amp;CONTROL[[#This Row],[VEHIDCODE]]</f>
        <v>item_steam_India_DHR_B</v>
      </c>
      <c r="O147" s="31" t="str">
        <f>"str_"&amp;CONTROL[[#This Row],[VEHIDCODE]]</f>
        <v>str_steam_India_DHR_B</v>
      </c>
    </row>
    <row r="148" spans="1:15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t="s">
        <v>1757</v>
      </c>
      <c r="G148" t="s">
        <v>2446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ISNUMBER(_xlfn.XMATCH(CONTROL[[#This Row],[VEHIDCODE]],GRAPHICS_PROPERTIES[VEHIDCODE],0))</f>
        <v>1</v>
      </c>
      <c r="N148" s="31" t="str">
        <f>"item_"&amp;CONTROL[[#This Row],[VEHIDCODE]]</f>
        <v>item_steam_China_China_Railways_H</v>
      </c>
      <c r="O148" s="31" t="str">
        <f>"str_"&amp;CONTROL[[#This Row],[VEHIDCODE]]</f>
        <v>str_steam_China_China_Railways_H</v>
      </c>
    </row>
    <row r="149" spans="1:15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t="s">
        <v>1168</v>
      </c>
      <c r="G149" t="s">
        <v>2448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ISNUMBER(_xlfn.XMATCH(CONTROL[[#This Row],[VEHIDCODE]],GRAPHICS_PROPERTIES[VEHIDCODE],0))</f>
        <v>1</v>
      </c>
      <c r="N149" s="31" t="str">
        <f>"item_"&amp;CONTROL[[#This Row],[VEHIDCODE]]</f>
        <v>item_steam_Russia_RZD_U</v>
      </c>
      <c r="O149" s="31" t="str">
        <f>"str_"&amp;CONTROL[[#This Row],[VEHIDCODE]]</f>
        <v>str_steam_Russia_RZD_U</v>
      </c>
    </row>
    <row r="150" spans="1:15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t="s">
        <v>1169</v>
      </c>
      <c r="G150" t="s">
        <v>2447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ISNUMBER(_xlfn.XMATCH(CONTROL[[#This Row],[VEHIDCODE]],GRAPHICS_PROPERTIES[VEHIDCODE],0))</f>
        <v>1</v>
      </c>
      <c r="N150" s="31" t="str">
        <f>"item_"&amp;CONTROL[[#This Row],[VEHIDCODE]]</f>
        <v>item_steam_Russia_RZD_E</v>
      </c>
      <c r="O150" s="31" t="str">
        <f>"str_"&amp;CONTROL[[#This Row],[VEHIDCODE]]</f>
        <v>str_steam_Russia_RZD_E</v>
      </c>
    </row>
    <row r="151" spans="1:15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t="s">
        <v>2450</v>
      </c>
      <c r="G151" t="s">
        <v>2449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ISNUMBER(_xlfn.XMATCH(CONTROL[[#This Row],[VEHIDCODE]],GRAPHICS_PROPERTIES[VEHIDCODE],0))</f>
        <v>1</v>
      </c>
      <c r="N151" s="31" t="str">
        <f>"item_"&amp;CONTROL[[#This Row],[VEHIDCODE]]</f>
        <v>item_steam_Israel_Israel_Railways_H</v>
      </c>
      <c r="O151" s="31" t="str">
        <f>"str_"&amp;CONTROL[[#This Row],[VEHIDCODE]]</f>
        <v>str_steam_Israel_Israel_Railways_H</v>
      </c>
    </row>
    <row r="152" spans="1:15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t="s">
        <v>1170</v>
      </c>
      <c r="G152" t="s">
        <v>2451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ISNUMBER(_xlfn.XMATCH(CONTROL[[#This Row],[VEHIDCODE]],GRAPHICS_PROPERTIES[VEHIDCODE],0))</f>
        <v>1</v>
      </c>
      <c r="N152" s="31" t="str">
        <f>"item_"&amp;CONTROL[[#This Row],[VEHIDCODE]]</f>
        <v>item_steam_Italy_FS_480</v>
      </c>
      <c r="O152" s="31" t="str">
        <f>"str_"&amp;CONTROL[[#This Row],[VEHIDCODE]]</f>
        <v>str_steam_Italy_FS_480</v>
      </c>
    </row>
    <row r="153" spans="1:15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t="s">
        <v>1171</v>
      </c>
      <c r="G153" t="s">
        <v>2452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ISNUMBER(_xlfn.XMATCH(CONTROL[[#This Row],[VEHIDCODE]],GRAPHICS_PROPERTIES[VEHIDCODE],0))</f>
        <v>1</v>
      </c>
      <c r="N153" s="31" t="str">
        <f>"item_"&amp;CONTROL[[#This Row],[VEHIDCODE]]</f>
        <v>item_steam_Italy_FS_691</v>
      </c>
      <c r="O153" s="31" t="str">
        <f>"str_"&amp;CONTROL[[#This Row],[VEHIDCODE]]</f>
        <v>str_steam_Italy_FS_691</v>
      </c>
    </row>
    <row r="154" spans="1:15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t="s">
        <v>1172</v>
      </c>
      <c r="G154" t="s">
        <v>2453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ISNUMBER(_xlfn.XMATCH(CONTROL[[#This Row],[VEHIDCODE]],GRAPHICS_PROPERTIES[VEHIDCODE],0))</f>
        <v>1</v>
      </c>
      <c r="N154" s="31" t="str">
        <f>"item_"&amp;CONTROL[[#This Row],[VEHIDCODE]]</f>
        <v>item_steam_Greece_SEK_Lb</v>
      </c>
      <c r="O154" s="31" t="str">
        <f>"str_"&amp;CONTROL[[#This Row],[VEHIDCODE]]</f>
        <v>str_steam_Greece_SEK_Lb</v>
      </c>
    </row>
    <row r="155" spans="1:15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t="s">
        <v>1173</v>
      </c>
      <c r="G155" t="s">
        <v>2454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ISNUMBER(_xlfn.XMATCH(CONTROL[[#This Row],[VEHIDCODE]],GRAPHICS_PROPERTIES[VEHIDCODE],0))</f>
        <v>1</v>
      </c>
      <c r="N155" s="31" t="str">
        <f>"item_"&amp;CONTROL[[#This Row],[VEHIDCODE]]</f>
        <v>item_steam_Albania_HSH_01</v>
      </c>
      <c r="O155" s="31" t="str">
        <f>"str_"&amp;CONTROL[[#This Row],[VEHIDCODE]]</f>
        <v>str_steam_Albania_HSH_01</v>
      </c>
    </row>
    <row r="156" spans="1:15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t="s">
        <v>1174</v>
      </c>
      <c r="G156" t="s">
        <v>2455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ISNUMBER(_xlfn.XMATCH(CONTROL[[#This Row],[VEHIDCODE]],GRAPHICS_PROPERTIES[VEHIDCODE],0))</f>
        <v>1</v>
      </c>
      <c r="N156" s="31" t="str">
        <f>"item_"&amp;CONTROL[[#This Row],[VEHIDCODE]]</f>
        <v>item_steam_Spain_RENFE_242F</v>
      </c>
      <c r="O156" s="31" t="str">
        <f>"str_"&amp;CONTROL[[#This Row],[VEHIDCODE]]</f>
        <v>str_steam_Spain_RENFE_242F</v>
      </c>
    </row>
    <row r="157" spans="1:15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t="s">
        <v>2785</v>
      </c>
      <c r="G157" t="s">
        <v>2456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ISNUMBER(_xlfn.XMATCH(CONTROL[[#This Row],[VEHIDCODE]],GRAPHICS_PROPERTIES[VEHIDCODE],0))</f>
        <v>1</v>
      </c>
      <c r="N157" s="31" t="str">
        <f>"item_"&amp;CONTROL[[#This Row],[VEHIDCODE]]</f>
        <v>item_steam_Czech_Republic_CD_5341</v>
      </c>
      <c r="O157" s="31" t="str">
        <f>"str_"&amp;CONTROL[[#This Row],[VEHIDCODE]]</f>
        <v>str_steam_Czech_Republic_CD_5341</v>
      </c>
    </row>
    <row r="158" spans="1:15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t="s">
        <v>1175</v>
      </c>
      <c r="G158" t="s">
        <v>2457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ISNUMBER(_xlfn.XMATCH(CONTROL[[#This Row],[VEHIDCODE]],GRAPHICS_PROPERTIES[VEHIDCODE],0))</f>
        <v>1</v>
      </c>
      <c r="N158" s="31" t="str">
        <f>"item_"&amp;CONTROL[[#This Row],[VEHIDCODE]]</f>
        <v>item_steam_Poland_PKP_Ok22</v>
      </c>
      <c r="O158" s="31" t="str">
        <f>"str_"&amp;CONTROL[[#This Row],[VEHIDCODE]]</f>
        <v>str_steam_Poland_PKP_Ok22</v>
      </c>
    </row>
    <row r="159" spans="1:15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t="s">
        <v>2501</v>
      </c>
      <c r="G159" t="s">
        <v>2458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ISNUMBER(_xlfn.XMATCH(CONTROL[[#This Row],[VEHIDCODE]],GRAPHICS_PROPERTIES[VEHIDCODE],0))</f>
        <v>1</v>
      </c>
      <c r="N159" s="31" t="str">
        <f>"item_"&amp;CONTROL[[#This Row],[VEHIDCODE]]</f>
        <v>item_steam_Croatia_HZ_11</v>
      </c>
      <c r="O159" s="31" t="str">
        <f>"str_"&amp;CONTROL[[#This Row],[VEHIDCODE]]</f>
        <v>str_steam_Croatia_HZ_11</v>
      </c>
    </row>
    <row r="160" spans="1:15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t="s">
        <v>2502</v>
      </c>
      <c r="G160" t="s">
        <v>2459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ISNUMBER(_xlfn.XMATCH(CONTROL[[#This Row],[VEHIDCODE]],GRAPHICS_PROPERTIES[VEHIDCODE],0))</f>
        <v>1</v>
      </c>
      <c r="N160" s="31" t="str">
        <f>"item_"&amp;CONTROL[[#This Row],[VEHIDCODE]]</f>
        <v>item_steam_Hungary_MAV_242</v>
      </c>
      <c r="O160" s="31" t="str">
        <f>"str_"&amp;CONTROL[[#This Row],[VEHIDCODE]]</f>
        <v>str_steam_Hungary_MAV_242</v>
      </c>
    </row>
    <row r="161" spans="1:15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t="s">
        <v>2786</v>
      </c>
      <c r="G161" t="s">
        <v>3018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ISNUMBER(_xlfn.XMATCH(CONTROL[[#This Row],[VEHIDCODE]],GRAPHICS_PROPERTIES[VEHIDCODE],0))</f>
        <v>1</v>
      </c>
      <c r="N161" s="31" t="str">
        <f>"item_"&amp;CONTROL[[#This Row],[VEHIDCODE]]</f>
        <v>item_steam_Czech_Republic_CD_4590</v>
      </c>
      <c r="O161" s="31" t="str">
        <f>"str_"&amp;CONTROL[[#This Row],[VEHIDCODE]]</f>
        <v>str_steam_Czech_Republic_CD_4590</v>
      </c>
    </row>
    <row r="162" spans="1:15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t="s">
        <v>1176</v>
      </c>
      <c r="G162" t="s">
        <v>2460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ISNUMBER(_xlfn.XMATCH(CONTROL[[#This Row],[VEHIDCODE]],GRAPHICS_PROPERTIES[VEHIDCODE],0))</f>
        <v>1</v>
      </c>
      <c r="N162" s="31" t="str">
        <f>"item_"&amp;CONTROL[[#This Row],[VEHIDCODE]]</f>
        <v>item_steam_Poland_PKP_OI49</v>
      </c>
      <c r="O162" s="31" t="str">
        <f>"str_"&amp;CONTROL[[#This Row],[VEHIDCODE]]</f>
        <v>str_steam_Poland_PKP_OI49</v>
      </c>
    </row>
    <row r="163" spans="1:15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t="s">
        <v>1177</v>
      </c>
      <c r="G163" t="s">
        <v>2461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ISNUMBER(_xlfn.XMATCH(CONTROL[[#This Row],[VEHIDCODE]],GRAPHICS_PROPERTIES[VEHIDCODE],0))</f>
        <v>1</v>
      </c>
      <c r="N163" s="31" t="str">
        <f>"item_"&amp;CONTROL[[#This Row],[VEHIDCODE]]</f>
        <v>item_steam_Austria_KKStB_310</v>
      </c>
      <c r="O163" s="31" t="str">
        <f>"str_"&amp;CONTROL[[#This Row],[VEHIDCODE]]</f>
        <v>str_steam_Austria_KKStB_310</v>
      </c>
    </row>
    <row r="164" spans="1:15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t="s">
        <v>1178</v>
      </c>
      <c r="G164" t="s">
        <v>2462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ISNUMBER(_xlfn.XMATCH(CONTROL[[#This Row],[VEHIDCODE]],GRAPHICS_PROPERTIES[VEHIDCODE],0))</f>
        <v>1</v>
      </c>
      <c r="N164" s="31" t="str">
        <f>"item_"&amp;CONTROL[[#This Row],[VEHIDCODE]]</f>
        <v>item_steam_USA_Southern_Pacific_GS_4_Daylight</v>
      </c>
      <c r="O164" s="31" t="str">
        <f>"str_"&amp;CONTROL[[#This Row],[VEHIDCODE]]</f>
        <v>str_steam_USA_Southern_Pacific_GS_4_Daylight</v>
      </c>
    </row>
    <row r="165" spans="1:15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t="s">
        <v>1179</v>
      </c>
      <c r="G165" t="s">
        <v>2463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ISNUMBER(_xlfn.XMATCH(CONTROL[[#This Row],[VEHIDCODE]],GRAPHICS_PROPERTIES[VEHIDCODE],0))</f>
        <v>1</v>
      </c>
      <c r="N165" s="31" t="str">
        <f>"item_"&amp;CONTROL[[#This Row],[VEHIDCODE]]</f>
        <v>item_steam_Ireland_GS_WR_101</v>
      </c>
      <c r="O165" s="31" t="str">
        <f>"str_"&amp;CONTROL[[#This Row],[VEHIDCODE]]</f>
        <v>str_steam_Ireland_GS_WR_101</v>
      </c>
    </row>
    <row r="166" spans="1:15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t="s">
        <v>1180</v>
      </c>
      <c r="G166" t="s">
        <v>2464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ISNUMBER(_xlfn.XMATCH(CONTROL[[#This Row],[VEHIDCODE]],GRAPHICS_PROPERTIES[VEHIDCODE],0))</f>
        <v>1</v>
      </c>
      <c r="N166" s="31" t="str">
        <f>"item_"&amp;CONTROL[[#This Row],[VEHIDCODE]]</f>
        <v>item_steam_USA_NYC_H_6A_Light_Mikado</v>
      </c>
      <c r="O166" s="31" t="str">
        <f>"str_"&amp;CONTROL[[#This Row],[VEHIDCODE]]</f>
        <v>str_steam_USA_NYC_H_6A_Light_Mikado</v>
      </c>
    </row>
    <row r="167" spans="1:15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t="s">
        <v>3020</v>
      </c>
      <c r="G167" t="s">
        <v>2465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ISNUMBER(_xlfn.XMATCH(CONTROL[[#This Row],[VEHIDCODE]],GRAPHICS_PROPERTIES[VEHIDCODE],0))</f>
        <v>1</v>
      </c>
      <c r="N167" s="31" t="str">
        <f>"item_"&amp;CONTROL[[#This Row],[VEHIDCODE]]</f>
        <v>item_steam_Argentina_FCGR_315</v>
      </c>
      <c r="O167" s="31" t="str">
        <f>"str_"&amp;CONTROL[[#This Row],[VEHIDCODE]]</f>
        <v>str_steam_Argentina_FCGR_315</v>
      </c>
    </row>
    <row r="168" spans="1:15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t="s">
        <v>1181</v>
      </c>
      <c r="G168" t="s">
        <v>2466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ISNUMBER(_xlfn.XMATCH(CONTROL[[#This Row],[VEHIDCODE]],GRAPHICS_PROPERTIES[VEHIDCODE],0))</f>
        <v>1</v>
      </c>
      <c r="N168" s="31" t="str">
        <f>"item_"&amp;CONTROL[[#This Row],[VEHIDCODE]]</f>
        <v>item_steam_Australia_NSWGR_C35</v>
      </c>
      <c r="O168" s="31" t="str">
        <f>"str_"&amp;CONTROL[[#This Row],[VEHIDCODE]]</f>
        <v>str_steam_Australia_NSWGR_C35</v>
      </c>
    </row>
    <row r="169" spans="1:15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t="s">
        <v>1182</v>
      </c>
      <c r="G169" t="s">
        <v>2467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ISNUMBER(_xlfn.XMATCH(CONTROL[[#This Row],[VEHIDCODE]],GRAPHICS_PROPERTIES[VEHIDCODE],0))</f>
        <v>1</v>
      </c>
      <c r="N169" s="31" t="str">
        <f>"item_"&amp;CONTROL[[#This Row],[VEHIDCODE]]</f>
        <v>item_steam_Belgium_NMBS_SNCB_Type_29</v>
      </c>
      <c r="O169" s="31" t="str">
        <f>"str_"&amp;CONTROL[[#This Row],[VEHIDCODE]]</f>
        <v>str_steam_Belgium_NMBS_SNCB_Type_29</v>
      </c>
    </row>
    <row r="170" spans="1:15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t="s">
        <v>2468</v>
      </c>
      <c r="G170" t="s">
        <v>2469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ISNUMBER(_xlfn.XMATCH(CONTROL[[#This Row],[VEHIDCODE]],GRAPHICS_PROPERTIES[VEHIDCODE],0))</f>
        <v>1</v>
      </c>
      <c r="N170" s="31" t="str">
        <f>"item_"&amp;CONTROL[[#This Row],[VEHIDCODE]]</f>
        <v>item_steam_Chile_FCAB_4_8_2</v>
      </c>
      <c r="O170" s="31" t="str">
        <f>"str_"&amp;CONTROL[[#This Row],[VEHIDCODE]]</f>
        <v>str_steam_Chile_FCAB_4_8_2</v>
      </c>
    </row>
    <row r="171" spans="1:15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t="s">
        <v>1183</v>
      </c>
      <c r="G171" t="s">
        <v>2470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ISNUMBER(_xlfn.XMATCH(CONTROL[[#This Row],[VEHIDCODE]],GRAPHICS_PROPERTIES[VEHIDCODE],0))</f>
        <v>1</v>
      </c>
      <c r="N171" s="31" t="str">
        <f>"item_"&amp;CONTROL[[#This Row],[VEHIDCODE]]</f>
        <v>item_steam_China_Railways_QJ</v>
      </c>
      <c r="O171" s="31" t="str">
        <f>"str_"&amp;CONTROL[[#This Row],[VEHIDCODE]]</f>
        <v>str_steam_China_Railways_QJ</v>
      </c>
    </row>
    <row r="172" spans="1:15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t="s">
        <v>1184</v>
      </c>
      <c r="G172" t="s">
        <v>2471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ISNUMBER(_xlfn.XMATCH(CONTROL[[#This Row],[VEHIDCODE]],GRAPHICS_PROPERTIES[VEHIDCODE],0))</f>
        <v>1</v>
      </c>
      <c r="N172" s="31" t="str">
        <f>"item_"&amp;CONTROL[[#This Row],[VEHIDCODE]]</f>
        <v>item_diesel_Germany_DB_Kof_II</v>
      </c>
      <c r="O172" s="31" t="str">
        <f>"str_"&amp;CONTROL[[#This Row],[VEHIDCODE]]</f>
        <v>str_diesel_Germany_DB_Kof_II</v>
      </c>
    </row>
    <row r="173" spans="1:15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t="s">
        <v>2472</v>
      </c>
      <c r="G173" t="s">
        <v>2474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ISNUMBER(_xlfn.XMATCH(CONTROL[[#This Row],[VEHIDCODE]],GRAPHICS_PROPERTIES[VEHIDCODE],0))</f>
        <v>1</v>
      </c>
      <c r="N173" s="31" t="str">
        <f>"item_"&amp;CONTROL[[#This Row],[VEHIDCODE]]</f>
        <v>item_diesel_USA_CNJ_ALCo_GE_IR_Boxcab</v>
      </c>
      <c r="O173" s="31" t="str">
        <f>"str_"&amp;CONTROL[[#This Row],[VEHIDCODE]]</f>
        <v>str_diesel_USA_CNJ_ALCo_GE_IR_Boxcab</v>
      </c>
    </row>
    <row r="174" spans="1:15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t="s">
        <v>1185</v>
      </c>
      <c r="G174" t="s">
        <v>2473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ISNUMBER(_xlfn.XMATCH(CONTROL[[#This Row],[VEHIDCODE]],GRAPHICS_PROPERTIES[VEHIDCODE],0))</f>
        <v>1</v>
      </c>
      <c r="N174" s="31" t="str">
        <f>"item_"&amp;CONTROL[[#This Row],[VEHIDCODE]]</f>
        <v>item_diesel_Netherlands_NS_200</v>
      </c>
      <c r="O174" s="31" t="str">
        <f>"str_"&amp;CONTROL[[#This Row],[VEHIDCODE]]</f>
        <v>str_diesel_Netherlands_NS_200</v>
      </c>
    </row>
    <row r="175" spans="1:15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t="s">
        <v>1186</v>
      </c>
      <c r="G175" t="s">
        <v>2475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ISNUMBER(_xlfn.XMATCH(CONTROL[[#This Row],[VEHIDCODE]],GRAPHICS_PROPERTIES[VEHIDCODE],0))</f>
        <v>1</v>
      </c>
      <c r="N175" s="31" t="str">
        <f>"item_"&amp;CONTROL[[#This Row],[VEHIDCODE]]</f>
        <v>item_diesel_Germany_DB_270</v>
      </c>
      <c r="O175" s="31" t="str">
        <f>"str_"&amp;CONTROL[[#This Row],[VEHIDCODE]]</f>
        <v>str_diesel_Germany_DB_270</v>
      </c>
    </row>
    <row r="176" spans="1:15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t="s">
        <v>1187</v>
      </c>
      <c r="G176" t="s">
        <v>2476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ISNUMBER(_xlfn.XMATCH(CONTROL[[#This Row],[VEHIDCODE]],GRAPHICS_PROPERTIES[VEHIDCODE],0))</f>
        <v>1</v>
      </c>
      <c r="N176" s="31" t="str">
        <f>"item_"&amp;CONTROL[[#This Row],[VEHIDCODE]]</f>
        <v>item_diesel_Switzerland_SBB_Am_4_6</v>
      </c>
      <c r="O176" s="31" t="str">
        <f>"str_"&amp;CONTROL[[#This Row],[VEHIDCODE]]</f>
        <v>str_diesel_Switzerland_SBB_Am_4_6</v>
      </c>
    </row>
    <row r="177" spans="1:15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t="s">
        <v>1188</v>
      </c>
      <c r="G177" t="s">
        <v>2477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ISNUMBER(_xlfn.XMATCH(CONTROL[[#This Row],[VEHIDCODE]],GRAPHICS_PROPERTIES[VEHIDCODE],0))</f>
        <v>1</v>
      </c>
      <c r="N177" s="31" t="str">
        <f>"item_"&amp;CONTROL[[#This Row],[VEHIDCODE]]</f>
        <v>item_diesel_Australia_NSWGR_79</v>
      </c>
      <c r="O177" s="31" t="str">
        <f>"str_"&amp;CONTROL[[#This Row],[VEHIDCODE]]</f>
        <v>str_diesel_Australia_NSWGR_79</v>
      </c>
    </row>
    <row r="178" spans="1:15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t="s">
        <v>1189</v>
      </c>
      <c r="G178" t="s">
        <v>2479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ISNUMBER(_xlfn.XMATCH(CONTROL[[#This Row],[VEHIDCODE]],GRAPHICS_PROPERTIES[VEHIDCODE],0))</f>
        <v>1</v>
      </c>
      <c r="N178" s="31" t="str">
        <f>"item_"&amp;CONTROL[[#This Row],[VEHIDCODE]]</f>
        <v>item_diesel_USA_Western_Pacific_ALCO_S_2</v>
      </c>
      <c r="O178" s="31" t="str">
        <f>"str_"&amp;CONTROL[[#This Row],[VEHIDCODE]]</f>
        <v>str_diesel_USA_Western_Pacific_ALCO_S_2</v>
      </c>
    </row>
    <row r="179" spans="1:15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t="s">
        <v>1190</v>
      </c>
      <c r="G179" t="s">
        <v>2478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ISNUMBER(_xlfn.XMATCH(CONTROL[[#This Row],[VEHIDCODE]],GRAPHICS_PROPERTIES[VEHIDCODE],0))</f>
        <v>1</v>
      </c>
      <c r="N179" s="31" t="str">
        <f>"item_"&amp;CONTROL[[#This Row],[VEHIDCODE]]</f>
        <v>item_diesel_USA_AT_SF_EMD_F3</v>
      </c>
      <c r="O179" s="31" t="str">
        <f>"str_"&amp;CONTROL[[#This Row],[VEHIDCODE]]</f>
        <v>str_diesel_USA_AT_SF_EMD_F3</v>
      </c>
    </row>
    <row r="180" spans="1:15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t="s">
        <v>1191</v>
      </c>
      <c r="G180" t="s">
        <v>2481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ISNUMBER(_xlfn.XMATCH(CONTROL[[#This Row],[VEHIDCODE]],GRAPHICS_PROPERTIES[VEHIDCODE],0))</f>
        <v>1</v>
      </c>
      <c r="N180" s="31" t="str">
        <f>"item_"&amp;CONTROL[[#This Row],[VEHIDCODE]]</f>
        <v>item_diesel_USA_UP_EMD_E8</v>
      </c>
      <c r="O180" s="31" t="str">
        <f>"str_"&amp;CONTROL[[#This Row],[VEHIDCODE]]</f>
        <v>str_diesel_USA_UP_EMD_E8</v>
      </c>
    </row>
    <row r="181" spans="1:15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t="s">
        <v>1192</v>
      </c>
      <c r="G181" t="s">
        <v>2483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ISNUMBER(_xlfn.XMATCH(CONTROL[[#This Row],[VEHIDCODE]],GRAPHICS_PROPERTIES[VEHIDCODE],0))</f>
        <v>1</v>
      </c>
      <c r="N181" s="31" t="str">
        <f>"item_"&amp;CONTROL[[#This Row],[VEHIDCODE]]</f>
        <v>item_diesel_Brazil_EFCB_ALCO_RS_3</v>
      </c>
      <c r="O181" s="31" t="str">
        <f>"str_"&amp;CONTROL[[#This Row],[VEHIDCODE]]</f>
        <v>str_diesel_Brazil_EFCB_ALCO_RS_3</v>
      </c>
    </row>
    <row r="182" spans="1:15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t="s">
        <v>1193</v>
      </c>
      <c r="G182" t="s">
        <v>2484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ISNUMBER(_xlfn.XMATCH(CONTROL[[#This Row],[VEHIDCODE]],GRAPHICS_PROPERTIES[VEHIDCODE],0))</f>
        <v>1</v>
      </c>
      <c r="N182" s="31" t="str">
        <f>"item_"&amp;CONTROL[[#This Row],[VEHIDCODE]]</f>
        <v>item_diesel_Netherlands_NS_600</v>
      </c>
      <c r="O182" s="31" t="str">
        <f>"str_"&amp;CONTROL[[#This Row],[VEHIDCODE]]</f>
        <v>str_diesel_Netherlands_NS_600</v>
      </c>
    </row>
    <row r="183" spans="1:15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t="s">
        <v>1194</v>
      </c>
      <c r="G183" t="s">
        <v>2485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ISNUMBER(_xlfn.XMATCH(CONTROL[[#This Row],[VEHIDCODE]],GRAPHICS_PROPERTIES[VEHIDCODE],0))</f>
        <v>1</v>
      </c>
      <c r="N183" s="31" t="str">
        <f>"item_"&amp;CONTROL[[#This Row],[VEHIDCODE]]</f>
        <v>item_diesel_USA_Pennsylvania_Railroad_RF_16_Sharknose</v>
      </c>
      <c r="O183" s="31" t="str">
        <f>"str_"&amp;CONTROL[[#This Row],[VEHIDCODE]]</f>
        <v>str_diesel_USA_Pennsylvania_Railroad_RF_16_Sharknose</v>
      </c>
    </row>
    <row r="184" spans="1:15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t="s">
        <v>1195</v>
      </c>
      <c r="G184" t="s">
        <v>2432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ISNUMBER(_xlfn.XMATCH(CONTROL[[#This Row],[VEHIDCODE]],GRAPHICS_PROPERTIES[VEHIDCODE],0))</f>
        <v>1</v>
      </c>
      <c r="N184" s="31" t="str">
        <f>"item_"&amp;CONTROL[[#This Row],[VEHIDCODE]]</f>
        <v>item_diesel_Uruguay_AFE_1500</v>
      </c>
      <c r="O184" s="31" t="str">
        <f>"str_"&amp;CONTROL[[#This Row],[VEHIDCODE]]</f>
        <v>str_diesel_Uruguay_AFE_1500</v>
      </c>
    </row>
    <row r="185" spans="1:15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t="s">
        <v>2486</v>
      </c>
      <c r="G185" t="s">
        <v>2487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ISNUMBER(_xlfn.XMATCH(CONTROL[[#This Row],[VEHIDCODE]],GRAPHICS_PROPERTIES[VEHIDCODE],0))</f>
        <v>1</v>
      </c>
      <c r="N185" s="31" t="str">
        <f>"item_"&amp;CONTROL[[#This Row],[VEHIDCODE]]</f>
        <v>item_diesel_Canada_CPR_Trainmaster</v>
      </c>
      <c r="O185" s="31" t="str">
        <f>"str_"&amp;CONTROL[[#This Row],[VEHIDCODE]]</f>
        <v>str_diesel_Canada_CPR_Trainmaster</v>
      </c>
    </row>
    <row r="186" spans="1:15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t="s">
        <v>2488</v>
      </c>
      <c r="G186" t="s">
        <v>2489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ISNUMBER(_xlfn.XMATCH(CONTROL[[#This Row],[VEHIDCODE]],GRAPHICS_PROPERTIES[VEHIDCODE],0))</f>
        <v>1</v>
      </c>
      <c r="N186" s="31" t="str">
        <f>"item_"&amp;CONTROL[[#This Row],[VEHIDCODE]]</f>
        <v>item_diesel_Liberia_Liberia_Railways_Class_08</v>
      </c>
      <c r="O186" s="31" t="str">
        <f>"str_"&amp;CONTROL[[#This Row],[VEHIDCODE]]</f>
        <v>str_diesel_Liberia_Liberia_Railways_Class_08</v>
      </c>
    </row>
    <row r="187" spans="1:15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t="s">
        <v>2493</v>
      </c>
      <c r="G187" t="s">
        <v>2507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ISNUMBER(_xlfn.XMATCH(CONTROL[[#This Row],[VEHIDCODE]],GRAPHICS_PROPERTIES[VEHIDCODE],0))</f>
        <v>1</v>
      </c>
      <c r="N187" s="31" t="str">
        <f>"item_"&amp;CONTROL[[#This Row],[VEHIDCODE]]</f>
        <v>item_diesel_Austria_OBB_2060</v>
      </c>
      <c r="O187" s="31" t="str">
        <f>"str_"&amp;CONTROL[[#This Row],[VEHIDCODE]]</f>
        <v>str_diesel_Austria_OBB_2060</v>
      </c>
    </row>
    <row r="188" spans="1:15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t="s">
        <v>1196</v>
      </c>
      <c r="G188" t="s">
        <v>2508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ISNUMBER(_xlfn.XMATCH(CONTROL[[#This Row],[VEHIDCODE]],GRAPHICS_PROPERTIES[VEHIDCODE],0))</f>
        <v>1</v>
      </c>
      <c r="N188" s="31" t="str">
        <f>"item_"&amp;CONTROL[[#This Row],[VEHIDCODE]]</f>
        <v>item_diesel_Canada_CNR_SW1200</v>
      </c>
      <c r="O188" s="31" t="str">
        <f>"str_"&amp;CONTROL[[#This Row],[VEHIDCODE]]</f>
        <v>str_diesel_Canada_CNR_SW1200</v>
      </c>
    </row>
    <row r="189" spans="1:15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t="s">
        <v>1197</v>
      </c>
      <c r="G189" t="s">
        <v>2509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ISNUMBER(_xlfn.XMATCH(CONTROL[[#This Row],[VEHIDCODE]],GRAPHICS_PROPERTIES[VEHIDCODE],0))</f>
        <v>1</v>
      </c>
      <c r="N189" s="31" t="str">
        <f>"item_"&amp;CONTROL[[#This Row],[VEHIDCODE]]</f>
        <v>item_diesel_Canada_VIA_Rail_FP9</v>
      </c>
      <c r="O189" s="31" t="str">
        <f>"str_"&amp;CONTROL[[#This Row],[VEHIDCODE]]</f>
        <v>str_diesel_Canada_VIA_Rail_FP9</v>
      </c>
    </row>
    <row r="190" spans="1:15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t="s">
        <v>2503</v>
      </c>
      <c r="G190" t="s">
        <v>2480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ISNUMBER(_xlfn.XMATCH(CONTROL[[#This Row],[VEHIDCODE]],GRAPHICS_PROPERTIES[VEHIDCODE],0))</f>
        <v>1</v>
      </c>
      <c r="N190" s="31" t="str">
        <f>"item_"&amp;CONTROL[[#This Row],[VEHIDCODE]]</f>
        <v>item_diesel_Hungary_MAV_M44</v>
      </c>
      <c r="O190" s="31" t="str">
        <f>"str_"&amp;CONTROL[[#This Row],[VEHIDCODE]]</f>
        <v>str_diesel_Hungary_MAV_M44</v>
      </c>
    </row>
    <row r="191" spans="1:15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t="s">
        <v>2504</v>
      </c>
      <c r="G191" t="s">
        <v>2510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ISNUMBER(_xlfn.XMATCH(CONTROL[[#This Row],[VEHIDCODE]],GRAPHICS_PROPERTIES[VEHIDCODE],0))</f>
        <v>1</v>
      </c>
      <c r="N191" s="31" t="str">
        <f>"item_"&amp;CONTROL[[#This Row],[VEHIDCODE]]</f>
        <v>item_diesel_Hungary_MAV_M28</v>
      </c>
      <c r="O191" s="31" t="str">
        <f>"str_"&amp;CONTROL[[#This Row],[VEHIDCODE]]</f>
        <v>str_diesel_Hungary_MAV_M28</v>
      </c>
    </row>
    <row r="192" spans="1:15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t="s">
        <v>1198</v>
      </c>
      <c r="G192" t="s">
        <v>2511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ISNUMBER(_xlfn.XMATCH(CONTROL[[#This Row],[VEHIDCODE]],GRAPHICS_PROPERTIES[VEHIDCODE],0))</f>
        <v>1</v>
      </c>
      <c r="N192" s="31" t="str">
        <f>"item_"&amp;CONTROL[[#This Row],[VEHIDCODE]]</f>
        <v>item_diesel_Belgium_NMBS_SNCB_83</v>
      </c>
      <c r="O192" s="31" t="str">
        <f>"str_"&amp;CONTROL[[#This Row],[VEHIDCODE]]</f>
        <v>str_diesel_Belgium_NMBS_SNCB_83</v>
      </c>
    </row>
    <row r="193" spans="1:15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t="s">
        <v>1199</v>
      </c>
      <c r="G193" t="s">
        <v>2512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ISNUMBER(_xlfn.XMATCH(CONTROL[[#This Row],[VEHIDCODE]],GRAPHICS_PROPERTIES[VEHIDCODE],0))</f>
        <v>1</v>
      </c>
      <c r="N193" s="31" t="str">
        <f>"item_"&amp;CONTROL[[#This Row],[VEHIDCODE]]</f>
        <v>item_diesel_Germany_DB_220</v>
      </c>
      <c r="O193" s="31" t="str">
        <f>"str_"&amp;CONTROL[[#This Row],[VEHIDCODE]]</f>
        <v>str_diesel_Germany_DB_220</v>
      </c>
    </row>
    <row r="194" spans="1:15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t="s">
        <v>1200</v>
      </c>
      <c r="G194" t="s">
        <v>2513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ISNUMBER(_xlfn.XMATCH(CONTROL[[#This Row],[VEHIDCODE]],GRAPHICS_PROPERTIES[VEHIDCODE],0))</f>
        <v>1</v>
      </c>
      <c r="N194" s="31" t="str">
        <f>"item_"&amp;CONTROL[[#This Row],[VEHIDCODE]]</f>
        <v>item_diesel_USA_Amtrak_FL9</v>
      </c>
      <c r="O194" s="31" t="str">
        <f>"str_"&amp;CONTROL[[#This Row],[VEHIDCODE]]</f>
        <v>str_diesel_USA_Amtrak_FL9</v>
      </c>
    </row>
    <row r="195" spans="1:15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t="s">
        <v>2787</v>
      </c>
      <c r="G195" t="s">
        <v>2514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ISNUMBER(_xlfn.XMATCH(CONTROL[[#This Row],[VEHIDCODE]],GRAPHICS_PROPERTIES[VEHIDCODE],0))</f>
        <v>1</v>
      </c>
      <c r="N195" s="31" t="str">
        <f>"item_"&amp;CONTROL[[#This Row],[VEHIDCODE]]</f>
        <v>item_diesel_Czech_Republic_CD_720_ChME2</v>
      </c>
      <c r="O195" s="31" t="str">
        <f>"str_"&amp;CONTROL[[#This Row],[VEHIDCODE]]</f>
        <v>str_diesel_Czech_Republic_CD_720_ChME2</v>
      </c>
    </row>
    <row r="196" spans="1:15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t="s">
        <v>1201</v>
      </c>
      <c r="G196" t="s">
        <v>2515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ISNUMBER(_xlfn.XMATCH(CONTROL[[#This Row],[VEHIDCODE]],GRAPHICS_PROPERTIES[VEHIDCODE],0))</f>
        <v>1</v>
      </c>
      <c r="N196" s="31" t="str">
        <f>"item_"&amp;CONTROL[[#This Row],[VEHIDCODE]]</f>
        <v>item_diesel_Finland_VR_Dr12</v>
      </c>
      <c r="O196" s="31" t="str">
        <f>"str_"&amp;CONTROL[[#This Row],[VEHIDCODE]]</f>
        <v>str_diesel_Finland_VR_Dr12</v>
      </c>
    </row>
    <row r="197" spans="1:15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t="s">
        <v>1202</v>
      </c>
      <c r="G197" t="s">
        <v>2516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ISNUMBER(_xlfn.XMATCH(CONTROL[[#This Row],[VEHIDCODE]],GRAPHICS_PROPERTIES[VEHIDCODE],0))</f>
        <v>1</v>
      </c>
      <c r="N197" s="31" t="str">
        <f>"item_"&amp;CONTROL[[#This Row],[VEHIDCODE]]</f>
        <v>item_diesel_Romania_CFR_060_DA</v>
      </c>
      <c r="O197" s="31" t="str">
        <f>"str_"&amp;CONTROL[[#This Row],[VEHIDCODE]]</f>
        <v>str_diesel_Romania_CFR_060_DA</v>
      </c>
    </row>
    <row r="198" spans="1:15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t="s">
        <v>1203</v>
      </c>
      <c r="G198" t="s">
        <v>2517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ISNUMBER(_xlfn.XMATCH(CONTROL[[#This Row],[VEHIDCODE]],GRAPHICS_PROPERTIES[VEHIDCODE],0))</f>
        <v>1</v>
      </c>
      <c r="N198" s="31" t="str">
        <f>"item_"&amp;CONTROL[[#This Row],[VEHIDCODE]]</f>
        <v>item_diesel_Brazil_BF_EMD_GL8</v>
      </c>
      <c r="O198" s="31" t="str">
        <f>"str_"&amp;CONTROL[[#This Row],[VEHIDCODE]]</f>
        <v>str_diesel_Brazil_BF_EMD_GL8</v>
      </c>
    </row>
    <row r="199" spans="1:15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t="s">
        <v>1204</v>
      </c>
      <c r="G199" t="s">
        <v>2518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ISNUMBER(_xlfn.XMATCH(CONTROL[[#This Row],[VEHIDCODE]],GRAPHICS_PROPERTIES[VEHIDCODE],0))</f>
        <v>1</v>
      </c>
      <c r="N199" s="31" t="str">
        <f>"item_"&amp;CONTROL[[#This Row],[VEHIDCODE]]</f>
        <v>item_diesel_Brazil_EFVM_ML4000</v>
      </c>
      <c r="O199" s="31" t="str">
        <f>"str_"&amp;CONTROL[[#This Row],[VEHIDCODE]]</f>
        <v>str_diesel_Brazil_EFVM_ML4000</v>
      </c>
    </row>
    <row r="200" spans="1:15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t="s">
        <v>1205</v>
      </c>
      <c r="G200" t="s">
        <v>2519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ISNUMBER(_xlfn.XMATCH(CONTROL[[#This Row],[VEHIDCODE]],GRAPHICS_PROPERTIES[VEHIDCODE],0))</f>
        <v>1</v>
      </c>
      <c r="N200" s="31" t="str">
        <f>"item_"&amp;CONTROL[[#This Row],[VEHIDCODE]]</f>
        <v>item_diesel_Russia_RZD_TEP60</v>
      </c>
      <c r="O200" s="31" t="str">
        <f>"str_"&amp;CONTROL[[#This Row],[VEHIDCODE]]</f>
        <v>str_diesel_Russia_RZD_TEP60</v>
      </c>
    </row>
    <row r="201" spans="1:15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t="s">
        <v>1206</v>
      </c>
      <c r="G201" t="s">
        <v>2520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ISNUMBER(_xlfn.XMATCH(CONTROL[[#This Row],[VEHIDCODE]],GRAPHICS_PROPERTIES[VEHIDCODE],0))</f>
        <v>1</v>
      </c>
      <c r="N201" s="31" t="str">
        <f>"item_"&amp;CONTROL[[#This Row],[VEHIDCODE]]</f>
        <v>item_diesel_Belgium_NMBS_SNCB_62</v>
      </c>
      <c r="O201" s="31" t="str">
        <f>"str_"&amp;CONTROL[[#This Row],[VEHIDCODE]]</f>
        <v>str_diesel_Belgium_NMBS_SNCB_62</v>
      </c>
    </row>
    <row r="202" spans="1:15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t="s">
        <v>1207</v>
      </c>
      <c r="G202" t="s">
        <v>2521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ISNUMBER(_xlfn.XMATCH(CONTROL[[#This Row],[VEHIDCODE]],GRAPHICS_PROPERTIES[VEHIDCODE],0))</f>
        <v>1</v>
      </c>
      <c r="N202" s="31" t="str">
        <f>"item_"&amp;CONTROL[[#This Row],[VEHIDCODE]]</f>
        <v>item_diesel_Denmark_DSB_MaK_100</v>
      </c>
      <c r="O202" s="31" t="str">
        <f>"str_"&amp;CONTROL[[#This Row],[VEHIDCODE]]</f>
        <v>str_diesel_Denmark_DSB_MaK_100</v>
      </c>
    </row>
    <row r="203" spans="1:15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t="s">
        <v>1208</v>
      </c>
      <c r="G203" t="s">
        <v>2522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ISNUMBER(_xlfn.XMATCH(CONTROL[[#This Row],[VEHIDCODE]],GRAPHICS_PROPERTIES[VEHIDCODE],0))</f>
        <v>1</v>
      </c>
      <c r="N203" s="31" t="str">
        <f>"item_"&amp;CONTROL[[#This Row],[VEHIDCODE]]</f>
        <v>item_diesel_India_Indian_Railways_WDM_2</v>
      </c>
      <c r="O203" s="31" t="str">
        <f>"str_"&amp;CONTROL[[#This Row],[VEHIDCODE]]</f>
        <v>str_diesel_India_Indian_Railways_WDM_2</v>
      </c>
    </row>
    <row r="204" spans="1:15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t="s">
        <v>1209</v>
      </c>
      <c r="G204" t="s">
        <v>2523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ISNUMBER(_xlfn.XMATCH(CONTROL[[#This Row],[VEHIDCODE]],GRAPHICS_PROPERTIES[VEHIDCODE],0))</f>
        <v>1</v>
      </c>
      <c r="N204" s="31" t="str">
        <f>"item_"&amp;CONTROL[[#This Row],[VEHIDCODE]]</f>
        <v>item_diesel_UK_BR_14</v>
      </c>
      <c r="O204" s="31" t="str">
        <f>"str_"&amp;CONTROL[[#This Row],[VEHIDCODE]]</f>
        <v>str_diesel_UK_BR_14</v>
      </c>
    </row>
    <row r="205" spans="1:15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t="s">
        <v>1210</v>
      </c>
      <c r="G205" t="s">
        <v>2524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ISNUMBER(_xlfn.XMATCH(CONTROL[[#This Row],[VEHIDCODE]],GRAPHICS_PROPERTIES[VEHIDCODE],0))</f>
        <v>1</v>
      </c>
      <c r="N205" s="31" t="str">
        <f>"item_"&amp;CONTROL[[#This Row],[VEHIDCODE]]</f>
        <v>item_diesel_Russia_RZD_ChME3</v>
      </c>
      <c r="O205" s="31" t="str">
        <f>"str_"&amp;CONTROL[[#This Row],[VEHIDCODE]]</f>
        <v>str_diesel_Russia_RZD_ChME3</v>
      </c>
    </row>
    <row r="206" spans="1:15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t="s">
        <v>2525</v>
      </c>
      <c r="G206" t="s">
        <v>2526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ISNUMBER(_xlfn.XMATCH(CONTROL[[#This Row],[VEHIDCODE]],GRAPHICS_PROPERTIES[VEHIDCODE],0))</f>
        <v>1</v>
      </c>
      <c r="N206" s="31" t="str">
        <f>"item_"&amp;CONTROL[[#This Row],[VEHIDCODE]]</f>
        <v>item_diesel_Argentina_MF_GM_EMD_J16CW_AC</v>
      </c>
      <c r="O206" s="31" t="str">
        <f>"str_"&amp;CONTROL[[#This Row],[VEHIDCODE]]</f>
        <v>str_diesel_Argentina_MF_GM_EMD_J16CW_AC</v>
      </c>
    </row>
    <row r="207" spans="1:15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t="s">
        <v>1211</v>
      </c>
      <c r="G207" t="s">
        <v>2527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ISNUMBER(_xlfn.XMATCH(CONTROL[[#This Row],[VEHIDCODE]],GRAPHICS_PROPERTIES[VEHIDCODE],0))</f>
        <v>1</v>
      </c>
      <c r="N207" s="31" t="str">
        <f>"item_"&amp;CONTROL[[#This Row],[VEHIDCODE]]</f>
        <v>item_diesel_Russia_RZD_M62</v>
      </c>
      <c r="O207" s="31" t="str">
        <f>"str_"&amp;CONTROL[[#This Row],[VEHIDCODE]]</f>
        <v>str_diesel_Russia_RZD_M62</v>
      </c>
    </row>
    <row r="208" spans="1:15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t="s">
        <v>1212</v>
      </c>
      <c r="G208" t="s">
        <v>2528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ISNUMBER(_xlfn.XMATCH(CONTROL[[#This Row],[VEHIDCODE]],GRAPHICS_PROPERTIES[VEHIDCODE],0))</f>
        <v>1</v>
      </c>
      <c r="N208" s="31" t="str">
        <f>"item_"&amp;CONTROL[[#This Row],[VEHIDCODE]]</f>
        <v>item_diesel_Australia_NSWGR_422</v>
      </c>
      <c r="O208" s="31" t="str">
        <f>"str_"&amp;CONTROL[[#This Row],[VEHIDCODE]]</f>
        <v>str_diesel_Australia_NSWGR_422</v>
      </c>
    </row>
    <row r="209" spans="1:15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t="s">
        <v>1213</v>
      </c>
      <c r="G209" t="s">
        <v>2529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ISNUMBER(_xlfn.XMATCH(CONTROL[[#This Row],[VEHIDCODE]],GRAPHICS_PROPERTIES[VEHIDCODE],0))</f>
        <v>1</v>
      </c>
      <c r="N209" s="31" t="str">
        <f>"item_"&amp;CONTROL[[#This Row],[VEHIDCODE]]</f>
        <v>item_diesel_Egypt_ENR_G22W</v>
      </c>
      <c r="O209" s="31" t="str">
        <f>"str_"&amp;CONTROL[[#This Row],[VEHIDCODE]]</f>
        <v>str_diesel_Egypt_ENR_G22W</v>
      </c>
    </row>
    <row r="210" spans="1:15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t="s">
        <v>1214</v>
      </c>
      <c r="G210" t="s">
        <v>2530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ISNUMBER(_xlfn.XMATCH(CONTROL[[#This Row],[VEHIDCODE]],GRAPHICS_PROPERTIES[VEHIDCODE],0))</f>
        <v>1</v>
      </c>
      <c r="N210" s="31" t="str">
        <f>"item_"&amp;CONTROL[[#This Row],[VEHIDCODE]]</f>
        <v>item_diesel_USA_UP_EMD_DDA40X</v>
      </c>
      <c r="O210" s="31" t="str">
        <f>"str_"&amp;CONTROL[[#This Row],[VEHIDCODE]]</f>
        <v>str_diesel_USA_UP_EMD_DDA40X</v>
      </c>
    </row>
    <row r="211" spans="1:15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t="s">
        <v>1215</v>
      </c>
      <c r="G211" t="s">
        <v>2531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ISNUMBER(_xlfn.XMATCH(CONTROL[[#This Row],[VEHIDCODE]],GRAPHICS_PROPERTIES[VEHIDCODE],0))</f>
        <v>1</v>
      </c>
      <c r="N211" s="31" t="str">
        <f>"item_"&amp;CONTROL[[#This Row],[VEHIDCODE]]</f>
        <v>item_diesel_Australia_Queensland_Rail_2100</v>
      </c>
      <c r="O211" s="31" t="str">
        <f>"str_"&amp;CONTROL[[#This Row],[VEHIDCODE]]</f>
        <v>str_diesel_Australia_Queensland_Rail_2100</v>
      </c>
    </row>
    <row r="212" spans="1:15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t="s">
        <v>1216</v>
      </c>
      <c r="G212" t="s">
        <v>2532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ISNUMBER(_xlfn.XMATCH(CONTROL[[#This Row],[VEHIDCODE]],GRAPHICS_PROPERTIES[VEHIDCODE],0))</f>
        <v>1</v>
      </c>
      <c r="N212" s="31" t="str">
        <f>"item_"&amp;CONTROL[[#This Row],[VEHIDCODE]]</f>
        <v>item_diesel_Croatia_HZ_2062</v>
      </c>
      <c r="O212" s="31" t="str">
        <f>"str_"&amp;CONTROL[[#This Row],[VEHIDCODE]]</f>
        <v>str_diesel_Croatia_HZ_2062</v>
      </c>
    </row>
    <row r="213" spans="1:15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t="s">
        <v>1217</v>
      </c>
      <c r="G213" t="s">
        <v>2533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ISNUMBER(_xlfn.XMATCH(CONTROL[[#This Row],[VEHIDCODE]],GRAPHICS_PROPERTIES[VEHIDCODE],0))</f>
        <v>1</v>
      </c>
      <c r="N213" s="31" t="str">
        <f>"item_"&amp;CONTROL[[#This Row],[VEHIDCODE]]</f>
        <v>item_diesel_Sweden_SJ_V4</v>
      </c>
      <c r="O213" s="31" t="str">
        <f>"str_"&amp;CONTROL[[#This Row],[VEHIDCODE]]</f>
        <v>str_diesel_Sweden_SJ_V4</v>
      </c>
    </row>
    <row r="214" spans="1:15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t="s">
        <v>1218</v>
      </c>
      <c r="G214" t="s">
        <v>2534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ISNUMBER(_xlfn.XMATCH(CONTROL[[#This Row],[VEHIDCODE]],GRAPHICS_PROPERTIES[VEHIDCODE],0))</f>
        <v>1</v>
      </c>
      <c r="N214" s="31" t="str">
        <f>"item_"&amp;CONTROL[[#This Row],[VEHIDCODE]]</f>
        <v>item_diesel_Canada_CNR_MLW_M420W</v>
      </c>
      <c r="O214" s="31" t="str">
        <f>"str_"&amp;CONTROL[[#This Row],[VEHIDCODE]]</f>
        <v>str_diesel_Canada_CNR_MLW_M420W</v>
      </c>
    </row>
    <row r="215" spans="1:15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t="s">
        <v>1219</v>
      </c>
      <c r="G215" t="s">
        <v>2535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ISNUMBER(_xlfn.XMATCH(CONTROL[[#This Row],[VEHIDCODE]],GRAPHICS_PROPERTIES[VEHIDCODE],0))</f>
        <v>1</v>
      </c>
      <c r="N215" s="31" t="str">
        <f>"item_"&amp;CONTROL[[#This Row],[VEHIDCODE]]</f>
        <v>item_diesel_USA_Amtrak_SDP_40F</v>
      </c>
      <c r="O215" s="31" t="str">
        <f>"str_"&amp;CONTROL[[#This Row],[VEHIDCODE]]</f>
        <v>str_diesel_USA_Amtrak_SDP_40F</v>
      </c>
    </row>
    <row r="216" spans="1:15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t="s">
        <v>1220</v>
      </c>
      <c r="G216" t="s">
        <v>2536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ISNUMBER(_xlfn.XMATCH(CONTROL[[#This Row],[VEHIDCODE]],GRAPHICS_PROPERTIES[VEHIDCODE],0))</f>
        <v>1</v>
      </c>
      <c r="N216" s="31" t="str">
        <f>"item_"&amp;CONTROL[[#This Row],[VEHIDCODE]]</f>
        <v>item_diesel_China_China_Railways_DFH3</v>
      </c>
      <c r="O216" s="31" t="str">
        <f>"str_"&amp;CONTROL[[#This Row],[VEHIDCODE]]</f>
        <v>str_diesel_China_China_Railways_DFH3</v>
      </c>
    </row>
    <row r="217" spans="1:15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t="s">
        <v>1221</v>
      </c>
      <c r="G217" t="s">
        <v>2537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ISNUMBER(_xlfn.XMATCH(CONTROL[[#This Row],[VEHIDCODE]],GRAPHICS_PROPERTIES[VEHIDCODE],0))</f>
        <v>1</v>
      </c>
      <c r="N217" s="31" t="str">
        <f>"item_"&amp;CONTROL[[#This Row],[VEHIDCODE]]</f>
        <v>item_diesel_Panama_Panama_Canal_Railway_EMD_F40PH</v>
      </c>
      <c r="O217" s="31" t="str">
        <f>"str_"&amp;CONTROL[[#This Row],[VEHIDCODE]]</f>
        <v>str_diesel_Panama_Panama_Canal_Railway_EMD_F40PH</v>
      </c>
    </row>
    <row r="218" spans="1:15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t="s">
        <v>1222</v>
      </c>
      <c r="G218" t="s">
        <v>2538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ISNUMBER(_xlfn.XMATCH(CONTROL[[#This Row],[VEHIDCODE]],GRAPHICS_PROPERTIES[VEHIDCODE],0))</f>
        <v>1</v>
      </c>
      <c r="N218" s="31" t="str">
        <f>"item_"&amp;CONTROL[[#This Row],[VEHIDCODE]]</f>
        <v>item_diesel_Portugal_CP_1900</v>
      </c>
      <c r="O218" s="31" t="str">
        <f>"str_"&amp;CONTROL[[#This Row],[VEHIDCODE]]</f>
        <v>str_diesel_Portugal_CP_1900</v>
      </c>
    </row>
    <row r="219" spans="1:15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t="s">
        <v>1223</v>
      </c>
      <c r="G219" t="s">
        <v>2539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ISNUMBER(_xlfn.XMATCH(CONTROL[[#This Row],[VEHIDCODE]],GRAPHICS_PROPERTIES[VEHIDCODE],0))</f>
        <v>1</v>
      </c>
      <c r="N219" s="31" t="str">
        <f>"item_"&amp;CONTROL[[#This Row],[VEHIDCODE]]</f>
        <v>item_diesel_Finland_VR_Dr16</v>
      </c>
      <c r="O219" s="31" t="str">
        <f>"str_"&amp;CONTROL[[#This Row],[VEHIDCODE]]</f>
        <v>str_diesel_Finland_VR_Dr16</v>
      </c>
    </row>
    <row r="220" spans="1:15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t="s">
        <v>1224</v>
      </c>
      <c r="G220" t="s">
        <v>2540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ISNUMBER(_xlfn.XMATCH(CONTROL[[#This Row],[VEHIDCODE]],GRAPHICS_PROPERTIES[VEHIDCODE],0))</f>
        <v>1</v>
      </c>
      <c r="N220" s="31" t="str">
        <f>"item_"&amp;CONTROL[[#This Row],[VEHIDCODE]]</f>
        <v>item_diesel_Russia_RZD_TEP80</v>
      </c>
      <c r="O220" s="31" t="str">
        <f>"str_"&amp;CONTROL[[#This Row],[VEHIDCODE]]</f>
        <v>str_diesel_Russia_RZD_TEP80</v>
      </c>
    </row>
    <row r="221" spans="1:15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t="s">
        <v>1225</v>
      </c>
      <c r="G221" t="s">
        <v>2541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ISNUMBER(_xlfn.XMATCH(CONTROL[[#This Row],[VEHIDCODE]],GRAPHICS_PROPERTIES[VEHIDCODE],0))</f>
        <v>1</v>
      </c>
      <c r="N221" s="31" t="str">
        <f>"item_"&amp;CONTROL[[#This Row],[VEHIDCODE]]</f>
        <v>item_diesel_Australia_Australian_National_AN</v>
      </c>
      <c r="O221" s="31" t="str">
        <f>"str_"&amp;CONTROL[[#This Row],[VEHIDCODE]]</f>
        <v>str_diesel_Australia_Australian_National_AN</v>
      </c>
    </row>
    <row r="222" spans="1:15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t="s">
        <v>1226</v>
      </c>
      <c r="G222" t="s">
        <v>2542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ISNUMBER(_xlfn.XMATCH(CONTROL[[#This Row],[VEHIDCODE]],GRAPHICS_PROPERTIES[VEHIDCODE],0))</f>
        <v>1</v>
      </c>
      <c r="N222" s="31" t="str">
        <f>"item_"&amp;CONTROL[[#This Row],[VEHIDCODE]]</f>
        <v>item_diesel_USA_Amtrak_P42DC_Genesis</v>
      </c>
      <c r="O222" s="31" t="str">
        <f>"str_"&amp;CONTROL[[#This Row],[VEHIDCODE]]</f>
        <v>str_diesel_USA_Amtrak_P42DC_Genesis</v>
      </c>
    </row>
    <row r="223" spans="1:15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t="s">
        <v>2788</v>
      </c>
      <c r="G223" t="s">
        <v>2543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ISNUMBER(_xlfn.XMATCH(CONTROL[[#This Row],[VEHIDCODE]],GRAPHICS_PROPERTIES[VEHIDCODE],0))</f>
        <v>1</v>
      </c>
      <c r="N223" s="31" t="str">
        <f>"item_"&amp;CONTROL[[#This Row],[VEHIDCODE]]</f>
        <v>item_diesel_Turkey_TCDD_DH7000</v>
      </c>
      <c r="O223" s="31" t="str">
        <f>"str_"&amp;CONTROL[[#This Row],[VEHIDCODE]]</f>
        <v>str_diesel_Turkey_TCDD_DH7000</v>
      </c>
    </row>
    <row r="224" spans="1:15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t="s">
        <v>1227</v>
      </c>
      <c r="G224" t="s">
        <v>3027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ISNUMBER(_xlfn.XMATCH(CONTROL[[#This Row],[VEHIDCODE]],GRAPHICS_PROPERTIES[VEHIDCODE],0))</f>
        <v>1</v>
      </c>
      <c r="N224" s="31" t="str">
        <f>"item_"&amp;CONTROL[[#This Row],[VEHIDCODE]]</f>
        <v>item_diesel_Argentina_MF_GE_U20C</v>
      </c>
      <c r="O224" s="31" t="str">
        <f>"str_"&amp;CONTROL[[#This Row],[VEHIDCODE]]</f>
        <v>str_diesel_Argentina_MF_GE_U20C</v>
      </c>
    </row>
    <row r="225" spans="1:15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t="s">
        <v>1228</v>
      </c>
      <c r="G225" t="s">
        <v>2544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ISNUMBER(_xlfn.XMATCH(CONTROL[[#This Row],[VEHIDCODE]],GRAPHICS_PROPERTIES[VEHIDCODE],0))</f>
        <v>1</v>
      </c>
      <c r="N225" s="31" t="str">
        <f>"item_"&amp;CONTROL[[#This Row],[VEHIDCODE]]</f>
        <v>item_diesel_Belgium_NMBS_SNCB_7800</v>
      </c>
      <c r="O225" s="31" t="str">
        <f>"str_"&amp;CONTROL[[#This Row],[VEHIDCODE]]</f>
        <v>str_diesel_Belgium_NMBS_SNCB_7800</v>
      </c>
    </row>
    <row r="226" spans="1:15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t="s">
        <v>1229</v>
      </c>
      <c r="G226" t="s">
        <v>2545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ISNUMBER(_xlfn.XMATCH(CONTROL[[#This Row],[VEHIDCODE]],GRAPHICS_PROPERTIES[VEHIDCODE],0))</f>
        <v>1</v>
      </c>
      <c r="N226" s="31" t="str">
        <f>"item_"&amp;CONTROL[[#This Row],[VEHIDCODE]]</f>
        <v>item_diesel_UK_BR_66</v>
      </c>
      <c r="O226" s="31" t="str">
        <f>"str_"&amp;CONTROL[[#This Row],[VEHIDCODE]]</f>
        <v>str_diesel_UK_BR_66</v>
      </c>
    </row>
    <row r="227" spans="1:15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t="s">
        <v>1230</v>
      </c>
      <c r="G227" t="s">
        <v>2546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ISNUMBER(_xlfn.XMATCH(CONTROL[[#This Row],[VEHIDCODE]],GRAPHICS_PROPERTIES[VEHIDCODE],0))</f>
        <v>1</v>
      </c>
      <c r="N227" s="31" t="str">
        <f>"item_"&amp;CONTROL[[#This Row],[VEHIDCODE]]</f>
        <v>item_diesel_UK_BR_67</v>
      </c>
      <c r="O227" s="31" t="str">
        <f>"str_"&amp;CONTROL[[#This Row],[VEHIDCODE]]</f>
        <v>str_diesel_UK_BR_67</v>
      </c>
    </row>
    <row r="228" spans="1:15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t="s">
        <v>1231</v>
      </c>
      <c r="G228" t="s">
        <v>2547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ISNUMBER(_xlfn.XMATCH(CONTROL[[#This Row],[VEHIDCODE]],GRAPHICS_PROPERTIES[VEHIDCODE],0))</f>
        <v>1</v>
      </c>
      <c r="N228" s="31" t="str">
        <f>"item_"&amp;CONTROL[[#This Row],[VEHIDCODE]]</f>
        <v>item_diesel_Iran_RAI_DE43CA_Prima</v>
      </c>
      <c r="O228" s="31" t="str">
        <f>"str_"&amp;CONTROL[[#This Row],[VEHIDCODE]]</f>
        <v>str_diesel_Iran_RAI_DE43CA_Prima</v>
      </c>
    </row>
    <row r="229" spans="1:15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t="s">
        <v>1232</v>
      </c>
      <c r="G229" t="s">
        <v>2548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ISNUMBER(_xlfn.XMATCH(CONTROL[[#This Row],[VEHIDCODE]],GRAPHICS_PROPERTIES[VEHIDCODE],0))</f>
        <v>1</v>
      </c>
      <c r="N229" s="31" t="str">
        <f>"item_"&amp;CONTROL[[#This Row],[VEHIDCODE]]</f>
        <v>item_diesel_Ukraine_UZ_TEP150</v>
      </c>
      <c r="O229" s="31" t="str">
        <f>"str_"&amp;CONTROL[[#This Row],[VEHIDCODE]]</f>
        <v>str_diesel_Ukraine_UZ_TEP150</v>
      </c>
    </row>
    <row r="230" spans="1:15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t="s">
        <v>1233</v>
      </c>
      <c r="G230" t="s">
        <v>2549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ISNUMBER(_xlfn.XMATCH(CONTROL[[#This Row],[VEHIDCODE]],GRAPHICS_PROPERTIES[VEHIDCODE],0))</f>
        <v>1</v>
      </c>
      <c r="N230" s="31" t="str">
        <f>"item_"&amp;CONTROL[[#This Row],[VEHIDCODE]]</f>
        <v>item_diesel_China_China_Railways_HXN5</v>
      </c>
      <c r="O230" s="31" t="str">
        <f>"str_"&amp;CONTROL[[#This Row],[VEHIDCODE]]</f>
        <v>str_diesel_China_China_Railways_HXN5</v>
      </c>
    </row>
    <row r="231" spans="1:15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t="s">
        <v>1234</v>
      </c>
      <c r="G231" t="s">
        <v>2550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ISNUMBER(_xlfn.XMATCH(CONTROL[[#This Row],[VEHIDCODE]],GRAPHICS_PROPERTIES[VEHIDCODE],0))</f>
        <v>1</v>
      </c>
      <c r="N231" s="31" t="str">
        <f>"item_"&amp;CONTROL[[#This Row],[VEHIDCODE]]</f>
        <v>item_diesel_Germany_DB_261_Gravita_10BB</v>
      </c>
      <c r="O231" s="31" t="str">
        <f>"str_"&amp;CONTROL[[#This Row],[VEHIDCODE]]</f>
        <v>str_diesel_Germany_DB_261_Gravita_10BB</v>
      </c>
    </row>
    <row r="232" spans="1:15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t="s">
        <v>1235</v>
      </c>
      <c r="G232" t="s">
        <v>2551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ISNUMBER(_xlfn.XMATCH(CONTROL[[#This Row],[VEHIDCODE]],GRAPHICS_PROPERTIES[VEHIDCODE],0))</f>
        <v>1</v>
      </c>
      <c r="N232" s="31" t="str">
        <f>"item_"&amp;CONTROL[[#This Row],[VEHIDCODE]]</f>
        <v>item_diesel_Russia_RZD_GT1</v>
      </c>
      <c r="O232" s="31" t="str">
        <f>"str_"&amp;CONTROL[[#This Row],[VEHIDCODE]]</f>
        <v>str_diesel_Russia_RZD_GT1</v>
      </c>
    </row>
    <row r="233" spans="1:15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t="s">
        <v>1236</v>
      </c>
      <c r="G233" t="s">
        <v>2553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ISNUMBER(_xlfn.XMATCH(CONTROL[[#This Row],[VEHIDCODE]],GRAPHICS_PROPERTIES[VEHIDCODE],0))</f>
        <v>1</v>
      </c>
      <c r="N233" s="31" t="str">
        <f>"item_"&amp;CONTROL[[#This Row],[VEHIDCODE]]</f>
        <v>item_diesel_China_MTR_8000</v>
      </c>
      <c r="O233" s="31" t="str">
        <f>"str_"&amp;CONTROL[[#This Row],[VEHIDCODE]]</f>
        <v>str_diesel_China_MTR_8000</v>
      </c>
    </row>
    <row r="234" spans="1:15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t="s">
        <v>1718</v>
      </c>
      <c r="G234" t="s">
        <v>2554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ISNUMBER(_xlfn.XMATCH(CONTROL[[#This Row],[VEHIDCODE]],GRAPHICS_PROPERTIES[VEHIDCODE],0))</f>
        <v>1</v>
      </c>
      <c r="N234" s="31" t="str">
        <f>"item_"&amp;CONTROL[[#This Row],[VEHIDCODE]]</f>
        <v>item_diesel_Germany_HVLE_V490</v>
      </c>
      <c r="O234" s="31" t="str">
        <f>"str_"&amp;CONTROL[[#This Row],[VEHIDCODE]]</f>
        <v>str_diesel_Germany_HVLE_V490</v>
      </c>
    </row>
    <row r="235" spans="1:15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t="s">
        <v>1237</v>
      </c>
      <c r="G235" t="s">
        <v>2524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ISNUMBER(_xlfn.XMATCH(CONTROL[[#This Row],[VEHIDCODE]],GRAPHICS_PROPERTIES[VEHIDCODE],0))</f>
        <v>1</v>
      </c>
      <c r="N235" s="31" t="str">
        <f>"item_"&amp;CONTROL[[#This Row],[VEHIDCODE]]</f>
        <v>item_diesel_Russia_RZD_Emch_3</v>
      </c>
      <c r="O235" s="31" t="str">
        <f>"str_"&amp;CONTROL[[#This Row],[VEHIDCODE]]</f>
        <v>str_diesel_Russia_RZD_Emch_3</v>
      </c>
    </row>
    <row r="236" spans="1:15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t="s">
        <v>1238</v>
      </c>
      <c r="G236" t="s">
        <v>2555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ISNUMBER(_xlfn.XMATCH(CONTROL[[#This Row],[VEHIDCODE]],GRAPHICS_PROPERTIES[VEHIDCODE],0))</f>
        <v>1</v>
      </c>
      <c r="N236" s="31" t="str">
        <f>"item_"&amp;CONTROL[[#This Row],[VEHIDCODE]]</f>
        <v>item_diesel_Canada_CNR_9000</v>
      </c>
      <c r="O236" s="31" t="str">
        <f>"str_"&amp;CONTROL[[#This Row],[VEHIDCODE]]</f>
        <v>str_diesel_Canada_CNR_9000</v>
      </c>
    </row>
    <row r="237" spans="1:15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t="s">
        <v>1239</v>
      </c>
      <c r="G237" t="s">
        <v>2556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ISNUMBER(_xlfn.XMATCH(CONTROL[[#This Row],[VEHIDCODE]],GRAPHICS_PROPERTIES[VEHIDCODE],0))</f>
        <v>1</v>
      </c>
      <c r="N237" s="31" t="str">
        <f>"item_"&amp;CONTROL[[#This Row],[VEHIDCODE]]</f>
        <v>item_diesel_UK_LMS_7051_Diesel_Shunter</v>
      </c>
      <c r="O237" s="31" t="str">
        <f>"str_"&amp;CONTROL[[#This Row],[VEHIDCODE]]</f>
        <v>str_diesel_UK_LMS_7051_Diesel_Shunter</v>
      </c>
    </row>
    <row r="238" spans="1:15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t="s">
        <v>1240</v>
      </c>
      <c r="G238" t="s">
        <v>2557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ISNUMBER(_xlfn.XMATCH(CONTROL[[#This Row],[VEHIDCODE]],GRAPHICS_PROPERTIES[VEHIDCODE],0))</f>
        <v>1</v>
      </c>
      <c r="N238" s="31" t="str">
        <f>"item_"&amp;CONTROL[[#This Row],[VEHIDCODE]]</f>
        <v>item_diesel_USA_Rock_Island_EMC_TA</v>
      </c>
      <c r="O238" s="31" t="str">
        <f>"str_"&amp;CONTROL[[#This Row],[VEHIDCODE]]</f>
        <v>str_diesel_USA_Rock_Island_EMC_TA</v>
      </c>
    </row>
    <row r="239" spans="1:15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t="s">
        <v>1241</v>
      </c>
      <c r="G239" t="s">
        <v>2558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ISNUMBER(_xlfn.XMATCH(CONTROL[[#This Row],[VEHIDCODE]],GRAPHICS_PROPERTIES[VEHIDCODE],0))</f>
        <v>1</v>
      </c>
      <c r="N239" s="31" t="str">
        <f>"item_"&amp;CONTROL[[#This Row],[VEHIDCODE]]</f>
        <v>item_diesel_USA_NYC_Baldwin_VO_660</v>
      </c>
      <c r="O239" s="31" t="str">
        <f>"str_"&amp;CONTROL[[#This Row],[VEHIDCODE]]</f>
        <v>str_diesel_USA_NYC_Baldwin_VO_660</v>
      </c>
    </row>
    <row r="240" spans="1:15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t="s">
        <v>1242</v>
      </c>
      <c r="G240" t="s">
        <v>2559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ISNUMBER(_xlfn.XMATCH(CONTROL[[#This Row],[VEHIDCODE]],GRAPHICS_PROPERTIES[VEHIDCODE],0))</f>
        <v>1</v>
      </c>
      <c r="N240" s="31" t="str">
        <f>"item_"&amp;CONTROL[[#This Row],[VEHIDCODE]]</f>
        <v>item_diesel_UK_BR_Class_D3_7</v>
      </c>
      <c r="O240" s="31" t="str">
        <f>"str_"&amp;CONTROL[[#This Row],[VEHIDCODE]]</f>
        <v>str_diesel_UK_BR_Class_D3_7</v>
      </c>
    </row>
    <row r="241" spans="1:15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t="s">
        <v>1243</v>
      </c>
      <c r="G241" t="s">
        <v>2560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ISNUMBER(_xlfn.XMATCH(CONTROL[[#This Row],[VEHIDCODE]],GRAPHICS_PROPERTIES[VEHIDCODE],0))</f>
        <v>1</v>
      </c>
      <c r="N241" s="31" t="str">
        <f>"item_"&amp;CONTROL[[#This Row],[VEHIDCODE]]</f>
        <v>item_diesel_Australia_Queensland_Railways_DL_Class</v>
      </c>
      <c r="O241" s="31" t="str">
        <f>"str_"&amp;CONTROL[[#This Row],[VEHIDCODE]]</f>
        <v>str_diesel_Australia_Queensland_Railways_DL_Class</v>
      </c>
    </row>
    <row r="242" spans="1:15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t="s">
        <v>1244</v>
      </c>
      <c r="G242" t="s">
        <v>2561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ISNUMBER(_xlfn.XMATCH(CONTROL[[#This Row],[VEHIDCODE]],GRAPHICS_PROPERTIES[VEHIDCODE],0))</f>
        <v>1</v>
      </c>
      <c r="N242" s="31" t="str">
        <f>"item_"&amp;CONTROL[[#This Row],[VEHIDCODE]]</f>
        <v>item_diesel_USA_PRR_FM_H_10_44</v>
      </c>
      <c r="O242" s="31" t="str">
        <f>"str_"&amp;CONTROL[[#This Row],[VEHIDCODE]]</f>
        <v>str_diesel_USA_PRR_FM_H_10_44</v>
      </c>
    </row>
    <row r="243" spans="1:15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t="s">
        <v>1245</v>
      </c>
      <c r="G243" t="s">
        <v>2562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ISNUMBER(_xlfn.XMATCH(CONTROL[[#This Row],[VEHIDCODE]],GRAPHICS_PROPERTIES[VEHIDCODE],0))</f>
        <v>1</v>
      </c>
      <c r="N243" s="31" t="str">
        <f>"item_"&amp;CONTROL[[#This Row],[VEHIDCODE]]</f>
        <v>item_diesel_Algeria_SNTF_Baldwin_DRS6_4_1000</v>
      </c>
      <c r="O243" s="31" t="str">
        <f>"str_"&amp;CONTROL[[#This Row],[VEHIDCODE]]</f>
        <v>str_diesel_Algeria_SNTF_Baldwin_DRS6_4_1000</v>
      </c>
    </row>
    <row r="244" spans="1:15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t="s">
        <v>2564</v>
      </c>
      <c r="G244" t="s">
        <v>2563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ISNUMBER(_xlfn.XMATCH(CONTROL[[#This Row],[VEHIDCODE]],GRAPHICS_PROPERTIES[VEHIDCODE],0))</f>
        <v>1</v>
      </c>
      <c r="N244" s="31" t="str">
        <f>"item_"&amp;CONTROL[[#This Row],[VEHIDCODE]]</f>
        <v>item_diesel_Ireland_CIE_113</v>
      </c>
      <c r="O244" s="31" t="str">
        <f>"str_"&amp;CONTROL[[#This Row],[VEHIDCODE]]</f>
        <v>str_diesel_Ireland_CIE_113</v>
      </c>
    </row>
    <row r="245" spans="1:15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t="s">
        <v>1246</v>
      </c>
      <c r="G245" t="s">
        <v>2565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ISNUMBER(_xlfn.XMATCH(CONTROL[[#This Row],[VEHIDCODE]],GRAPHICS_PROPERTIES[VEHIDCODE],0))</f>
        <v>1</v>
      </c>
      <c r="N245" s="31" t="str">
        <f>"item_"&amp;CONTROL[[#This Row],[VEHIDCODE]]</f>
        <v>item_diesel_Brazil_EFC_3300_Baldwin_AS_616</v>
      </c>
      <c r="O245" s="31" t="str">
        <f>"str_"&amp;CONTROL[[#This Row],[VEHIDCODE]]</f>
        <v>str_diesel_Brazil_EFC_3300_Baldwin_AS_616</v>
      </c>
    </row>
    <row r="246" spans="1:15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t="s">
        <v>1247</v>
      </c>
      <c r="G246" t="s">
        <v>2566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ISNUMBER(_xlfn.XMATCH(CONTROL[[#This Row],[VEHIDCODE]],GRAPHICS_PROPERTIES[VEHIDCODE],0))</f>
        <v>1</v>
      </c>
      <c r="N246" s="31" t="str">
        <f>"item_"&amp;CONTROL[[#This Row],[VEHIDCODE]]</f>
        <v>item_diesel_Mexico_CHP_500_FM_H_16_44</v>
      </c>
      <c r="O246" s="31" t="str">
        <f>"str_"&amp;CONTROL[[#This Row],[VEHIDCODE]]</f>
        <v>str_diesel_Mexico_CHP_500_FM_H_16_44</v>
      </c>
    </row>
    <row r="247" spans="1:15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t="s">
        <v>1248</v>
      </c>
      <c r="G247" t="s">
        <v>2568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ISNUMBER(_xlfn.XMATCH(CONTROL[[#This Row],[VEHIDCODE]],GRAPHICS_PROPERTIES[VEHIDCODE],0))</f>
        <v>1</v>
      </c>
      <c r="N247" s="31" t="str">
        <f>"item_"&amp;CONTROL[[#This Row],[VEHIDCODE]]</f>
        <v>item_diesel_Australia_South_Australian_Railways_900</v>
      </c>
      <c r="O247" s="31" t="str">
        <f>"str_"&amp;CONTROL[[#This Row],[VEHIDCODE]]</f>
        <v>str_diesel_Australia_South_Australian_Railways_900</v>
      </c>
    </row>
    <row r="248" spans="1:15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t="s">
        <v>1249</v>
      </c>
      <c r="G248" t="s">
        <v>2567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ISNUMBER(_xlfn.XMATCH(CONTROL[[#This Row],[VEHIDCODE]],GRAPHICS_PROPERTIES[VEHIDCODE],0))</f>
        <v>1</v>
      </c>
      <c r="N248" s="31" t="str">
        <f>"item_"&amp;CONTROL[[#This Row],[VEHIDCODE]]</f>
        <v>item_diesel_Sri_Lanka_Sri_Lanka_Railways_M2</v>
      </c>
      <c r="O248" s="31" t="str">
        <f>"str_"&amp;CONTROL[[#This Row],[VEHIDCODE]]</f>
        <v>str_diesel_Sri_Lanka_Sri_Lanka_Railways_M2</v>
      </c>
    </row>
    <row r="249" spans="1:15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t="s">
        <v>2569</v>
      </c>
      <c r="G249" t="s">
        <v>2570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ISNUMBER(_xlfn.XMATCH(CONTROL[[#This Row],[VEHIDCODE]],GRAPHICS_PROPERTIES[VEHIDCODE],0))</f>
        <v>1</v>
      </c>
      <c r="N249" s="31" t="str">
        <f>"item_"&amp;CONTROL[[#This Row],[VEHIDCODE]]</f>
        <v>item_diesel_Ireland_CIE_001</v>
      </c>
      <c r="O249" s="31" t="str">
        <f>"str_"&amp;CONTROL[[#This Row],[VEHIDCODE]]</f>
        <v>str_diesel_Ireland_CIE_001</v>
      </c>
    </row>
    <row r="250" spans="1:15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t="s">
        <v>1250</v>
      </c>
      <c r="G250" t="s">
        <v>2571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ISNUMBER(_xlfn.XMATCH(CONTROL[[#This Row],[VEHIDCODE]],GRAPHICS_PROPERTIES[VEHIDCODE],0))</f>
        <v>1</v>
      </c>
      <c r="N250" s="31" t="str">
        <f>"item_"&amp;CONTROL[[#This Row],[VEHIDCODE]]</f>
        <v>item_diesel_Italy_FS_D341</v>
      </c>
      <c r="O250" s="31" t="str">
        <f>"str_"&amp;CONTROL[[#This Row],[VEHIDCODE]]</f>
        <v>str_diesel_Italy_FS_D341</v>
      </c>
    </row>
    <row r="251" spans="1:15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t="s">
        <v>1251</v>
      </c>
      <c r="G251" t="s">
        <v>2572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ISNUMBER(_xlfn.XMATCH(CONTROL[[#This Row],[VEHIDCODE]],GRAPHICS_PROPERTIES[VEHIDCODE],0))</f>
        <v>1</v>
      </c>
      <c r="N251" s="31" t="str">
        <f>"item_"&amp;CONTROL[[#This Row],[VEHIDCODE]]</f>
        <v>item_diesel_Australia_NSWGR_44</v>
      </c>
      <c r="O251" s="31" t="str">
        <f>"str_"&amp;CONTROL[[#This Row],[VEHIDCODE]]</f>
        <v>str_diesel_Australia_NSWGR_44</v>
      </c>
    </row>
    <row r="252" spans="1:15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t="s">
        <v>1252</v>
      </c>
      <c r="G252" t="s">
        <v>2573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ISNUMBER(_xlfn.XMATCH(CONTROL[[#This Row],[VEHIDCODE]],GRAPHICS_PROPERTIES[VEHIDCODE],0))</f>
        <v>1</v>
      </c>
      <c r="N252" s="31" t="str">
        <f>"item_"&amp;CONTROL[[#This Row],[VEHIDCODE]]</f>
        <v>item_diesel_Zimbabwe_Zimbabwe_Railways_DH_1</v>
      </c>
      <c r="O252" s="31" t="str">
        <f>"str_"&amp;CONTROL[[#This Row],[VEHIDCODE]]</f>
        <v>str_diesel_Zimbabwe_Zimbabwe_Railways_DH_1</v>
      </c>
    </row>
    <row r="253" spans="1:15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t="s">
        <v>1253</v>
      </c>
      <c r="G253" t="s">
        <v>2574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ISNUMBER(_xlfn.XMATCH(CONTROL[[#This Row],[VEHIDCODE]],GRAPHICS_PROPERTIES[VEHIDCODE],0))</f>
        <v>1</v>
      </c>
      <c r="N253" s="31" t="str">
        <f>"item_"&amp;CONTROL[[#This Row],[VEHIDCODE]]</f>
        <v>item_diesel_South_Korea_Korail_6000_EMD_SD18</v>
      </c>
      <c r="O253" s="31" t="str">
        <f>"str_"&amp;CONTROL[[#This Row],[VEHIDCODE]]</f>
        <v>str_diesel_South_Korea_Korail_6000_EMD_SD18</v>
      </c>
    </row>
    <row r="254" spans="1:15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t="s">
        <v>1254</v>
      </c>
      <c r="G254" t="s">
        <v>2575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ISNUMBER(_xlfn.XMATCH(CONTROL[[#This Row],[VEHIDCODE]],GRAPHICS_PROPERTIES[VEHIDCODE],0))</f>
        <v>1</v>
      </c>
      <c r="N254" s="31" t="str">
        <f>"item_"&amp;CONTROL[[#This Row],[VEHIDCODE]]</f>
        <v>item_diesel_Italy_FS_D345</v>
      </c>
      <c r="O254" s="31" t="str">
        <f>"str_"&amp;CONTROL[[#This Row],[VEHIDCODE]]</f>
        <v>str_diesel_Italy_FS_D345</v>
      </c>
    </row>
    <row r="255" spans="1:15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t="s">
        <v>1255</v>
      </c>
      <c r="G255" t="s">
        <v>2576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ISNUMBER(_xlfn.XMATCH(CONTROL[[#This Row],[VEHIDCODE]],GRAPHICS_PROPERTIES[VEHIDCODE],0))</f>
        <v>1</v>
      </c>
      <c r="N255" s="31" t="str">
        <f>"item_"&amp;CONTROL[[#This Row],[VEHIDCODE]]</f>
        <v>item_diesel_Norway_NSB_Di4</v>
      </c>
      <c r="O255" s="31" t="str">
        <f>"str_"&amp;CONTROL[[#This Row],[VEHIDCODE]]</f>
        <v>str_diesel_Norway_NSB_Di4</v>
      </c>
    </row>
    <row r="256" spans="1:15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t="s">
        <v>1256</v>
      </c>
      <c r="G256" t="s">
        <v>2577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ISNUMBER(_xlfn.XMATCH(CONTROL[[#This Row],[VEHIDCODE]],GRAPHICS_PROPERTIES[VEHIDCODE],0))</f>
        <v>1</v>
      </c>
      <c r="N256" s="31" t="str">
        <f>"item_"&amp;CONTROL[[#This Row],[VEHIDCODE]]</f>
        <v>item_diesel_China_China_Railways_DF8</v>
      </c>
      <c r="O256" s="31" t="str">
        <f>"str_"&amp;CONTROL[[#This Row],[VEHIDCODE]]</f>
        <v>str_diesel_China_China_Railways_DF8</v>
      </c>
    </row>
    <row r="257" spans="1:15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t="s">
        <v>1257</v>
      </c>
      <c r="G257" t="s">
        <v>2578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ISNUMBER(_xlfn.XMATCH(CONTROL[[#This Row],[VEHIDCODE]],GRAPHICS_PROPERTIES[VEHIDCODE],0))</f>
        <v>1</v>
      </c>
      <c r="N257" s="31" t="str">
        <f>"item_"&amp;CONTROL[[#This Row],[VEHIDCODE]]</f>
        <v>item_diesel_Australia_Pacific_National_G_Class</v>
      </c>
      <c r="O257" s="31" t="str">
        <f>"str_"&amp;CONTROL[[#This Row],[VEHIDCODE]]</f>
        <v>str_diesel_Australia_Pacific_National_G_Class</v>
      </c>
    </row>
    <row r="258" spans="1:15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t="s">
        <v>1258</v>
      </c>
      <c r="G258" t="s">
        <v>2579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ISNUMBER(_xlfn.XMATCH(CONTROL[[#This Row],[VEHIDCODE]],GRAPHICS_PROPERTIES[VEHIDCODE],0))</f>
        <v>1</v>
      </c>
      <c r="N258" s="31" t="str">
        <f>"item_"&amp;CONTROL[[#This Row],[VEHIDCODE]]</f>
        <v>item_diesel_UK_BR_60</v>
      </c>
      <c r="O258" s="31" t="str">
        <f>"str_"&amp;CONTROL[[#This Row],[VEHIDCODE]]</f>
        <v>str_diesel_UK_BR_60</v>
      </c>
    </row>
    <row r="259" spans="1:15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t="s">
        <v>1259</v>
      </c>
      <c r="G259" t="s">
        <v>2580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ISNUMBER(_xlfn.XMATCH(CONTROL[[#This Row],[VEHIDCODE]],GRAPHICS_PROPERTIES[VEHIDCODE],0))</f>
        <v>1</v>
      </c>
      <c r="N259" s="31" t="str">
        <f>"item_"&amp;CONTROL[[#This Row],[VEHIDCODE]]</f>
        <v>item_diesel_Australia_Westrail_P_Class</v>
      </c>
      <c r="O259" s="31" t="str">
        <f>"str_"&amp;CONTROL[[#This Row],[VEHIDCODE]]</f>
        <v>str_diesel_Australia_Westrail_P_Class</v>
      </c>
    </row>
    <row r="260" spans="1:15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t="s">
        <v>1260</v>
      </c>
      <c r="G260" t="s">
        <v>2581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ISNUMBER(_xlfn.XMATCH(CONTROL[[#This Row],[VEHIDCODE]],GRAPHICS_PROPERTIES[VEHIDCODE],0))</f>
        <v>1</v>
      </c>
      <c r="N260" s="31" t="str">
        <f>"item_"&amp;CONTROL[[#This Row],[VEHIDCODE]]</f>
        <v>item_diesel_Saudi_Arabia_Saudi_Railways_4000_EMD_SD70ACS</v>
      </c>
      <c r="O260" s="31" t="str">
        <f>"str_"&amp;CONTROL[[#This Row],[VEHIDCODE]]</f>
        <v>str_diesel_Saudi_Arabia_Saudi_Railways_4000_EMD_SD70ACS</v>
      </c>
    </row>
    <row r="261" spans="1:15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t="s">
        <v>2582</v>
      </c>
      <c r="G261" t="s">
        <v>2583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ISNUMBER(_xlfn.XMATCH(CONTROL[[#This Row],[VEHIDCODE]],GRAPHICS_PROPERTIES[VEHIDCODE],0))</f>
        <v>1</v>
      </c>
      <c r="N261" s="31" t="str">
        <f>"item_"&amp;CONTROL[[#This Row],[VEHIDCODE]]</f>
        <v>item_diesel_Ireland_IE_201</v>
      </c>
      <c r="O261" s="31" t="str">
        <f>"str_"&amp;CONTROL[[#This Row],[VEHIDCODE]]</f>
        <v>str_diesel_Ireland_IE_201</v>
      </c>
    </row>
    <row r="262" spans="1:15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t="s">
        <v>1261</v>
      </c>
      <c r="G262" t="s">
        <v>2584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ISNUMBER(_xlfn.XMATCH(CONTROL[[#This Row],[VEHIDCODE]],GRAPHICS_PROPERTIES[VEHIDCODE],0))</f>
        <v>1</v>
      </c>
      <c r="N262" s="31" t="str">
        <f>"item_"&amp;CONTROL[[#This Row],[VEHIDCODE]]</f>
        <v>item_diesel_USA_Metrolink_EMD_F59PH</v>
      </c>
      <c r="O262" s="31" t="str">
        <f>"str_"&amp;CONTROL[[#This Row],[VEHIDCODE]]</f>
        <v>str_diesel_USA_Metrolink_EMD_F59PH</v>
      </c>
    </row>
    <row r="263" spans="1:15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t="s">
        <v>1262</v>
      </c>
      <c r="G263" t="s">
        <v>2585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ISNUMBER(_xlfn.XMATCH(CONTROL[[#This Row],[VEHIDCODE]],GRAPHICS_PROPERTIES[VEHIDCODE],0))</f>
        <v>1</v>
      </c>
      <c r="N263" s="31" t="str">
        <f>"item_"&amp;CONTROL[[#This Row],[VEHIDCODE]]</f>
        <v>item_diesel_France_SNCF_461000</v>
      </c>
      <c r="O263" s="31" t="str">
        <f>"str_"&amp;CONTROL[[#This Row],[VEHIDCODE]]</f>
        <v>str_diesel_France_SNCF_461000</v>
      </c>
    </row>
    <row r="264" spans="1:15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t="s">
        <v>1263</v>
      </c>
      <c r="G264" t="s">
        <v>2586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ISNUMBER(_xlfn.XMATCH(CONTROL[[#This Row],[VEHIDCODE]],GRAPHICS_PROPERTIES[VEHIDCODE],0))</f>
        <v>1</v>
      </c>
      <c r="N264" s="31" t="str">
        <f>"item_"&amp;CONTROL[[#This Row],[VEHIDCODE]]</f>
        <v>item_diesel_Italy_ACT_D_200</v>
      </c>
      <c r="O264" s="31" t="str">
        <f>"str_"&amp;CONTROL[[#This Row],[VEHIDCODE]]</f>
        <v>str_diesel_Italy_ACT_D_200</v>
      </c>
    </row>
    <row r="265" spans="1:15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t="s">
        <v>1264</v>
      </c>
      <c r="G265" t="s">
        <v>2587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ISNUMBER(_xlfn.XMATCH(CONTROL[[#This Row],[VEHIDCODE]],GRAPHICS_PROPERTIES[VEHIDCODE],0))</f>
        <v>1</v>
      </c>
      <c r="N265" s="31" t="str">
        <f>"item_"&amp;CONTROL[[#This Row],[VEHIDCODE]]</f>
        <v>item_diesel_Canada_GO_Transit_MP40PH_3C</v>
      </c>
      <c r="O265" s="31" t="str">
        <f>"str_"&amp;CONTROL[[#This Row],[VEHIDCODE]]</f>
        <v>str_diesel_Canada_GO_Transit_MP40PH_3C</v>
      </c>
    </row>
    <row r="266" spans="1:15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t="s">
        <v>1265</v>
      </c>
      <c r="G266" t="s">
        <v>2588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ISNUMBER(_xlfn.XMATCH(CONTROL[[#This Row],[VEHIDCODE]],GRAPHICS_PROPERTIES[VEHIDCODE],0))</f>
        <v>1</v>
      </c>
      <c r="N266" s="31" t="str">
        <f>"item_"&amp;CONTROL[[#This Row],[VEHIDCODE]]</f>
        <v>item_diesel_Spain_RENFE_Class_334</v>
      </c>
      <c r="O266" s="31" t="str">
        <f>"str_"&amp;CONTROL[[#This Row],[VEHIDCODE]]</f>
        <v>str_diesel_Spain_RENFE_Class_334</v>
      </c>
    </row>
    <row r="267" spans="1:15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t="s">
        <v>1266</v>
      </c>
      <c r="G267" t="s">
        <v>2589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ISNUMBER(_xlfn.XMATCH(CONTROL[[#This Row],[VEHIDCODE]],GRAPHICS_PROPERTIES[VEHIDCODE],0))</f>
        <v>1</v>
      </c>
      <c r="N267" s="31" t="str">
        <f>"item_"&amp;CONTROL[[#This Row],[VEHIDCODE]]</f>
        <v>item_diesel_Indonesia_Indonesia_Railways_CC300</v>
      </c>
      <c r="O267" s="31" t="str">
        <f>"str_"&amp;CONTROL[[#This Row],[VEHIDCODE]]</f>
        <v>str_diesel_Indonesia_Indonesia_Railways_CC300</v>
      </c>
    </row>
    <row r="268" spans="1:15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t="s">
        <v>1267</v>
      </c>
      <c r="G268" t="s">
        <v>2465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ISNUMBER(_xlfn.XMATCH(CONTROL[[#This Row],[VEHIDCODE]],GRAPHICS_PROPERTIES[VEHIDCODE],0))</f>
        <v>1</v>
      </c>
      <c r="N268" s="31" t="str">
        <f>"item_"&amp;CONTROL[[#This Row],[VEHIDCODE]]</f>
        <v>item_diesel_Argentina_Great_Southern_Railway_DH501</v>
      </c>
      <c r="O268" s="31" t="str">
        <f>"str_"&amp;CONTROL[[#This Row],[VEHIDCODE]]</f>
        <v>str_diesel_Argentina_Great_Southern_Railway_DH501</v>
      </c>
    </row>
    <row r="269" spans="1:15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t="s">
        <v>1268</v>
      </c>
      <c r="G269" t="s">
        <v>2590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ISNUMBER(_xlfn.XMATCH(CONTROL[[#This Row],[VEHIDCODE]],GRAPHICS_PROPERTIES[VEHIDCODE],0))</f>
        <v>1</v>
      </c>
      <c r="N269" s="31" t="str">
        <f>"item_"&amp;CONTROL[[#This Row],[VEHIDCODE]]</f>
        <v>item_diesel_Brazil_EE_VFFLB</v>
      </c>
      <c r="O269" s="31" t="str">
        <f>"str_"&amp;CONTROL[[#This Row],[VEHIDCODE]]</f>
        <v>str_diesel_Brazil_EE_VFFLB</v>
      </c>
    </row>
    <row r="270" spans="1:15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t="s">
        <v>1269</v>
      </c>
      <c r="G270" t="s">
        <v>2591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ISNUMBER(_xlfn.XMATCH(CONTROL[[#This Row],[VEHIDCODE]],GRAPHICS_PROPERTIES[VEHIDCODE],0))</f>
        <v>1</v>
      </c>
      <c r="N270" s="31" t="str">
        <f>"item_"&amp;CONTROL[[#This Row],[VEHIDCODE]]</f>
        <v>item_diesel_Chile_EFE_GE_U5B</v>
      </c>
      <c r="O270" s="31" t="str">
        <f>"str_"&amp;CONTROL[[#This Row],[VEHIDCODE]]</f>
        <v>str_diesel_Chile_EFE_GE_U5B</v>
      </c>
    </row>
    <row r="271" spans="1:15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t="s">
        <v>1270</v>
      </c>
      <c r="G271" t="s">
        <v>2592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ISNUMBER(_xlfn.XMATCH(CONTROL[[#This Row],[VEHIDCODE]],GRAPHICS_PROPERTIES[VEHIDCODE],0))</f>
        <v>1</v>
      </c>
      <c r="N271" s="31" t="str">
        <f>"item_"&amp;CONTROL[[#This Row],[VEHIDCODE]]</f>
        <v>item_diesel_Peru_Ferrocarril_Central_Andino_Alco_RSD_39</v>
      </c>
      <c r="O271" s="31" t="str">
        <f>"str_"&amp;CONTROL[[#This Row],[VEHIDCODE]]</f>
        <v>str_diesel_Peru_Ferrocarril_Central_Andino_Alco_RSD_39</v>
      </c>
    </row>
    <row r="272" spans="1:15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t="s">
        <v>1271</v>
      </c>
      <c r="G272" t="s">
        <v>2593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ISNUMBER(_xlfn.XMATCH(CONTROL[[#This Row],[VEHIDCODE]],GRAPHICS_PROPERTIES[VEHIDCODE],0))</f>
        <v>1</v>
      </c>
      <c r="N272" s="31" t="str">
        <f>"item_"&amp;CONTROL[[#This Row],[VEHIDCODE]]</f>
        <v>item_diesel_Brazil_EFVM_EMD_DDM45</v>
      </c>
      <c r="O272" s="31" t="str">
        <f>"str_"&amp;CONTROL[[#This Row],[VEHIDCODE]]</f>
        <v>str_diesel_Brazil_EFVM_EMD_DDM45</v>
      </c>
    </row>
    <row r="273" spans="1:15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t="s">
        <v>1272</v>
      </c>
      <c r="G273" t="s">
        <v>2594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ISNUMBER(_xlfn.XMATCH(CONTROL[[#This Row],[VEHIDCODE]],GRAPHICS_PROPERTIES[VEHIDCODE],0))</f>
        <v>1</v>
      </c>
      <c r="N273" s="31" t="str">
        <f>"item_"&amp;CONTROL[[#This Row],[VEHIDCODE]]</f>
        <v>item_diesel_Peru_Ferrocarril_Central_Andino_GE_C39_8</v>
      </c>
      <c r="O273" s="31" t="str">
        <f>"str_"&amp;CONTROL[[#This Row],[VEHIDCODE]]</f>
        <v>str_diesel_Peru_Ferrocarril_Central_Andino_GE_C39_8</v>
      </c>
    </row>
    <row r="274" spans="1:15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t="s">
        <v>1273</v>
      </c>
      <c r="G274" t="s">
        <v>2595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ISNUMBER(_xlfn.XMATCH(CONTROL[[#This Row],[VEHIDCODE]],GRAPHICS_PROPERTIES[VEHIDCODE],0))</f>
        <v>1</v>
      </c>
      <c r="N274" s="31" t="str">
        <f>"item_"&amp;CONTROL[[#This Row],[VEHIDCODE]]</f>
        <v>item_diesel_Argentina_SOFSE_3193</v>
      </c>
      <c r="O274" s="31" t="str">
        <f>"str_"&amp;CONTROL[[#This Row],[VEHIDCODE]]</f>
        <v>str_diesel_Argentina_SOFSE_3193</v>
      </c>
    </row>
    <row r="275" spans="1:15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t="s">
        <v>2597</v>
      </c>
      <c r="G275" t="s">
        <v>2596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ISNUMBER(_xlfn.XMATCH(CONTROL[[#This Row],[VEHIDCODE]],GRAPHICS_PROPERTIES[VEHIDCODE],0))</f>
        <v>1</v>
      </c>
      <c r="N275" s="31" t="str">
        <f>"item_"&amp;CONTROL[[#This Row],[VEHIDCODE]]</f>
        <v>item_diesel_Argentina_SOFSE_CNR_CKD8</v>
      </c>
      <c r="O275" s="31" t="str">
        <f>"str_"&amp;CONTROL[[#This Row],[VEHIDCODE]]</f>
        <v>str_diesel_Argentina_SOFSE_CNR_CKD8</v>
      </c>
    </row>
    <row r="276" spans="1:15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t="s">
        <v>1274</v>
      </c>
      <c r="G276" t="s">
        <v>2598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ISNUMBER(_xlfn.XMATCH(CONTROL[[#This Row],[VEHIDCODE]],GRAPHICS_PROPERTIES[VEHIDCODE],0))</f>
        <v>1</v>
      </c>
      <c r="N276" s="31" t="str">
        <f>"item_"&amp;CONTROL[[#This Row],[VEHIDCODE]]</f>
        <v>item_diesel_South_Africa_SAR_DS</v>
      </c>
      <c r="O276" s="31" t="str">
        <f>"str_"&amp;CONTROL[[#This Row],[VEHIDCODE]]</f>
        <v>str_diesel_South_Africa_SAR_DS</v>
      </c>
    </row>
    <row r="277" spans="1:15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t="s">
        <v>1275</v>
      </c>
      <c r="G277" t="s">
        <v>2599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ISNUMBER(_xlfn.XMATCH(CONTROL[[#This Row],[VEHIDCODE]],GRAPHICS_PROPERTIES[VEHIDCODE],0))</f>
        <v>1</v>
      </c>
      <c r="N277" s="31" t="str">
        <f>"item_"&amp;CONTROL[[#This Row],[VEHIDCODE]]</f>
        <v>item_diesel_Algeria_SNTF_040_DG</v>
      </c>
      <c r="O277" s="31" t="str">
        <f>"str_"&amp;CONTROL[[#This Row],[VEHIDCODE]]</f>
        <v>str_diesel_Algeria_SNTF_040_DG</v>
      </c>
    </row>
    <row r="278" spans="1:15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t="s">
        <v>1276</v>
      </c>
      <c r="G278" t="s">
        <v>2600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ISNUMBER(_xlfn.XMATCH(CONTROL[[#This Row],[VEHIDCODE]],GRAPHICS_PROPERTIES[VEHIDCODE],0))</f>
        <v>1</v>
      </c>
      <c r="N278" s="31" t="str">
        <f>"item_"&amp;CONTROL[[#This Row],[VEHIDCODE]]</f>
        <v>item_diesel_Tunisia_SNCFT_040_DF</v>
      </c>
      <c r="O278" s="31" t="str">
        <f>"str_"&amp;CONTROL[[#This Row],[VEHIDCODE]]</f>
        <v>str_diesel_Tunisia_SNCFT_040_DF</v>
      </c>
    </row>
    <row r="279" spans="1:15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t="s">
        <v>1277</v>
      </c>
      <c r="G279" t="s">
        <v>2601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ISNUMBER(_xlfn.XMATCH(CONTROL[[#This Row],[VEHIDCODE]],GRAPHICS_PROPERTIES[VEHIDCODE],0))</f>
        <v>1</v>
      </c>
      <c r="N279" s="31" t="str">
        <f>"item_"&amp;CONTROL[[#This Row],[VEHIDCODE]]</f>
        <v>item_diesel_Egypt_ENR_TE114E</v>
      </c>
      <c r="O279" s="31" t="str">
        <f>"str_"&amp;CONTROL[[#This Row],[VEHIDCODE]]</f>
        <v>str_diesel_Egypt_ENR_TE114E</v>
      </c>
    </row>
    <row r="280" spans="1:15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t="s">
        <v>1278</v>
      </c>
      <c r="G280" t="s">
        <v>2602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ISNUMBER(_xlfn.XMATCH(CONTROL[[#This Row],[VEHIDCODE]],GRAPHICS_PROPERTIES[VEHIDCODE],0))</f>
        <v>1</v>
      </c>
      <c r="N280" s="31" t="str">
        <f>"item_"&amp;CONTROL[[#This Row],[VEHIDCODE]]</f>
        <v>item_diesel_Tunisia_SNCFT_040_DJ</v>
      </c>
      <c r="O280" s="31" t="str">
        <f>"str_"&amp;CONTROL[[#This Row],[VEHIDCODE]]</f>
        <v>str_diesel_Tunisia_SNCFT_040_DJ</v>
      </c>
    </row>
    <row r="281" spans="1:15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t="s">
        <v>1279</v>
      </c>
      <c r="G281" t="s">
        <v>2603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ISNUMBER(_xlfn.XMATCH(CONTROL[[#This Row],[VEHIDCODE]],GRAPHICS_PROPERTIES[VEHIDCODE],0))</f>
        <v>1</v>
      </c>
      <c r="N281" s="31" t="str">
        <f>"item_"&amp;CONTROL[[#This Row],[VEHIDCODE]]</f>
        <v>item_diesel_Morocco_ONCF_DF_100</v>
      </c>
      <c r="O281" s="31" t="str">
        <f>"str_"&amp;CONTROL[[#This Row],[VEHIDCODE]]</f>
        <v>str_diesel_Morocco_ONCF_DF_100</v>
      </c>
    </row>
    <row r="282" spans="1:15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t="s">
        <v>1280</v>
      </c>
      <c r="G282" t="s">
        <v>2604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ISNUMBER(_xlfn.XMATCH(CONTROL[[#This Row],[VEHIDCODE]],GRAPHICS_PROPERTIES[VEHIDCODE],0))</f>
        <v>1</v>
      </c>
      <c r="N282" s="31" t="str">
        <f>"item_"&amp;CONTROL[[#This Row],[VEHIDCODE]]</f>
        <v>item_diesel_Ukraine_UZ_TEP10L</v>
      </c>
      <c r="O282" s="31" t="str">
        <f>"str_"&amp;CONTROL[[#This Row],[VEHIDCODE]]</f>
        <v>str_diesel_Ukraine_UZ_TEP10L</v>
      </c>
    </row>
    <row r="283" spans="1:15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t="s">
        <v>1281</v>
      </c>
      <c r="G283" t="s">
        <v>2605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ISNUMBER(_xlfn.XMATCH(CONTROL[[#This Row],[VEHIDCODE]],GRAPHICS_PROPERTIES[VEHIDCODE],0))</f>
        <v>1</v>
      </c>
      <c r="N283" s="31" t="str">
        <f>"item_"&amp;CONTROL[[#This Row],[VEHIDCODE]]</f>
        <v>item_diesel_Belarus_BCh_2TE10M</v>
      </c>
      <c r="O283" s="31" t="str">
        <f>"str_"&amp;CONTROL[[#This Row],[VEHIDCODE]]</f>
        <v>str_diesel_Belarus_BCh_2TE10M</v>
      </c>
    </row>
    <row r="284" spans="1:15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t="s">
        <v>1282</v>
      </c>
      <c r="G284" t="s">
        <v>2606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ISNUMBER(_xlfn.XMATCH(CONTROL[[#This Row],[VEHIDCODE]],GRAPHICS_PROPERTIES[VEHIDCODE],0))</f>
        <v>1</v>
      </c>
      <c r="N284" s="31" t="str">
        <f>"item_"&amp;CONTROL[[#This Row],[VEHIDCODE]]</f>
        <v>item_diesel_Poland_PKP_SP32</v>
      </c>
      <c r="O284" s="31" t="str">
        <f>"str_"&amp;CONTROL[[#This Row],[VEHIDCODE]]</f>
        <v>str_diesel_Poland_PKP_SP32</v>
      </c>
    </row>
    <row r="285" spans="1:15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t="s">
        <v>1283</v>
      </c>
      <c r="G285" t="s">
        <v>2607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ISNUMBER(_xlfn.XMATCH(CONTROL[[#This Row],[VEHIDCODE]],GRAPHICS_PROPERTIES[VEHIDCODE],0))</f>
        <v>1</v>
      </c>
      <c r="N285" s="31" t="str">
        <f>"item_"&amp;CONTROL[[#This Row],[VEHIDCODE]]</f>
        <v>item_diesel_Ukraine_UZ_2TE126</v>
      </c>
      <c r="O285" s="31" t="str">
        <f>"str_"&amp;CONTROL[[#This Row],[VEHIDCODE]]</f>
        <v>str_diesel_Ukraine_UZ_2TE126</v>
      </c>
    </row>
    <row r="286" spans="1:15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t="s">
        <v>1284</v>
      </c>
      <c r="G286" t="s">
        <v>2608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ISNUMBER(_xlfn.XMATCH(CONTROL[[#This Row],[VEHIDCODE]],GRAPHICS_PROPERTIES[VEHIDCODE],0))</f>
        <v>1</v>
      </c>
      <c r="N286" s="31" t="str">
        <f>"item_"&amp;CONTROL[[#This Row],[VEHIDCODE]]</f>
        <v>item_diesel_Ukraine_UZ_2TE10Ut</v>
      </c>
      <c r="O286" s="31" t="str">
        <f>"str_"&amp;CONTROL[[#This Row],[VEHIDCODE]]</f>
        <v>str_diesel_Ukraine_UZ_2TE10Ut</v>
      </c>
    </row>
    <row r="287" spans="1:15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t="s">
        <v>1285</v>
      </c>
      <c r="G287" t="s">
        <v>2609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ISNUMBER(_xlfn.XMATCH(CONTROL[[#This Row],[VEHIDCODE]],GRAPHICS_PROPERTIES[VEHIDCODE],0))</f>
        <v>1</v>
      </c>
      <c r="N287" s="31" t="str">
        <f>"item_"&amp;CONTROL[[#This Row],[VEHIDCODE]]</f>
        <v>item_diesel_Serbia_ZS_621</v>
      </c>
      <c r="O287" s="31" t="str">
        <f>"str_"&amp;CONTROL[[#This Row],[VEHIDCODE]]</f>
        <v>str_diesel_Serbia_ZS_621</v>
      </c>
    </row>
    <row r="288" spans="1:15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t="s">
        <v>1286</v>
      </c>
      <c r="G288" t="s">
        <v>2610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ISNUMBER(_xlfn.XMATCH(CONTROL[[#This Row],[VEHIDCODE]],GRAPHICS_PROPERTIES[VEHIDCODE],0))</f>
        <v>1</v>
      </c>
      <c r="N288" s="31" t="str">
        <f>"item_"&amp;CONTROL[[#This Row],[VEHIDCODE]]</f>
        <v>item_diesel_Italy_FS_207</v>
      </c>
      <c r="O288" s="31" t="str">
        <f>"str_"&amp;CONTROL[[#This Row],[VEHIDCODE]]</f>
        <v>str_diesel_Italy_FS_207</v>
      </c>
    </row>
    <row r="289" spans="1:15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t="s">
        <v>1287</v>
      </c>
      <c r="G289" t="s">
        <v>2611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ISNUMBER(_xlfn.XMATCH(CONTROL[[#This Row],[VEHIDCODE]],GRAPHICS_PROPERTIES[VEHIDCODE],0))</f>
        <v>1</v>
      </c>
      <c r="N289" s="31" t="str">
        <f>"item_"&amp;CONTROL[[#This Row],[VEHIDCODE]]</f>
        <v>item_diesel_Russia_RZD_Db</v>
      </c>
      <c r="O289" s="31" t="str">
        <f>"str_"&amp;CONTROL[[#This Row],[VEHIDCODE]]</f>
        <v>str_diesel_Russia_RZD_Db</v>
      </c>
    </row>
    <row r="290" spans="1:15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t="s">
        <v>1288</v>
      </c>
      <c r="G290" t="s">
        <v>2612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ISNUMBER(_xlfn.XMATCH(CONTROL[[#This Row],[VEHIDCODE]],GRAPHICS_PROPERTIES[VEHIDCODE],0))</f>
        <v>1</v>
      </c>
      <c r="N290" s="31" t="str">
        <f>"item_"&amp;CONTROL[[#This Row],[VEHIDCODE]]</f>
        <v>item_diesel_Portugal_CP_1500</v>
      </c>
      <c r="O290" s="31" t="str">
        <f>"str_"&amp;CONTROL[[#This Row],[VEHIDCODE]]</f>
        <v>str_diesel_Portugal_CP_1500</v>
      </c>
    </row>
    <row r="291" spans="1:15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t="s">
        <v>1289</v>
      </c>
      <c r="G291" t="s">
        <v>2613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ISNUMBER(_xlfn.XMATCH(CONTROL[[#This Row],[VEHIDCODE]],GRAPHICS_PROPERTIES[VEHIDCODE],0))</f>
        <v>1</v>
      </c>
      <c r="N291" s="31" t="str">
        <f>"item_"&amp;CONTROL[[#This Row],[VEHIDCODE]]</f>
        <v>item_diesel_France_SNCF_BB_67400</v>
      </c>
      <c r="O291" s="31" t="str">
        <f>"str_"&amp;CONTROL[[#This Row],[VEHIDCODE]]</f>
        <v>str_diesel_France_SNCF_BB_67400</v>
      </c>
    </row>
    <row r="292" spans="1:15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t="s">
        <v>1290</v>
      </c>
      <c r="G292" t="s">
        <v>2614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ISNUMBER(_xlfn.XMATCH(CONTROL[[#This Row],[VEHIDCODE]],GRAPHICS_PROPERTIES[VEHIDCODE],0))</f>
        <v>1</v>
      </c>
      <c r="N292" s="31" t="str">
        <f>"item_"&amp;CONTROL[[#This Row],[VEHIDCODE]]</f>
        <v>item_diesel_Netherlands_NS_6400</v>
      </c>
      <c r="O292" s="31" t="str">
        <f>"str_"&amp;CONTROL[[#This Row],[VEHIDCODE]]</f>
        <v>str_diesel_Netherlands_NS_6400</v>
      </c>
    </row>
    <row r="293" spans="1:15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t="s">
        <v>1291</v>
      </c>
      <c r="G293" t="s">
        <v>2615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ISNUMBER(_xlfn.XMATCH(CONTROL[[#This Row],[VEHIDCODE]],GRAPHICS_PROPERTIES[VEHIDCODE],0))</f>
        <v>1</v>
      </c>
      <c r="N293" s="31" t="str">
        <f>"item_"&amp;CONTROL[[#This Row],[VEHIDCODE]]</f>
        <v>item_diesel_Egypt_ENR_2400_GE_ES40ACi</v>
      </c>
      <c r="O293" s="31" t="str">
        <f>"str_"&amp;CONTROL[[#This Row],[VEHIDCODE]]</f>
        <v>str_diesel_Egypt_ENR_2400_GE_ES40ACi</v>
      </c>
    </row>
    <row r="294" spans="1:15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t="s">
        <v>2269</v>
      </c>
      <c r="G294" t="s">
        <v>2616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ISNUMBER(_xlfn.XMATCH(CONTROL[[#This Row],[VEHIDCODE]],GRAPHICS_PROPERTIES[VEHIDCODE],0))</f>
        <v>1</v>
      </c>
      <c r="N294" s="31" t="str">
        <f>"item_"&amp;CONTROL[[#This Row],[VEHIDCODE]]</f>
        <v>item_diesel_South_Africa_SAR_Afro_4000</v>
      </c>
      <c r="O294" s="31" t="str">
        <f>"str_"&amp;CONTROL[[#This Row],[VEHIDCODE]]</f>
        <v>str_diesel_South_Africa_SAR_Afro_4000</v>
      </c>
    </row>
    <row r="295" spans="1:15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t="s">
        <v>1292</v>
      </c>
      <c r="G295" t="s">
        <v>2617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ISNUMBER(_xlfn.XMATCH(CONTROL[[#This Row],[VEHIDCODE]],GRAPHICS_PROPERTIES[VEHIDCODE],0))</f>
        <v>1</v>
      </c>
      <c r="N295" s="31" t="str">
        <f>"item_"&amp;CONTROL[[#This Row],[VEHIDCODE]]</f>
        <v>item_diesel_Spain_RENFE_308</v>
      </c>
      <c r="O295" s="31" t="str">
        <f>"str_"&amp;CONTROL[[#This Row],[VEHIDCODE]]</f>
        <v>str_diesel_Spain_RENFE_308</v>
      </c>
    </row>
    <row r="296" spans="1:15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t="s">
        <v>1293</v>
      </c>
      <c r="G296" t="s">
        <v>2618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ISNUMBER(_xlfn.XMATCH(CONTROL[[#This Row],[VEHIDCODE]],GRAPHICS_PROPERTIES[VEHIDCODE],0))</f>
        <v>1</v>
      </c>
      <c r="N296" s="31" t="str">
        <f>"item_"&amp;CONTROL[[#This Row],[VEHIDCODE]]</f>
        <v>item_diesel_Australia_Pacific_National_XR_XRB</v>
      </c>
      <c r="O296" s="31" t="str">
        <f>"str_"&amp;CONTROL[[#This Row],[VEHIDCODE]]</f>
        <v>str_diesel_Australia_Pacific_National_XR_XRB</v>
      </c>
    </row>
    <row r="297" spans="1:15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t="s">
        <v>1294</v>
      </c>
      <c r="G297" t="s">
        <v>2619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ISNUMBER(_xlfn.XMATCH(CONTROL[[#This Row],[VEHIDCODE]],GRAPHICS_PROPERTIES[VEHIDCODE],0))</f>
        <v>1</v>
      </c>
      <c r="N297" s="31" t="str">
        <f>"item_"&amp;CONTROL[[#This Row],[VEHIDCODE]]</f>
        <v>item_diesel_Norway_CargoNet_312</v>
      </c>
      <c r="O297" s="31" t="str">
        <f>"str_"&amp;CONTROL[[#This Row],[VEHIDCODE]]</f>
        <v>str_diesel_Norway_CargoNet_312</v>
      </c>
    </row>
    <row r="298" spans="1:15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t="s">
        <v>1295</v>
      </c>
      <c r="G298" t="s">
        <v>2620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ISNUMBER(_xlfn.XMATCH(CONTROL[[#This Row],[VEHIDCODE]],GRAPHICS_PROPERTIES[VEHIDCODE],0))</f>
        <v>1</v>
      </c>
      <c r="N298" s="31" t="str">
        <f>"item_"&amp;CONTROL[[#This Row],[VEHIDCODE]]</f>
        <v>item_diesel_Australia_Pacific_National_92</v>
      </c>
      <c r="O298" s="31" t="str">
        <f>"str_"&amp;CONTROL[[#This Row],[VEHIDCODE]]</f>
        <v>str_diesel_Australia_Pacific_National_92</v>
      </c>
    </row>
    <row r="299" spans="1:15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t="s">
        <v>1296</v>
      </c>
      <c r="G299" t="s">
        <v>2621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ISNUMBER(_xlfn.XMATCH(CONTROL[[#This Row],[VEHIDCODE]],GRAPHICS_PROPERTIES[VEHIDCODE],0))</f>
        <v>1</v>
      </c>
      <c r="N299" s="31" t="str">
        <f>"item_"&amp;CONTROL[[#This Row],[VEHIDCODE]]</f>
        <v>item_diesel_UK_BR_68</v>
      </c>
      <c r="O299" s="31" t="str">
        <f>"str_"&amp;CONTROL[[#This Row],[VEHIDCODE]]</f>
        <v>str_diesel_UK_BR_68</v>
      </c>
    </row>
    <row r="300" spans="1:15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t="s">
        <v>1297</v>
      </c>
      <c r="G300" t="s">
        <v>2622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ISNUMBER(_xlfn.XMATCH(CONTROL[[#This Row],[VEHIDCODE]],GRAPHICS_PROPERTIES[VEHIDCODE],0))</f>
        <v>1</v>
      </c>
      <c r="N300" s="31" t="str">
        <f>"item_"&amp;CONTROL[[#This Row],[VEHIDCODE]]</f>
        <v>item_diesel_USA_Amtrak_Charger</v>
      </c>
      <c r="O300" s="31" t="str">
        <f>"str_"&amp;CONTROL[[#This Row],[VEHIDCODE]]</f>
        <v>str_diesel_USA_Amtrak_Charger</v>
      </c>
    </row>
    <row r="301" spans="1:15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t="s">
        <v>1298</v>
      </c>
      <c r="G301" t="s">
        <v>2624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ISNUMBER(_xlfn.XMATCH(CONTROL[[#This Row],[VEHIDCODE]],GRAPHICS_PROPERTIES[VEHIDCODE],0))</f>
        <v>1</v>
      </c>
      <c r="N301" s="31" t="str">
        <f>"item_"&amp;CONTROL[[#This Row],[VEHIDCODE]]</f>
        <v>item_mtro_Argentina_Le_Brugeoise</v>
      </c>
      <c r="O301" s="31" t="str">
        <f>"str_"&amp;CONTROL[[#This Row],[VEHIDCODE]]</f>
        <v>str_mtro_Argentina_Le_Brugeoise</v>
      </c>
    </row>
    <row r="302" spans="1:15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t="s">
        <v>1299</v>
      </c>
      <c r="G302" t="s">
        <v>2625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ISNUMBER(_xlfn.XMATCH(CONTROL[[#This Row],[VEHIDCODE]],GRAPHICS_PROPERTIES[VEHIDCODE],0))</f>
        <v>1</v>
      </c>
      <c r="N302" s="31" t="str">
        <f>"item_"&amp;CONTROL[[#This Row],[VEHIDCODE]]</f>
        <v>item_mtro_USA_NY_R1</v>
      </c>
      <c r="O302" s="31" t="str">
        <f>"str_"&amp;CONTROL[[#This Row],[VEHIDCODE]]</f>
        <v>str_mtro_USA_NY_R1</v>
      </c>
    </row>
    <row r="303" spans="1:15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t="s">
        <v>1300</v>
      </c>
      <c r="G303" t="s">
        <v>2626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ISNUMBER(_xlfn.XMATCH(CONTROL[[#This Row],[VEHIDCODE]],GRAPHICS_PROPERTIES[VEHIDCODE],0))</f>
        <v>1</v>
      </c>
      <c r="N303" s="31" t="str">
        <f>"item_"&amp;CONTROL[[#This Row],[VEHIDCODE]]</f>
        <v>item_mtro_Germany_DB_ET_171</v>
      </c>
      <c r="O303" s="31" t="str">
        <f>"str_"&amp;CONTROL[[#This Row],[VEHIDCODE]]</f>
        <v>str_mtro_Germany_DB_ET_171</v>
      </c>
    </row>
    <row r="304" spans="1:15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t="s">
        <v>1301</v>
      </c>
      <c r="G304" t="s">
        <v>2629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ISNUMBER(_xlfn.XMATCH(CONTROL[[#This Row],[VEHIDCODE]],GRAPHICS_PROPERTIES[VEHIDCODE],0))</f>
        <v>1</v>
      </c>
      <c r="N304" s="31" t="str">
        <f>"item_"&amp;CONTROL[[#This Row],[VEHIDCODE]]</f>
        <v>item_mtro_France_Paris_M2_840</v>
      </c>
      <c r="O304" s="31" t="str">
        <f>"str_"&amp;CONTROL[[#This Row],[VEHIDCODE]]</f>
        <v>str_mtro_France_Paris_M2_840</v>
      </c>
    </row>
    <row r="305" spans="1:15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t="s">
        <v>1302</v>
      </c>
      <c r="G305" t="s">
        <v>2628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ISNUMBER(_xlfn.XMATCH(CONTROL[[#This Row],[VEHIDCODE]],GRAPHICS_PROPERTIES[VEHIDCODE],0))</f>
        <v>1</v>
      </c>
      <c r="N305" s="31" t="str">
        <f>"item_"&amp;CONTROL[[#This Row],[VEHIDCODE]]</f>
        <v>item_mtro_Portugal_Lisbon_ML7</v>
      </c>
      <c r="O305" s="31" t="str">
        <f>"str_"&amp;CONTROL[[#This Row],[VEHIDCODE]]</f>
        <v>str_mtro_Portugal_Lisbon_ML7</v>
      </c>
    </row>
    <row r="306" spans="1:15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t="s">
        <v>2631</v>
      </c>
      <c r="G306" t="s">
        <v>2627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ISNUMBER(_xlfn.XMATCH(CONTROL[[#This Row],[VEHIDCODE]],GRAPHICS_PROPERTIES[VEHIDCODE],0))</f>
        <v>1</v>
      </c>
      <c r="N306" s="31" t="str">
        <f>"item_"&amp;CONTROL[[#This Row],[VEHIDCODE]]</f>
        <v>item_mtro_Hungary_Budapest_Ev3_200</v>
      </c>
      <c r="O306" s="31" t="str">
        <f>"str_"&amp;CONTROL[[#This Row],[VEHIDCODE]]</f>
        <v>str_mtro_Hungary_Budapest_Ev3_200</v>
      </c>
    </row>
    <row r="307" spans="1:15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t="s">
        <v>1303</v>
      </c>
      <c r="G307" t="s">
        <v>2630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ISNUMBER(_xlfn.XMATCH(CONTROL[[#This Row],[VEHIDCODE]],GRAPHICS_PROPERTIES[VEHIDCODE],0))</f>
        <v>1</v>
      </c>
      <c r="N307" s="31" t="str">
        <f>"item_"&amp;CONTROL[[#This Row],[VEHIDCODE]]</f>
        <v>item_mtro_Norway_Oslo_T1000</v>
      </c>
      <c r="O307" s="31" t="str">
        <f>"str_"&amp;CONTROL[[#This Row],[VEHIDCODE]]</f>
        <v>str_mtro_Norway_Oslo_T1000</v>
      </c>
    </row>
    <row r="308" spans="1:15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t="s">
        <v>2633</v>
      </c>
      <c r="G308" t="s">
        <v>2632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ISNUMBER(_xlfn.XMATCH(CONTROL[[#This Row],[VEHIDCODE]],GRAPHICS_PROPERTIES[VEHIDCODE],0))</f>
        <v>1</v>
      </c>
      <c r="N308" s="31" t="str">
        <f>"item_"&amp;CONTROL[[#This Row],[VEHIDCODE]]</f>
        <v>item_mtro_Canada_Toronto_H_series</v>
      </c>
      <c r="O308" s="31" t="str">
        <f>"str_"&amp;CONTROL[[#This Row],[VEHIDCODE]]</f>
        <v>str_mtro_Canada_Toronto_H_series</v>
      </c>
    </row>
    <row r="309" spans="1:15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t="s">
        <v>1304</v>
      </c>
      <c r="G309" t="s">
        <v>2634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ISNUMBER(_xlfn.XMATCH(CONTROL[[#This Row],[VEHIDCODE]],GRAPHICS_PROPERTIES[VEHIDCODE],0))</f>
        <v>1</v>
      </c>
      <c r="N309" s="31" t="str">
        <f>"item_"&amp;CONTROL[[#This Row],[VEHIDCODE]]</f>
        <v>item_mtro_Germany_Munchen_MVG_A2</v>
      </c>
      <c r="O309" s="31" t="str">
        <f>"str_"&amp;CONTROL[[#This Row],[VEHIDCODE]]</f>
        <v>str_mtro_Germany_Munchen_MVG_A2</v>
      </c>
    </row>
    <row r="310" spans="1:15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t="s">
        <v>1305</v>
      </c>
      <c r="G310" t="s">
        <v>2635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ISNUMBER(_xlfn.XMATCH(CONTROL[[#This Row],[VEHIDCODE]],GRAPHICS_PROPERTIES[VEHIDCODE],0))</f>
        <v>1</v>
      </c>
      <c r="N310" s="31" t="str">
        <f>"item_"&amp;CONTROL[[#This Row],[VEHIDCODE]]</f>
        <v>item_mtro_USA_NY_R44</v>
      </c>
      <c r="O310" s="31" t="str">
        <f>"str_"&amp;CONTROL[[#This Row],[VEHIDCODE]]</f>
        <v>str_mtro_USA_NY_R44</v>
      </c>
    </row>
    <row r="311" spans="1:15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t="s">
        <v>1306</v>
      </c>
      <c r="G311" t="s">
        <v>2636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ISNUMBER(_xlfn.XMATCH(CONTROL[[#This Row],[VEHIDCODE]],GRAPHICS_PROPERTIES[VEHIDCODE],0))</f>
        <v>1</v>
      </c>
      <c r="N311" s="31" t="str">
        <f>"item_"&amp;CONTROL[[#This Row],[VEHIDCODE]]</f>
        <v>item_mtro_Netherlands_Amsterdam_Type_M1</v>
      </c>
      <c r="O311" s="31" t="str">
        <f>"str_"&amp;CONTROL[[#This Row],[VEHIDCODE]]</f>
        <v>str_mtro_Netherlands_Amsterdam_Type_M1</v>
      </c>
    </row>
    <row r="312" spans="1:15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t="s">
        <v>1307</v>
      </c>
      <c r="G312" t="s">
        <v>2637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ISNUMBER(_xlfn.XMATCH(CONTROL[[#This Row],[VEHIDCODE]],GRAPHICS_PROPERTIES[VEHIDCODE],0))</f>
        <v>1</v>
      </c>
      <c r="N312" s="31" t="str">
        <f>"item_"&amp;CONTROL[[#This Row],[VEHIDCODE]]</f>
        <v>item_mtro_Sweden_Stockholm_C8</v>
      </c>
      <c r="O312" s="31" t="str">
        <f>"str_"&amp;CONTROL[[#This Row],[VEHIDCODE]]</f>
        <v>str_mtro_Sweden_Stockholm_C8</v>
      </c>
    </row>
    <row r="313" spans="1:15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t="s">
        <v>1308</v>
      </c>
      <c r="G313" t="s">
        <v>2638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ISNUMBER(_xlfn.XMATCH(CONTROL[[#This Row],[VEHIDCODE]],GRAPHICS_PROPERTIES[VEHIDCODE],0))</f>
        <v>1</v>
      </c>
      <c r="N313" s="31" t="str">
        <f>"item_"&amp;CONTROL[[#This Row],[VEHIDCODE]]</f>
        <v>item_mtro_North_Korea_Pyongyang_D_stock</v>
      </c>
      <c r="O313" s="31" t="str">
        <f>"str_"&amp;CONTROL[[#This Row],[VEHIDCODE]]</f>
        <v>str_mtro_North_Korea_Pyongyang_D_stock</v>
      </c>
    </row>
    <row r="314" spans="1:15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t="s">
        <v>1309</v>
      </c>
      <c r="G314" t="s">
        <v>2639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ISNUMBER(_xlfn.XMATCH(CONTROL[[#This Row],[VEHIDCODE]],GRAPHICS_PROPERTIES[VEHIDCODE],0))</f>
        <v>1</v>
      </c>
      <c r="N314" s="31" t="str">
        <f>"item_"&amp;CONTROL[[#This Row],[VEHIDCODE]]</f>
        <v>item_mtro_Finland_Helsinki_M100</v>
      </c>
      <c r="O314" s="31" t="str">
        <f>"str_"&amp;CONTROL[[#This Row],[VEHIDCODE]]</f>
        <v>str_mtro_Finland_Helsinki_M100</v>
      </c>
    </row>
    <row r="315" spans="1:15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t="s">
        <v>1310</v>
      </c>
      <c r="G315" t="s">
        <v>2640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ISNUMBER(_xlfn.XMATCH(CONTROL[[#This Row],[VEHIDCODE]],GRAPHICS_PROPERTIES[VEHIDCODE],0))</f>
        <v>1</v>
      </c>
      <c r="N315" s="31" t="str">
        <f>"item_"&amp;CONTROL[[#This Row],[VEHIDCODE]]</f>
        <v>item_mtro_Brazil_Sao_Paulo_Serie_5500</v>
      </c>
      <c r="O315" s="31" t="str">
        <f>"str_"&amp;CONTROL[[#This Row],[VEHIDCODE]]</f>
        <v>str_mtro_Brazil_Sao_Paulo_Serie_5500</v>
      </c>
    </row>
    <row r="316" spans="1:15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t="s">
        <v>1311</v>
      </c>
      <c r="G316" t="s">
        <v>2623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ISNUMBER(_xlfn.XMATCH(CONTROL[[#This Row],[VEHIDCODE]],GRAPHICS_PROPERTIES[VEHIDCODE],0))</f>
        <v>1</v>
      </c>
      <c r="N316" s="31" t="str">
        <f>"item_"&amp;CONTROL[[#This Row],[VEHIDCODE]]</f>
        <v>item_mtro_Russia_Moscow_81_720</v>
      </c>
      <c r="O316" s="31" t="str">
        <f>"str_"&amp;CONTROL[[#This Row],[VEHIDCODE]]</f>
        <v>str_mtro_Russia_Moscow_81_720</v>
      </c>
    </row>
    <row r="317" spans="1:15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t="s">
        <v>1312</v>
      </c>
      <c r="G317" t="s">
        <v>2641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ISNUMBER(_xlfn.XMATCH(CONTROL[[#This Row],[VEHIDCODE]],GRAPHICS_PROPERTIES[VEHIDCODE],0))</f>
        <v>1</v>
      </c>
      <c r="N317" s="31" t="str">
        <f>"item_"&amp;CONTROL[[#This Row],[VEHIDCODE]]</f>
        <v>item_mtro_Japan_Tokyo_S01</v>
      </c>
      <c r="O317" s="31" t="str">
        <f>"str_"&amp;CONTROL[[#This Row],[VEHIDCODE]]</f>
        <v>str_mtro_Japan_Tokyo_S01</v>
      </c>
    </row>
    <row r="318" spans="1:15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t="s">
        <v>2642</v>
      </c>
      <c r="G318" t="s">
        <v>2643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ISNUMBER(_xlfn.XMATCH(CONTROL[[#This Row],[VEHIDCODE]],GRAPHICS_PROPERTIES[VEHIDCODE],0))</f>
        <v>1</v>
      </c>
      <c r="N318" s="31" t="str">
        <f>"item_"&amp;CONTROL[[#This Row],[VEHIDCODE]]</f>
        <v>item_mtro_Egypt_Cairo_1987_Stock</v>
      </c>
      <c r="O318" s="31" t="str">
        <f>"str_"&amp;CONTROL[[#This Row],[VEHIDCODE]]</f>
        <v>str_mtro_Egypt_Cairo_1987_Stock</v>
      </c>
    </row>
    <row r="319" spans="1:15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t="s">
        <v>2644</v>
      </c>
      <c r="G319" t="s">
        <v>2645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ISNUMBER(_xlfn.XMATCH(CONTROL[[#This Row],[VEHIDCODE]],GRAPHICS_PROPERTIES[VEHIDCODE],0))</f>
        <v>1</v>
      </c>
      <c r="N319" s="31" t="str">
        <f>"item_"&amp;CONTROL[[#This Row],[VEHIDCODE]]</f>
        <v>item_mtro_UK_DLR_P86</v>
      </c>
      <c r="O319" s="31" t="str">
        <f>"str_"&amp;CONTROL[[#This Row],[VEHIDCODE]]</f>
        <v>str_mtro_UK_DLR_P86</v>
      </c>
    </row>
    <row r="320" spans="1:15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t="s">
        <v>1313</v>
      </c>
      <c r="G320" t="s">
        <v>2646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ISNUMBER(_xlfn.XMATCH(CONTROL[[#This Row],[VEHIDCODE]],GRAPHICS_PROPERTIES[VEHIDCODE],0))</f>
        <v>1</v>
      </c>
      <c r="N320" s="31" t="str">
        <f>"item_"&amp;CONTROL[[#This Row],[VEHIDCODE]]</f>
        <v>item_mtro_Russia_Moscow_81_7175M</v>
      </c>
      <c r="O320" s="31" t="str">
        <f>"str_"&amp;CONTROL[[#This Row],[VEHIDCODE]]</f>
        <v>str_mtro_Russia_Moscow_81_7175M</v>
      </c>
    </row>
    <row r="321" spans="1:15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t="s">
        <v>1314</v>
      </c>
      <c r="G321" t="s">
        <v>2647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ISNUMBER(_xlfn.XMATCH(CONTROL[[#This Row],[VEHIDCODE]],GRAPHICS_PROPERTIES[VEHIDCODE],0))</f>
        <v>1</v>
      </c>
      <c r="N321" s="31" t="str">
        <f>"item_"&amp;CONTROL[[#This Row],[VEHIDCODE]]</f>
        <v>item_mtro_USA_Boston_01800</v>
      </c>
      <c r="O321" s="31" t="str">
        <f>"str_"&amp;CONTROL[[#This Row],[VEHIDCODE]]</f>
        <v>str_mtro_USA_Boston_01800</v>
      </c>
    </row>
    <row r="322" spans="1:15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t="s">
        <v>1315</v>
      </c>
      <c r="G322" t="s">
        <v>2648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ISNUMBER(_xlfn.XMATCH(CONTROL[[#This Row],[VEHIDCODE]],GRAPHICS_PROPERTIES[VEHIDCODE],0))</f>
        <v>1</v>
      </c>
      <c r="N322" s="31" t="str">
        <f>"item_"&amp;CONTROL[[#This Row],[VEHIDCODE]]</f>
        <v>item_mtro_USA_LA_A650</v>
      </c>
      <c r="O322" s="31" t="str">
        <f>"str_"&amp;CONTROL[[#This Row],[VEHIDCODE]]</f>
        <v>str_mtro_USA_LA_A650</v>
      </c>
    </row>
    <row r="323" spans="1:15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t="s">
        <v>1316</v>
      </c>
      <c r="G323" t="s">
        <v>2649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ISNUMBER(_xlfn.XMATCH(CONTROL[[#This Row],[VEHIDCODE]],GRAPHICS_PROPERTIES[VEHIDCODE],0))</f>
        <v>1</v>
      </c>
      <c r="N323" s="31" t="str">
        <f>"item_"&amp;CONTROL[[#This Row],[VEHIDCODE]]</f>
        <v>item_mtro_Taiwan_Taipei_C301</v>
      </c>
      <c r="O323" s="31" t="str">
        <f>"str_"&amp;CONTROL[[#This Row],[VEHIDCODE]]</f>
        <v>str_mtro_Taiwan_Taipei_C301</v>
      </c>
    </row>
    <row r="324" spans="1:15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t="s">
        <v>2651</v>
      </c>
      <c r="G324" t="s">
        <v>2650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ISNUMBER(_xlfn.XMATCH(CONTROL[[#This Row],[VEHIDCODE]],GRAPHICS_PROPERTIES[VEHIDCODE],0))</f>
        <v>1</v>
      </c>
      <c r="N324" s="31" t="str">
        <f>"item_"&amp;CONTROL[[#This Row],[VEHIDCODE]]</f>
        <v>item_mtro_Netherlands_Amsterdam_CAF_90</v>
      </c>
      <c r="O324" s="31" t="str">
        <f>"str_"&amp;CONTROL[[#This Row],[VEHIDCODE]]</f>
        <v>str_mtro_Netherlands_Amsterdam_CAF_90</v>
      </c>
    </row>
    <row r="325" spans="1:15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t="s">
        <v>1317</v>
      </c>
      <c r="G325" t="s">
        <v>2652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ISNUMBER(_xlfn.XMATCH(CONTROL[[#This Row],[VEHIDCODE]],GRAPHICS_PROPERTIES[VEHIDCODE],0))</f>
        <v>1</v>
      </c>
      <c r="N325" s="31" t="str">
        <f>"item_"&amp;CONTROL[[#This Row],[VEHIDCODE]]</f>
        <v>item_mtro_France_Paris_MP89</v>
      </c>
      <c r="O325" s="31" t="str">
        <f>"str_"&amp;CONTROL[[#This Row],[VEHIDCODE]]</f>
        <v>str_mtro_France_Paris_MP89</v>
      </c>
    </row>
    <row r="326" spans="1:15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t="s">
        <v>1318</v>
      </c>
      <c r="G326" t="s">
        <v>2653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ISNUMBER(_xlfn.XMATCH(CONTROL[[#This Row],[VEHIDCODE]],GRAPHICS_PROPERTIES[VEHIDCODE],0))</f>
        <v>1</v>
      </c>
      <c r="N326" s="31" t="str">
        <f>"item_"&amp;CONTROL[[#This Row],[VEHIDCODE]]</f>
        <v>item_mtro_Russia_Moscow_81_740</v>
      </c>
      <c r="O326" s="31" t="str">
        <f>"str_"&amp;CONTROL[[#This Row],[VEHIDCODE]]</f>
        <v>str_mtro_Russia_Moscow_81_740</v>
      </c>
    </row>
    <row r="327" spans="1:15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t="s">
        <v>1319</v>
      </c>
      <c r="G327" t="s">
        <v>2654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ISNUMBER(_xlfn.XMATCH(CONTROL[[#This Row],[VEHIDCODE]],GRAPHICS_PROPERTIES[VEHIDCODE],0))</f>
        <v>1</v>
      </c>
      <c r="N327" s="31" t="str">
        <f>"item_"&amp;CONTROL[[#This Row],[VEHIDCODE]]</f>
        <v>item_mtro_Singapore_Singapore_C830_Metropolis</v>
      </c>
      <c r="O327" s="31" t="str">
        <f>"str_"&amp;CONTROL[[#This Row],[VEHIDCODE]]</f>
        <v>str_mtro_Singapore_Singapore_C830_Metropolis</v>
      </c>
    </row>
    <row r="328" spans="1:15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t="s">
        <v>1320</v>
      </c>
      <c r="G328" t="s">
        <v>2655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ISNUMBER(_xlfn.XMATCH(CONTROL[[#This Row],[VEHIDCODE]],GRAPHICS_PROPERTIES[VEHIDCODE],0))</f>
        <v>1</v>
      </c>
      <c r="N328" s="31" t="str">
        <f>"item_"&amp;CONTROL[[#This Row],[VEHIDCODE]]</f>
        <v>item_mtro_Norway_Oslo_MX3000</v>
      </c>
      <c r="O328" s="31" t="str">
        <f>"str_"&amp;CONTROL[[#This Row],[VEHIDCODE]]</f>
        <v>str_mtro_Norway_Oslo_MX3000</v>
      </c>
    </row>
    <row r="329" spans="1:15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t="s">
        <v>1321</v>
      </c>
      <c r="G329" t="s">
        <v>2656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ISNUMBER(_xlfn.XMATCH(CONTROL[[#This Row],[VEHIDCODE]],GRAPHICS_PROPERTIES[VEHIDCODE],0))</f>
        <v>1</v>
      </c>
      <c r="N329" s="31" t="str">
        <f>"item_"&amp;CONTROL[[#This Row],[VEHIDCODE]]</f>
        <v>item_mtro_Japan_Osaka_30000</v>
      </c>
      <c r="O329" s="31" t="str">
        <f>"str_"&amp;CONTROL[[#This Row],[VEHIDCODE]]</f>
        <v>str_mtro_Japan_Osaka_30000</v>
      </c>
    </row>
    <row r="330" spans="1:15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t="s">
        <v>1322</v>
      </c>
      <c r="G330" t="s">
        <v>2657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ISNUMBER(_xlfn.XMATCH(CONTROL[[#This Row],[VEHIDCODE]],GRAPHICS_PROPERTIES[VEHIDCODE],0))</f>
        <v>1</v>
      </c>
      <c r="N330" s="31" t="str">
        <f>"item_"&amp;CONTROL[[#This Row],[VEHIDCODE]]</f>
        <v>item_mtro_Singapore_Singapore_C151A</v>
      </c>
      <c r="O330" s="31" t="str">
        <f>"str_"&amp;CONTROL[[#This Row],[VEHIDCODE]]</f>
        <v>str_mtro_Singapore_Singapore_C151A</v>
      </c>
    </row>
    <row r="331" spans="1:15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t="s">
        <v>1323</v>
      </c>
      <c r="G331" t="s">
        <v>2658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ISNUMBER(_xlfn.XMATCH(CONTROL[[#This Row],[VEHIDCODE]],GRAPHICS_PROPERTIES[VEHIDCODE],0))</f>
        <v>1</v>
      </c>
      <c r="N331" s="31" t="str">
        <f>"item_"&amp;CONTROL[[#This Row],[VEHIDCODE]]</f>
        <v>item_mtro_USA_Washington_7000</v>
      </c>
      <c r="O331" s="31" t="str">
        <f>"str_"&amp;CONTROL[[#This Row],[VEHIDCODE]]</f>
        <v>str_mtro_USA_Washington_7000</v>
      </c>
    </row>
    <row r="332" spans="1:15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t="s">
        <v>1324</v>
      </c>
      <c r="G332" t="s">
        <v>2659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ISNUMBER(_xlfn.XMATCH(CONTROL[[#This Row],[VEHIDCODE]],GRAPHICS_PROPERTIES[VEHIDCODE],0))</f>
        <v>1</v>
      </c>
      <c r="N332" s="31" t="str">
        <f>"item_"&amp;CONTROL[[#This Row],[VEHIDCODE]]</f>
        <v>item_mtro_Greece_Thessaloniki_2014</v>
      </c>
      <c r="O332" s="31" t="str">
        <f>"str_"&amp;CONTROL[[#This Row],[VEHIDCODE]]</f>
        <v>str_mtro_Greece_Thessaloniki_2014</v>
      </c>
    </row>
    <row r="333" spans="1:15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t="s">
        <v>1325</v>
      </c>
      <c r="G333" t="s">
        <v>2660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ISNUMBER(_xlfn.XMATCH(CONTROL[[#This Row],[VEHIDCODE]],GRAPHICS_PROPERTIES[VEHIDCODE],0))</f>
        <v>1</v>
      </c>
      <c r="N333" s="31" t="str">
        <f>"item_"&amp;CONTROL[[#This Row],[VEHIDCODE]]</f>
        <v>item_mtro_Germany_Berlin_U_Bahn_A_I</v>
      </c>
      <c r="O333" s="31" t="str">
        <f>"str_"&amp;CONTROL[[#This Row],[VEHIDCODE]]</f>
        <v>str_mtro_Germany_Berlin_U_Bahn_A_I</v>
      </c>
    </row>
    <row r="334" spans="1:15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t="s">
        <v>1326</v>
      </c>
      <c r="G334" t="s">
        <v>2661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ISNUMBER(_xlfn.XMATCH(CONTROL[[#This Row],[VEHIDCODE]],GRAPHICS_PROPERTIES[VEHIDCODE],0))</f>
        <v>1</v>
      </c>
      <c r="N334" s="31" t="str">
        <f>"item_"&amp;CONTROL[[#This Row],[VEHIDCODE]]</f>
        <v>item_mtro_USA_NY_Hedley_Hi_V</v>
      </c>
      <c r="O334" s="31" t="str">
        <f>"str_"&amp;CONTROL[[#This Row],[VEHIDCODE]]</f>
        <v>str_mtro_USA_NY_Hedley_Hi_V</v>
      </c>
    </row>
    <row r="335" spans="1:15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t="s">
        <v>1327</v>
      </c>
      <c r="G335" t="s">
        <v>2662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ISNUMBER(_xlfn.XMATCH(CONTROL[[#This Row],[VEHIDCODE]],GRAPHICS_PROPERTIES[VEHIDCODE],0))</f>
        <v>1</v>
      </c>
      <c r="N335" s="31" t="str">
        <f>"item_"&amp;CONTROL[[#This Row],[VEHIDCODE]]</f>
        <v>item_mtro_Japan_Osaka_1000</v>
      </c>
      <c r="O335" s="31" t="str">
        <f>"str_"&amp;CONTROL[[#This Row],[VEHIDCODE]]</f>
        <v>str_mtro_Japan_Osaka_1000</v>
      </c>
    </row>
    <row r="336" spans="1:15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t="s">
        <v>1328</v>
      </c>
      <c r="G336" t="s">
        <v>2663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ISNUMBER(_xlfn.XMATCH(CONTROL[[#This Row],[VEHIDCODE]],GRAPHICS_PROPERTIES[VEHIDCODE],0))</f>
        <v>1</v>
      </c>
      <c r="N336" s="31" t="str">
        <f>"item_"&amp;CONTROL[[#This Row],[VEHIDCODE]]</f>
        <v>item_mtro_Russia_Moscow_Type_A</v>
      </c>
      <c r="O336" s="31" t="str">
        <f>"str_"&amp;CONTROL[[#This Row],[VEHIDCODE]]</f>
        <v>str_mtro_Russia_Moscow_Type_A</v>
      </c>
    </row>
    <row r="337" spans="1:15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t="s">
        <v>1329</v>
      </c>
      <c r="G337" t="s">
        <v>2664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ISNUMBER(_xlfn.XMATCH(CONTROL[[#This Row],[VEHIDCODE]],GRAPHICS_PROPERTIES[VEHIDCODE],0))</f>
        <v>1</v>
      </c>
      <c r="N337" s="31" t="str">
        <f>"item_"&amp;CONTROL[[#This Row],[VEHIDCODE]]</f>
        <v>item_mtro_USA_NY_R10</v>
      </c>
      <c r="O337" s="31" t="str">
        <f>"str_"&amp;CONTROL[[#This Row],[VEHIDCODE]]</f>
        <v>str_mtro_USA_NY_R10</v>
      </c>
    </row>
    <row r="338" spans="1:15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t="s">
        <v>1330</v>
      </c>
      <c r="G338" t="s">
        <v>2665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ISNUMBER(_xlfn.XMATCH(CONTROL[[#This Row],[VEHIDCODE]],GRAPHICS_PROPERTIES[VEHIDCODE],0))</f>
        <v>1</v>
      </c>
      <c r="N338" s="31" t="str">
        <f>"item_"&amp;CONTROL[[#This Row],[VEHIDCODE]]</f>
        <v>item_mtro_Italy_Rome_MR_100</v>
      </c>
      <c r="O338" s="31" t="str">
        <f>"str_"&amp;CONTROL[[#This Row],[VEHIDCODE]]</f>
        <v>str_mtro_Italy_Rome_MR_100</v>
      </c>
    </row>
    <row r="339" spans="1:15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t="s">
        <v>1331</v>
      </c>
      <c r="G339" t="s">
        <v>2666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ISNUMBER(_xlfn.XMATCH(CONTROL[[#This Row],[VEHIDCODE]],GRAPHICS_PROPERTIES[VEHIDCODE],0))</f>
        <v>1</v>
      </c>
      <c r="N339" s="31" t="str">
        <f>"item_"&amp;CONTROL[[#This Row],[VEHIDCODE]]</f>
        <v>item_mtro_Russia_Moscow_Type_D</v>
      </c>
      <c r="O339" s="31" t="str">
        <f>"str_"&amp;CONTROL[[#This Row],[VEHIDCODE]]</f>
        <v>str_mtro_Russia_Moscow_Type_D</v>
      </c>
    </row>
    <row r="340" spans="1:15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t="s">
        <v>1332</v>
      </c>
      <c r="G340" t="s">
        <v>2667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ISNUMBER(_xlfn.XMATCH(CONTROL[[#This Row],[VEHIDCODE]],GRAPHICS_PROPERTIES[VEHIDCODE],0))</f>
        <v>1</v>
      </c>
      <c r="N340" s="31" t="str">
        <f>"item_"&amp;CONTROL[[#This Row],[VEHIDCODE]]</f>
        <v>item_mtro_Netherlands_Rotterdam_MG2_Type_M</v>
      </c>
      <c r="O340" s="31" t="str">
        <f>"str_"&amp;CONTROL[[#This Row],[VEHIDCODE]]</f>
        <v>str_mtro_Netherlands_Rotterdam_MG2_Type_M</v>
      </c>
    </row>
    <row r="341" spans="1:15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t="s">
        <v>1333</v>
      </c>
      <c r="G341" t="s">
        <v>2668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ISNUMBER(_xlfn.XMATCH(CONTROL[[#This Row],[VEHIDCODE]],GRAPHICS_PROPERTIES[VEHIDCODE],0))</f>
        <v>1</v>
      </c>
      <c r="N341" s="31" t="str">
        <f>"item_"&amp;CONTROL[[#This Row],[VEHIDCODE]]</f>
        <v>item_mtro_Czech_Republic_Prague_ECS_Set</v>
      </c>
      <c r="O341" s="31" t="str">
        <f>"str_"&amp;CONTROL[[#This Row],[VEHIDCODE]]</f>
        <v>str_mtro_Czech_Republic_Prague_ECS_Set</v>
      </c>
    </row>
    <row r="342" spans="1:15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t="s">
        <v>1334</v>
      </c>
      <c r="G342" t="s">
        <v>2669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ISNUMBER(_xlfn.XMATCH(CONTROL[[#This Row],[VEHIDCODE]],GRAPHICS_PROPERTIES[VEHIDCODE],0))</f>
        <v>1</v>
      </c>
      <c r="N342" s="31" t="str">
        <f>"item_"&amp;CONTROL[[#This Row],[VEHIDCODE]]</f>
        <v>item_mtro_Argentina_Buenos_Aires_Serie_1200</v>
      </c>
      <c r="O342" s="31" t="str">
        <f>"str_"&amp;CONTROL[[#This Row],[VEHIDCODE]]</f>
        <v>str_mtro_Argentina_Buenos_Aires_Serie_1200</v>
      </c>
    </row>
    <row r="343" spans="1:15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t="s">
        <v>1335</v>
      </c>
      <c r="G343" t="s">
        <v>2670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ISNUMBER(_xlfn.XMATCH(CONTROL[[#This Row],[VEHIDCODE]],GRAPHICS_PROPERTIES[VEHIDCODE],0))</f>
        <v>1</v>
      </c>
      <c r="N343" s="31" t="str">
        <f>"item_"&amp;CONTROL[[#This Row],[VEHIDCODE]]</f>
        <v>item_mtro_Chile_Santiago_NS_93</v>
      </c>
      <c r="O343" s="31" t="str">
        <f>"str_"&amp;CONTROL[[#This Row],[VEHIDCODE]]</f>
        <v>str_mtro_Chile_Santiago_NS_93</v>
      </c>
    </row>
    <row r="344" spans="1:15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t="s">
        <v>1336</v>
      </c>
      <c r="G344" t="s">
        <v>2671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ISNUMBER(_xlfn.XMATCH(CONTROL[[#This Row],[VEHIDCODE]],GRAPHICS_PROPERTIES[VEHIDCODE],0))</f>
        <v>1</v>
      </c>
      <c r="N344" s="31" t="str">
        <f>"item_"&amp;CONTROL[[#This Row],[VEHIDCODE]]</f>
        <v>item_mtro_Chile_Santiago_AS_2002</v>
      </c>
      <c r="O344" s="31" t="str">
        <f>"str_"&amp;CONTROL[[#This Row],[VEHIDCODE]]</f>
        <v>str_mtro_Chile_Santiago_AS_2002</v>
      </c>
    </row>
    <row r="345" spans="1:15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t="s">
        <v>1337</v>
      </c>
      <c r="G345" t="s">
        <v>2672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ISNUMBER(_xlfn.XMATCH(CONTROL[[#This Row],[VEHIDCODE]],GRAPHICS_PROPERTIES[VEHIDCODE],0))</f>
        <v>1</v>
      </c>
      <c r="N345" s="31" t="str">
        <f>"item_"&amp;CONTROL[[#This Row],[VEHIDCODE]]</f>
        <v>item_mtro_Brazil_Recife_VLT_Mobile_3</v>
      </c>
      <c r="O345" s="31" t="str">
        <f>"str_"&amp;CONTROL[[#This Row],[VEHIDCODE]]</f>
        <v>str_mtro_Brazil_Recife_VLT_Mobile_3</v>
      </c>
    </row>
    <row r="346" spans="1:15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t="s">
        <v>1338</v>
      </c>
      <c r="G346" t="s">
        <v>2673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ISNUMBER(_xlfn.XMATCH(CONTROL[[#This Row],[VEHIDCODE]],GRAPHICS_PROPERTIES[VEHIDCODE],0))</f>
        <v>1</v>
      </c>
      <c r="N346" s="31" t="str">
        <f>"item_"&amp;CONTROL[[#This Row],[VEHIDCODE]]</f>
        <v>item_mtro_Spain_Madrid_Series_5000</v>
      </c>
      <c r="O346" s="31" t="str">
        <f>"str_"&amp;CONTROL[[#This Row],[VEHIDCODE]]</f>
        <v>str_mtro_Spain_Madrid_Series_5000</v>
      </c>
    </row>
    <row r="347" spans="1:15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t="s">
        <v>1339</v>
      </c>
      <c r="G347" t="s">
        <v>2674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ISNUMBER(_xlfn.XMATCH(CONTROL[[#This Row],[VEHIDCODE]],GRAPHICS_PROPERTIES[VEHIDCODE],0))</f>
        <v>1</v>
      </c>
      <c r="N347" s="31" t="str">
        <f>"item_"&amp;CONTROL[[#This Row],[VEHIDCODE]]</f>
        <v>item_mtro_Italy_Rome_S_300</v>
      </c>
      <c r="O347" s="31" t="str">
        <f>"str_"&amp;CONTROL[[#This Row],[VEHIDCODE]]</f>
        <v>str_mtro_Italy_Rome_S_300</v>
      </c>
    </row>
    <row r="348" spans="1:15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t="s">
        <v>1340</v>
      </c>
      <c r="G348" t="s">
        <v>2675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ISNUMBER(_xlfn.XMATCH(CONTROL[[#This Row],[VEHIDCODE]],GRAPHICS_PROPERTIES[VEHIDCODE],0))</f>
        <v>1</v>
      </c>
      <c r="N348" s="31" t="str">
        <f>"item_"&amp;CONTROL[[#This Row],[VEHIDCODE]]</f>
        <v>item_mtro_Algeria_Algiers_CAF_2011_Stock</v>
      </c>
      <c r="O348" s="31" t="str">
        <f>"str_"&amp;CONTROL[[#This Row],[VEHIDCODE]]</f>
        <v>str_mtro_Algeria_Algiers_CAF_2011_Stock</v>
      </c>
    </row>
    <row r="349" spans="1:15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t="s">
        <v>1341</v>
      </c>
      <c r="G349" t="s">
        <v>2676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ISNUMBER(_xlfn.XMATCH(CONTROL[[#This Row],[VEHIDCODE]],GRAPHICS_PROPERTIES[VEHIDCODE],0))</f>
        <v>1</v>
      </c>
      <c r="N349" s="31" t="str">
        <f>"item_"&amp;CONTROL[[#This Row],[VEHIDCODE]]</f>
        <v>item_mtro_Germany_Berlin_U_Bahn_IK</v>
      </c>
      <c r="O349" s="31" t="str">
        <f>"str_"&amp;CONTROL[[#This Row],[VEHIDCODE]]</f>
        <v>str_mtro_Germany_Berlin_U_Bahn_IK</v>
      </c>
    </row>
    <row r="350" spans="1:15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t="s">
        <v>1342</v>
      </c>
      <c r="G350" t="s">
        <v>2677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ISNUMBER(_xlfn.XMATCH(CONTROL[[#This Row],[VEHIDCODE]],GRAPHICS_PROPERTIES[VEHIDCODE],0))</f>
        <v>1</v>
      </c>
      <c r="N350" s="31" t="str">
        <f>"item_"&amp;CONTROL[[#This Row],[VEHIDCODE]]</f>
        <v>item_mtro_USA_Chicago_L_6000</v>
      </c>
      <c r="O350" s="31" t="str">
        <f>"str_"&amp;CONTROL[[#This Row],[VEHIDCODE]]</f>
        <v>str_mtro_USA_Chicago_L_6000</v>
      </c>
    </row>
    <row r="351" spans="1:15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t="s">
        <v>1343</v>
      </c>
      <c r="G351" t="s">
        <v>2678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ISNUMBER(_xlfn.XMATCH(CONTROL[[#This Row],[VEHIDCODE]],GRAPHICS_PROPERTIES[VEHIDCODE],0))</f>
        <v>1</v>
      </c>
      <c r="N351" s="31" t="str">
        <f>"item_"&amp;CONTROL[[#This Row],[VEHIDCODE]]</f>
        <v>item_mtro_UK_London_1903_Stock</v>
      </c>
      <c r="O351" s="31" t="str">
        <f>"str_"&amp;CONTROL[[#This Row],[VEHIDCODE]]</f>
        <v>str_mtro_UK_London_1903_Stock</v>
      </c>
    </row>
    <row r="352" spans="1:15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t="s">
        <v>1344</v>
      </c>
      <c r="G352" t="s">
        <v>2679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ISNUMBER(_xlfn.XMATCH(CONTROL[[#This Row],[VEHIDCODE]],GRAPHICS_PROPERTIES[VEHIDCODE],0))</f>
        <v>1</v>
      </c>
      <c r="N352" s="31" t="str">
        <f>"item_"&amp;CONTROL[[#This Row],[VEHIDCODE]]</f>
        <v>item_mtro_UK_London_1938_Stock</v>
      </c>
      <c r="O352" s="31" t="str">
        <f>"str_"&amp;CONTROL[[#This Row],[VEHIDCODE]]</f>
        <v>str_mtro_UK_London_1938_Stock</v>
      </c>
    </row>
    <row r="353" spans="1:15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t="s">
        <v>1345</v>
      </c>
      <c r="G353" t="s">
        <v>2680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ISNUMBER(_xlfn.XMATCH(CONTROL[[#This Row],[VEHIDCODE]],GRAPHICS_PROPERTIES[VEHIDCODE],0))</f>
        <v>1</v>
      </c>
      <c r="N353" s="31" t="str">
        <f>"item_"&amp;CONTROL[[#This Row],[VEHIDCODE]]</f>
        <v>item_electric_UK_NER_EF1</v>
      </c>
      <c r="O353" s="31" t="str">
        <f>"str_"&amp;CONTROL[[#This Row],[VEHIDCODE]]</f>
        <v>str_electric_UK_NER_EF1</v>
      </c>
    </row>
    <row r="354" spans="1:15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t="s">
        <v>1346</v>
      </c>
      <c r="G354" t="s">
        <v>2681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ISNUMBER(_xlfn.XMATCH(CONTROL[[#This Row],[VEHIDCODE]],GRAPHICS_PROPERTIES[VEHIDCODE],0))</f>
        <v>1</v>
      </c>
      <c r="N354" s="31" t="str">
        <f>"item_"&amp;CONTROL[[#This Row],[VEHIDCODE]]</f>
        <v>item_electric_Japan_JNR_EB10</v>
      </c>
      <c r="O354" s="31" t="str">
        <f>"str_"&amp;CONTROL[[#This Row],[VEHIDCODE]]</f>
        <v>str_electric_Japan_JNR_EB10</v>
      </c>
    </row>
    <row r="355" spans="1:15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t="s">
        <v>1347</v>
      </c>
      <c r="G355" t="s">
        <v>2682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ISNUMBER(_xlfn.XMATCH(CONTROL[[#This Row],[VEHIDCODE]],GRAPHICS_PROPERTIES[VEHIDCODE],0))</f>
        <v>1</v>
      </c>
      <c r="N355" s="31" t="str">
        <f>"item_"&amp;CONTROL[[#This Row],[VEHIDCODE]]</f>
        <v>item_electric_Japan_JNR_EF55</v>
      </c>
      <c r="O355" s="31" t="str">
        <f>"str_"&amp;CONTROL[[#This Row],[VEHIDCODE]]</f>
        <v>str_electric_Japan_JNR_EF55</v>
      </c>
    </row>
    <row r="356" spans="1:15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t="s">
        <v>1348</v>
      </c>
      <c r="G356" t="s">
        <v>2683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ISNUMBER(_xlfn.XMATCH(CONTROL[[#This Row],[VEHIDCODE]],GRAPHICS_PROPERTIES[VEHIDCODE],0))</f>
        <v>1</v>
      </c>
      <c r="N356" s="31" t="str">
        <f>"item_"&amp;CONTROL[[#This Row],[VEHIDCODE]]</f>
        <v>item_electric_Netherlands_NS_1000</v>
      </c>
      <c r="O356" s="31" t="str">
        <f>"str_"&amp;CONTROL[[#This Row],[VEHIDCODE]]</f>
        <v>str_electric_Netherlands_NS_1000</v>
      </c>
    </row>
    <row r="357" spans="1:15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t="s">
        <v>1349</v>
      </c>
      <c r="G357" t="s">
        <v>2684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ISNUMBER(_xlfn.XMATCH(CONTROL[[#This Row],[VEHIDCODE]],GRAPHICS_PROPERTIES[VEHIDCODE],0))</f>
        <v>1</v>
      </c>
      <c r="N357" s="31" t="str">
        <f>"item_"&amp;CONTROL[[#This Row],[VEHIDCODE]]</f>
        <v>item_electric_Netherlands_NS_1600</v>
      </c>
      <c r="O357" s="31" t="str">
        <f>"str_"&amp;CONTROL[[#This Row],[VEHIDCODE]]</f>
        <v>str_electric_Netherlands_NS_1600</v>
      </c>
    </row>
    <row r="358" spans="1:15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t="s">
        <v>1350</v>
      </c>
      <c r="G358" t="s">
        <v>2685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ISNUMBER(_xlfn.XMATCH(CONTROL[[#This Row],[VEHIDCODE]],GRAPHICS_PROPERTIES[VEHIDCODE],0))</f>
        <v>1</v>
      </c>
      <c r="N358" s="31" t="str">
        <f>"item_"&amp;CONTROL[[#This Row],[VEHIDCODE]]</f>
        <v>item_electric_Australia_Victorian_Railways_E_Class</v>
      </c>
      <c r="O358" s="31" t="str">
        <f>"str_"&amp;CONTROL[[#This Row],[VEHIDCODE]]</f>
        <v>str_electric_Australia_Victorian_Railways_E_Class</v>
      </c>
    </row>
    <row r="359" spans="1:15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t="s">
        <v>1351</v>
      </c>
      <c r="G359" t="s">
        <v>2686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ISNUMBER(_xlfn.XMATCH(CONTROL[[#This Row],[VEHIDCODE]],GRAPHICS_PROPERTIES[VEHIDCODE],0))</f>
        <v>1</v>
      </c>
      <c r="N359" s="31" t="str">
        <f>"item_"&amp;CONTROL[[#This Row],[VEHIDCODE]]</f>
        <v>item_electric_UK_NER_ES1</v>
      </c>
      <c r="O359" s="31" t="str">
        <f>"str_"&amp;CONTROL[[#This Row],[VEHIDCODE]]</f>
        <v>str_electric_UK_NER_ES1</v>
      </c>
    </row>
    <row r="360" spans="1:15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t="s">
        <v>2688</v>
      </c>
      <c r="G360" t="s">
        <v>2687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ISNUMBER(_xlfn.XMATCH(CONTROL[[#This Row],[VEHIDCODE]],GRAPHICS_PROPERTIES[VEHIDCODE],0))</f>
        <v>1</v>
      </c>
      <c r="N360" s="31" t="str">
        <f>"item_"&amp;CONTROL[[#This Row],[VEHIDCODE]]</f>
        <v>item_electric_USA_NYC_S_motor</v>
      </c>
      <c r="O360" s="31" t="str">
        <f>"str_"&amp;CONTROL[[#This Row],[VEHIDCODE]]</f>
        <v>str_electric_USA_NYC_S_motor</v>
      </c>
    </row>
    <row r="361" spans="1:15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t="s">
        <v>1352</v>
      </c>
      <c r="G361" t="s">
        <v>2689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ISNUMBER(_xlfn.XMATCH(CONTROL[[#This Row],[VEHIDCODE]],GRAPHICS_PROPERTIES[VEHIDCODE],0))</f>
        <v>1</v>
      </c>
      <c r="N361" s="31" t="str">
        <f>"item_"&amp;CONTROL[[#This Row],[VEHIDCODE]]</f>
        <v>item_electric_Japan_Aichi_Railroad_DeKi_400</v>
      </c>
      <c r="O361" s="31" t="str">
        <f>"str_"&amp;CONTROL[[#This Row],[VEHIDCODE]]</f>
        <v>str_electric_Japan_Aichi_Railroad_DeKi_400</v>
      </c>
    </row>
    <row r="362" spans="1:15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t="s">
        <v>1353</v>
      </c>
      <c r="G362" t="s">
        <v>2690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ISNUMBER(_xlfn.XMATCH(CONTROL[[#This Row],[VEHIDCODE]],GRAPHICS_PROPERTIES[VEHIDCODE],0))</f>
        <v>1</v>
      </c>
      <c r="N362" s="31" t="str">
        <f>"item_"&amp;CONTROL[[#This Row],[VEHIDCODE]]</f>
        <v>item_electric_India_Indian_Railways_WCG_1</v>
      </c>
      <c r="O362" s="31" t="str">
        <f>"str_"&amp;CONTROL[[#This Row],[VEHIDCODE]]</f>
        <v>str_electric_India_Indian_Railways_WCG_1</v>
      </c>
    </row>
    <row r="363" spans="1:15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t="s">
        <v>1354</v>
      </c>
      <c r="G363" t="s">
        <v>2691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ISNUMBER(_xlfn.XMATCH(CONTROL[[#This Row],[VEHIDCODE]],GRAPHICS_PROPERTIES[VEHIDCODE],0))</f>
        <v>1</v>
      </c>
      <c r="N363" s="31" t="str">
        <f>"item_"&amp;CONTROL[[#This Row],[VEHIDCODE]]</f>
        <v>item_electric_France_SNCF_BB_9004</v>
      </c>
      <c r="O363" s="31" t="str">
        <f>"str_"&amp;CONTROL[[#This Row],[VEHIDCODE]]</f>
        <v>str_electric_France_SNCF_BB_9004</v>
      </c>
    </row>
    <row r="364" spans="1:15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t="s">
        <v>1355</v>
      </c>
      <c r="G364" t="s">
        <v>2692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ISNUMBER(_xlfn.XMATCH(CONTROL[[#This Row],[VEHIDCODE]],GRAPHICS_PROPERTIES[VEHIDCODE],0))</f>
        <v>1</v>
      </c>
      <c r="N364" s="31" t="str">
        <f>"item_"&amp;CONTROL[[#This Row],[VEHIDCODE]]</f>
        <v>item_electric_Indonesia_ESS_3200</v>
      </c>
      <c r="O364" s="31" t="str">
        <f>"str_"&amp;CONTROL[[#This Row],[VEHIDCODE]]</f>
        <v>str_electric_Indonesia_ESS_3200</v>
      </c>
    </row>
    <row r="365" spans="1:15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t="s">
        <v>1356</v>
      </c>
      <c r="G365" t="s">
        <v>2693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ISNUMBER(_xlfn.XMATCH(CONTROL[[#This Row],[VEHIDCODE]],GRAPHICS_PROPERTIES[VEHIDCODE],0))</f>
        <v>1</v>
      </c>
      <c r="N365" s="31" t="str">
        <f>"item_"&amp;CONTROL[[#This Row],[VEHIDCODE]]</f>
        <v>item_electric_UK_BR_77_Metrovic</v>
      </c>
      <c r="O365" s="31" t="str">
        <f>"str_"&amp;CONTROL[[#This Row],[VEHIDCODE]]</f>
        <v>str_electric_UK_BR_77_Metrovic</v>
      </c>
    </row>
    <row r="366" spans="1:15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t="s">
        <v>1357</v>
      </c>
      <c r="G366" t="s">
        <v>2694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ISNUMBER(_xlfn.XMATCH(CONTROL[[#This Row],[VEHIDCODE]],GRAPHICS_PROPERTIES[VEHIDCODE],0))</f>
        <v>1</v>
      </c>
      <c r="N366" s="31" t="str">
        <f>"item_"&amp;CONTROL[[#This Row],[VEHIDCODE]]</f>
        <v>item_electric_UK_NER_EE1</v>
      </c>
      <c r="O366" s="31" t="str">
        <f>"str_"&amp;CONTROL[[#This Row],[VEHIDCODE]]</f>
        <v>str_electric_UK_NER_EE1</v>
      </c>
    </row>
    <row r="367" spans="1:15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t="s">
        <v>1358</v>
      </c>
      <c r="G367" t="s">
        <v>2695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ISNUMBER(_xlfn.XMATCH(CONTROL[[#This Row],[VEHIDCODE]],GRAPHICS_PROPERTIES[VEHIDCODE],0))</f>
        <v>1</v>
      </c>
      <c r="N367" s="31" t="str">
        <f>"item_"&amp;CONTROL[[#This Row],[VEHIDCODE]]</f>
        <v>item_electric_USA_Milwaukee_Road_ES_2</v>
      </c>
      <c r="O367" s="31" t="str">
        <f>"str_"&amp;CONTROL[[#This Row],[VEHIDCODE]]</f>
        <v>str_electric_USA_Milwaukee_Road_ES_2</v>
      </c>
    </row>
    <row r="368" spans="1:15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t="s">
        <v>1359</v>
      </c>
      <c r="G368" t="s">
        <v>2696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ISNUMBER(_xlfn.XMATCH(CONTROL[[#This Row],[VEHIDCODE]],GRAPHICS_PROPERTIES[VEHIDCODE],0))</f>
        <v>1</v>
      </c>
      <c r="N368" s="31" t="str">
        <f>"item_"&amp;CONTROL[[#This Row],[VEHIDCODE]]</f>
        <v>item_electric_USA_Milwaukee_Road_EP_2_Bipolar</v>
      </c>
      <c r="O368" s="31" t="str">
        <f>"str_"&amp;CONTROL[[#This Row],[VEHIDCODE]]</f>
        <v>str_electric_USA_Milwaukee_Road_EP_2_Bipolar</v>
      </c>
    </row>
    <row r="369" spans="1:15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t="s">
        <v>1360</v>
      </c>
      <c r="G369" t="s">
        <v>1749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ISNUMBER(_xlfn.XMATCH(CONTROL[[#This Row],[VEHIDCODE]],GRAPHICS_PROPERTIES[VEHIDCODE],0))</f>
        <v>1</v>
      </c>
      <c r="N369" s="31" t="str">
        <f>"item_"&amp;CONTROL[[#This Row],[VEHIDCODE]]</f>
        <v>item_electric_Chile_EFE_E_28</v>
      </c>
      <c r="O369" s="31" t="str">
        <f>"str_"&amp;CONTROL[[#This Row],[VEHIDCODE]]</f>
        <v>str_electric_Chile_EFE_E_28</v>
      </c>
    </row>
    <row r="370" spans="1:15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t="s">
        <v>1361</v>
      </c>
      <c r="G370" t="s">
        <v>2697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ISNUMBER(_xlfn.XMATCH(CONTROL[[#This Row],[VEHIDCODE]],GRAPHICS_PROPERTIES[VEHIDCODE],0))</f>
        <v>1</v>
      </c>
      <c r="N370" s="31" t="str">
        <f>"item_"&amp;CONTROL[[#This Row],[VEHIDCODE]]</f>
        <v>item_electric_Italy_FS_E428</v>
      </c>
      <c r="O370" s="31" t="str">
        <f>"str_"&amp;CONTROL[[#This Row],[VEHIDCODE]]</f>
        <v>str_electric_Italy_FS_E428</v>
      </c>
    </row>
    <row r="371" spans="1:15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t="s">
        <v>1362</v>
      </c>
      <c r="G371" t="s">
        <v>2698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ISNUMBER(_xlfn.XMATCH(CONTROL[[#This Row],[VEHIDCODE]],GRAPHICS_PROPERTIES[VEHIDCODE],0))</f>
        <v>1</v>
      </c>
      <c r="N371" s="31" t="str">
        <f>"item_"&amp;CONTROL[[#This Row],[VEHIDCODE]]</f>
        <v>item_electric_South_Africa_SAR_ES_Class</v>
      </c>
      <c r="O371" s="31" t="str">
        <f>"str_"&amp;CONTROL[[#This Row],[VEHIDCODE]]</f>
        <v>str_electric_South_Africa_SAR_ES_Class</v>
      </c>
    </row>
    <row r="372" spans="1:15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t="s">
        <v>1363</v>
      </c>
      <c r="G372" t="s">
        <v>2699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ISNUMBER(_xlfn.XMATCH(CONTROL[[#This Row],[VEHIDCODE]],GRAPHICS_PROPERTIES[VEHIDCODE],0))</f>
        <v>1</v>
      </c>
      <c r="N372" s="31" t="str">
        <f>"item_"&amp;CONTROL[[#This Row],[VEHIDCODE]]</f>
        <v>item_electric_Poland_PKP_EU06</v>
      </c>
      <c r="O372" s="31" t="str">
        <f>"str_"&amp;CONTROL[[#This Row],[VEHIDCODE]]</f>
        <v>str_electric_Poland_PKP_EU06</v>
      </c>
    </row>
    <row r="373" spans="1:15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t="s">
        <v>1364</v>
      </c>
      <c r="G373" t="s">
        <v>2700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ISNUMBER(_xlfn.XMATCH(CONTROL[[#This Row],[VEHIDCODE]],GRAPHICS_PROPERTIES[VEHIDCODE],0))</f>
        <v>1</v>
      </c>
      <c r="N373" s="31" t="str">
        <f>"item_"&amp;CONTROL[[#This Row],[VEHIDCODE]]</f>
        <v>item_electric_Poland_PKP_ET41</v>
      </c>
      <c r="O373" s="31" t="str">
        <f>"str_"&amp;CONTROL[[#This Row],[VEHIDCODE]]</f>
        <v>str_electric_Poland_PKP_ET41</v>
      </c>
    </row>
    <row r="374" spans="1:15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t="s">
        <v>1365</v>
      </c>
      <c r="G374" t="s">
        <v>2701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ISNUMBER(_xlfn.XMATCH(CONTROL[[#This Row],[VEHIDCODE]],GRAPHICS_PROPERTIES[VEHIDCODE],0))</f>
        <v>1</v>
      </c>
      <c r="N374" s="31" t="str">
        <f>"item_"&amp;CONTROL[[#This Row],[VEHIDCODE]]</f>
        <v>item_electric_Poland_PKP_EP09</v>
      </c>
      <c r="O374" s="31" t="str">
        <f>"str_"&amp;CONTROL[[#This Row],[VEHIDCODE]]</f>
        <v>str_electric_Poland_PKP_EP09</v>
      </c>
    </row>
    <row r="375" spans="1:15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t="s">
        <v>1366</v>
      </c>
      <c r="G375" t="s">
        <v>2702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ISNUMBER(_xlfn.XMATCH(CONTROL[[#This Row],[VEHIDCODE]],GRAPHICS_PROPERTIES[VEHIDCODE],0))</f>
        <v>1</v>
      </c>
      <c r="N375" s="31" t="str">
        <f>"item_"&amp;CONTROL[[#This Row],[VEHIDCODE]]</f>
        <v>item_electric_Slovakia_ZSSK_162</v>
      </c>
      <c r="O375" s="31" t="str">
        <f>"str_"&amp;CONTROL[[#This Row],[VEHIDCODE]]</f>
        <v>str_electric_Slovakia_ZSSK_162</v>
      </c>
    </row>
    <row r="376" spans="1:15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t="s">
        <v>1367</v>
      </c>
      <c r="G376" t="s">
        <v>2703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ISNUMBER(_xlfn.XMATCH(CONTROL[[#This Row],[VEHIDCODE]],GRAPHICS_PROPERTIES[VEHIDCODE],0))</f>
        <v>1</v>
      </c>
      <c r="N376" s="31" t="str">
        <f>"item_"&amp;CONTROL[[#This Row],[VEHIDCODE]]</f>
        <v>item_electric_Italy_FS_E646</v>
      </c>
      <c r="O376" s="31" t="str">
        <f>"str_"&amp;CONTROL[[#This Row],[VEHIDCODE]]</f>
        <v>str_electric_Italy_FS_E646</v>
      </c>
    </row>
    <row r="377" spans="1:15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t="s">
        <v>1368</v>
      </c>
      <c r="G377" t="s">
        <v>2704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ISNUMBER(_xlfn.XMATCH(CONTROL[[#This Row],[VEHIDCODE]],GRAPHICS_PROPERTIES[VEHIDCODE],0))</f>
        <v>1</v>
      </c>
      <c r="N377" s="31" t="str">
        <f>"item_"&amp;CONTROL[[#This Row],[VEHIDCODE]]</f>
        <v>item_electric_Italy_FS_E424</v>
      </c>
      <c r="O377" s="31" t="str">
        <f>"str_"&amp;CONTROL[[#This Row],[VEHIDCODE]]</f>
        <v>str_electric_Italy_FS_E424</v>
      </c>
    </row>
    <row r="378" spans="1:15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t="s">
        <v>1369</v>
      </c>
      <c r="G378" t="s">
        <v>2705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ISNUMBER(_xlfn.XMATCH(CONTROL[[#This Row],[VEHIDCODE]],GRAPHICS_PROPERTIES[VEHIDCODE],0))</f>
        <v>1</v>
      </c>
      <c r="N378" s="31" t="str">
        <f>"item_"&amp;CONTROL[[#This Row],[VEHIDCODE]]</f>
        <v>item_electric_Italy_FS_E444</v>
      </c>
      <c r="O378" s="31" t="str">
        <f>"str_"&amp;CONTROL[[#This Row],[VEHIDCODE]]</f>
        <v>str_electric_Italy_FS_E444</v>
      </c>
    </row>
    <row r="379" spans="1:15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t="s">
        <v>1370</v>
      </c>
      <c r="G379" t="s">
        <v>2706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ISNUMBER(_xlfn.XMATCH(CONTROL[[#This Row],[VEHIDCODE]],GRAPHICS_PROPERTIES[VEHIDCODE],0))</f>
        <v>1</v>
      </c>
      <c r="N379" s="31" t="str">
        <f>"item_"&amp;CONTROL[[#This Row],[VEHIDCODE]]</f>
        <v>item_electric_Italy_FS_E633</v>
      </c>
      <c r="O379" s="31" t="str">
        <f>"str_"&amp;CONTROL[[#This Row],[VEHIDCODE]]</f>
        <v>str_electric_Italy_FS_E633</v>
      </c>
    </row>
    <row r="380" spans="1:15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t="s">
        <v>1371</v>
      </c>
      <c r="G380" t="s">
        <v>2707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ISNUMBER(_xlfn.XMATCH(CONTROL[[#This Row],[VEHIDCODE]],GRAPHICS_PROPERTIES[VEHIDCODE],0))</f>
        <v>1</v>
      </c>
      <c r="N380" s="31" t="str">
        <f>"item_"&amp;CONTROL[[#This Row],[VEHIDCODE]]</f>
        <v>item_electric_Belgium_NMBS_Class_255</v>
      </c>
      <c r="O380" s="31" t="str">
        <f>"str_"&amp;CONTROL[[#This Row],[VEHIDCODE]]</f>
        <v>str_electric_Belgium_NMBS_Class_255</v>
      </c>
    </row>
    <row r="381" spans="1:15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t="s">
        <v>1372</v>
      </c>
      <c r="G381" t="s">
        <v>2708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ISNUMBER(_xlfn.XMATCH(CONTROL[[#This Row],[VEHIDCODE]],GRAPHICS_PROPERTIES[VEHIDCODE],0))</f>
        <v>1</v>
      </c>
      <c r="N381" s="31" t="str">
        <f>"item_"&amp;CONTROL[[#This Row],[VEHIDCODE]]</f>
        <v>item_electric_Spain_RENFE_250</v>
      </c>
      <c r="O381" s="31" t="str">
        <f>"str_"&amp;CONTROL[[#This Row],[VEHIDCODE]]</f>
        <v>str_electric_Spain_RENFE_250</v>
      </c>
    </row>
    <row r="382" spans="1:15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t="s">
        <v>1373</v>
      </c>
      <c r="G382" t="s">
        <v>1749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ISNUMBER(_xlfn.XMATCH(CONTROL[[#This Row],[VEHIDCODE]],GRAPHICS_PROPERTIES[VEHIDCODE],0))</f>
        <v>1</v>
      </c>
      <c r="N382" s="31" t="str">
        <f>"item_"&amp;CONTROL[[#This Row],[VEHIDCODE]]</f>
        <v>item_electric_Chile_EFE_E_29</v>
      </c>
      <c r="O382" s="31" t="str">
        <f>"str_"&amp;CONTROL[[#This Row],[VEHIDCODE]]</f>
        <v>str_electric_Chile_EFE_E_29</v>
      </c>
    </row>
    <row r="383" spans="1:15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t="s">
        <v>1374</v>
      </c>
      <c r="G383" t="s">
        <v>1749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ISNUMBER(_xlfn.XMATCH(CONTROL[[#This Row],[VEHIDCODE]],GRAPHICS_PROPERTIES[VEHIDCODE],0))</f>
        <v>1</v>
      </c>
      <c r="N383" s="31" t="str">
        <f>"item_"&amp;CONTROL[[#This Row],[VEHIDCODE]]</f>
        <v>item_electric_Chile_EFE_E_17</v>
      </c>
      <c r="O383" s="31" t="str">
        <f>"str_"&amp;CONTROL[[#This Row],[VEHIDCODE]]</f>
        <v>str_electric_Chile_EFE_E_17</v>
      </c>
    </row>
    <row r="384" spans="1:15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t="s">
        <v>1375</v>
      </c>
      <c r="G384" t="s">
        <v>2709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ISNUMBER(_xlfn.XMATCH(CONTROL[[#This Row],[VEHIDCODE]],GRAPHICS_PROPERTIES[VEHIDCODE],0))</f>
        <v>1</v>
      </c>
      <c r="N384" s="31" t="str">
        <f>"item_"&amp;CONTROL[[#This Row],[VEHIDCODE]]</f>
        <v>item_electric_Morocco_ONCF_E_700</v>
      </c>
      <c r="O384" s="31" t="str">
        <f>"str_"&amp;CONTROL[[#This Row],[VEHIDCODE]]</f>
        <v>str_electric_Morocco_ONCF_E_700</v>
      </c>
    </row>
    <row r="385" spans="1:15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t="s">
        <v>1376</v>
      </c>
      <c r="G385" t="s">
        <v>2710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ISNUMBER(_xlfn.XMATCH(CONTROL[[#This Row],[VEHIDCODE]],GRAPHICS_PROPERTIES[VEHIDCODE],0))</f>
        <v>1</v>
      </c>
      <c r="N385" s="31" t="str">
        <f>"item_"&amp;CONTROL[[#This Row],[VEHIDCODE]]</f>
        <v>item_electric_India_Indian_Railways_WCM_1</v>
      </c>
      <c r="O385" s="31" t="str">
        <f>"str_"&amp;CONTROL[[#This Row],[VEHIDCODE]]</f>
        <v>str_electric_India_Indian_Railways_WCM_1</v>
      </c>
    </row>
    <row r="386" spans="1:15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t="s">
        <v>2270</v>
      </c>
      <c r="G386" t="s">
        <v>2711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ISNUMBER(_xlfn.XMATCH(CONTROL[[#This Row],[VEHIDCODE]],GRAPHICS_PROPERTIES[VEHIDCODE],0))</f>
        <v>1</v>
      </c>
      <c r="N386" s="31" t="str">
        <f>"item_"&amp;CONTROL[[#This Row],[VEHIDCODE]]</f>
        <v>item_electric_South_Africa_SAR_E38</v>
      </c>
      <c r="O386" s="31" t="str">
        <f>"str_"&amp;CONTROL[[#This Row],[VEHIDCODE]]</f>
        <v>str_electric_South_Africa_SAR_E38</v>
      </c>
    </row>
    <row r="387" spans="1:15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t="s">
        <v>1377</v>
      </c>
      <c r="G387" t="s">
        <v>2712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ISNUMBER(_xlfn.XMATCH(CONTROL[[#This Row],[VEHIDCODE]],GRAPHICS_PROPERTIES[VEHIDCODE],0))</f>
        <v>1</v>
      </c>
      <c r="N387" s="31" t="str">
        <f>"item_"&amp;CONTROL[[#This Row],[VEHIDCODE]]</f>
        <v>item_electric_Chile_EFE_E_269</v>
      </c>
      <c r="O387" s="31" t="str">
        <f>"str_"&amp;CONTROL[[#This Row],[VEHIDCODE]]</f>
        <v>str_electric_Chile_EFE_E_269</v>
      </c>
    </row>
    <row r="388" spans="1:15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t="s">
        <v>2789</v>
      </c>
      <c r="G388" t="s">
        <v>2713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ISNUMBER(_xlfn.XMATCH(CONTROL[[#This Row],[VEHIDCODE]],GRAPHICS_PROPERTIES[VEHIDCODE],0))</f>
        <v>1</v>
      </c>
      <c r="N388" s="31" t="str">
        <f>"item_"&amp;CONTROL[[#This Row],[VEHIDCODE]]</f>
        <v>item_electric_Czech_Republic_CD_363</v>
      </c>
      <c r="O388" s="31" t="str">
        <f>"str_"&amp;CONTROL[[#This Row],[VEHIDCODE]]</f>
        <v>str_electric_Czech_Republic_CD_363</v>
      </c>
    </row>
    <row r="389" spans="1:15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t="s">
        <v>1378</v>
      </c>
      <c r="G389" t="s">
        <v>2714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ISNUMBER(_xlfn.XMATCH(CONTROL[[#This Row],[VEHIDCODE]],GRAPHICS_PROPERTIES[VEHIDCODE],0))</f>
        <v>1</v>
      </c>
      <c r="N389" s="31" t="str">
        <f>"item_"&amp;CONTROL[[#This Row],[VEHIDCODE]]</f>
        <v>item_electric_Norway_NSB_EL7</v>
      </c>
      <c r="O389" s="31" t="str">
        <f>"str_"&amp;CONTROL[[#This Row],[VEHIDCODE]]</f>
        <v>str_electric_Norway_NSB_EL7</v>
      </c>
    </row>
    <row r="390" spans="1:15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t="s">
        <v>1379</v>
      </c>
      <c r="G390" t="s">
        <v>2715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ISNUMBER(_xlfn.XMATCH(CONTROL[[#This Row],[VEHIDCODE]],GRAPHICS_PROPERTIES[VEHIDCODE],0))</f>
        <v>1</v>
      </c>
      <c r="N390" s="31" t="str">
        <f>"item_"&amp;CONTROL[[#This Row],[VEHIDCODE]]</f>
        <v>item_electric_USA_Pennsylvania_Railroad_FF_1</v>
      </c>
      <c r="O390" s="31" t="str">
        <f>"str_"&amp;CONTROL[[#This Row],[VEHIDCODE]]</f>
        <v>str_electric_USA_Pennsylvania_Railroad_FF_1</v>
      </c>
    </row>
    <row r="391" spans="1:15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t="s">
        <v>2494</v>
      </c>
      <c r="G391" t="s">
        <v>2716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ISNUMBER(_xlfn.XMATCH(CONTROL[[#This Row],[VEHIDCODE]],GRAPHICS_PROPERTIES[VEHIDCODE],0))</f>
        <v>1</v>
      </c>
      <c r="N391" s="31" t="str">
        <f>"item_"&amp;CONTROL[[#This Row],[VEHIDCODE]]</f>
        <v>item_electric_Austria_OBB_1161</v>
      </c>
      <c r="O391" s="31" t="str">
        <f>"str_"&amp;CONTROL[[#This Row],[VEHIDCODE]]</f>
        <v>str_electric_Austria_OBB_1161</v>
      </c>
    </row>
    <row r="392" spans="1:15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t="s">
        <v>1380</v>
      </c>
      <c r="G392" t="s">
        <v>2717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ISNUMBER(_xlfn.XMATCH(CONTROL[[#This Row],[VEHIDCODE]],GRAPHICS_PROPERTIES[VEHIDCODE],0))</f>
        <v>1</v>
      </c>
      <c r="N392" s="31" t="str">
        <f>"item_"&amp;CONTROL[[#This Row],[VEHIDCODE]]</f>
        <v>item_electric_Germany_DB_169</v>
      </c>
      <c r="O392" s="31" t="str">
        <f>"str_"&amp;CONTROL[[#This Row],[VEHIDCODE]]</f>
        <v>str_electric_Germany_DB_169</v>
      </c>
    </row>
    <row r="393" spans="1:15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t="s">
        <v>1381</v>
      </c>
      <c r="G393" t="s">
        <v>2718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ISNUMBER(_xlfn.XMATCH(CONTROL[[#This Row],[VEHIDCODE]],GRAPHICS_PROPERTIES[VEHIDCODE],0))</f>
        <v>1</v>
      </c>
      <c r="N393" s="31" t="str">
        <f>"item_"&amp;CONTROL[[#This Row],[VEHIDCODE]]</f>
        <v>item_electric_Norway_NSB_EL10</v>
      </c>
      <c r="O393" s="31" t="str">
        <f>"str_"&amp;CONTROL[[#This Row],[VEHIDCODE]]</f>
        <v>str_electric_Norway_NSB_EL10</v>
      </c>
    </row>
    <row r="394" spans="1:15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t="s">
        <v>1382</v>
      </c>
      <c r="G394" t="s">
        <v>2719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ISNUMBER(_xlfn.XMATCH(CONTROL[[#This Row],[VEHIDCODE]],GRAPHICS_PROPERTIES[VEHIDCODE],0))</f>
        <v>1</v>
      </c>
      <c r="N394" s="31" t="str">
        <f>"item_"&amp;CONTROL[[#This Row],[VEHIDCODE]]</f>
        <v>item_electric_Germany_DB_104</v>
      </c>
      <c r="O394" s="31" t="str">
        <f>"str_"&amp;CONTROL[[#This Row],[VEHIDCODE]]</f>
        <v>str_electric_Germany_DB_104</v>
      </c>
    </row>
    <row r="395" spans="1:15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t="s">
        <v>1383</v>
      </c>
      <c r="G395" t="s">
        <v>2720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ISNUMBER(_xlfn.XMATCH(CONTROL[[#This Row],[VEHIDCODE]],GRAPHICS_PROPERTIES[VEHIDCODE],0))</f>
        <v>1</v>
      </c>
      <c r="N395" s="31" t="str">
        <f>"item_"&amp;CONTROL[[#This Row],[VEHIDCODE]]</f>
        <v>item_electric_USA_Pennsylvania_Railroad_GG_1</v>
      </c>
      <c r="O395" s="31" t="str">
        <f>"str_"&amp;CONTROL[[#This Row],[VEHIDCODE]]</f>
        <v>str_electric_USA_Pennsylvania_Railroad_GG_1</v>
      </c>
    </row>
    <row r="396" spans="1:15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t="s">
        <v>2495</v>
      </c>
      <c r="G396" t="s">
        <v>2721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ISNUMBER(_xlfn.XMATCH(CONTROL[[#This Row],[VEHIDCODE]],GRAPHICS_PROPERTIES[VEHIDCODE],0))</f>
        <v>1</v>
      </c>
      <c r="N396" s="31" t="str">
        <f>"item_"&amp;CONTROL[[#This Row],[VEHIDCODE]]</f>
        <v>item_electric_Austria_OBB_1020_Crocodile</v>
      </c>
      <c r="O396" s="31" t="str">
        <f>"str_"&amp;CONTROL[[#This Row],[VEHIDCODE]]</f>
        <v>str_electric_Austria_OBB_1020_Crocodile</v>
      </c>
    </row>
    <row r="397" spans="1:15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t="s">
        <v>1384</v>
      </c>
      <c r="G397" t="s">
        <v>2722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ISNUMBER(_xlfn.XMATCH(CONTROL[[#This Row],[VEHIDCODE]],GRAPHICS_PROPERTIES[VEHIDCODE],0))</f>
        <v>1</v>
      </c>
      <c r="N397" s="31" t="str">
        <f>"item_"&amp;CONTROL[[#This Row],[VEHIDCODE]]</f>
        <v>item_electric_Germany_DB_1031</v>
      </c>
      <c r="O397" s="31" t="str">
        <f>"str_"&amp;CONTROL[[#This Row],[VEHIDCODE]]</f>
        <v>str_electric_Germany_DB_1031</v>
      </c>
    </row>
    <row r="398" spans="1:15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t="s">
        <v>1385</v>
      </c>
      <c r="G398" t="s">
        <v>2723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ISNUMBER(_xlfn.XMATCH(CONTROL[[#This Row],[VEHIDCODE]],GRAPHICS_PROPERTIES[VEHIDCODE],0))</f>
        <v>1</v>
      </c>
      <c r="N398" s="31" t="str">
        <f>"item_"&amp;CONTROL[[#This Row],[VEHIDCODE]]</f>
        <v>item_electric_Germany_DB_E_919</v>
      </c>
      <c r="O398" s="31" t="str">
        <f>"str_"&amp;CONTROL[[#This Row],[VEHIDCODE]]</f>
        <v>str_electric_Germany_DB_E_919</v>
      </c>
    </row>
    <row r="399" spans="1:15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t="s">
        <v>1386</v>
      </c>
      <c r="G399" t="s">
        <v>2724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ISNUMBER(_xlfn.XMATCH(CONTROL[[#This Row],[VEHIDCODE]],GRAPHICS_PROPERTIES[VEHIDCODE],0))</f>
        <v>1</v>
      </c>
      <c r="N399" s="31" t="str">
        <f>"item_"&amp;CONTROL[[#This Row],[VEHIDCODE]]</f>
        <v>item_electric_Switzerland_BLS_Ce_4_4</v>
      </c>
      <c r="O399" s="31" t="str">
        <f>"str_"&amp;CONTROL[[#This Row],[VEHIDCODE]]</f>
        <v>str_electric_Switzerland_BLS_Ce_4_4</v>
      </c>
    </row>
    <row r="400" spans="1:15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t="s">
        <v>1387</v>
      </c>
      <c r="G400" t="s">
        <v>2725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ISNUMBER(_xlfn.XMATCH(CONTROL[[#This Row],[VEHIDCODE]],GRAPHICS_PROPERTIES[VEHIDCODE],0))</f>
        <v>1</v>
      </c>
      <c r="N400" s="31" t="str">
        <f>"item_"&amp;CONTROL[[#This Row],[VEHIDCODE]]</f>
        <v>item_electric_Switzerland_SBB_Ae_6_6</v>
      </c>
      <c r="O400" s="31" t="str">
        <f>"str_"&amp;CONTROL[[#This Row],[VEHIDCODE]]</f>
        <v>str_electric_Switzerland_SBB_Ae_6_6</v>
      </c>
    </row>
    <row r="401" spans="1:15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t="s">
        <v>1388</v>
      </c>
      <c r="G401" t="s">
        <v>2726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ISNUMBER(_xlfn.XMATCH(CONTROL[[#This Row],[VEHIDCODE]],GRAPHICS_PROPERTIES[VEHIDCODE],0))</f>
        <v>1</v>
      </c>
      <c r="N401" s="31" t="str">
        <f>"item_"&amp;CONTROL[[#This Row],[VEHIDCODE]]</f>
        <v>item_electric_Switzerland_SBB_Re460_Lok_2000</v>
      </c>
      <c r="O401" s="31" t="str">
        <f>"str_"&amp;CONTROL[[#This Row],[VEHIDCODE]]</f>
        <v>str_electric_Switzerland_SBB_Re460_Lok_2000</v>
      </c>
    </row>
    <row r="402" spans="1:15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t="s">
        <v>1389</v>
      </c>
      <c r="G402" t="s">
        <v>2727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ISNUMBER(_xlfn.XMATCH(CONTROL[[#This Row],[VEHIDCODE]],GRAPHICS_PROPERTIES[VEHIDCODE],0))</f>
        <v>1</v>
      </c>
      <c r="N402" s="31" t="str">
        <f>"item_"&amp;CONTROL[[#This Row],[VEHIDCODE]]</f>
        <v>item_electric_Switzerland_SBB_Eem_923</v>
      </c>
      <c r="O402" s="31" t="str">
        <f>"str_"&amp;CONTROL[[#This Row],[VEHIDCODE]]</f>
        <v>str_electric_Switzerland_SBB_Eem_923</v>
      </c>
    </row>
    <row r="403" spans="1:15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t="s">
        <v>2496</v>
      </c>
      <c r="G403" t="s">
        <v>2728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ISNUMBER(_xlfn.XMATCH(CONTROL[[#This Row],[VEHIDCODE]],GRAPHICS_PROPERTIES[VEHIDCODE],0))</f>
        <v>1</v>
      </c>
      <c r="N403" s="31" t="str">
        <f>"item_"&amp;CONTROL[[#This Row],[VEHIDCODE]]</f>
        <v>item_electric_Austria_OBB_1044</v>
      </c>
      <c r="O403" s="31" t="str">
        <f>"str_"&amp;CONTROL[[#This Row],[VEHIDCODE]]</f>
        <v>str_electric_Austria_OBB_1044</v>
      </c>
    </row>
    <row r="404" spans="1:15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t="s">
        <v>2497</v>
      </c>
      <c r="G404" t="s">
        <v>2729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ISNUMBER(_xlfn.XMATCH(CONTROL[[#This Row],[VEHIDCODE]],GRAPHICS_PROPERTIES[VEHIDCODE],0))</f>
        <v>1</v>
      </c>
      <c r="N404" s="31" t="str">
        <f>"item_"&amp;CONTROL[[#This Row],[VEHIDCODE]]</f>
        <v>item_electric_Austria_OBB_1063</v>
      </c>
      <c r="O404" s="31" t="str">
        <f>"str_"&amp;CONTROL[[#This Row],[VEHIDCODE]]</f>
        <v>str_electric_Austria_OBB_1063</v>
      </c>
    </row>
    <row r="405" spans="1:15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t="s">
        <v>1390</v>
      </c>
      <c r="G405" t="s">
        <v>2730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ISNUMBER(_xlfn.XMATCH(CONTROL[[#This Row],[VEHIDCODE]],GRAPHICS_PROPERTIES[VEHIDCODE],0))</f>
        <v>1</v>
      </c>
      <c r="N405" s="31" t="str">
        <f>"item_"&amp;CONTROL[[#This Row],[VEHIDCODE]]</f>
        <v>item_electric_Sweden_MTAB_Dm3</v>
      </c>
      <c r="O405" s="31" t="str">
        <f>"str_"&amp;CONTROL[[#This Row],[VEHIDCODE]]</f>
        <v>str_electric_Sweden_MTAB_Dm3</v>
      </c>
    </row>
    <row r="406" spans="1:15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t="s">
        <v>1391</v>
      </c>
      <c r="G406" t="s">
        <v>2731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ISNUMBER(_xlfn.XMATCH(CONTROL[[#This Row],[VEHIDCODE]],GRAPHICS_PROPERTIES[VEHIDCODE],0))</f>
        <v>1</v>
      </c>
      <c r="N406" s="31" t="str">
        <f>"item_"&amp;CONTROL[[#This Row],[VEHIDCODE]]</f>
        <v>item_electric_Sweden_MTAB_IORE</v>
      </c>
      <c r="O406" s="31" t="str">
        <f>"str_"&amp;CONTROL[[#This Row],[VEHIDCODE]]</f>
        <v>str_electric_Sweden_MTAB_IORE</v>
      </c>
    </row>
    <row r="407" spans="1:15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t="s">
        <v>1392</v>
      </c>
      <c r="G407" t="s">
        <v>2732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ISNUMBER(_xlfn.XMATCH(CONTROL[[#This Row],[VEHIDCODE]],GRAPHICS_PROPERTIES[VEHIDCODE],0))</f>
        <v>1</v>
      </c>
      <c r="N407" s="31" t="str">
        <f>"item_"&amp;CONTROL[[#This Row],[VEHIDCODE]]</f>
        <v>item_electric_Sweden_SJ_O_Class</v>
      </c>
      <c r="O407" s="31" t="str">
        <f>"str_"&amp;CONTROL[[#This Row],[VEHIDCODE]]</f>
        <v>str_electric_Sweden_SJ_O_Class</v>
      </c>
    </row>
    <row r="408" spans="1:15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t="s">
        <v>1393</v>
      </c>
      <c r="G408" t="s">
        <v>2733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ISNUMBER(_xlfn.XMATCH(CONTROL[[#This Row],[VEHIDCODE]],GRAPHICS_PROPERTIES[VEHIDCODE],0))</f>
        <v>1</v>
      </c>
      <c r="N408" s="31" t="str">
        <f>"item_"&amp;CONTROL[[#This Row],[VEHIDCODE]]</f>
        <v>item_electric_Sweden_SJ_F_Class</v>
      </c>
      <c r="O408" s="31" t="str">
        <f>"str_"&amp;CONTROL[[#This Row],[VEHIDCODE]]</f>
        <v>str_electric_Sweden_SJ_F_Class</v>
      </c>
    </row>
    <row r="409" spans="1:15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t="s">
        <v>1394</v>
      </c>
      <c r="G409" t="s">
        <v>2734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ISNUMBER(_xlfn.XMATCH(CONTROL[[#This Row],[VEHIDCODE]],GRAPHICS_PROPERTIES[VEHIDCODE],0))</f>
        <v>1</v>
      </c>
      <c r="N409" s="31" t="str">
        <f>"item_"&amp;CONTROL[[#This Row],[VEHIDCODE]]</f>
        <v>item_electric_Norway_NSB_EL17</v>
      </c>
      <c r="O409" s="31" t="str">
        <f>"str_"&amp;CONTROL[[#This Row],[VEHIDCODE]]</f>
        <v>str_electric_Norway_NSB_EL17</v>
      </c>
    </row>
    <row r="410" spans="1:15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t="s">
        <v>1395</v>
      </c>
      <c r="G410" t="s">
        <v>2735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ISNUMBER(_xlfn.XMATCH(CONTROL[[#This Row],[VEHIDCODE]],GRAPHICS_PROPERTIES[VEHIDCODE],0))</f>
        <v>1</v>
      </c>
      <c r="N410" s="31" t="str">
        <f>"item_"&amp;CONTROL[[#This Row],[VEHIDCODE]]</f>
        <v>item_electric_Germany_Prussian_ES_6</v>
      </c>
      <c r="O410" s="31" t="str">
        <f>"str_"&amp;CONTROL[[#This Row],[VEHIDCODE]]</f>
        <v>str_electric_Germany_Prussian_ES_6</v>
      </c>
    </row>
    <row r="411" spans="1:15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t="s">
        <v>1396</v>
      </c>
      <c r="G411" t="s">
        <v>2736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ISNUMBER(_xlfn.XMATCH(CONTROL[[#This Row],[VEHIDCODE]],GRAPHICS_PROPERTIES[VEHIDCODE],0))</f>
        <v>1</v>
      </c>
      <c r="N411" s="31" t="str">
        <f>"item_"&amp;CONTROL[[#This Row],[VEHIDCODE]]</f>
        <v>item_electric_USA_Virginian_Railway_EL_2B</v>
      </c>
      <c r="O411" s="31" t="str">
        <f>"str_"&amp;CONTROL[[#This Row],[VEHIDCODE]]</f>
        <v>str_electric_USA_Virginian_Railway_EL_2B</v>
      </c>
    </row>
    <row r="412" spans="1:15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t="s">
        <v>1397</v>
      </c>
      <c r="G412" t="s">
        <v>2737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ISNUMBER(_xlfn.XMATCH(CONTROL[[#This Row],[VEHIDCODE]],GRAPHICS_PROPERTIES[VEHIDCODE],0))</f>
        <v>1</v>
      </c>
      <c r="N412" s="31" t="str">
        <f>"item_"&amp;CONTROL[[#This Row],[VEHIDCODE]]</f>
        <v>item_electric_USA_GN_W_1</v>
      </c>
      <c r="O412" s="31" t="str">
        <f>"str_"&amp;CONTROL[[#This Row],[VEHIDCODE]]</f>
        <v>str_electric_USA_GN_W_1</v>
      </c>
    </row>
    <row r="413" spans="1:15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t="s">
        <v>1398</v>
      </c>
      <c r="G413" t="s">
        <v>2738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ISNUMBER(_xlfn.XMATCH(CONTROL[[#This Row],[VEHIDCODE]],GRAPHICS_PROPERTIES[VEHIDCODE],0))</f>
        <v>1</v>
      </c>
      <c r="N413" s="31" t="str">
        <f>"item_"&amp;CONTROL[[#This Row],[VEHIDCODE]]</f>
        <v>item_electric_USA_PRR_B1</v>
      </c>
      <c r="O413" s="31" t="str">
        <f>"str_"&amp;CONTROL[[#This Row],[VEHIDCODE]]</f>
        <v>str_electric_USA_PRR_B1</v>
      </c>
    </row>
    <row r="414" spans="1:15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t="s">
        <v>1399</v>
      </c>
      <c r="G414" t="s">
        <v>2739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ISNUMBER(_xlfn.XMATCH(CONTROL[[#This Row],[VEHIDCODE]],GRAPHICS_PROPERTIES[VEHIDCODE],0))</f>
        <v>1</v>
      </c>
      <c r="N414" s="31" t="str">
        <f>"item_"&amp;CONTROL[[#This Row],[VEHIDCODE]]</f>
        <v>item_electric_Australia_Aurizon_E40_AG_V1</v>
      </c>
      <c r="O414" s="31" t="str">
        <f>"str_"&amp;CONTROL[[#This Row],[VEHIDCODE]]</f>
        <v>str_electric_Australia_Aurizon_E40_AG_V1</v>
      </c>
    </row>
    <row r="415" spans="1:15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t="s">
        <v>1400</v>
      </c>
      <c r="G415" t="s">
        <v>2740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ISNUMBER(_xlfn.XMATCH(CONTROL[[#This Row],[VEHIDCODE]],GRAPHICS_PROPERTIES[VEHIDCODE],0))</f>
        <v>1</v>
      </c>
      <c r="N415" s="31" t="str">
        <f>"item_"&amp;CONTROL[[#This Row],[VEHIDCODE]]</f>
        <v>item_electric_China_China_Railways_SS6</v>
      </c>
      <c r="O415" s="31" t="str">
        <f>"str_"&amp;CONTROL[[#This Row],[VEHIDCODE]]</f>
        <v>str_electric_China_China_Railways_SS6</v>
      </c>
    </row>
    <row r="416" spans="1:15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t="s">
        <v>1401</v>
      </c>
      <c r="G416" t="s">
        <v>2741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ISNUMBER(_xlfn.XMATCH(CONTROL[[#This Row],[VEHIDCODE]],GRAPHICS_PROPERTIES[VEHIDCODE],0))</f>
        <v>1</v>
      </c>
      <c r="N416" s="31" t="str">
        <f>"item_"&amp;CONTROL[[#This Row],[VEHIDCODE]]</f>
        <v>item_electric_China_China_Railways_SS3</v>
      </c>
      <c r="O416" s="31" t="str">
        <f>"str_"&amp;CONTROL[[#This Row],[VEHIDCODE]]</f>
        <v>str_electric_China_China_Railways_SS3</v>
      </c>
    </row>
    <row r="417" spans="1:15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t="s">
        <v>1402</v>
      </c>
      <c r="G417" t="s">
        <v>2742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ISNUMBER(_xlfn.XMATCH(CONTROL[[#This Row],[VEHIDCODE]],GRAPHICS_PROPERTIES[VEHIDCODE],0))</f>
        <v>1</v>
      </c>
      <c r="N417" s="31" t="str">
        <f>"item_"&amp;CONTROL[[#This Row],[VEHIDCODE]]</f>
        <v>item_electric_China_China_Railways_HXD3</v>
      </c>
      <c r="O417" s="31" t="str">
        <f>"str_"&amp;CONTROL[[#This Row],[VEHIDCODE]]</f>
        <v>str_electric_China_China_Railways_HXD3</v>
      </c>
    </row>
    <row r="418" spans="1:15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t="s">
        <v>1403</v>
      </c>
      <c r="G418" t="s">
        <v>2743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ISNUMBER(_xlfn.XMATCH(CONTROL[[#This Row],[VEHIDCODE]],GRAPHICS_PROPERTIES[VEHIDCODE],0))</f>
        <v>1</v>
      </c>
      <c r="N418" s="31" t="str">
        <f>"item_"&amp;CONTROL[[#This Row],[VEHIDCODE]]</f>
        <v>item_electric_China_China_Railways_HXD1D</v>
      </c>
      <c r="O418" s="31" t="str">
        <f>"str_"&amp;CONTROL[[#This Row],[VEHIDCODE]]</f>
        <v>str_electric_China_China_Railways_HXD1D</v>
      </c>
    </row>
    <row r="419" spans="1:15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t="s">
        <v>1404</v>
      </c>
      <c r="G419" t="s">
        <v>2744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ISNUMBER(_xlfn.XMATCH(CONTROL[[#This Row],[VEHIDCODE]],GRAPHICS_PROPERTIES[VEHIDCODE],0))</f>
        <v>1</v>
      </c>
      <c r="N419" s="31" t="str">
        <f>"item_"&amp;CONTROL[[#This Row],[VEHIDCODE]]</f>
        <v>item_electric_China_China_Railways_6K</v>
      </c>
      <c r="O419" s="31" t="str">
        <f>"str_"&amp;CONTROL[[#This Row],[VEHIDCODE]]</f>
        <v>str_electric_China_China_Railways_6K</v>
      </c>
    </row>
    <row r="420" spans="1:15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t="s">
        <v>1405</v>
      </c>
      <c r="G420" t="s">
        <v>2745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ISNUMBER(_xlfn.XMATCH(CONTROL[[#This Row],[VEHIDCODE]],GRAPHICS_PROPERTIES[VEHIDCODE],0))</f>
        <v>1</v>
      </c>
      <c r="N420" s="31" t="str">
        <f>"item_"&amp;CONTROL[[#This Row],[VEHIDCODE]]</f>
        <v>item_electric_USA_PRR_E44</v>
      </c>
      <c r="O420" s="31" t="str">
        <f>"str_"&amp;CONTROL[[#This Row],[VEHIDCODE]]</f>
        <v>str_electric_USA_PRR_E44</v>
      </c>
    </row>
    <row r="421" spans="1:15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t="s">
        <v>1406</v>
      </c>
      <c r="G421" t="s">
        <v>2746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ISNUMBER(_xlfn.XMATCH(CONTROL[[#This Row],[VEHIDCODE]],GRAPHICS_PROPERTIES[VEHIDCODE],0))</f>
        <v>1</v>
      </c>
      <c r="N421" s="31" t="str">
        <f>"item_"&amp;CONTROL[[#This Row],[VEHIDCODE]]</f>
        <v>item_electric_Croatia_HZ_1141</v>
      </c>
      <c r="O421" s="31" t="str">
        <f>"str_"&amp;CONTROL[[#This Row],[VEHIDCODE]]</f>
        <v>str_electric_Croatia_HZ_1141</v>
      </c>
    </row>
    <row r="422" spans="1:15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t="s">
        <v>2505</v>
      </c>
      <c r="G422" t="s">
        <v>2747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ISNUMBER(_xlfn.XMATCH(CONTROL[[#This Row],[VEHIDCODE]],GRAPHICS_PROPERTIES[VEHIDCODE],0))</f>
        <v>1</v>
      </c>
      <c r="N422" s="31" t="str">
        <f>"item_"&amp;CONTROL[[#This Row],[VEHIDCODE]]</f>
        <v>item_electric_Hungary_MAV_Class_V43</v>
      </c>
      <c r="O422" s="31" t="str">
        <f>"str_"&amp;CONTROL[[#This Row],[VEHIDCODE]]</f>
        <v>str_electric_Hungary_MAV_Class_V43</v>
      </c>
    </row>
    <row r="423" spans="1:15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t="s">
        <v>1407</v>
      </c>
      <c r="G423" t="s">
        <v>2748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ISNUMBER(_xlfn.XMATCH(CONTROL[[#This Row],[VEHIDCODE]],GRAPHICS_PROPERTIES[VEHIDCODE],0))</f>
        <v>1</v>
      </c>
      <c r="N423" s="31" t="str">
        <f>"item_"&amp;CONTROL[[#This Row],[VEHIDCODE]]</f>
        <v>item_electric_Portugal_CP_2500</v>
      </c>
      <c r="O423" s="31" t="str">
        <f>"str_"&amp;CONTROL[[#This Row],[VEHIDCODE]]</f>
        <v>str_electric_Portugal_CP_2500</v>
      </c>
    </row>
    <row r="424" spans="1:15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t="s">
        <v>1408</v>
      </c>
      <c r="G424" t="s">
        <v>2749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ISNUMBER(_xlfn.XMATCH(CONTROL[[#This Row],[VEHIDCODE]],GRAPHICS_PROPERTIES[VEHIDCODE],0))</f>
        <v>1</v>
      </c>
      <c r="N424" s="31" t="str">
        <f>"item_"&amp;CONTROL[[#This Row],[VEHIDCODE]]</f>
        <v>item_electric_Portugal_CP_2600</v>
      </c>
      <c r="O424" s="31" t="str">
        <f>"str_"&amp;CONTROL[[#This Row],[VEHIDCODE]]</f>
        <v>str_electric_Portugal_CP_2600</v>
      </c>
    </row>
    <row r="425" spans="1:15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t="s">
        <v>2268</v>
      </c>
      <c r="G425" t="s">
        <v>2750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ISNUMBER(_xlfn.XMATCH(CONTROL[[#This Row],[VEHIDCODE]],GRAPHICS_PROPERTIES[VEHIDCODE],0))</f>
        <v>1</v>
      </c>
      <c r="N425" s="31" t="str">
        <f>"item_"&amp;CONTROL[[#This Row],[VEHIDCODE]]</f>
        <v>item_electric_South_Africa_SAR_20E</v>
      </c>
      <c r="O425" s="31" t="str">
        <f>"str_"&amp;CONTROL[[#This Row],[VEHIDCODE]]</f>
        <v>str_electric_South_Africa_SAR_20E</v>
      </c>
    </row>
    <row r="426" spans="1:15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t="s">
        <v>1409</v>
      </c>
      <c r="G426" t="s">
        <v>2751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ISNUMBER(_xlfn.XMATCH(CONTROL[[#This Row],[VEHIDCODE]],GRAPHICS_PROPERTIES[VEHIDCODE],0))</f>
        <v>1</v>
      </c>
      <c r="N426" s="31" t="str">
        <f>"item_"&amp;CONTROL[[#This Row],[VEHIDCODE]]</f>
        <v>item_electric_South_Korea_Korail_8200</v>
      </c>
      <c r="O426" s="31" t="str">
        <f>"str_"&amp;CONTROL[[#This Row],[VEHIDCODE]]</f>
        <v>str_electric_South_Korea_Korail_8200</v>
      </c>
    </row>
    <row r="427" spans="1:15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t="s">
        <v>1410</v>
      </c>
      <c r="G427" t="s">
        <v>2752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ISNUMBER(_xlfn.XMATCH(CONTROL[[#This Row],[VEHIDCODE]],GRAPHICS_PROPERTIES[VEHIDCODE],0))</f>
        <v>1</v>
      </c>
      <c r="N427" s="31" t="str">
        <f>"item_"&amp;CONTROL[[#This Row],[VEHIDCODE]]</f>
        <v>item_electric_Ukraine_UZ_DS3</v>
      </c>
      <c r="O427" s="31" t="str">
        <f>"str_"&amp;CONTROL[[#This Row],[VEHIDCODE]]</f>
        <v>str_electric_Ukraine_UZ_DS3</v>
      </c>
    </row>
    <row r="428" spans="1:15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t="s">
        <v>2790</v>
      </c>
      <c r="G428" t="s">
        <v>2753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ISNUMBER(_xlfn.XMATCH(CONTROL[[#This Row],[VEHIDCODE]],GRAPHICS_PROPERTIES[VEHIDCODE],0))</f>
        <v>1</v>
      </c>
      <c r="N428" s="31" t="str">
        <f>"item_"&amp;CONTROL[[#This Row],[VEHIDCODE]]</f>
        <v>item_electric_Czech_Republic_CD_S499</v>
      </c>
      <c r="O428" s="31" t="str">
        <f>"str_"&amp;CONTROL[[#This Row],[VEHIDCODE]]</f>
        <v>str_electric_Czech_Republic_CD_S499</v>
      </c>
    </row>
    <row r="429" spans="1:15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t="s">
        <v>1411</v>
      </c>
      <c r="G429" t="s">
        <v>2754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ISNUMBER(_xlfn.XMATCH(CONTROL[[#This Row],[VEHIDCODE]],GRAPHICS_PROPERTIES[VEHIDCODE],0))</f>
        <v>1</v>
      </c>
      <c r="N429" s="31" t="str">
        <f>"item_"&amp;CONTROL[[#This Row],[VEHIDCODE]]</f>
        <v>item_electric_Italy_FS_E491</v>
      </c>
      <c r="O429" s="31" t="str">
        <f>"str_"&amp;CONTROL[[#This Row],[VEHIDCODE]]</f>
        <v>str_electric_Italy_FS_E491</v>
      </c>
    </row>
    <row r="430" spans="1:15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t="s">
        <v>1412</v>
      </c>
      <c r="G430" t="s">
        <v>2755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ISNUMBER(_xlfn.XMATCH(CONTROL[[#This Row],[VEHIDCODE]],GRAPHICS_PROPERTIES[VEHIDCODE],0))</f>
        <v>1</v>
      </c>
      <c r="N430" s="31" t="str">
        <f>"item_"&amp;CONTROL[[#This Row],[VEHIDCODE]]</f>
        <v>item_electric_Macedonia_Macedonian_Railways_462</v>
      </c>
      <c r="O430" s="31" t="str">
        <f>"str_"&amp;CONTROL[[#This Row],[VEHIDCODE]]</f>
        <v>str_electric_Macedonia_Macedonian_Railways_462</v>
      </c>
    </row>
    <row r="431" spans="1:15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t="s">
        <v>1413</v>
      </c>
      <c r="G431" t="s">
        <v>2756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ISNUMBER(_xlfn.XMATCH(CONTROL[[#This Row],[VEHIDCODE]],GRAPHICS_PROPERTIES[VEHIDCODE],0))</f>
        <v>1</v>
      </c>
      <c r="N431" s="31" t="str">
        <f>"item_"&amp;CONTROL[[#This Row],[VEHIDCODE]]</f>
        <v>item_electric_Morocco_ONCFM_E_500</v>
      </c>
      <c r="O431" s="31" t="str">
        <f>"str_"&amp;CONTROL[[#This Row],[VEHIDCODE]]</f>
        <v>str_electric_Morocco_ONCFM_E_500</v>
      </c>
    </row>
    <row r="432" spans="1:15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t="s">
        <v>1414</v>
      </c>
      <c r="G432" t="s">
        <v>2757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ISNUMBER(_xlfn.XMATCH(CONTROL[[#This Row],[VEHIDCODE]],GRAPHICS_PROPERTIES[VEHIDCODE],0))</f>
        <v>1</v>
      </c>
      <c r="N432" s="31" t="str">
        <f>"item_"&amp;CONTROL[[#This Row],[VEHIDCODE]]</f>
        <v>item_electric_UK_BR_85</v>
      </c>
      <c r="O432" s="31" t="str">
        <f>"str_"&amp;CONTROL[[#This Row],[VEHIDCODE]]</f>
        <v>str_electric_UK_BR_85</v>
      </c>
    </row>
    <row r="433" spans="1:15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t="s">
        <v>1415</v>
      </c>
      <c r="G433" t="s">
        <v>2758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ISNUMBER(_xlfn.XMATCH(CONTROL[[#This Row],[VEHIDCODE]],GRAPHICS_PROPERTIES[VEHIDCODE],0))</f>
        <v>1</v>
      </c>
      <c r="N433" s="31" t="str">
        <f>"item_"&amp;CONTROL[[#This Row],[VEHIDCODE]]</f>
        <v>item_electric_Mexico_FNM_GE_E60C_2</v>
      </c>
      <c r="O433" s="31" t="str">
        <f>"str_"&amp;CONTROL[[#This Row],[VEHIDCODE]]</f>
        <v>str_electric_Mexico_FNM_GE_E60C_2</v>
      </c>
    </row>
    <row r="434" spans="1:15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t="s">
        <v>1416</v>
      </c>
      <c r="G434" t="s">
        <v>2759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ISNUMBER(_xlfn.XMATCH(CONTROL[[#This Row],[VEHIDCODE]],GRAPHICS_PROPERTIES[VEHIDCODE],0))</f>
        <v>1</v>
      </c>
      <c r="N434" s="31" t="str">
        <f>"item_"&amp;CONTROL[[#This Row],[VEHIDCODE]]</f>
        <v>item_electric_Morocco_ONCF_E_1400_Prima_II</v>
      </c>
      <c r="O434" s="31" t="str">
        <f>"str_"&amp;CONTROL[[#This Row],[VEHIDCODE]]</f>
        <v>str_electric_Morocco_ONCF_E_1400_Prima_II</v>
      </c>
    </row>
    <row r="435" spans="1:15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t="s">
        <v>1417</v>
      </c>
      <c r="G435" t="s">
        <v>2760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ISNUMBER(_xlfn.XMATCH(CONTROL[[#This Row],[VEHIDCODE]],GRAPHICS_PROPERTIES[VEHIDCODE],0))</f>
        <v>1</v>
      </c>
      <c r="N435" s="31" t="str">
        <f>"item_"&amp;CONTROL[[#This Row],[VEHIDCODE]]</f>
        <v>item_electric_New_Zealand_NZR_EA</v>
      </c>
      <c r="O435" s="31" t="str">
        <f>"str_"&amp;CONTROL[[#This Row],[VEHIDCODE]]</f>
        <v>str_electric_New_Zealand_NZR_EA</v>
      </c>
    </row>
    <row r="436" spans="1:15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t="s">
        <v>1418</v>
      </c>
      <c r="G436" t="s">
        <v>2761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ISNUMBER(_xlfn.XMATCH(CONTROL[[#This Row],[VEHIDCODE]],GRAPHICS_PROPERTIES[VEHIDCODE],0))</f>
        <v>1</v>
      </c>
      <c r="N436" s="31" t="str">
        <f>"item_"&amp;CONTROL[[#This Row],[VEHIDCODE]]</f>
        <v>item_electric_Canada_BC_Rail_GF6C</v>
      </c>
      <c r="O436" s="31" t="str">
        <f>"str_"&amp;CONTROL[[#This Row],[VEHIDCODE]]</f>
        <v>str_electric_Canada_BC_Rail_GF6C</v>
      </c>
    </row>
    <row r="437" spans="1:15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t="s">
        <v>1419</v>
      </c>
      <c r="G437" t="s">
        <v>2763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ISNUMBER(_xlfn.XMATCH(CONTROL[[#This Row],[VEHIDCODE]],GRAPHICS_PROPERTIES[VEHIDCODE],0))</f>
        <v>1</v>
      </c>
      <c r="N437" s="31" t="str">
        <f>"item_"&amp;CONTROL[[#This Row],[VEHIDCODE]]</f>
        <v>item_electric_France_SNCF_BB_22200</v>
      </c>
      <c r="O437" s="31" t="str">
        <f>"str_"&amp;CONTROL[[#This Row],[VEHIDCODE]]</f>
        <v>str_electric_France_SNCF_BB_22200</v>
      </c>
    </row>
    <row r="438" spans="1:15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t="s">
        <v>1420</v>
      </c>
      <c r="G438" t="s">
        <v>2762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ISNUMBER(_xlfn.XMATCH(CONTROL[[#This Row],[VEHIDCODE]],GRAPHICS_PROPERTIES[VEHIDCODE],0))</f>
        <v>1</v>
      </c>
      <c r="N438" s="31" t="str">
        <f>"item_"&amp;CONTROL[[#This Row],[VEHIDCODE]]</f>
        <v>item_electric_France_SNCF_BB_26000</v>
      </c>
      <c r="O438" s="31" t="str">
        <f>"str_"&amp;CONTROL[[#This Row],[VEHIDCODE]]</f>
        <v>str_electric_France_SNCF_BB_26000</v>
      </c>
    </row>
    <row r="439" spans="1:15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t="s">
        <v>1421</v>
      </c>
      <c r="G439" t="s">
        <v>2764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ISNUMBER(_xlfn.XMATCH(CONTROL[[#This Row],[VEHIDCODE]],GRAPHICS_PROPERTIES[VEHIDCODE],0))</f>
        <v>1</v>
      </c>
      <c r="N439" s="31" t="str">
        <f>"item_"&amp;CONTROL[[#This Row],[VEHIDCODE]]</f>
        <v>item_electric_France_SNCF_BB_25500</v>
      </c>
      <c r="O439" s="31" t="str">
        <f>"str_"&amp;CONTROL[[#This Row],[VEHIDCODE]]</f>
        <v>str_electric_France_SNCF_BB_25500</v>
      </c>
    </row>
    <row r="440" spans="1:15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t="s">
        <v>1422</v>
      </c>
      <c r="G440" t="s">
        <v>2765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ISNUMBER(_xlfn.XMATCH(CONTROL[[#This Row],[VEHIDCODE]],GRAPHICS_PROPERTIES[VEHIDCODE],0))</f>
        <v>1</v>
      </c>
      <c r="N440" s="31" t="str">
        <f>"item_"&amp;CONTROL[[#This Row],[VEHIDCODE]]</f>
        <v>item_electric_Germany_DB_182_ES64U_Taurus</v>
      </c>
      <c r="O440" s="31" t="str">
        <f>"str_"&amp;CONTROL[[#This Row],[VEHIDCODE]]</f>
        <v>str_electric_Germany_DB_182_ES64U_Taurus</v>
      </c>
    </row>
    <row r="441" spans="1:15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t="s">
        <v>1423</v>
      </c>
      <c r="G441" t="s">
        <v>2766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ISNUMBER(_xlfn.XMATCH(CONTROL[[#This Row],[VEHIDCODE]],GRAPHICS_PROPERTIES[VEHIDCODE],0))</f>
        <v>1</v>
      </c>
      <c r="N441" s="31" t="str">
        <f>"item_"&amp;CONTROL[[#This Row],[VEHIDCODE]]</f>
        <v>item_electric_Japan_JR_EH500</v>
      </c>
      <c r="O441" s="31" t="str">
        <f>"str_"&amp;CONTROL[[#This Row],[VEHIDCODE]]</f>
        <v>str_electric_Japan_JR_EH500</v>
      </c>
    </row>
    <row r="442" spans="1:15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t="s">
        <v>1424</v>
      </c>
      <c r="G442" t="s">
        <v>2767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ISNUMBER(_xlfn.XMATCH(CONTROL[[#This Row],[VEHIDCODE]],GRAPHICS_PROPERTIES[VEHIDCODE],0))</f>
        <v>1</v>
      </c>
      <c r="N442" s="31" t="str">
        <f>"item_"&amp;CONTROL[[#This Row],[VEHIDCODE]]</f>
        <v>item_electric_USA_Amtrak_EMD_AEM_7</v>
      </c>
      <c r="O442" s="31" t="str">
        <f>"str_"&amp;CONTROL[[#This Row],[VEHIDCODE]]</f>
        <v>str_electric_USA_Amtrak_EMD_AEM_7</v>
      </c>
    </row>
    <row r="443" spans="1:15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t="s">
        <v>1425</v>
      </c>
      <c r="G443" t="s">
        <v>2768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ISNUMBER(_xlfn.XMATCH(CONTROL[[#This Row],[VEHIDCODE]],GRAPHICS_PROPERTIES[VEHIDCODE],0))</f>
        <v>1</v>
      </c>
      <c r="N443" s="31" t="str">
        <f>"item_"&amp;CONTROL[[#This Row],[VEHIDCODE]]</f>
        <v>item_electric_USA_Amtrak_HHP_8</v>
      </c>
      <c r="O443" s="31" t="str">
        <f>"str_"&amp;CONTROL[[#This Row],[VEHIDCODE]]</f>
        <v>str_electric_USA_Amtrak_HHP_8</v>
      </c>
    </row>
    <row r="444" spans="1:15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t="s">
        <v>2791</v>
      </c>
      <c r="G444" t="s">
        <v>2769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ISNUMBER(_xlfn.XMATCH(CONTROL[[#This Row],[VEHIDCODE]],GRAPHICS_PROPERTIES[VEHIDCODE],0))</f>
        <v>1</v>
      </c>
      <c r="N444" s="31" t="str">
        <f>"item_"&amp;CONTROL[[#This Row],[VEHIDCODE]]</f>
        <v>item_electric_Czech_Republic_CD_380</v>
      </c>
      <c r="O444" s="31" t="str">
        <f>"str_"&amp;CONTROL[[#This Row],[VEHIDCODE]]</f>
        <v>str_electric_Czech_Republic_CD_380</v>
      </c>
    </row>
    <row r="445" spans="1:15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t="s">
        <v>1426</v>
      </c>
      <c r="G445" t="s">
        <v>2770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ISNUMBER(_xlfn.XMATCH(CONTROL[[#This Row],[VEHIDCODE]],GRAPHICS_PROPERTIES[VEHIDCODE],0))</f>
        <v>1</v>
      </c>
      <c r="N445" s="31" t="str">
        <f>"item_"&amp;CONTROL[[#This Row],[VEHIDCODE]]</f>
        <v>item_electric_Spain_RENFE_252</v>
      </c>
      <c r="O445" s="31" t="str">
        <f>"str_"&amp;CONTROL[[#This Row],[VEHIDCODE]]</f>
        <v>str_electric_Spain_RENFE_252</v>
      </c>
    </row>
    <row r="446" spans="1:15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t="s">
        <v>1427</v>
      </c>
      <c r="G446" t="s">
        <v>2771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ISNUMBER(_xlfn.XMATCH(CONTROL[[#This Row],[VEHIDCODE]],GRAPHICS_PROPERTIES[VEHIDCODE],0))</f>
        <v>1</v>
      </c>
      <c r="N446" s="31" t="str">
        <f>"item_"&amp;CONTROL[[#This Row],[VEHIDCODE]]</f>
        <v>item_electric_Germany_DB_185_TRAXX_F140</v>
      </c>
      <c r="O446" s="31" t="str">
        <f>"str_"&amp;CONTROL[[#This Row],[VEHIDCODE]]</f>
        <v>str_electric_Germany_DB_185_TRAXX_F140</v>
      </c>
    </row>
    <row r="447" spans="1:15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t="s">
        <v>1428</v>
      </c>
      <c r="G447" t="s">
        <v>2772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ISNUMBER(_xlfn.XMATCH(CONTROL[[#This Row],[VEHIDCODE]],GRAPHICS_PROPERTIES[VEHIDCODE],0))</f>
        <v>1</v>
      </c>
      <c r="N447" s="31" t="str">
        <f>"item_"&amp;CONTROL[[#This Row],[VEHIDCODE]]</f>
        <v>item_electric_Italy_FS_E550</v>
      </c>
      <c r="O447" s="31" t="str">
        <f>"str_"&amp;CONTROL[[#This Row],[VEHIDCODE]]</f>
        <v>str_electric_Italy_FS_E550</v>
      </c>
    </row>
    <row r="448" spans="1:15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t="s">
        <v>1429</v>
      </c>
      <c r="G448" t="s">
        <v>2773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ISNUMBER(_xlfn.XMATCH(CONTROL[[#This Row],[VEHIDCODE]],GRAPHICS_PROPERTIES[VEHIDCODE],0))</f>
        <v>1</v>
      </c>
      <c r="N448" s="31" t="str">
        <f>"item_"&amp;CONTROL[[#This Row],[VEHIDCODE]]</f>
        <v>item_electric_Japan_JNR_EF81</v>
      </c>
      <c r="O448" s="31" t="str">
        <f>"str_"&amp;CONTROL[[#This Row],[VEHIDCODE]]</f>
        <v>str_electric_Japan_JNR_EF81</v>
      </c>
    </row>
    <row r="449" spans="1:15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t="s">
        <v>1430</v>
      </c>
      <c r="G449" t="s">
        <v>2774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ISNUMBER(_xlfn.XMATCH(CONTROL[[#This Row],[VEHIDCODE]],GRAPHICS_PROPERTIES[VEHIDCODE],0))</f>
        <v>1</v>
      </c>
      <c r="N449" s="31" t="str">
        <f>"item_"&amp;CONTROL[[#This Row],[VEHIDCODE]]</f>
        <v>item_electric_UK_BR_92</v>
      </c>
      <c r="O449" s="31" t="str">
        <f>"str_"&amp;CONTROL[[#This Row],[VEHIDCODE]]</f>
        <v>str_electric_UK_BR_92</v>
      </c>
    </row>
    <row r="450" spans="1:15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t="s">
        <v>1431</v>
      </c>
      <c r="G450" t="s">
        <v>2775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ISNUMBER(_xlfn.XMATCH(CONTROL[[#This Row],[VEHIDCODE]],GRAPHICS_PROPERTIES[VEHIDCODE],0))</f>
        <v>1</v>
      </c>
      <c r="N450" s="31" t="str">
        <f>"item_"&amp;CONTROL[[#This Row],[VEHIDCODE]]</f>
        <v>item_electric_USA_Amtrak_ACS_64</v>
      </c>
      <c r="O450" s="31" t="str">
        <f>"str_"&amp;CONTROL[[#This Row],[VEHIDCODE]]</f>
        <v>str_electric_USA_Amtrak_ACS_64</v>
      </c>
    </row>
    <row r="451" spans="1:15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t="s">
        <v>2776</v>
      </c>
      <c r="G451" t="s">
        <v>2777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ISNUMBER(_xlfn.XMATCH(CONTROL[[#This Row],[VEHIDCODE]],GRAPHICS_PROPERTIES[VEHIDCODE],0))</f>
        <v>1</v>
      </c>
      <c r="N451" s="31" t="str">
        <f>"item_"&amp;CONTROL[[#This Row],[VEHIDCODE]]</f>
        <v>item_electric_France_SNCF_CC_40100</v>
      </c>
      <c r="O451" s="31" t="str">
        <f>"str_"&amp;CONTROL[[#This Row],[VEHIDCODE]]</f>
        <v>str_electric_France_SNCF_CC_40100</v>
      </c>
    </row>
    <row r="452" spans="1:15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t="s">
        <v>1432</v>
      </c>
      <c r="G452" t="s">
        <v>2778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ISNUMBER(_xlfn.XMATCH(CONTROL[[#This Row],[VEHIDCODE]],GRAPHICS_PROPERTIES[VEHIDCODE],0))</f>
        <v>1</v>
      </c>
      <c r="N452" s="31" t="str">
        <f>"item_"&amp;CONTROL[[#This Row],[VEHIDCODE]]</f>
        <v>item_electric_Belgium_NMBS_SNCB_13_HLE</v>
      </c>
      <c r="O452" s="31" t="str">
        <f>"str_"&amp;CONTROL[[#This Row],[VEHIDCODE]]</f>
        <v>str_electric_Belgium_NMBS_SNCB_13_HLE</v>
      </c>
    </row>
    <row r="453" spans="1:15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t="s">
        <v>1433</v>
      </c>
      <c r="G453" t="s">
        <v>2801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ISNUMBER(_xlfn.XMATCH(CONTROL[[#This Row],[VEHIDCODE]],GRAPHICS_PROPERTIES[VEHIDCODE],0))</f>
        <v>1</v>
      </c>
      <c r="N453" s="31" t="str">
        <f>"item_"&amp;CONTROL[[#This Row],[VEHIDCODE]]</f>
        <v>item_dmu_Germany_DB_VT_040_Flying_Hamburger</v>
      </c>
      <c r="O453" s="31" t="str">
        <f>"str_"&amp;CONTROL[[#This Row],[VEHIDCODE]]</f>
        <v>str_dmu_Germany_DB_VT_040_Flying_Hamburger</v>
      </c>
    </row>
    <row r="454" spans="1:15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t="s">
        <v>1434</v>
      </c>
      <c r="G454" t="s">
        <v>2779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ISNUMBER(_xlfn.XMATCH(CONTROL[[#This Row],[VEHIDCODE]],GRAPHICS_PROPERTIES[VEHIDCODE],0))</f>
        <v>1</v>
      </c>
      <c r="N454" s="31" t="str">
        <f>"item_"&amp;CONTROL[[#This Row],[VEHIDCODE]]</f>
        <v>item_dmu_Australia_NSWGR_Silver_City_Comet</v>
      </c>
      <c r="O454" s="31" t="str">
        <f>"str_"&amp;CONTROL[[#This Row],[VEHIDCODE]]</f>
        <v>str_dmu_Australia_NSWGR_Silver_City_Comet</v>
      </c>
    </row>
    <row r="455" spans="1:15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t="s">
        <v>2792</v>
      </c>
      <c r="G455" t="s">
        <v>2780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ISNUMBER(_xlfn.XMATCH(CONTROL[[#This Row],[VEHIDCODE]],GRAPHICS_PROPERTIES[VEHIDCODE],0))</f>
        <v>1</v>
      </c>
      <c r="N455" s="31" t="str">
        <f>"item_"&amp;CONTROL[[#This Row],[VEHIDCODE]]</f>
        <v>item_dmu_Czech_Republic_CD_M131</v>
      </c>
      <c r="O455" s="31" t="str">
        <f>"str_"&amp;CONTROL[[#This Row],[VEHIDCODE]]</f>
        <v>str_dmu_Czech_Republic_CD_M131</v>
      </c>
    </row>
    <row r="456" spans="1:15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t="s">
        <v>1435</v>
      </c>
      <c r="G456" t="s">
        <v>2796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ISNUMBER(_xlfn.XMATCH(CONTROL[[#This Row],[VEHIDCODE]],GRAPHICS_PROPERTIES[VEHIDCODE],0))</f>
        <v>1</v>
      </c>
      <c r="N456" s="31" t="str">
        <f>"item_"&amp;CONTROL[[#This Row],[VEHIDCODE]]</f>
        <v>item_dmu_Germany_DB_VT_085</v>
      </c>
      <c r="O456" s="31" t="str">
        <f>"str_"&amp;CONTROL[[#This Row],[VEHIDCODE]]</f>
        <v>str_dmu_Germany_DB_VT_085</v>
      </c>
    </row>
    <row r="457" spans="1:15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t="s">
        <v>1758</v>
      </c>
      <c r="G457" t="s">
        <v>2797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ISNUMBER(_xlfn.XMATCH(CONTROL[[#This Row],[VEHIDCODE]],GRAPHICS_PROPERTIES[VEHIDCODE],0))</f>
        <v>1</v>
      </c>
      <c r="N457" s="31" t="str">
        <f>"item_"&amp;CONTROL[[#This Row],[VEHIDCODE]]</f>
        <v>item_dmu_Australia_Queensland_Rail_400</v>
      </c>
      <c r="O457" s="31" t="str">
        <f>"str_"&amp;CONTROL[[#This Row],[VEHIDCODE]]</f>
        <v>str_dmu_Australia_Queensland_Rail_400</v>
      </c>
    </row>
    <row r="458" spans="1:15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t="s">
        <v>1436</v>
      </c>
      <c r="G458" t="s">
        <v>2798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ISNUMBER(_xlfn.XMATCH(CONTROL[[#This Row],[VEHIDCODE]],GRAPHICS_PROPERTIES[VEHIDCODE],0))</f>
        <v>1</v>
      </c>
      <c r="N458" s="31" t="str">
        <f>"item_"&amp;CONTROL[[#This Row],[VEHIDCODE]]</f>
        <v>item_dmu_Germany_DB_VT_115</v>
      </c>
      <c r="O458" s="31" t="str">
        <f>"str_"&amp;CONTROL[[#This Row],[VEHIDCODE]]</f>
        <v>str_dmu_Germany_DB_VT_115</v>
      </c>
    </row>
    <row r="459" spans="1:15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t="s">
        <v>1437</v>
      </c>
      <c r="G459" t="s">
        <v>2799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ISNUMBER(_xlfn.XMATCH(CONTROL[[#This Row],[VEHIDCODE]],GRAPHICS_PROPERTIES[VEHIDCODE],0))</f>
        <v>1</v>
      </c>
      <c r="N459" s="31" t="str">
        <f>"item_"&amp;CONTROL[[#This Row],[VEHIDCODE]]</f>
        <v>item_dmu_Netherlands_NS_Plan_U_DE_III</v>
      </c>
      <c r="O459" s="31" t="str">
        <f>"str_"&amp;CONTROL[[#This Row],[VEHIDCODE]]</f>
        <v>str_dmu_Netherlands_NS_Plan_U_DE_III</v>
      </c>
    </row>
    <row r="460" spans="1:15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t="s">
        <v>1438</v>
      </c>
      <c r="G460" t="s">
        <v>2800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ISNUMBER(_xlfn.XMATCH(CONTROL[[#This Row],[VEHIDCODE]],GRAPHICS_PROPERTIES[VEHIDCODE],0))</f>
        <v>1</v>
      </c>
      <c r="N460" s="31" t="str">
        <f>"item_"&amp;CONTROL[[#This Row],[VEHIDCODE]]</f>
        <v>item_dmu_Canada_CNR_Turbo_Train</v>
      </c>
      <c r="O460" s="31" t="str">
        <f>"str_"&amp;CONTROL[[#This Row],[VEHIDCODE]]</f>
        <v>str_dmu_Canada_CNR_Turbo_Train</v>
      </c>
    </row>
    <row r="461" spans="1:15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t="s">
        <v>1439</v>
      </c>
      <c r="G461" t="s">
        <v>1749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ISNUMBER(_xlfn.XMATCH(CONTROL[[#This Row],[VEHIDCODE]],GRAPHICS_PROPERTIES[VEHIDCODE],0))</f>
        <v>1</v>
      </c>
      <c r="N461" s="31" t="str">
        <f>"item_"&amp;CONTROL[[#This Row],[VEHIDCODE]]</f>
        <v>item_dmu_Serbia_ZS_811</v>
      </c>
      <c r="O461" s="31" t="str">
        <f>"str_"&amp;CONTROL[[#This Row],[VEHIDCODE]]</f>
        <v>str_dmu_Serbia_ZS_811</v>
      </c>
    </row>
    <row r="462" spans="1:15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t="s">
        <v>1440</v>
      </c>
      <c r="G462" t="s">
        <v>2802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ISNUMBER(_xlfn.XMATCH(CONTROL[[#This Row],[VEHIDCODE]],GRAPHICS_PROPERTIES[VEHIDCODE],0))</f>
        <v>1</v>
      </c>
      <c r="N462" s="31" t="str">
        <f>"item_"&amp;CONTROL[[#This Row],[VEHIDCODE]]</f>
        <v>item_dmu_UK_BR_43_IC125</v>
      </c>
      <c r="O462" s="31" t="str">
        <f>"str_"&amp;CONTROL[[#This Row],[VEHIDCODE]]</f>
        <v>str_dmu_UK_BR_43_IC125</v>
      </c>
    </row>
    <row r="463" spans="1:15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t="s">
        <v>1441</v>
      </c>
      <c r="G463" t="s">
        <v>2803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ISNUMBER(_xlfn.XMATCH(CONTROL[[#This Row],[VEHIDCODE]],GRAPHICS_PROPERTIES[VEHIDCODE],0))</f>
        <v>1</v>
      </c>
      <c r="N463" s="31" t="str">
        <f>"item_"&amp;CONTROL[[#This Row],[VEHIDCODE]]</f>
        <v>item_dmu_Canada_VIA_Rail_LRC</v>
      </c>
      <c r="O463" s="31" t="str">
        <f>"str_"&amp;CONTROL[[#This Row],[VEHIDCODE]]</f>
        <v>str_dmu_Canada_VIA_Rail_LRC</v>
      </c>
    </row>
    <row r="464" spans="1:15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t="s">
        <v>1442</v>
      </c>
      <c r="G464" t="s">
        <v>2804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ISNUMBER(_xlfn.XMATCH(CONTROL[[#This Row],[VEHIDCODE]],GRAPHICS_PROPERTIES[VEHIDCODE],0))</f>
        <v>1</v>
      </c>
      <c r="N464" s="31" t="str">
        <f>"item_"&amp;CONTROL[[#This Row],[VEHIDCODE]]</f>
        <v>item_dmu_Sweden_SJ_Y2</v>
      </c>
      <c r="O464" s="31" t="str">
        <f>"str_"&amp;CONTROL[[#This Row],[VEHIDCODE]]</f>
        <v>str_dmu_Sweden_SJ_Y2</v>
      </c>
    </row>
    <row r="465" spans="1:15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t="s">
        <v>1443</v>
      </c>
      <c r="G465" t="s">
        <v>2805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ISNUMBER(_xlfn.XMATCH(CONTROL[[#This Row],[VEHIDCODE]],GRAPHICS_PROPERTIES[VEHIDCODE],0))</f>
        <v>1</v>
      </c>
      <c r="N465" s="31" t="str">
        <f>"item_"&amp;CONTROL[[#This Row],[VEHIDCODE]]</f>
        <v>item_dmu_Spain_RENFE_594_TRD</v>
      </c>
      <c r="O465" s="31" t="str">
        <f>"str_"&amp;CONTROL[[#This Row],[VEHIDCODE]]</f>
        <v>str_dmu_Spain_RENFE_594_TRD</v>
      </c>
    </row>
    <row r="466" spans="1:15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t="s">
        <v>1444</v>
      </c>
      <c r="G466" t="s">
        <v>2806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ISNUMBER(_xlfn.XMATCH(CONTROL[[#This Row],[VEHIDCODE]],GRAPHICS_PROPERTIES[VEHIDCODE],0))</f>
        <v>1</v>
      </c>
      <c r="N466" s="31" t="str">
        <f>"item_"&amp;CONTROL[[#This Row],[VEHIDCODE]]</f>
        <v>item_dmu_UK_BR_168</v>
      </c>
      <c r="O466" s="31" t="str">
        <f>"str_"&amp;CONTROL[[#This Row],[VEHIDCODE]]</f>
        <v>str_dmu_UK_BR_168</v>
      </c>
    </row>
    <row r="467" spans="1:15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t="s">
        <v>1445</v>
      </c>
      <c r="G467" t="s">
        <v>2807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ISNUMBER(_xlfn.XMATCH(CONTROL[[#This Row],[VEHIDCODE]],GRAPHICS_PROPERTIES[VEHIDCODE],0))</f>
        <v>1</v>
      </c>
      <c r="N467" s="31" t="str">
        <f>"item_"&amp;CONTROL[[#This Row],[VEHIDCODE]]</f>
        <v>item_dmu_Germany_DB_612_Regio_Swinger</v>
      </c>
      <c r="O467" s="31" t="str">
        <f>"str_"&amp;CONTROL[[#This Row],[VEHIDCODE]]</f>
        <v>str_dmu_Germany_DB_612_Regio_Swinger</v>
      </c>
    </row>
    <row r="468" spans="1:15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t="s">
        <v>1446</v>
      </c>
      <c r="G468" t="s">
        <v>2808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ISNUMBER(_xlfn.XMATCH(CONTROL[[#This Row],[VEHIDCODE]],GRAPHICS_PROPERTIES[VEHIDCODE],0))</f>
        <v>1</v>
      </c>
      <c r="N468" s="31" t="str">
        <f>"item_"&amp;CONTROL[[#This Row],[VEHIDCODE]]</f>
        <v>item_dmu_Germany_DB_642_Desiro</v>
      </c>
      <c r="O468" s="31" t="str">
        <f>"str_"&amp;CONTROL[[#This Row],[VEHIDCODE]]</f>
        <v>str_dmu_Germany_DB_642_Desiro</v>
      </c>
    </row>
    <row r="469" spans="1:15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t="s">
        <v>1447</v>
      </c>
      <c r="G469" t="s">
        <v>2809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ISNUMBER(_xlfn.XMATCH(CONTROL[[#This Row],[VEHIDCODE]],GRAPHICS_PROPERTIES[VEHIDCODE],0))</f>
        <v>1</v>
      </c>
      <c r="N469" s="31" t="str">
        <f>"item_"&amp;CONTROL[[#This Row],[VEHIDCODE]]</f>
        <v>item_dmu_Denmark_Arriva_Lint_41</v>
      </c>
      <c r="O469" s="31" t="str">
        <f>"str_"&amp;CONTROL[[#This Row],[VEHIDCODE]]</f>
        <v>str_dmu_Denmark_Arriva_Lint_41</v>
      </c>
    </row>
    <row r="470" spans="1:15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t="s">
        <v>1448</v>
      </c>
      <c r="G470" t="s">
        <v>2810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ISNUMBER(_xlfn.XMATCH(CONTROL[[#This Row],[VEHIDCODE]],GRAPHICS_PROPERTIES[VEHIDCODE],0))</f>
        <v>1</v>
      </c>
      <c r="N470" s="31" t="str">
        <f>"item_"&amp;CONTROL[[#This Row],[VEHIDCODE]]</f>
        <v>item_dmu_Norway_NSB_BM_93_Talent</v>
      </c>
      <c r="O470" s="31" t="str">
        <f>"str_"&amp;CONTROL[[#This Row],[VEHIDCODE]]</f>
        <v>str_dmu_Norway_NSB_BM_93_Talent</v>
      </c>
    </row>
    <row r="471" spans="1:15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t="s">
        <v>1449</v>
      </c>
      <c r="G471" t="s">
        <v>2811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ISNUMBER(_xlfn.XMATCH(CONTROL[[#This Row],[VEHIDCODE]],GRAPHICS_PROPERTIES[VEHIDCODE],0))</f>
        <v>1</v>
      </c>
      <c r="N471" s="31" t="str">
        <f>"item_"&amp;CONTROL[[#This Row],[VEHIDCODE]]</f>
        <v>item_dmu_Australia_Transwa_Prospector</v>
      </c>
      <c r="O471" s="31" t="str">
        <f>"str_"&amp;CONTROL[[#This Row],[VEHIDCODE]]</f>
        <v>str_dmu_Australia_Transwa_Prospector</v>
      </c>
    </row>
    <row r="472" spans="1:15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t="s">
        <v>1450</v>
      </c>
      <c r="G472" t="s">
        <v>2812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ISNUMBER(_xlfn.XMATCH(CONTROL[[#This Row],[VEHIDCODE]],GRAPHICS_PROPERTIES[VEHIDCODE],0))</f>
        <v>1</v>
      </c>
      <c r="N472" s="31" t="str">
        <f>"item_"&amp;CONTROL[[#This Row],[VEHIDCODE]]</f>
        <v>item_dmu_Australia_CityRail_Hunter_Railcar</v>
      </c>
      <c r="O472" s="31" t="str">
        <f>"str_"&amp;CONTROL[[#This Row],[VEHIDCODE]]</f>
        <v>str_dmu_Australia_CityRail_Hunter_Railcar</v>
      </c>
    </row>
    <row r="473" spans="1:15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t="s">
        <v>1451</v>
      </c>
      <c r="G473" t="s">
        <v>2813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ISNUMBER(_xlfn.XMATCH(CONTROL[[#This Row],[VEHIDCODE]],GRAPHICS_PROPERTIES[VEHIDCODE],0))</f>
        <v>1</v>
      </c>
      <c r="N473" s="31" t="str">
        <f>"item_"&amp;CONTROL[[#This Row],[VEHIDCODE]]</f>
        <v>item_dmu_Russia_RZD_RA2</v>
      </c>
      <c r="O473" s="31" t="str">
        <f>"str_"&amp;CONTROL[[#This Row],[VEHIDCODE]]</f>
        <v>str_dmu_Russia_RZD_RA2</v>
      </c>
    </row>
    <row r="474" spans="1:15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t="s">
        <v>1452</v>
      </c>
      <c r="G474" t="s">
        <v>2814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ISNUMBER(_xlfn.XMATCH(CONTROL[[#This Row],[VEHIDCODE]],GRAPHICS_PROPERTIES[VEHIDCODE],0))</f>
        <v>1</v>
      </c>
      <c r="N474" s="31" t="str">
        <f>"item_"&amp;CONTROL[[#This Row],[VEHIDCODE]]</f>
        <v>item_dmu_Denmark_DSB_IC4</v>
      </c>
      <c r="O474" s="31" t="str">
        <f>"str_"&amp;CONTROL[[#This Row],[VEHIDCODE]]</f>
        <v>str_dmu_Denmark_DSB_IC4</v>
      </c>
    </row>
    <row r="475" spans="1:15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t="s">
        <v>1453</v>
      </c>
      <c r="G475" t="s">
        <v>2815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ISNUMBER(_xlfn.XMATCH(CONTROL[[#This Row],[VEHIDCODE]],GRAPHICS_PROPERTIES[VEHIDCODE],0))</f>
        <v>1</v>
      </c>
      <c r="N475" s="31" t="str">
        <f>"item_"&amp;CONTROL[[#This Row],[VEHIDCODE]]</f>
        <v>item_dmu_Croatia_HZ_7022</v>
      </c>
      <c r="O475" s="31" t="str">
        <f>"str_"&amp;CONTROL[[#This Row],[VEHIDCODE]]</f>
        <v>str_dmu_Croatia_HZ_7022</v>
      </c>
    </row>
    <row r="476" spans="1:15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t="s">
        <v>2793</v>
      </c>
      <c r="G476" t="s">
        <v>2816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ISNUMBER(_xlfn.XMATCH(CONTROL[[#This Row],[VEHIDCODE]],GRAPHICS_PROPERTIES[VEHIDCODE],0))</f>
        <v>1</v>
      </c>
      <c r="N476" s="31" t="str">
        <f>"item_"&amp;CONTROL[[#This Row],[VEHIDCODE]]</f>
        <v>item_dmu_Turkey_TCDD_MT_5500</v>
      </c>
      <c r="O476" s="31" t="str">
        <f>"str_"&amp;CONTROL[[#This Row],[VEHIDCODE]]</f>
        <v>str_dmu_Turkey_TCDD_MT_5500</v>
      </c>
    </row>
    <row r="477" spans="1:15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t="s">
        <v>1454</v>
      </c>
      <c r="G477" t="s">
        <v>2817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ISNUMBER(_xlfn.XMATCH(CONTROL[[#This Row],[VEHIDCODE]],GRAPHICS_PROPERTIES[VEHIDCODE],0))</f>
        <v>1</v>
      </c>
      <c r="N477" s="31" t="str">
        <f>"item_"&amp;CONTROL[[#This Row],[VEHIDCODE]]</f>
        <v>item_dmu_Japan_JNR_KiHa_181</v>
      </c>
      <c r="O477" s="31" t="str">
        <f>"str_"&amp;CONTROL[[#This Row],[VEHIDCODE]]</f>
        <v>str_dmu_Japan_JNR_KiHa_181</v>
      </c>
    </row>
    <row r="478" spans="1:15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t="s">
        <v>2794</v>
      </c>
      <c r="G478" t="s">
        <v>2818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ISNUMBER(_xlfn.XMATCH(CONTROL[[#This Row],[VEHIDCODE]],GRAPHICS_PROPERTIES[VEHIDCODE],0))</f>
        <v>1</v>
      </c>
      <c r="N478" s="31" t="str">
        <f>"item_"&amp;CONTROL[[#This Row],[VEHIDCODE]]</f>
        <v>item_dmu_Czech_Republic_CD_814</v>
      </c>
      <c r="O478" s="31" t="str">
        <f>"str_"&amp;CONTROL[[#This Row],[VEHIDCODE]]</f>
        <v>str_dmu_Czech_Republic_CD_814</v>
      </c>
    </row>
    <row r="479" spans="1:15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t="s">
        <v>1455</v>
      </c>
      <c r="G479" t="s">
        <v>2819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ISNUMBER(_xlfn.XMATCH(CONTROL[[#This Row],[VEHIDCODE]],GRAPHICS_PROPERTIES[VEHIDCODE],0))</f>
        <v>1</v>
      </c>
      <c r="N479" s="31" t="str">
        <f>"item_"&amp;CONTROL[[#This Row],[VEHIDCODE]]</f>
        <v>item_dmu_UK_BR_150_0_Sprinter</v>
      </c>
      <c r="O479" s="31" t="str">
        <f>"str_"&amp;CONTROL[[#This Row],[VEHIDCODE]]</f>
        <v>str_dmu_UK_BR_150_0_Sprinter</v>
      </c>
    </row>
    <row r="480" spans="1:15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t="s">
        <v>1456</v>
      </c>
      <c r="G480" t="s">
        <v>2820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ISNUMBER(_xlfn.XMATCH(CONTROL[[#This Row],[VEHIDCODE]],GRAPHICS_PROPERTIES[VEHIDCODE],0))</f>
        <v>1</v>
      </c>
      <c r="N480" s="31" t="str">
        <f>"item_"&amp;CONTROL[[#This Row],[VEHIDCODE]]</f>
        <v>item_dmu_Iran_RAI_141_Pacer</v>
      </c>
      <c r="O480" s="31" t="str">
        <f>"str_"&amp;CONTROL[[#This Row],[VEHIDCODE]]</f>
        <v>str_dmu_Iran_RAI_141_Pacer</v>
      </c>
    </row>
    <row r="481" spans="1:15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t="s">
        <v>1457</v>
      </c>
      <c r="G481" t="s">
        <v>2821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ISNUMBER(_xlfn.XMATCH(CONTROL[[#This Row],[VEHIDCODE]],GRAPHICS_PROPERTIES[VEHIDCODE],0))</f>
        <v>1</v>
      </c>
      <c r="N481" s="31" t="str">
        <f>"item_"&amp;CONTROL[[#This Row],[VEHIDCODE]]</f>
        <v>item_dmu_Israel_Israel_Railways_IC3</v>
      </c>
      <c r="O481" s="31" t="str">
        <f>"str_"&amp;CONTROL[[#This Row],[VEHIDCODE]]</f>
        <v>str_dmu_Israel_Israel_Railways_IC3</v>
      </c>
    </row>
    <row r="482" spans="1:15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t="s">
        <v>1458</v>
      </c>
      <c r="G482" t="s">
        <v>2822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ISNUMBER(_xlfn.XMATCH(CONTROL[[#This Row],[VEHIDCODE]],GRAPHICS_PROPERTIES[VEHIDCODE],0))</f>
        <v>1</v>
      </c>
      <c r="N482" s="31" t="str">
        <f>"item_"&amp;CONTROL[[#This Row],[VEHIDCODE]]</f>
        <v>item_dmu_Australia_TransAdelaide_3100</v>
      </c>
      <c r="O482" s="31" t="str">
        <f>"str_"&amp;CONTROL[[#This Row],[VEHIDCODE]]</f>
        <v>str_dmu_Australia_TransAdelaide_3100</v>
      </c>
    </row>
    <row r="483" spans="1:15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t="s">
        <v>1459</v>
      </c>
      <c r="G483" t="s">
        <v>2823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ISNUMBER(_xlfn.XMATCH(CONTROL[[#This Row],[VEHIDCODE]],GRAPHICS_PROPERTIES[VEHIDCODE],0))</f>
        <v>1</v>
      </c>
      <c r="N483" s="31" t="str">
        <f>"item_"&amp;CONTROL[[#This Row],[VEHIDCODE]]</f>
        <v>item_dmu_Australia_NSWGR_Xplorer</v>
      </c>
      <c r="O483" s="31" t="str">
        <f>"str_"&amp;CONTROL[[#This Row],[VEHIDCODE]]</f>
        <v>str_dmu_Australia_NSWGR_Xplorer</v>
      </c>
    </row>
    <row r="484" spans="1:15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t="s">
        <v>1460</v>
      </c>
      <c r="G484" t="s">
        <v>2824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ISNUMBER(_xlfn.XMATCH(CONTROL[[#This Row],[VEHIDCODE]],GRAPHICS_PROPERTIES[VEHIDCODE],0))</f>
        <v>1</v>
      </c>
      <c r="N484" s="31" t="str">
        <f>"item_"&amp;CONTROL[[#This Row],[VEHIDCODE]]</f>
        <v>item_dmu_Japan_JR_KiHa_189</v>
      </c>
      <c r="O484" s="31" t="str">
        <f>"str_"&amp;CONTROL[[#This Row],[VEHIDCODE]]</f>
        <v>str_dmu_Japan_JR_KiHa_189</v>
      </c>
    </row>
    <row r="485" spans="1:15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t="s">
        <v>1461</v>
      </c>
      <c r="G485" t="s">
        <v>2825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ISNUMBER(_xlfn.XMATCH(CONTROL[[#This Row],[VEHIDCODE]],GRAPHICS_PROPERTIES[VEHIDCODE],0))</f>
        <v>1</v>
      </c>
      <c r="N485" s="31" t="str">
        <f>"item_"&amp;CONTROL[[#This Row],[VEHIDCODE]]</f>
        <v>item_dmu_Sri_Lanka_Sri_Lanka_Railways_S11</v>
      </c>
      <c r="O485" s="31" t="str">
        <f>"str_"&amp;CONTROL[[#This Row],[VEHIDCODE]]</f>
        <v>str_dmu_Sri_Lanka_Sri_Lanka_Railways_S11</v>
      </c>
    </row>
    <row r="486" spans="1:15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t="s">
        <v>1462</v>
      </c>
      <c r="G486" t="s">
        <v>2826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ISNUMBER(_xlfn.XMATCH(CONTROL[[#This Row],[VEHIDCODE]],GRAPHICS_PROPERTIES[VEHIDCODE],0))</f>
        <v>1</v>
      </c>
      <c r="N486" s="31" t="str">
        <f>"item_"&amp;CONTROL[[#This Row],[VEHIDCODE]]</f>
        <v>item_dmu_Slovakia_ZSSK_861</v>
      </c>
      <c r="O486" s="31" t="str">
        <f>"str_"&amp;CONTROL[[#This Row],[VEHIDCODE]]</f>
        <v>str_dmu_Slovakia_ZSSK_861</v>
      </c>
    </row>
    <row r="487" spans="1:15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t="s">
        <v>1463</v>
      </c>
      <c r="G487" t="s">
        <v>2827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ISNUMBER(_xlfn.XMATCH(CONTROL[[#This Row],[VEHIDCODE]],GRAPHICS_PROPERTIES[VEHIDCODE],0))</f>
        <v>1</v>
      </c>
      <c r="N487" s="31" t="str">
        <f>"item_"&amp;CONTROL[[#This Row],[VEHIDCODE]]</f>
        <v>item_dmu_Chile_EFE_TLD_500</v>
      </c>
      <c r="O487" s="31" t="str">
        <f>"str_"&amp;CONTROL[[#This Row],[VEHIDCODE]]</f>
        <v>str_dmu_Chile_EFE_TLD_500</v>
      </c>
    </row>
    <row r="488" spans="1:15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t="s">
        <v>1464</v>
      </c>
      <c r="G488" t="s">
        <v>2828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ISNUMBER(_xlfn.XMATCH(CONTROL[[#This Row],[VEHIDCODE]],GRAPHICS_PROPERTIES[VEHIDCODE],0))</f>
        <v>1</v>
      </c>
      <c r="N488" s="31" t="str">
        <f>"item_"&amp;CONTROL[[#This Row],[VEHIDCODE]]</f>
        <v>item_dmu_Cameroon_Camrail_ZE_500</v>
      </c>
      <c r="O488" s="31" t="str">
        <f>"str_"&amp;CONTROL[[#This Row],[VEHIDCODE]]</f>
        <v>str_dmu_Cameroon_Camrail_ZE_500</v>
      </c>
    </row>
    <row r="489" spans="1:15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t="s">
        <v>1465</v>
      </c>
      <c r="G489" t="s">
        <v>2829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ISNUMBER(_xlfn.XMATCH(CONTROL[[#This Row],[VEHIDCODE]],GRAPHICS_PROPERTIES[VEHIDCODE],0))</f>
        <v>1</v>
      </c>
      <c r="N489" s="31" t="str">
        <f>"item_"&amp;CONTROL[[#This Row],[VEHIDCODE]]</f>
        <v>item_dmu_UK_BR_251_Blue_Pullman</v>
      </c>
      <c r="O489" s="31" t="str">
        <f>"str_"&amp;CONTROL[[#This Row],[VEHIDCODE]]</f>
        <v>str_dmu_UK_BR_251_Blue_Pullman</v>
      </c>
    </row>
    <row r="490" spans="1:15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t="s">
        <v>2831</v>
      </c>
      <c r="G490" t="s">
        <v>2830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ISNUMBER(_xlfn.XMATCH(CONTROL[[#This Row],[VEHIDCODE]],GRAPHICS_PROPERTIES[VEHIDCODE],0))</f>
        <v>1</v>
      </c>
      <c r="N490" s="31" t="str">
        <f>"item_"&amp;CONTROL[[#This Row],[VEHIDCODE]]</f>
        <v>item_dmu_Australia_WAGR_ADK_ADB</v>
      </c>
      <c r="O490" s="31" t="str">
        <f>"str_"&amp;CONTROL[[#This Row],[VEHIDCODE]]</f>
        <v>str_dmu_Australia_WAGR_ADK_ADB</v>
      </c>
    </row>
    <row r="491" spans="1:15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t="s">
        <v>1466</v>
      </c>
      <c r="G491" t="s">
        <v>2832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ISNUMBER(_xlfn.XMATCH(CONTROL[[#This Row],[VEHIDCODE]],GRAPHICS_PROPERTIES[VEHIDCODE],0))</f>
        <v>1</v>
      </c>
      <c r="N491" s="31" t="str">
        <f>"item_"&amp;CONTROL[[#This Row],[VEHIDCODE]]</f>
        <v>item_dmu_France_SNCF_X_4630</v>
      </c>
      <c r="O491" s="31" t="str">
        <f>"str_"&amp;CONTROL[[#This Row],[VEHIDCODE]]</f>
        <v>str_dmu_France_SNCF_X_4630</v>
      </c>
    </row>
    <row r="492" spans="1:15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t="s">
        <v>1467</v>
      </c>
      <c r="G492" t="s">
        <v>2833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ISNUMBER(_xlfn.XMATCH(CONTROL[[#This Row],[VEHIDCODE]],GRAPHICS_PROPERTIES[VEHIDCODE],0))</f>
        <v>1</v>
      </c>
      <c r="N492" s="31" t="str">
        <f>"item_"&amp;CONTROL[[#This Row],[VEHIDCODE]]</f>
        <v>item_dmu_France_SNCF_T_2000</v>
      </c>
      <c r="O492" s="31" t="str">
        <f>"str_"&amp;CONTROL[[#This Row],[VEHIDCODE]]</f>
        <v>str_dmu_France_SNCF_T_2000</v>
      </c>
    </row>
    <row r="493" spans="1:15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t="s">
        <v>1468</v>
      </c>
      <c r="G493" t="s">
        <v>2834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ISNUMBER(_xlfn.XMATCH(CONTROL[[#This Row],[VEHIDCODE]],GRAPHICS_PROPERTIES[VEHIDCODE],0))</f>
        <v>1</v>
      </c>
      <c r="N493" s="31" t="str">
        <f>"item_"&amp;CONTROL[[#This Row],[VEHIDCODE]]</f>
        <v>item_dmu_Netherlands_NS_DH2</v>
      </c>
      <c r="O493" s="31" t="str">
        <f>"str_"&amp;CONTROL[[#This Row],[VEHIDCODE]]</f>
        <v>str_dmu_Netherlands_NS_DH2</v>
      </c>
    </row>
    <row r="494" spans="1:15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t="s">
        <v>1469</v>
      </c>
      <c r="G494" t="s">
        <v>2835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ISNUMBER(_xlfn.XMATCH(CONTROL[[#This Row],[VEHIDCODE]],GRAPHICS_PROPERTIES[VEHIDCODE],0))</f>
        <v>1</v>
      </c>
      <c r="N494" s="31" t="str">
        <f>"item_"&amp;CONTROL[[#This Row],[VEHIDCODE]]</f>
        <v>item_dmu_Germany_DB_6282</v>
      </c>
      <c r="O494" s="31" t="str">
        <f>"str_"&amp;CONTROL[[#This Row],[VEHIDCODE]]</f>
        <v>str_dmu_Germany_DB_6282</v>
      </c>
    </row>
    <row r="495" spans="1:15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t="s">
        <v>1470</v>
      </c>
      <c r="G495" t="s">
        <v>2599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ISNUMBER(_xlfn.XMATCH(CONTROL[[#This Row],[VEHIDCODE]],GRAPHICS_PROPERTIES[VEHIDCODE],0))</f>
        <v>1</v>
      </c>
      <c r="N495" s="31" t="str">
        <f>"item_"&amp;CONTROL[[#This Row],[VEHIDCODE]]</f>
        <v>item_dmu_Algeria_SNTF_ZZ_2200_Autorail</v>
      </c>
      <c r="O495" s="31" t="str">
        <f>"str_"&amp;CONTROL[[#This Row],[VEHIDCODE]]</f>
        <v>str_dmu_Algeria_SNTF_ZZ_2200_Autorail</v>
      </c>
    </row>
    <row r="496" spans="1:15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t="s">
        <v>1471</v>
      </c>
      <c r="G496" t="s">
        <v>2836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ISNUMBER(_xlfn.XMATCH(CONTROL[[#This Row],[VEHIDCODE]],GRAPHICS_PROPERTIES[VEHIDCODE],0))</f>
        <v>1</v>
      </c>
      <c r="N496" s="31" t="str">
        <f>"item_"&amp;CONTROL[[#This Row],[VEHIDCODE]]</f>
        <v>item_dmu_Tunisia_SNCFT_AMT_800</v>
      </c>
      <c r="O496" s="31" t="str">
        <f>"str_"&amp;CONTROL[[#This Row],[VEHIDCODE]]</f>
        <v>str_dmu_Tunisia_SNCFT_AMT_800</v>
      </c>
    </row>
    <row r="497" spans="1:15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t="s">
        <v>1472</v>
      </c>
      <c r="G497" t="s">
        <v>2837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ISNUMBER(_xlfn.XMATCH(CONTROL[[#This Row],[VEHIDCODE]],GRAPHICS_PROPERTIES[VEHIDCODE],0))</f>
        <v>1</v>
      </c>
      <c r="N497" s="31" t="str">
        <f>"item_"&amp;CONTROL[[#This Row],[VEHIDCODE]]</f>
        <v>item_dmu_Ghana_Ghana_Railways_DEMU</v>
      </c>
      <c r="O497" s="31" t="str">
        <f>"str_"&amp;CONTROL[[#This Row],[VEHIDCODE]]</f>
        <v>str_dmu_Ghana_Ghana_Railways_DEMU</v>
      </c>
    </row>
    <row r="498" spans="1:15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t="s">
        <v>1473</v>
      </c>
      <c r="G498" t="s">
        <v>2838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ISNUMBER(_xlfn.XMATCH(CONTROL[[#This Row],[VEHIDCODE]],GRAPHICS_PROPERTIES[VEHIDCODE],0))</f>
        <v>1</v>
      </c>
      <c r="N498" s="31" t="str">
        <f>"item_"&amp;CONTROL[[#This Row],[VEHIDCODE]]</f>
        <v>item_dmu_Australia_Queensland_Rail_Diesel_Tilt_Train</v>
      </c>
      <c r="O498" s="31" t="str">
        <f>"str_"&amp;CONTROL[[#This Row],[VEHIDCODE]]</f>
        <v>str_dmu_Australia_Queensland_Rail_Diesel_Tilt_Train</v>
      </c>
    </row>
    <row r="499" spans="1:15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t="s">
        <v>1474</v>
      </c>
      <c r="G499" t="s">
        <v>2839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ISNUMBER(_xlfn.XMATCH(CONTROL[[#This Row],[VEHIDCODE]],GRAPHICS_PROPERTIES[VEHIDCODE],0))</f>
        <v>1</v>
      </c>
      <c r="N499" s="31" t="str">
        <f>"item_"&amp;CONTROL[[#This Row],[VEHIDCODE]]</f>
        <v>item_dmu_Canada_UP_Express_Nippon_Sharyo_DMU</v>
      </c>
      <c r="O499" s="31" t="str">
        <f>"str_"&amp;CONTROL[[#This Row],[VEHIDCODE]]</f>
        <v>str_dmu_Canada_UP_Express_Nippon_Sharyo_DMU</v>
      </c>
    </row>
    <row r="500" spans="1:15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t="s">
        <v>1475</v>
      </c>
      <c r="G500" t="s">
        <v>2840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ISNUMBER(_xlfn.XMATCH(CONTROL[[#This Row],[VEHIDCODE]],GRAPHICS_PROPERTIES[VEHIDCODE],0))</f>
        <v>1</v>
      </c>
      <c r="N500" s="31" t="str">
        <f>"item_"&amp;CONTROL[[#This Row],[VEHIDCODE]]</f>
        <v>item_dmu_Argentina_FCGU_CMM_400_2</v>
      </c>
      <c r="O500" s="31" t="str">
        <f>"str_"&amp;CONTROL[[#This Row],[VEHIDCODE]]</f>
        <v>str_dmu_Argentina_FCGU_CMM_400_2</v>
      </c>
    </row>
    <row r="501" spans="1:15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t="s">
        <v>1476</v>
      </c>
      <c r="G501" t="s">
        <v>2841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ISNUMBER(_xlfn.XMATCH(CONTROL[[#This Row],[VEHIDCODE]],GRAPHICS_PROPERTIES[VEHIDCODE],0))</f>
        <v>1</v>
      </c>
      <c r="N501" s="31" t="str">
        <f>"item_"&amp;CONTROL[[#This Row],[VEHIDCODE]]</f>
        <v>item_dmu_Italy_FS_ALn_442_448</v>
      </c>
      <c r="O501" s="31" t="str">
        <f>"str_"&amp;CONTROL[[#This Row],[VEHIDCODE]]</f>
        <v>str_dmu_Italy_FS_ALn_442_448</v>
      </c>
    </row>
    <row r="502" spans="1:15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t="s">
        <v>1477</v>
      </c>
      <c r="G502" t="s">
        <v>2842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ISNUMBER(_xlfn.XMATCH(CONTROL[[#This Row],[VEHIDCODE]],GRAPHICS_PROPERTIES[VEHIDCODE],0))</f>
        <v>1</v>
      </c>
      <c r="N502" s="31" t="str">
        <f>"item_"&amp;CONTROL[[#This Row],[VEHIDCODE]]</f>
        <v>item_dmu_Portugal_CP_0400</v>
      </c>
      <c r="O502" s="31" t="str">
        <f>"str_"&amp;CONTROL[[#This Row],[VEHIDCODE]]</f>
        <v>str_dmu_Portugal_CP_0400</v>
      </c>
    </row>
    <row r="503" spans="1:15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t="s">
        <v>1478</v>
      </c>
      <c r="G503" t="s">
        <v>2843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ISNUMBER(_xlfn.XMATCH(CONTROL[[#This Row],[VEHIDCODE]],GRAPHICS_PROPERTIES[VEHIDCODE],0))</f>
        <v>1</v>
      </c>
      <c r="N503" s="31" t="str">
        <f>"item_"&amp;CONTROL[[#This Row],[VEHIDCODE]]</f>
        <v>item_dmu_Portugal_CP_0600</v>
      </c>
      <c r="O503" s="31" t="str">
        <f>"str_"&amp;CONTROL[[#This Row],[VEHIDCODE]]</f>
        <v>str_dmu_Portugal_CP_0600</v>
      </c>
    </row>
    <row r="504" spans="1:15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t="s">
        <v>1479</v>
      </c>
      <c r="G504" t="s">
        <v>2846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ISNUMBER(_xlfn.XMATCH(CONTROL[[#This Row],[VEHIDCODE]],GRAPHICS_PROPERTIES[VEHIDCODE],0))</f>
        <v>1</v>
      </c>
      <c r="N504" s="31" t="str">
        <f>"item_"&amp;CONTROL[[#This Row],[VEHIDCODE]]</f>
        <v>item_dmu_Spain_FEVE_2400_Apollos</v>
      </c>
      <c r="O504" s="31" t="str">
        <f>"str_"&amp;CONTROL[[#This Row],[VEHIDCODE]]</f>
        <v>str_dmu_Spain_FEVE_2400_Apollos</v>
      </c>
    </row>
    <row r="505" spans="1:15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965</v>
      </c>
      <c r="E505">
        <v>15501</v>
      </c>
      <c r="F505" t="s">
        <v>1480</v>
      </c>
      <c r="G505" t="s">
        <v>2850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ISNUMBER(_xlfn.XMATCH(CONTROL[[#This Row],[VEHIDCODE]],GRAPHICS_PROPERTIES[VEHIDCODE],0))</f>
        <v>1</v>
      </c>
      <c r="N505" s="31" t="str">
        <f>"item_"&amp;CONTROL[[#This Row],[VEHIDCODE]]</f>
        <v>item_cargodmu_Germany_DB_691_CargoSprinter</v>
      </c>
      <c r="O505" s="31" t="str">
        <f>"str_"&amp;CONTROL[[#This Row],[VEHIDCODE]]</f>
        <v>str_cargodmu_Germany_DB_691_CargoSprinter</v>
      </c>
    </row>
    <row r="506" spans="1:15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t="s">
        <v>1481</v>
      </c>
      <c r="G506" t="s">
        <v>2851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ISNUMBER(_xlfn.XMATCH(CONTROL[[#This Row],[VEHIDCODE]],GRAPHICS_PROPERTIES[VEHIDCODE],0))</f>
        <v>1</v>
      </c>
      <c r="N506" s="31" t="str">
        <f>"item_"&amp;CONTROL[[#This Row],[VEHIDCODE]]</f>
        <v>item_emu_Australia_Sydney_Trains_A_Set_Waratah</v>
      </c>
      <c r="O506" s="31" t="str">
        <f>"str_"&amp;CONTROL[[#This Row],[VEHIDCODE]]</f>
        <v>str_emu_Australia_Sydney_Trains_A_Set_Waratah</v>
      </c>
    </row>
    <row r="507" spans="1:15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t="s">
        <v>1482</v>
      </c>
      <c r="G507" t="s">
        <v>2852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ISNUMBER(_xlfn.XMATCH(CONTROL[[#This Row],[VEHIDCODE]],GRAPHICS_PROPERTIES[VEHIDCODE],0))</f>
        <v>1</v>
      </c>
      <c r="N507" s="31" t="str">
        <f>"item_"&amp;CONTROL[[#This Row],[VEHIDCODE]]</f>
        <v>item_emu_Denmark_DSB_S_Tog_II</v>
      </c>
      <c r="O507" s="31" t="str">
        <f>"str_"&amp;CONTROL[[#This Row],[VEHIDCODE]]</f>
        <v>str_emu_Denmark_DSB_S_Tog_II</v>
      </c>
    </row>
    <row r="508" spans="1:15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t="s">
        <v>1483</v>
      </c>
      <c r="G508" t="s">
        <v>2853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ISNUMBER(_xlfn.XMATCH(CONTROL[[#This Row],[VEHIDCODE]],GRAPHICS_PROPERTIES[VEHIDCODE],0))</f>
        <v>1</v>
      </c>
      <c r="N508" s="31" t="str">
        <f>"item_"&amp;CONTROL[[#This Row],[VEHIDCODE]]</f>
        <v>item_emu_Denmark_DSB_S_Tog_IV</v>
      </c>
      <c r="O508" s="31" t="str">
        <f>"str_"&amp;CONTROL[[#This Row],[VEHIDCODE]]</f>
        <v>str_emu_Denmark_DSB_S_Tog_IV</v>
      </c>
    </row>
    <row r="509" spans="1:15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t="s">
        <v>2854</v>
      </c>
      <c r="G509" t="s">
        <v>2855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ISNUMBER(_xlfn.XMATCH(CONTROL[[#This Row],[VEHIDCODE]],GRAPHICS_PROPERTIES[VEHIDCODE],0))</f>
        <v>1</v>
      </c>
      <c r="N509" s="31" t="str">
        <f>"item_"&amp;CONTROL[[#This Row],[VEHIDCODE]]</f>
        <v>item_emu_Italy_ATAC_ECD_21_30</v>
      </c>
      <c r="O509" s="31" t="str">
        <f>"str_"&amp;CONTROL[[#This Row],[VEHIDCODE]]</f>
        <v>str_emu_Italy_ATAC_ECD_21_30</v>
      </c>
    </row>
    <row r="510" spans="1:15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t="s">
        <v>1484</v>
      </c>
      <c r="G510" t="s">
        <v>2856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ISNUMBER(_xlfn.XMATCH(CONTROL[[#This Row],[VEHIDCODE]],GRAPHICS_PROPERTIES[VEHIDCODE],0))</f>
        <v>1</v>
      </c>
      <c r="N510" s="31" t="str">
        <f>"item_"&amp;CONTROL[[#This Row],[VEHIDCODE]]</f>
        <v>item_emu_Netherlands_NS_Mat24</v>
      </c>
      <c r="O510" s="31" t="str">
        <f>"str_"&amp;CONTROL[[#This Row],[VEHIDCODE]]</f>
        <v>str_emu_Netherlands_NS_Mat24</v>
      </c>
    </row>
    <row r="511" spans="1:15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t="s">
        <v>1485</v>
      </c>
      <c r="G511" t="s">
        <v>2857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ISNUMBER(_xlfn.XMATCH(CONTROL[[#This Row],[VEHIDCODE]],GRAPHICS_PROPERTIES[VEHIDCODE],0))</f>
        <v>1</v>
      </c>
      <c r="N511" s="31" t="str">
        <f>"item_"&amp;CONTROL[[#This Row],[VEHIDCODE]]</f>
        <v>item_emu_Netherlands_NS_Mat36</v>
      </c>
      <c r="O511" s="31" t="str">
        <f>"str_"&amp;CONTROL[[#This Row],[VEHIDCODE]]</f>
        <v>str_emu_Netherlands_NS_Mat36</v>
      </c>
    </row>
    <row r="512" spans="1:15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t="s">
        <v>1486</v>
      </c>
      <c r="G512" t="s">
        <v>2858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ISNUMBER(_xlfn.XMATCH(CONTROL[[#This Row],[VEHIDCODE]],GRAPHICS_PROPERTIES[VEHIDCODE],0))</f>
        <v>1</v>
      </c>
      <c r="N512" s="31" t="str">
        <f>"item_"&amp;CONTROL[[#This Row],[VEHIDCODE]]</f>
        <v>item_emu_Netherlands_NS_Mat54</v>
      </c>
      <c r="O512" s="31" t="str">
        <f>"str_"&amp;CONTROL[[#This Row],[VEHIDCODE]]</f>
        <v>str_emu_Netherlands_NS_Mat54</v>
      </c>
    </row>
    <row r="513" spans="1:15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t="s">
        <v>1487</v>
      </c>
      <c r="G513" t="s">
        <v>2859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ISNUMBER(_xlfn.XMATCH(CONTROL[[#This Row],[VEHIDCODE]],GRAPHICS_PROPERTIES[VEHIDCODE],0))</f>
        <v>1</v>
      </c>
      <c r="N513" s="31" t="str">
        <f>"item_"&amp;CONTROL[[#This Row],[VEHIDCODE]]</f>
        <v>item_emu_Netherlands_NS_Plan_Y</v>
      </c>
      <c r="O513" s="31" t="str">
        <f>"str_"&amp;CONTROL[[#This Row],[VEHIDCODE]]</f>
        <v>str_emu_Netherlands_NS_Plan_Y</v>
      </c>
    </row>
    <row r="514" spans="1:15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t="s">
        <v>1488</v>
      </c>
      <c r="G514" t="s">
        <v>2860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ISNUMBER(_xlfn.XMATCH(CONTROL[[#This Row],[VEHIDCODE]],GRAPHICS_PROPERTIES[VEHIDCODE],0))</f>
        <v>1</v>
      </c>
      <c r="N514" s="31" t="str">
        <f>"item_"&amp;CONTROL[[#This Row],[VEHIDCODE]]</f>
        <v>item_emu_Netherlands_NS_ICM_4000</v>
      </c>
      <c r="O514" s="31" t="str">
        <f>"str_"&amp;CONTROL[[#This Row],[VEHIDCODE]]</f>
        <v>str_emu_Netherlands_NS_ICM_4000</v>
      </c>
    </row>
    <row r="515" spans="1:15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t="s">
        <v>2862</v>
      </c>
      <c r="G515" t="s">
        <v>2861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ISNUMBER(_xlfn.XMATCH(CONTROL[[#This Row],[VEHIDCODE]],GRAPHICS_PROPERTIES[VEHIDCODE],0))</f>
        <v>1</v>
      </c>
      <c r="N515" s="31" t="str">
        <f>"item_"&amp;CONTROL[[#This Row],[VEHIDCODE]]</f>
        <v>item_emu_Netherlands_NS_DD_IRM_VIRM</v>
      </c>
      <c r="O515" s="31" t="str">
        <f>"str_"&amp;CONTROL[[#This Row],[VEHIDCODE]]</f>
        <v>str_emu_Netherlands_NS_DD_IRM_VIRM</v>
      </c>
    </row>
    <row r="516" spans="1:15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t="s">
        <v>1489</v>
      </c>
      <c r="G516" t="s">
        <v>2865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ISNUMBER(_xlfn.XMATCH(CONTROL[[#This Row],[VEHIDCODE]],GRAPHICS_PROPERTIES[VEHIDCODE],0))</f>
        <v>1</v>
      </c>
      <c r="N516" s="31" t="str">
        <f>"item_"&amp;CONTROL[[#This Row],[VEHIDCODE]]</f>
        <v>item_emu_Netherlands_NS_mDDm_390</v>
      </c>
      <c r="O516" s="31" t="str">
        <f>"str_"&amp;CONTROL[[#This Row],[VEHIDCODE]]</f>
        <v>str_emu_Netherlands_NS_mDDm_390</v>
      </c>
    </row>
    <row r="517" spans="1:15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t="s">
        <v>1490</v>
      </c>
      <c r="G517" t="s">
        <v>2863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ISNUMBER(_xlfn.XMATCH(CONTROL[[#This Row],[VEHIDCODE]],GRAPHICS_PROPERTIES[VEHIDCODE],0))</f>
        <v>1</v>
      </c>
      <c r="N517" s="31" t="str">
        <f>"item_"&amp;CONTROL[[#This Row],[VEHIDCODE]]</f>
        <v>item_emu_Poland_PKP_EW90</v>
      </c>
      <c r="O517" s="31" t="str">
        <f>"str_"&amp;CONTROL[[#This Row],[VEHIDCODE]]</f>
        <v>str_emu_Poland_PKP_EW90</v>
      </c>
    </row>
    <row r="518" spans="1:15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t="s">
        <v>1491</v>
      </c>
      <c r="G518" t="s">
        <v>2864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ISNUMBER(_xlfn.XMATCH(CONTROL[[#This Row],[VEHIDCODE]],GRAPHICS_PROPERTIES[VEHIDCODE],0))</f>
        <v>1</v>
      </c>
      <c r="N518" s="31" t="str">
        <f>"item_"&amp;CONTROL[[#This Row],[VEHIDCODE]]</f>
        <v>item_emu_Italy_FS_ETR200</v>
      </c>
      <c r="O518" s="31" t="str">
        <f>"str_"&amp;CONTROL[[#This Row],[VEHIDCODE]]</f>
        <v>str_emu_Italy_FS_ETR200</v>
      </c>
    </row>
    <row r="519" spans="1:15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t="s">
        <v>1492</v>
      </c>
      <c r="G519" t="s">
        <v>2866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ISNUMBER(_xlfn.XMATCH(CONTROL[[#This Row],[VEHIDCODE]],GRAPHICS_PROPERTIES[VEHIDCODE],0))</f>
        <v>1</v>
      </c>
      <c r="N519" s="31" t="str">
        <f>"item_"&amp;CONTROL[[#This Row],[VEHIDCODE]]</f>
        <v>item_emu_Italy_FS_ETR300_Settebello</v>
      </c>
      <c r="O519" s="31" t="str">
        <f>"str_"&amp;CONTROL[[#This Row],[VEHIDCODE]]</f>
        <v>str_emu_Italy_FS_ETR300_Settebello</v>
      </c>
    </row>
    <row r="520" spans="1:15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t="s">
        <v>1493</v>
      </c>
      <c r="G520" t="s">
        <v>2867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ISNUMBER(_xlfn.XMATCH(CONTROL[[#This Row],[VEHIDCODE]],GRAPHICS_PROPERTIES[VEHIDCODE],0))</f>
        <v>1</v>
      </c>
      <c r="N520" s="31" t="str">
        <f>"item_"&amp;CONTROL[[#This Row],[VEHIDCODE]]</f>
        <v>item_emu_Italy_FS_ETR500</v>
      </c>
      <c r="O520" s="31" t="str">
        <f>"str_"&amp;CONTROL[[#This Row],[VEHIDCODE]]</f>
        <v>str_emu_Italy_FS_ETR500</v>
      </c>
    </row>
    <row r="521" spans="1:15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t="s">
        <v>1494</v>
      </c>
      <c r="G521" t="s">
        <v>2868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ISNUMBER(_xlfn.XMATCH(CONTROL[[#This Row],[VEHIDCODE]],GRAPHICS_PROPERTIES[VEHIDCODE],0))</f>
        <v>1</v>
      </c>
      <c r="N521" s="31" t="str">
        <f>"item_"&amp;CONTROL[[#This Row],[VEHIDCODE]]</f>
        <v>item_emu_Italy_FS_ALe426</v>
      </c>
      <c r="O521" s="31" t="str">
        <f>"str_"&amp;CONTROL[[#This Row],[VEHIDCODE]]</f>
        <v>str_emu_Italy_FS_ALe426</v>
      </c>
    </row>
    <row r="522" spans="1:15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t="s">
        <v>1495</v>
      </c>
      <c r="G522" t="s">
        <v>2869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ISNUMBER(_xlfn.XMATCH(CONTROL[[#This Row],[VEHIDCODE]],GRAPHICS_PROPERTIES[VEHIDCODE],0))</f>
        <v>1</v>
      </c>
      <c r="N522" s="31" t="str">
        <f>"item_"&amp;CONTROL[[#This Row],[VEHIDCODE]]</f>
        <v>item_emu_Morocco_ONCF_ZMC</v>
      </c>
      <c r="O522" s="31" t="str">
        <f>"str_"&amp;CONTROL[[#This Row],[VEHIDCODE]]</f>
        <v>str_emu_Morocco_ONCF_ZMC</v>
      </c>
    </row>
    <row r="523" spans="1:15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t="s">
        <v>1496</v>
      </c>
      <c r="G523" t="s">
        <v>2870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ISNUMBER(_xlfn.XMATCH(CONTROL[[#This Row],[VEHIDCODE]],GRAPHICS_PROPERTIES[VEHIDCODE],0))</f>
        <v>1</v>
      </c>
      <c r="N523" s="31" t="str">
        <f>"item_"&amp;CONTROL[[#This Row],[VEHIDCODE]]</f>
        <v>item_emu_Poland_PKP_EW54</v>
      </c>
      <c r="O523" s="31" t="str">
        <f>"str_"&amp;CONTROL[[#This Row],[VEHIDCODE]]</f>
        <v>str_emu_Poland_PKP_EW54</v>
      </c>
    </row>
    <row r="524" spans="1:15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t="s">
        <v>1497</v>
      </c>
      <c r="G524" t="s">
        <v>2871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ISNUMBER(_xlfn.XMATCH(CONTROL[[#This Row],[VEHIDCODE]],GRAPHICS_PROPERTIES[VEHIDCODE],0))</f>
        <v>1</v>
      </c>
      <c r="N524" s="31" t="str">
        <f>"item_"&amp;CONTROL[[#This Row],[VEHIDCODE]]</f>
        <v>item_emu_Italy_FS_ALe_801</v>
      </c>
      <c r="O524" s="31" t="str">
        <f>"str_"&amp;CONTROL[[#This Row],[VEHIDCODE]]</f>
        <v>str_emu_Italy_FS_ALe_801</v>
      </c>
    </row>
    <row r="525" spans="1:15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t="s">
        <v>2498</v>
      </c>
      <c r="G525" t="s">
        <v>2872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ISNUMBER(_xlfn.XMATCH(CONTROL[[#This Row],[VEHIDCODE]],GRAPHICS_PROPERTIES[VEHIDCODE],0))</f>
        <v>1</v>
      </c>
      <c r="N525" s="31" t="str">
        <f>"item_"&amp;CONTROL[[#This Row],[VEHIDCODE]]</f>
        <v>item_emu_Austria_OBB_4030</v>
      </c>
      <c r="O525" s="31" t="str">
        <f>"str_"&amp;CONTROL[[#This Row],[VEHIDCODE]]</f>
        <v>str_emu_Austria_OBB_4030</v>
      </c>
    </row>
    <row r="526" spans="1:15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t="s">
        <v>2499</v>
      </c>
      <c r="G526" t="s">
        <v>2873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ISNUMBER(_xlfn.XMATCH(CONTROL[[#This Row],[VEHIDCODE]],GRAPHICS_PROPERTIES[VEHIDCODE],0))</f>
        <v>1</v>
      </c>
      <c r="N526" s="31" t="str">
        <f>"item_"&amp;CONTROL[[#This Row],[VEHIDCODE]]</f>
        <v>item_emu_Austria_OBB_4041</v>
      </c>
      <c r="O526" s="31" t="str">
        <f>"str_"&amp;CONTROL[[#This Row],[VEHIDCODE]]</f>
        <v>str_emu_Austria_OBB_4041</v>
      </c>
    </row>
    <row r="527" spans="1:15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t="s">
        <v>1498</v>
      </c>
      <c r="G527" t="s">
        <v>2874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ISNUMBER(_xlfn.XMATCH(CONTROL[[#This Row],[VEHIDCODE]],GRAPHICS_PROPERTIES[VEHIDCODE],0))</f>
        <v>1</v>
      </c>
      <c r="N527" s="31" t="str">
        <f>"item_"&amp;CONTROL[[#This Row],[VEHIDCODE]]</f>
        <v>item_emu_Austria_WESTbahn_4010_KISS</v>
      </c>
      <c r="O527" s="31" t="str">
        <f>"str_"&amp;CONTROL[[#This Row],[VEHIDCODE]]</f>
        <v>str_emu_Austria_WESTbahn_4010_KISS</v>
      </c>
    </row>
    <row r="528" spans="1:15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t="s">
        <v>1499</v>
      </c>
      <c r="G528" t="s">
        <v>2875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ISNUMBER(_xlfn.XMATCH(CONTROL[[#This Row],[VEHIDCODE]],GRAPHICS_PROPERTIES[VEHIDCODE],0))</f>
        <v>1</v>
      </c>
      <c r="N528" s="31" t="str">
        <f>"item_"&amp;CONTROL[[#This Row],[VEHIDCODE]]</f>
        <v>item_emu_Germany_DB_ET420</v>
      </c>
      <c r="O528" s="31" t="str">
        <f>"str_"&amp;CONTROL[[#This Row],[VEHIDCODE]]</f>
        <v>str_emu_Germany_DB_ET420</v>
      </c>
    </row>
    <row r="529" spans="1:15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t="s">
        <v>1500</v>
      </c>
      <c r="G529" t="s">
        <v>2876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ISNUMBER(_xlfn.XMATCH(CONTROL[[#This Row],[VEHIDCODE]],GRAPHICS_PROPERTIES[VEHIDCODE],0))</f>
        <v>1</v>
      </c>
      <c r="N529" s="31" t="str">
        <f>"item_"&amp;CONTROL[[#This Row],[VEHIDCODE]]</f>
        <v>item_emu_Norway_NSB_BM73</v>
      </c>
      <c r="O529" s="31" t="str">
        <f>"str_"&amp;CONTROL[[#This Row],[VEHIDCODE]]</f>
        <v>str_emu_Norway_NSB_BM73</v>
      </c>
    </row>
    <row r="530" spans="1:15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t="s">
        <v>1501</v>
      </c>
      <c r="G530" t="s">
        <v>2877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ISNUMBER(_xlfn.XMATCH(CONTROL[[#This Row],[VEHIDCODE]],GRAPHICS_PROPERTIES[VEHIDCODE],0))</f>
        <v>1</v>
      </c>
      <c r="N530" s="31" t="str">
        <f>"item_"&amp;CONTROL[[#This Row],[VEHIDCODE]]</f>
        <v>item_emu_Norway_NSB_BM65</v>
      </c>
      <c r="O530" s="31" t="str">
        <f>"str_"&amp;CONTROL[[#This Row],[VEHIDCODE]]</f>
        <v>str_emu_Norway_NSB_BM65</v>
      </c>
    </row>
    <row r="531" spans="1:15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t="s">
        <v>1502</v>
      </c>
      <c r="G531" t="s">
        <v>2878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ISNUMBER(_xlfn.XMATCH(CONTROL[[#This Row],[VEHIDCODE]],GRAPHICS_PROPERTIES[VEHIDCODE],0))</f>
        <v>1</v>
      </c>
      <c r="N531" s="31" t="str">
        <f>"item_"&amp;CONTROL[[#This Row],[VEHIDCODE]]</f>
        <v>item_emu_Sweden_SJ_X2000</v>
      </c>
      <c r="O531" s="31" t="str">
        <f>"str_"&amp;CONTROL[[#This Row],[VEHIDCODE]]</f>
        <v>str_emu_Sweden_SJ_X2000</v>
      </c>
    </row>
    <row r="532" spans="1:15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t="s">
        <v>1503</v>
      </c>
      <c r="G532" t="s">
        <v>2879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ISNUMBER(_xlfn.XMATCH(CONTROL[[#This Row],[VEHIDCODE]],GRAPHICS_PROPERTIES[VEHIDCODE],0))</f>
        <v>1</v>
      </c>
      <c r="N532" s="31" t="str">
        <f>"item_"&amp;CONTROL[[#This Row],[VEHIDCODE]]</f>
        <v>item_emu_Switzerland_SBB_RABDe_510</v>
      </c>
      <c r="O532" s="31" t="str">
        <f>"str_"&amp;CONTROL[[#This Row],[VEHIDCODE]]</f>
        <v>str_emu_Switzerland_SBB_RABDe_510</v>
      </c>
    </row>
    <row r="533" spans="1:15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t="s">
        <v>1504</v>
      </c>
      <c r="G533" t="s">
        <v>2880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ISNUMBER(_xlfn.XMATCH(CONTROL[[#This Row],[VEHIDCODE]],GRAPHICS_PROPERTIES[VEHIDCODE],0))</f>
        <v>1</v>
      </c>
      <c r="N533" s="31" t="str">
        <f>"item_"&amp;CONTROL[[#This Row],[VEHIDCODE]]</f>
        <v>item_emu_Switzerland_SBB_RBDe_560</v>
      </c>
      <c r="O533" s="31" t="str">
        <f>"str_"&amp;CONTROL[[#This Row],[VEHIDCODE]]</f>
        <v>str_emu_Switzerland_SBB_RBDe_560</v>
      </c>
    </row>
    <row r="534" spans="1:15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t="s">
        <v>1505</v>
      </c>
      <c r="G534" t="s">
        <v>2881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ISNUMBER(_xlfn.XMATCH(CONTROL[[#This Row],[VEHIDCODE]],GRAPHICS_PROPERTIES[VEHIDCODE],0))</f>
        <v>1</v>
      </c>
      <c r="N534" s="31" t="str">
        <f>"item_"&amp;CONTROL[[#This Row],[VEHIDCODE]]</f>
        <v>item_emu_Switzerland_SBB_RABe_523_Flirt</v>
      </c>
      <c r="O534" s="31" t="str">
        <f>"str_"&amp;CONTROL[[#This Row],[VEHIDCODE]]</f>
        <v>str_emu_Switzerland_SBB_RABe_523_Flirt</v>
      </c>
    </row>
    <row r="535" spans="1:15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t="s">
        <v>1506</v>
      </c>
      <c r="G535" t="s">
        <v>2882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ISNUMBER(_xlfn.XMATCH(CONTROL[[#This Row],[VEHIDCODE]],GRAPHICS_PROPERTIES[VEHIDCODE],0))</f>
        <v>1</v>
      </c>
      <c r="N535" s="31" t="str">
        <f>"item_"&amp;CONTROL[[#This Row],[VEHIDCODE]]</f>
        <v>item_emu_USA_Amtrak_Budd_Metroliner</v>
      </c>
      <c r="O535" s="31" t="str">
        <f>"str_"&amp;CONTROL[[#This Row],[VEHIDCODE]]</f>
        <v>str_emu_USA_Amtrak_Budd_Metroliner</v>
      </c>
    </row>
    <row r="536" spans="1:15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t="s">
        <v>1507</v>
      </c>
      <c r="G536" t="s">
        <v>2883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ISNUMBER(_xlfn.XMATCH(CONTROL[[#This Row],[VEHIDCODE]],GRAPHICS_PROPERTIES[VEHIDCODE],0))</f>
        <v>1</v>
      </c>
      <c r="N536" s="31" t="str">
        <f>"item_"&amp;CONTROL[[#This Row],[VEHIDCODE]]</f>
        <v>item_emu_Germany_DB_403_ICE_3</v>
      </c>
      <c r="O536" s="31" t="str">
        <f>"str_"&amp;CONTROL[[#This Row],[VEHIDCODE]]</f>
        <v>str_emu_Germany_DB_403_ICE_3</v>
      </c>
    </row>
    <row r="537" spans="1:15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t="s">
        <v>1508</v>
      </c>
      <c r="G537" t="s">
        <v>2884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ISNUMBER(_xlfn.XMATCH(CONTROL[[#This Row],[VEHIDCODE]],GRAPHICS_PROPERTIES[VEHIDCODE],0))</f>
        <v>1</v>
      </c>
      <c r="N537" s="31" t="str">
        <f>"item_"&amp;CONTROL[[#This Row],[VEHIDCODE]]</f>
        <v>item_emu_Bulgaria_BDZ_10_Desiro</v>
      </c>
      <c r="O537" s="31" t="str">
        <f>"str_"&amp;CONTROL[[#This Row],[VEHIDCODE]]</f>
        <v>str_emu_Bulgaria_BDZ_10_Desiro</v>
      </c>
    </row>
    <row r="538" spans="1:15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t="s">
        <v>1509</v>
      </c>
      <c r="G538" t="s">
        <v>2885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ISNUMBER(_xlfn.XMATCH(CONTROL[[#This Row],[VEHIDCODE]],GRAPHICS_PROPERTIES[VEHIDCODE],0))</f>
        <v>1</v>
      </c>
      <c r="N538" s="31" t="str">
        <f>"item_"&amp;CONTROL[[#This Row],[VEHIDCODE]]</f>
        <v>item_emu_Finland_VR_Sm2</v>
      </c>
      <c r="O538" s="31" t="str">
        <f>"str_"&amp;CONTROL[[#This Row],[VEHIDCODE]]</f>
        <v>str_emu_Finland_VR_Sm2</v>
      </c>
    </row>
    <row r="539" spans="1:15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t="s">
        <v>1510</v>
      </c>
      <c r="G539" t="s">
        <v>2886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ISNUMBER(_xlfn.XMATCH(CONTROL[[#This Row],[VEHIDCODE]],GRAPHICS_PROPERTIES[VEHIDCODE],0))</f>
        <v>1</v>
      </c>
      <c r="N539" s="31" t="str">
        <f>"item_"&amp;CONTROL[[#This Row],[VEHIDCODE]]</f>
        <v>item_emu_Finland_VR_Sm4</v>
      </c>
      <c r="O539" s="31" t="str">
        <f>"str_"&amp;CONTROL[[#This Row],[VEHIDCODE]]</f>
        <v>str_emu_Finland_VR_Sm4</v>
      </c>
    </row>
    <row r="540" spans="1:15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t="s">
        <v>2506</v>
      </c>
      <c r="G540" t="s">
        <v>2887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ISNUMBER(_xlfn.XMATCH(CONTROL[[#This Row],[VEHIDCODE]],GRAPHICS_PROPERTIES[VEHIDCODE],0))</f>
        <v>1</v>
      </c>
      <c r="N540" s="31" t="str">
        <f>"item_"&amp;CONTROL[[#This Row],[VEHIDCODE]]</f>
        <v>item_emu_Hungary_MAV_BDVmot</v>
      </c>
      <c r="O540" s="31" t="str">
        <f>"str_"&amp;CONTROL[[#This Row],[VEHIDCODE]]</f>
        <v>str_emu_Hungary_MAV_BDVmot</v>
      </c>
    </row>
    <row r="541" spans="1:15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t="s">
        <v>1511</v>
      </c>
      <c r="G541" t="s">
        <v>1749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ISNUMBER(_xlfn.XMATCH(CONTROL[[#This Row],[VEHIDCODE]],GRAPHICS_PROPERTIES[VEHIDCODE],0))</f>
        <v>1</v>
      </c>
      <c r="N541" s="31" t="str">
        <f>"item_"&amp;CONTROL[[#This Row],[VEHIDCODE]]</f>
        <v>item_emu_Europe_Sureot</v>
      </c>
      <c r="O541" s="31" t="str">
        <f>"str_"&amp;CONTROL[[#This Row],[VEHIDCODE]]</f>
        <v>str_emu_Europe_Sureot</v>
      </c>
    </row>
    <row r="542" spans="1:15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t="s">
        <v>1512</v>
      </c>
      <c r="G542" t="s">
        <v>2888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ISNUMBER(_xlfn.XMATCH(CONTROL[[#This Row],[VEHIDCODE]],GRAPHICS_PROPERTIES[VEHIDCODE],0))</f>
        <v>1</v>
      </c>
      <c r="N542" s="31" t="str">
        <f>"item_"&amp;CONTROL[[#This Row],[VEHIDCODE]]</f>
        <v>item_emu_Japan_JNR_Shinkansen_Series_0</v>
      </c>
      <c r="O542" s="31" t="str">
        <f>"str_"&amp;CONTROL[[#This Row],[VEHIDCODE]]</f>
        <v>str_emu_Japan_JNR_Shinkansen_Series_0</v>
      </c>
    </row>
    <row r="543" spans="1:15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t="s">
        <v>1513</v>
      </c>
      <c r="G543" t="s">
        <v>2889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ISNUMBER(_xlfn.XMATCH(CONTROL[[#This Row],[VEHIDCODE]],GRAPHICS_PROPERTIES[VEHIDCODE],0))</f>
        <v>1</v>
      </c>
      <c r="N543" s="31" t="str">
        <f>"item_"&amp;CONTROL[[#This Row],[VEHIDCODE]]</f>
        <v>item_emu_Japan_JR_Shinkansen_Series_700</v>
      </c>
      <c r="O543" s="31" t="str">
        <f>"str_"&amp;CONTROL[[#This Row],[VEHIDCODE]]</f>
        <v>str_emu_Japan_JR_Shinkansen_Series_700</v>
      </c>
    </row>
    <row r="544" spans="1:15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t="s">
        <v>1514</v>
      </c>
      <c r="G544" t="s">
        <v>2890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ISNUMBER(_xlfn.XMATCH(CONTROL[[#This Row],[VEHIDCODE]],GRAPHICS_PROPERTIES[VEHIDCODE],0))</f>
        <v>1</v>
      </c>
      <c r="N544" s="31" t="str">
        <f>"item_"&amp;CONTROL[[#This Row],[VEHIDCODE]]</f>
        <v>item_emu_Japan_JR_Shinkansen_Series_E1_Max</v>
      </c>
      <c r="O544" s="31" t="str">
        <f>"str_"&amp;CONTROL[[#This Row],[VEHIDCODE]]</f>
        <v>str_emu_Japan_JR_Shinkansen_Series_E1_Max</v>
      </c>
    </row>
    <row r="545" spans="1:15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t="s">
        <v>1515</v>
      </c>
      <c r="G545" t="s">
        <v>2891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ISNUMBER(_xlfn.XMATCH(CONTROL[[#This Row],[VEHIDCODE]],GRAPHICS_PROPERTIES[VEHIDCODE],0))</f>
        <v>1</v>
      </c>
      <c r="N545" s="31" t="str">
        <f>"item_"&amp;CONTROL[[#This Row],[VEHIDCODE]]</f>
        <v>item_emu_Luxembourg_CFL_2200_Coradia_Duplex</v>
      </c>
      <c r="O545" s="31" t="str">
        <f>"str_"&amp;CONTROL[[#This Row],[VEHIDCODE]]</f>
        <v>str_emu_Luxembourg_CFL_2200_Coradia_Duplex</v>
      </c>
    </row>
    <row r="546" spans="1:15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t="s">
        <v>1516</v>
      </c>
      <c r="G546" t="s">
        <v>2892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ISNUMBER(_xlfn.XMATCH(CONTROL[[#This Row],[VEHIDCODE]],GRAPHICS_PROPERTIES[VEHIDCODE],0))</f>
        <v>1</v>
      </c>
      <c r="N546" s="31" t="str">
        <f>"item_"&amp;CONTROL[[#This Row],[VEHIDCODE]]</f>
        <v>item_emu_Macedonia_Macedonian_Railways_412</v>
      </c>
      <c r="O546" s="31" t="str">
        <f>"str_"&amp;CONTROL[[#This Row],[VEHIDCODE]]</f>
        <v>str_emu_Macedonia_Macedonian_Railways_412</v>
      </c>
    </row>
    <row r="547" spans="1:15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t="s">
        <v>1517</v>
      </c>
      <c r="G547" t="s">
        <v>2893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ISNUMBER(_xlfn.XMATCH(CONTROL[[#This Row],[VEHIDCODE]],GRAPHICS_PROPERTIES[VEHIDCODE],0))</f>
        <v>1</v>
      </c>
      <c r="N547" s="31" t="str">
        <f>"item_"&amp;CONTROL[[#This Row],[VEHIDCODE]]</f>
        <v>item_emu_Romania_CFR_58</v>
      </c>
      <c r="O547" s="31" t="str">
        <f>"str_"&amp;CONTROL[[#This Row],[VEHIDCODE]]</f>
        <v>str_emu_Romania_CFR_58</v>
      </c>
    </row>
    <row r="548" spans="1:15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t="s">
        <v>1518</v>
      </c>
      <c r="G548" t="s">
        <v>2894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ISNUMBER(_xlfn.XMATCH(CONTROL[[#This Row],[VEHIDCODE]],GRAPHICS_PROPERTIES[VEHIDCODE],0))</f>
        <v>1</v>
      </c>
      <c r="N548" s="31" t="str">
        <f>"item_"&amp;CONTROL[[#This Row],[VEHIDCODE]]</f>
        <v>item_emu_South_Africa_Gautrain_Electrostar</v>
      </c>
      <c r="O548" s="31" t="str">
        <f>"str_"&amp;CONTROL[[#This Row],[VEHIDCODE]]</f>
        <v>str_emu_South_Africa_Gautrain_Electrostar</v>
      </c>
    </row>
    <row r="549" spans="1:15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t="s">
        <v>2895</v>
      </c>
      <c r="G549" t="s">
        <v>2896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ISNUMBER(_xlfn.XMATCH(CONTROL[[#This Row],[VEHIDCODE]],GRAPHICS_PROPERTIES[VEHIDCODE],0))</f>
        <v>1</v>
      </c>
      <c r="N549" s="31" t="str">
        <f>"item_"&amp;CONTROL[[#This Row],[VEHIDCODE]]</f>
        <v>item_emu_Turkey_TCDD_E8000</v>
      </c>
      <c r="O549" s="31" t="str">
        <f>"str_"&amp;CONTROL[[#This Row],[VEHIDCODE]]</f>
        <v>str_emu_Turkey_TCDD_E8000</v>
      </c>
    </row>
    <row r="550" spans="1:15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t="s">
        <v>1719</v>
      </c>
      <c r="G550" t="s">
        <v>2897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ISNUMBER(_xlfn.XMATCH(CONTROL[[#This Row],[VEHIDCODE]],GRAPHICS_PROPERTIES[VEHIDCODE],0))</f>
        <v>1</v>
      </c>
      <c r="N550" s="31" t="str">
        <f>"item_"&amp;CONTROL[[#This Row],[VEHIDCODE]]</f>
        <v>item_emu_China_Railways_CHR380A</v>
      </c>
      <c r="O550" s="31" t="str">
        <f>"str_"&amp;CONTROL[[#This Row],[VEHIDCODE]]</f>
        <v>str_emu_China_Railways_CHR380A</v>
      </c>
    </row>
    <row r="551" spans="1:15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t="s">
        <v>1519</v>
      </c>
      <c r="G551" t="s">
        <v>2898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ISNUMBER(_xlfn.XMATCH(CONTROL[[#This Row],[VEHIDCODE]],GRAPHICS_PROPERTIES[VEHIDCODE],0))</f>
        <v>1</v>
      </c>
      <c r="N551" s="31" t="str">
        <f>"item_"&amp;CONTROL[[#This Row],[VEHIDCODE]]</f>
        <v>item_emu_USA_PRR_MP54</v>
      </c>
      <c r="O551" s="31" t="str">
        <f>"str_"&amp;CONTROL[[#This Row],[VEHIDCODE]]</f>
        <v>str_emu_USA_PRR_MP54</v>
      </c>
    </row>
    <row r="552" spans="1:15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t="s">
        <v>1520</v>
      </c>
      <c r="G552" t="s">
        <v>2899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ISNUMBER(_xlfn.XMATCH(CONTROL[[#This Row],[VEHIDCODE]],GRAPHICS_PROPERTIES[VEHIDCODE],0))</f>
        <v>1</v>
      </c>
      <c r="N552" s="31" t="str">
        <f>"item_"&amp;CONTROL[[#This Row],[VEHIDCODE]]</f>
        <v>item_emu_Italy_NTV_AGV</v>
      </c>
      <c r="O552" s="31" t="str">
        <f>"str_"&amp;CONTROL[[#This Row],[VEHIDCODE]]</f>
        <v>str_emu_Italy_NTV_AGV</v>
      </c>
    </row>
    <row r="553" spans="1:15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t="s">
        <v>1521</v>
      </c>
      <c r="G553" t="s">
        <v>2900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ISNUMBER(_xlfn.XMATCH(CONTROL[[#This Row],[VEHIDCODE]],GRAPHICS_PROPERTIES[VEHIDCODE],0))</f>
        <v>1</v>
      </c>
      <c r="N553" s="31" t="str">
        <f>"item_"&amp;CONTROL[[#This Row],[VEHIDCODE]]</f>
        <v>item_emu_Italy_NTV_AGV_Duplex</v>
      </c>
      <c r="O553" s="31" t="str">
        <f>"str_"&amp;CONTROL[[#This Row],[VEHIDCODE]]</f>
        <v>str_emu_Italy_NTV_AGV_Duplex</v>
      </c>
    </row>
    <row r="554" spans="1:15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t="s">
        <v>1522</v>
      </c>
      <c r="G554" t="s">
        <v>2901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ISNUMBER(_xlfn.XMATCH(CONTROL[[#This Row],[VEHIDCODE]],GRAPHICS_PROPERTIES[VEHIDCODE],0))</f>
        <v>1</v>
      </c>
      <c r="N554" s="31" t="str">
        <f>"item_"&amp;CONTROL[[#This Row],[VEHIDCODE]]</f>
        <v>item_emu_Netherlands_NS_Hispeed_V250_Albatros</v>
      </c>
      <c r="O554" s="31" t="str">
        <f>"str_"&amp;CONTROL[[#This Row],[VEHIDCODE]]</f>
        <v>str_emu_Netherlands_NS_Hispeed_V250_Albatros</v>
      </c>
    </row>
    <row r="555" spans="1:15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t="s">
        <v>2904</v>
      </c>
      <c r="G555" t="s">
        <v>1749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ISNUMBER(_xlfn.XMATCH(CONTROL[[#This Row],[VEHIDCODE]],GRAPHICS_PROPERTIES[VEHIDCODE],0))</f>
        <v>1</v>
      </c>
      <c r="N555" s="31" t="str">
        <f>"item_"&amp;CONTROL[[#This Row],[VEHIDCODE]]</f>
        <v>item_emu_Netherlands_NS_4800_HSA</v>
      </c>
      <c r="O555" s="31" t="str">
        <f>"str_"&amp;CONTROL[[#This Row],[VEHIDCODE]]</f>
        <v>str_emu_Netherlands_NS_4800_HSA</v>
      </c>
    </row>
    <row r="556" spans="1:15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t="s">
        <v>1523</v>
      </c>
      <c r="G556" t="s">
        <v>2902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ISNUMBER(_xlfn.XMATCH(CONTROL[[#This Row],[VEHIDCODE]],GRAPHICS_PROPERTIES[VEHIDCODE],0))</f>
        <v>1</v>
      </c>
      <c r="N556" s="31" t="str">
        <f>"item_"&amp;CONTROL[[#This Row],[VEHIDCODE]]</f>
        <v>item_emu_Switzerland_SBB_Rae_TEE_II</v>
      </c>
      <c r="O556" s="31" t="str">
        <f>"str_"&amp;CONTROL[[#This Row],[VEHIDCODE]]</f>
        <v>str_emu_Switzerland_SBB_Rae_TEE_II</v>
      </c>
    </row>
    <row r="557" spans="1:15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t="s">
        <v>1524</v>
      </c>
      <c r="G557" t="s">
        <v>2903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ISNUMBER(_xlfn.XMATCH(CONTROL[[#This Row],[VEHIDCODE]],GRAPHICS_PROPERTIES[VEHIDCODE],0))</f>
        <v>1</v>
      </c>
      <c r="N557" s="31" t="str">
        <f>"item_"&amp;CONTROL[[#This Row],[VEHIDCODE]]</f>
        <v>item_emu_USA_Erie_Lackawanna_MU_Cars</v>
      </c>
      <c r="O557" s="31" t="str">
        <f>"str_"&amp;CONTROL[[#This Row],[VEHIDCODE]]</f>
        <v>str_emu_USA_Erie_Lackawanna_MU_Cars</v>
      </c>
    </row>
    <row r="558" spans="1:15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t="s">
        <v>1525</v>
      </c>
      <c r="G558" t="s">
        <v>2905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ISNUMBER(_xlfn.XMATCH(CONTROL[[#This Row],[VEHIDCODE]],GRAPHICS_PROPERTIES[VEHIDCODE],0))</f>
        <v>1</v>
      </c>
      <c r="N558" s="31" t="str">
        <f>"item_"&amp;CONTROL[[#This Row],[VEHIDCODE]]</f>
        <v>item_emu_France_SNCF_TGV_Sud_Est</v>
      </c>
      <c r="O558" s="31" t="str">
        <f>"str_"&amp;CONTROL[[#This Row],[VEHIDCODE]]</f>
        <v>str_emu_France_SNCF_TGV_Sud_Est</v>
      </c>
    </row>
    <row r="559" spans="1:15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t="s">
        <v>1526</v>
      </c>
      <c r="G559" t="s">
        <v>2906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ISNUMBER(_xlfn.XMATCH(CONTROL[[#This Row],[VEHIDCODE]],GRAPHICS_PROPERTIES[VEHIDCODE],0))</f>
        <v>1</v>
      </c>
      <c r="N559" s="31" t="str">
        <f>"item_"&amp;CONTROL[[#This Row],[VEHIDCODE]]</f>
        <v>item_emu_France_SNCF_TGV_Duplex</v>
      </c>
      <c r="O559" s="31" t="str">
        <f>"str_"&amp;CONTROL[[#This Row],[VEHIDCODE]]</f>
        <v>str_emu_France_SNCF_TGV_Duplex</v>
      </c>
    </row>
    <row r="560" spans="1:15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t="s">
        <v>1527</v>
      </c>
      <c r="G560" t="s">
        <v>2907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ISNUMBER(_xlfn.XMATCH(CONTROL[[#This Row],[VEHIDCODE]],GRAPHICS_PROPERTIES[VEHIDCODE],0))</f>
        <v>1</v>
      </c>
      <c r="N560" s="31" t="str">
        <f>"item_"&amp;CONTROL[[#This Row],[VEHIDCODE]]</f>
        <v>item_emu_France_Thalys_PBKA</v>
      </c>
      <c r="O560" s="31" t="str">
        <f>"str_"&amp;CONTROL[[#This Row],[VEHIDCODE]]</f>
        <v>str_emu_France_Thalys_PBKA</v>
      </c>
    </row>
    <row r="561" spans="1:15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t="s">
        <v>2795</v>
      </c>
      <c r="G561" t="s">
        <v>2908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ISNUMBER(_xlfn.XMATCH(CONTROL[[#This Row],[VEHIDCODE]],GRAPHICS_PROPERTIES[VEHIDCODE],0))</f>
        <v>1</v>
      </c>
      <c r="N561" s="31" t="str">
        <f>"item_"&amp;CONTROL[[#This Row],[VEHIDCODE]]</f>
        <v>item_emu_Czech_Republic_CD_680_Pendolino</v>
      </c>
      <c r="O561" s="31" t="str">
        <f>"str_"&amp;CONTROL[[#This Row],[VEHIDCODE]]</f>
        <v>str_emu_Czech_Republic_CD_680_Pendolino</v>
      </c>
    </row>
    <row r="562" spans="1:15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t="s">
        <v>1528</v>
      </c>
      <c r="G562" t="s">
        <v>2909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ISNUMBER(_xlfn.XMATCH(CONTROL[[#This Row],[VEHIDCODE]],GRAPHICS_PROPERTIES[VEHIDCODE],0))</f>
        <v>1</v>
      </c>
      <c r="N562" s="31" t="str">
        <f>"item_"&amp;CONTROL[[#This Row],[VEHIDCODE]]</f>
        <v>item_emu_Spain_RENFE_120</v>
      </c>
      <c r="O562" s="31" t="str">
        <f>"str_"&amp;CONTROL[[#This Row],[VEHIDCODE]]</f>
        <v>str_emu_Spain_RENFE_120</v>
      </c>
    </row>
    <row r="563" spans="1:15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t="s">
        <v>1529</v>
      </c>
      <c r="G563" t="s">
        <v>2910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ISNUMBER(_xlfn.XMATCH(CONTROL[[#This Row],[VEHIDCODE]],GRAPHICS_PROPERTIES[VEHIDCODE],0))</f>
        <v>1</v>
      </c>
      <c r="N563" s="31" t="str">
        <f>"item_"&amp;CONTROL[[#This Row],[VEHIDCODE]]</f>
        <v>item_emu_USA_Amtrak_Acela_Express</v>
      </c>
      <c r="O563" s="31" t="str">
        <f>"str_"&amp;CONTROL[[#This Row],[VEHIDCODE]]</f>
        <v>str_emu_USA_Amtrak_Acela_Express</v>
      </c>
    </row>
    <row r="564" spans="1:15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961</v>
      </c>
      <c r="E564">
        <v>14000</v>
      </c>
      <c r="F564" t="s">
        <v>3078</v>
      </c>
      <c r="G564" t="s">
        <v>2973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ISNUMBER(_xlfn.XMATCH(CONTROL[[#This Row],[VEHIDCODE]],GRAPHICS_PROPERTIES[VEHIDCODE],0))</f>
        <v>1</v>
      </c>
      <c r="N564" s="31" t="str">
        <f>"item_"&amp;CONTROL[[#This Row],[VEHIDCODE]]</f>
        <v>item_singlemtro_USA_Brooklyn_Union_Gate_Car</v>
      </c>
      <c r="O564" s="31" t="str">
        <f>"str_"&amp;CONTROL[[#This Row],[VEHIDCODE]]</f>
        <v>str_singlemtro_USA_Brooklyn_Union_Gate_Car</v>
      </c>
    </row>
    <row r="565" spans="1:15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961</v>
      </c>
      <c r="E565">
        <v>14001</v>
      </c>
      <c r="F565" t="s">
        <v>1530</v>
      </c>
      <c r="G565" t="s">
        <v>2974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ISNUMBER(_xlfn.XMATCH(CONTROL[[#This Row],[VEHIDCODE]],GRAPHICS_PROPERTIES[VEHIDCODE],0))</f>
        <v>1</v>
      </c>
      <c r="N565" s="31" t="str">
        <f>"item_"&amp;CONTROL[[#This Row],[VEHIDCODE]]</f>
        <v>item_singlemtro_Hungary_Budapest_1894_Stock</v>
      </c>
      <c r="O565" s="31" t="str">
        <f>"str_"&amp;CONTROL[[#This Row],[VEHIDCODE]]</f>
        <v>str_singlemtro_Hungary_Budapest_1894_Stock</v>
      </c>
    </row>
    <row r="566" spans="1:15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961</v>
      </c>
      <c r="E566">
        <v>14002</v>
      </c>
      <c r="F566" t="s">
        <v>1531</v>
      </c>
      <c r="G566" t="s">
        <v>2975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ISNUMBER(_xlfn.XMATCH(CONTROL[[#This Row],[VEHIDCODE]],GRAPHICS_PROPERTIES[VEHIDCODE],0))</f>
        <v>1</v>
      </c>
      <c r="N566" s="31" t="str">
        <f>"item_"&amp;CONTROL[[#This Row],[VEHIDCODE]]</f>
        <v>item_singlemtro_USA_Chicago_L_Northwest_Elevated_1907_Stock</v>
      </c>
      <c r="O566" s="31" t="str">
        <f>"str_"&amp;CONTROL[[#This Row],[VEHIDCODE]]</f>
        <v>str_singlemtro_USA_Chicago_L_Northwest_Elevated_1907_Stock</v>
      </c>
    </row>
    <row r="567" spans="1:15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961</v>
      </c>
      <c r="E567">
        <v>14003</v>
      </c>
      <c r="F567" t="s">
        <v>1532</v>
      </c>
      <c r="G567" t="s">
        <v>2976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ISNUMBER(_xlfn.XMATCH(CONTROL[[#This Row],[VEHIDCODE]],GRAPHICS_PROPERTIES[VEHIDCODE],0))</f>
        <v>1</v>
      </c>
      <c r="N567" s="31" t="str">
        <f>"item_"&amp;CONTROL[[#This Row],[VEHIDCODE]]</f>
        <v>item_singlemtro_Germany_Berlin_U_Bahn_C_II</v>
      </c>
      <c r="O567" s="31" t="str">
        <f>"str_"&amp;CONTROL[[#This Row],[VEHIDCODE]]</f>
        <v>str_singlemtro_Germany_Berlin_U_Bahn_C_II</v>
      </c>
    </row>
    <row r="568" spans="1:15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967</v>
      </c>
      <c r="E568">
        <v>16000</v>
      </c>
      <c r="F568" t="s">
        <v>1533</v>
      </c>
      <c r="G568" t="s">
        <v>1749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ISNUMBER(_xlfn.XMATCH(CONTROL[[#This Row],[VEHIDCODE]],GRAPHICS_PROPERTIES[VEHIDCODE],0))</f>
        <v>1</v>
      </c>
      <c r="N568" s="31" t="str">
        <f>"item_"&amp;CONTROL[[#This Row],[VEHIDCODE]]</f>
        <v>item_rbm_World_Turbobus</v>
      </c>
      <c r="O568" s="31" t="str">
        <f>"str_"&amp;CONTROL[[#This Row],[VEHIDCODE]]</f>
        <v>str_rbm_World_Turbobus</v>
      </c>
    </row>
    <row r="569" spans="1:15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969</v>
      </c>
      <c r="E569">
        <v>15001</v>
      </c>
      <c r="F569" t="s">
        <v>1534</v>
      </c>
      <c r="G569" t="s">
        <v>1749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ISNUMBER(_xlfn.XMATCH(CONTROL[[#This Row],[VEHIDCODE]],GRAPHICS_PROPERTIES[VEHIDCODE],0))</f>
        <v>1</v>
      </c>
      <c r="N569" s="31" t="str">
        <f>"item_"&amp;CONTROL[[#This Row],[VEHIDCODE]]</f>
        <v>item_mglv_Germany_DB_182_ES64UM_Mutus</v>
      </c>
      <c r="O569" s="31" t="str">
        <f>"str_"&amp;CONTROL[[#This Row],[VEHIDCODE]]</f>
        <v>str_mglv_Germany_DB_182_ES64UM_Mutus</v>
      </c>
    </row>
    <row r="570" spans="1:15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t="s">
        <v>1535</v>
      </c>
      <c r="G570" t="s">
        <v>2911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ISNUMBER(_xlfn.XMATCH(CONTROL[[#This Row],[VEHIDCODE]],GRAPHICS_PROPERTIES[VEHIDCODE],0))</f>
        <v>1</v>
      </c>
      <c r="N570" s="31" t="str">
        <f>"item_"&amp;CONTROL[[#This Row],[VEHIDCODE]]</f>
        <v>item_mglv_China_Transrapid</v>
      </c>
      <c r="O570" s="31" t="str">
        <f>"str_"&amp;CONTROL[[#This Row],[VEHIDCODE]]</f>
        <v>str_mglv_China_Transrapid</v>
      </c>
    </row>
    <row r="571" spans="1:15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t="s">
        <v>1536</v>
      </c>
      <c r="G571" t="s">
        <v>2912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ISNUMBER(_xlfn.XMATCH(CONTROL[[#This Row],[VEHIDCODE]],GRAPHICS_PROPERTIES[VEHIDCODE],0))</f>
        <v>1</v>
      </c>
      <c r="N571" s="31" t="str">
        <f>"item_"&amp;CONTROL[[#This Row],[VEHIDCODE]]</f>
        <v>item_mglv_Japan_MLX01_901</v>
      </c>
      <c r="O571" s="31" t="str">
        <f>"str_"&amp;CONTROL[[#This Row],[VEHIDCODE]]</f>
        <v>str_mglv_Japan_MLX01_901</v>
      </c>
    </row>
    <row r="572" spans="1:15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t="s">
        <v>3045</v>
      </c>
      <c r="G572" t="s">
        <v>1749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ISNUMBER(_xlfn.XMATCH(CONTROL[[#This Row],[VEHIDCODE]],GRAPHICS_PROPERTIES[VEHIDCODE],0))</f>
        <v>1</v>
      </c>
      <c r="N572" s="31" t="str">
        <f>"item_"&amp;CONTROL[[#This Row],[VEHIDCODE]]</f>
        <v>item_mglv_Wagon_Gen7M_Boxcar_Type1</v>
      </c>
      <c r="O572" s="31" t="str">
        <f>"str_"&amp;CONTROL[[#This Row],[VEHIDCODE]]</f>
        <v>str_mglv_Wagon_Gen7M_Boxcar_Type1</v>
      </c>
    </row>
    <row r="573" spans="1:15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t="s">
        <v>3046</v>
      </c>
      <c r="G573" t="s">
        <v>1749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ISNUMBER(_xlfn.XMATCH(CONTROL[[#This Row],[VEHIDCODE]],GRAPHICS_PROPERTIES[VEHIDCODE],0))</f>
        <v>1</v>
      </c>
      <c r="N573" s="31" t="str">
        <f>"item_"&amp;CONTROL[[#This Row],[VEHIDCODE]]</f>
        <v>item_mglv_Wagon_Gen7M_Boxcar_Type2</v>
      </c>
      <c r="O573" s="31" t="str">
        <f>"str_"&amp;CONTROL[[#This Row],[VEHIDCODE]]</f>
        <v>str_mglv_Wagon_Gen7M_Boxcar_Type2</v>
      </c>
    </row>
    <row r="574" spans="1:15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t="s">
        <v>1537</v>
      </c>
      <c r="G574" t="s">
        <v>1749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ISNUMBER(_xlfn.XMATCH(CONTROL[[#This Row],[VEHIDCODE]],GRAPHICS_PROPERTIES[VEHIDCODE],0))</f>
        <v>1</v>
      </c>
      <c r="N574" s="31" t="str">
        <f>"item_"&amp;CONTROL[[#This Row],[VEHIDCODE]]</f>
        <v>item_mglv_Wagon_Gen7M_Car_Transporter</v>
      </c>
      <c r="O574" s="31" t="str">
        <f>"str_"&amp;CONTROL[[#This Row],[VEHIDCODE]]</f>
        <v>str_mglv_Wagon_Gen7M_Car_Transporter</v>
      </c>
    </row>
    <row r="575" spans="1:15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t="s">
        <v>1538</v>
      </c>
      <c r="G575" t="s">
        <v>1749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ISNUMBER(_xlfn.XMATCH(CONTROL[[#This Row],[VEHIDCODE]],GRAPHICS_PROPERTIES[VEHIDCODE],0))</f>
        <v>1</v>
      </c>
      <c r="N575" s="31" t="str">
        <f>"item_"&amp;CONTROL[[#This Row],[VEHIDCODE]]</f>
        <v>item_mglv_Wagon_Gen7M_Centerbeam</v>
      </c>
      <c r="O575" s="31" t="str">
        <f>"str_"&amp;CONTROL[[#This Row],[VEHIDCODE]]</f>
        <v>str_mglv_Wagon_Gen7M_Centerbeam</v>
      </c>
    </row>
    <row r="576" spans="1:15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t="s">
        <v>1539</v>
      </c>
      <c r="G576" t="s">
        <v>1749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ISNUMBER(_xlfn.XMATCH(CONTROL[[#This Row],[VEHIDCODE]],GRAPHICS_PROPERTIES[VEHIDCODE],0))</f>
        <v>1</v>
      </c>
      <c r="N576" s="31" t="str">
        <f>"item_"&amp;CONTROL[[#This Row],[VEHIDCODE]]</f>
        <v>item_mglv_Wagon_Gen7M_Container_Carrier</v>
      </c>
      <c r="O576" s="31" t="str">
        <f>"str_"&amp;CONTROL[[#This Row],[VEHIDCODE]]</f>
        <v>str_mglv_Wagon_Gen7M_Container_Carrier</v>
      </c>
    </row>
    <row r="577" spans="1:15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t="s">
        <v>1540</v>
      </c>
      <c r="G577" t="s">
        <v>1749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ISNUMBER(_xlfn.XMATCH(CONTROL[[#This Row],[VEHIDCODE]],GRAPHICS_PROPERTIES[VEHIDCODE],0))</f>
        <v>1</v>
      </c>
      <c r="N577" s="31" t="str">
        <f>"item_"&amp;CONTROL[[#This Row],[VEHIDCODE]]</f>
        <v>item_mglv_Wagon_Gen7M_Container_Doublestack</v>
      </c>
      <c r="O577" s="31" t="str">
        <f>"str_"&amp;CONTROL[[#This Row],[VEHIDCODE]]</f>
        <v>str_mglv_Wagon_Gen7M_Container_Doublestack</v>
      </c>
    </row>
    <row r="578" spans="1:15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t="s">
        <v>1541</v>
      </c>
      <c r="G578" t="s">
        <v>1749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ISNUMBER(_xlfn.XMATCH(CONTROL[[#This Row],[VEHIDCODE]],GRAPHICS_PROPERTIES[VEHIDCODE],0))</f>
        <v>1</v>
      </c>
      <c r="N578" s="31" t="str">
        <f>"item_"&amp;CONTROL[[#This Row],[VEHIDCODE]]</f>
        <v>item_mglv_Wagon_Gen7M_Flatcar</v>
      </c>
      <c r="O578" s="31" t="str">
        <f>"str_"&amp;CONTROL[[#This Row],[VEHIDCODE]]</f>
        <v>str_mglv_Wagon_Gen7M_Flatcar</v>
      </c>
    </row>
    <row r="579" spans="1:15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t="s">
        <v>1542</v>
      </c>
      <c r="G579" t="s">
        <v>1749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ISNUMBER(_xlfn.XMATCH(CONTROL[[#This Row],[VEHIDCODE]],GRAPHICS_PROPERTIES[VEHIDCODE],0))</f>
        <v>1</v>
      </c>
      <c r="N579" s="31" t="str">
        <f>"item_"&amp;CONTROL[[#This Row],[VEHIDCODE]]</f>
        <v>item_mglv_Wagon_Gen7M_Gondola</v>
      </c>
      <c r="O579" s="31" t="str">
        <f>"str_"&amp;CONTROL[[#This Row],[VEHIDCODE]]</f>
        <v>str_mglv_Wagon_Gen7M_Gondola</v>
      </c>
    </row>
    <row r="580" spans="1:15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t="s">
        <v>1543</v>
      </c>
      <c r="G580" t="s">
        <v>1749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ISNUMBER(_xlfn.XMATCH(CONTROL[[#This Row],[VEHIDCODE]],GRAPHICS_PROPERTIES[VEHIDCODE],0))</f>
        <v>1</v>
      </c>
      <c r="N580" s="31" t="str">
        <f>"item_"&amp;CONTROL[[#This Row],[VEHIDCODE]]</f>
        <v>item_mglv_Wagon_Gen7M_Heavy_Flatcar</v>
      </c>
      <c r="O580" s="31" t="str">
        <f>"str_"&amp;CONTROL[[#This Row],[VEHIDCODE]]</f>
        <v>str_mglv_Wagon_Gen7M_Heavy_Flatcar</v>
      </c>
    </row>
    <row r="581" spans="1:15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t="s">
        <v>3047</v>
      </c>
      <c r="G581" t="s">
        <v>1749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ISNUMBER(_xlfn.XMATCH(CONTROL[[#This Row],[VEHIDCODE]],GRAPHICS_PROPERTIES[VEHIDCODE],0))</f>
        <v>1</v>
      </c>
      <c r="N581" s="31" t="str">
        <f>"item_"&amp;CONTROL[[#This Row],[VEHIDCODE]]</f>
        <v>item_mglv_Wagon_Gen7M_Hopper_Type1</v>
      </c>
      <c r="O581" s="31" t="str">
        <f>"str_"&amp;CONTROL[[#This Row],[VEHIDCODE]]</f>
        <v>str_mglv_Wagon_Gen7M_Hopper_Type1</v>
      </c>
    </row>
    <row r="582" spans="1:15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t="s">
        <v>3048</v>
      </c>
      <c r="G582" t="s">
        <v>1749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ISNUMBER(_xlfn.XMATCH(CONTROL[[#This Row],[VEHIDCODE]],GRAPHICS_PROPERTIES[VEHIDCODE],0))</f>
        <v>1</v>
      </c>
      <c r="N582" s="31" t="str">
        <f>"item_"&amp;CONTROL[[#This Row],[VEHIDCODE]]</f>
        <v>item_mglv_Wagon_Gen7M_Hopper_Type2</v>
      </c>
      <c r="O582" s="31" t="str">
        <f>"str_"&amp;CONTROL[[#This Row],[VEHIDCODE]]</f>
        <v>str_mglv_Wagon_Gen7M_Hopper_Type2</v>
      </c>
    </row>
    <row r="583" spans="1:15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t="s">
        <v>3049</v>
      </c>
      <c r="G583" t="s">
        <v>1749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ISNUMBER(_xlfn.XMATCH(CONTROL[[#This Row],[VEHIDCODE]],GRAPHICS_PROPERTIES[VEHIDCODE],0))</f>
        <v>1</v>
      </c>
      <c r="N583" s="31" t="str">
        <f>"item_"&amp;CONTROL[[#This Row],[VEHIDCODE]]</f>
        <v>item_mglv_Wagon_Gen7M_Silo_Type1</v>
      </c>
      <c r="O583" s="31" t="str">
        <f>"str_"&amp;CONTROL[[#This Row],[VEHIDCODE]]</f>
        <v>str_mglv_Wagon_Gen7M_Silo_Type1</v>
      </c>
    </row>
    <row r="584" spans="1:15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t="s">
        <v>3050</v>
      </c>
      <c r="G584" t="s">
        <v>1749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ISNUMBER(_xlfn.XMATCH(CONTROL[[#This Row],[VEHIDCODE]],GRAPHICS_PROPERTIES[VEHIDCODE],0))</f>
        <v>1</v>
      </c>
      <c r="N584" s="31" t="str">
        <f>"item_"&amp;CONTROL[[#This Row],[VEHIDCODE]]</f>
        <v>item_mglv_Wagon_Gen7M_Silo_Type2</v>
      </c>
      <c r="O584" s="31" t="str">
        <f>"str_"&amp;CONTROL[[#This Row],[VEHIDCODE]]</f>
        <v>str_mglv_Wagon_Gen7M_Silo_Type2</v>
      </c>
    </row>
    <row r="585" spans="1:15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t="s">
        <v>1544</v>
      </c>
      <c r="G585" t="s">
        <v>1749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ISNUMBER(_xlfn.XMATCH(CONTROL[[#This Row],[VEHIDCODE]],GRAPHICS_PROPERTIES[VEHIDCODE],0))</f>
        <v>1</v>
      </c>
      <c r="N585" s="31" t="str">
        <f>"item_"&amp;CONTROL[[#This Row],[VEHIDCODE]]</f>
        <v>item_mglv_Wagon_Gen7M_Superheavy_Flatcar</v>
      </c>
      <c r="O585" s="31" t="str">
        <f>"str_"&amp;CONTROL[[#This Row],[VEHIDCODE]]</f>
        <v>str_mglv_Wagon_Gen7M_Superheavy_Flatcar</v>
      </c>
    </row>
    <row r="586" spans="1:15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t="s">
        <v>1545</v>
      </c>
      <c r="G586" t="s">
        <v>1749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ISNUMBER(_xlfn.XMATCH(CONTROL[[#This Row],[VEHIDCODE]],GRAPHICS_PROPERTIES[VEHIDCODE],0))</f>
        <v>1</v>
      </c>
      <c r="N586" s="31" t="str">
        <f>"item_"&amp;CONTROL[[#This Row],[VEHIDCODE]]</f>
        <v>item_mglv_Wagon_Gen7M_Tanker</v>
      </c>
      <c r="O586" s="31" t="str">
        <f>"str_"&amp;CONTROL[[#This Row],[VEHIDCODE]]</f>
        <v>str_mglv_Wagon_Gen7M_Tanker</v>
      </c>
    </row>
    <row r="587" spans="1:15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t="s">
        <v>1546</v>
      </c>
      <c r="G587" t="s">
        <v>2944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ISNUMBER(_xlfn.XMATCH(CONTROL[[#This Row],[VEHIDCODE]],GRAPHICS_PROPERTIES[VEHIDCODE],0))</f>
        <v>1</v>
      </c>
      <c r="N587" s="31" t="str">
        <f>"item_"&amp;CONTROL[[#This Row],[VEHIDCODE]]</f>
        <v>item_rbd_Japan_JR_Shikoku_1000</v>
      </c>
      <c r="O587" s="31" t="str">
        <f>"str_"&amp;CONTROL[[#This Row],[VEHIDCODE]]</f>
        <v>str_rbd_Japan_JR_Shikoku_1000</v>
      </c>
    </row>
    <row r="588" spans="1:15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t="s">
        <v>1547</v>
      </c>
      <c r="G588" t="s">
        <v>2945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ISNUMBER(_xlfn.XMATCH(CONTROL[[#This Row],[VEHIDCODE]],GRAPHICS_PROPERTIES[VEHIDCODE],0))</f>
        <v>1</v>
      </c>
      <c r="N588" s="31" t="str">
        <f>"item_"&amp;CONTROL[[#This Row],[VEHIDCODE]]</f>
        <v>item_rbd_Japan_JR_KiHa_E120</v>
      </c>
      <c r="O588" s="31" t="str">
        <f>"str_"&amp;CONTROL[[#This Row],[VEHIDCODE]]</f>
        <v>str_rbd_Japan_JR_KiHa_E120</v>
      </c>
    </row>
    <row r="589" spans="1:15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t="s">
        <v>2272</v>
      </c>
      <c r="G589" t="s">
        <v>1749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ISNUMBER(_xlfn.XMATCH(CONTROL[[#This Row],[VEHIDCODE]],GRAPHICS_PROPERTIES[VEHIDCODE],0))</f>
        <v>1</v>
      </c>
      <c r="N589" s="31" t="str">
        <f>"item_"&amp;CONTROL[[#This Row],[VEHIDCODE]]</f>
        <v>item_rbd_Chile_EFE_Buscarril</v>
      </c>
      <c r="O589" s="31" t="str">
        <f>"str_"&amp;CONTROL[[#This Row],[VEHIDCODE]]</f>
        <v>str_rbd_Chile_EFE_Buscarril</v>
      </c>
    </row>
    <row r="590" spans="1:15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t="s">
        <v>1548</v>
      </c>
      <c r="G590" t="s">
        <v>2947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ISNUMBER(_xlfn.XMATCH(CONTROL[[#This Row],[VEHIDCODE]],GRAPHICS_PROPERTIES[VEHIDCODE],0))</f>
        <v>1</v>
      </c>
      <c r="N590" s="31" t="str">
        <f>"item_"&amp;CONTROL[[#This Row],[VEHIDCODE]]</f>
        <v>item_rbd_Argentina_FCPBA_M_Railcar</v>
      </c>
      <c r="O590" s="31" t="str">
        <f>"str_"&amp;CONTROL[[#This Row],[VEHIDCODE]]</f>
        <v>str_rbd_Argentina_FCPBA_M_Railcar</v>
      </c>
    </row>
    <row r="591" spans="1:15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t="s">
        <v>1549</v>
      </c>
      <c r="G591" t="s">
        <v>2946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ISNUMBER(_xlfn.XMATCH(CONTROL[[#This Row],[VEHIDCODE]],GRAPHICS_PROPERTIES[VEHIDCODE],0))</f>
        <v>1</v>
      </c>
      <c r="N591" s="31" t="str">
        <f>"item_"&amp;CONTROL[[#This Row],[VEHIDCODE]]</f>
        <v>item_rbd_Eritrea_Eritrean_Railway_A62_70_Littorina</v>
      </c>
      <c r="O591" s="31" t="str">
        <f>"str_"&amp;CONTROL[[#This Row],[VEHIDCODE]]</f>
        <v>str_rbd_Eritrea_Eritrean_Railway_A62_70_Littorina</v>
      </c>
    </row>
    <row r="592" spans="1:15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t="s">
        <v>1550</v>
      </c>
      <c r="G592" t="s">
        <v>2948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ISNUMBER(_xlfn.XMATCH(CONTROL[[#This Row],[VEHIDCODE]],GRAPHICS_PROPERTIES[VEHIDCODE],0))</f>
        <v>1</v>
      </c>
      <c r="N592" s="31" t="str">
        <f>"item_"&amp;CONTROL[[#This Row],[VEHIDCODE]]</f>
        <v>item_rbe_Switzerland_AB_CFe_3_3</v>
      </c>
      <c r="O592" s="31" t="str">
        <f>"str_"&amp;CONTROL[[#This Row],[VEHIDCODE]]</f>
        <v>str_rbe_Switzerland_AB_CFe_3_3</v>
      </c>
    </row>
    <row r="593" spans="1:15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t="s">
        <v>1551</v>
      </c>
      <c r="G593" t="s">
        <v>1749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ISNUMBER(_xlfn.XMATCH(CONTROL[[#This Row],[VEHIDCODE]],GRAPHICS_PROPERTIES[VEHIDCODE],0))</f>
        <v>1</v>
      </c>
      <c r="N593" s="31" t="str">
        <f>"item_"&amp;CONTROL[[#This Row],[VEHIDCODE]]</f>
        <v>item_rbe_Switzerland_TPC_BVB_Be_2_2</v>
      </c>
      <c r="O593" s="31" t="str">
        <f>"str_"&amp;CONTROL[[#This Row],[VEHIDCODE]]</f>
        <v>str_rbe_Switzerland_TPC_BVB_Be_2_2</v>
      </c>
    </row>
    <row r="594" spans="1:15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t="s">
        <v>1552</v>
      </c>
      <c r="G594" t="s">
        <v>2949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ISNUMBER(_xlfn.XMATCH(CONTROL[[#This Row],[VEHIDCODE]],GRAPHICS_PROPERTIES[VEHIDCODE],0))</f>
        <v>1</v>
      </c>
      <c r="N594" s="31" t="str">
        <f>"item_"&amp;CONTROL[[#This Row],[VEHIDCODE]]</f>
        <v>item_rbe_Switzerland_MVR_Beh_2_4</v>
      </c>
      <c r="O594" s="31" t="str">
        <f>"str_"&amp;CONTROL[[#This Row],[VEHIDCODE]]</f>
        <v>str_rbe_Switzerland_MVR_Beh_2_4</v>
      </c>
    </row>
    <row r="595" spans="1:15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t="s">
        <v>1553</v>
      </c>
      <c r="G595" t="s">
        <v>2950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ISNUMBER(_xlfn.XMATCH(CONTROL[[#This Row],[VEHIDCODE]],GRAPHICS_PROPERTIES[VEHIDCODE],0))</f>
        <v>1</v>
      </c>
      <c r="N595" s="31" t="str">
        <f>"item_"&amp;CONTROL[[#This Row],[VEHIDCODE]]</f>
        <v>item_rbe_Spain_Ferrocarril_de_Soller_1_3</v>
      </c>
      <c r="O595" s="31" t="str">
        <f>"str_"&amp;CONTROL[[#This Row],[VEHIDCODE]]</f>
        <v>str_rbe_Spain_Ferrocarril_de_Soller_1_3</v>
      </c>
    </row>
    <row r="596" spans="1:15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t="s">
        <v>1554</v>
      </c>
      <c r="G596" t="s">
        <v>2951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ISNUMBER(_xlfn.XMATCH(CONTROL[[#This Row],[VEHIDCODE]],GRAPHICS_PROPERTIES[VEHIDCODE],0))</f>
        <v>1</v>
      </c>
      <c r="N596" s="31" t="str">
        <f>"item_"&amp;CONTROL[[#This Row],[VEHIDCODE]]</f>
        <v>item_rbe_Japan_Choshi_DeHa_1000</v>
      </c>
      <c r="O596" s="31" t="str">
        <f>"str_"&amp;CONTROL[[#This Row],[VEHIDCODE]]</f>
        <v>str_rbe_Japan_Choshi_DeHa_1000</v>
      </c>
    </row>
    <row r="597" spans="1:15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t="s">
        <v>1555</v>
      </c>
      <c r="G597" t="s">
        <v>2952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ISNUMBER(_xlfn.XMATCH(CONTROL[[#This Row],[VEHIDCODE]],GRAPHICS_PROPERTIES[VEHIDCODE],0))</f>
        <v>1</v>
      </c>
      <c r="N597" s="31" t="str">
        <f>"item_"&amp;CONTROL[[#This Row],[VEHIDCODE]]</f>
        <v>item_steam_Switzerland_RhB_G_3_4</v>
      </c>
      <c r="O597" s="31" t="str">
        <f>"str_"&amp;CONTROL[[#This Row],[VEHIDCODE]]</f>
        <v>str_steam_Switzerland_RhB_G_3_4</v>
      </c>
    </row>
    <row r="598" spans="1:15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t="s">
        <v>1556</v>
      </c>
      <c r="G598" t="s">
        <v>2953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ISNUMBER(_xlfn.XMATCH(CONTROL[[#This Row],[VEHIDCODE]],GRAPHICS_PROPERTIES[VEHIDCODE],0))</f>
        <v>1</v>
      </c>
      <c r="N598" s="31" t="str">
        <f>"item_"&amp;CONTROL[[#This Row],[VEHIDCODE]]</f>
        <v>item_steam_Japan_JNR_Class_E10</v>
      </c>
      <c r="O598" s="31" t="str">
        <f>"str_"&amp;CONTROL[[#This Row],[VEHIDCODE]]</f>
        <v>str_steam_Japan_JNR_Class_E10</v>
      </c>
    </row>
    <row r="599" spans="1:15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t="s">
        <v>1557</v>
      </c>
      <c r="G599" t="s">
        <v>2954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ISNUMBER(_xlfn.XMATCH(CONTROL[[#This Row],[VEHIDCODE]],GRAPHICS_PROPERTIES[VEHIDCODE],0))</f>
        <v>1</v>
      </c>
      <c r="N599" s="31" t="str">
        <f>"item_"&amp;CONTROL[[#This Row],[VEHIDCODE]]</f>
        <v>item_steam_Japan_JNR_7100</v>
      </c>
      <c r="O599" s="31" t="str">
        <f>"str_"&amp;CONTROL[[#This Row],[VEHIDCODE]]</f>
        <v>str_steam_Japan_JNR_7100</v>
      </c>
    </row>
    <row r="600" spans="1:15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t="s">
        <v>1558</v>
      </c>
      <c r="G600" t="s">
        <v>2955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ISNUMBER(_xlfn.XMATCH(CONTROL[[#This Row],[VEHIDCODE]],GRAPHICS_PROPERTIES[VEHIDCODE],0))</f>
        <v>1</v>
      </c>
      <c r="N600" s="31" t="str">
        <f>"item_"&amp;CONTROL[[#This Row],[VEHIDCODE]]</f>
        <v>item_steam_Japan_JNR_860</v>
      </c>
      <c r="O600" s="31" t="str">
        <f>"str_"&amp;CONTROL[[#This Row],[VEHIDCODE]]</f>
        <v>str_steam_Japan_JNR_860</v>
      </c>
    </row>
    <row r="601" spans="1:15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t="s">
        <v>1559</v>
      </c>
      <c r="G601" t="s">
        <v>2956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ISNUMBER(_xlfn.XMATCH(CONTROL[[#This Row],[VEHIDCODE]],GRAPHICS_PROPERTIES[VEHIDCODE],0))</f>
        <v>1</v>
      </c>
      <c r="N601" s="31" t="str">
        <f>"item_"&amp;CONTROL[[#This Row],[VEHIDCODE]]</f>
        <v>item_steam_Japan_JNR_9600</v>
      </c>
      <c r="O601" s="31" t="str">
        <f>"str_"&amp;CONTROL[[#This Row],[VEHIDCODE]]</f>
        <v>str_steam_Japan_JNR_9600</v>
      </c>
    </row>
    <row r="602" spans="1:15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t="s">
        <v>1560</v>
      </c>
      <c r="G602" t="s">
        <v>2957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ISNUMBER(_xlfn.XMATCH(CONTROL[[#This Row],[VEHIDCODE]],GRAPHICS_PROPERTIES[VEHIDCODE],0))</f>
        <v>1</v>
      </c>
      <c r="N602" s="31" t="str">
        <f>"item_"&amp;CONTROL[[#This Row],[VEHIDCODE]]</f>
        <v>item_steam_Japan_JNR_D50</v>
      </c>
      <c r="O602" s="31" t="str">
        <f>"str_"&amp;CONTROL[[#This Row],[VEHIDCODE]]</f>
        <v>str_steam_Japan_JNR_D50</v>
      </c>
    </row>
    <row r="603" spans="1:15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t="s">
        <v>1561</v>
      </c>
      <c r="G603" t="s">
        <v>2958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ISNUMBER(_xlfn.XMATCH(CONTROL[[#This Row],[VEHIDCODE]],GRAPHICS_PROPERTIES[VEHIDCODE],0))</f>
        <v>1</v>
      </c>
      <c r="N603" s="31" t="str">
        <f>"item_"&amp;CONTROL[[#This Row],[VEHIDCODE]]</f>
        <v>item_diesel_Japan_JNR_DF50</v>
      </c>
      <c r="O603" s="31" t="str">
        <f>"str_"&amp;CONTROL[[#This Row],[VEHIDCODE]]</f>
        <v>str_diesel_Japan_JNR_DF50</v>
      </c>
    </row>
    <row r="604" spans="1:15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t="s">
        <v>1562</v>
      </c>
      <c r="G604" t="s">
        <v>2959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ISNUMBER(_xlfn.XMATCH(CONTROL[[#This Row],[VEHIDCODE]],GRAPHICS_PROPERTIES[VEHIDCODE],0))</f>
        <v>1</v>
      </c>
      <c r="N604" s="31" t="str">
        <f>"item_"&amp;CONTROL[[#This Row],[VEHIDCODE]]</f>
        <v>item_electric_Switzerland_RhB_DE_2_2</v>
      </c>
      <c r="O604" s="31" t="str">
        <f>"str_"&amp;CONTROL[[#This Row],[VEHIDCODE]]</f>
        <v>str_electric_Switzerland_RhB_DE_2_2</v>
      </c>
    </row>
    <row r="605" spans="1:15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t="s">
        <v>1563</v>
      </c>
      <c r="G605" t="s">
        <v>2960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ISNUMBER(_xlfn.XMATCH(CONTROL[[#This Row],[VEHIDCODE]],GRAPHICS_PROPERTIES[VEHIDCODE],0))</f>
        <v>1</v>
      </c>
      <c r="N605" s="31" t="str">
        <f>"item_"&amp;CONTROL[[#This Row],[VEHIDCODE]]</f>
        <v>item_electric_Japan_JNR_EH10</v>
      </c>
      <c r="O605" s="31" t="str">
        <f>"str_"&amp;CONTROL[[#This Row],[VEHIDCODE]]</f>
        <v>str_electric_Japan_JNR_EH10</v>
      </c>
    </row>
    <row r="606" spans="1:15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t="s">
        <v>1564</v>
      </c>
      <c r="G606" t="s">
        <v>2961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ISNUMBER(_xlfn.XMATCH(CONTROL[[#This Row],[VEHIDCODE]],GRAPHICS_PROPERTIES[VEHIDCODE],0))</f>
        <v>1</v>
      </c>
      <c r="N606" s="31" t="str">
        <f>"item_"&amp;CONTROL[[#This Row],[VEHIDCODE]]</f>
        <v>item_electric_Japan_JNR_EF64</v>
      </c>
      <c r="O606" s="31" t="str">
        <f>"str_"&amp;CONTROL[[#This Row],[VEHIDCODE]]</f>
        <v>str_electric_Japan_JNR_EF64</v>
      </c>
    </row>
    <row r="607" spans="1:15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t="s">
        <v>1565</v>
      </c>
      <c r="G607" t="s">
        <v>2962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ISNUMBER(_xlfn.XMATCH(CONTROL[[#This Row],[VEHIDCODE]],GRAPHICS_PROPERTIES[VEHIDCODE],0))</f>
        <v>1</v>
      </c>
      <c r="N607" s="31" t="str">
        <f>"item_"&amp;CONTROL[[#This Row],[VEHIDCODE]]</f>
        <v>item_electric_New_Zealand_NZR_EO_Class</v>
      </c>
      <c r="O607" s="31" t="str">
        <f>"str_"&amp;CONTROL[[#This Row],[VEHIDCODE]]</f>
        <v>str_electric_New_Zealand_NZR_EO_Class</v>
      </c>
    </row>
    <row r="608" spans="1:15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t="s">
        <v>1566</v>
      </c>
      <c r="G608" t="s">
        <v>2963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ISNUMBER(_xlfn.XMATCH(CONTROL[[#This Row],[VEHIDCODE]],GRAPHICS_PROPERTIES[VEHIDCODE],0))</f>
        <v>1</v>
      </c>
      <c r="N608" s="31" t="str">
        <f>"item_"&amp;CONTROL[[#This Row],[VEHIDCODE]]</f>
        <v>item_electric_Australia_NSWGR_71</v>
      </c>
      <c r="O608" s="31" t="str">
        <f>"str_"&amp;CONTROL[[#This Row],[VEHIDCODE]]</f>
        <v>str_electric_Australia_NSWGR_71</v>
      </c>
    </row>
    <row r="609" spans="1:15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t="s">
        <v>1567</v>
      </c>
      <c r="G609" t="s">
        <v>2964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ISNUMBER(_xlfn.XMATCH(CONTROL[[#This Row],[VEHIDCODE]],GRAPHICS_PROPERTIES[VEHIDCODE],0))</f>
        <v>1</v>
      </c>
      <c r="N609" s="31" t="str">
        <f>"item_"&amp;CONTROL[[#This Row],[VEHIDCODE]]</f>
        <v>item_electric_South_Africa_SAR_4E</v>
      </c>
      <c r="O609" s="31" t="str">
        <f>"str_"&amp;CONTROL[[#This Row],[VEHIDCODE]]</f>
        <v>str_electric_South_Africa_SAR_4E</v>
      </c>
    </row>
    <row r="610" spans="1:15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t="s">
        <v>1568</v>
      </c>
      <c r="G610" t="s">
        <v>2965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ISNUMBER(_xlfn.XMATCH(CONTROL[[#This Row],[VEHIDCODE]],GRAPHICS_PROPERTIES[VEHIDCODE],0))</f>
        <v>1</v>
      </c>
      <c r="N610" s="31" t="str">
        <f>"item_"&amp;CONTROL[[#This Row],[VEHIDCODE]]</f>
        <v>item_electric_South_Africa_SAR_5E1</v>
      </c>
      <c r="O610" s="31" t="str">
        <f>"str_"&amp;CONTROL[[#This Row],[VEHIDCODE]]</f>
        <v>str_electric_South_Africa_SAR_5E1</v>
      </c>
    </row>
    <row r="611" spans="1:15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t="s">
        <v>1569</v>
      </c>
      <c r="G611" t="s">
        <v>2966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ISNUMBER(_xlfn.XMATCH(CONTROL[[#This Row],[VEHIDCODE]],GRAPHICS_PROPERTIES[VEHIDCODE],0))</f>
        <v>1</v>
      </c>
      <c r="N611" s="31" t="str">
        <f>"item_"&amp;CONTROL[[#This Row],[VEHIDCODE]]</f>
        <v>item_electric_South_Africa_SAR_6E</v>
      </c>
      <c r="O611" s="31" t="str">
        <f>"str_"&amp;CONTROL[[#This Row],[VEHIDCODE]]</f>
        <v>str_electric_South_Africa_SAR_6E</v>
      </c>
    </row>
    <row r="612" spans="1:15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t="s">
        <v>1570</v>
      </c>
      <c r="G612" t="s">
        <v>2969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ISNUMBER(_xlfn.XMATCH(CONTROL[[#This Row],[VEHIDCODE]],GRAPHICS_PROPERTIES[VEHIDCODE],0))</f>
        <v>1</v>
      </c>
      <c r="N612" s="31" t="str">
        <f>"item_"&amp;CONTROL[[#This Row],[VEHIDCODE]]</f>
        <v>item_electric_Switzerland_RhB_Ge_4_4_I</v>
      </c>
      <c r="O612" s="31" t="str">
        <f>"str_"&amp;CONTROL[[#This Row],[VEHIDCODE]]</f>
        <v>str_electric_Switzerland_RhB_Ge_4_4_I</v>
      </c>
    </row>
    <row r="613" spans="1:15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t="s">
        <v>1571</v>
      </c>
      <c r="G613" t="s">
        <v>2970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ISNUMBER(_xlfn.XMATCH(CONTROL[[#This Row],[VEHIDCODE]],GRAPHICS_PROPERTIES[VEHIDCODE],0))</f>
        <v>1</v>
      </c>
      <c r="N613" s="31" t="str">
        <f>"item_"&amp;CONTROL[[#This Row],[VEHIDCODE]]</f>
        <v>item_electric_Switzerland_RhB_Ge_6_6_Krokodil</v>
      </c>
      <c r="O613" s="31" t="str">
        <f>"str_"&amp;CONTROL[[#This Row],[VEHIDCODE]]</f>
        <v>str_electric_Switzerland_RhB_Ge_6_6_Krokodil</v>
      </c>
    </row>
    <row r="614" spans="1:15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t="s">
        <v>2971</v>
      </c>
      <c r="G614" t="s">
        <v>1749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ISNUMBER(_xlfn.XMATCH(CONTROL[[#This Row],[VEHIDCODE]],GRAPHICS_PROPERTIES[VEHIDCODE],0))</f>
        <v>1</v>
      </c>
      <c r="N614" s="31" t="str">
        <f>"item_"&amp;CONTROL[[#This Row],[VEHIDCODE]]</f>
        <v>item_electric_Brasil_MRS_He_4_4</v>
      </c>
      <c r="O614" s="31" t="str">
        <f>"str_"&amp;CONTROL[[#This Row],[VEHIDCODE]]</f>
        <v>str_electric_Brasil_MRS_He_4_4</v>
      </c>
    </row>
    <row r="615" spans="1:15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t="s">
        <v>1572</v>
      </c>
      <c r="G615" t="s">
        <v>2967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ISNUMBER(_xlfn.XMATCH(CONTROL[[#This Row],[VEHIDCODE]],GRAPHICS_PROPERTIES[VEHIDCODE],0))</f>
        <v>1</v>
      </c>
      <c r="N615" s="31" t="str">
        <f>"item_"&amp;CONTROL[[#This Row],[VEHIDCODE]]</f>
        <v>item_electric_South_Africa_SAR_7E</v>
      </c>
      <c r="O615" s="31" t="str">
        <f>"str_"&amp;CONTROL[[#This Row],[VEHIDCODE]]</f>
        <v>str_electric_South_Africa_SAR_7E</v>
      </c>
    </row>
    <row r="616" spans="1:15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t="s">
        <v>1573</v>
      </c>
      <c r="G616" t="s">
        <v>2968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ISNUMBER(_xlfn.XMATCH(CONTROL[[#This Row],[VEHIDCODE]],GRAPHICS_PROPERTIES[VEHIDCODE],0))</f>
        <v>1</v>
      </c>
      <c r="N616" s="31" t="str">
        <f>"item_"&amp;CONTROL[[#This Row],[VEHIDCODE]]</f>
        <v>item_electric_South_Africa_SAR_11E</v>
      </c>
      <c r="O616" s="31" t="str">
        <f>"str_"&amp;CONTROL[[#This Row],[VEHIDCODE]]</f>
        <v>str_electric_South_Africa_SAR_11E</v>
      </c>
    </row>
    <row r="617" spans="1:15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t="s">
        <v>1574</v>
      </c>
      <c r="G617" t="s">
        <v>2972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ISNUMBER(_xlfn.XMATCH(CONTROL[[#This Row],[VEHIDCODE]],GRAPHICS_PROPERTIES[VEHIDCODE],0))</f>
        <v>1</v>
      </c>
      <c r="N617" s="31" t="str">
        <f>"item_"&amp;CONTROL[[#This Row],[VEHIDCODE]]</f>
        <v>item_electric_New_Zealand_TranzRail_EF</v>
      </c>
      <c r="O617" s="31" t="str">
        <f>"str_"&amp;CONTROL[[#This Row],[VEHIDCODE]]</f>
        <v>str_electric_New_Zealand_TranzRail_EF</v>
      </c>
    </row>
    <row r="618" spans="1:15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t="s">
        <v>1575</v>
      </c>
      <c r="G618" t="s">
        <v>2913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ISNUMBER(_xlfn.XMATCH(CONTROL[[#This Row],[VEHIDCODE]],GRAPHICS_PROPERTIES[VEHIDCODE],0))</f>
        <v>1</v>
      </c>
      <c r="N618" s="31" t="str">
        <f>"item_"&amp;CONTROL[[#This Row],[VEHIDCODE]]</f>
        <v>item_emu_Japan_Odakyu_3100_Series_Romance</v>
      </c>
      <c r="O618" s="31" t="str">
        <f>"str_"&amp;CONTROL[[#This Row],[VEHIDCODE]]</f>
        <v>str_emu_Japan_Odakyu_3100_Series_Romance</v>
      </c>
    </row>
    <row r="619" spans="1:15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t="s">
        <v>1576</v>
      </c>
      <c r="G619" t="s">
        <v>2914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ISNUMBER(_xlfn.XMATCH(CONTROL[[#This Row],[VEHIDCODE]],GRAPHICS_PROPERTIES[VEHIDCODE],0))</f>
        <v>1</v>
      </c>
      <c r="N619" s="31" t="str">
        <f>"item_"&amp;CONTROL[[#This Row],[VEHIDCODE]]</f>
        <v>item_emu_Japan_Odakyu_10000_Series_Romance</v>
      </c>
      <c r="O619" s="31" t="str">
        <f>"str_"&amp;CONTROL[[#This Row],[VEHIDCODE]]</f>
        <v>str_emu_Japan_Odakyu_10000_Series_Romance</v>
      </c>
    </row>
    <row r="620" spans="1:15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t="s">
        <v>1577</v>
      </c>
      <c r="G620" t="s">
        <v>2915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ISNUMBER(_xlfn.XMATCH(CONTROL[[#This Row],[VEHIDCODE]],GRAPHICS_PROPERTIES[VEHIDCODE],0))</f>
        <v>1</v>
      </c>
      <c r="N620" s="31" t="str">
        <f>"item_"&amp;CONTROL[[#This Row],[VEHIDCODE]]</f>
        <v>item_emu_Australia_Sydney_Trains_S_Set</v>
      </c>
      <c r="O620" s="31" t="str">
        <f>"str_"&amp;CONTROL[[#This Row],[VEHIDCODE]]</f>
        <v>str_emu_Australia_Sydney_Trains_S_Set</v>
      </c>
    </row>
    <row r="621" spans="1:15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t="s">
        <v>1578</v>
      </c>
      <c r="G621" t="s">
        <v>2916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ISNUMBER(_xlfn.XMATCH(CONTROL[[#This Row],[VEHIDCODE]],GRAPHICS_PROPERTIES[VEHIDCODE],0))</f>
        <v>1</v>
      </c>
      <c r="N621" s="31" t="str">
        <f>"item_"&amp;CONTROL[[#This Row],[VEHIDCODE]]</f>
        <v>item_emu_Australia_Sydney_Trains_OSCars</v>
      </c>
      <c r="O621" s="31" t="str">
        <f>"str_"&amp;CONTROL[[#This Row],[VEHIDCODE]]</f>
        <v>str_emu_Australia_Sydney_Trains_OSCars</v>
      </c>
    </row>
    <row r="622" spans="1:15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t="s">
        <v>1579</v>
      </c>
      <c r="G622" t="s">
        <v>2917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ISNUMBER(_xlfn.XMATCH(CONTROL[[#This Row],[VEHIDCODE]],GRAPHICS_PROPERTIES[VEHIDCODE],0))</f>
        <v>1</v>
      </c>
      <c r="N622" s="31" t="str">
        <f>"item_"&amp;CONTROL[[#This Row],[VEHIDCODE]]</f>
        <v>item_emu_Australia_Victorian_Railways_Swing_Door</v>
      </c>
      <c r="O622" s="31" t="str">
        <f>"str_"&amp;CONTROL[[#This Row],[VEHIDCODE]]</f>
        <v>str_emu_Australia_Victorian_Railways_Swing_Door</v>
      </c>
    </row>
    <row r="623" spans="1:15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t="s">
        <v>1580</v>
      </c>
      <c r="G623" t="s">
        <v>2918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ISNUMBER(_xlfn.XMATCH(CONTROL[[#This Row],[VEHIDCODE]],GRAPHICS_PROPERTIES[VEHIDCODE],0))</f>
        <v>1</v>
      </c>
      <c r="N623" s="31" t="str">
        <f>"item_"&amp;CONTROL[[#This Row],[VEHIDCODE]]</f>
        <v>item_emu_New_Zealand_NZR_EM_ET_Class</v>
      </c>
      <c r="O623" s="31" t="str">
        <f>"str_"&amp;CONTROL[[#This Row],[VEHIDCODE]]</f>
        <v>str_emu_New_Zealand_NZR_EM_ET_Class</v>
      </c>
    </row>
    <row r="624" spans="1:15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t="s">
        <v>1581</v>
      </c>
      <c r="G624" t="s">
        <v>2919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ISNUMBER(_xlfn.XMATCH(CONTROL[[#This Row],[VEHIDCODE]],GRAPHICS_PROPERTIES[VEHIDCODE],0))</f>
        <v>1</v>
      </c>
      <c r="N624" s="31" t="str">
        <f>"item_"&amp;CONTROL[[#This Row],[VEHIDCODE]]</f>
        <v>item_emu_South_Africa_SAR_5M2</v>
      </c>
      <c r="O624" s="31" t="str">
        <f>"str_"&amp;CONTROL[[#This Row],[VEHIDCODE]]</f>
        <v>str_emu_South_Africa_SAR_5M2</v>
      </c>
    </row>
    <row r="625" spans="1:15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t="s">
        <v>1582</v>
      </c>
      <c r="G625" t="s">
        <v>2920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ISNUMBER(_xlfn.XMATCH(CONTROL[[#This Row],[VEHIDCODE]],GRAPHICS_PROPERTIES[VEHIDCODE],0))</f>
        <v>1</v>
      </c>
      <c r="N625" s="31" t="str">
        <f>"item_"&amp;CONTROL[[#This Row],[VEHIDCODE]]</f>
        <v>item_emu_Chile_EFE_XTrapolis_100</v>
      </c>
      <c r="O625" s="31" t="str">
        <f>"str_"&amp;CONTROL[[#This Row],[VEHIDCODE]]</f>
        <v>str_emu_Chile_EFE_XTrapolis_100</v>
      </c>
    </row>
    <row r="626" spans="1:15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t="s">
        <v>1583</v>
      </c>
      <c r="G626" t="s">
        <v>2921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ISNUMBER(_xlfn.XMATCH(CONTROL[[#This Row],[VEHIDCODE]],GRAPHICS_PROPERTIES[VEHIDCODE],0))</f>
        <v>1</v>
      </c>
      <c r="N626" s="31" t="str">
        <f>"item_"&amp;CONTROL[[#This Row],[VEHIDCODE]]</f>
        <v>item_emu_Chile_EFE_AES_Railcar</v>
      </c>
      <c r="O626" s="31" t="str">
        <f>"str_"&amp;CONTROL[[#This Row],[VEHIDCODE]]</f>
        <v>str_emu_Chile_EFE_AES_Railcar</v>
      </c>
    </row>
    <row r="627" spans="1:15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t="s">
        <v>1584</v>
      </c>
      <c r="G627" t="s">
        <v>1749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ISNUMBER(_xlfn.XMATCH(CONTROL[[#This Row],[VEHIDCODE]],GRAPHICS_PROPERTIES[VEHIDCODE],0))</f>
        <v>1</v>
      </c>
      <c r="N627" s="31" t="str">
        <f>"item_"&amp;CONTROL[[#This Row],[VEHIDCODE]]</f>
        <v>item_emu_Tunisia_SNCFT_YZ_E</v>
      </c>
      <c r="O627" s="31" t="str">
        <f>"str_"&amp;CONTROL[[#This Row],[VEHIDCODE]]</f>
        <v>str_emu_Tunisia_SNCFT_YZ_E</v>
      </c>
    </row>
    <row r="628" spans="1:15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t="s">
        <v>1585</v>
      </c>
      <c r="G628" t="s">
        <v>2922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ISNUMBER(_xlfn.XMATCH(CONTROL[[#This Row],[VEHIDCODE]],GRAPHICS_PROPERTIES[VEHIDCODE],0))</f>
        <v>1</v>
      </c>
      <c r="N628" s="31" t="str">
        <f>"item_"&amp;CONTROL[[#This Row],[VEHIDCODE]]</f>
        <v>item_emu_Australia_Queensland_Rail_Tilt_Train</v>
      </c>
      <c r="O628" s="31" t="str">
        <f>"str_"&amp;CONTROL[[#This Row],[VEHIDCODE]]</f>
        <v>str_emu_Australia_Queensland_Rail_Tilt_Train</v>
      </c>
    </row>
    <row r="629" spans="1:15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t="s">
        <v>1586</v>
      </c>
      <c r="G629" t="s">
        <v>2928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ISNUMBER(_xlfn.XMATCH(CONTROL[[#This Row],[VEHIDCODE]],GRAPHICS_PROPERTIES[VEHIDCODE],0))</f>
        <v>1</v>
      </c>
      <c r="N629" s="31" t="str">
        <f>"item_"&amp;CONTROL[[#This Row],[VEHIDCODE]]</f>
        <v>item_electric_Russia_RZD_VL15</v>
      </c>
      <c r="O629" s="31" t="str">
        <f>"str_"&amp;CONTROL[[#This Row],[VEHIDCODE]]</f>
        <v>str_electric_Russia_RZD_VL15</v>
      </c>
    </row>
    <row r="630" spans="1:15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t="s">
        <v>1587</v>
      </c>
      <c r="G630" t="s">
        <v>2929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ISNUMBER(_xlfn.XMATCH(CONTROL[[#This Row],[VEHIDCODE]],GRAPHICS_PROPERTIES[VEHIDCODE],0))</f>
        <v>1</v>
      </c>
      <c r="N630" s="31" t="str">
        <f>"item_"&amp;CONTROL[[#This Row],[VEHIDCODE]]</f>
        <v>item_electric_Russia_RZD_VL11</v>
      </c>
      <c r="O630" s="31" t="str">
        <f>"str_"&amp;CONTROL[[#This Row],[VEHIDCODE]]</f>
        <v>str_electric_Russia_RZD_VL11</v>
      </c>
    </row>
    <row r="631" spans="1:15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t="s">
        <v>1588</v>
      </c>
      <c r="G631" t="s">
        <v>2930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ISNUMBER(_xlfn.XMATCH(CONTROL[[#This Row],[VEHIDCODE]],GRAPHICS_PROPERTIES[VEHIDCODE],0))</f>
        <v>1</v>
      </c>
      <c r="N631" s="31" t="str">
        <f>"item_"&amp;CONTROL[[#This Row],[VEHIDCODE]]</f>
        <v>item_electric_Russia_RZD_VL22M</v>
      </c>
      <c r="O631" s="31" t="str">
        <f>"str_"&amp;CONTROL[[#This Row],[VEHIDCODE]]</f>
        <v>str_electric_Russia_RZD_VL22M</v>
      </c>
    </row>
    <row r="632" spans="1:15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t="s">
        <v>1589</v>
      </c>
      <c r="G632" t="s">
        <v>2931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ISNUMBER(_xlfn.XMATCH(CONTROL[[#This Row],[VEHIDCODE]],GRAPHICS_PROPERTIES[VEHIDCODE],0))</f>
        <v>1</v>
      </c>
      <c r="N632" s="31" t="str">
        <f>"item_"&amp;CONTROL[[#This Row],[VEHIDCODE]]</f>
        <v>item_electric_Ukraine_UZ_DE1</v>
      </c>
      <c r="O632" s="31" t="str">
        <f>"str_"&amp;CONTROL[[#This Row],[VEHIDCODE]]</f>
        <v>str_electric_Ukraine_UZ_DE1</v>
      </c>
    </row>
    <row r="633" spans="1:15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t="s">
        <v>1590</v>
      </c>
      <c r="G633" t="s">
        <v>2932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ISNUMBER(_xlfn.XMATCH(CONTROL[[#This Row],[VEHIDCODE]],GRAPHICS_PROPERTIES[VEHIDCODE],0))</f>
        <v>1</v>
      </c>
      <c r="N633" s="31" t="str">
        <f>"item_"&amp;CONTROL[[#This Row],[VEHIDCODE]]</f>
        <v>item_electric_Russia_RZD_ChS3</v>
      </c>
      <c r="O633" s="31" t="str">
        <f>"str_"&amp;CONTROL[[#This Row],[VEHIDCODE]]</f>
        <v>str_electric_Russia_RZD_ChS3</v>
      </c>
    </row>
    <row r="634" spans="1:15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t="s">
        <v>1591</v>
      </c>
      <c r="G634" t="s">
        <v>2933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ISNUMBER(_xlfn.XMATCH(CONTROL[[#This Row],[VEHIDCODE]],GRAPHICS_PROPERTIES[VEHIDCODE],0))</f>
        <v>1</v>
      </c>
      <c r="N634" s="31" t="str">
        <f>"item_"&amp;CONTROL[[#This Row],[VEHIDCODE]]</f>
        <v>item_electric_Ukraine_UZ_ChS7</v>
      </c>
      <c r="O634" s="31" t="str">
        <f>"str_"&amp;CONTROL[[#This Row],[VEHIDCODE]]</f>
        <v>str_electric_Ukraine_UZ_ChS7</v>
      </c>
    </row>
    <row r="635" spans="1:15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t="s">
        <v>1592</v>
      </c>
      <c r="G635" t="s">
        <v>2934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ISNUMBER(_xlfn.XMATCH(CONTROL[[#This Row],[VEHIDCODE]],GRAPHICS_PROPERTIES[VEHIDCODE],0))</f>
        <v>1</v>
      </c>
      <c r="N635" s="31" t="str">
        <f>"item_"&amp;CONTROL[[#This Row],[VEHIDCODE]]</f>
        <v>item_electric_Brasil_RFFSA_GE_C_C_4400</v>
      </c>
      <c r="O635" s="31" t="str">
        <f>"str_"&amp;CONTROL[[#This Row],[VEHIDCODE]]</f>
        <v>str_electric_Brasil_RFFSA_GE_C_C_4400</v>
      </c>
    </row>
    <row r="636" spans="1:15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t="s">
        <v>1593</v>
      </c>
      <c r="G636" t="s">
        <v>2935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ISNUMBER(_xlfn.XMATCH(CONTROL[[#This Row],[VEHIDCODE]],GRAPHICS_PROPERTIES[VEHIDCODE],0))</f>
        <v>1</v>
      </c>
      <c r="N636" s="31" t="str">
        <f>"item_"&amp;CONTROL[[#This Row],[VEHIDCODE]]</f>
        <v>item_electric_Russia_RZD_VL85</v>
      </c>
      <c r="O636" s="31" t="str">
        <f>"str_"&amp;CONTROL[[#This Row],[VEHIDCODE]]</f>
        <v>str_electric_Russia_RZD_VL85</v>
      </c>
    </row>
    <row r="637" spans="1:15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t="s">
        <v>1594</v>
      </c>
      <c r="G637" t="s">
        <v>2936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ISNUMBER(_xlfn.XMATCH(CONTROL[[#This Row],[VEHIDCODE]],GRAPHICS_PROPERTIES[VEHIDCODE],0))</f>
        <v>1</v>
      </c>
      <c r="N637" s="31" t="str">
        <f>"item_"&amp;CONTROL[[#This Row],[VEHIDCODE]]</f>
        <v>item_electric_Russia_RZD_VL41</v>
      </c>
      <c r="O637" s="31" t="str">
        <f>"str_"&amp;CONTROL[[#This Row],[VEHIDCODE]]</f>
        <v>str_electric_Russia_RZD_VL41</v>
      </c>
    </row>
    <row r="638" spans="1:15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t="s">
        <v>1595</v>
      </c>
      <c r="G638" t="s">
        <v>2937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ISNUMBER(_xlfn.XMATCH(CONTROL[[#This Row],[VEHIDCODE]],GRAPHICS_PROPERTIES[VEHIDCODE],0))</f>
        <v>1</v>
      </c>
      <c r="N638" s="31" t="str">
        <f>"item_"&amp;CONTROL[[#This Row],[VEHIDCODE]]</f>
        <v>item_electric_India_Indian_Railways_WAP_4</v>
      </c>
      <c r="O638" s="31" t="str">
        <f>"str_"&amp;CONTROL[[#This Row],[VEHIDCODE]]</f>
        <v>str_electric_India_Indian_Railways_WAP_4</v>
      </c>
    </row>
    <row r="639" spans="1:15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t="s">
        <v>1596</v>
      </c>
      <c r="G639" t="s">
        <v>2938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ISNUMBER(_xlfn.XMATCH(CONTROL[[#This Row],[VEHIDCODE]],GRAPHICS_PROPERTIES[VEHIDCODE],0))</f>
        <v>1</v>
      </c>
      <c r="N639" s="31" t="str">
        <f>"item_"&amp;CONTROL[[#This Row],[VEHIDCODE]]</f>
        <v>item_electric_Finland_VR_Sr1</v>
      </c>
      <c r="O639" s="31" t="str">
        <f>"str_"&amp;CONTROL[[#This Row],[VEHIDCODE]]</f>
        <v>str_electric_Finland_VR_Sr1</v>
      </c>
    </row>
    <row r="640" spans="1:15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t="s">
        <v>1597</v>
      </c>
      <c r="G640" t="s">
        <v>2939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ISNUMBER(_xlfn.XMATCH(CONTROL[[#This Row],[VEHIDCODE]],GRAPHICS_PROPERTIES[VEHIDCODE],0))</f>
        <v>1</v>
      </c>
      <c r="N640" s="31" t="str">
        <f>"item_"&amp;CONTROL[[#This Row],[VEHIDCODE]]</f>
        <v>item_electric_Kazakhstan_KTZ_KZ4A</v>
      </c>
      <c r="O640" s="31" t="str">
        <f>"str_"&amp;CONTROL[[#This Row],[VEHIDCODE]]</f>
        <v>str_electric_Kazakhstan_KTZ_KZ4A</v>
      </c>
    </row>
    <row r="641" spans="1:15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t="s">
        <v>1598</v>
      </c>
      <c r="G641" t="s">
        <v>2940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ISNUMBER(_xlfn.XMATCH(CONTROL[[#This Row],[VEHIDCODE]],GRAPHICS_PROPERTIES[VEHIDCODE],0))</f>
        <v>1</v>
      </c>
      <c r="N641" s="31" t="str">
        <f>"item_"&amp;CONTROL[[#This Row],[VEHIDCODE]]</f>
        <v>item_electric_Kazakhstan_KTZ_KZ8A</v>
      </c>
      <c r="O641" s="31" t="str">
        <f>"str_"&amp;CONTROL[[#This Row],[VEHIDCODE]]</f>
        <v>str_electric_Kazakhstan_KTZ_KZ8A</v>
      </c>
    </row>
    <row r="642" spans="1:15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t="s">
        <v>1599</v>
      </c>
      <c r="G642" t="s">
        <v>2941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ISNUMBER(_xlfn.XMATCH(CONTROL[[#This Row],[VEHIDCODE]],GRAPHICS_PROPERTIES[VEHIDCODE],0))</f>
        <v>1</v>
      </c>
      <c r="N642" s="31" t="str">
        <f>"item_"&amp;CONTROL[[#This Row],[VEHIDCODE]]</f>
        <v>item_electric_Russia_RZD_EP20</v>
      </c>
      <c r="O642" s="31" t="str">
        <f>"str_"&amp;CONTROL[[#This Row],[VEHIDCODE]]</f>
        <v>str_electric_Russia_RZD_EP20</v>
      </c>
    </row>
    <row r="643" spans="1:15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t="s">
        <v>1600</v>
      </c>
      <c r="G643" t="s">
        <v>2942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ISNUMBER(_xlfn.XMATCH(CONTROL[[#This Row],[VEHIDCODE]],GRAPHICS_PROPERTIES[VEHIDCODE],0))</f>
        <v>1</v>
      </c>
      <c r="N643" s="31" t="str">
        <f>"item_"&amp;CONTROL[[#This Row],[VEHIDCODE]]</f>
        <v>item_rbd_Finland_VR_Dm7</v>
      </c>
      <c r="O643" s="31" t="str">
        <f>"str_"&amp;CONTROL[[#This Row],[VEHIDCODE]]</f>
        <v>str_rbd_Finland_VR_Dm7</v>
      </c>
    </row>
    <row r="644" spans="1:15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t="s">
        <v>1601</v>
      </c>
      <c r="G644" t="s">
        <v>2943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ISNUMBER(_xlfn.XMATCH(CONTROL[[#This Row],[VEHIDCODE]],GRAPHICS_PROPERTIES[VEHIDCODE],0))</f>
        <v>1</v>
      </c>
      <c r="N644" s="31" t="str">
        <f>"item_"&amp;CONTROL[[#This Row],[VEHIDCODE]]</f>
        <v>item_rbd_Russia_RZD_ACh2</v>
      </c>
      <c r="O644" s="31" t="str">
        <f>"str_"&amp;CONTROL[[#This Row],[VEHIDCODE]]</f>
        <v>str_rbd_Russia_RZD_ACh2</v>
      </c>
    </row>
    <row r="645" spans="1:15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t="s">
        <v>1602</v>
      </c>
      <c r="G645" t="s">
        <v>2923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ISNUMBER(_xlfn.XMATCH(CONTROL[[#This Row],[VEHIDCODE]],GRAPHICS_PROPERTIES[VEHIDCODE],0))</f>
        <v>1</v>
      </c>
      <c r="N645" s="31" t="str">
        <f>"item_"&amp;CONTROL[[#This Row],[VEHIDCODE]]</f>
        <v>item_emu_Russia_RZD_ER200</v>
      </c>
      <c r="O645" s="31" t="str">
        <f>"str_"&amp;CONTROL[[#This Row],[VEHIDCODE]]</f>
        <v>str_emu_Russia_RZD_ER200</v>
      </c>
    </row>
    <row r="646" spans="1:15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t="s">
        <v>1603</v>
      </c>
      <c r="G646" t="s">
        <v>2924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ISNUMBER(_xlfn.XMATCH(CONTROL[[#This Row],[VEHIDCODE]],GRAPHICS_PROPERTIES[VEHIDCODE],0))</f>
        <v>1</v>
      </c>
      <c r="N646" s="31" t="str">
        <f>"item_"&amp;CONTROL[[#This Row],[VEHIDCODE]]</f>
        <v>item_emu_Russia_RZD_S</v>
      </c>
      <c r="O646" s="31" t="str">
        <f>"str_"&amp;CONTROL[[#This Row],[VEHIDCODE]]</f>
        <v>str_emu_Russia_RZD_S</v>
      </c>
    </row>
    <row r="647" spans="1:15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t="s">
        <v>1604</v>
      </c>
      <c r="G647" t="s">
        <v>2925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ISNUMBER(_xlfn.XMATCH(CONTROL[[#This Row],[VEHIDCODE]],GRAPHICS_PROPERTIES[VEHIDCODE],0))</f>
        <v>1</v>
      </c>
      <c r="N647" s="31" t="str">
        <f>"item_"&amp;CONTROL[[#This Row],[VEHIDCODE]]</f>
        <v>item_emu_Croatia_HZ_6112</v>
      </c>
      <c r="O647" s="31" t="str">
        <f>"str_"&amp;CONTROL[[#This Row],[VEHIDCODE]]</f>
        <v>str_emu_Croatia_HZ_6112</v>
      </c>
    </row>
    <row r="648" spans="1:15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t="s">
        <v>1605</v>
      </c>
      <c r="G648" t="s">
        <v>2926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ISNUMBER(_xlfn.XMATCH(CONTROL[[#This Row],[VEHIDCODE]],GRAPHICS_PROPERTIES[VEHIDCODE],0))</f>
        <v>1</v>
      </c>
      <c r="N648" s="31" t="str">
        <f>"item_"&amp;CONTROL[[#This Row],[VEHIDCODE]]</f>
        <v>item_emu_Russia_RZD_ES1_Lastochka</v>
      </c>
      <c r="O648" s="31" t="str">
        <f>"str_"&amp;CONTROL[[#This Row],[VEHIDCODE]]</f>
        <v>str_emu_Russia_RZD_ES1_Lastochka</v>
      </c>
    </row>
    <row r="649" spans="1:15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971</v>
      </c>
      <c r="E649">
        <v>13003</v>
      </c>
      <c r="F649" t="s">
        <v>1606</v>
      </c>
      <c r="G649" t="s">
        <v>1749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ISNUMBER(_xlfn.XMATCH(CONTROL[[#This Row],[VEHIDCODE]],GRAPHICS_PROPERTIES[VEHIDCODE],0))</f>
        <v>1</v>
      </c>
      <c r="N649" s="31" t="str">
        <f>"item_"&amp;CONTROL[[#This Row],[VEHIDCODE]]</f>
        <v>item_mtro_Metro_Wagon_Powered</v>
      </c>
      <c r="O649" s="31" t="str">
        <f>"str_"&amp;CONTROL[[#This Row],[VEHIDCODE]]</f>
        <v>str_mtro_Metro_Wagon_Powered</v>
      </c>
    </row>
    <row r="650" spans="1:15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971</v>
      </c>
      <c r="E650">
        <v>13002</v>
      </c>
      <c r="F650" t="s">
        <v>1606</v>
      </c>
      <c r="G650" t="s">
        <v>1749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ISNUMBER(_xlfn.XMATCH(CONTROL[[#This Row],[VEHIDCODE]],GRAPHICS_PROPERTIES[VEHIDCODE],0))</f>
        <v>1</v>
      </c>
      <c r="N650" s="31" t="str">
        <f>"item_"&amp;CONTROL[[#This Row],[VEHIDCODE]]</f>
        <v>item_mtro_Metro_Wagon_Unpowered</v>
      </c>
      <c r="O650" s="31" t="str">
        <f>"str_"&amp;CONTROL[[#This Row],[VEHIDCODE]]</f>
        <v>str_mtro_Metro_Wagon_Unpowered</v>
      </c>
    </row>
    <row r="651" spans="1:15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973</v>
      </c>
      <c r="E651">
        <v>13007</v>
      </c>
      <c r="F651" t="s">
        <v>1607</v>
      </c>
      <c r="G651" t="s">
        <v>1749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ISNUMBER(_xlfn.XMATCH(CONTROL[[#This Row],[VEHIDCODE]],GRAPHICS_PROPERTIES[VEHIDCODE],0))</f>
        <v>1</v>
      </c>
      <c r="N651" s="31" t="str">
        <f>"item_"&amp;CONTROL[[#This Row],[VEHIDCODE]]</f>
        <v>item_mu_MU_Cargo_Wagon_Powered</v>
      </c>
      <c r="O651" s="31" t="str">
        <f>"str_"&amp;CONTROL[[#This Row],[VEHIDCODE]]</f>
        <v>str_mu_MU_Cargo_Wagon_Powered</v>
      </c>
    </row>
    <row r="652" spans="1:15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973</v>
      </c>
      <c r="E652">
        <v>13006</v>
      </c>
      <c r="F652" t="s">
        <v>1607</v>
      </c>
      <c r="G652" t="s">
        <v>1749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ISNUMBER(_xlfn.XMATCH(CONTROL[[#This Row],[VEHIDCODE]],GRAPHICS_PROPERTIES[VEHIDCODE],0))</f>
        <v>1</v>
      </c>
      <c r="N652" s="31" t="str">
        <f>"item_"&amp;CONTROL[[#This Row],[VEHIDCODE]]</f>
        <v>item_mu_MU_Cargo_Wagon_Unpowered</v>
      </c>
      <c r="O652" s="31" t="str">
        <f>"str_"&amp;CONTROL[[#This Row],[VEHIDCODE]]</f>
        <v>str_mu_MU_Cargo_Wagon_Unpowered</v>
      </c>
    </row>
    <row r="653" spans="1:15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958</v>
      </c>
      <c r="E653">
        <v>13001</v>
      </c>
      <c r="F653" t="s">
        <v>1608</v>
      </c>
      <c r="G653" t="s">
        <v>1749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ISNUMBER(_xlfn.XMATCH(CONTROL[[#This Row],[VEHIDCODE]],GRAPHICS_PROPERTIES[VEHIDCODE],0))</f>
        <v>1</v>
      </c>
      <c r="N653" s="31" t="str">
        <f>"item_"&amp;CONTROL[[#This Row],[VEHIDCODE]]</f>
        <v>item_mu_MU_Wagon_Powered</v>
      </c>
      <c r="O653" s="31" t="str">
        <f>"str_"&amp;CONTROL[[#This Row],[VEHIDCODE]]</f>
        <v>str_mu_MU_Wagon_Powered</v>
      </c>
    </row>
    <row r="654" spans="1:15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958</v>
      </c>
      <c r="E654">
        <v>13000</v>
      </c>
      <c r="F654" t="s">
        <v>1608</v>
      </c>
      <c r="G654" t="s">
        <v>1749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ISNUMBER(_xlfn.XMATCH(CONTROL[[#This Row],[VEHIDCODE]],GRAPHICS_PROPERTIES[VEHIDCODE],0))</f>
        <v>1</v>
      </c>
      <c r="N654" s="31" t="str">
        <f>"item_"&amp;CONTROL[[#This Row],[VEHIDCODE]]</f>
        <v>item_mu_MU_Wagon_Unpowered</v>
      </c>
      <c r="O654" s="31" t="str">
        <f>"str_"&amp;CONTROL[[#This Row],[VEHIDCODE]]</f>
        <v>str_mu_MU_Wagon_Unpowered</v>
      </c>
    </row>
    <row r="655" spans="1:15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t="s">
        <v>1609</v>
      </c>
      <c r="G655" t="s">
        <v>1749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ISNUMBER(_xlfn.XMATCH(CONTROL[[#This Row],[VEHIDCODE]],GRAPHICS_PROPERTIES[VEHIDCODE],0))</f>
        <v>1</v>
      </c>
      <c r="N655" s="31" t="str">
        <f>"item_"&amp;CONTROL[[#This Row],[VEHIDCODE]]</f>
        <v>item_mu_Wagon_Gen1_Flat_Wagon</v>
      </c>
      <c r="O655" s="31" t="str">
        <f>"str_"&amp;CONTROL[[#This Row],[VEHIDCODE]]</f>
        <v>str_mu_Wagon_Gen1_Flat_Wagon</v>
      </c>
    </row>
    <row r="656" spans="1:15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t="s">
        <v>1610</v>
      </c>
      <c r="G656" t="s">
        <v>1749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ISNUMBER(_xlfn.XMATCH(CONTROL[[#This Row],[VEHIDCODE]],GRAPHICS_PROPERTIES[VEHIDCODE],0))</f>
        <v>1</v>
      </c>
      <c r="N656" s="31" t="str">
        <f>"item_"&amp;CONTROL[[#This Row],[VEHIDCODE]]</f>
        <v>item_mu_Wagon_Gen1_Boxcar</v>
      </c>
      <c r="O656" s="31" t="str">
        <f>"str_"&amp;CONTROL[[#This Row],[VEHIDCODE]]</f>
        <v>str_mu_Wagon_Gen1_Boxcar</v>
      </c>
    </row>
    <row r="657" spans="1:15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t="s">
        <v>1611</v>
      </c>
      <c r="G657" t="s">
        <v>1749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ISNUMBER(_xlfn.XMATCH(CONTROL[[#This Row],[VEHIDCODE]],GRAPHICS_PROPERTIES[VEHIDCODE],0))</f>
        <v>1</v>
      </c>
      <c r="N657" s="31" t="str">
        <f>"item_"&amp;CONTROL[[#This Row],[VEHIDCODE]]</f>
        <v>item_mu_Wagon_Gen1_Tanker</v>
      </c>
      <c r="O657" s="31" t="str">
        <f>"str_"&amp;CONTROL[[#This Row],[VEHIDCODE]]</f>
        <v>str_mu_Wagon_Gen1_Tanker</v>
      </c>
    </row>
    <row r="658" spans="1:15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t="s">
        <v>1612</v>
      </c>
      <c r="G658" t="s">
        <v>1749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ISNUMBER(_xlfn.XMATCH(CONTROL[[#This Row],[VEHIDCODE]],GRAPHICS_PROPERTIES[VEHIDCODE],0))</f>
        <v>1</v>
      </c>
      <c r="N658" s="31" t="str">
        <f>"item_"&amp;CONTROL[[#This Row],[VEHIDCODE]]</f>
        <v>item_mu_Wagon_Gen1_Open_Wagon</v>
      </c>
      <c r="O658" s="31" t="str">
        <f>"str_"&amp;CONTROL[[#This Row],[VEHIDCODE]]</f>
        <v>str_mu_Wagon_Gen1_Open_Wagon</v>
      </c>
    </row>
    <row r="659" spans="1:15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t="s">
        <v>1613</v>
      </c>
      <c r="G659" t="s">
        <v>1749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ISNUMBER(_xlfn.XMATCH(CONTROL[[#This Row],[VEHIDCODE]],GRAPHICS_PROPERTIES[VEHIDCODE],0))</f>
        <v>1</v>
      </c>
      <c r="N659" s="31" t="str">
        <f>"item_"&amp;CONTROL[[#This Row],[VEHIDCODE]]</f>
        <v>item_mu_Wagon_Gen2_Flat_Wagon</v>
      </c>
      <c r="O659" s="31" t="str">
        <f>"str_"&amp;CONTROL[[#This Row],[VEHIDCODE]]</f>
        <v>str_mu_Wagon_Gen2_Flat_Wagon</v>
      </c>
    </row>
    <row r="660" spans="1:15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t="s">
        <v>3051</v>
      </c>
      <c r="G660" t="s">
        <v>1749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ISNUMBER(_xlfn.XMATCH(CONTROL[[#This Row],[VEHIDCODE]],GRAPHICS_PROPERTIES[VEHIDCODE],0))</f>
        <v>1</v>
      </c>
      <c r="N660" s="31" t="str">
        <f>"item_"&amp;CONTROL[[#This Row],[VEHIDCODE]]</f>
        <v>item_mu_Wagon_Gen2_Boxcar_Type1</v>
      </c>
      <c r="O660" s="31" t="str">
        <f>"str_"&amp;CONTROL[[#This Row],[VEHIDCODE]]</f>
        <v>str_mu_Wagon_Gen2_Boxcar_Type1</v>
      </c>
    </row>
    <row r="661" spans="1:15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t="s">
        <v>3052</v>
      </c>
      <c r="G661" t="s">
        <v>1749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ISNUMBER(_xlfn.XMATCH(CONTROL[[#This Row],[VEHIDCODE]],GRAPHICS_PROPERTIES[VEHIDCODE],0))</f>
        <v>1</v>
      </c>
      <c r="N661" s="31" t="str">
        <f>"item_"&amp;CONTROL[[#This Row],[VEHIDCODE]]</f>
        <v>item_mu_Wagon_Gen2_Boxcar_Type2</v>
      </c>
      <c r="O661" s="31" t="str">
        <f>"str_"&amp;CONTROL[[#This Row],[VEHIDCODE]]</f>
        <v>str_mu_Wagon_Gen2_Boxcar_Type2</v>
      </c>
    </row>
    <row r="662" spans="1:15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t="s">
        <v>1614</v>
      </c>
      <c r="G662" t="s">
        <v>1749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ISNUMBER(_xlfn.XMATCH(CONTROL[[#This Row],[VEHIDCODE]],GRAPHICS_PROPERTIES[VEHIDCODE],0))</f>
        <v>1</v>
      </c>
      <c r="N662" s="31" t="str">
        <f>"item_"&amp;CONTROL[[#This Row],[VEHIDCODE]]</f>
        <v>item_mu_Wagon_Gen2_Tanker</v>
      </c>
      <c r="O662" s="31" t="str">
        <f>"str_"&amp;CONTROL[[#This Row],[VEHIDCODE]]</f>
        <v>str_mu_Wagon_Gen2_Tanker</v>
      </c>
    </row>
    <row r="663" spans="1:15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t="s">
        <v>1615</v>
      </c>
      <c r="G663" t="s">
        <v>1749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ISNUMBER(_xlfn.XMATCH(CONTROL[[#This Row],[VEHIDCODE]],GRAPHICS_PROPERTIES[VEHIDCODE],0))</f>
        <v>1</v>
      </c>
      <c r="N663" s="31" t="str">
        <f>"item_"&amp;CONTROL[[#This Row],[VEHIDCODE]]</f>
        <v>item_mu_Wagon_Gen2_Open_Wagon</v>
      </c>
      <c r="O663" s="31" t="str">
        <f>"str_"&amp;CONTROL[[#This Row],[VEHIDCODE]]</f>
        <v>str_mu_Wagon_Gen2_Open_Wagon</v>
      </c>
    </row>
    <row r="664" spans="1:15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t="s">
        <v>1616</v>
      </c>
      <c r="G664" t="s">
        <v>1749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ISNUMBER(_xlfn.XMATCH(CONTROL[[#This Row],[VEHIDCODE]],GRAPHICS_PROPERTIES[VEHIDCODE],0))</f>
        <v>1</v>
      </c>
      <c r="N664" s="31" t="str">
        <f>"item_"&amp;CONTROL[[#This Row],[VEHIDCODE]]</f>
        <v>item_mu_Wagon_Gen2_Silo</v>
      </c>
      <c r="O664" s="31" t="str">
        <f>"str_"&amp;CONTROL[[#This Row],[VEHIDCODE]]</f>
        <v>str_mu_Wagon_Gen2_Silo</v>
      </c>
    </row>
    <row r="665" spans="1:15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t="s">
        <v>1617</v>
      </c>
      <c r="G665" t="s">
        <v>1749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ISNUMBER(_xlfn.XMATCH(CONTROL[[#This Row],[VEHIDCODE]],GRAPHICS_PROPERTIES[VEHIDCODE],0))</f>
        <v>1</v>
      </c>
      <c r="N665" s="31" t="str">
        <f>"item_"&amp;CONTROL[[#This Row],[VEHIDCODE]]</f>
        <v>item_mu_Wagon_Gen2_Hopper</v>
      </c>
      <c r="O665" s="31" t="str">
        <f>"str_"&amp;CONTROL[[#This Row],[VEHIDCODE]]</f>
        <v>str_mu_Wagon_Gen2_Hopper</v>
      </c>
    </row>
    <row r="666" spans="1:15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t="s">
        <v>1618</v>
      </c>
      <c r="G666" t="s">
        <v>1749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ISNUMBER(_xlfn.XMATCH(CONTROL[[#This Row],[VEHIDCODE]],GRAPHICS_PROPERTIES[VEHIDCODE],0))</f>
        <v>1</v>
      </c>
      <c r="N666" s="31" t="str">
        <f>"item_"&amp;CONTROL[[#This Row],[VEHIDCODE]]</f>
        <v>item_mu_Wagon_Gen3_Flat_Wagon</v>
      </c>
      <c r="O666" s="31" t="str">
        <f>"str_"&amp;CONTROL[[#This Row],[VEHIDCODE]]</f>
        <v>str_mu_Wagon_Gen3_Flat_Wagon</v>
      </c>
    </row>
    <row r="667" spans="1:15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t="s">
        <v>3053</v>
      </c>
      <c r="G667" t="s">
        <v>1749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ISNUMBER(_xlfn.XMATCH(CONTROL[[#This Row],[VEHIDCODE]],GRAPHICS_PROPERTIES[VEHIDCODE],0))</f>
        <v>1</v>
      </c>
      <c r="N667" s="31" t="str">
        <f>"item_"&amp;CONTROL[[#This Row],[VEHIDCODE]]</f>
        <v>item_mu_Wagon_Gen3_Boxcar_Type1</v>
      </c>
      <c r="O667" s="31" t="str">
        <f>"str_"&amp;CONTROL[[#This Row],[VEHIDCODE]]</f>
        <v>str_mu_Wagon_Gen3_Boxcar_Type1</v>
      </c>
    </row>
    <row r="668" spans="1:15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t="s">
        <v>3054</v>
      </c>
      <c r="G668" t="s">
        <v>1749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ISNUMBER(_xlfn.XMATCH(CONTROL[[#This Row],[VEHIDCODE]],GRAPHICS_PROPERTIES[VEHIDCODE],0))</f>
        <v>1</v>
      </c>
      <c r="N668" s="31" t="str">
        <f>"item_"&amp;CONTROL[[#This Row],[VEHIDCODE]]</f>
        <v>item_mu_Wagon_Gen3_Boxcar_Type2</v>
      </c>
      <c r="O668" s="31" t="str">
        <f>"str_"&amp;CONTROL[[#This Row],[VEHIDCODE]]</f>
        <v>str_mu_Wagon_Gen3_Boxcar_Type2</v>
      </c>
    </row>
    <row r="669" spans="1:15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t="s">
        <v>1619</v>
      </c>
      <c r="G669" t="s">
        <v>1749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ISNUMBER(_xlfn.XMATCH(CONTROL[[#This Row],[VEHIDCODE]],GRAPHICS_PROPERTIES[VEHIDCODE],0))</f>
        <v>1</v>
      </c>
      <c r="N669" s="31" t="str">
        <f>"item_"&amp;CONTROL[[#This Row],[VEHIDCODE]]</f>
        <v>item_mu_Wagon_Gen3_Tanker</v>
      </c>
      <c r="O669" s="31" t="str">
        <f>"str_"&amp;CONTROL[[#This Row],[VEHIDCODE]]</f>
        <v>str_mu_Wagon_Gen3_Tanker</v>
      </c>
    </row>
    <row r="670" spans="1:15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t="s">
        <v>1620</v>
      </c>
      <c r="G670" t="s">
        <v>1749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ISNUMBER(_xlfn.XMATCH(CONTROL[[#This Row],[VEHIDCODE]],GRAPHICS_PROPERTIES[VEHIDCODE],0))</f>
        <v>1</v>
      </c>
      <c r="N670" s="31" t="str">
        <f>"item_"&amp;CONTROL[[#This Row],[VEHIDCODE]]</f>
        <v>item_mu_Wagon_Gen3_Open_Wagon</v>
      </c>
      <c r="O670" s="31" t="str">
        <f>"str_"&amp;CONTROL[[#This Row],[VEHIDCODE]]</f>
        <v>str_mu_Wagon_Gen3_Open_Wagon</v>
      </c>
    </row>
    <row r="671" spans="1:15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t="s">
        <v>3055</v>
      </c>
      <c r="G671" t="s">
        <v>1749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ISNUMBER(_xlfn.XMATCH(CONTROL[[#This Row],[VEHIDCODE]],GRAPHICS_PROPERTIES[VEHIDCODE],0))</f>
        <v>1</v>
      </c>
      <c r="N671" s="31" t="str">
        <f>"item_"&amp;CONTROL[[#This Row],[VEHIDCODE]]</f>
        <v>item_mu_Wagon_Gen3_Silo_Type1</v>
      </c>
      <c r="O671" s="31" t="str">
        <f>"str_"&amp;CONTROL[[#This Row],[VEHIDCODE]]</f>
        <v>str_mu_Wagon_Gen3_Silo_Type1</v>
      </c>
    </row>
    <row r="672" spans="1:15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t="s">
        <v>3056</v>
      </c>
      <c r="G672" t="s">
        <v>1749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ISNUMBER(_xlfn.XMATCH(CONTROL[[#This Row],[VEHIDCODE]],GRAPHICS_PROPERTIES[VEHIDCODE],0))</f>
        <v>1</v>
      </c>
      <c r="N672" s="31" t="str">
        <f>"item_"&amp;CONTROL[[#This Row],[VEHIDCODE]]</f>
        <v>item_mu_Wagon_Gen3_Silo_Type2</v>
      </c>
      <c r="O672" s="31" t="str">
        <f>"str_"&amp;CONTROL[[#This Row],[VEHIDCODE]]</f>
        <v>str_mu_Wagon_Gen3_Silo_Type2</v>
      </c>
    </row>
    <row r="673" spans="1:15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t="s">
        <v>1621</v>
      </c>
      <c r="G673" t="s">
        <v>1749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ISNUMBER(_xlfn.XMATCH(CONTROL[[#This Row],[VEHIDCODE]],GRAPHICS_PROPERTIES[VEHIDCODE],0))</f>
        <v>1</v>
      </c>
      <c r="N673" s="31" t="str">
        <f>"item_"&amp;CONTROL[[#This Row],[VEHIDCODE]]</f>
        <v>item_mu_Wagon_Gen3_Hopper</v>
      </c>
      <c r="O673" s="31" t="str">
        <f>"str_"&amp;CONTROL[[#This Row],[VEHIDCODE]]</f>
        <v>str_mu_Wagon_Gen3_Hopper</v>
      </c>
    </row>
    <row r="674" spans="1:15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t="s">
        <v>1622</v>
      </c>
      <c r="G674" t="s">
        <v>1749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ISNUMBER(_xlfn.XMATCH(CONTROL[[#This Row],[VEHIDCODE]],GRAPHICS_PROPERTIES[VEHIDCODE],0))</f>
        <v>1</v>
      </c>
      <c r="N674" s="31" t="str">
        <f>"item_"&amp;CONTROL[[#This Row],[VEHIDCODE]]</f>
        <v>item_mu_Wagon_Gen4_Flatcar</v>
      </c>
      <c r="O674" s="31" t="str">
        <f>"str_"&amp;CONTROL[[#This Row],[VEHIDCODE]]</f>
        <v>str_mu_Wagon_Gen4_Flatcar</v>
      </c>
    </row>
    <row r="675" spans="1:15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t="s">
        <v>1623</v>
      </c>
      <c r="G675" t="s">
        <v>1749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ISNUMBER(_xlfn.XMATCH(CONTROL[[#This Row],[VEHIDCODE]],GRAPHICS_PROPERTIES[VEHIDCODE],0))</f>
        <v>1</v>
      </c>
      <c r="N675" s="31" t="str">
        <f>"item_"&amp;CONTROL[[#This Row],[VEHIDCODE]]</f>
        <v>item_mu_Wagon_Gen4_Heavy_Flatcar</v>
      </c>
      <c r="O675" s="31" t="str">
        <f>"str_"&amp;CONTROL[[#This Row],[VEHIDCODE]]</f>
        <v>str_mu_Wagon_Gen4_Heavy_Flatcar</v>
      </c>
    </row>
    <row r="676" spans="1:15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t="s">
        <v>3057</v>
      </c>
      <c r="G676" t="s">
        <v>1749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ISNUMBER(_xlfn.XMATCH(CONTROL[[#This Row],[VEHIDCODE]],GRAPHICS_PROPERTIES[VEHIDCODE],0))</f>
        <v>1</v>
      </c>
      <c r="N676" s="31" t="str">
        <f>"item_"&amp;CONTROL[[#This Row],[VEHIDCODE]]</f>
        <v>item_mu_Wagon_Gen4_Boxcar_Type1</v>
      </c>
      <c r="O676" s="31" t="str">
        <f>"str_"&amp;CONTROL[[#This Row],[VEHIDCODE]]</f>
        <v>str_mu_Wagon_Gen4_Boxcar_Type1</v>
      </c>
    </row>
    <row r="677" spans="1:15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t="s">
        <v>3058</v>
      </c>
      <c r="G677" t="s">
        <v>1749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ISNUMBER(_xlfn.XMATCH(CONTROL[[#This Row],[VEHIDCODE]],GRAPHICS_PROPERTIES[VEHIDCODE],0))</f>
        <v>1</v>
      </c>
      <c r="N677" s="31" t="str">
        <f>"item_"&amp;CONTROL[[#This Row],[VEHIDCODE]]</f>
        <v>item_mu_Wagon_Gen4_Boxcar_Type2</v>
      </c>
      <c r="O677" s="31" t="str">
        <f>"str_"&amp;CONTROL[[#This Row],[VEHIDCODE]]</f>
        <v>str_mu_Wagon_Gen4_Boxcar_Type2</v>
      </c>
    </row>
    <row r="678" spans="1:15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t="s">
        <v>1624</v>
      </c>
      <c r="G678" t="s">
        <v>1749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ISNUMBER(_xlfn.XMATCH(CONTROL[[#This Row],[VEHIDCODE]],GRAPHICS_PROPERTIES[VEHIDCODE],0))</f>
        <v>1</v>
      </c>
      <c r="N678" s="31" t="str">
        <f>"item_"&amp;CONTROL[[#This Row],[VEHIDCODE]]</f>
        <v>item_mu_Wagon_Gen4_Tanker</v>
      </c>
      <c r="O678" s="31" t="str">
        <f>"str_"&amp;CONTROL[[#This Row],[VEHIDCODE]]</f>
        <v>str_mu_Wagon_Gen4_Tanker</v>
      </c>
    </row>
    <row r="679" spans="1:15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t="s">
        <v>1625</v>
      </c>
      <c r="G679" t="s">
        <v>1749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ISNUMBER(_xlfn.XMATCH(CONTROL[[#This Row],[VEHIDCODE]],GRAPHICS_PROPERTIES[VEHIDCODE],0))</f>
        <v>1</v>
      </c>
      <c r="N679" s="31" t="str">
        <f>"item_"&amp;CONTROL[[#This Row],[VEHIDCODE]]</f>
        <v>item_mu_Wagon_Gen4_Gondola</v>
      </c>
      <c r="O679" s="31" t="str">
        <f>"str_"&amp;CONTROL[[#This Row],[VEHIDCODE]]</f>
        <v>str_mu_Wagon_Gen4_Gondola</v>
      </c>
    </row>
    <row r="680" spans="1:15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t="s">
        <v>3059</v>
      </c>
      <c r="G680" t="s">
        <v>1749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ISNUMBER(_xlfn.XMATCH(CONTROL[[#This Row],[VEHIDCODE]],GRAPHICS_PROPERTIES[VEHIDCODE],0))</f>
        <v>1</v>
      </c>
      <c r="N680" s="31" t="str">
        <f>"item_"&amp;CONTROL[[#This Row],[VEHIDCODE]]</f>
        <v>item_mu_Wagon_Gen4_Silo_Type1</v>
      </c>
      <c r="O680" s="31" t="str">
        <f>"str_"&amp;CONTROL[[#This Row],[VEHIDCODE]]</f>
        <v>str_mu_Wagon_Gen4_Silo_Type1</v>
      </c>
    </row>
    <row r="681" spans="1:15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t="s">
        <v>3060</v>
      </c>
      <c r="G681" t="s">
        <v>1749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ISNUMBER(_xlfn.XMATCH(CONTROL[[#This Row],[VEHIDCODE]],GRAPHICS_PROPERTIES[VEHIDCODE],0))</f>
        <v>1</v>
      </c>
      <c r="N681" s="31" t="str">
        <f>"item_"&amp;CONTROL[[#This Row],[VEHIDCODE]]</f>
        <v>item_mu_Wagon_Gen4_Silo_Type2</v>
      </c>
      <c r="O681" s="31" t="str">
        <f>"str_"&amp;CONTROL[[#This Row],[VEHIDCODE]]</f>
        <v>str_mu_Wagon_Gen4_Silo_Type2</v>
      </c>
    </row>
    <row r="682" spans="1:15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t="s">
        <v>3061</v>
      </c>
      <c r="G682" t="s">
        <v>1749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ISNUMBER(_xlfn.XMATCH(CONTROL[[#This Row],[VEHIDCODE]],GRAPHICS_PROPERTIES[VEHIDCODE],0))</f>
        <v>1</v>
      </c>
      <c r="N682" s="31" t="str">
        <f>"item_"&amp;CONTROL[[#This Row],[VEHIDCODE]]</f>
        <v>item_mu_Wagon_Gen4_Hopper_Type1</v>
      </c>
      <c r="O682" s="31" t="str">
        <f>"str_"&amp;CONTROL[[#This Row],[VEHIDCODE]]</f>
        <v>str_mu_Wagon_Gen4_Hopper_Type1</v>
      </c>
    </row>
    <row r="683" spans="1:15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t="s">
        <v>3062</v>
      </c>
      <c r="G683" t="s">
        <v>1749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ISNUMBER(_xlfn.XMATCH(CONTROL[[#This Row],[VEHIDCODE]],GRAPHICS_PROPERTIES[VEHIDCODE],0))</f>
        <v>1</v>
      </c>
      <c r="N683" s="31" t="str">
        <f>"item_"&amp;CONTROL[[#This Row],[VEHIDCODE]]</f>
        <v>item_mu_Wagon_Gen4_Hopper_Type2</v>
      </c>
      <c r="O683" s="31" t="str">
        <f>"str_"&amp;CONTROL[[#This Row],[VEHIDCODE]]</f>
        <v>str_mu_Wagon_Gen4_Hopper_Type2</v>
      </c>
    </row>
    <row r="684" spans="1:15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t="s">
        <v>1626</v>
      </c>
      <c r="G684" t="s">
        <v>1749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ISNUMBER(_xlfn.XMATCH(CONTROL[[#This Row],[VEHIDCODE]],GRAPHICS_PROPERTIES[VEHIDCODE],0))</f>
        <v>1</v>
      </c>
      <c r="N684" s="31" t="str">
        <f>"item_"&amp;CONTROL[[#This Row],[VEHIDCODE]]</f>
        <v>item_mu_Wagon_Gen4_Car_Transporter</v>
      </c>
      <c r="O684" s="31" t="str">
        <f>"str_"&amp;CONTROL[[#This Row],[VEHIDCODE]]</f>
        <v>str_mu_Wagon_Gen4_Car_Transporter</v>
      </c>
    </row>
    <row r="685" spans="1:15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t="s">
        <v>1627</v>
      </c>
      <c r="G685" t="s">
        <v>1749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ISNUMBER(_xlfn.XMATCH(CONTROL[[#This Row],[VEHIDCODE]],GRAPHICS_PROPERTIES[VEHIDCODE],0))</f>
        <v>1</v>
      </c>
      <c r="N685" s="31" t="str">
        <f>"item_"&amp;CONTROL[[#This Row],[VEHIDCODE]]</f>
        <v>item_mu_Wagon_Gen4_Container_Carrier</v>
      </c>
      <c r="O685" s="31" t="str">
        <f>"str_"&amp;CONTROL[[#This Row],[VEHIDCODE]]</f>
        <v>str_mu_Wagon_Gen4_Container_Carrier</v>
      </c>
    </row>
    <row r="686" spans="1:15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t="s">
        <v>1628</v>
      </c>
      <c r="G686" t="s">
        <v>1749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ISNUMBER(_xlfn.XMATCH(CONTROL[[#This Row],[VEHIDCODE]],GRAPHICS_PROPERTIES[VEHIDCODE],0))</f>
        <v>1</v>
      </c>
      <c r="N686" s="31" t="str">
        <f>"item_"&amp;CONTROL[[#This Row],[VEHIDCODE]]</f>
        <v>item_mu_Wagon_Gen4_Centerbeam</v>
      </c>
      <c r="O686" s="31" t="str">
        <f>"str_"&amp;CONTROL[[#This Row],[VEHIDCODE]]</f>
        <v>str_mu_Wagon_Gen4_Centerbeam</v>
      </c>
    </row>
    <row r="687" spans="1:15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t="s">
        <v>1629</v>
      </c>
      <c r="G687" t="s">
        <v>1749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ISNUMBER(_xlfn.XMATCH(CONTROL[[#This Row],[VEHIDCODE]],GRAPHICS_PROPERTIES[VEHIDCODE],0))</f>
        <v>1</v>
      </c>
      <c r="N687" s="31" t="str">
        <f>"item_"&amp;CONTROL[[#This Row],[VEHIDCODE]]</f>
        <v>item_mu_Wagon_Gen5_Flatcar</v>
      </c>
      <c r="O687" s="31" t="str">
        <f>"str_"&amp;CONTROL[[#This Row],[VEHIDCODE]]</f>
        <v>str_mu_Wagon_Gen5_Flatcar</v>
      </c>
    </row>
    <row r="688" spans="1:15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t="s">
        <v>1630</v>
      </c>
      <c r="G688" t="s">
        <v>1749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ISNUMBER(_xlfn.XMATCH(CONTROL[[#This Row],[VEHIDCODE]],GRAPHICS_PROPERTIES[VEHIDCODE],0))</f>
        <v>1</v>
      </c>
      <c r="N688" s="31" t="str">
        <f>"item_"&amp;CONTROL[[#This Row],[VEHIDCODE]]</f>
        <v>item_mu_Wagon_Gen5_Heavy_Flatcar</v>
      </c>
      <c r="O688" s="31" t="str">
        <f>"str_"&amp;CONTROL[[#This Row],[VEHIDCODE]]</f>
        <v>str_mu_Wagon_Gen5_Heavy_Flatcar</v>
      </c>
    </row>
    <row r="689" spans="1:15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t="s">
        <v>3063</v>
      </c>
      <c r="G689" t="s">
        <v>1749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ISNUMBER(_xlfn.XMATCH(CONTROL[[#This Row],[VEHIDCODE]],GRAPHICS_PROPERTIES[VEHIDCODE],0))</f>
        <v>1</v>
      </c>
      <c r="N689" s="31" t="str">
        <f>"item_"&amp;CONTROL[[#This Row],[VEHIDCODE]]</f>
        <v>item_mu_Wagon_Gen5_Boxcar_Type1</v>
      </c>
      <c r="O689" s="31" t="str">
        <f>"str_"&amp;CONTROL[[#This Row],[VEHIDCODE]]</f>
        <v>str_mu_Wagon_Gen5_Boxcar_Type1</v>
      </c>
    </row>
    <row r="690" spans="1:15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t="s">
        <v>3064</v>
      </c>
      <c r="G690" t="s">
        <v>1749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ISNUMBER(_xlfn.XMATCH(CONTROL[[#This Row],[VEHIDCODE]],GRAPHICS_PROPERTIES[VEHIDCODE],0))</f>
        <v>1</v>
      </c>
      <c r="N690" s="31" t="str">
        <f>"item_"&amp;CONTROL[[#This Row],[VEHIDCODE]]</f>
        <v>item_mu_Wagon_Gen5_Boxcar_Type2</v>
      </c>
      <c r="O690" s="31" t="str">
        <f>"str_"&amp;CONTROL[[#This Row],[VEHIDCODE]]</f>
        <v>str_mu_Wagon_Gen5_Boxcar_Type2</v>
      </c>
    </row>
    <row r="691" spans="1:15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t="s">
        <v>1631</v>
      </c>
      <c r="G691" t="s">
        <v>1749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ISNUMBER(_xlfn.XMATCH(CONTROL[[#This Row],[VEHIDCODE]],GRAPHICS_PROPERTIES[VEHIDCODE],0))</f>
        <v>1</v>
      </c>
      <c r="N691" s="31" t="str">
        <f>"item_"&amp;CONTROL[[#This Row],[VEHIDCODE]]</f>
        <v>item_mu_Wagon_Gen5_Tanker</v>
      </c>
      <c r="O691" s="31" t="str">
        <f>"str_"&amp;CONTROL[[#This Row],[VEHIDCODE]]</f>
        <v>str_mu_Wagon_Gen5_Tanker</v>
      </c>
    </row>
    <row r="692" spans="1:15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t="s">
        <v>1632</v>
      </c>
      <c r="G692" t="s">
        <v>1749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ISNUMBER(_xlfn.XMATCH(CONTROL[[#This Row],[VEHIDCODE]],GRAPHICS_PROPERTIES[VEHIDCODE],0))</f>
        <v>1</v>
      </c>
      <c r="N692" s="31" t="str">
        <f>"item_"&amp;CONTROL[[#This Row],[VEHIDCODE]]</f>
        <v>item_mu_Wagon_Gen5_Gondola</v>
      </c>
      <c r="O692" s="31" t="str">
        <f>"str_"&amp;CONTROL[[#This Row],[VEHIDCODE]]</f>
        <v>str_mu_Wagon_Gen5_Gondola</v>
      </c>
    </row>
    <row r="693" spans="1:15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t="s">
        <v>3065</v>
      </c>
      <c r="G693" t="s">
        <v>1749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ISNUMBER(_xlfn.XMATCH(CONTROL[[#This Row],[VEHIDCODE]],GRAPHICS_PROPERTIES[VEHIDCODE],0))</f>
        <v>1</v>
      </c>
      <c r="N693" s="31" t="str">
        <f>"item_"&amp;CONTROL[[#This Row],[VEHIDCODE]]</f>
        <v>item_mu_Wagon_Gen5_Silo_Type1</v>
      </c>
      <c r="O693" s="31" t="str">
        <f>"str_"&amp;CONTROL[[#This Row],[VEHIDCODE]]</f>
        <v>str_mu_Wagon_Gen5_Silo_Type1</v>
      </c>
    </row>
    <row r="694" spans="1:15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t="s">
        <v>3066</v>
      </c>
      <c r="G694" t="s">
        <v>1749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ISNUMBER(_xlfn.XMATCH(CONTROL[[#This Row],[VEHIDCODE]],GRAPHICS_PROPERTIES[VEHIDCODE],0))</f>
        <v>1</v>
      </c>
      <c r="N694" s="31" t="str">
        <f>"item_"&amp;CONTROL[[#This Row],[VEHIDCODE]]</f>
        <v>item_mu_Wagon_Gen5_Silo_Type2</v>
      </c>
      <c r="O694" s="31" t="str">
        <f>"str_"&amp;CONTROL[[#This Row],[VEHIDCODE]]</f>
        <v>str_mu_Wagon_Gen5_Silo_Type2</v>
      </c>
    </row>
    <row r="695" spans="1:15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t="s">
        <v>3067</v>
      </c>
      <c r="G695" t="s">
        <v>1749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ISNUMBER(_xlfn.XMATCH(CONTROL[[#This Row],[VEHIDCODE]],GRAPHICS_PROPERTIES[VEHIDCODE],0))</f>
        <v>1</v>
      </c>
      <c r="N695" s="31" t="str">
        <f>"item_"&amp;CONTROL[[#This Row],[VEHIDCODE]]</f>
        <v>item_mu_Wagon_Gen5_Hopper_Type1</v>
      </c>
      <c r="O695" s="31" t="str">
        <f>"str_"&amp;CONTROL[[#This Row],[VEHIDCODE]]</f>
        <v>str_mu_Wagon_Gen5_Hopper_Type1</v>
      </c>
    </row>
    <row r="696" spans="1:15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t="s">
        <v>3068</v>
      </c>
      <c r="G696" t="s">
        <v>1749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ISNUMBER(_xlfn.XMATCH(CONTROL[[#This Row],[VEHIDCODE]],GRAPHICS_PROPERTIES[VEHIDCODE],0))</f>
        <v>1</v>
      </c>
      <c r="N696" s="31" t="str">
        <f>"item_"&amp;CONTROL[[#This Row],[VEHIDCODE]]</f>
        <v>item_mu_Wagon_Gen5_Hopper_Type2</v>
      </c>
      <c r="O696" s="31" t="str">
        <f>"str_"&amp;CONTROL[[#This Row],[VEHIDCODE]]</f>
        <v>str_mu_Wagon_Gen5_Hopper_Type2</v>
      </c>
    </row>
    <row r="697" spans="1:15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t="s">
        <v>1633</v>
      </c>
      <c r="G697" t="s">
        <v>1749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ISNUMBER(_xlfn.XMATCH(CONTROL[[#This Row],[VEHIDCODE]],GRAPHICS_PROPERTIES[VEHIDCODE],0))</f>
        <v>1</v>
      </c>
      <c r="N697" s="31" t="str">
        <f>"item_"&amp;CONTROL[[#This Row],[VEHIDCODE]]</f>
        <v>item_mu_Wagon_Gen5_Car_Transporter</v>
      </c>
      <c r="O697" s="31" t="str">
        <f>"str_"&amp;CONTROL[[#This Row],[VEHIDCODE]]</f>
        <v>str_mu_Wagon_Gen5_Car_Transporter</v>
      </c>
    </row>
    <row r="698" spans="1:15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t="s">
        <v>1634</v>
      </c>
      <c r="G698" t="s">
        <v>1749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ISNUMBER(_xlfn.XMATCH(CONTROL[[#This Row],[VEHIDCODE]],GRAPHICS_PROPERTIES[VEHIDCODE],0))</f>
        <v>1</v>
      </c>
      <c r="N698" s="31" t="str">
        <f>"item_"&amp;CONTROL[[#This Row],[VEHIDCODE]]</f>
        <v>item_mu_Wagon_Gen5_Container_Carrier</v>
      </c>
      <c r="O698" s="31" t="str">
        <f>"str_"&amp;CONTROL[[#This Row],[VEHIDCODE]]</f>
        <v>str_mu_Wagon_Gen5_Container_Carrier</v>
      </c>
    </row>
    <row r="699" spans="1:15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t="s">
        <v>1635</v>
      </c>
      <c r="G699" t="s">
        <v>1749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ISNUMBER(_xlfn.XMATCH(CONTROL[[#This Row],[VEHIDCODE]],GRAPHICS_PROPERTIES[VEHIDCODE],0))</f>
        <v>1</v>
      </c>
      <c r="N699" s="31" t="str">
        <f>"item_"&amp;CONTROL[[#This Row],[VEHIDCODE]]</f>
        <v>item_mu_Wagon_Gen5_Centerbeam</v>
      </c>
      <c r="O699" s="31" t="str">
        <f>"str_"&amp;CONTROL[[#This Row],[VEHIDCODE]]</f>
        <v>str_mu_Wagon_Gen5_Centerbeam</v>
      </c>
    </row>
    <row r="700" spans="1:15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t="s">
        <v>1636</v>
      </c>
      <c r="G700" t="s">
        <v>1749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ISNUMBER(_xlfn.XMATCH(CONTROL[[#This Row],[VEHIDCODE]],GRAPHICS_PROPERTIES[VEHIDCODE],0))</f>
        <v>1</v>
      </c>
      <c r="N700" s="31" t="str">
        <f>"item_"&amp;CONTROL[[#This Row],[VEHIDCODE]]</f>
        <v>item_mu_Wagon_Gen5_Container_Doublestack</v>
      </c>
      <c r="O700" s="31" t="str">
        <f>"str_"&amp;CONTROL[[#This Row],[VEHIDCODE]]</f>
        <v>str_mu_Wagon_Gen5_Container_Doublestack</v>
      </c>
    </row>
    <row r="701" spans="1:15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t="s">
        <v>1637</v>
      </c>
      <c r="G701" t="s">
        <v>1749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ISNUMBER(_xlfn.XMATCH(CONTROL[[#This Row],[VEHIDCODE]],GRAPHICS_PROPERTIES[VEHIDCODE],0))</f>
        <v>1</v>
      </c>
      <c r="N701" s="31" t="str">
        <f>"item_"&amp;CONTROL[[#This Row],[VEHIDCODE]]</f>
        <v>item_mu_Wagon_Gen5_Superheavy_Flatcar</v>
      </c>
      <c r="O701" s="31" t="str">
        <f>"str_"&amp;CONTROL[[#This Row],[VEHIDCODE]]</f>
        <v>str_mu_Wagon_Gen5_Superheavy_Flatcar</v>
      </c>
    </row>
    <row r="702" spans="1:15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t="s">
        <v>1638</v>
      </c>
      <c r="G702" t="s">
        <v>1749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ISNUMBER(_xlfn.XMATCH(CONTROL[[#This Row],[VEHIDCODE]],GRAPHICS_PROPERTIES[VEHIDCODE],0))</f>
        <v>1</v>
      </c>
      <c r="N702" s="31" t="str">
        <f>"item_"&amp;CONTROL[[#This Row],[VEHIDCODE]]</f>
        <v>item_mu_Wagon_Gen6_Flatcar</v>
      </c>
      <c r="O702" s="31" t="str">
        <f>"str_"&amp;CONTROL[[#This Row],[VEHIDCODE]]</f>
        <v>str_mu_Wagon_Gen6_Flatcar</v>
      </c>
    </row>
    <row r="703" spans="1:15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t="s">
        <v>1639</v>
      </c>
      <c r="G703" t="s">
        <v>1749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ISNUMBER(_xlfn.XMATCH(CONTROL[[#This Row],[VEHIDCODE]],GRAPHICS_PROPERTIES[VEHIDCODE],0))</f>
        <v>1</v>
      </c>
      <c r="N703" s="31" t="str">
        <f>"item_"&amp;CONTROL[[#This Row],[VEHIDCODE]]</f>
        <v>item_mu_Wagon_Gen6_Heavy_Flatcar</v>
      </c>
      <c r="O703" s="31" t="str">
        <f>"str_"&amp;CONTROL[[#This Row],[VEHIDCODE]]</f>
        <v>str_mu_Wagon_Gen6_Heavy_Flatcar</v>
      </c>
    </row>
    <row r="704" spans="1:15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t="s">
        <v>3069</v>
      </c>
      <c r="G704" t="s">
        <v>1749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ISNUMBER(_xlfn.XMATCH(CONTROL[[#This Row],[VEHIDCODE]],GRAPHICS_PROPERTIES[VEHIDCODE],0))</f>
        <v>1</v>
      </c>
      <c r="N704" s="31" t="str">
        <f>"item_"&amp;CONTROL[[#This Row],[VEHIDCODE]]</f>
        <v>item_mu_Wagon_Gen6_Boxcar_Type1</v>
      </c>
      <c r="O704" s="31" t="str">
        <f>"str_"&amp;CONTROL[[#This Row],[VEHIDCODE]]</f>
        <v>str_mu_Wagon_Gen6_Boxcar_Type1</v>
      </c>
    </row>
    <row r="705" spans="1:15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t="s">
        <v>3070</v>
      </c>
      <c r="G705" t="s">
        <v>1749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ISNUMBER(_xlfn.XMATCH(CONTROL[[#This Row],[VEHIDCODE]],GRAPHICS_PROPERTIES[VEHIDCODE],0))</f>
        <v>1</v>
      </c>
      <c r="N705" s="31" t="str">
        <f>"item_"&amp;CONTROL[[#This Row],[VEHIDCODE]]</f>
        <v>item_mu_Wagon_Gen6_Boxcar_Type2</v>
      </c>
      <c r="O705" s="31" t="str">
        <f>"str_"&amp;CONTROL[[#This Row],[VEHIDCODE]]</f>
        <v>str_mu_Wagon_Gen6_Boxcar_Type2</v>
      </c>
    </row>
    <row r="706" spans="1:15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t="s">
        <v>1640</v>
      </c>
      <c r="G706" t="s">
        <v>1749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ISNUMBER(_xlfn.XMATCH(CONTROL[[#This Row],[VEHIDCODE]],GRAPHICS_PROPERTIES[VEHIDCODE],0))</f>
        <v>1</v>
      </c>
      <c r="N706" s="31" t="str">
        <f>"item_"&amp;CONTROL[[#This Row],[VEHIDCODE]]</f>
        <v>item_mu_Wagon_Gen6_Tanker</v>
      </c>
      <c r="O706" s="31" t="str">
        <f>"str_"&amp;CONTROL[[#This Row],[VEHIDCODE]]</f>
        <v>str_mu_Wagon_Gen6_Tanker</v>
      </c>
    </row>
    <row r="707" spans="1:15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t="s">
        <v>1641</v>
      </c>
      <c r="G707" t="s">
        <v>1749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ISNUMBER(_xlfn.XMATCH(CONTROL[[#This Row],[VEHIDCODE]],GRAPHICS_PROPERTIES[VEHIDCODE],0))</f>
        <v>1</v>
      </c>
      <c r="N707" s="31" t="str">
        <f>"item_"&amp;CONTROL[[#This Row],[VEHIDCODE]]</f>
        <v>item_mu_Wagon_Gen6_Gondola</v>
      </c>
      <c r="O707" s="31" t="str">
        <f>"str_"&amp;CONTROL[[#This Row],[VEHIDCODE]]</f>
        <v>str_mu_Wagon_Gen6_Gondola</v>
      </c>
    </row>
    <row r="708" spans="1:15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t="s">
        <v>3071</v>
      </c>
      <c r="G708" t="s">
        <v>1749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ISNUMBER(_xlfn.XMATCH(CONTROL[[#This Row],[VEHIDCODE]],GRAPHICS_PROPERTIES[VEHIDCODE],0))</f>
        <v>1</v>
      </c>
      <c r="N708" s="31" t="str">
        <f>"item_"&amp;CONTROL[[#This Row],[VEHIDCODE]]</f>
        <v>item_mu_Wagon_Gen6_Silo_Type1</v>
      </c>
      <c r="O708" s="31" t="str">
        <f>"str_"&amp;CONTROL[[#This Row],[VEHIDCODE]]</f>
        <v>str_mu_Wagon_Gen6_Silo_Type1</v>
      </c>
    </row>
    <row r="709" spans="1:15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t="s">
        <v>3072</v>
      </c>
      <c r="G709" t="s">
        <v>1749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ISNUMBER(_xlfn.XMATCH(CONTROL[[#This Row],[VEHIDCODE]],GRAPHICS_PROPERTIES[VEHIDCODE],0))</f>
        <v>1</v>
      </c>
      <c r="N709" s="31" t="str">
        <f>"item_"&amp;CONTROL[[#This Row],[VEHIDCODE]]</f>
        <v>item_mu_Wagon_Gen6_Silo_Type2</v>
      </c>
      <c r="O709" s="31" t="str">
        <f>"str_"&amp;CONTROL[[#This Row],[VEHIDCODE]]</f>
        <v>str_mu_Wagon_Gen6_Silo_Type2</v>
      </c>
    </row>
    <row r="710" spans="1:15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t="s">
        <v>3073</v>
      </c>
      <c r="G710" t="s">
        <v>1749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ISNUMBER(_xlfn.XMATCH(CONTROL[[#This Row],[VEHIDCODE]],GRAPHICS_PROPERTIES[VEHIDCODE],0))</f>
        <v>1</v>
      </c>
      <c r="N710" s="31" t="str">
        <f>"item_"&amp;CONTROL[[#This Row],[VEHIDCODE]]</f>
        <v>item_mu_Wagon_Gen6_Hopper_Type1</v>
      </c>
      <c r="O710" s="31" t="str">
        <f>"str_"&amp;CONTROL[[#This Row],[VEHIDCODE]]</f>
        <v>str_mu_Wagon_Gen6_Hopper_Type1</v>
      </c>
    </row>
    <row r="711" spans="1:15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t="s">
        <v>3074</v>
      </c>
      <c r="G711" t="s">
        <v>1749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ISNUMBER(_xlfn.XMATCH(CONTROL[[#This Row],[VEHIDCODE]],GRAPHICS_PROPERTIES[VEHIDCODE],0))</f>
        <v>1</v>
      </c>
      <c r="N711" s="31" t="str">
        <f>"item_"&amp;CONTROL[[#This Row],[VEHIDCODE]]</f>
        <v>item_mu_Wagon_Gen6_Hopper_Type2</v>
      </c>
      <c r="O711" s="31" t="str">
        <f>"str_"&amp;CONTROL[[#This Row],[VEHIDCODE]]</f>
        <v>str_mu_Wagon_Gen6_Hopper_Type2</v>
      </c>
    </row>
    <row r="712" spans="1:15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t="s">
        <v>1642</v>
      </c>
      <c r="G712" t="s">
        <v>1749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ISNUMBER(_xlfn.XMATCH(CONTROL[[#This Row],[VEHIDCODE]],GRAPHICS_PROPERTIES[VEHIDCODE],0))</f>
        <v>1</v>
      </c>
      <c r="N712" s="31" t="str">
        <f>"item_"&amp;CONTROL[[#This Row],[VEHIDCODE]]</f>
        <v>item_mu_Wagon_Gen6_Car_Transporter</v>
      </c>
      <c r="O712" s="31" t="str">
        <f>"str_"&amp;CONTROL[[#This Row],[VEHIDCODE]]</f>
        <v>str_mu_Wagon_Gen6_Car_Transporter</v>
      </c>
    </row>
    <row r="713" spans="1:15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t="s">
        <v>1643</v>
      </c>
      <c r="G713" t="s">
        <v>1749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ISNUMBER(_xlfn.XMATCH(CONTROL[[#This Row],[VEHIDCODE]],GRAPHICS_PROPERTIES[VEHIDCODE],0))</f>
        <v>1</v>
      </c>
      <c r="N713" s="31" t="str">
        <f>"item_"&amp;CONTROL[[#This Row],[VEHIDCODE]]</f>
        <v>item_mu_Wagon_Gen6_Container_Carrier</v>
      </c>
      <c r="O713" s="31" t="str">
        <f>"str_"&amp;CONTROL[[#This Row],[VEHIDCODE]]</f>
        <v>str_mu_Wagon_Gen6_Container_Carrier</v>
      </c>
    </row>
    <row r="714" spans="1:15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t="s">
        <v>1644</v>
      </c>
      <c r="G714" t="s">
        <v>1749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ISNUMBER(_xlfn.XMATCH(CONTROL[[#This Row],[VEHIDCODE]],GRAPHICS_PROPERTIES[VEHIDCODE],0))</f>
        <v>1</v>
      </c>
      <c r="N714" s="31" t="str">
        <f>"item_"&amp;CONTROL[[#This Row],[VEHIDCODE]]</f>
        <v>item_mu_Wagon_Gen6_Centerbeam</v>
      </c>
      <c r="O714" s="31" t="str">
        <f>"str_"&amp;CONTROL[[#This Row],[VEHIDCODE]]</f>
        <v>str_mu_Wagon_Gen6_Centerbeam</v>
      </c>
    </row>
    <row r="715" spans="1:15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t="s">
        <v>1645</v>
      </c>
      <c r="G715" t="s">
        <v>1749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ISNUMBER(_xlfn.XMATCH(CONTROL[[#This Row],[VEHIDCODE]],GRAPHICS_PROPERTIES[VEHIDCODE],0))</f>
        <v>1</v>
      </c>
      <c r="N715" s="31" t="str">
        <f>"item_"&amp;CONTROL[[#This Row],[VEHIDCODE]]</f>
        <v>item_mu_Wagon_Gen6_Container_Doublestack</v>
      </c>
      <c r="O715" s="31" t="str">
        <f>"str_"&amp;CONTROL[[#This Row],[VEHIDCODE]]</f>
        <v>str_mu_Wagon_Gen6_Container_Doublestack</v>
      </c>
    </row>
    <row r="716" spans="1:15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t="s">
        <v>1646</v>
      </c>
      <c r="G716" t="s">
        <v>1749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ISNUMBER(_xlfn.XMATCH(CONTROL[[#This Row],[VEHIDCODE]],GRAPHICS_PROPERTIES[VEHIDCODE],0))</f>
        <v>1</v>
      </c>
      <c r="N716" s="31" t="str">
        <f>"item_"&amp;CONTROL[[#This Row],[VEHIDCODE]]</f>
        <v>item_mu_Wagon_Gen6_Superheavy_Flatcar</v>
      </c>
      <c r="O716" s="31" t="str">
        <f>"str_"&amp;CONTROL[[#This Row],[VEHIDCODE]]</f>
        <v>str_mu_Wagon_Gen6_Superheavy_Flatcar</v>
      </c>
    </row>
    <row r="717" spans="1:15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t="s">
        <v>3075</v>
      </c>
      <c r="G717" t="s">
        <v>1749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ISNUMBER(_xlfn.XMATCH(CONTROL[[#This Row],[VEHIDCODE]],GRAPHICS_PROPERTIES[VEHIDCODE],0))</f>
        <v>1</v>
      </c>
      <c r="N717" s="31" t="str">
        <f>"item_"&amp;CONTROL[[#This Row],[VEHIDCODE]]</f>
        <v>item_mu_Wagon_Service_Car_Type1</v>
      </c>
      <c r="O717" s="31" t="str">
        <f>"str_"&amp;CONTROL[[#This Row],[VEHIDCODE]]</f>
        <v>str_mu_Wagon_Service_Car_Type1</v>
      </c>
    </row>
    <row r="718" spans="1:15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t="s">
        <v>3076</v>
      </c>
      <c r="G718" t="s">
        <v>1749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ISNUMBER(_xlfn.XMATCH(CONTROL[[#This Row],[VEHIDCODE]],GRAPHICS_PROPERTIES[VEHIDCODE],0))</f>
        <v>1</v>
      </c>
      <c r="N718" s="31" t="str">
        <f>"item_"&amp;CONTROL[[#This Row],[VEHIDCODE]]</f>
        <v>item_mu_Wagon_Service_Car_Type2</v>
      </c>
      <c r="O718" s="31" t="str">
        <f>"str_"&amp;CONTROL[[#This Row],[VEHIDCODE]]</f>
        <v>str_mu_Wagon_Service_Car_Type2</v>
      </c>
    </row>
    <row r="719" spans="1:15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t="s">
        <v>1647</v>
      </c>
      <c r="G719" t="s">
        <v>1749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ISNUMBER(_xlfn.XMATCH(CONTROL[[#This Row],[VEHIDCODE]],GRAPHICS_PROPERTIES[VEHIDCODE],0))</f>
        <v>1</v>
      </c>
      <c r="N719" s="31" t="str">
        <f>"item_"&amp;CONTROL[[#This Row],[VEHIDCODE]]</f>
        <v>item_mu_Coach_Gen1_Wooden_2_axle_Compartment_Coach</v>
      </c>
      <c r="O719" s="31" t="str">
        <f>"str_"&amp;CONTROL[[#This Row],[VEHIDCODE]]</f>
        <v>str_mu_Coach_Gen1_Wooden_2_axle_Compartment_Coach</v>
      </c>
    </row>
    <row r="720" spans="1:15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t="s">
        <v>1648</v>
      </c>
      <c r="G720" t="s">
        <v>1749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ISNUMBER(_xlfn.XMATCH(CONTROL[[#This Row],[VEHIDCODE]],GRAPHICS_PROPERTIES[VEHIDCODE],0))</f>
        <v>1</v>
      </c>
      <c r="N720" s="31" t="str">
        <f>"item_"&amp;CONTROL[[#This Row],[VEHIDCODE]]</f>
        <v>item_mu_Coach_Gen1_Wooden_2_axle_Regional_Coach</v>
      </c>
      <c r="O720" s="31" t="str">
        <f>"str_"&amp;CONTROL[[#This Row],[VEHIDCODE]]</f>
        <v>str_mu_Coach_Gen1_Wooden_2_axle_Regional_Coach</v>
      </c>
    </row>
    <row r="721" spans="1:15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t="s">
        <v>1649</v>
      </c>
      <c r="G721" t="s">
        <v>1749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ISNUMBER(_xlfn.XMATCH(CONTROL[[#This Row],[VEHIDCODE]],GRAPHICS_PROPERTIES[VEHIDCODE],0))</f>
        <v>1</v>
      </c>
      <c r="N721" s="31" t="str">
        <f>"item_"&amp;CONTROL[[#This Row],[VEHIDCODE]]</f>
        <v>item_mu_Coach_Gen1_Wooden_2_axle_Mail_Coach</v>
      </c>
      <c r="O721" s="31" t="str">
        <f>"str_"&amp;CONTROL[[#This Row],[VEHIDCODE]]</f>
        <v>str_mu_Coach_Gen1_Wooden_2_axle_Mail_Coach</v>
      </c>
    </row>
    <row r="722" spans="1:15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t="s">
        <v>1650</v>
      </c>
      <c r="G722" t="s">
        <v>1749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ISNUMBER(_xlfn.XMATCH(CONTROL[[#This Row],[VEHIDCODE]],GRAPHICS_PROPERTIES[VEHIDCODE],0))</f>
        <v>1</v>
      </c>
      <c r="N722" s="31" t="str">
        <f>"item_"&amp;CONTROL[[#This Row],[VEHIDCODE]]</f>
        <v>item_mu_Coach_Gen1_Clerestory_Compartment_Coach</v>
      </c>
      <c r="O722" s="31" t="str">
        <f>"str_"&amp;CONTROL[[#This Row],[VEHIDCODE]]</f>
        <v>str_mu_Coach_Gen1_Clerestory_Compartment_Coach</v>
      </c>
    </row>
    <row r="723" spans="1:15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t="s">
        <v>1651</v>
      </c>
      <c r="G723" t="s">
        <v>1749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ISNUMBER(_xlfn.XMATCH(CONTROL[[#This Row],[VEHIDCODE]],GRAPHICS_PROPERTIES[VEHIDCODE],0))</f>
        <v>1</v>
      </c>
      <c r="N723" s="31" t="str">
        <f>"item_"&amp;CONTROL[[#This Row],[VEHIDCODE]]</f>
        <v>item_mu_Coach_Gen1_Clerestory_Regional_Coach</v>
      </c>
      <c r="O723" s="31" t="str">
        <f>"str_"&amp;CONTROL[[#This Row],[VEHIDCODE]]</f>
        <v>str_mu_Coach_Gen1_Clerestory_Regional_Coach</v>
      </c>
    </row>
    <row r="724" spans="1:15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t="s">
        <v>1652</v>
      </c>
      <c r="G724" t="s">
        <v>1749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ISNUMBER(_xlfn.XMATCH(CONTROL[[#This Row],[VEHIDCODE]],GRAPHICS_PROPERTIES[VEHIDCODE],0))</f>
        <v>1</v>
      </c>
      <c r="N724" s="31" t="str">
        <f>"item_"&amp;CONTROL[[#This Row],[VEHIDCODE]]</f>
        <v>item_mu_Coach_Gen1_Clerestory_Mail_Coach</v>
      </c>
      <c r="O724" s="31" t="str">
        <f>"str_"&amp;CONTROL[[#This Row],[VEHIDCODE]]</f>
        <v>str_mu_Coach_Gen1_Clerestory_Mail_Coach</v>
      </c>
    </row>
    <row r="725" spans="1:15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t="s">
        <v>1653</v>
      </c>
      <c r="G725" t="s">
        <v>1749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ISNUMBER(_xlfn.XMATCH(CONTROL[[#This Row],[VEHIDCODE]],GRAPHICS_PROPERTIES[VEHIDCODE],0))</f>
        <v>1</v>
      </c>
      <c r="N725" s="31" t="str">
        <f>"item_"&amp;CONTROL[[#This Row],[VEHIDCODE]]</f>
        <v>item_mu_Coach_Gen1_Wooden_3_axle_Compartment_Coach</v>
      </c>
      <c r="O725" s="31" t="str">
        <f>"str_"&amp;CONTROL[[#This Row],[VEHIDCODE]]</f>
        <v>str_mu_Coach_Gen1_Wooden_3_axle_Compartment_Coach</v>
      </c>
    </row>
    <row r="726" spans="1:15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t="s">
        <v>1654</v>
      </c>
      <c r="G726" t="s">
        <v>1749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ISNUMBER(_xlfn.XMATCH(CONTROL[[#This Row],[VEHIDCODE]],GRAPHICS_PROPERTIES[VEHIDCODE],0))</f>
        <v>1</v>
      </c>
      <c r="N726" s="31" t="str">
        <f>"item_"&amp;CONTROL[[#This Row],[VEHIDCODE]]</f>
        <v>item_mu_Coach_Gen1_Wooden_3_axle_Regional_Coach</v>
      </c>
      <c r="O726" s="31" t="str">
        <f>"str_"&amp;CONTROL[[#This Row],[VEHIDCODE]]</f>
        <v>str_mu_Coach_Gen1_Wooden_3_axle_Regional_Coach</v>
      </c>
    </row>
    <row r="727" spans="1:15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t="s">
        <v>1655</v>
      </c>
      <c r="G727" t="s">
        <v>1749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ISNUMBER(_xlfn.XMATCH(CONTROL[[#This Row],[VEHIDCODE]],GRAPHICS_PROPERTIES[VEHIDCODE],0))</f>
        <v>1</v>
      </c>
      <c r="N727" s="31" t="str">
        <f>"item_"&amp;CONTROL[[#This Row],[VEHIDCODE]]</f>
        <v>item_mu_Coach_Gen1_Wooden_3_axle_Mail_Coach</v>
      </c>
      <c r="O727" s="31" t="str">
        <f>"str_"&amp;CONTROL[[#This Row],[VEHIDCODE]]</f>
        <v>str_mu_Coach_Gen1_Wooden_3_axle_Mail_Coach</v>
      </c>
    </row>
    <row r="728" spans="1:15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t="s">
        <v>1656</v>
      </c>
      <c r="G728" t="s">
        <v>1749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ISNUMBER(_xlfn.XMATCH(CONTROL[[#This Row],[VEHIDCODE]],GRAPHICS_PROPERTIES[VEHIDCODE],0))</f>
        <v>1</v>
      </c>
      <c r="N728" s="31" t="str">
        <f>"item_"&amp;CONTROL[[#This Row],[VEHIDCODE]]</f>
        <v>item_mu_Coach_Gen2_Heavyweight_Intercity_Coach</v>
      </c>
      <c r="O728" s="31" t="str">
        <f>"str_"&amp;CONTROL[[#This Row],[VEHIDCODE]]</f>
        <v>str_mu_Coach_Gen2_Heavyweight_Intercity_Coach</v>
      </c>
    </row>
    <row r="729" spans="1:15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t="s">
        <v>1657</v>
      </c>
      <c r="G729" t="s">
        <v>1749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ISNUMBER(_xlfn.XMATCH(CONTROL[[#This Row],[VEHIDCODE]],GRAPHICS_PROPERTIES[VEHIDCODE],0))</f>
        <v>1</v>
      </c>
      <c r="N729" s="31" t="str">
        <f>"item_"&amp;CONTROL[[#This Row],[VEHIDCODE]]</f>
        <v>item_mu_Coach_Gen2_Heavyweight_Mail_Coach</v>
      </c>
      <c r="O729" s="31" t="str">
        <f>"str_"&amp;CONTROL[[#This Row],[VEHIDCODE]]</f>
        <v>str_mu_Coach_Gen2_Heavyweight_Mail_Coach</v>
      </c>
    </row>
    <row r="730" spans="1:15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t="s">
        <v>1658</v>
      </c>
      <c r="G730" t="s">
        <v>1749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ISNUMBER(_xlfn.XMATCH(CONTROL[[#This Row],[VEHIDCODE]],GRAPHICS_PROPERTIES[VEHIDCODE],0))</f>
        <v>1</v>
      </c>
      <c r="N730" s="31" t="str">
        <f>"item_"&amp;CONTROL[[#This Row],[VEHIDCODE]]</f>
        <v>item_mu_Coach_Gen2_Steel_Intercity_Coach</v>
      </c>
      <c r="O730" s="31" t="str">
        <f>"str_"&amp;CONTROL[[#This Row],[VEHIDCODE]]</f>
        <v>str_mu_Coach_Gen2_Steel_Intercity_Coach</v>
      </c>
    </row>
    <row r="731" spans="1:15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t="s">
        <v>1659</v>
      </c>
      <c r="G731" t="s">
        <v>1749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ISNUMBER(_xlfn.XMATCH(CONTROL[[#This Row],[VEHIDCODE]],GRAPHICS_PROPERTIES[VEHIDCODE],0))</f>
        <v>1</v>
      </c>
      <c r="N731" s="31" t="str">
        <f>"item_"&amp;CONTROL[[#This Row],[VEHIDCODE]]</f>
        <v>item_mu_Coach_Gen2_Steel_Compartment_Coach</v>
      </c>
      <c r="O731" s="31" t="str">
        <f>"str_"&amp;CONTROL[[#This Row],[VEHIDCODE]]</f>
        <v>str_mu_Coach_Gen2_Steel_Compartment_Coach</v>
      </c>
    </row>
    <row r="732" spans="1:15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t="s">
        <v>1660</v>
      </c>
      <c r="G732" t="s">
        <v>1749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ISNUMBER(_xlfn.XMATCH(CONTROL[[#This Row],[VEHIDCODE]],GRAPHICS_PROPERTIES[VEHIDCODE],0))</f>
        <v>1</v>
      </c>
      <c r="N732" s="31" t="str">
        <f>"item_"&amp;CONTROL[[#This Row],[VEHIDCODE]]</f>
        <v>item_mu_Coach_Gen2_Steel_Regional_Coach</v>
      </c>
      <c r="O732" s="31" t="str">
        <f>"str_"&amp;CONTROL[[#This Row],[VEHIDCODE]]</f>
        <v>str_mu_Coach_Gen2_Steel_Regional_Coach</v>
      </c>
    </row>
    <row r="733" spans="1:15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t="s">
        <v>1661</v>
      </c>
      <c r="G733" t="s">
        <v>1749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ISNUMBER(_xlfn.XMATCH(CONTROL[[#This Row],[VEHIDCODE]],GRAPHICS_PROPERTIES[VEHIDCODE],0))</f>
        <v>1</v>
      </c>
      <c r="N733" s="31" t="str">
        <f>"item_"&amp;CONTROL[[#This Row],[VEHIDCODE]]</f>
        <v>item_mu_Coach_Gen2_Steel_Mail_Coach</v>
      </c>
      <c r="O733" s="31" t="str">
        <f>"str_"&amp;CONTROL[[#This Row],[VEHIDCODE]]</f>
        <v>str_mu_Coach_Gen2_Steel_Mail_Coach</v>
      </c>
    </row>
    <row r="734" spans="1:15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t="s">
        <v>1662</v>
      </c>
      <c r="G734" t="s">
        <v>1749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ISNUMBER(_xlfn.XMATCH(CONTROL[[#This Row],[VEHIDCODE]],GRAPHICS_PROPERTIES[VEHIDCODE],0))</f>
        <v>1</v>
      </c>
      <c r="N734" s="31" t="str">
        <f>"item_"&amp;CONTROL[[#This Row],[VEHIDCODE]]</f>
        <v>item_mu_Coach_Gen2_Steel_2_axle_Compartment_Coach</v>
      </c>
      <c r="O734" s="31" t="str">
        <f>"str_"&amp;CONTROL[[#This Row],[VEHIDCODE]]</f>
        <v>str_mu_Coach_Gen2_Steel_2_axle_Compartment_Coach</v>
      </c>
    </row>
    <row r="735" spans="1:15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t="s">
        <v>1663</v>
      </c>
      <c r="G735" t="s">
        <v>1749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ISNUMBER(_xlfn.XMATCH(CONTROL[[#This Row],[VEHIDCODE]],GRAPHICS_PROPERTIES[VEHIDCODE],0))</f>
        <v>1</v>
      </c>
      <c r="N735" s="31" t="str">
        <f>"item_"&amp;CONTROL[[#This Row],[VEHIDCODE]]</f>
        <v>item_mu_Coach_Gen2_Steel_2_axle_Regional_Coach</v>
      </c>
      <c r="O735" s="31" t="str">
        <f>"str_"&amp;CONTROL[[#This Row],[VEHIDCODE]]</f>
        <v>str_mu_Coach_Gen2_Steel_2_axle_Regional_Coach</v>
      </c>
    </row>
    <row r="736" spans="1:15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t="s">
        <v>1664</v>
      </c>
      <c r="G736" t="s">
        <v>1749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ISNUMBER(_xlfn.XMATCH(CONTROL[[#This Row],[VEHIDCODE]],GRAPHICS_PROPERTIES[VEHIDCODE],0))</f>
        <v>1</v>
      </c>
      <c r="N736" s="31" t="str">
        <f>"item_"&amp;CONTROL[[#This Row],[VEHIDCODE]]</f>
        <v>item_mu_Coach_Gen2_Steel_2_axle_Mail_Coach</v>
      </c>
      <c r="O736" s="31" t="str">
        <f>"str_"&amp;CONTROL[[#This Row],[VEHIDCODE]]</f>
        <v>str_mu_Coach_Gen2_Steel_2_axle_Mail_Coach</v>
      </c>
    </row>
    <row r="737" spans="1:15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t="s">
        <v>1665</v>
      </c>
      <c r="G737" t="s">
        <v>1749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ISNUMBER(_xlfn.XMATCH(CONTROL[[#This Row],[VEHIDCODE]],GRAPHICS_PROPERTIES[VEHIDCODE],0))</f>
        <v>1</v>
      </c>
      <c r="N737" s="31" t="str">
        <f>"item_"&amp;CONTROL[[#This Row],[VEHIDCODE]]</f>
        <v>item_mu_Coach_Gen2_Steel_3_axle_Compartment_Coach</v>
      </c>
      <c r="O737" s="31" t="str">
        <f>"str_"&amp;CONTROL[[#This Row],[VEHIDCODE]]</f>
        <v>str_mu_Coach_Gen2_Steel_3_axle_Compartment_Coach</v>
      </c>
    </row>
    <row r="738" spans="1:15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t="s">
        <v>1666</v>
      </c>
      <c r="G738" t="s">
        <v>1749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ISNUMBER(_xlfn.XMATCH(CONTROL[[#This Row],[VEHIDCODE]],GRAPHICS_PROPERTIES[VEHIDCODE],0))</f>
        <v>1</v>
      </c>
      <c r="N738" s="31" t="str">
        <f>"item_"&amp;CONTROL[[#This Row],[VEHIDCODE]]</f>
        <v>item_mu_Coach_Gen2_Steel_3_axle_Regional_Coach</v>
      </c>
      <c r="O738" s="31" t="str">
        <f>"str_"&amp;CONTROL[[#This Row],[VEHIDCODE]]</f>
        <v>str_mu_Coach_Gen2_Steel_3_axle_Regional_Coach</v>
      </c>
    </row>
    <row r="739" spans="1:15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t="s">
        <v>1667</v>
      </c>
      <c r="G739" t="s">
        <v>1749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ISNUMBER(_xlfn.XMATCH(CONTROL[[#This Row],[VEHIDCODE]],GRAPHICS_PROPERTIES[VEHIDCODE],0))</f>
        <v>1</v>
      </c>
      <c r="N739" s="31" t="str">
        <f>"item_"&amp;CONTROL[[#This Row],[VEHIDCODE]]</f>
        <v>item_mu_Coach_Gen2_Steel_3_axle_Mail_Coach</v>
      </c>
      <c r="O739" s="31" t="str">
        <f>"str_"&amp;CONTROL[[#This Row],[VEHIDCODE]]</f>
        <v>str_mu_Coach_Gen2_Steel_3_axle_Mail_Coach</v>
      </c>
    </row>
    <row r="740" spans="1:15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t="s">
        <v>1668</v>
      </c>
      <c r="G740" t="s">
        <v>1749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ISNUMBER(_xlfn.XMATCH(CONTROL[[#This Row],[VEHIDCODE]],GRAPHICS_PROPERTIES[VEHIDCODE],0))</f>
        <v>1</v>
      </c>
      <c r="N740" s="31" t="str">
        <f>"item_"&amp;CONTROL[[#This Row],[VEHIDCODE]]</f>
        <v>item_mu_Coach_Gen3_Steel_Lightweight_Intercity_Coach</v>
      </c>
      <c r="O740" s="31" t="str">
        <f>"str_"&amp;CONTROL[[#This Row],[VEHIDCODE]]</f>
        <v>str_mu_Coach_Gen3_Steel_Lightweight_Intercity_Coach</v>
      </c>
    </row>
    <row r="741" spans="1:15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t="s">
        <v>1669</v>
      </c>
      <c r="G741" t="s">
        <v>1749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ISNUMBER(_xlfn.XMATCH(CONTROL[[#This Row],[VEHIDCODE]],GRAPHICS_PROPERTIES[VEHIDCODE],0))</f>
        <v>1</v>
      </c>
      <c r="N741" s="31" t="str">
        <f>"item_"&amp;CONTROL[[#This Row],[VEHIDCODE]]</f>
        <v>item_mu_Coach_Gen3_Steel_Lightweight_Regional_Coach</v>
      </c>
      <c r="O741" s="31" t="str">
        <f>"str_"&amp;CONTROL[[#This Row],[VEHIDCODE]]</f>
        <v>str_mu_Coach_Gen3_Steel_Lightweight_Regional_Coach</v>
      </c>
    </row>
    <row r="742" spans="1:15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t="s">
        <v>1670</v>
      </c>
      <c r="G742" t="s">
        <v>1749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ISNUMBER(_xlfn.XMATCH(CONTROL[[#This Row],[VEHIDCODE]],GRAPHICS_PROPERTIES[VEHIDCODE],0))</f>
        <v>1</v>
      </c>
      <c r="N742" s="31" t="str">
        <f>"item_"&amp;CONTROL[[#This Row],[VEHIDCODE]]</f>
        <v>item_mu_Coach_Gen3_Steel_Lightweight_Mail_Coach</v>
      </c>
      <c r="O742" s="31" t="str">
        <f>"str_"&amp;CONTROL[[#This Row],[VEHIDCODE]]</f>
        <v>str_mu_Coach_Gen3_Steel_Lightweight_Mail_Coach</v>
      </c>
    </row>
    <row r="743" spans="1:15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t="s">
        <v>1671</v>
      </c>
      <c r="G743" t="s">
        <v>1749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ISNUMBER(_xlfn.XMATCH(CONTROL[[#This Row],[VEHIDCODE]],GRAPHICS_PROPERTIES[VEHIDCODE],0))</f>
        <v>1</v>
      </c>
      <c r="N743" s="31" t="str">
        <f>"item_"&amp;CONTROL[[#This Row],[VEHIDCODE]]</f>
        <v>item_mu_Coach_Gen3_Aluminium_Lightweight_Intercity_Coach</v>
      </c>
      <c r="O743" s="31" t="str">
        <f>"str_"&amp;CONTROL[[#This Row],[VEHIDCODE]]</f>
        <v>str_mu_Coach_Gen3_Aluminium_Lightweight_Intercity_Coach</v>
      </c>
    </row>
    <row r="744" spans="1:15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t="s">
        <v>1672</v>
      </c>
      <c r="G744" t="s">
        <v>1749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ISNUMBER(_xlfn.XMATCH(CONTROL[[#This Row],[VEHIDCODE]],GRAPHICS_PROPERTIES[VEHIDCODE],0))</f>
        <v>1</v>
      </c>
      <c r="N744" s="31" t="str">
        <f>"item_"&amp;CONTROL[[#This Row],[VEHIDCODE]]</f>
        <v>item_mu_Coach_Gen3_Aluminium_Lightweight_Regional_Coach</v>
      </c>
      <c r="O744" s="31" t="str">
        <f>"str_"&amp;CONTROL[[#This Row],[VEHIDCODE]]</f>
        <v>str_mu_Coach_Gen3_Aluminium_Lightweight_Regional_Coach</v>
      </c>
    </row>
    <row r="745" spans="1:15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t="s">
        <v>1673</v>
      </c>
      <c r="G745" t="s">
        <v>1749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ISNUMBER(_xlfn.XMATCH(CONTROL[[#This Row],[VEHIDCODE]],GRAPHICS_PROPERTIES[VEHIDCODE],0))</f>
        <v>1</v>
      </c>
      <c r="N745" s="31" t="str">
        <f>"item_"&amp;CONTROL[[#This Row],[VEHIDCODE]]</f>
        <v>item_mu_Coach_Gen3_Aluminium_Lightweight_Mail_Coach</v>
      </c>
      <c r="O745" s="31" t="str">
        <f>"str_"&amp;CONTROL[[#This Row],[VEHIDCODE]]</f>
        <v>str_mu_Coach_Gen3_Aluminium_Lightweight_Mail_Coach</v>
      </c>
    </row>
    <row r="746" spans="1:15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t="s">
        <v>1674</v>
      </c>
      <c r="G746" t="s">
        <v>1749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ISNUMBER(_xlfn.XMATCH(CONTROL[[#This Row],[VEHIDCODE]],GRAPHICS_PROPERTIES[VEHIDCODE],0))</f>
        <v>1</v>
      </c>
      <c r="N746" s="31" t="str">
        <f>"item_"&amp;CONTROL[[#This Row],[VEHIDCODE]]</f>
        <v>item_mu_Coach_Gen3_Gallery_Car</v>
      </c>
      <c r="O746" s="31" t="str">
        <f>"str_"&amp;CONTROL[[#This Row],[VEHIDCODE]]</f>
        <v>str_mu_Coach_Gen3_Gallery_Car</v>
      </c>
    </row>
    <row r="747" spans="1:15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t="s">
        <v>1675</v>
      </c>
      <c r="G747" t="s">
        <v>1749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ISNUMBER(_xlfn.XMATCH(CONTROL[[#This Row],[VEHIDCODE]],GRAPHICS_PROPERTIES[VEHIDCODE],0))</f>
        <v>1</v>
      </c>
      <c r="N747" s="31" t="str">
        <f>"item_"&amp;CONTROL[[#This Row],[VEHIDCODE]]</f>
        <v>item_mu_Coach_Gen3_Mk1_Intercity_Coach</v>
      </c>
      <c r="O747" s="31" t="str">
        <f>"str_"&amp;CONTROL[[#This Row],[VEHIDCODE]]</f>
        <v>str_mu_Coach_Gen3_Mk1_Intercity_Coach</v>
      </c>
    </row>
    <row r="748" spans="1:15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t="s">
        <v>1676</v>
      </c>
      <c r="G748" t="s">
        <v>1749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ISNUMBER(_xlfn.XMATCH(CONTROL[[#This Row],[VEHIDCODE]],GRAPHICS_PROPERTIES[VEHIDCODE],0))</f>
        <v>1</v>
      </c>
      <c r="N748" s="31" t="str">
        <f>"item_"&amp;CONTROL[[#This Row],[VEHIDCODE]]</f>
        <v>item_mu_Coach_Gen3_Mk1_Regional_Coach</v>
      </c>
      <c r="O748" s="31" t="str">
        <f>"str_"&amp;CONTROL[[#This Row],[VEHIDCODE]]</f>
        <v>str_mu_Coach_Gen3_Mk1_Regional_Coach</v>
      </c>
    </row>
    <row r="749" spans="1:15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t="s">
        <v>1677</v>
      </c>
      <c r="G749" t="s">
        <v>1749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ISNUMBER(_xlfn.XMATCH(CONTROL[[#This Row],[VEHIDCODE]],GRAPHICS_PROPERTIES[VEHIDCODE],0))</f>
        <v>1</v>
      </c>
      <c r="N749" s="31" t="str">
        <f>"item_"&amp;CONTROL[[#This Row],[VEHIDCODE]]</f>
        <v>item_mu_Coach_Gen3_Mk1_Mail_Coach</v>
      </c>
      <c r="O749" s="31" t="str">
        <f>"str_"&amp;CONTROL[[#This Row],[VEHIDCODE]]</f>
        <v>str_mu_Coach_Gen3_Mk1_Mail_Coach</v>
      </c>
    </row>
    <row r="750" spans="1:15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t="s">
        <v>1678</v>
      </c>
      <c r="G750" t="s">
        <v>1749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ISNUMBER(_xlfn.XMATCH(CONTROL[[#This Row],[VEHIDCODE]],GRAPHICS_PROPERTIES[VEHIDCODE],0))</f>
        <v>1</v>
      </c>
      <c r="N750" s="31" t="str">
        <f>"item_"&amp;CONTROL[[#This Row],[VEHIDCODE]]</f>
        <v>item_mu_Coach_Gen3_UIC_X_Intercity_Coach</v>
      </c>
      <c r="O750" s="31" t="str">
        <f>"str_"&amp;CONTROL[[#This Row],[VEHIDCODE]]</f>
        <v>str_mu_Coach_Gen3_UIC_X_Intercity_Coach</v>
      </c>
    </row>
    <row r="751" spans="1:15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t="s">
        <v>1679</v>
      </c>
      <c r="G751" t="s">
        <v>1749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ISNUMBER(_xlfn.XMATCH(CONTROL[[#This Row],[VEHIDCODE]],GRAPHICS_PROPERTIES[VEHIDCODE],0))</f>
        <v>1</v>
      </c>
      <c r="N751" s="31" t="str">
        <f>"item_"&amp;CONTROL[[#This Row],[VEHIDCODE]]</f>
        <v>item_mu_Coach_Gen3_TEE_Intercity_Coach</v>
      </c>
      <c r="O751" s="31" t="str">
        <f>"str_"&amp;CONTROL[[#This Row],[VEHIDCODE]]</f>
        <v>str_mu_Coach_Gen3_TEE_Intercity_Coach</v>
      </c>
    </row>
    <row r="752" spans="1:15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t="s">
        <v>1680</v>
      </c>
      <c r="G752" t="s">
        <v>1749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ISNUMBER(_xlfn.XMATCH(CONTROL[[#This Row],[VEHIDCODE]],GRAPHICS_PROPERTIES[VEHIDCODE],0))</f>
        <v>1</v>
      </c>
      <c r="N752" s="31" t="str">
        <f>"item_"&amp;CONTROL[[#This Row],[VEHIDCODE]]</f>
        <v>item_mu_Coach_Gen3_UIC_X_Regional_Coach</v>
      </c>
      <c r="O752" s="31" t="str">
        <f>"str_"&amp;CONTROL[[#This Row],[VEHIDCODE]]</f>
        <v>str_mu_Coach_Gen3_UIC_X_Regional_Coach</v>
      </c>
    </row>
    <row r="753" spans="1:15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t="s">
        <v>1681</v>
      </c>
      <c r="G753" t="s">
        <v>1749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ISNUMBER(_xlfn.XMATCH(CONTROL[[#This Row],[VEHIDCODE]],GRAPHICS_PROPERTIES[VEHIDCODE],0))</f>
        <v>1</v>
      </c>
      <c r="N753" s="31" t="str">
        <f>"item_"&amp;CONTROL[[#This Row],[VEHIDCODE]]</f>
        <v>item_mu_Coach_Gen3_Umbauwagen_Local_Coach</v>
      </c>
      <c r="O753" s="31" t="str">
        <f>"str_"&amp;CONTROL[[#This Row],[VEHIDCODE]]</f>
        <v>str_mu_Coach_Gen3_Umbauwagen_Local_Coach</v>
      </c>
    </row>
    <row r="754" spans="1:15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t="s">
        <v>1682</v>
      </c>
      <c r="G754" t="s">
        <v>1749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ISNUMBER(_xlfn.XMATCH(CONTROL[[#This Row],[VEHIDCODE]],GRAPHICS_PROPERTIES[VEHIDCODE],0))</f>
        <v>1</v>
      </c>
      <c r="N754" s="31" t="str">
        <f>"item_"&amp;CONTROL[[#This Row],[VEHIDCODE]]</f>
        <v>item_mu_Coach_Gen3_Doppelstockwagen_Local_Coach</v>
      </c>
      <c r="O754" s="31" t="str">
        <f>"str_"&amp;CONTROL[[#This Row],[VEHIDCODE]]</f>
        <v>str_mu_Coach_Gen3_Doppelstockwagen_Local_Coach</v>
      </c>
    </row>
    <row r="755" spans="1:15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t="s">
        <v>1683</v>
      </c>
      <c r="G755" t="s">
        <v>1749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ISNUMBER(_xlfn.XMATCH(CONTROL[[#This Row],[VEHIDCODE]],GRAPHICS_PROPERTIES[VEHIDCODE],0))</f>
        <v>1</v>
      </c>
      <c r="N755" s="31" t="str">
        <f>"item_"&amp;CONTROL[[#This Row],[VEHIDCODE]]</f>
        <v>item_mu_Coach_Gen3_UIC_X_Mail_Coach</v>
      </c>
      <c r="O755" s="31" t="str">
        <f>"str_"&amp;CONTROL[[#This Row],[VEHIDCODE]]</f>
        <v>str_mu_Coach_Gen3_UIC_X_Mail_Coach</v>
      </c>
    </row>
    <row r="756" spans="1:15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t="s">
        <v>1684</v>
      </c>
      <c r="G756" t="s">
        <v>1749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ISNUMBER(_xlfn.XMATCH(CONTROL[[#This Row],[VEHIDCODE]],GRAPHICS_PROPERTIES[VEHIDCODE],0))</f>
        <v>1</v>
      </c>
      <c r="N756" s="31" t="str">
        <f>"item_"&amp;CONTROL[[#This Row],[VEHIDCODE]]</f>
        <v>item_mu_Coach_Gen3_Indian_Intercity_Coach</v>
      </c>
      <c r="O756" s="31" t="str">
        <f>"str_"&amp;CONTROL[[#This Row],[VEHIDCODE]]</f>
        <v>str_mu_Coach_Gen3_Indian_Intercity_Coach</v>
      </c>
    </row>
    <row r="757" spans="1:15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t="s">
        <v>1685</v>
      </c>
      <c r="G757" t="s">
        <v>1749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ISNUMBER(_xlfn.XMATCH(CONTROL[[#This Row],[VEHIDCODE]],GRAPHICS_PROPERTIES[VEHIDCODE],0))</f>
        <v>1</v>
      </c>
      <c r="N757" s="31" t="str">
        <f>"item_"&amp;CONTROL[[#This Row],[VEHIDCODE]]</f>
        <v>item_mu_Coach_Gen3_Indian_Local_Coach</v>
      </c>
      <c r="O757" s="31" t="str">
        <f>"str_"&amp;CONTROL[[#This Row],[VEHIDCODE]]</f>
        <v>str_mu_Coach_Gen3_Indian_Local_Coach</v>
      </c>
    </row>
    <row r="758" spans="1:15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t="s">
        <v>1686</v>
      </c>
      <c r="G758" t="s">
        <v>1749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ISNUMBER(_xlfn.XMATCH(CONTROL[[#This Row],[VEHIDCODE]],GRAPHICS_PROPERTIES[VEHIDCODE],0))</f>
        <v>1</v>
      </c>
      <c r="N758" s="31" t="str">
        <f>"item_"&amp;CONTROL[[#This Row],[VEHIDCODE]]</f>
        <v>item_mu_Coach_Gen3_Indian_Regional_Coach</v>
      </c>
      <c r="O758" s="31" t="str">
        <f>"str_"&amp;CONTROL[[#This Row],[VEHIDCODE]]</f>
        <v>str_mu_Coach_Gen3_Indian_Regional_Coach</v>
      </c>
    </row>
    <row r="759" spans="1:15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t="s">
        <v>1687</v>
      </c>
      <c r="G759" t="s">
        <v>1749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ISNUMBER(_xlfn.XMATCH(CONTROL[[#This Row],[VEHIDCODE]],GRAPHICS_PROPERTIES[VEHIDCODE],0))</f>
        <v>1</v>
      </c>
      <c r="N759" s="31" t="str">
        <f>"item_"&amp;CONTROL[[#This Row],[VEHIDCODE]]</f>
        <v>item_mu_Coach_Gen3_Indian_Mail_Coach</v>
      </c>
      <c r="O759" s="31" t="str">
        <f>"str_"&amp;CONTROL[[#This Row],[VEHIDCODE]]</f>
        <v>str_mu_Coach_Gen3_Indian_Mail_Coach</v>
      </c>
    </row>
    <row r="760" spans="1:15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t="s">
        <v>1688</v>
      </c>
      <c r="G760" t="s">
        <v>1749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ISNUMBER(_xlfn.XMATCH(CONTROL[[#This Row],[VEHIDCODE]],GRAPHICS_PROPERTIES[VEHIDCODE],0))</f>
        <v>1</v>
      </c>
      <c r="N760" s="31" t="str">
        <f>"item_"&amp;CONTROL[[#This Row],[VEHIDCODE]]</f>
        <v>item_mu_Coach_Gen4_Eurofima_Intercity_Coach</v>
      </c>
      <c r="O760" s="31" t="str">
        <f>"str_"&amp;CONTROL[[#This Row],[VEHIDCODE]]</f>
        <v>str_mu_Coach_Gen4_Eurofima_Intercity_Coach</v>
      </c>
    </row>
    <row r="761" spans="1:15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t="s">
        <v>1689</v>
      </c>
      <c r="G761" t="s">
        <v>1749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ISNUMBER(_xlfn.XMATCH(CONTROL[[#This Row],[VEHIDCODE]],GRAPHICS_PROPERTIES[VEHIDCODE],0))</f>
        <v>1</v>
      </c>
      <c r="N761" s="31" t="str">
        <f>"item_"&amp;CONTROL[[#This Row],[VEHIDCODE]]</f>
        <v>item_mu_Coach_Gen4_InterRegio_Coach</v>
      </c>
      <c r="O761" s="31" t="str">
        <f>"str_"&amp;CONTROL[[#This Row],[VEHIDCODE]]</f>
        <v>str_mu_Coach_Gen4_InterRegio_Coach</v>
      </c>
    </row>
    <row r="762" spans="1:15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t="s">
        <v>1690</v>
      </c>
      <c r="G762" t="s">
        <v>1749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ISNUMBER(_xlfn.XMATCH(CONTROL[[#This Row],[VEHIDCODE]],GRAPHICS_PROPERTIES[VEHIDCODE],0))</f>
        <v>1</v>
      </c>
      <c r="N762" s="31" t="str">
        <f>"item_"&amp;CONTROL[[#This Row],[VEHIDCODE]]</f>
        <v>item_mu_Coach_Gen4_Silberling_Commuter_Coach</v>
      </c>
      <c r="O762" s="31" t="str">
        <f>"str_"&amp;CONTROL[[#This Row],[VEHIDCODE]]</f>
        <v>str_mu_Coach_Gen4_Silberling_Commuter_Coach</v>
      </c>
    </row>
    <row r="763" spans="1:15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t="s">
        <v>1691</v>
      </c>
      <c r="G763" t="s">
        <v>1749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ISNUMBER(_xlfn.XMATCH(CONTROL[[#This Row],[VEHIDCODE]],GRAPHICS_PROPERTIES[VEHIDCODE],0))</f>
        <v>1</v>
      </c>
      <c r="N763" s="31" t="str">
        <f>"item_"&amp;CONTROL[[#This Row],[VEHIDCODE]]</f>
        <v>item_mu_Coach_Gen4_Eurofima_Mail_Coach</v>
      </c>
      <c r="O763" s="31" t="str">
        <f>"str_"&amp;CONTROL[[#This Row],[VEHIDCODE]]</f>
        <v>str_mu_Coach_Gen4_Eurofima_Mail_Coach</v>
      </c>
    </row>
    <row r="764" spans="1:15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t="s">
        <v>1692</v>
      </c>
      <c r="G764" t="s">
        <v>1749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ISNUMBER(_xlfn.XMATCH(CONTROL[[#This Row],[VEHIDCODE]],GRAPHICS_PROPERTIES[VEHIDCODE],0))</f>
        <v>1</v>
      </c>
      <c r="N764" s="31" t="str">
        <f>"item_"&amp;CONTROL[[#This Row],[VEHIDCODE]]</f>
        <v>item_mu_Coach_Gen4_Double_Decker_Coach</v>
      </c>
      <c r="O764" s="31" t="str">
        <f>"str_"&amp;CONTROL[[#This Row],[VEHIDCODE]]</f>
        <v>str_mu_Coach_Gen4_Double_Decker_Coach</v>
      </c>
    </row>
    <row r="765" spans="1:15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t="s">
        <v>1693</v>
      </c>
      <c r="G765" t="s">
        <v>1749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ISNUMBER(_xlfn.XMATCH(CONTROL[[#This Row],[VEHIDCODE]],GRAPHICS_PROPERTIES[VEHIDCODE],0))</f>
        <v>1</v>
      </c>
      <c r="N765" s="31" t="str">
        <f>"item_"&amp;CONTROL[[#This Row],[VEHIDCODE]]</f>
        <v>item_mu_Coach_Gen4_Russian_Intercity_Coach</v>
      </c>
      <c r="O765" s="31" t="str">
        <f>"str_"&amp;CONTROL[[#This Row],[VEHIDCODE]]</f>
        <v>str_mu_Coach_Gen4_Russian_Intercity_Coach</v>
      </c>
    </row>
    <row r="766" spans="1:15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t="s">
        <v>1694</v>
      </c>
      <c r="G766" t="s">
        <v>1749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ISNUMBER(_xlfn.XMATCH(CONTROL[[#This Row],[VEHIDCODE]],GRAPHICS_PROPERTIES[VEHIDCODE],0))</f>
        <v>1</v>
      </c>
      <c r="N766" s="31" t="str">
        <f>"item_"&amp;CONTROL[[#This Row],[VEHIDCODE]]</f>
        <v>item_mu_Coach_Gen4_Russian_Regional_Coach</v>
      </c>
      <c r="O766" s="31" t="str">
        <f>"str_"&amp;CONTROL[[#This Row],[VEHIDCODE]]</f>
        <v>str_mu_Coach_Gen4_Russian_Regional_Coach</v>
      </c>
    </row>
    <row r="767" spans="1:15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t="s">
        <v>1695</v>
      </c>
      <c r="G767" t="s">
        <v>1749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ISNUMBER(_xlfn.XMATCH(CONTROL[[#This Row],[VEHIDCODE]],GRAPHICS_PROPERTIES[VEHIDCODE],0))</f>
        <v>1</v>
      </c>
      <c r="N767" s="31" t="str">
        <f>"item_"&amp;CONTROL[[#This Row],[VEHIDCODE]]</f>
        <v>item_mu_Coach_Gen4_Russian_Mail_Coach</v>
      </c>
      <c r="O767" s="31" t="str">
        <f>"str_"&amp;CONTROL[[#This Row],[VEHIDCODE]]</f>
        <v>str_mu_Coach_Gen4_Russian_Mail_Coach</v>
      </c>
    </row>
    <row r="768" spans="1:15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t="s">
        <v>1696</v>
      </c>
      <c r="G768" t="s">
        <v>1749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ISNUMBER(_xlfn.XMATCH(CONTROL[[#This Row],[VEHIDCODE]],GRAPHICS_PROPERTIES[VEHIDCODE],0))</f>
        <v>1</v>
      </c>
      <c r="N768" s="31" t="str">
        <f>"item_"&amp;CONTROL[[#This Row],[VEHIDCODE]]</f>
        <v>item_mu_Coach_Gen4_Superliner_Coach</v>
      </c>
      <c r="O768" s="31" t="str">
        <f>"str_"&amp;CONTROL[[#This Row],[VEHIDCODE]]</f>
        <v>str_mu_Coach_Gen4_Superliner_Coach</v>
      </c>
    </row>
    <row r="769" spans="1:15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t="s">
        <v>1697</v>
      </c>
      <c r="G769" t="s">
        <v>1749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ISNUMBER(_xlfn.XMATCH(CONTROL[[#This Row],[VEHIDCODE]],GRAPHICS_PROPERTIES[VEHIDCODE],0))</f>
        <v>1</v>
      </c>
      <c r="N769" s="31" t="str">
        <f>"item_"&amp;CONTROL[[#This Row],[VEHIDCODE]]</f>
        <v>item_mu_Coach_Gen4_Superliner_California</v>
      </c>
      <c r="O769" s="31" t="str">
        <f>"str_"&amp;CONTROL[[#This Row],[VEHIDCODE]]</f>
        <v>str_mu_Coach_Gen4_Superliner_California</v>
      </c>
    </row>
    <row r="770" spans="1:15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t="s">
        <v>1698</v>
      </c>
      <c r="G770" t="s">
        <v>1749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ISNUMBER(_xlfn.XMATCH(CONTROL[[#This Row],[VEHIDCODE]],GRAPHICS_PROPERTIES[VEHIDCODE],0))</f>
        <v>1</v>
      </c>
      <c r="N770" s="31" t="str">
        <f>"item_"&amp;CONTROL[[#This Row],[VEHIDCODE]]</f>
        <v>item_mu_Coach_Gen4_Amfleet_Regional_Coach</v>
      </c>
      <c r="O770" s="31" t="str">
        <f>"str_"&amp;CONTROL[[#This Row],[VEHIDCODE]]</f>
        <v>str_mu_Coach_Gen4_Amfleet_Regional_Coach</v>
      </c>
    </row>
    <row r="771" spans="1:15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t="s">
        <v>1699</v>
      </c>
      <c r="G771" t="s">
        <v>1749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ISNUMBER(_xlfn.XMATCH(CONTROL[[#This Row],[VEHIDCODE]],GRAPHICS_PROPERTIES[VEHIDCODE],0))</f>
        <v>1</v>
      </c>
      <c r="N771" s="31" t="str">
        <f>"item_"&amp;CONTROL[[#This Row],[VEHIDCODE]]</f>
        <v>item_mu_Coach_Gen4_Amfleet_Intercity_Coach</v>
      </c>
      <c r="O771" s="31" t="str">
        <f>"str_"&amp;CONTROL[[#This Row],[VEHIDCODE]]</f>
        <v>str_mu_Coach_Gen4_Amfleet_Intercity_Coach</v>
      </c>
    </row>
    <row r="772" spans="1:15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t="s">
        <v>1700</v>
      </c>
      <c r="G772" t="s">
        <v>1749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ISNUMBER(_xlfn.XMATCH(CONTROL[[#This Row],[VEHIDCODE]],GRAPHICS_PROPERTIES[VEHIDCODE],0))</f>
        <v>1</v>
      </c>
      <c r="N772" s="31" t="str">
        <f>"item_"&amp;CONTROL[[#This Row],[VEHIDCODE]]</f>
        <v>item_mu_Coach_Gen4_Comet_Commuter_Coach</v>
      </c>
      <c r="O772" s="31" t="str">
        <f>"str_"&amp;CONTROL[[#This Row],[VEHIDCODE]]</f>
        <v>str_mu_Coach_Gen4_Comet_Commuter_Coach</v>
      </c>
    </row>
    <row r="773" spans="1:15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t="s">
        <v>1701</v>
      </c>
      <c r="G773" t="s">
        <v>1749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ISNUMBER(_xlfn.XMATCH(CONTROL[[#This Row],[VEHIDCODE]],GRAPHICS_PROPERTIES[VEHIDCODE],0))</f>
        <v>1</v>
      </c>
      <c r="N773" s="31" t="str">
        <f>"item_"&amp;CONTROL[[#This Row],[VEHIDCODE]]</f>
        <v>item_mu_Coach_Gen4_Horizon_Regional_Coach</v>
      </c>
      <c r="O773" s="31" t="str">
        <f>"str_"&amp;CONTROL[[#This Row],[VEHIDCODE]]</f>
        <v>str_mu_Coach_Gen4_Horizon_Regional_Coach</v>
      </c>
    </row>
    <row r="774" spans="1:15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t="s">
        <v>1702</v>
      </c>
      <c r="G774" t="s">
        <v>1749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ISNUMBER(_xlfn.XMATCH(CONTROL[[#This Row],[VEHIDCODE]],GRAPHICS_PROPERTIES[VEHIDCODE],0))</f>
        <v>1</v>
      </c>
      <c r="N774" s="31" t="str">
        <f>"item_"&amp;CONTROL[[#This Row],[VEHIDCODE]]</f>
        <v>item_mu_Coach_Gen4_Horizon_Baggage_Coach</v>
      </c>
      <c r="O774" s="31" t="str">
        <f>"str_"&amp;CONTROL[[#This Row],[VEHIDCODE]]</f>
        <v>str_mu_Coach_Gen4_Horizon_Baggage_Coach</v>
      </c>
    </row>
    <row r="775" spans="1:15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t="s">
        <v>1703</v>
      </c>
      <c r="G775" t="s">
        <v>1749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ISNUMBER(_xlfn.XMATCH(CONTROL[[#This Row],[VEHIDCODE]],GRAPHICS_PROPERTIES[VEHIDCODE],0))</f>
        <v>1</v>
      </c>
      <c r="N775" s="31" t="str">
        <f>"item_"&amp;CONTROL[[#This Row],[VEHIDCODE]]</f>
        <v>item_mu_Coach_Gen4_Bombardier_Bi_level</v>
      </c>
      <c r="O775" s="31" t="str">
        <f>"str_"&amp;CONTROL[[#This Row],[VEHIDCODE]]</f>
        <v>str_mu_Coach_Gen4_Bombardier_Bi_level</v>
      </c>
    </row>
    <row r="776" spans="1:15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t="s">
        <v>1704</v>
      </c>
      <c r="G776" t="s">
        <v>1749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ISNUMBER(_xlfn.XMATCH(CONTROL[[#This Row],[VEHIDCODE]],GRAPHICS_PROPERTIES[VEHIDCODE],0))</f>
        <v>1</v>
      </c>
      <c r="N776" s="31" t="str">
        <f>"item_"&amp;CONTROL[[#This Row],[VEHIDCODE]]</f>
        <v>item_mu_Coach_Gen5_High_Speed_Coach</v>
      </c>
      <c r="O776" s="31" t="str">
        <f>"str_"&amp;CONTROL[[#This Row],[VEHIDCODE]]</f>
        <v>str_mu_Coach_Gen5_High_Speed_Coach</v>
      </c>
    </row>
    <row r="777" spans="1:15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t="s">
        <v>1705</v>
      </c>
      <c r="G777" t="s">
        <v>1749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ISNUMBER(_xlfn.XMATCH(CONTROL[[#This Row],[VEHIDCODE]],GRAPHICS_PROPERTIES[VEHIDCODE],0))</f>
        <v>1</v>
      </c>
      <c r="N777" s="31" t="str">
        <f>"item_"&amp;CONTROL[[#This Row],[VEHIDCODE]]</f>
        <v>item_mu_Coach_Gen5_Modern_Regional_Coach</v>
      </c>
      <c r="O777" s="31" t="str">
        <f>"str_"&amp;CONTROL[[#This Row],[VEHIDCODE]]</f>
        <v>str_mu_Coach_Gen5_Modern_Regional_Coach</v>
      </c>
    </row>
    <row r="778" spans="1:15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t="s">
        <v>1706</v>
      </c>
      <c r="G778" t="s">
        <v>1749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ISNUMBER(_xlfn.XMATCH(CONTROL[[#This Row],[VEHIDCODE]],GRAPHICS_PROPERTIES[VEHIDCODE],0))</f>
        <v>1</v>
      </c>
      <c r="N778" s="31" t="str">
        <f>"item_"&amp;CONTROL[[#This Row],[VEHIDCODE]]</f>
        <v>item_mu_Coach_Gen5_Modern_Commuter_Coach</v>
      </c>
      <c r="O778" s="31" t="str">
        <f>"str_"&amp;CONTROL[[#This Row],[VEHIDCODE]]</f>
        <v>str_mu_Coach_Gen5_Modern_Commuter_Coach</v>
      </c>
    </row>
    <row r="779" spans="1:15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t="s">
        <v>1707</v>
      </c>
      <c r="G779" t="s">
        <v>1749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ISNUMBER(_xlfn.XMATCH(CONTROL[[#This Row],[VEHIDCODE]],GRAPHICS_PROPERTIES[VEHIDCODE],0))</f>
        <v>1</v>
      </c>
      <c r="N779" s="31" t="str">
        <f>"item_"&amp;CONTROL[[#This Row],[VEHIDCODE]]</f>
        <v>item_mu_Coach_Gen5_Modern_Double_Decker_Coach</v>
      </c>
      <c r="O779" s="31" t="str">
        <f>"str_"&amp;CONTROL[[#This Row],[VEHIDCODE]]</f>
        <v>str_mu_Coach_Gen5_Modern_Double_Decker_Coach</v>
      </c>
    </row>
    <row r="780" spans="1:15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t="s">
        <v>1708</v>
      </c>
      <c r="G780" t="s">
        <v>1749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ISNUMBER(_xlfn.XMATCH(CONTROL[[#This Row],[VEHIDCODE]],GRAPHICS_PROPERTIES[VEHIDCODE],0))</f>
        <v>1</v>
      </c>
      <c r="N780" s="31" t="str">
        <f>"item_"&amp;CONTROL[[#This Row],[VEHIDCODE]]</f>
        <v>item_mu_Coach_Gen5_High_Speed_Double_Decker_IC2000</v>
      </c>
      <c r="O780" s="31" t="str">
        <f>"str_"&amp;CONTROL[[#This Row],[VEHIDCODE]]</f>
        <v>str_mu_Coach_Gen5_High_Speed_Double_Decker_IC2000</v>
      </c>
    </row>
    <row r="781" spans="1:15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t="s">
        <v>1709</v>
      </c>
      <c r="G781" t="s">
        <v>1749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ISNUMBER(_xlfn.XMATCH(CONTROL[[#This Row],[VEHIDCODE]],GRAPHICS_PROPERTIES[VEHIDCODE],0))</f>
        <v>1</v>
      </c>
      <c r="N781" s="31" t="str">
        <f>"item_"&amp;CONTROL[[#This Row],[VEHIDCODE]]</f>
        <v>item_mu_Coach_Gen5_High_Speed_Mail_Coach</v>
      </c>
      <c r="O781" s="31" t="str">
        <f>"str_"&amp;CONTROL[[#This Row],[VEHIDCODE]]</f>
        <v>str_mu_Coach_Gen5_High_Speed_Mail_Coach</v>
      </c>
    </row>
    <row r="782" spans="1:15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t="s">
        <v>1710</v>
      </c>
      <c r="G782" t="s">
        <v>1749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ISNUMBER(_xlfn.XMATCH(CONTROL[[#This Row],[VEHIDCODE]],GRAPHICS_PROPERTIES[VEHIDCODE],0))</f>
        <v>1</v>
      </c>
      <c r="N782" s="31" t="str">
        <f>"item_"&amp;CONTROL[[#This Row],[VEHIDCODE]]</f>
        <v>item_mu_Coach_Gen5_Talgo_Pendular</v>
      </c>
      <c r="O782" s="31" t="str">
        <f>"str_"&amp;CONTROL[[#This Row],[VEHIDCODE]]</f>
        <v>str_mu_Coach_Gen5_Talgo_Pendular</v>
      </c>
    </row>
    <row r="783" spans="1:15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t="s">
        <v>1711</v>
      </c>
      <c r="G783" t="s">
        <v>1749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ISNUMBER(_xlfn.XMATCH(CONTROL[[#This Row],[VEHIDCODE]],GRAPHICS_PROPERTIES[VEHIDCODE],0))</f>
        <v>1</v>
      </c>
      <c r="N783" s="31" t="str">
        <f>"item_"&amp;CONTROL[[#This Row],[VEHIDCODE]]</f>
        <v>item_mu_Coach_Gen5_Talgo_Pendular_Mail</v>
      </c>
      <c r="O783" s="31" t="str">
        <f>"str_"&amp;CONTROL[[#This Row],[VEHIDCODE]]</f>
        <v>str_mu_Coach_Gen5_Talgo_Pendular_Mail</v>
      </c>
    </row>
    <row r="784" spans="1:15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t="s">
        <v>1712</v>
      </c>
      <c r="G784" t="s">
        <v>1749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ISNUMBER(_xlfn.XMATCH(CONTROL[[#This Row],[VEHIDCODE]],GRAPHICS_PROPERTIES[VEHIDCODE],0))</f>
        <v>1</v>
      </c>
      <c r="N784" s="31" t="str">
        <f>"item_"&amp;CONTROL[[#This Row],[VEHIDCODE]]</f>
        <v>item_mu_Coach_Gen6_Grand_Voyager_Coach</v>
      </c>
      <c r="O784" s="31" t="str">
        <f>"str_"&amp;CONTROL[[#This Row],[VEHIDCODE]]</f>
        <v>str_mu_Coach_Gen6_Grand_Voyager_Coach</v>
      </c>
    </row>
    <row r="785" spans="1:15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t="s">
        <v>1713</v>
      </c>
      <c r="G785" t="s">
        <v>1749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ISNUMBER(_xlfn.XMATCH(CONTROL[[#This Row],[VEHIDCODE]],GRAPHICS_PROPERTIES[VEHIDCODE],0))</f>
        <v>1</v>
      </c>
      <c r="N785" s="31" t="str">
        <f>"item_"&amp;CONTROL[[#This Row],[VEHIDCODE]]</f>
        <v>item_mu_Coach_Gen6_Grand_Regio_Coach</v>
      </c>
      <c r="O785" s="31" t="str">
        <f>"str_"&amp;CONTROL[[#This Row],[VEHIDCODE]]</f>
        <v>str_mu_Coach_Gen6_Grand_Regio_Coach</v>
      </c>
    </row>
    <row r="786" spans="1:15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t="s">
        <v>1714</v>
      </c>
      <c r="G786" t="s">
        <v>1749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ISNUMBER(_xlfn.XMATCH(CONTROL[[#This Row],[VEHIDCODE]],GRAPHICS_PROPERTIES[VEHIDCODE],0))</f>
        <v>1</v>
      </c>
      <c r="N786" s="31" t="str">
        <f>"item_"&amp;CONTROL[[#This Row],[VEHIDCODE]]</f>
        <v>item_mu_Coach_Gen6_Metropolis_Coach</v>
      </c>
      <c r="O786" s="31" t="str">
        <f>"str_"&amp;CONTROL[[#This Row],[VEHIDCODE]]</f>
        <v>str_mu_Coach_Gen6_Metropolis_Coach</v>
      </c>
    </row>
    <row r="787" spans="1:15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t="s">
        <v>1715</v>
      </c>
      <c r="G787" t="s">
        <v>1749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ISNUMBER(_xlfn.XMATCH(CONTROL[[#This Row],[VEHIDCODE]],GRAPHICS_PROPERTIES[VEHIDCODE],0))</f>
        <v>1</v>
      </c>
      <c r="N787" s="31" t="str">
        <f>"item_"&amp;CONTROL[[#This Row],[VEHIDCODE]]</f>
        <v>item_mu_Coach_Gen6_Speedmail_Coach</v>
      </c>
      <c r="O787" s="31" t="str">
        <f>"str_"&amp;CONTROL[[#This Row],[VEHIDCODE]]</f>
        <v>str_mu_Coach_Gen6_Speedmail_Coach</v>
      </c>
    </row>
    <row r="788" spans="1:15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t="s">
        <v>1716</v>
      </c>
      <c r="G788" t="s">
        <v>1749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ISNUMBER(_xlfn.XMATCH(CONTROL[[#This Row],[VEHIDCODE]],GRAPHICS_PROPERTIES[VEHIDCODE],0))</f>
        <v>1</v>
      </c>
      <c r="N788" s="31" t="str">
        <f>"item_"&amp;CONTROL[[#This Row],[VEHIDCODE]]</f>
        <v>item_mu_Coach_Gen6_Super_Regio_Coach</v>
      </c>
      <c r="O788" s="31" t="str">
        <f>"str_"&amp;CONTROL[[#This Row],[VEHIDCODE]]</f>
        <v>str_mu_Coach_Gen6_Super_Regio_Coach</v>
      </c>
    </row>
    <row r="789" spans="1:15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t="s">
        <v>1717</v>
      </c>
      <c r="G789" t="s">
        <v>1749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ISNUMBER(_xlfn.XMATCH(CONTROL[[#This Row],[VEHIDCODE]],GRAPHICS_PROPERTIES[VEHIDCODE],0))</f>
        <v>1</v>
      </c>
      <c r="N789" s="31" t="str">
        <f>"item_"&amp;CONTROL[[#This Row],[VEHIDCODE]]</f>
        <v>item_mu_Coach_Gen6_Super_Voyager_Coach</v>
      </c>
      <c r="O789" s="31" t="str">
        <f>"str_"&amp;CONTROL[[#This Row],[VEHIDCODE]]</f>
        <v>str_mu_Coach_Gen6_Super_Voyager_Coach</v>
      </c>
    </row>
    <row r="790" spans="1:15">
      <c r="A790" t="s">
        <v>1753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t="s">
        <v>1754</v>
      </c>
      <c r="G790" t="s">
        <v>1749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ISNUMBER(_xlfn.XMATCH(CONTROL[[#This Row],[VEHIDCODE]],GRAPHICS_PROPERTIES[VEHIDCODE],0))</f>
        <v>1</v>
      </c>
      <c r="N790" s="31" t="str">
        <f>"item_"&amp;CONTROL[[#This Row],[VEHIDCODE]]</f>
        <v>item_diesel_Gabon_Alsthom_AD30B</v>
      </c>
      <c r="O790" s="31" t="str">
        <f>"str_"&amp;CONTROL[[#This Row],[VEHIDCODE]]</f>
        <v>str_diesel_Gabon_Alsthom_AD30B</v>
      </c>
    </row>
    <row r="791" spans="1:15">
      <c r="A791" t="s">
        <v>1756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t="s">
        <v>1755</v>
      </c>
      <c r="G791" t="s">
        <v>2433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ISNUMBER(_xlfn.XMATCH(CONTROL[[#This Row],[VEHIDCODE]],GRAPHICS_PROPERTIES[VEHIDCODE],0))</f>
        <v>1</v>
      </c>
      <c r="N791" s="31" t="str">
        <f>"item_"&amp;CONTROL[[#This Row],[VEHIDCODE]]</f>
        <v>item_steam_South_Africa_Katanga_Mikado_2_8_2</v>
      </c>
      <c r="O791" s="31" t="str">
        <f>"str_"&amp;CONTROL[[#This Row],[VEHIDCODE]]</f>
        <v>str_steam_South_Africa_Katanga_Mikado_2_8_2</v>
      </c>
    </row>
    <row r="792" spans="1:15">
      <c r="A792" s="2" t="s">
        <v>2849</v>
      </c>
      <c r="B792" s="31" t="str">
        <f>_xlfn.TEXTAFTER(CONTROL[[#This Row],[VEHIDCODE]],"_")</f>
        <v>Japan_JR_Freight_M250</v>
      </c>
      <c r="C792" t="s">
        <v>2847</v>
      </c>
      <c r="D792" t="s">
        <v>2844</v>
      </c>
      <c r="E792">
        <v>19000</v>
      </c>
      <c r="F792" t="s">
        <v>2848</v>
      </c>
      <c r="G792" t="s">
        <v>2927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ISNUMBER(_xlfn.XMATCH(CONTROL[[#This Row],[VEHIDCODE]],GRAPHICS_PROPERTIES[VEHIDCODE],0))</f>
        <v>1</v>
      </c>
      <c r="N792" s="31" t="str">
        <f>"item_"&amp;CONTROL[[#This Row],[VEHIDCODE]]</f>
        <v>item_cargoemu_Japan_JR_Freight_M250</v>
      </c>
      <c r="O792" s="31" t="str">
        <f>"str_"&amp;CONTROL[[#This Row],[VEHIDCODE]]</f>
        <v>str_cargoemu_Japan_JR_Freight_M250</v>
      </c>
    </row>
    <row r="793" spans="1:15">
      <c r="A793" t="s">
        <v>3000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t="s">
        <v>3023</v>
      </c>
      <c r="G793" t="s">
        <v>3001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ISNUMBER(_xlfn.XMATCH(CONTROL[[#This Row],[VEHIDCODE]],GRAPHICS_PROPERTIES[VEHIDCODE],0))</f>
        <v>1</v>
      </c>
      <c r="N793" s="31" t="str">
        <f>"item_"&amp;CONTROL[[#This Row],[VEHIDCODE]]</f>
        <v>item_rbs_Gemany_Hessian_Ludwig_Railway_Type_Thomas</v>
      </c>
      <c r="O793" s="31" t="str">
        <f>"str_"&amp;CONTROL[[#This Row],[VEHIDCODE]]</f>
        <v>str_rbs_Gemany_Hessian_Ludwig_Railway_Type_Thomas</v>
      </c>
    </row>
    <row r="794" spans="1:15">
      <c r="A794" s="2" t="s">
        <v>3002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t="s">
        <v>3004</v>
      </c>
      <c r="G794" t="s">
        <v>2283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ISNUMBER(_xlfn.XMATCH(CONTROL[[#This Row],[VEHIDCODE]],GRAPHICS_PROPERTIES[VEHIDCODE],0))</f>
        <v>1</v>
      </c>
      <c r="N794" s="31" t="str">
        <f>"item_"&amp;CONTROL[[#This Row],[VEHIDCODE]]</f>
        <v>item_rbs_Austria_NOLB_30_33</v>
      </c>
      <c r="O794" s="31" t="str">
        <f>"str_"&amp;CONTROL[[#This Row],[VEHIDCODE]]</f>
        <v>str_rbs_Austria_NOLB_30_33</v>
      </c>
    </row>
    <row r="795" spans="1:15">
      <c r="A795" t="s">
        <v>3006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t="s">
        <v>3022</v>
      </c>
      <c r="G795" t="s">
        <v>3005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ISNUMBER(_xlfn.XMATCH(CONTROL[[#This Row],[VEHIDCODE]],GRAPHICS_PROPERTIES[VEHIDCODE],0))</f>
        <v>1</v>
      </c>
      <c r="N795" s="31" t="str">
        <f>"item_"&amp;CONTROL[[#This Row],[VEHIDCODE]]</f>
        <v>item_steam_Mozambique_Mozambique_Railways_No_101</v>
      </c>
      <c r="O795" s="31" t="str">
        <f>"str_"&amp;CONTROL[[#This Row],[VEHIDCODE]]</f>
        <v>str_steam_Mozambique_Mozambique_Railways_No_101</v>
      </c>
    </row>
    <row r="796" spans="1:15">
      <c r="A796" t="s">
        <v>3008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s="39" t="s">
        <v>3021</v>
      </c>
      <c r="G796" t="s">
        <v>3007</v>
      </c>
      <c r="H796" s="40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s="39" t="b">
        <f>ISNUMBER(_xlfn.XMATCH(CONTROL[[#This Row],[VEHIDCODE]],TRACK_TYPES[VEHIDCODE],0))</f>
        <v>1</v>
      </c>
      <c r="K796" s="39" t="b">
        <f>ISNUMBER(_xlfn.XMATCH(CONTROL[[#This Row],[VEHIDCODE]],PROPERTIES[VEHIDCODE],0))</f>
        <v>1</v>
      </c>
      <c r="L796" s="39" t="b">
        <f>ISNUMBER(_xlfn.XMATCH(CONTROL[[#This Row],[VEHIDCODE]],FLAGS[VEHIDCODE],0))</f>
        <v>1</v>
      </c>
      <c r="M796" s="39" t="b">
        <f>ISNUMBER(_xlfn.XMATCH(CONTROL[[#This Row],[VEHIDCODE]],GRAPHICS_PROPERTIES[VEHIDCODE],0))</f>
        <v>1</v>
      </c>
      <c r="N796" s="41" t="str">
        <f>"item_"&amp;CONTROL[[#This Row],[VEHIDCODE]]</f>
        <v>item_steam_Ivory_Coast_Golwe_2_6_0_0_6_2T</v>
      </c>
      <c r="O796" s="41" t="str">
        <f>"str_"&amp;CONTROL[[#This Row],[VEHIDCODE]]</f>
        <v>str_steam_Ivory_Coast_Golwe_2_6_0_0_6_2T</v>
      </c>
    </row>
    <row r="797" spans="1:15">
      <c r="A797" t="s">
        <v>3026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t="s">
        <v>3024</v>
      </c>
      <c r="G797" t="s">
        <v>3025</v>
      </c>
      <c r="H797" s="40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s="39" t="b">
        <f>ISNUMBER(_xlfn.XMATCH(CONTROL[[#This Row],[VEHIDCODE]],TRACK_TYPES[VEHIDCODE],0))</f>
        <v>1</v>
      </c>
      <c r="K797" s="39" t="b">
        <f>ISNUMBER(_xlfn.XMATCH(CONTROL[[#This Row],[VEHIDCODE]],PROPERTIES[VEHIDCODE],0))</f>
        <v>1</v>
      </c>
      <c r="L797" s="39" t="b">
        <f>ISNUMBER(_xlfn.XMATCH(CONTROL[[#This Row],[VEHIDCODE]],FLAGS[VEHIDCODE],0))</f>
        <v>1</v>
      </c>
      <c r="M797" s="39" t="b">
        <f>ISNUMBER(_xlfn.XMATCH(CONTROL[[#This Row],[VEHIDCODE]],GRAPHICS_PROPERTIES[VEHIDCODE],0))</f>
        <v>1</v>
      </c>
      <c r="N797" s="41" t="str">
        <f>"item_"&amp;CONTROL[[#This Row],[VEHIDCODE]]</f>
        <v>item_diesel_Ghana_Railway_Corporation_Class_TT12</v>
      </c>
      <c r="O797" s="41" t="str">
        <f>"str_"&amp;CONTROL[[#This Row],[VEHIDCODE]]</f>
        <v>str_diesel_Ghana_Railway_Corporation_Class_TT12</v>
      </c>
    </row>
    <row r="798" spans="1:15">
      <c r="A798" t="s">
        <v>3028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s="39" t="s">
        <v>3029</v>
      </c>
      <c r="G798" t="s">
        <v>3030</v>
      </c>
      <c r="H798" s="40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s="39" t="b">
        <f>ISNUMBER(_xlfn.XMATCH(CONTROL[[#This Row],[VEHIDCODE]],TRACK_TYPES[VEHIDCODE],0))</f>
        <v>1</v>
      </c>
      <c r="K798" s="39" t="b">
        <f>ISNUMBER(_xlfn.XMATCH(CONTROL[[#This Row],[VEHIDCODE]],PROPERTIES[VEHIDCODE],0))</f>
        <v>1</v>
      </c>
      <c r="L798" s="39" t="b">
        <f>ISNUMBER(_xlfn.XMATCH(CONTROL[[#This Row],[VEHIDCODE]],FLAGS[VEHIDCODE],0))</f>
        <v>1</v>
      </c>
      <c r="M798" s="39" t="b">
        <f>ISNUMBER(_xlfn.XMATCH(CONTROL[[#This Row],[VEHIDCODE]],GRAPHICS_PROPERTIES[VEHIDCODE],0))</f>
        <v>1</v>
      </c>
      <c r="N798" s="41" t="str">
        <f>"item_"&amp;CONTROL[[#This Row],[VEHIDCODE]]</f>
        <v>item_diesel_Sierra_Leone_LAMCO_301_Series</v>
      </c>
      <c r="O798" s="41" t="str">
        <f>"str_"&amp;CONTROL[[#This Row],[VEHIDCODE]]</f>
        <v>str_diesel_Sierra_Leone_LAMCO_301_Series</v>
      </c>
    </row>
    <row r="799" spans="1:15">
      <c r="A799" t="s">
        <v>3031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s="39" t="s">
        <v>3033</v>
      </c>
      <c r="G799" t="s">
        <v>3032</v>
      </c>
      <c r="H799" s="40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s="39" t="b">
        <f>ISNUMBER(_xlfn.XMATCH(CONTROL[[#This Row],[VEHIDCODE]],TRACK_TYPES[VEHIDCODE],0))</f>
        <v>1</v>
      </c>
      <c r="K799" s="39" t="b">
        <f>ISNUMBER(_xlfn.XMATCH(CONTROL[[#This Row],[VEHIDCODE]],PROPERTIES[VEHIDCODE],0))</f>
        <v>1</v>
      </c>
      <c r="L799" s="39" t="b">
        <f>ISNUMBER(_xlfn.XMATCH(CONTROL[[#This Row],[VEHIDCODE]],FLAGS[VEHIDCODE],0))</f>
        <v>1</v>
      </c>
      <c r="M799" s="39" t="b">
        <f>ISNUMBER(_xlfn.XMATCH(CONTROL[[#This Row],[VEHIDCODE]],GRAPHICS_PROPERTIES[VEHIDCODE],0))</f>
        <v>1</v>
      </c>
      <c r="N799" s="41" t="str">
        <f>"item_"&amp;CONTROL[[#This Row],[VEHIDCODE]]</f>
        <v>item_electric_Congo_Type_2450_Acec_Charleroi_Zaire_Electric</v>
      </c>
      <c r="O799" s="41" t="str">
        <f>"str_"&amp;CONTROL[[#This Row],[VEHIDCODE]]</f>
        <v>str_electric_Congo_Type_2450_Acec_Charleroi_Zaire_Electric</v>
      </c>
    </row>
    <row r="800" spans="1:15">
      <c r="A800" t="s">
        <v>3034</v>
      </c>
      <c r="B800" s="31" t="str">
        <f>_xlfn.TEXTAFTER(CONTROL[[#This Row],[VEHIDCODE]],"_")</f>
        <v>Congo_Alstom_BB_BB</v>
      </c>
      <c r="C800" t="s">
        <v>721</v>
      </c>
      <c r="D800" t="s">
        <v>940</v>
      </c>
      <c r="E800">
        <f ca="1">_xlfn.MAXIFS(INDIRECT("E2:E"&amp;ROW()-1,TRUE),INDIRECT("D2:D"&amp;ROW()-1,TRUE),CONTROL[[#This Row],[VEHID_ID_CATEGORY]])+1</f>
        <v>5137</v>
      </c>
      <c r="F800" s="39" t="s">
        <v>3036</v>
      </c>
      <c r="G800" t="s">
        <v>3035</v>
      </c>
      <c r="H800" s="40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s="39" t="b">
        <f>ISNUMBER(_xlfn.XMATCH(CONTROL[[#This Row],[VEHIDCODE]],TRACK_TYPES[VEHIDCODE],0))</f>
        <v>1</v>
      </c>
      <c r="K800" s="39" t="b">
        <f>ISNUMBER(_xlfn.XMATCH(CONTROL[[#This Row],[VEHIDCODE]],PROPERTIES[VEHIDCODE],0))</f>
        <v>1</v>
      </c>
      <c r="L800" s="39" t="b">
        <f>ISNUMBER(_xlfn.XMATCH(CONTROL[[#This Row],[VEHIDCODE]],FLAGS[VEHIDCODE],0))</f>
        <v>1</v>
      </c>
      <c r="M800" s="39" t="b">
        <f>ISNUMBER(_xlfn.XMATCH(CONTROL[[#This Row],[VEHIDCODE]],GRAPHICS_PROPERTIES[VEHIDCODE],0))</f>
        <v>1</v>
      </c>
      <c r="N800" s="41" t="str">
        <f>"item_"&amp;CONTROL[[#This Row],[VEHIDCODE]]</f>
        <v>item_diesel_Congo_Alstom_BB_BB</v>
      </c>
      <c r="O800" s="41" t="str">
        <f>"str_"&amp;CONTROL[[#This Row],[VEHIDCODE]]</f>
        <v>str_diesel_Congo_Alstom_BB_BB</v>
      </c>
    </row>
    <row r="801" spans="1:15">
      <c r="A801" t="s">
        <v>3037</v>
      </c>
      <c r="B801" s="31" t="str">
        <f>_xlfn.TEXTAFTER(CONTROL[[#This Row],[VEHIDCODE]],"_")</f>
        <v>Zimbabwe_Sorefame_DE8</v>
      </c>
      <c r="C801" t="s">
        <v>721</v>
      </c>
      <c r="D801" t="s">
        <v>940</v>
      </c>
      <c r="E801">
        <f ca="1">_xlfn.MAXIFS(INDIRECT("E2:E"&amp;ROW()-1,TRUE),INDIRECT("D2:D"&amp;ROW()-1,TRUE),CONTROL[[#This Row],[VEHID_ID_CATEGORY]])+1</f>
        <v>5138</v>
      </c>
      <c r="F801" s="39" t="s">
        <v>3038</v>
      </c>
      <c r="G801" t="s">
        <v>1749</v>
      </c>
      <c r="H801" s="40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s="39" t="b">
        <f>ISNUMBER(_xlfn.XMATCH(CONTROL[[#This Row],[VEHIDCODE]],TRACK_TYPES[VEHIDCODE],0))</f>
        <v>1</v>
      </c>
      <c r="K801" s="39" t="b">
        <f>ISNUMBER(_xlfn.XMATCH(CONTROL[[#This Row],[VEHIDCODE]],PROPERTIES[VEHIDCODE],0))</f>
        <v>1</v>
      </c>
      <c r="L801" s="39" t="b">
        <f>ISNUMBER(_xlfn.XMATCH(CONTROL[[#This Row],[VEHIDCODE]],FLAGS[VEHIDCODE],0))</f>
        <v>1</v>
      </c>
      <c r="M801" s="39" t="b">
        <f>ISNUMBER(_xlfn.XMATCH(CONTROL[[#This Row],[VEHIDCODE]],GRAPHICS_PROPERTIES[VEHIDCODE],0))</f>
        <v>1</v>
      </c>
      <c r="N801" s="41" t="str">
        <f>"item_"&amp;CONTROL[[#This Row],[VEHIDCODE]]</f>
        <v>item_diesel_Zimbabwe_Sorefame_DE8</v>
      </c>
      <c r="O801" s="41" t="str">
        <f>"str_"&amp;CONTROL[[#This Row],[VEHIDCODE]]</f>
        <v>str_diesel_Zimbabwe_Sorefame_DE8</v>
      </c>
    </row>
    <row r="802" spans="1:15">
      <c r="A802" t="s">
        <v>3039</v>
      </c>
      <c r="B802" s="31" t="str">
        <f>_xlfn.TEXTAFTER(CONTROL[[#This Row],[VEHIDCODE]],"_")</f>
        <v>Ivory_Coast_GMD_GT22LC2</v>
      </c>
      <c r="C802" t="s">
        <v>721</v>
      </c>
      <c r="D802" t="s">
        <v>940</v>
      </c>
      <c r="E802">
        <f ca="1">_xlfn.MAXIFS(INDIRECT("E2:E"&amp;ROW()-1,TRUE),INDIRECT("D2:D"&amp;ROW()-1,TRUE),CONTROL[[#This Row],[VEHID_ID_CATEGORY]])+1</f>
        <v>5139</v>
      </c>
      <c r="F802" s="39" t="s">
        <v>3040</v>
      </c>
      <c r="G802" t="s">
        <v>3041</v>
      </c>
      <c r="H802" s="40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s="39" t="b">
        <f>ISNUMBER(_xlfn.XMATCH(CONTROL[[#This Row],[VEHIDCODE]],TRACK_TYPES[VEHIDCODE],0))</f>
        <v>1</v>
      </c>
      <c r="K802" s="39" t="b">
        <f>ISNUMBER(_xlfn.XMATCH(CONTROL[[#This Row],[VEHIDCODE]],PROPERTIES[VEHIDCODE],0))</f>
        <v>1</v>
      </c>
      <c r="L802" s="39" t="b">
        <f>ISNUMBER(_xlfn.XMATCH(CONTROL[[#This Row],[VEHIDCODE]],FLAGS[VEHIDCODE],0))</f>
        <v>1</v>
      </c>
      <c r="M802" s="39" t="b">
        <f>ISNUMBER(_xlfn.XMATCH(CONTROL[[#This Row],[VEHIDCODE]],GRAPHICS_PROPERTIES[VEHIDCODE],0))</f>
        <v>1</v>
      </c>
      <c r="N802" s="41" t="str">
        <f>"item_"&amp;CONTROL[[#This Row],[VEHIDCODE]]</f>
        <v>item_diesel_Ivory_Coast_GMD_GT22LC2</v>
      </c>
      <c r="O802" s="41" t="str">
        <f>"str_"&amp;CONTROL[[#This Row],[VEHIDCODE]]</f>
        <v>str_diesel_Ivory_Coast_GMD_GT22LC2</v>
      </c>
    </row>
    <row r="803" spans="1:15">
      <c r="A803" t="s">
        <v>3042</v>
      </c>
      <c r="B803" s="31" t="str">
        <f>_xlfn.TEXTAFTER(CONTROL[[#This Row],[VEHIDCODE]],"_")</f>
        <v>Tanzania_TRC_E6800</v>
      </c>
      <c r="C803" t="s">
        <v>722</v>
      </c>
      <c r="D803" t="s">
        <v>942</v>
      </c>
      <c r="E803">
        <f ca="1">_xlfn.MAXIFS(INDIRECT("E2:E"&amp;ROW()-1,TRUE),INDIRECT("D2:D"&amp;ROW()-1,TRUE),CONTROL[[#This Row],[VEHID_ID_CATEGORY]])+1</f>
        <v>6137</v>
      </c>
      <c r="F803" s="39" t="s">
        <v>3044</v>
      </c>
      <c r="G803" t="s">
        <v>3043</v>
      </c>
      <c r="H803" s="40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s="39" t="b">
        <f>ISNUMBER(_xlfn.XMATCH(CONTROL[[#This Row],[VEHIDCODE]],TRACK_TYPES[VEHIDCODE],0))</f>
        <v>1</v>
      </c>
      <c r="K803" s="39" t="b">
        <f>ISNUMBER(_xlfn.XMATCH(CONTROL[[#This Row],[VEHIDCODE]],PROPERTIES[VEHIDCODE],0))</f>
        <v>1</v>
      </c>
      <c r="L803" s="39" t="b">
        <f>ISNUMBER(_xlfn.XMATCH(CONTROL[[#This Row],[VEHIDCODE]],FLAGS[VEHIDCODE],0))</f>
        <v>1</v>
      </c>
      <c r="M803" s="39" t="b">
        <f>ISNUMBER(_xlfn.XMATCH(CONTROL[[#This Row],[VEHIDCODE]],GRAPHICS_PROPERTIES[VEHIDCODE],0))</f>
        <v>1</v>
      </c>
      <c r="N803" s="41" t="str">
        <f>"item_"&amp;CONTROL[[#This Row],[VEHIDCODE]]</f>
        <v>item_electric_Tanzania_TRC_E6800</v>
      </c>
      <c r="O803" s="41" t="str">
        <f>"str_"&amp;CONTROL[[#This Row],[VEHIDCODE]]</f>
        <v>str_electric_Tanzania_TRC_E6800</v>
      </c>
    </row>
    <row r="804" spans="1:15">
      <c r="A804" s="2" t="s">
        <v>3077</v>
      </c>
      <c r="B804" s="47" t="str">
        <f>_xlfn.TEXTAFTER(CONTROL[[#This Row],[VEHIDCODE]],"_")</f>
        <v>USA_Brooklyn_Union_Gate_Car</v>
      </c>
      <c r="C804" s="48" t="s">
        <v>722</v>
      </c>
      <c r="D804" s="48" t="s">
        <v>948</v>
      </c>
      <c r="E804" s="49">
        <f ca="1">_xlfn.MAXIFS(INDIRECT("E2:E"&amp;ROW()-1,TRUE),INDIRECT("D2:D"&amp;ROW()-1,TRUE),CONTROL[[#This Row],[VEHID_ID_CATEGORY]])+1</f>
        <v>9056</v>
      </c>
      <c r="F804" s="50" t="s">
        <v>3079</v>
      </c>
      <c r="G804" s="48" t="s">
        <v>2973</v>
      </c>
      <c r="H804" s="40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s="50" t="b">
        <f>ISNUMBER(_xlfn.XMATCH(CONTROL[[#This Row],[VEHIDCODE]],TRACK_TYPES[VEHIDCODE],0))</f>
        <v>1</v>
      </c>
      <c r="K804" s="50" t="b">
        <f>ISNUMBER(_xlfn.XMATCH(CONTROL[[#This Row],[VEHIDCODE]],PROPERTIES[VEHIDCODE],0))</f>
        <v>1</v>
      </c>
      <c r="L804" s="50" t="b">
        <f>ISNUMBER(_xlfn.XMATCH(CONTROL[[#This Row],[VEHIDCODE]],FLAGS[VEHIDCODE],0))</f>
        <v>1</v>
      </c>
      <c r="M804" s="50" t="b">
        <f>ISNUMBER(_xlfn.XMATCH(CONTROL[[#This Row],[VEHIDCODE]],GRAPHICS_PROPERTIES[VEHIDCODE],0))</f>
        <v>1</v>
      </c>
      <c r="N804" s="51" t="str">
        <f>"item_"&amp;CONTROL[[#This Row],[VEHIDCODE]]</f>
        <v>item_mtro_USA_Brooklyn_Union_Gate_Car</v>
      </c>
      <c r="O804" s="51" t="str">
        <f>"str_"&amp;CONTROL[[#This Row],[VEHIDCODE]]</f>
        <v>str_mtro_USA_Brooklyn_Union_Gate_Car</v>
      </c>
    </row>
  </sheetData>
  <conditionalFormatting sqref="H2:H804">
    <cfRule type="containsText" dxfId="8" priority="1" operator="containsText" text="FALSE">
      <formula>NOT(ISERROR(SEARCH("FALSE",H2)))</formula>
    </cfRule>
  </conditionalFormatting>
  <conditionalFormatting sqref="I1:I804">
    <cfRule type="containsText" dxfId="7" priority="5" operator="containsText" text="FALSE">
      <formula>NOT(ISERROR(SEARCH("FALSE",I1)))</formula>
    </cfRule>
  </conditionalFormatting>
  <conditionalFormatting sqref="J1:O795 K796:O803 K805:O1048576 J804:O804">
    <cfRule type="cellIs" dxfId="34" priority="3" operator="equal">
      <formula>FALSE</formula>
    </cfRule>
  </conditionalFormatting>
  <dataValidations count="1">
    <dataValidation type="list" allowBlank="1" showInputMessage="1" showErrorMessage="1" sqref="D2:D804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Z804"/>
  <sheetViews>
    <sheetView zoomScaleNormal="100" workbookViewId="0">
      <pane xSplit="1" ySplit="1" topLeftCell="B779" activePane="bottomRight" state="frozen"/>
      <selection pane="topRight" activeCell="B1" sqref="B1"/>
      <selection pane="bottomLeft" activeCell="A2" sqref="A2"/>
      <selection pane="bottomRight" activeCell="B804" sqref="B804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9" width="9.23046875" customWidth="1"/>
    <col min="10" max="10" width="11.3046875" customWidth="1"/>
    <col min="11" max="11" width="16.23046875" customWidth="1"/>
    <col min="12" max="12" width="10.07421875" customWidth="1"/>
    <col min="13" max="13" width="4.07421875" customWidth="1"/>
    <col min="14" max="14" width="12" style="33" bestFit="1" customWidth="1"/>
    <col min="15" max="15" width="9.84375" customWidth="1"/>
    <col min="16" max="16" width="9.3046875" bestFit="1" customWidth="1"/>
    <col min="17" max="17" width="8.4609375" style="30" bestFit="1" customWidth="1"/>
    <col min="18" max="18" width="8.4609375" customWidth="1"/>
    <col min="19" max="19" width="8.4609375" style="30" customWidth="1"/>
    <col min="20" max="20" width="8.4609375" customWidth="1"/>
    <col min="21" max="21" width="14.4609375" style="27" customWidth="1"/>
    <col min="22" max="22" width="14.4609375" style="2" bestFit="1" customWidth="1"/>
    <col min="23" max="23" width="11.84375" bestFit="1" customWidth="1"/>
    <col min="24" max="24" width="11.84375" style="2" customWidth="1"/>
    <col min="25" max="26" width="11.84375" customWidth="1"/>
    <col min="27" max="27" width="11.84375" style="2" customWidth="1"/>
    <col min="28" max="28" width="23" customWidth="1"/>
    <col min="29" max="29" width="35.4609375" bestFit="1" customWidth="1"/>
    <col min="30" max="30" width="15.61328125" style="2" bestFit="1" customWidth="1"/>
    <col min="31" max="31" width="22.15234375" bestFit="1" customWidth="1"/>
    <col min="32" max="32" width="15.61328125" bestFit="1" customWidth="1"/>
    <col min="36" max="36" width="34.4609375" bestFit="1" customWidth="1"/>
    <col min="37" max="37" width="33.3828125" bestFit="1" customWidth="1"/>
    <col min="38" max="38" width="15.61328125" bestFit="1" customWidth="1"/>
    <col min="40" max="40" width="17.84375" bestFit="1" customWidth="1"/>
    <col min="41" max="41" width="12" bestFit="1" customWidth="1"/>
    <col min="42" max="42" width="12.3828125" bestFit="1" customWidth="1"/>
    <col min="43" max="43" width="14.765625" bestFit="1" customWidth="1"/>
    <col min="47" max="48" width="18.23046875" bestFit="1" customWidth="1"/>
    <col min="49" max="49" width="22.3046875" bestFit="1" customWidth="1"/>
    <col min="50" max="50" width="19.15234375" style="9" bestFit="1" customWidth="1"/>
    <col min="51" max="51" width="17.4609375" style="10" bestFit="1" customWidth="1"/>
    <col min="52" max="52" width="10" style="11" bestFit="1" customWidth="1"/>
    <col min="53" max="53" width="24" bestFit="1" customWidth="1"/>
    <col min="54" max="54" width="23.69140625" bestFit="1" customWidth="1"/>
    <col min="55" max="55" width="26.69140625" bestFit="1" customWidth="1"/>
    <col min="56" max="56" width="26.921875" bestFit="1" customWidth="1"/>
    <col min="57" max="57" width="19" bestFit="1" customWidth="1"/>
    <col min="58" max="58" width="25.15234375" bestFit="1" customWidth="1"/>
    <col min="59" max="59" width="20.61328125" bestFit="1" customWidth="1"/>
    <col min="60" max="60" width="11.15234375" customWidth="1"/>
    <col min="61" max="62" width="21.3828125" customWidth="1"/>
    <col min="63" max="63" width="20.921875" bestFit="1" customWidth="1"/>
    <col min="64" max="64" width="18.921875" bestFit="1" customWidth="1"/>
    <col min="66" max="68" width="11.15234375" customWidth="1"/>
    <col min="69" max="69" width="11.53515625" bestFit="1" customWidth="1"/>
  </cols>
  <sheetData>
    <row r="1" spans="1:52" s="1" customFormat="1" ht="44.15" customHeight="1">
      <c r="A1" s="1" t="s">
        <v>0</v>
      </c>
      <c r="B1" s="1" t="s">
        <v>5</v>
      </c>
      <c r="C1" s="1" t="s">
        <v>2</v>
      </c>
      <c r="D1" s="1" t="s">
        <v>1760</v>
      </c>
      <c r="E1" s="1" t="s">
        <v>2273</v>
      </c>
      <c r="F1" s="1" t="s">
        <v>3</v>
      </c>
      <c r="G1" s="1" t="s">
        <v>1</v>
      </c>
      <c r="H1" s="1" t="s">
        <v>4</v>
      </c>
      <c r="I1" s="1" t="s">
        <v>6</v>
      </c>
      <c r="J1" s="3" t="s">
        <v>7</v>
      </c>
      <c r="K1" s="20" t="s">
        <v>1054</v>
      </c>
      <c r="L1" s="1" t="s">
        <v>8</v>
      </c>
      <c r="M1" s="1" t="s">
        <v>9</v>
      </c>
      <c r="N1" s="32" t="s">
        <v>16</v>
      </c>
      <c r="O1" s="1" t="s">
        <v>10</v>
      </c>
      <c r="P1" s="1" t="s">
        <v>11</v>
      </c>
      <c r="Q1" s="28" t="s">
        <v>2280</v>
      </c>
      <c r="R1" s="28" t="s">
        <v>2281</v>
      </c>
      <c r="S1" s="28" t="s">
        <v>2282</v>
      </c>
      <c r="T1" s="20" t="s">
        <v>12</v>
      </c>
      <c r="U1" s="5" t="s">
        <v>13</v>
      </c>
      <c r="V1" s="8" t="s">
        <v>14</v>
      </c>
      <c r="W1" s="8" t="s">
        <v>15</v>
      </c>
      <c r="X1" s="35" t="s">
        <v>1058</v>
      </c>
      <c r="Y1" s="1" t="s">
        <v>684</v>
      </c>
      <c r="Z1" s="1" t="s">
        <v>685</v>
      </c>
      <c r="AA1" s="3" t="s">
        <v>686</v>
      </c>
      <c r="AB1" s="8" t="s">
        <v>1011</v>
      </c>
      <c r="AC1" s="8" t="s">
        <v>1012</v>
      </c>
      <c r="AD1" s="35" t="s">
        <v>1028</v>
      </c>
      <c r="AE1" s="8" t="s">
        <v>2279</v>
      </c>
      <c r="AF1" s="1" t="s">
        <v>2552</v>
      </c>
    </row>
    <row r="2" spans="1:52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 s="2" t="s">
        <v>19</v>
      </c>
      <c r="K2" s="39">
        <f>_xlfn.XLOOKUP("LOADINGSPEEDDEF_"&amp;PROPERTIES[[#This Row],[LOADINGSPEED]],LOADINGSPEEDDEF[TYPE],LOADINGSPEEDDEF[SPEED])</f>
        <v>0</v>
      </c>
      <c r="L2" t="s">
        <v>20</v>
      </c>
      <c r="M2">
        <v>1</v>
      </c>
      <c r="N2" s="33">
        <v>0</v>
      </c>
      <c r="O2">
        <v>0</v>
      </c>
      <c r="P2">
        <v>0</v>
      </c>
      <c r="Q2" s="30">
        <v>0</v>
      </c>
      <c r="R2" s="29">
        <f>IFERROR(PROPERTIES[[#This Row],[TE_STARTING_KN]]/(PROPERTIES[[#This Row],[WEIGHT]]*9.81),0)</f>
        <v>0</v>
      </c>
      <c r="S2" s="29">
        <v>0.3</v>
      </c>
      <c r="T2" s="26">
        <f>ROUND(IF(IFERROR(PROPERTIES[[#This Row],[TE_COEFFICIENT_CALC]],0)=0,PROPERTIES[[#This Row],[TE_COEFFICIENT_MANUAL]],PROPERTIES[[#This Row],[TE_COEFFICIENT_CALC]]),3)</f>
        <v>0.3</v>
      </c>
      <c r="U2" s="11">
        <v>25</v>
      </c>
      <c r="V2" s="9">
        <v>0</v>
      </c>
      <c r="W2" s="9">
        <v>0</v>
      </c>
      <c r="X2" s="10">
        <v>0</v>
      </c>
      <c r="Y2" t="s">
        <v>917</v>
      </c>
      <c r="Z2" t="s">
        <v>903</v>
      </c>
      <c r="AA2" s="2" t="s">
        <v>921</v>
      </c>
      <c r="AB2" s="9" t="s">
        <v>981</v>
      </c>
      <c r="AC2" s="9" t="s">
        <v>982</v>
      </c>
      <c r="AD2" s="2" t="str">
        <f>SUBSTITUTE(SUBSTITUTE(PROPERTIES[[#This Row],[PURCHASECOST_VALUE]], "PURCHASECOST_", ""), "_VALUE", "")</f>
        <v>MAGLEVMU</v>
      </c>
      <c r="AE2" s="9" t="str" cm="1">
        <f t="array" ref="AE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2" s="2" t="b">
        <v>0</v>
      </c>
      <c r="AX2"/>
      <c r="AY2"/>
      <c r="AZ2"/>
    </row>
    <row r="3" spans="1:52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 s="2" t="s">
        <v>19</v>
      </c>
      <c r="K3" s="39">
        <f>_xlfn.XLOOKUP("LOADINGSPEEDDEF_"&amp;PROPERTIES[[#This Row],[LOADINGSPEED]],LOADINGSPEEDDEF[TYPE],LOADINGSPEEDDEF[SPEED])</f>
        <v>0</v>
      </c>
      <c r="L3" t="s">
        <v>20</v>
      </c>
      <c r="M3">
        <v>1</v>
      </c>
      <c r="N3" s="33">
        <v>0</v>
      </c>
      <c r="O3">
        <v>0</v>
      </c>
      <c r="P3">
        <v>0</v>
      </c>
      <c r="Q3" s="30">
        <v>0</v>
      </c>
      <c r="R3" s="29">
        <f>IFERROR(PROPERTIES[[#This Row],[TE_STARTING_KN]]/(PROPERTIES[[#This Row],[WEIGHT]]*9.81),0)</f>
        <v>0</v>
      </c>
      <c r="S3" s="29">
        <v>0.3</v>
      </c>
      <c r="T3" s="26">
        <f>ROUND(IF(IFERROR(PROPERTIES[[#This Row],[TE_COEFFICIENT_CALC]],0)=0,PROPERTIES[[#This Row],[TE_COEFFICIENT_MANUAL]],PROPERTIES[[#This Row],[TE_COEFFICIENT_CALC]]),3)</f>
        <v>0.3</v>
      </c>
      <c r="U3" s="11">
        <v>25</v>
      </c>
      <c r="V3" s="9">
        <v>0</v>
      </c>
      <c r="W3" s="9">
        <v>0</v>
      </c>
      <c r="X3" s="10">
        <v>0</v>
      </c>
      <c r="Y3" t="s">
        <v>917</v>
      </c>
      <c r="Z3" t="s">
        <v>903</v>
      </c>
      <c r="AA3" s="2" t="s">
        <v>921</v>
      </c>
      <c r="AB3" s="9" t="s">
        <v>981</v>
      </c>
      <c r="AC3" s="9" t="s">
        <v>982</v>
      </c>
      <c r="AD3" s="10" t="str">
        <f>SUBSTITUTE(SUBSTITUTE(PROPERTIES[[#This Row],[PURCHASECOST_VALUE]], "PURCHASECOST_", ""), "_VALUE", "")</f>
        <v>MAGLEVMU</v>
      </c>
      <c r="AE3" s="9" t="str" cm="1">
        <f t="array" ref="AE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3" s="2" t="b">
        <v>0</v>
      </c>
      <c r="AX3"/>
      <c r="AY3"/>
      <c r="AZ3"/>
    </row>
    <row r="4" spans="1:52">
      <c r="A4" s="2" t="s">
        <v>21</v>
      </c>
      <c r="B4">
        <v>1903</v>
      </c>
      <c r="C4">
        <v>0</v>
      </c>
      <c r="D4" t="s">
        <v>1772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 s="2" t="s">
        <v>23</v>
      </c>
      <c r="K4" s="39">
        <f>_xlfn.XLOOKUP("LOADINGSPEEDDEF_"&amp;PROPERTIES[[#This Row],[LOADINGSPEED]],LOADINGSPEEDDEF[TYPE],LOADINGSPEEDDEF[SPEED])</f>
        <v>40</v>
      </c>
      <c r="L4">
        <v>45</v>
      </c>
      <c r="M4">
        <v>1</v>
      </c>
      <c r="N4" s="33">
        <v>8</v>
      </c>
      <c r="O4">
        <v>39</v>
      </c>
      <c r="P4">
        <v>35</v>
      </c>
      <c r="Q4" s="30">
        <v>0</v>
      </c>
      <c r="R4" s="29">
        <f>IFERROR(PROPERTIES[[#This Row],[TE_STARTING_KN]]/(PROPERTIES[[#This Row],[WEIGHT]]*9.81),0)</f>
        <v>0</v>
      </c>
      <c r="S4" s="29">
        <v>0.18</v>
      </c>
      <c r="T4" s="26">
        <f>ROUND(IF(IFERROR(PROPERTIES[[#This Row],[TE_COEFFICIENT_CALC]],0)=0,PROPERTIES[[#This Row],[TE_COEFFICIENT_MANUAL]],PROPERTIES[[#This Row],[TE_COEFFICIENT_CALC]]),3)</f>
        <v>0.18</v>
      </c>
      <c r="U4" s="11">
        <v>15</v>
      </c>
      <c r="V4" s="9">
        <v>0</v>
      </c>
      <c r="W4" s="9">
        <v>0</v>
      </c>
      <c r="X4" s="10">
        <v>0</v>
      </c>
      <c r="Y4" t="s">
        <v>904</v>
      </c>
      <c r="Z4" t="s">
        <v>903</v>
      </c>
      <c r="AA4" s="2" t="s">
        <v>921</v>
      </c>
      <c r="AB4" s="9" t="s">
        <v>983</v>
      </c>
      <c r="AC4" s="9" t="s">
        <v>984</v>
      </c>
      <c r="AD4" s="10" t="str">
        <f>SUBSTITUTE(SUBSTITUTE(PROPERTIES[[#This Row],[PURCHASECOST_VALUE]], "PURCHASECOST_", ""), "_VALUE", "")</f>
        <v>STEAMRAILBUS</v>
      </c>
      <c r="AE4" s="9" t="str" cm="1">
        <f t="array" ref="AE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" s="2" t="b">
        <v>0</v>
      </c>
      <c r="AX4"/>
      <c r="AY4"/>
      <c r="AZ4"/>
    </row>
    <row r="5" spans="1:52">
      <c r="A5" s="2" t="s">
        <v>24</v>
      </c>
      <c r="B5">
        <v>1906</v>
      </c>
      <c r="C5">
        <v>0</v>
      </c>
      <c r="D5" t="s">
        <v>1869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 s="2" t="s">
        <v>23</v>
      </c>
      <c r="K5" s="39">
        <f>_xlfn.XLOOKUP("LOADINGSPEEDDEF_"&amp;PROPERTIES[[#This Row],[LOADINGSPEED]],LOADINGSPEEDDEF[TYPE],LOADINGSPEEDDEF[SPEED])</f>
        <v>40</v>
      </c>
      <c r="L5">
        <v>45</v>
      </c>
      <c r="M5">
        <v>1</v>
      </c>
      <c r="N5" s="33">
        <v>47</v>
      </c>
      <c r="O5">
        <v>170</v>
      </c>
      <c r="P5">
        <v>55</v>
      </c>
      <c r="Q5" s="30">
        <v>0</v>
      </c>
      <c r="R5" s="29">
        <f>IFERROR(PROPERTIES[[#This Row],[TE_STARTING_KN]]/(PROPERTIES[[#This Row],[WEIGHT]]*9.81),0)</f>
        <v>0</v>
      </c>
      <c r="S5" s="29">
        <v>0.08</v>
      </c>
      <c r="T5" s="26">
        <f>ROUND(IF(IFERROR(PROPERTIES[[#This Row],[TE_COEFFICIENT_CALC]],0)=0,PROPERTIES[[#This Row],[TE_COEFFICIENT_MANUAL]],PROPERTIES[[#This Row],[TE_COEFFICIENT_CALC]]),3)</f>
        <v>0.08</v>
      </c>
      <c r="U5" s="11">
        <v>15</v>
      </c>
      <c r="V5" s="9">
        <v>0</v>
      </c>
      <c r="W5" s="9">
        <v>0</v>
      </c>
      <c r="X5" s="10">
        <v>0</v>
      </c>
      <c r="Y5" t="s">
        <v>905</v>
      </c>
      <c r="Z5" t="s">
        <v>903</v>
      </c>
      <c r="AA5" s="2" t="s">
        <v>921</v>
      </c>
      <c r="AB5" s="9" t="s">
        <v>983</v>
      </c>
      <c r="AC5" s="9" t="s">
        <v>984</v>
      </c>
      <c r="AD5" s="10" t="str">
        <f>SUBSTITUTE(SUBSTITUTE(PROPERTIES[[#This Row],[PURCHASECOST_VALUE]], "PURCHASECOST_", ""), "_VALUE", "")</f>
        <v>STEAMRAILBUS</v>
      </c>
      <c r="AE5" s="9" t="str" cm="1">
        <f t="array" ref="AE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" s="2" t="b">
        <v>0</v>
      </c>
      <c r="AX5"/>
      <c r="AY5"/>
      <c r="AZ5"/>
    </row>
    <row r="6" spans="1:52">
      <c r="A6" s="2" t="s">
        <v>25</v>
      </c>
      <c r="B6">
        <v>1883</v>
      </c>
      <c r="C6">
        <v>0</v>
      </c>
      <c r="D6" t="s">
        <v>1773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 s="2" t="s">
        <v>23</v>
      </c>
      <c r="K6" s="39">
        <f>_xlfn.XLOOKUP("LOADINGSPEEDDEF_"&amp;PROPERTIES[[#This Row],[LOADINGSPEED]],LOADINGSPEEDDEF[TYPE],LOADINGSPEEDDEF[SPEED])</f>
        <v>40</v>
      </c>
      <c r="L6">
        <v>45</v>
      </c>
      <c r="M6">
        <v>1</v>
      </c>
      <c r="N6" s="33">
        <v>15</v>
      </c>
      <c r="O6">
        <v>40</v>
      </c>
      <c r="P6">
        <v>48</v>
      </c>
      <c r="Q6" s="30">
        <v>16</v>
      </c>
      <c r="R6" s="29">
        <f>IFERROR(PROPERTIES[[#This Row],[TE_STARTING_KN]]/(PROPERTIES[[#This Row],[WEIGHT]]*9.81),0)</f>
        <v>0.10873258579680598</v>
      </c>
      <c r="S6" s="29">
        <v>0.34</v>
      </c>
      <c r="T6" s="26">
        <f>ROUND(IF(IFERROR(PROPERTIES[[#This Row],[TE_COEFFICIENT_CALC]],0)=0,PROPERTIES[[#This Row],[TE_COEFFICIENT_MANUAL]],PROPERTIES[[#This Row],[TE_COEFFICIENT_CALC]]),3)</f>
        <v>0.109</v>
      </c>
      <c r="U6" s="11">
        <v>15</v>
      </c>
      <c r="V6" s="9">
        <v>0</v>
      </c>
      <c r="W6" s="9">
        <v>0</v>
      </c>
      <c r="X6" s="10">
        <v>0</v>
      </c>
      <c r="Y6" t="s">
        <v>906</v>
      </c>
      <c r="Z6" t="s">
        <v>903</v>
      </c>
      <c r="AA6" s="2" t="s">
        <v>921</v>
      </c>
      <c r="AB6" s="9" t="s">
        <v>983</v>
      </c>
      <c r="AC6" s="9" t="s">
        <v>984</v>
      </c>
      <c r="AD6" s="10" t="str">
        <f>SUBSTITUTE(SUBSTITUTE(PROPERTIES[[#This Row],[PURCHASECOST_VALUE]], "PURCHASECOST_", ""), "_VALUE", "")</f>
        <v>STEAMRAILBUS</v>
      </c>
      <c r="AE6" s="9" t="str" cm="1">
        <f t="array" ref="AE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" s="2" t="b">
        <v>0</v>
      </c>
      <c r="AX6"/>
      <c r="AY6"/>
      <c r="AZ6"/>
    </row>
    <row r="7" spans="1:52">
      <c r="A7" s="2" t="s">
        <v>26</v>
      </c>
      <c r="B7">
        <v>1902</v>
      </c>
      <c r="C7">
        <v>0</v>
      </c>
      <c r="D7" t="s">
        <v>1803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 s="2" t="s">
        <v>23</v>
      </c>
      <c r="K7" s="39">
        <f>_xlfn.XLOOKUP("LOADINGSPEEDDEF_"&amp;PROPERTIES[[#This Row],[LOADINGSPEED]],LOADINGSPEEDDEF[TYPE],LOADINGSPEEDDEF[SPEED])</f>
        <v>40</v>
      </c>
      <c r="L7">
        <v>45</v>
      </c>
      <c r="M7">
        <v>1</v>
      </c>
      <c r="N7" s="33">
        <v>21</v>
      </c>
      <c r="O7">
        <v>99</v>
      </c>
      <c r="P7">
        <v>45</v>
      </c>
      <c r="Q7" s="30">
        <v>0</v>
      </c>
      <c r="R7" s="29">
        <f>IFERROR(PROPERTIES[[#This Row],[TE_STARTING_KN]]/(PROPERTIES[[#This Row],[WEIGHT]]*9.81),0)</f>
        <v>0</v>
      </c>
      <c r="S7" s="29">
        <v>0.34</v>
      </c>
      <c r="T7" s="26">
        <f>ROUND(IF(IFERROR(PROPERTIES[[#This Row],[TE_COEFFICIENT_CALC]],0)=0,PROPERTIES[[#This Row],[TE_COEFFICIENT_MANUAL]],PROPERTIES[[#This Row],[TE_COEFFICIENT_CALC]]),3)</f>
        <v>0.34</v>
      </c>
      <c r="U7" s="11">
        <v>15</v>
      </c>
      <c r="V7" s="9">
        <v>0</v>
      </c>
      <c r="W7" s="9">
        <v>0</v>
      </c>
      <c r="X7" s="10">
        <v>0</v>
      </c>
      <c r="Y7" t="s">
        <v>904</v>
      </c>
      <c r="Z7" t="s">
        <v>903</v>
      </c>
      <c r="AA7" s="2" t="s">
        <v>921</v>
      </c>
      <c r="AB7" s="9" t="s">
        <v>983</v>
      </c>
      <c r="AC7" s="9" t="s">
        <v>984</v>
      </c>
      <c r="AD7" s="10" t="str">
        <f>SUBSTITUTE(SUBSTITUTE(PROPERTIES[[#This Row],[PURCHASECOST_VALUE]], "PURCHASECOST_", ""), "_VALUE", "")</f>
        <v>STEAMRAILBUS</v>
      </c>
      <c r="AE7" s="9" t="str" cm="1">
        <f t="array" ref="AE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" s="2" t="b">
        <v>0</v>
      </c>
      <c r="AX7"/>
      <c r="AY7"/>
      <c r="AZ7"/>
    </row>
    <row r="8" spans="1:52">
      <c r="A8" s="2" t="s">
        <v>27</v>
      </c>
      <c r="B8">
        <v>1906</v>
      </c>
      <c r="C8">
        <v>0</v>
      </c>
      <c r="D8" t="s">
        <v>1817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 s="2" t="s">
        <v>23</v>
      </c>
      <c r="K8" s="39">
        <f>_xlfn.XLOOKUP("LOADINGSPEEDDEF_"&amp;PROPERTIES[[#This Row],[LOADINGSPEED]],LOADINGSPEEDDEF[TYPE],LOADINGSPEEDDEF[SPEED])</f>
        <v>40</v>
      </c>
      <c r="L8">
        <v>45</v>
      </c>
      <c r="M8">
        <v>1</v>
      </c>
      <c r="N8" s="33">
        <v>32</v>
      </c>
      <c r="O8">
        <v>195</v>
      </c>
      <c r="P8">
        <v>50</v>
      </c>
      <c r="Q8" s="30">
        <v>0</v>
      </c>
      <c r="R8" s="29">
        <f>IFERROR(PROPERTIES[[#This Row],[TE_STARTING_KN]]/(PROPERTIES[[#This Row],[WEIGHT]]*9.81),0)</f>
        <v>0</v>
      </c>
      <c r="S8" s="29">
        <v>0.34</v>
      </c>
      <c r="T8" s="26">
        <f>ROUND(IF(IFERROR(PROPERTIES[[#This Row],[TE_COEFFICIENT_CALC]],0)=0,PROPERTIES[[#This Row],[TE_COEFFICIENT_MANUAL]],PROPERTIES[[#This Row],[TE_COEFFICIENT_CALC]]),3)</f>
        <v>0.34</v>
      </c>
      <c r="U8" s="11">
        <v>15</v>
      </c>
      <c r="V8" s="9">
        <v>0</v>
      </c>
      <c r="W8" s="9">
        <v>0</v>
      </c>
      <c r="X8" s="10">
        <v>0</v>
      </c>
      <c r="Y8" t="s">
        <v>904</v>
      </c>
      <c r="Z8" t="s">
        <v>903</v>
      </c>
      <c r="AA8" s="2" t="s">
        <v>921</v>
      </c>
      <c r="AB8" s="9" t="s">
        <v>983</v>
      </c>
      <c r="AC8" s="9" t="s">
        <v>984</v>
      </c>
      <c r="AD8" s="10" t="str">
        <f>SUBSTITUTE(SUBSTITUTE(PROPERTIES[[#This Row],[PURCHASECOST_VALUE]], "PURCHASECOST_", ""), "_VALUE", "")</f>
        <v>STEAMRAILBUS</v>
      </c>
      <c r="AE8" s="9" t="str" cm="1">
        <f t="array" ref="AE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8" s="2" t="b">
        <v>0</v>
      </c>
      <c r="AX8"/>
      <c r="AY8"/>
      <c r="AZ8"/>
    </row>
    <row r="9" spans="1:52">
      <c r="A9" s="2" t="s">
        <v>28</v>
      </c>
      <c r="B9">
        <v>1906</v>
      </c>
      <c r="C9">
        <v>0</v>
      </c>
      <c r="D9" t="s">
        <v>2006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 s="2" t="s">
        <v>23</v>
      </c>
      <c r="K9" s="39">
        <f>_xlfn.XLOOKUP("LOADINGSPEEDDEF_"&amp;PROPERTIES[[#This Row],[LOADINGSPEED]],LOADINGSPEEDDEF[TYPE],LOADINGSPEEDDEF[SPEED])</f>
        <v>40</v>
      </c>
      <c r="L9">
        <v>45</v>
      </c>
      <c r="M9">
        <v>1</v>
      </c>
      <c r="N9" s="33">
        <v>48</v>
      </c>
      <c r="O9">
        <v>40</v>
      </c>
      <c r="P9">
        <v>48</v>
      </c>
      <c r="Q9" s="30">
        <v>28.26</v>
      </c>
      <c r="R9" s="29">
        <f>IFERROR(PROPERTIES[[#This Row],[TE_STARTING_KN]]/(PROPERTIES[[#This Row],[WEIGHT]]*9.81),0)</f>
        <v>6.0015290519877681E-2</v>
      </c>
      <c r="S9" s="29">
        <v>0.08</v>
      </c>
      <c r="T9" s="26">
        <f>ROUND(IF(IFERROR(PROPERTIES[[#This Row],[TE_COEFFICIENT_CALC]],0)=0,PROPERTIES[[#This Row],[TE_COEFFICIENT_MANUAL]],PROPERTIES[[#This Row],[TE_COEFFICIENT_CALC]]),3)</f>
        <v>0.06</v>
      </c>
      <c r="U9" s="11">
        <v>15</v>
      </c>
      <c r="V9" s="9">
        <v>0</v>
      </c>
      <c r="W9" s="9">
        <v>2</v>
      </c>
      <c r="X9" s="10">
        <v>0</v>
      </c>
      <c r="Y9" t="s">
        <v>907</v>
      </c>
      <c r="Z9" t="s">
        <v>903</v>
      </c>
      <c r="AA9" s="2" t="s">
        <v>921</v>
      </c>
      <c r="AB9" s="9" t="s">
        <v>983</v>
      </c>
      <c r="AC9" s="9" t="s">
        <v>984</v>
      </c>
      <c r="AD9" s="10" t="str">
        <f>SUBSTITUTE(SUBSTITUTE(PROPERTIES[[#This Row],[PURCHASECOST_VALUE]], "PURCHASECOST_", ""), "_VALUE", "")</f>
        <v>STEAMRAILBUS</v>
      </c>
      <c r="AE9" s="9" t="str" cm="1">
        <f t="array" ref="AE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9" s="2" t="b">
        <v>0</v>
      </c>
      <c r="AX9"/>
      <c r="AY9"/>
      <c r="AZ9"/>
    </row>
    <row r="10" spans="1:52">
      <c r="A10" s="2" t="s">
        <v>29</v>
      </c>
      <c r="B10">
        <v>1912</v>
      </c>
      <c r="C10">
        <v>0</v>
      </c>
      <c r="D10" t="s">
        <v>1773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 s="2" t="s">
        <v>23</v>
      </c>
      <c r="K10" s="39">
        <f>_xlfn.XLOOKUP("LOADINGSPEEDDEF_"&amp;PROPERTIES[[#This Row],[LOADINGSPEED]],LOADINGSPEEDDEF[TYPE],LOADINGSPEEDDEF[SPEED])</f>
        <v>40</v>
      </c>
      <c r="L10">
        <v>45</v>
      </c>
      <c r="M10">
        <v>1</v>
      </c>
      <c r="N10" s="33">
        <v>42</v>
      </c>
      <c r="O10">
        <v>91</v>
      </c>
      <c r="P10">
        <v>55</v>
      </c>
      <c r="Q10" s="30">
        <v>0</v>
      </c>
      <c r="R10" s="29">
        <f>IFERROR(PROPERTIES[[#This Row],[TE_STARTING_KN]]/(PROPERTIES[[#This Row],[WEIGHT]]*9.81),0)</f>
        <v>0</v>
      </c>
      <c r="S10" s="29">
        <v>0.14000000000000001</v>
      </c>
      <c r="T10" s="26">
        <f>ROUND(IF(IFERROR(PROPERTIES[[#This Row],[TE_COEFFICIENT_CALC]],0)=0,PROPERTIES[[#This Row],[TE_COEFFICIENT_MANUAL]],PROPERTIES[[#This Row],[TE_COEFFICIENT_CALC]]),3)</f>
        <v>0.14000000000000001</v>
      </c>
      <c r="U10" s="11">
        <v>15</v>
      </c>
      <c r="V10" s="9">
        <v>0</v>
      </c>
      <c r="W10" s="9">
        <v>0</v>
      </c>
      <c r="X10" s="10">
        <v>0</v>
      </c>
      <c r="Y10" t="s">
        <v>906</v>
      </c>
      <c r="Z10" t="s">
        <v>903</v>
      </c>
      <c r="AA10" s="2" t="s">
        <v>921</v>
      </c>
      <c r="AB10" s="9" t="s">
        <v>983</v>
      </c>
      <c r="AC10" s="9" t="s">
        <v>984</v>
      </c>
      <c r="AD10" s="10" t="str">
        <f>SUBSTITUTE(SUBSTITUTE(PROPERTIES[[#This Row],[PURCHASECOST_VALUE]], "PURCHASECOST_", ""), "_VALUE", "")</f>
        <v>STEAMRAILBUS</v>
      </c>
      <c r="AE10" s="9" t="str" cm="1">
        <f t="array" ref="AE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0" s="2" t="b">
        <v>0</v>
      </c>
      <c r="AX10"/>
      <c r="AY10"/>
      <c r="AZ10"/>
    </row>
    <row r="11" spans="1:52">
      <c r="A11" s="2" t="s">
        <v>30</v>
      </c>
      <c r="B11">
        <v>1880</v>
      </c>
      <c r="C11">
        <v>0</v>
      </c>
      <c r="D11" t="s">
        <v>1772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 s="2" t="s">
        <v>32</v>
      </c>
      <c r="K11" s="39">
        <f>_xlfn.XLOOKUP("LOADINGSPEEDDEF_"&amp;PROPERTIES[[#This Row],[LOADINGSPEED]],LOADINGSPEEDDEF[TYPE],LOADINGSPEEDDEF[SPEED])</f>
        <v>20</v>
      </c>
      <c r="L11">
        <v>45</v>
      </c>
      <c r="M11">
        <v>0</v>
      </c>
      <c r="N11" s="33">
        <v>23</v>
      </c>
      <c r="O11">
        <v>28</v>
      </c>
      <c r="P11">
        <v>80</v>
      </c>
      <c r="Q11" s="30">
        <v>0</v>
      </c>
      <c r="R11" s="29">
        <f>IFERROR(PROPERTIES[[#This Row],[TE_STARTING_KN]]/(PROPERTIES[[#This Row],[WEIGHT]]*9.81),0)</f>
        <v>0</v>
      </c>
      <c r="S11" s="29">
        <v>7.0000000000000007E-2</v>
      </c>
      <c r="T11" s="26">
        <f>ROUND(IF(IFERROR(PROPERTIES[[#This Row],[TE_COEFFICIENT_CALC]],0)=0,PROPERTIES[[#This Row],[TE_COEFFICIENT_MANUAL]],PROPERTIES[[#This Row],[TE_COEFFICIENT_CALC]]),3)</f>
        <v>7.0000000000000007E-2</v>
      </c>
      <c r="U11" s="11">
        <v>15</v>
      </c>
      <c r="V11" s="9">
        <v>0</v>
      </c>
      <c r="W11" s="9">
        <v>0</v>
      </c>
      <c r="X11" s="10">
        <v>0</v>
      </c>
      <c r="Y11" t="s">
        <v>904</v>
      </c>
      <c r="Z11" t="s">
        <v>903</v>
      </c>
      <c r="AA11" s="2" t="s">
        <v>921</v>
      </c>
      <c r="AB11" s="9" t="s">
        <v>983</v>
      </c>
      <c r="AC11" s="9" t="s">
        <v>984</v>
      </c>
      <c r="AD11" s="10" t="str">
        <f>SUBSTITUTE(SUBSTITUTE(PROPERTIES[[#This Row],[PURCHASECOST_VALUE]], "PURCHASECOST_", ""), "_VALUE", "")</f>
        <v>STEAMRAILBUS</v>
      </c>
      <c r="AE11" s="9" t="str" cm="1">
        <f t="array" ref="AE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1" s="2" t="b">
        <v>0</v>
      </c>
      <c r="AX11"/>
      <c r="AY11"/>
      <c r="AZ11"/>
    </row>
    <row r="12" spans="1:52">
      <c r="A12" s="2" t="s">
        <v>33</v>
      </c>
      <c r="B12">
        <v>1922</v>
      </c>
      <c r="C12">
        <v>0</v>
      </c>
      <c r="D12" t="s">
        <v>1773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 s="2" t="s">
        <v>23</v>
      </c>
      <c r="K12" s="39">
        <f>_xlfn.XLOOKUP("LOADINGSPEEDDEF_"&amp;PROPERTIES[[#This Row],[LOADINGSPEED]],LOADINGSPEEDDEF[TYPE],LOADINGSPEEDDEF[SPEED])</f>
        <v>40</v>
      </c>
      <c r="L12">
        <v>45</v>
      </c>
      <c r="M12">
        <v>1</v>
      </c>
      <c r="N12" s="33">
        <v>24</v>
      </c>
      <c r="O12">
        <v>45</v>
      </c>
      <c r="P12">
        <v>50</v>
      </c>
      <c r="Q12" s="30">
        <v>0</v>
      </c>
      <c r="R12" s="29">
        <f>IFERROR(PROPERTIES[[#This Row],[TE_STARTING_KN]]/(PROPERTIES[[#This Row],[WEIGHT]]*9.81),0)</f>
        <v>0</v>
      </c>
      <c r="S12" s="29">
        <v>0.1</v>
      </c>
      <c r="T12" s="26">
        <f>ROUND(IF(IFERROR(PROPERTIES[[#This Row],[TE_COEFFICIENT_CALC]],0)=0,PROPERTIES[[#This Row],[TE_COEFFICIENT_MANUAL]],PROPERTIES[[#This Row],[TE_COEFFICIENT_CALC]]),3)</f>
        <v>0.1</v>
      </c>
      <c r="U12" s="11">
        <v>15</v>
      </c>
      <c r="V12" s="9">
        <v>0</v>
      </c>
      <c r="W12" s="9">
        <v>0</v>
      </c>
      <c r="X12" s="10">
        <v>0</v>
      </c>
      <c r="Y12" t="s">
        <v>906</v>
      </c>
      <c r="Z12" t="s">
        <v>903</v>
      </c>
      <c r="AA12" s="2" t="s">
        <v>921</v>
      </c>
      <c r="AB12" s="9" t="s">
        <v>985</v>
      </c>
      <c r="AC12" s="9" t="s">
        <v>986</v>
      </c>
      <c r="AD12" s="10" t="str">
        <f>SUBSTITUTE(SUBSTITUTE(PROPERTIES[[#This Row],[PURCHASECOST_VALUE]], "PURCHASECOST_", ""), "_VALUE", "")</f>
        <v>DIESELRAILBUS</v>
      </c>
      <c r="AE12" s="9" t="str" cm="1">
        <f t="array" ref="AE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2" s="2" t="b">
        <v>0</v>
      </c>
      <c r="AX12"/>
      <c r="AY12"/>
      <c r="AZ12"/>
    </row>
    <row r="13" spans="1:52">
      <c r="A13" s="2" t="s">
        <v>35</v>
      </c>
      <c r="B13">
        <v>1932</v>
      </c>
      <c r="C13">
        <v>0</v>
      </c>
      <c r="D13" t="s">
        <v>1817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 s="2" t="s">
        <v>23</v>
      </c>
      <c r="K13" s="39">
        <f>_xlfn.XLOOKUP("LOADINGSPEEDDEF_"&amp;PROPERTIES[[#This Row],[LOADINGSPEED]],LOADINGSPEEDDEF[TYPE],LOADINGSPEEDDEF[SPEED])</f>
        <v>40</v>
      </c>
      <c r="L13">
        <v>45</v>
      </c>
      <c r="M13">
        <v>1</v>
      </c>
      <c r="N13" s="33">
        <v>6</v>
      </c>
      <c r="O13">
        <v>38</v>
      </c>
      <c r="P13">
        <v>56</v>
      </c>
      <c r="Q13" s="30">
        <v>0</v>
      </c>
      <c r="R13" s="29">
        <f>IFERROR(PROPERTIES[[#This Row],[TE_STARTING_KN]]/(PROPERTIES[[#This Row],[WEIGHT]]*9.81),0)</f>
        <v>0</v>
      </c>
      <c r="S13" s="29">
        <v>0.5</v>
      </c>
      <c r="T13" s="26">
        <f>ROUND(IF(IFERROR(PROPERTIES[[#This Row],[TE_COEFFICIENT_CALC]],0)=0,PROPERTIES[[#This Row],[TE_COEFFICIENT_MANUAL]],PROPERTIES[[#This Row],[TE_COEFFICIENT_CALC]]),3)</f>
        <v>0.5</v>
      </c>
      <c r="U13" s="11">
        <v>15</v>
      </c>
      <c r="V13" s="9">
        <v>0</v>
      </c>
      <c r="W13" s="9">
        <v>0</v>
      </c>
      <c r="X13" s="10">
        <v>0</v>
      </c>
      <c r="Y13" t="s">
        <v>904</v>
      </c>
      <c r="Z13" t="s">
        <v>903</v>
      </c>
      <c r="AA13" s="2" t="s">
        <v>921</v>
      </c>
      <c r="AB13" s="9" t="s">
        <v>985</v>
      </c>
      <c r="AC13" s="9" t="s">
        <v>986</v>
      </c>
      <c r="AD13" s="10" t="str">
        <f>SUBSTITUTE(SUBSTITUTE(PROPERTIES[[#This Row],[PURCHASECOST_VALUE]], "PURCHASECOST_", ""), "_VALUE", "")</f>
        <v>DIESELRAILBUS</v>
      </c>
      <c r="AE13" s="9" t="str" cm="1">
        <f t="array" ref="AE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3" s="2" t="b">
        <v>0</v>
      </c>
      <c r="AX13"/>
      <c r="AY13"/>
      <c r="AZ13"/>
    </row>
    <row r="14" spans="1:52">
      <c r="A14" s="2" t="s">
        <v>36</v>
      </c>
      <c r="B14">
        <v>1934</v>
      </c>
      <c r="C14">
        <v>0</v>
      </c>
      <c r="D14" t="s">
        <v>1836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 s="2" t="s">
        <v>23</v>
      </c>
      <c r="K14" s="39">
        <f>_xlfn.XLOOKUP("LOADINGSPEEDDEF_"&amp;PROPERTIES[[#This Row],[LOADINGSPEED]],LOADINGSPEEDDEF[TYPE],LOADINGSPEEDDEF[SPEED])</f>
        <v>40</v>
      </c>
      <c r="L14">
        <v>45</v>
      </c>
      <c r="M14">
        <v>1</v>
      </c>
      <c r="N14" s="33">
        <v>24</v>
      </c>
      <c r="O14">
        <v>130</v>
      </c>
      <c r="P14">
        <v>101</v>
      </c>
      <c r="Q14" s="30">
        <v>0</v>
      </c>
      <c r="R14" s="29">
        <f>IFERROR(PROPERTIES[[#This Row],[TE_STARTING_KN]]/(PROPERTIES[[#This Row],[WEIGHT]]*9.81),0)</f>
        <v>0</v>
      </c>
      <c r="S14" s="29">
        <v>0.27</v>
      </c>
      <c r="T14" s="26">
        <f>ROUND(IF(IFERROR(PROPERTIES[[#This Row],[TE_COEFFICIENT_CALC]],0)=0,PROPERTIES[[#This Row],[TE_COEFFICIENT_MANUAL]],PROPERTIES[[#This Row],[TE_COEFFICIENT_CALC]]),3)</f>
        <v>0.27</v>
      </c>
      <c r="U14" s="11">
        <v>15</v>
      </c>
      <c r="V14" s="9">
        <v>0</v>
      </c>
      <c r="W14" s="9">
        <v>0</v>
      </c>
      <c r="X14" s="10">
        <v>0</v>
      </c>
      <c r="Y14" t="s">
        <v>908</v>
      </c>
      <c r="Z14" t="s">
        <v>903</v>
      </c>
      <c r="AA14" s="2" t="s">
        <v>921</v>
      </c>
      <c r="AB14" s="9" t="s">
        <v>985</v>
      </c>
      <c r="AC14" s="9" t="s">
        <v>986</v>
      </c>
      <c r="AD14" s="10" t="str">
        <f>SUBSTITUTE(SUBSTITUTE(PROPERTIES[[#This Row],[PURCHASECOST_VALUE]], "PURCHASECOST_", ""), "_VALUE", "")</f>
        <v>DIESELRAILBUS</v>
      </c>
      <c r="AE14" s="9" t="str" cm="1">
        <f t="array" ref="AE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4" s="2" t="b">
        <v>0</v>
      </c>
      <c r="AX14"/>
      <c r="AY14"/>
      <c r="AZ14"/>
    </row>
    <row r="15" spans="1:52">
      <c r="A15" s="2" t="s">
        <v>37</v>
      </c>
      <c r="B15">
        <v>1935</v>
      </c>
      <c r="C15">
        <v>0</v>
      </c>
      <c r="D15" t="s">
        <v>1772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 s="2" t="s">
        <v>23</v>
      </c>
      <c r="K15" s="39">
        <f>_xlfn.XLOOKUP("LOADINGSPEEDDEF_"&amp;PROPERTIES[[#This Row],[LOADINGSPEED]],LOADINGSPEEDDEF[TYPE],LOADINGSPEEDDEF[SPEED])</f>
        <v>40</v>
      </c>
      <c r="L15">
        <v>45</v>
      </c>
      <c r="M15">
        <v>1</v>
      </c>
      <c r="N15" s="33">
        <v>59</v>
      </c>
      <c r="O15">
        <v>210</v>
      </c>
      <c r="P15">
        <v>110</v>
      </c>
      <c r="Q15" s="30">
        <v>50</v>
      </c>
      <c r="R15" s="29">
        <f>IFERROR(PROPERTIES[[#This Row],[TE_STARTING_KN]]/(PROPERTIES[[#This Row],[WEIGHT]]*9.81),0)</f>
        <v>8.6387117952970841E-2</v>
      </c>
      <c r="S15" s="29">
        <v>0.08</v>
      </c>
      <c r="T15" s="26">
        <f>ROUND(IF(IFERROR(PROPERTIES[[#This Row],[TE_COEFFICIENT_CALC]],0)=0,PROPERTIES[[#This Row],[TE_COEFFICIENT_MANUAL]],PROPERTIES[[#This Row],[TE_COEFFICIENT_CALC]]),3)</f>
        <v>8.5999999999999993E-2</v>
      </c>
      <c r="U15" s="11">
        <v>15</v>
      </c>
      <c r="V15" s="9">
        <v>0</v>
      </c>
      <c r="W15" s="9">
        <v>0</v>
      </c>
      <c r="X15" s="10">
        <v>0</v>
      </c>
      <c r="Y15" t="s">
        <v>904</v>
      </c>
      <c r="Z15" t="s">
        <v>903</v>
      </c>
      <c r="AA15" s="2" t="s">
        <v>921</v>
      </c>
      <c r="AB15" s="9" t="s">
        <v>985</v>
      </c>
      <c r="AC15" s="9" t="s">
        <v>986</v>
      </c>
      <c r="AD15" s="10" t="str">
        <f>SUBSTITUTE(SUBSTITUTE(PROPERTIES[[#This Row],[PURCHASECOST_VALUE]], "PURCHASECOST_", ""), "_VALUE", "")</f>
        <v>DIESELRAILBUS</v>
      </c>
      <c r="AE15" s="9" t="str" cm="1">
        <f t="array" ref="AE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5" s="2" t="b">
        <v>0</v>
      </c>
      <c r="AX15"/>
      <c r="AY15"/>
      <c r="AZ15"/>
    </row>
    <row r="16" spans="1:52">
      <c r="A16" s="2" t="s">
        <v>38</v>
      </c>
      <c r="B16">
        <v>1940</v>
      </c>
      <c r="C16">
        <v>0</v>
      </c>
      <c r="D16" t="s">
        <v>1930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 s="2" t="s">
        <v>23</v>
      </c>
      <c r="K16" s="39">
        <f>_xlfn.XLOOKUP("LOADINGSPEEDDEF_"&amp;PROPERTIES[[#This Row],[LOADINGSPEED]],LOADINGSPEEDDEF[TYPE],LOADINGSPEEDDEF[SPEED])</f>
        <v>40</v>
      </c>
      <c r="L16">
        <v>45</v>
      </c>
      <c r="M16">
        <v>1</v>
      </c>
      <c r="N16" s="33">
        <v>30</v>
      </c>
      <c r="O16">
        <f>114*2</f>
        <v>228</v>
      </c>
      <c r="P16">
        <v>100</v>
      </c>
      <c r="Q16" s="30">
        <v>0</v>
      </c>
      <c r="R16" s="29">
        <f>IFERROR(PROPERTIES[[#This Row],[TE_STARTING_KN]]/(PROPERTIES[[#This Row],[WEIGHT]]*9.81),0)</f>
        <v>0</v>
      </c>
      <c r="S16" s="29">
        <v>0.2</v>
      </c>
      <c r="T16" s="26">
        <f>ROUND(IF(IFERROR(PROPERTIES[[#This Row],[TE_COEFFICIENT_CALC]],0)=0,PROPERTIES[[#This Row],[TE_COEFFICIENT_MANUAL]],PROPERTIES[[#This Row],[TE_COEFFICIENT_CALC]]),3)</f>
        <v>0.2</v>
      </c>
      <c r="U16" s="11">
        <v>15</v>
      </c>
      <c r="V16" s="9">
        <v>0</v>
      </c>
      <c r="W16" s="9">
        <v>0</v>
      </c>
      <c r="X16" s="10">
        <v>0</v>
      </c>
      <c r="Y16" t="s">
        <v>906</v>
      </c>
      <c r="Z16" t="s">
        <v>903</v>
      </c>
      <c r="AA16" s="2" t="s">
        <v>921</v>
      </c>
      <c r="AB16" s="9" t="s">
        <v>985</v>
      </c>
      <c r="AC16" s="9" t="s">
        <v>986</v>
      </c>
      <c r="AD16" s="10" t="str">
        <f>SUBSTITUTE(SUBSTITUTE(PROPERTIES[[#This Row],[PURCHASECOST_VALUE]], "PURCHASECOST_", ""), "_VALUE", "")</f>
        <v>DIESELRAILBUS</v>
      </c>
      <c r="AE16" s="9" t="str" cm="1">
        <f t="array" ref="AE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6" s="2" t="b">
        <v>0</v>
      </c>
      <c r="AX16"/>
      <c r="AY16"/>
      <c r="AZ16"/>
    </row>
    <row r="17" spans="1:52">
      <c r="A17" s="2" t="s">
        <v>39</v>
      </c>
      <c r="B17">
        <v>1948</v>
      </c>
      <c r="C17">
        <v>0</v>
      </c>
      <c r="D17" t="s">
        <v>1943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 s="2" t="s">
        <v>23</v>
      </c>
      <c r="K17" s="39">
        <f>_xlfn.XLOOKUP("LOADINGSPEEDDEF_"&amp;PROPERTIES[[#This Row],[LOADINGSPEED]],LOADINGSPEEDDEF[TYPE],LOADINGSPEEDDEF[SPEED])</f>
        <v>40</v>
      </c>
      <c r="L17">
        <v>45</v>
      </c>
      <c r="M17">
        <v>1</v>
      </c>
      <c r="N17" s="33">
        <v>34</v>
      </c>
      <c r="O17">
        <v>350</v>
      </c>
      <c r="P17">
        <v>100</v>
      </c>
      <c r="Q17" s="30">
        <v>0</v>
      </c>
      <c r="R17" s="29">
        <f>IFERROR(PROPERTIES[[#This Row],[TE_STARTING_KN]]/(PROPERTIES[[#This Row],[WEIGHT]]*9.81),0)</f>
        <v>0</v>
      </c>
      <c r="S17" s="29">
        <v>0.12</v>
      </c>
      <c r="T17" s="26">
        <f>ROUND(IF(IFERROR(PROPERTIES[[#This Row],[TE_COEFFICIENT_CALC]],0)=0,PROPERTIES[[#This Row],[TE_COEFFICIENT_MANUAL]],PROPERTIES[[#This Row],[TE_COEFFICIENT_CALC]]),3)</f>
        <v>0.12</v>
      </c>
      <c r="U17" s="11">
        <v>15</v>
      </c>
      <c r="V17" s="9">
        <v>0</v>
      </c>
      <c r="W17" s="9">
        <v>0</v>
      </c>
      <c r="X17" s="10">
        <v>0</v>
      </c>
      <c r="Y17" t="s">
        <v>905</v>
      </c>
      <c r="Z17" t="s">
        <v>903</v>
      </c>
      <c r="AA17" s="2" t="s">
        <v>921</v>
      </c>
      <c r="AB17" s="9" t="s">
        <v>985</v>
      </c>
      <c r="AC17" s="9" t="s">
        <v>986</v>
      </c>
      <c r="AD17" s="10" t="str">
        <f>SUBSTITUTE(SUBSTITUTE(PROPERTIES[[#This Row],[PURCHASECOST_VALUE]], "PURCHASECOST_", ""), "_VALUE", "")</f>
        <v>DIESELRAILBUS</v>
      </c>
      <c r="AE17" s="9" t="str" cm="1">
        <f t="array" ref="AE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7" s="2" t="b">
        <v>0</v>
      </c>
      <c r="AX17"/>
      <c r="AY17"/>
      <c r="AZ17"/>
    </row>
    <row r="18" spans="1:52">
      <c r="A18" s="2" t="s">
        <v>40</v>
      </c>
      <c r="B18">
        <v>1949</v>
      </c>
      <c r="C18">
        <v>0</v>
      </c>
      <c r="D18" t="s">
        <v>1992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 s="2" t="s">
        <v>23</v>
      </c>
      <c r="K18" s="39">
        <f>_xlfn.XLOOKUP("LOADINGSPEEDDEF_"&amp;PROPERTIES[[#This Row],[LOADINGSPEED]],LOADINGSPEEDDEF[TYPE],LOADINGSPEEDDEF[SPEED])</f>
        <v>40</v>
      </c>
      <c r="L18">
        <v>45</v>
      </c>
      <c r="M18">
        <v>1</v>
      </c>
      <c r="N18" s="33">
        <v>49</v>
      </c>
      <c r="O18">
        <v>550</v>
      </c>
      <c r="P18">
        <v>136</v>
      </c>
      <c r="Q18" s="30">
        <v>0</v>
      </c>
      <c r="R18" s="29">
        <f>IFERROR(PROPERTIES[[#This Row],[TE_STARTING_KN]]/(PROPERTIES[[#This Row],[WEIGHT]]*9.81),0)</f>
        <v>0</v>
      </c>
      <c r="S18" s="29">
        <v>0.1</v>
      </c>
      <c r="T18" s="26">
        <f>ROUND(IF(IFERROR(PROPERTIES[[#This Row],[TE_COEFFICIENT_CALC]],0)=0,PROPERTIES[[#This Row],[TE_COEFFICIENT_MANUAL]],PROPERTIES[[#This Row],[TE_COEFFICIENT_CALC]]),3)</f>
        <v>0.1</v>
      </c>
      <c r="U18" s="11">
        <v>15</v>
      </c>
      <c r="V18" s="9">
        <v>0</v>
      </c>
      <c r="W18" s="9">
        <v>0</v>
      </c>
      <c r="X18" s="10">
        <v>0</v>
      </c>
      <c r="Y18" t="s">
        <v>909</v>
      </c>
      <c r="Z18" t="s">
        <v>903</v>
      </c>
      <c r="AA18" s="2" t="s">
        <v>921</v>
      </c>
      <c r="AB18" s="9" t="s">
        <v>985</v>
      </c>
      <c r="AC18" s="9" t="s">
        <v>986</v>
      </c>
      <c r="AD18" s="10" t="str">
        <f>SUBSTITUTE(SUBSTITUTE(PROPERTIES[[#This Row],[PURCHASECOST_VALUE]], "PURCHASECOST_", ""), "_VALUE", "")</f>
        <v>DIESELRAILBUS</v>
      </c>
      <c r="AE18" s="9" t="str" cm="1">
        <f t="array" ref="AE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8" s="2" t="b">
        <v>0</v>
      </c>
      <c r="AX18"/>
      <c r="AY18"/>
      <c r="AZ18"/>
    </row>
    <row r="19" spans="1:52">
      <c r="A19" s="2" t="s">
        <v>41</v>
      </c>
      <c r="B19">
        <v>1953</v>
      </c>
      <c r="C19">
        <v>0</v>
      </c>
      <c r="D19" t="s">
        <v>1817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 s="2" t="s">
        <v>23</v>
      </c>
      <c r="K19" s="39">
        <f>_xlfn.XLOOKUP("LOADINGSPEEDDEF_"&amp;PROPERTIES[[#This Row],[LOADINGSPEED]],LOADINGSPEEDDEF[TYPE],LOADINGSPEEDDEF[SPEED])</f>
        <v>40</v>
      </c>
      <c r="L19">
        <v>45</v>
      </c>
      <c r="M19">
        <v>1</v>
      </c>
      <c r="N19" s="33">
        <v>21</v>
      </c>
      <c r="O19">
        <v>300</v>
      </c>
      <c r="P19">
        <v>90</v>
      </c>
      <c r="Q19" s="30">
        <v>0</v>
      </c>
      <c r="R19" s="29">
        <f>IFERROR(PROPERTIES[[#This Row],[TE_STARTING_KN]]/(PROPERTIES[[#This Row],[WEIGHT]]*9.81),0)</f>
        <v>0</v>
      </c>
      <c r="S19" s="29">
        <v>0.2</v>
      </c>
      <c r="T19" s="26">
        <f>ROUND(IF(IFERROR(PROPERTIES[[#This Row],[TE_COEFFICIENT_CALC]],0)=0,PROPERTIES[[#This Row],[TE_COEFFICIENT_MANUAL]],PROPERTIES[[#This Row],[TE_COEFFICIENT_CALC]]),3)</f>
        <v>0.2</v>
      </c>
      <c r="U19" s="11">
        <v>15</v>
      </c>
      <c r="V19" s="9">
        <v>0</v>
      </c>
      <c r="W19" s="9">
        <v>0</v>
      </c>
      <c r="X19" s="10">
        <v>0</v>
      </c>
      <c r="Y19" t="s">
        <v>904</v>
      </c>
      <c r="Z19" t="s">
        <v>903</v>
      </c>
      <c r="AA19" s="2" t="s">
        <v>921</v>
      </c>
      <c r="AB19" s="9" t="s">
        <v>985</v>
      </c>
      <c r="AC19" s="9" t="s">
        <v>986</v>
      </c>
      <c r="AD19" s="10" t="str">
        <f>SUBSTITUTE(SUBSTITUTE(PROPERTIES[[#This Row],[PURCHASECOST_VALUE]], "PURCHASECOST_", ""), "_VALUE", "")</f>
        <v>DIESELRAILBUS</v>
      </c>
      <c r="AE19" s="9" t="str" cm="1">
        <f t="array" ref="AE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9" s="2" t="b">
        <v>0</v>
      </c>
      <c r="AX19"/>
      <c r="AY19"/>
      <c r="AZ19"/>
    </row>
    <row r="20" spans="1:52">
      <c r="A20" s="2" t="s">
        <v>42</v>
      </c>
      <c r="B20">
        <v>1959</v>
      </c>
      <c r="C20">
        <v>0</v>
      </c>
      <c r="D20" t="s">
        <v>1817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 s="2" t="s">
        <v>23</v>
      </c>
      <c r="K20" s="39">
        <f>_xlfn.XLOOKUP("LOADINGSPEEDDEF_"&amp;PROPERTIES[[#This Row],[LOADINGSPEED]],LOADINGSPEEDDEF[TYPE],LOADINGSPEEDDEF[SPEED])</f>
        <v>40</v>
      </c>
      <c r="L20">
        <v>45</v>
      </c>
      <c r="M20">
        <v>1</v>
      </c>
      <c r="N20" s="33">
        <v>39</v>
      </c>
      <c r="O20">
        <v>440</v>
      </c>
      <c r="P20">
        <v>70</v>
      </c>
      <c r="Q20" s="30">
        <v>0</v>
      </c>
      <c r="R20" s="29">
        <f>IFERROR(PROPERTIES[[#This Row],[TE_STARTING_KN]]/(PROPERTIES[[#This Row],[WEIGHT]]*9.81),0)</f>
        <v>0</v>
      </c>
      <c r="S20" s="29">
        <v>0.25</v>
      </c>
      <c r="T20" s="26">
        <f>ROUND(IF(IFERROR(PROPERTIES[[#This Row],[TE_COEFFICIENT_CALC]],0)=0,PROPERTIES[[#This Row],[TE_COEFFICIENT_MANUAL]],PROPERTIES[[#This Row],[TE_COEFFICIENT_CALC]]),3)</f>
        <v>0.25</v>
      </c>
      <c r="U20" s="11">
        <v>15</v>
      </c>
      <c r="V20" s="9">
        <v>0</v>
      </c>
      <c r="W20" s="9">
        <v>0</v>
      </c>
      <c r="X20" s="10">
        <v>0</v>
      </c>
      <c r="Y20" t="s">
        <v>904</v>
      </c>
      <c r="Z20" t="s">
        <v>903</v>
      </c>
      <c r="AA20" s="2" t="s">
        <v>921</v>
      </c>
      <c r="AB20" s="9" t="s">
        <v>985</v>
      </c>
      <c r="AC20" s="9" t="s">
        <v>986</v>
      </c>
      <c r="AD20" s="10" t="str">
        <f>SUBSTITUTE(SUBSTITUTE(PROPERTIES[[#This Row],[PURCHASECOST_VALUE]], "PURCHASECOST_", ""), "_VALUE", "")</f>
        <v>DIESELRAILBUS</v>
      </c>
      <c r="AE20" s="9" t="str" cm="1">
        <f t="array" ref="AE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0" s="2" t="b">
        <v>0</v>
      </c>
      <c r="AX20"/>
      <c r="AY20"/>
      <c r="AZ20"/>
    </row>
    <row r="21" spans="1:52">
      <c r="A21" s="2" t="s">
        <v>43</v>
      </c>
      <c r="B21">
        <v>1954</v>
      </c>
      <c r="C21">
        <v>0</v>
      </c>
      <c r="D21" t="s">
        <v>1925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 s="2" t="s">
        <v>23</v>
      </c>
      <c r="K21" s="39">
        <f>_xlfn.XLOOKUP("LOADINGSPEEDDEF_"&amp;PROPERTIES[[#This Row],[LOADINGSPEED]],LOADINGSPEEDDEF[TYPE],LOADINGSPEEDDEF[SPEED])</f>
        <v>40</v>
      </c>
      <c r="L21">
        <v>45</v>
      </c>
      <c r="M21">
        <v>1</v>
      </c>
      <c r="N21" s="33">
        <v>58</v>
      </c>
      <c r="O21">
        <v>285</v>
      </c>
      <c r="P21">
        <v>125</v>
      </c>
      <c r="Q21" s="30">
        <v>0</v>
      </c>
      <c r="R21" s="29">
        <f>IFERROR(PROPERTIES[[#This Row],[TE_STARTING_KN]]/(PROPERTIES[[#This Row],[WEIGHT]]*9.81),0)</f>
        <v>0</v>
      </c>
      <c r="S21" s="29">
        <v>0.12</v>
      </c>
      <c r="T21" s="26">
        <f>ROUND(IF(IFERROR(PROPERTIES[[#This Row],[TE_COEFFICIENT_CALC]],0)=0,PROPERTIES[[#This Row],[TE_COEFFICIENT_MANUAL]],PROPERTIES[[#This Row],[TE_COEFFICIENT_CALC]]),3)</f>
        <v>0.12</v>
      </c>
      <c r="U21" s="11">
        <v>15</v>
      </c>
      <c r="V21" s="9">
        <v>0</v>
      </c>
      <c r="W21" s="9">
        <v>0</v>
      </c>
      <c r="X21" s="10">
        <v>0</v>
      </c>
      <c r="Y21" t="s">
        <v>904</v>
      </c>
      <c r="Z21" t="s">
        <v>903</v>
      </c>
      <c r="AA21" s="2" t="s">
        <v>921</v>
      </c>
      <c r="AB21" s="9" t="s">
        <v>985</v>
      </c>
      <c r="AC21" s="9" t="s">
        <v>986</v>
      </c>
      <c r="AD21" s="10" t="str">
        <f>SUBSTITUTE(SUBSTITUTE(PROPERTIES[[#This Row],[PURCHASECOST_VALUE]], "PURCHASECOST_", ""), "_VALUE", "")</f>
        <v>DIESELRAILBUS</v>
      </c>
      <c r="AE21" s="9" t="str" cm="1">
        <f t="array" ref="AE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1" s="2" t="b">
        <v>0</v>
      </c>
      <c r="AX21"/>
      <c r="AY21"/>
      <c r="AZ21"/>
    </row>
    <row r="22" spans="1:52">
      <c r="A22" s="2" t="s">
        <v>44</v>
      </c>
      <c r="B22">
        <v>1984</v>
      </c>
      <c r="C22">
        <v>0</v>
      </c>
      <c r="D22" t="s">
        <v>1925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 s="2" t="s">
        <v>23</v>
      </c>
      <c r="K22" s="39">
        <f>_xlfn.XLOOKUP("LOADINGSPEEDDEF_"&amp;PROPERTIES[[#This Row],[LOADINGSPEED]],LOADINGSPEEDDEF[TYPE],LOADINGSPEEDDEF[SPEED])</f>
        <v>40</v>
      </c>
      <c r="L22">
        <v>45</v>
      </c>
      <c r="M22">
        <v>1</v>
      </c>
      <c r="N22" s="33">
        <v>37</v>
      </c>
      <c r="O22">
        <v>285</v>
      </c>
      <c r="P22">
        <v>100</v>
      </c>
      <c r="Q22" s="30">
        <v>0</v>
      </c>
      <c r="R22" s="29">
        <f>IFERROR(PROPERTIES[[#This Row],[TE_STARTING_KN]]/(PROPERTIES[[#This Row],[WEIGHT]]*9.81),0)</f>
        <v>0</v>
      </c>
      <c r="S22" s="29">
        <v>0.23</v>
      </c>
      <c r="T22" s="26">
        <f>ROUND(IF(IFERROR(PROPERTIES[[#This Row],[TE_COEFFICIENT_CALC]],0)=0,PROPERTIES[[#This Row],[TE_COEFFICIENT_MANUAL]],PROPERTIES[[#This Row],[TE_COEFFICIENT_CALC]]),3)</f>
        <v>0.23</v>
      </c>
      <c r="U22" s="11">
        <v>15</v>
      </c>
      <c r="V22" s="9">
        <v>0</v>
      </c>
      <c r="W22" s="9">
        <v>0</v>
      </c>
      <c r="X22" s="10">
        <v>0</v>
      </c>
      <c r="Y22" t="s">
        <v>904</v>
      </c>
      <c r="Z22" t="s">
        <v>903</v>
      </c>
      <c r="AA22" s="2" t="s">
        <v>921</v>
      </c>
      <c r="AB22" s="9" t="s">
        <v>985</v>
      </c>
      <c r="AC22" s="9" t="s">
        <v>986</v>
      </c>
      <c r="AD22" s="10" t="str">
        <f>SUBSTITUTE(SUBSTITUTE(PROPERTIES[[#This Row],[PURCHASECOST_VALUE]], "PURCHASECOST_", ""), "_VALUE", "")</f>
        <v>DIESELRAILBUS</v>
      </c>
      <c r="AE22" s="9" t="str" cm="1">
        <f t="array" ref="AE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2" s="2" t="b">
        <v>0</v>
      </c>
      <c r="AX22"/>
      <c r="AY22"/>
      <c r="AZ22"/>
    </row>
    <row r="23" spans="1:52">
      <c r="A23" s="2" t="s">
        <v>45</v>
      </c>
      <c r="B23">
        <v>1987</v>
      </c>
      <c r="C23">
        <v>0</v>
      </c>
      <c r="D23" t="s">
        <v>1772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 s="2" t="s">
        <v>23</v>
      </c>
      <c r="K23" s="39">
        <f>_xlfn.XLOOKUP("LOADINGSPEEDDEF_"&amp;PROPERTIES[[#This Row],[LOADINGSPEED]],LOADINGSPEEDDEF[TYPE],LOADINGSPEEDDEF[SPEED])</f>
        <v>40</v>
      </c>
      <c r="L23">
        <v>45</v>
      </c>
      <c r="M23">
        <v>1</v>
      </c>
      <c r="N23" s="33">
        <v>44</v>
      </c>
      <c r="O23">
        <v>562</v>
      </c>
      <c r="P23">
        <v>120</v>
      </c>
      <c r="Q23" s="30">
        <v>0</v>
      </c>
      <c r="R23" s="29">
        <f>IFERROR(PROPERTIES[[#This Row],[TE_STARTING_KN]]/(PROPERTIES[[#This Row],[WEIGHT]]*9.81),0)</f>
        <v>0</v>
      </c>
      <c r="S23" s="29">
        <v>0.11</v>
      </c>
      <c r="T23" s="26">
        <f>ROUND(IF(IFERROR(PROPERTIES[[#This Row],[TE_COEFFICIENT_CALC]],0)=0,PROPERTIES[[#This Row],[TE_COEFFICIENT_MANUAL]],PROPERTIES[[#This Row],[TE_COEFFICIENT_CALC]]),3)</f>
        <v>0.11</v>
      </c>
      <c r="U23" s="11">
        <v>15</v>
      </c>
      <c r="V23" s="9">
        <v>0</v>
      </c>
      <c r="W23" s="9">
        <v>0</v>
      </c>
      <c r="X23" s="10">
        <v>0</v>
      </c>
      <c r="Y23" t="s">
        <v>904</v>
      </c>
      <c r="Z23" t="s">
        <v>903</v>
      </c>
      <c r="AA23" s="2" t="s">
        <v>921</v>
      </c>
      <c r="AB23" s="9" t="s">
        <v>985</v>
      </c>
      <c r="AC23" s="9" t="s">
        <v>986</v>
      </c>
      <c r="AD23" s="10" t="str">
        <f>SUBSTITUTE(SUBSTITUTE(PROPERTIES[[#This Row],[PURCHASECOST_VALUE]], "PURCHASECOST_", ""), "_VALUE", "")</f>
        <v>DIESELRAILBUS</v>
      </c>
      <c r="AE23" s="9" t="str" cm="1">
        <f t="array" ref="AE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3" s="2" t="b">
        <v>0</v>
      </c>
      <c r="AX23"/>
      <c r="AY23"/>
      <c r="AZ23"/>
    </row>
    <row r="24" spans="1:52">
      <c r="A24" s="2" t="s">
        <v>46</v>
      </c>
      <c r="B24">
        <v>1991</v>
      </c>
      <c r="C24">
        <v>0</v>
      </c>
      <c r="D24" t="s">
        <v>1836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 s="2" t="s">
        <v>23</v>
      </c>
      <c r="K24" s="39">
        <f>_xlfn.XLOOKUP("LOADINGSPEEDDEF_"&amp;PROPERTIES[[#This Row],[LOADINGSPEED]],LOADINGSPEEDDEF[TYPE],LOADINGSPEEDDEF[SPEED])</f>
        <v>40</v>
      </c>
      <c r="L24">
        <v>45</v>
      </c>
      <c r="M24">
        <v>1</v>
      </c>
      <c r="N24" s="33">
        <v>42</v>
      </c>
      <c r="O24">
        <v>285</v>
      </c>
      <c r="P24">
        <v>120</v>
      </c>
      <c r="Q24" s="30">
        <v>0</v>
      </c>
      <c r="R24" s="29">
        <f>IFERROR(PROPERTIES[[#This Row],[TE_STARTING_KN]]/(PROPERTIES[[#This Row],[WEIGHT]]*9.81),0)</f>
        <v>0</v>
      </c>
      <c r="S24" s="29">
        <v>0.1</v>
      </c>
      <c r="T24" s="26">
        <f>ROUND(IF(IFERROR(PROPERTIES[[#This Row],[TE_COEFFICIENT_CALC]],0)=0,PROPERTIES[[#This Row],[TE_COEFFICIENT_MANUAL]],PROPERTIES[[#This Row],[TE_COEFFICIENT_CALC]]),3)</f>
        <v>0.1</v>
      </c>
      <c r="U24" s="11">
        <v>15</v>
      </c>
      <c r="V24" s="9">
        <v>0</v>
      </c>
      <c r="W24" s="9">
        <v>0</v>
      </c>
      <c r="X24" s="10">
        <v>0</v>
      </c>
      <c r="Y24" t="s">
        <v>908</v>
      </c>
      <c r="Z24" t="s">
        <v>903</v>
      </c>
      <c r="AA24" s="2" t="s">
        <v>921</v>
      </c>
      <c r="AB24" s="9" t="s">
        <v>985</v>
      </c>
      <c r="AC24" s="9" t="s">
        <v>986</v>
      </c>
      <c r="AD24" s="10" t="str">
        <f>SUBSTITUTE(SUBSTITUTE(PROPERTIES[[#This Row],[PURCHASECOST_VALUE]], "PURCHASECOST_", ""), "_VALUE", "")</f>
        <v>DIESELRAILBUS</v>
      </c>
      <c r="AE24" s="9" t="str" cm="1">
        <f t="array" ref="AE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4" s="2" t="b">
        <v>0</v>
      </c>
      <c r="AX24"/>
      <c r="AY24"/>
      <c r="AZ24"/>
    </row>
    <row r="25" spans="1:52">
      <c r="A25" s="2" t="s">
        <v>47</v>
      </c>
      <c r="B25">
        <v>1996</v>
      </c>
      <c r="C25">
        <v>0</v>
      </c>
      <c r="D25" t="s">
        <v>1816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 s="2" t="s">
        <v>23</v>
      </c>
      <c r="K25" s="39">
        <f>_xlfn.XLOOKUP("LOADINGSPEEDDEF_"&amp;PROPERTIES[[#This Row],[LOADINGSPEED]],LOADINGSPEEDDEF[TYPE],LOADINGSPEEDDEF[SPEED])</f>
        <v>40</v>
      </c>
      <c r="L25" t="s">
        <v>20</v>
      </c>
      <c r="M25">
        <v>1</v>
      </c>
      <c r="N25" s="33">
        <v>20</v>
      </c>
      <c r="O25">
        <v>210</v>
      </c>
      <c r="P25">
        <v>80</v>
      </c>
      <c r="Q25" s="30">
        <v>0</v>
      </c>
      <c r="R25" s="29">
        <f>IFERROR(PROPERTIES[[#This Row],[TE_STARTING_KN]]/(PROPERTIES[[#This Row],[WEIGHT]]*9.81),0)</f>
        <v>0</v>
      </c>
      <c r="S25" s="29">
        <v>0.15</v>
      </c>
      <c r="T25" s="26">
        <f>ROUND(IF(IFERROR(PROPERTIES[[#This Row],[TE_COEFFICIENT_CALC]],0)=0,PROPERTIES[[#This Row],[TE_COEFFICIENT_MANUAL]],PROPERTIES[[#This Row],[TE_COEFFICIENT_CALC]]),3)</f>
        <v>0.15</v>
      </c>
      <c r="U25" s="11">
        <v>15</v>
      </c>
      <c r="V25" s="9">
        <v>0</v>
      </c>
      <c r="W25" s="9">
        <v>0</v>
      </c>
      <c r="X25" s="10">
        <v>0</v>
      </c>
      <c r="Y25" t="s">
        <v>910</v>
      </c>
      <c r="Z25" t="s">
        <v>903</v>
      </c>
      <c r="AA25" s="2" t="s">
        <v>921</v>
      </c>
      <c r="AB25" s="9" t="s">
        <v>985</v>
      </c>
      <c r="AC25" s="9" t="s">
        <v>986</v>
      </c>
      <c r="AD25" s="10" t="str">
        <f>SUBSTITUTE(SUBSTITUTE(PROPERTIES[[#This Row],[PURCHASECOST_VALUE]], "PURCHASECOST_", ""), "_VALUE", "")</f>
        <v>DIESELRAILBUS</v>
      </c>
      <c r="AE25" s="9" t="str" cm="1">
        <f t="array" ref="AE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5" s="2" t="b">
        <v>0</v>
      </c>
      <c r="AX25"/>
      <c r="AY25"/>
      <c r="AZ25"/>
    </row>
    <row r="26" spans="1:52">
      <c r="A26" s="2" t="s">
        <v>48</v>
      </c>
      <c r="B26">
        <v>1996</v>
      </c>
      <c r="C26">
        <v>0</v>
      </c>
      <c r="D26" t="s">
        <v>1817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 s="2" t="s">
        <v>23</v>
      </c>
      <c r="K26" s="39">
        <f>_xlfn.XLOOKUP("LOADINGSPEEDDEF_"&amp;PROPERTIES[[#This Row],[LOADINGSPEED]],LOADINGSPEEDDEF[TYPE],LOADINGSPEEDDEF[SPEED])</f>
        <v>40</v>
      </c>
      <c r="L26" t="s">
        <v>20</v>
      </c>
      <c r="M26">
        <v>1</v>
      </c>
      <c r="N26" s="33">
        <v>34</v>
      </c>
      <c r="O26">
        <v>335</v>
      </c>
      <c r="P26">
        <v>100</v>
      </c>
      <c r="Q26" s="30">
        <v>0</v>
      </c>
      <c r="R26" s="29">
        <f>IFERROR(PROPERTIES[[#This Row],[TE_STARTING_KN]]/(PROPERTIES[[#This Row],[WEIGHT]]*9.81),0)</f>
        <v>0</v>
      </c>
      <c r="S26" s="29">
        <v>0.21</v>
      </c>
      <c r="T26" s="26">
        <f>ROUND(IF(IFERROR(PROPERTIES[[#This Row],[TE_COEFFICIENT_CALC]],0)=0,PROPERTIES[[#This Row],[TE_COEFFICIENT_MANUAL]],PROPERTIES[[#This Row],[TE_COEFFICIENT_CALC]]),3)</f>
        <v>0.21</v>
      </c>
      <c r="U26" s="11">
        <v>15</v>
      </c>
      <c r="V26" s="9">
        <v>0</v>
      </c>
      <c r="W26" s="9">
        <v>0</v>
      </c>
      <c r="X26" s="10">
        <v>0</v>
      </c>
      <c r="Y26" t="s">
        <v>904</v>
      </c>
      <c r="Z26" t="s">
        <v>903</v>
      </c>
      <c r="AA26" s="2" t="s">
        <v>921</v>
      </c>
      <c r="AB26" s="9" t="s">
        <v>985</v>
      </c>
      <c r="AC26" s="9" t="s">
        <v>986</v>
      </c>
      <c r="AD26" s="10" t="str">
        <f>SUBSTITUTE(SUBSTITUTE(PROPERTIES[[#This Row],[PURCHASECOST_VALUE]], "PURCHASECOST_", ""), "_VALUE", "")</f>
        <v>DIESELRAILBUS</v>
      </c>
      <c r="AE26" s="9" t="str" cm="1">
        <f t="array" ref="AE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6" s="2" t="b">
        <v>0</v>
      </c>
      <c r="AX26"/>
      <c r="AY26"/>
      <c r="AZ26"/>
    </row>
    <row r="27" spans="1:52">
      <c r="A27" s="2" t="s">
        <v>49</v>
      </c>
      <c r="B27">
        <v>1997</v>
      </c>
      <c r="C27">
        <v>0</v>
      </c>
      <c r="D27" t="s">
        <v>1892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 s="2" t="s">
        <v>23</v>
      </c>
      <c r="K27" s="39">
        <f>_xlfn.XLOOKUP("LOADINGSPEEDDEF_"&amp;PROPERTIES[[#This Row],[LOADINGSPEED]],LOADINGSPEEDDEF[TYPE],LOADINGSPEEDDEF[SPEED])</f>
        <v>40</v>
      </c>
      <c r="L27" t="s">
        <v>20</v>
      </c>
      <c r="M27">
        <v>1</v>
      </c>
      <c r="N27" s="33">
        <v>32</v>
      </c>
      <c r="O27">
        <v>400</v>
      </c>
      <c r="P27">
        <v>120</v>
      </c>
      <c r="Q27" s="30">
        <v>0</v>
      </c>
      <c r="R27" s="29">
        <f>IFERROR(PROPERTIES[[#This Row],[TE_STARTING_KN]]/(PROPERTIES[[#This Row],[WEIGHT]]*9.81),0)</f>
        <v>0</v>
      </c>
      <c r="S27" s="29">
        <v>0.12</v>
      </c>
      <c r="T27" s="26">
        <f>ROUND(IF(IFERROR(PROPERTIES[[#This Row],[TE_COEFFICIENT_CALC]],0)=0,PROPERTIES[[#This Row],[TE_COEFFICIENT_MANUAL]],PROPERTIES[[#This Row],[TE_COEFFICIENT_CALC]]),3)</f>
        <v>0.12</v>
      </c>
      <c r="U27" s="11">
        <v>15</v>
      </c>
      <c r="V27" s="9">
        <v>0</v>
      </c>
      <c r="W27" s="9">
        <v>0</v>
      </c>
      <c r="X27" s="10">
        <v>0</v>
      </c>
      <c r="Y27" t="s">
        <v>908</v>
      </c>
      <c r="Z27" t="s">
        <v>903</v>
      </c>
      <c r="AA27" s="2" t="s">
        <v>921</v>
      </c>
      <c r="AB27" s="9" t="s">
        <v>985</v>
      </c>
      <c r="AC27" s="9" t="s">
        <v>986</v>
      </c>
      <c r="AD27" s="10" t="str">
        <f>SUBSTITUTE(SUBSTITUTE(PROPERTIES[[#This Row],[PURCHASECOST_VALUE]], "PURCHASECOST_", ""), "_VALUE", "")</f>
        <v>DIESELRAILBUS</v>
      </c>
      <c r="AE27" s="9" t="str" cm="1">
        <f t="array" ref="AE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7" s="2" t="b">
        <v>0</v>
      </c>
      <c r="AX27"/>
      <c r="AY27"/>
      <c r="AZ27"/>
    </row>
    <row r="28" spans="1:52">
      <c r="A28" s="2" t="s">
        <v>50</v>
      </c>
      <c r="B28">
        <v>1902</v>
      </c>
      <c r="C28">
        <v>0</v>
      </c>
      <c r="D28" t="s">
        <v>1772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 s="2" t="s">
        <v>23</v>
      </c>
      <c r="K28" s="39">
        <f>_xlfn.XLOOKUP("LOADINGSPEEDDEF_"&amp;PROPERTIES[[#This Row],[LOADINGSPEED]],LOADINGSPEEDDEF[TYPE],LOADINGSPEEDDEF[SPEED])</f>
        <v>40</v>
      </c>
      <c r="L28">
        <v>45</v>
      </c>
      <c r="M28">
        <v>1</v>
      </c>
      <c r="N28" s="33">
        <v>13</v>
      </c>
      <c r="O28">
        <v>55</v>
      </c>
      <c r="P28">
        <v>35</v>
      </c>
      <c r="Q28" s="30">
        <v>0</v>
      </c>
      <c r="R28" s="29">
        <f>IFERROR(PROPERTIES[[#This Row],[TE_STARTING_KN]]/(PROPERTIES[[#This Row],[WEIGHT]]*9.81),0)</f>
        <v>0</v>
      </c>
      <c r="S28" s="29">
        <v>0.34</v>
      </c>
      <c r="T28" s="26">
        <f>ROUND(IF(IFERROR(PROPERTIES[[#This Row],[TE_COEFFICIENT_CALC]],0)=0,PROPERTIES[[#This Row],[TE_COEFFICIENT_MANUAL]],PROPERTIES[[#This Row],[TE_COEFFICIENT_CALC]]),3)</f>
        <v>0.34</v>
      </c>
      <c r="U28" s="11">
        <v>15</v>
      </c>
      <c r="V28" s="9">
        <v>0</v>
      </c>
      <c r="W28" s="9">
        <v>0</v>
      </c>
      <c r="X28" s="10">
        <v>0</v>
      </c>
      <c r="Y28" t="s">
        <v>904</v>
      </c>
      <c r="Z28" t="s">
        <v>903</v>
      </c>
      <c r="AA28" s="2" t="s">
        <v>921</v>
      </c>
      <c r="AB28" s="9" t="s">
        <v>985</v>
      </c>
      <c r="AC28" s="9" t="s">
        <v>986</v>
      </c>
      <c r="AD28" s="10" t="str">
        <f>SUBSTITUTE(SUBSTITUTE(PROPERTIES[[#This Row],[PURCHASECOST_VALUE]], "PURCHASECOST_", ""), "_VALUE", "")</f>
        <v>DIESELRAILBUS</v>
      </c>
      <c r="AE28" s="9" t="str" cm="1">
        <f t="array" ref="AE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8" s="2" t="b">
        <v>0</v>
      </c>
      <c r="AX28"/>
      <c r="AY28"/>
      <c r="AZ28"/>
    </row>
    <row r="29" spans="1:52">
      <c r="A29" s="2" t="s">
        <v>51</v>
      </c>
      <c r="B29">
        <v>1909</v>
      </c>
      <c r="C29">
        <v>0</v>
      </c>
      <c r="D29" t="s">
        <v>1992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 s="2" t="s">
        <v>23</v>
      </c>
      <c r="K29" s="39">
        <f>_xlfn.XLOOKUP("LOADINGSPEEDDEF_"&amp;PROPERTIES[[#This Row],[LOADINGSPEED]],LOADINGSPEEDDEF[TYPE],LOADINGSPEEDDEF[SPEED])</f>
        <v>40</v>
      </c>
      <c r="L29">
        <v>45</v>
      </c>
      <c r="M29">
        <v>1</v>
      </c>
      <c r="N29" s="33">
        <v>30</v>
      </c>
      <c r="O29">
        <v>200</v>
      </c>
      <c r="P29">
        <v>52</v>
      </c>
      <c r="Q29" s="30">
        <v>0</v>
      </c>
      <c r="R29" s="29">
        <f>IFERROR(PROPERTIES[[#This Row],[TE_STARTING_KN]]/(PROPERTIES[[#This Row],[WEIGHT]]*9.81),0)</f>
        <v>0</v>
      </c>
      <c r="S29" s="29">
        <v>0.34</v>
      </c>
      <c r="T29" s="26">
        <f>ROUND(IF(IFERROR(PROPERTIES[[#This Row],[TE_COEFFICIENT_CALC]],0)=0,PROPERTIES[[#This Row],[TE_COEFFICIENT_MANUAL]],PROPERTIES[[#This Row],[TE_COEFFICIENT_CALC]]),3)</f>
        <v>0.34</v>
      </c>
      <c r="U29" s="11">
        <v>15</v>
      </c>
      <c r="V29" s="9">
        <v>0</v>
      </c>
      <c r="W29" s="9">
        <v>0</v>
      </c>
      <c r="X29" s="10">
        <v>0</v>
      </c>
      <c r="Y29" t="s">
        <v>909</v>
      </c>
      <c r="Z29" t="s">
        <v>903</v>
      </c>
      <c r="AA29" s="2" t="s">
        <v>921</v>
      </c>
      <c r="AB29" s="9" t="s">
        <v>985</v>
      </c>
      <c r="AC29" s="9" t="s">
        <v>986</v>
      </c>
      <c r="AD29" s="10" t="str">
        <f>SUBSTITUTE(SUBSTITUTE(PROPERTIES[[#This Row],[PURCHASECOST_VALUE]], "PURCHASECOST_", ""), "_VALUE", "")</f>
        <v>DIESELRAILBUS</v>
      </c>
      <c r="AE29" s="9" t="str" cm="1">
        <f t="array" ref="AE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9" s="2" t="b">
        <v>0</v>
      </c>
      <c r="AX29"/>
      <c r="AY29"/>
      <c r="AZ29"/>
    </row>
    <row r="30" spans="1:52">
      <c r="A30" s="2" t="s">
        <v>52</v>
      </c>
      <c r="B30">
        <v>1914</v>
      </c>
      <c r="C30">
        <v>0</v>
      </c>
      <c r="D30" t="s">
        <v>1817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 s="2" t="s">
        <v>23</v>
      </c>
      <c r="K30" s="39">
        <f>_xlfn.XLOOKUP("LOADINGSPEEDDEF_"&amp;PROPERTIES[[#This Row],[LOADINGSPEED]],LOADINGSPEEDDEF[TYPE],LOADINGSPEEDDEF[SPEED])</f>
        <v>40</v>
      </c>
      <c r="L30">
        <v>45</v>
      </c>
      <c r="M30">
        <v>1</v>
      </c>
      <c r="N30" s="33">
        <v>64</v>
      </c>
      <c r="O30">
        <v>200</v>
      </c>
      <c r="P30">
        <v>70</v>
      </c>
      <c r="Q30" s="30">
        <v>0</v>
      </c>
      <c r="R30" s="29">
        <f>IFERROR(PROPERTIES[[#This Row],[TE_STARTING_KN]]/(PROPERTIES[[#This Row],[WEIGHT]]*9.81),0)</f>
        <v>0</v>
      </c>
      <c r="S30" s="29">
        <v>0.34</v>
      </c>
      <c r="T30" s="26">
        <f>ROUND(IF(IFERROR(PROPERTIES[[#This Row],[TE_COEFFICIENT_CALC]],0)=0,PROPERTIES[[#This Row],[TE_COEFFICIENT_MANUAL]],PROPERTIES[[#This Row],[TE_COEFFICIENT_CALC]]),3)</f>
        <v>0.34</v>
      </c>
      <c r="U30" s="11">
        <v>15</v>
      </c>
      <c r="V30" s="9">
        <v>0</v>
      </c>
      <c r="W30" s="9">
        <v>2</v>
      </c>
      <c r="X30" s="10">
        <v>0</v>
      </c>
      <c r="Y30" t="s">
        <v>904</v>
      </c>
      <c r="Z30" t="s">
        <v>903</v>
      </c>
      <c r="AA30" s="2" t="s">
        <v>921</v>
      </c>
      <c r="AB30" s="9" t="s">
        <v>985</v>
      </c>
      <c r="AC30" s="9" t="s">
        <v>986</v>
      </c>
      <c r="AD30" s="10" t="str">
        <f>SUBSTITUTE(SUBSTITUTE(PROPERTIES[[#This Row],[PURCHASECOST_VALUE]], "PURCHASECOST_", ""), "_VALUE", "")</f>
        <v>DIESELRAILBUS</v>
      </c>
      <c r="AE30" s="9" t="str" cm="1">
        <f t="array" ref="AE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0" s="2" t="b">
        <v>0</v>
      </c>
      <c r="AX30"/>
      <c r="AY30"/>
      <c r="AZ30"/>
    </row>
    <row r="31" spans="1:52">
      <c r="A31" s="2" t="s">
        <v>53</v>
      </c>
      <c r="B31">
        <v>1921</v>
      </c>
      <c r="C31">
        <v>0</v>
      </c>
      <c r="D31" t="s">
        <v>1836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 s="2" t="s">
        <v>23</v>
      </c>
      <c r="K31" s="39">
        <f>_xlfn.XLOOKUP("LOADINGSPEEDDEF_"&amp;PROPERTIES[[#This Row],[LOADINGSPEED]],LOADINGSPEEDDEF[TYPE],LOADINGSPEEDDEF[SPEED])</f>
        <v>40</v>
      </c>
      <c r="L31">
        <v>45</v>
      </c>
      <c r="M31">
        <v>1</v>
      </c>
      <c r="N31" s="33">
        <v>10</v>
      </c>
      <c r="O31">
        <v>35</v>
      </c>
      <c r="P31">
        <v>40</v>
      </c>
      <c r="Q31" s="30">
        <v>0</v>
      </c>
      <c r="R31" s="29">
        <f>IFERROR(PROPERTIES[[#This Row],[TE_STARTING_KN]]/(PROPERTIES[[#This Row],[WEIGHT]]*9.81),0)</f>
        <v>0</v>
      </c>
      <c r="S31" s="29">
        <v>0.21</v>
      </c>
      <c r="T31" s="26">
        <f>ROUND(IF(IFERROR(PROPERTIES[[#This Row],[TE_COEFFICIENT_CALC]],0)=0,PROPERTIES[[#This Row],[TE_COEFFICIENT_MANUAL]],PROPERTIES[[#This Row],[TE_COEFFICIENT_CALC]]),3)</f>
        <v>0.21</v>
      </c>
      <c r="U31" s="11">
        <v>15</v>
      </c>
      <c r="V31" s="9">
        <v>0</v>
      </c>
      <c r="W31" s="9">
        <v>0</v>
      </c>
      <c r="X31" s="10">
        <v>0</v>
      </c>
      <c r="Y31" t="s">
        <v>908</v>
      </c>
      <c r="Z31" t="s">
        <v>903</v>
      </c>
      <c r="AA31" s="2" t="s">
        <v>921</v>
      </c>
      <c r="AB31" s="9" t="s">
        <v>985</v>
      </c>
      <c r="AC31" s="9" t="s">
        <v>986</v>
      </c>
      <c r="AD31" s="10" t="str">
        <f>SUBSTITUTE(SUBSTITUTE(PROPERTIES[[#This Row],[PURCHASECOST_VALUE]], "PURCHASECOST_", ""), "_VALUE", "")</f>
        <v>DIESELRAILBUS</v>
      </c>
      <c r="AE31" s="9" t="str" cm="1">
        <f t="array" ref="AE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1" s="2" t="b">
        <v>0</v>
      </c>
      <c r="AX31"/>
      <c r="AY31"/>
      <c r="AZ31"/>
    </row>
    <row r="32" spans="1:52">
      <c r="A32" s="2" t="s">
        <v>54</v>
      </c>
      <c r="B32">
        <v>1922</v>
      </c>
      <c r="C32">
        <v>0</v>
      </c>
      <c r="D32" t="s">
        <v>1817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 s="2" t="s">
        <v>23</v>
      </c>
      <c r="K32" s="39">
        <f>_xlfn.XLOOKUP("LOADINGSPEEDDEF_"&amp;PROPERTIES[[#This Row],[LOADINGSPEED]],LOADINGSPEEDDEF[TYPE],LOADINGSPEEDDEF[SPEED])</f>
        <v>40</v>
      </c>
      <c r="L32">
        <v>45</v>
      </c>
      <c r="M32">
        <v>1</v>
      </c>
      <c r="N32" s="33">
        <v>11</v>
      </c>
      <c r="O32">
        <v>75</v>
      </c>
      <c r="P32">
        <v>40</v>
      </c>
      <c r="Q32" s="30">
        <v>0</v>
      </c>
      <c r="R32" s="29">
        <f>IFERROR(PROPERTIES[[#This Row],[TE_STARTING_KN]]/(PROPERTIES[[#This Row],[WEIGHT]]*9.81),0)</f>
        <v>0</v>
      </c>
      <c r="S32" s="29">
        <v>0.34</v>
      </c>
      <c r="T32" s="26">
        <f>ROUND(IF(IFERROR(PROPERTIES[[#This Row],[TE_COEFFICIENT_CALC]],0)=0,PROPERTIES[[#This Row],[TE_COEFFICIENT_MANUAL]],PROPERTIES[[#This Row],[TE_COEFFICIENT_CALC]]),3)</f>
        <v>0.34</v>
      </c>
      <c r="U32" s="11">
        <v>15</v>
      </c>
      <c r="V32" s="9">
        <v>0</v>
      </c>
      <c r="W32" s="9">
        <v>0</v>
      </c>
      <c r="X32" s="10">
        <v>0</v>
      </c>
      <c r="Y32" t="s">
        <v>904</v>
      </c>
      <c r="Z32" t="s">
        <v>903</v>
      </c>
      <c r="AA32" s="2" t="s">
        <v>921</v>
      </c>
      <c r="AB32" s="9" t="s">
        <v>985</v>
      </c>
      <c r="AC32" s="9" t="s">
        <v>986</v>
      </c>
      <c r="AD32" s="10" t="str">
        <f>SUBSTITUTE(SUBSTITUTE(PROPERTIES[[#This Row],[PURCHASECOST_VALUE]], "PURCHASECOST_", ""), "_VALUE", "")</f>
        <v>DIESELRAILBUS</v>
      </c>
      <c r="AE32" s="9" t="str" cm="1">
        <f t="array" ref="AE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2" s="2" t="b">
        <v>0</v>
      </c>
      <c r="AX32"/>
      <c r="AY32"/>
      <c r="AZ32"/>
    </row>
    <row r="33" spans="1:52">
      <c r="A33" s="2" t="s">
        <v>55</v>
      </c>
      <c r="B33">
        <v>1928</v>
      </c>
      <c r="C33">
        <v>0</v>
      </c>
      <c r="D33" t="s">
        <v>1773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 s="2" t="s">
        <v>23</v>
      </c>
      <c r="K33" s="39">
        <f>_xlfn.XLOOKUP("LOADINGSPEEDDEF_"&amp;PROPERTIES[[#This Row],[LOADINGSPEED]],LOADINGSPEEDDEF[TYPE],LOADINGSPEEDDEF[SPEED])</f>
        <v>40</v>
      </c>
      <c r="L33">
        <v>45</v>
      </c>
      <c r="M33">
        <v>1</v>
      </c>
      <c r="N33" s="33">
        <v>43</v>
      </c>
      <c r="O33">
        <v>255</v>
      </c>
      <c r="P33">
        <v>100</v>
      </c>
      <c r="Q33" s="30">
        <v>0</v>
      </c>
      <c r="R33" s="29">
        <f>IFERROR(PROPERTIES[[#This Row],[TE_STARTING_KN]]/(PROPERTIES[[#This Row],[WEIGHT]]*9.81),0)</f>
        <v>0</v>
      </c>
      <c r="S33" s="29">
        <v>0.34</v>
      </c>
      <c r="T33" s="26">
        <f>ROUND(IF(IFERROR(PROPERTIES[[#This Row],[TE_COEFFICIENT_CALC]],0)=0,PROPERTIES[[#This Row],[TE_COEFFICIENT_MANUAL]],PROPERTIES[[#This Row],[TE_COEFFICIENT_CALC]]),3)</f>
        <v>0.34</v>
      </c>
      <c r="U33" s="11">
        <v>15</v>
      </c>
      <c r="V33" s="9">
        <v>0</v>
      </c>
      <c r="W33" s="9">
        <v>0</v>
      </c>
      <c r="X33" s="10">
        <v>0</v>
      </c>
      <c r="Y33" t="s">
        <v>906</v>
      </c>
      <c r="Z33" t="s">
        <v>903</v>
      </c>
      <c r="AA33" s="2" t="s">
        <v>921</v>
      </c>
      <c r="AB33" s="9" t="s">
        <v>985</v>
      </c>
      <c r="AC33" s="9" t="s">
        <v>986</v>
      </c>
      <c r="AD33" s="10" t="str">
        <f>SUBSTITUTE(SUBSTITUTE(PROPERTIES[[#This Row],[PURCHASECOST_VALUE]], "PURCHASECOST_", ""), "_VALUE", "")</f>
        <v>DIESELRAILBUS</v>
      </c>
      <c r="AE33" s="9" t="str" cm="1">
        <f t="array" ref="AE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3" s="2" t="b">
        <v>0</v>
      </c>
      <c r="AX33"/>
      <c r="AY33"/>
      <c r="AZ33"/>
    </row>
    <row r="34" spans="1:52">
      <c r="A34" s="2" t="s">
        <v>56</v>
      </c>
      <c r="B34">
        <v>1930</v>
      </c>
      <c r="C34">
        <v>0</v>
      </c>
      <c r="D34" t="s">
        <v>1816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 s="2" t="s">
        <v>23</v>
      </c>
      <c r="K34" s="39">
        <f>_xlfn.XLOOKUP("LOADINGSPEEDDEF_"&amp;PROPERTIES[[#This Row],[LOADINGSPEED]],LOADINGSPEEDDEF[TYPE],LOADINGSPEEDDEF[SPEED])</f>
        <v>40</v>
      </c>
      <c r="L34">
        <v>45</v>
      </c>
      <c r="M34">
        <v>1</v>
      </c>
      <c r="N34" s="33">
        <v>13</v>
      </c>
      <c r="O34">
        <v>120</v>
      </c>
      <c r="P34">
        <v>60</v>
      </c>
      <c r="Q34" s="30">
        <v>0</v>
      </c>
      <c r="R34" s="29">
        <f>IFERROR(PROPERTIES[[#This Row],[TE_STARTING_KN]]/(PROPERTIES[[#This Row],[WEIGHT]]*9.81),0)</f>
        <v>0</v>
      </c>
      <c r="S34" s="29">
        <v>0.15</v>
      </c>
      <c r="T34" s="26">
        <f>ROUND(IF(IFERROR(PROPERTIES[[#This Row],[TE_COEFFICIENT_CALC]],0)=0,PROPERTIES[[#This Row],[TE_COEFFICIENT_MANUAL]],PROPERTIES[[#This Row],[TE_COEFFICIENT_CALC]]),3)</f>
        <v>0.15</v>
      </c>
      <c r="U34" s="11">
        <v>15</v>
      </c>
      <c r="V34" s="9">
        <v>0</v>
      </c>
      <c r="W34" s="9">
        <v>0</v>
      </c>
      <c r="X34" s="10">
        <v>0</v>
      </c>
      <c r="Y34" t="s">
        <v>910</v>
      </c>
      <c r="Z34" t="s">
        <v>903</v>
      </c>
      <c r="AA34" s="2" t="s">
        <v>921</v>
      </c>
      <c r="AB34" s="9" t="s">
        <v>985</v>
      </c>
      <c r="AC34" s="9" t="s">
        <v>986</v>
      </c>
      <c r="AD34" s="10" t="str">
        <f>SUBSTITUTE(SUBSTITUTE(PROPERTIES[[#This Row],[PURCHASECOST_VALUE]], "PURCHASECOST_", ""), "_VALUE", "")</f>
        <v>DIESELRAILBUS</v>
      </c>
      <c r="AE34" s="9" t="str" cm="1">
        <f t="array" ref="AE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4" s="2" t="b">
        <v>0</v>
      </c>
      <c r="AX34"/>
      <c r="AY34"/>
      <c r="AZ34"/>
    </row>
    <row r="35" spans="1:52">
      <c r="A35" s="2" t="s">
        <v>57</v>
      </c>
      <c r="B35">
        <v>1930</v>
      </c>
      <c r="C35">
        <v>0</v>
      </c>
      <c r="D35" t="s">
        <v>1817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 s="2" t="s">
        <v>23</v>
      </c>
      <c r="K35" s="39">
        <f>_xlfn.XLOOKUP("LOADINGSPEEDDEF_"&amp;PROPERTIES[[#This Row],[LOADINGSPEED]],LOADINGSPEEDDEF[TYPE],LOADINGSPEEDDEF[SPEED])</f>
        <v>40</v>
      </c>
      <c r="L35">
        <v>45</v>
      </c>
      <c r="M35">
        <v>1</v>
      </c>
      <c r="N35" s="33">
        <v>20</v>
      </c>
      <c r="O35">
        <v>600</v>
      </c>
      <c r="P35">
        <v>230</v>
      </c>
      <c r="Q35" s="30">
        <v>0</v>
      </c>
      <c r="R35" s="29">
        <f>IFERROR(PROPERTIES[[#This Row],[TE_STARTING_KN]]/(PROPERTIES[[#This Row],[WEIGHT]]*9.81),0)</f>
        <v>0</v>
      </c>
      <c r="S35" s="29">
        <v>0.39</v>
      </c>
      <c r="T35" s="26">
        <f>ROUND(IF(IFERROR(PROPERTIES[[#This Row],[TE_COEFFICIENT_CALC]],0)=0,PROPERTIES[[#This Row],[TE_COEFFICIENT_MANUAL]],PROPERTIES[[#This Row],[TE_COEFFICIENT_CALC]]),3)</f>
        <v>0.39</v>
      </c>
      <c r="U35" s="11">
        <v>15</v>
      </c>
      <c r="V35" s="9">
        <v>0</v>
      </c>
      <c r="W35" s="9">
        <v>0</v>
      </c>
      <c r="X35" s="10">
        <v>0</v>
      </c>
      <c r="Y35" t="s">
        <v>904</v>
      </c>
      <c r="Z35" t="s">
        <v>903</v>
      </c>
      <c r="AA35" s="2" t="s">
        <v>921</v>
      </c>
      <c r="AB35" s="9" t="s">
        <v>985</v>
      </c>
      <c r="AC35" s="9" t="s">
        <v>986</v>
      </c>
      <c r="AD35" s="10" t="str">
        <f>SUBSTITUTE(SUBSTITUTE(PROPERTIES[[#This Row],[PURCHASECOST_VALUE]], "PURCHASECOST_", ""), "_VALUE", "")</f>
        <v>DIESELRAILBUS</v>
      </c>
      <c r="AE35" s="9" t="str" cm="1">
        <f t="array" ref="AE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35" s="2" t="b">
        <v>0</v>
      </c>
      <c r="AX35"/>
      <c r="AY35"/>
      <c r="AZ35"/>
    </row>
    <row r="36" spans="1:52">
      <c r="A36" s="2" t="s">
        <v>58</v>
      </c>
      <c r="B36">
        <v>1935</v>
      </c>
      <c r="C36">
        <v>0</v>
      </c>
      <c r="D36" t="s">
        <v>1819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 s="2" t="s">
        <v>23</v>
      </c>
      <c r="K36" s="39">
        <f>_xlfn.XLOOKUP("LOADINGSPEEDDEF_"&amp;PROPERTIES[[#This Row],[LOADINGSPEED]],LOADINGSPEEDDEF[TYPE],LOADINGSPEEDDEF[SPEED])</f>
        <v>40</v>
      </c>
      <c r="L36">
        <v>45</v>
      </c>
      <c r="M36">
        <v>1</v>
      </c>
      <c r="N36" s="33">
        <v>65</v>
      </c>
      <c r="O36">
        <v>500</v>
      </c>
      <c r="P36">
        <v>120</v>
      </c>
      <c r="Q36" s="30">
        <v>0</v>
      </c>
      <c r="R36" s="29">
        <f>IFERROR(PROPERTIES[[#This Row],[TE_STARTING_KN]]/(PROPERTIES[[#This Row],[WEIGHT]]*9.81),0)</f>
        <v>0</v>
      </c>
      <c r="S36" s="29">
        <v>0.31</v>
      </c>
      <c r="T36" s="26">
        <f>ROUND(IF(IFERROR(PROPERTIES[[#This Row],[TE_COEFFICIENT_CALC]],0)=0,PROPERTIES[[#This Row],[TE_COEFFICIENT_MANUAL]],PROPERTIES[[#This Row],[TE_COEFFICIENT_CALC]]),3)</f>
        <v>0.31</v>
      </c>
      <c r="U36" s="11">
        <v>15</v>
      </c>
      <c r="V36" s="9">
        <v>0</v>
      </c>
      <c r="W36" s="9">
        <v>0</v>
      </c>
      <c r="X36" s="10">
        <v>0</v>
      </c>
      <c r="Y36" t="s">
        <v>908</v>
      </c>
      <c r="Z36" t="s">
        <v>903</v>
      </c>
      <c r="AA36" s="2" t="s">
        <v>921</v>
      </c>
      <c r="AB36" s="9" t="s">
        <v>985</v>
      </c>
      <c r="AC36" s="9" t="s">
        <v>986</v>
      </c>
      <c r="AD36" s="10" t="str">
        <f>SUBSTITUTE(SUBSTITUTE(PROPERTIES[[#This Row],[PURCHASECOST_VALUE]], "PURCHASECOST_", ""), "_VALUE", "")</f>
        <v>DIESELRAILBUS</v>
      </c>
      <c r="AE36" s="9" t="str" cm="1">
        <f t="array" ref="AE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6" s="2" t="b">
        <v>0</v>
      </c>
      <c r="AX36"/>
      <c r="AY36"/>
      <c r="AZ36"/>
    </row>
    <row r="37" spans="1:52">
      <c r="A37" s="2" t="s">
        <v>59</v>
      </c>
      <c r="B37">
        <v>1935</v>
      </c>
      <c r="C37">
        <v>0</v>
      </c>
      <c r="D37" t="s">
        <v>1926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 s="2" t="s">
        <v>23</v>
      </c>
      <c r="K37" s="39">
        <f>_xlfn.XLOOKUP("LOADINGSPEEDDEF_"&amp;PROPERTIES[[#This Row],[LOADINGSPEED]],LOADINGSPEEDDEF[TYPE],LOADINGSPEEDDEF[SPEED])</f>
        <v>40</v>
      </c>
      <c r="L37">
        <v>45</v>
      </c>
      <c r="M37">
        <v>1</v>
      </c>
      <c r="N37" s="33">
        <v>10</v>
      </c>
      <c r="O37">
        <v>120</v>
      </c>
      <c r="P37">
        <v>100</v>
      </c>
      <c r="Q37" s="30">
        <v>0</v>
      </c>
      <c r="R37" s="29">
        <f>IFERROR(PROPERTIES[[#This Row],[TE_STARTING_KN]]/(PROPERTIES[[#This Row],[WEIGHT]]*9.81),0)</f>
        <v>0</v>
      </c>
      <c r="S37" s="29">
        <v>0.41</v>
      </c>
      <c r="T37" s="26">
        <f>ROUND(IF(IFERROR(PROPERTIES[[#This Row],[TE_COEFFICIENT_CALC]],0)=0,PROPERTIES[[#This Row],[TE_COEFFICIENT_MANUAL]],PROPERTIES[[#This Row],[TE_COEFFICIENT_CALC]]),3)</f>
        <v>0.41</v>
      </c>
      <c r="U37" s="11">
        <v>15</v>
      </c>
      <c r="V37" s="9">
        <v>0</v>
      </c>
      <c r="W37" s="9">
        <v>0</v>
      </c>
      <c r="X37" s="10">
        <v>0</v>
      </c>
      <c r="Y37" t="s">
        <v>908</v>
      </c>
      <c r="Z37" t="s">
        <v>903</v>
      </c>
      <c r="AA37" s="2" t="s">
        <v>921</v>
      </c>
      <c r="AB37" s="9" t="s">
        <v>985</v>
      </c>
      <c r="AC37" s="9" t="s">
        <v>986</v>
      </c>
      <c r="AD37" s="10" t="str">
        <f>SUBSTITUTE(SUBSTITUTE(PROPERTIES[[#This Row],[PURCHASECOST_VALUE]], "PURCHASECOST_", ""), "_VALUE", "")</f>
        <v>DIESELRAILBUS</v>
      </c>
      <c r="AE37" s="9" t="str" cm="1">
        <f t="array" ref="AE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7" s="2" t="b">
        <v>0</v>
      </c>
      <c r="AX37"/>
      <c r="AY37"/>
      <c r="AZ37"/>
    </row>
    <row r="38" spans="1:52">
      <c r="A38" s="2" t="s">
        <v>60</v>
      </c>
      <c r="B38">
        <v>1936</v>
      </c>
      <c r="C38">
        <v>0</v>
      </c>
      <c r="D38" t="s">
        <v>1816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 s="2" t="s">
        <v>23</v>
      </c>
      <c r="K38" s="39">
        <f>_xlfn.XLOOKUP("LOADINGSPEEDDEF_"&amp;PROPERTIES[[#This Row],[LOADINGSPEED]],LOADINGSPEEDDEF[TYPE],LOADINGSPEEDDEF[SPEED])</f>
        <v>40</v>
      </c>
      <c r="L38">
        <v>45</v>
      </c>
      <c r="M38">
        <v>1</v>
      </c>
      <c r="N38" s="33">
        <v>36</v>
      </c>
      <c r="O38">
        <v>330</v>
      </c>
      <c r="P38">
        <v>130</v>
      </c>
      <c r="Q38" s="30">
        <v>0</v>
      </c>
      <c r="R38" s="29">
        <f>IFERROR(PROPERTIES[[#This Row],[TE_STARTING_KN]]/(PROPERTIES[[#This Row],[WEIGHT]]*9.81),0)</f>
        <v>0</v>
      </c>
      <c r="S38" s="29">
        <v>0.33</v>
      </c>
      <c r="T38" s="26">
        <f>ROUND(IF(IFERROR(PROPERTIES[[#This Row],[TE_COEFFICIENT_CALC]],0)=0,PROPERTIES[[#This Row],[TE_COEFFICIENT_MANUAL]],PROPERTIES[[#This Row],[TE_COEFFICIENT_CALC]]),3)</f>
        <v>0.33</v>
      </c>
      <c r="U38" s="11">
        <v>15</v>
      </c>
      <c r="V38" s="9">
        <v>0</v>
      </c>
      <c r="W38" s="9">
        <v>0</v>
      </c>
      <c r="X38" s="10">
        <v>0</v>
      </c>
      <c r="Y38" t="s">
        <v>910</v>
      </c>
      <c r="Z38" t="s">
        <v>903</v>
      </c>
      <c r="AA38" s="2" t="s">
        <v>921</v>
      </c>
      <c r="AB38" s="9" t="s">
        <v>985</v>
      </c>
      <c r="AC38" s="9" t="s">
        <v>986</v>
      </c>
      <c r="AD38" s="10" t="str">
        <f>SUBSTITUTE(SUBSTITUTE(PROPERTIES[[#This Row],[PURCHASECOST_VALUE]], "PURCHASECOST_", ""), "_VALUE", "")</f>
        <v>DIESELRAILBUS</v>
      </c>
      <c r="AE38" s="9" t="str" cm="1">
        <f t="array" ref="AE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8" s="2" t="b">
        <v>0</v>
      </c>
      <c r="AX38"/>
      <c r="AY38"/>
      <c r="AZ38"/>
    </row>
    <row r="39" spans="1:52">
      <c r="A39" s="2" t="s">
        <v>61</v>
      </c>
      <c r="B39">
        <v>1937</v>
      </c>
      <c r="C39">
        <v>0</v>
      </c>
      <c r="D39" t="s">
        <v>1925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 s="2" t="s">
        <v>23</v>
      </c>
      <c r="K39" s="39">
        <f>_xlfn.XLOOKUP("LOADINGSPEEDDEF_"&amp;PROPERTIES[[#This Row],[LOADINGSPEED]],LOADINGSPEEDDEF[TYPE],LOADINGSPEEDDEF[SPEED])</f>
        <v>40</v>
      </c>
      <c r="L39">
        <v>45</v>
      </c>
      <c r="M39">
        <v>1</v>
      </c>
      <c r="N39" s="33">
        <v>53</v>
      </c>
      <c r="O39">
        <v>294</v>
      </c>
      <c r="P39">
        <v>105</v>
      </c>
      <c r="Q39" s="30">
        <v>0</v>
      </c>
      <c r="R39" s="29">
        <f>IFERROR(PROPERTIES[[#This Row],[TE_STARTING_KN]]/(PROPERTIES[[#This Row],[WEIGHT]]*9.81),0)</f>
        <v>0</v>
      </c>
      <c r="S39" s="29">
        <v>0.34</v>
      </c>
      <c r="T39" s="26">
        <f>ROUND(IF(IFERROR(PROPERTIES[[#This Row],[TE_COEFFICIENT_CALC]],0)=0,PROPERTIES[[#This Row],[TE_COEFFICIENT_MANUAL]],PROPERTIES[[#This Row],[TE_COEFFICIENT_CALC]]),3)</f>
        <v>0.34</v>
      </c>
      <c r="U39" s="11">
        <v>15</v>
      </c>
      <c r="V39" s="9">
        <v>0</v>
      </c>
      <c r="W39" s="9">
        <v>0</v>
      </c>
      <c r="X39" s="10">
        <v>0</v>
      </c>
      <c r="Y39" t="s">
        <v>904</v>
      </c>
      <c r="Z39" t="s">
        <v>903</v>
      </c>
      <c r="AA39" s="2" t="s">
        <v>921</v>
      </c>
      <c r="AB39" s="9" t="s">
        <v>985</v>
      </c>
      <c r="AC39" s="9" t="s">
        <v>986</v>
      </c>
      <c r="AD39" s="10" t="str">
        <f>SUBSTITUTE(SUBSTITUTE(PROPERTIES[[#This Row],[PURCHASECOST_VALUE]], "PURCHASECOST_", ""), "_VALUE", "")</f>
        <v>DIESELRAILBUS</v>
      </c>
      <c r="AE39" s="9" t="str" cm="1">
        <f t="array" ref="AE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9" s="2" t="b">
        <v>0</v>
      </c>
      <c r="AX39"/>
      <c r="AY39"/>
      <c r="AZ39"/>
    </row>
    <row r="40" spans="1:52">
      <c r="A40" s="2" t="s">
        <v>62</v>
      </c>
      <c r="B40">
        <v>1938</v>
      </c>
      <c r="C40">
        <v>0</v>
      </c>
      <c r="D40" t="s">
        <v>1773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 s="2" t="s">
        <v>23</v>
      </c>
      <c r="K40" s="39">
        <f>_xlfn.XLOOKUP("LOADINGSPEEDDEF_"&amp;PROPERTIES[[#This Row],[LOADINGSPEED]],LOADINGSPEEDDEF[TYPE],LOADINGSPEEDDEF[SPEED])</f>
        <v>40</v>
      </c>
      <c r="L40">
        <v>45</v>
      </c>
      <c r="M40">
        <v>1</v>
      </c>
      <c r="N40" s="33">
        <v>48</v>
      </c>
      <c r="O40">
        <v>300</v>
      </c>
      <c r="P40">
        <v>100</v>
      </c>
      <c r="Q40" s="30">
        <v>0</v>
      </c>
      <c r="R40" s="29">
        <f>IFERROR(PROPERTIES[[#This Row],[TE_STARTING_KN]]/(PROPERTIES[[#This Row],[WEIGHT]]*9.81),0)</f>
        <v>0</v>
      </c>
      <c r="S40" s="29">
        <v>0.34</v>
      </c>
      <c r="T40" s="26">
        <f>ROUND(IF(IFERROR(PROPERTIES[[#This Row],[TE_COEFFICIENT_CALC]],0)=0,PROPERTIES[[#This Row],[TE_COEFFICIENT_MANUAL]],PROPERTIES[[#This Row],[TE_COEFFICIENT_CALC]]),3)</f>
        <v>0.34</v>
      </c>
      <c r="U40" s="11">
        <v>15</v>
      </c>
      <c r="V40" s="9">
        <v>0</v>
      </c>
      <c r="W40" s="9">
        <v>0</v>
      </c>
      <c r="X40" s="10">
        <v>0</v>
      </c>
      <c r="Y40" t="s">
        <v>906</v>
      </c>
      <c r="Z40" t="s">
        <v>903</v>
      </c>
      <c r="AA40" s="2" t="s">
        <v>921</v>
      </c>
      <c r="AB40" s="9" t="s">
        <v>985</v>
      </c>
      <c r="AC40" s="9" t="s">
        <v>986</v>
      </c>
      <c r="AD40" s="10" t="str">
        <f>SUBSTITUTE(SUBSTITUTE(PROPERTIES[[#This Row],[PURCHASECOST_VALUE]], "PURCHASECOST_", ""), "_VALUE", "")</f>
        <v>DIESELRAILBUS</v>
      </c>
      <c r="AE40" s="9" t="str" cm="1">
        <f t="array" ref="AE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0" s="2" t="b">
        <v>0</v>
      </c>
      <c r="AX40"/>
      <c r="AY40"/>
      <c r="AZ40"/>
    </row>
    <row r="41" spans="1:52">
      <c r="A41" s="2" t="s">
        <v>63</v>
      </c>
      <c r="B41">
        <v>1941</v>
      </c>
      <c r="C41">
        <v>0</v>
      </c>
      <c r="D41" t="s">
        <v>1943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 s="2" t="s">
        <v>23</v>
      </c>
      <c r="K41" s="39">
        <f>_xlfn.XLOOKUP("LOADINGSPEEDDEF_"&amp;PROPERTIES[[#This Row],[LOADINGSPEED]],LOADINGSPEEDDEF[TYPE],LOADINGSPEEDDEF[SPEED])</f>
        <v>40</v>
      </c>
      <c r="L41">
        <v>45</v>
      </c>
      <c r="M41">
        <v>1</v>
      </c>
      <c r="N41" s="33">
        <v>8</v>
      </c>
      <c r="O41">
        <v>90</v>
      </c>
      <c r="P41">
        <v>89</v>
      </c>
      <c r="Q41" s="30">
        <v>0</v>
      </c>
      <c r="R41" s="29">
        <f>IFERROR(PROPERTIES[[#This Row],[TE_STARTING_KN]]/(PROPERTIES[[#This Row],[WEIGHT]]*9.81),0)</f>
        <v>0</v>
      </c>
      <c r="S41" s="29">
        <v>0.2</v>
      </c>
      <c r="T41" s="26">
        <f>ROUND(IF(IFERROR(PROPERTIES[[#This Row],[TE_COEFFICIENT_CALC]],0)=0,PROPERTIES[[#This Row],[TE_COEFFICIENT_MANUAL]],PROPERTIES[[#This Row],[TE_COEFFICIENT_CALC]]),3)</f>
        <v>0.2</v>
      </c>
      <c r="U41" s="11">
        <v>15</v>
      </c>
      <c r="V41" s="9">
        <v>0</v>
      </c>
      <c r="W41" s="9">
        <v>0</v>
      </c>
      <c r="X41" s="10">
        <v>0</v>
      </c>
      <c r="Y41" t="s">
        <v>905</v>
      </c>
      <c r="Z41" t="s">
        <v>903</v>
      </c>
      <c r="AA41" s="2" t="s">
        <v>921</v>
      </c>
      <c r="AB41" s="9" t="s">
        <v>985</v>
      </c>
      <c r="AC41" s="9" t="s">
        <v>986</v>
      </c>
      <c r="AD41" s="10" t="str">
        <f>SUBSTITUTE(SUBSTITUTE(PROPERTIES[[#This Row],[PURCHASECOST_VALUE]], "PURCHASECOST_", ""), "_VALUE", "")</f>
        <v>DIESELRAILBUS</v>
      </c>
      <c r="AE41" s="9" t="str" cm="1">
        <f t="array" ref="AE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1" s="2" t="b">
        <v>0</v>
      </c>
      <c r="AX41"/>
      <c r="AY41"/>
      <c r="AZ41"/>
    </row>
    <row r="42" spans="1:52">
      <c r="A42" s="2" t="s">
        <v>64</v>
      </c>
      <c r="B42">
        <v>1954</v>
      </c>
      <c r="C42">
        <v>0</v>
      </c>
      <c r="D42" t="s">
        <v>1780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 s="2" t="s">
        <v>23</v>
      </c>
      <c r="K42" s="39">
        <f>_xlfn.XLOOKUP("LOADINGSPEEDDEF_"&amp;PROPERTIES[[#This Row],[LOADINGSPEED]],LOADINGSPEEDDEF[TYPE],LOADINGSPEEDDEF[SPEED])</f>
        <v>40</v>
      </c>
      <c r="L42">
        <v>45</v>
      </c>
      <c r="M42">
        <v>1</v>
      </c>
      <c r="N42" s="33">
        <v>54</v>
      </c>
      <c r="O42">
        <v>400</v>
      </c>
      <c r="P42">
        <v>90</v>
      </c>
      <c r="Q42" s="30">
        <v>0</v>
      </c>
      <c r="R42" s="29">
        <f>IFERROR(PROPERTIES[[#This Row],[TE_STARTING_KN]]/(PROPERTIES[[#This Row],[WEIGHT]]*9.81),0)</f>
        <v>0</v>
      </c>
      <c r="S42" s="29">
        <v>0.34</v>
      </c>
      <c r="T42" s="26">
        <f>ROUND(IF(IFERROR(PROPERTIES[[#This Row],[TE_COEFFICIENT_CALC]],0)=0,PROPERTIES[[#This Row],[TE_COEFFICIENT_MANUAL]],PROPERTIES[[#This Row],[TE_COEFFICIENT_CALC]]),3)</f>
        <v>0.34</v>
      </c>
      <c r="U42" s="11">
        <v>15</v>
      </c>
      <c r="V42" s="9">
        <v>0</v>
      </c>
      <c r="W42" s="9">
        <v>0</v>
      </c>
      <c r="X42" s="10">
        <v>0</v>
      </c>
      <c r="Y42" t="s">
        <v>904</v>
      </c>
      <c r="Z42" t="s">
        <v>903</v>
      </c>
      <c r="AA42" s="2" t="s">
        <v>921</v>
      </c>
      <c r="AB42" s="9" t="s">
        <v>985</v>
      </c>
      <c r="AC42" s="9" t="s">
        <v>986</v>
      </c>
      <c r="AD42" s="10" t="str">
        <f>SUBSTITUTE(SUBSTITUTE(PROPERTIES[[#This Row],[PURCHASECOST_VALUE]], "PURCHASECOST_", ""), "_VALUE", "")</f>
        <v>DIESELRAILBUS</v>
      </c>
      <c r="AE42" s="9" t="str" cm="1">
        <f t="array" ref="AE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2" s="2" t="b">
        <v>0</v>
      </c>
      <c r="AX42"/>
      <c r="AY42"/>
      <c r="AZ42"/>
    </row>
    <row r="43" spans="1:52">
      <c r="A43" s="2" t="s">
        <v>65</v>
      </c>
      <c r="B43">
        <v>1960</v>
      </c>
      <c r="C43">
        <v>0</v>
      </c>
      <c r="D43" t="s">
        <v>1782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 s="2" t="s">
        <v>23</v>
      </c>
      <c r="K43" s="39">
        <f>_xlfn.XLOOKUP("LOADINGSPEEDDEF_"&amp;PROPERTIES[[#This Row],[LOADINGSPEED]],LOADINGSPEEDDEF[TYPE],LOADINGSPEEDDEF[SPEED])</f>
        <v>40</v>
      </c>
      <c r="L43">
        <v>45</v>
      </c>
      <c r="M43">
        <v>1</v>
      </c>
      <c r="N43" s="33">
        <v>53</v>
      </c>
      <c r="O43">
        <f>2*265</f>
        <v>530</v>
      </c>
      <c r="P43">
        <v>125</v>
      </c>
      <c r="Q43" s="30">
        <v>0</v>
      </c>
      <c r="R43" s="29">
        <f>IFERROR(PROPERTIES[[#This Row],[TE_STARTING_KN]]/(PROPERTIES[[#This Row],[WEIGHT]]*9.81),0)</f>
        <v>0</v>
      </c>
      <c r="S43" s="29">
        <v>0.2</v>
      </c>
      <c r="T43" s="26">
        <f>ROUND(IF(IFERROR(PROPERTIES[[#This Row],[TE_COEFFICIENT_CALC]],0)=0,PROPERTIES[[#This Row],[TE_COEFFICIENT_MANUAL]],PROPERTIES[[#This Row],[TE_COEFFICIENT_CALC]]),3)</f>
        <v>0.2</v>
      </c>
      <c r="U43" s="11">
        <v>15</v>
      </c>
      <c r="V43" s="9">
        <v>0</v>
      </c>
      <c r="W43" s="9">
        <v>0</v>
      </c>
      <c r="X43" s="10">
        <v>0</v>
      </c>
      <c r="Y43" t="s">
        <v>910</v>
      </c>
      <c r="Z43" t="s">
        <v>903</v>
      </c>
      <c r="AA43" s="2" t="s">
        <v>921</v>
      </c>
      <c r="AB43" s="9" t="s">
        <v>985</v>
      </c>
      <c r="AC43" s="9" t="s">
        <v>986</v>
      </c>
      <c r="AD43" s="10" t="str">
        <f>SUBSTITUTE(SUBSTITUTE(PROPERTIES[[#This Row],[PURCHASECOST_VALUE]], "PURCHASECOST_", ""), "_VALUE", "")</f>
        <v>DIESELRAILBUS</v>
      </c>
      <c r="AE43" s="9" t="str" cm="1">
        <f t="array" ref="AE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3" s="2" t="b">
        <v>0</v>
      </c>
      <c r="AX43"/>
      <c r="AY43"/>
      <c r="AZ43"/>
    </row>
    <row r="44" spans="1:52">
      <c r="A44" s="2" t="s">
        <v>66</v>
      </c>
      <c r="B44">
        <v>1962</v>
      </c>
      <c r="C44">
        <v>0</v>
      </c>
      <c r="D44" t="s">
        <v>1848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 s="2" t="s">
        <v>23</v>
      </c>
      <c r="K44" s="39">
        <f>_xlfn.XLOOKUP("LOADINGSPEEDDEF_"&amp;PROPERTIES[[#This Row],[LOADINGSPEED]],LOADINGSPEEDDEF[TYPE],LOADINGSPEEDDEF[SPEED])</f>
        <v>40</v>
      </c>
      <c r="L44">
        <v>45</v>
      </c>
      <c r="M44">
        <v>1</v>
      </c>
      <c r="N44" s="33">
        <v>48</v>
      </c>
      <c r="O44">
        <v>790</v>
      </c>
      <c r="P44">
        <v>105</v>
      </c>
      <c r="Q44" s="30">
        <v>0</v>
      </c>
      <c r="R44" s="29">
        <f>IFERROR(PROPERTIES[[#This Row],[TE_STARTING_KN]]/(PROPERTIES[[#This Row],[WEIGHT]]*9.81),0)</f>
        <v>0</v>
      </c>
      <c r="S44" s="29">
        <v>0.19</v>
      </c>
      <c r="T44" s="26">
        <f>ROUND(IF(IFERROR(PROPERTIES[[#This Row],[TE_COEFFICIENT_CALC]],0)=0,PROPERTIES[[#This Row],[TE_COEFFICIENT_MANUAL]],PROPERTIES[[#This Row],[TE_COEFFICIENT_CALC]]),3)</f>
        <v>0.19</v>
      </c>
      <c r="U44" s="11">
        <v>15</v>
      </c>
      <c r="V44" s="9">
        <v>0</v>
      </c>
      <c r="W44" s="9">
        <v>0</v>
      </c>
      <c r="X44" s="10">
        <v>0</v>
      </c>
      <c r="Y44" t="s">
        <v>905</v>
      </c>
      <c r="Z44" t="s">
        <v>903</v>
      </c>
      <c r="AA44" s="2" t="s">
        <v>921</v>
      </c>
      <c r="AB44" s="9" t="s">
        <v>985</v>
      </c>
      <c r="AC44" s="9" t="s">
        <v>986</v>
      </c>
      <c r="AD44" s="10" t="str">
        <f>SUBSTITUTE(SUBSTITUTE(PROPERTIES[[#This Row],[PURCHASECOST_VALUE]], "PURCHASECOST_", ""), "_VALUE", "")</f>
        <v>DIESELRAILBUS</v>
      </c>
      <c r="AE44" s="9" t="str" cm="1">
        <f t="array" ref="AE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4" s="2" t="b">
        <v>0</v>
      </c>
      <c r="AX44"/>
      <c r="AY44"/>
      <c r="AZ44"/>
    </row>
    <row r="45" spans="1:52">
      <c r="A45" s="2" t="s">
        <v>67</v>
      </c>
      <c r="B45">
        <v>1975</v>
      </c>
      <c r="C45">
        <v>0</v>
      </c>
      <c r="D45" t="s">
        <v>1982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 s="2" t="s">
        <v>23</v>
      </c>
      <c r="K45" s="39">
        <f>_xlfn.XLOOKUP("LOADINGSPEEDDEF_"&amp;PROPERTIES[[#This Row],[LOADINGSPEED]],LOADINGSPEEDDEF[TYPE],LOADINGSPEEDDEF[SPEED])</f>
        <v>40</v>
      </c>
      <c r="L45">
        <v>45</v>
      </c>
      <c r="M45">
        <v>1</v>
      </c>
      <c r="N45" s="33">
        <v>60</v>
      </c>
      <c r="O45">
        <v>1045</v>
      </c>
      <c r="P45">
        <v>130</v>
      </c>
      <c r="Q45" s="30">
        <v>0</v>
      </c>
      <c r="R45" s="29">
        <f>IFERROR(PROPERTIES[[#This Row],[TE_STARTING_KN]]/(PROPERTIES[[#This Row],[WEIGHT]]*9.81),0)</f>
        <v>0</v>
      </c>
      <c r="S45" s="29">
        <v>0.38</v>
      </c>
      <c r="T45" s="26">
        <f>ROUND(IF(IFERROR(PROPERTIES[[#This Row],[TE_COEFFICIENT_CALC]],0)=0,PROPERTIES[[#This Row],[TE_COEFFICIENT_MANUAL]],PROPERTIES[[#This Row],[TE_COEFFICIENT_CALC]]),3)</f>
        <v>0.38</v>
      </c>
      <c r="U45" s="11">
        <v>15</v>
      </c>
      <c r="V45" s="9">
        <v>0</v>
      </c>
      <c r="W45" s="9">
        <v>0</v>
      </c>
      <c r="X45" s="10">
        <v>0</v>
      </c>
      <c r="Y45" t="s">
        <v>907</v>
      </c>
      <c r="Z45" t="s">
        <v>903</v>
      </c>
      <c r="AA45" s="2" t="s">
        <v>921</v>
      </c>
      <c r="AB45" s="9" t="s">
        <v>985</v>
      </c>
      <c r="AC45" s="9" t="s">
        <v>986</v>
      </c>
      <c r="AD45" s="10" t="str">
        <f>SUBSTITUTE(SUBSTITUTE(PROPERTIES[[#This Row],[PURCHASECOST_VALUE]], "PURCHASECOST_", ""), "_VALUE", "")</f>
        <v>DIESELRAILBUS</v>
      </c>
      <c r="AE45" s="9" t="str" cm="1">
        <f t="array" ref="AE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" s="2" t="b">
        <v>0</v>
      </c>
      <c r="AX45"/>
      <c r="AY45"/>
      <c r="AZ45"/>
    </row>
    <row r="46" spans="1:52">
      <c r="A46" s="2" t="s">
        <v>68</v>
      </c>
      <c r="B46">
        <v>1979</v>
      </c>
      <c r="C46">
        <v>0</v>
      </c>
      <c r="D46" t="s">
        <v>1992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 s="2" t="s">
        <v>23</v>
      </c>
      <c r="K46" s="39">
        <f>_xlfn.XLOOKUP("LOADINGSPEEDDEF_"&amp;PROPERTIES[[#This Row],[LOADINGSPEED]],LOADINGSPEEDDEF[TYPE],LOADINGSPEEDDEF[SPEED])</f>
        <v>40</v>
      </c>
      <c r="L46">
        <v>45</v>
      </c>
      <c r="M46">
        <v>1</v>
      </c>
      <c r="N46" s="33">
        <v>58</v>
      </c>
      <c r="O46">
        <v>360</v>
      </c>
      <c r="P46">
        <v>130</v>
      </c>
      <c r="Q46" s="30">
        <v>0</v>
      </c>
      <c r="R46" s="29">
        <f>IFERROR(PROPERTIES[[#This Row],[TE_STARTING_KN]]/(PROPERTIES[[#This Row],[WEIGHT]]*9.81),0)</f>
        <v>0</v>
      </c>
      <c r="S46" s="29">
        <v>0.26</v>
      </c>
      <c r="T46" s="26">
        <f>ROUND(IF(IFERROR(PROPERTIES[[#This Row],[TE_COEFFICIENT_CALC]],0)=0,PROPERTIES[[#This Row],[TE_COEFFICIENT_MANUAL]],PROPERTIES[[#This Row],[TE_COEFFICIENT_CALC]]),3)</f>
        <v>0.26</v>
      </c>
      <c r="U46" s="11">
        <v>15</v>
      </c>
      <c r="V46" s="9">
        <v>0</v>
      </c>
      <c r="W46" s="9">
        <v>0</v>
      </c>
      <c r="X46" s="10">
        <v>0</v>
      </c>
      <c r="Y46" t="s">
        <v>909</v>
      </c>
      <c r="Z46" t="s">
        <v>903</v>
      </c>
      <c r="AA46" s="2" t="s">
        <v>921</v>
      </c>
      <c r="AB46" s="9" t="s">
        <v>985</v>
      </c>
      <c r="AC46" s="9" t="s">
        <v>986</v>
      </c>
      <c r="AD46" s="10" t="str">
        <f>SUBSTITUTE(SUBSTITUTE(PROPERTIES[[#This Row],[PURCHASECOST_VALUE]], "PURCHASECOST_", ""), "_VALUE", "")</f>
        <v>DIESELRAILBUS</v>
      </c>
      <c r="AE46" s="9" t="str" cm="1">
        <f t="array" ref="AE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" s="2" t="b">
        <v>0</v>
      </c>
      <c r="AX46"/>
      <c r="AY46"/>
      <c r="AZ46"/>
    </row>
    <row r="47" spans="1:52">
      <c r="A47" s="2" t="s">
        <v>69</v>
      </c>
      <c r="B47">
        <v>2005</v>
      </c>
      <c r="C47">
        <v>0</v>
      </c>
      <c r="D47" t="s">
        <v>1830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 s="2" t="s">
        <v>23</v>
      </c>
      <c r="K47" s="39">
        <f>_xlfn.XLOOKUP("LOADINGSPEEDDEF_"&amp;PROPERTIES[[#This Row],[LOADINGSPEED]],LOADINGSPEEDDEF[TYPE],LOADINGSPEEDDEF[SPEED])</f>
        <v>40</v>
      </c>
      <c r="L47" t="s">
        <v>20</v>
      </c>
      <c r="M47">
        <v>1</v>
      </c>
      <c r="N47" s="33">
        <v>48</v>
      </c>
      <c r="O47">
        <v>404</v>
      </c>
      <c r="P47">
        <v>120</v>
      </c>
      <c r="Q47" s="30">
        <v>0</v>
      </c>
      <c r="R47" s="29">
        <f>IFERROR(PROPERTIES[[#This Row],[TE_STARTING_KN]]/(PROPERTIES[[#This Row],[WEIGHT]]*9.81),0)</f>
        <v>0</v>
      </c>
      <c r="S47" s="29">
        <v>0.35</v>
      </c>
      <c r="T47" s="26">
        <f>ROUND(IF(IFERROR(PROPERTIES[[#This Row],[TE_COEFFICIENT_CALC]],0)=0,PROPERTIES[[#This Row],[TE_COEFFICIENT_MANUAL]],PROPERTIES[[#This Row],[TE_COEFFICIENT_CALC]]),3)</f>
        <v>0.35</v>
      </c>
      <c r="U47" s="11">
        <v>15</v>
      </c>
      <c r="V47" s="9">
        <v>0</v>
      </c>
      <c r="W47" s="9">
        <v>0</v>
      </c>
      <c r="X47" s="10">
        <v>0</v>
      </c>
      <c r="Y47" t="s">
        <v>908</v>
      </c>
      <c r="Z47" t="s">
        <v>903</v>
      </c>
      <c r="AA47" s="2" t="s">
        <v>921</v>
      </c>
      <c r="AB47" s="9" t="s">
        <v>985</v>
      </c>
      <c r="AC47" s="9" t="s">
        <v>986</v>
      </c>
      <c r="AD47" s="10" t="str">
        <f>SUBSTITUTE(SUBSTITUTE(PROPERTIES[[#This Row],[PURCHASECOST_VALUE]], "PURCHASECOST_", ""), "_VALUE", "")</f>
        <v>DIESELRAILBUS</v>
      </c>
      <c r="AE47" s="9" t="str" cm="1">
        <f t="array" ref="AE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" s="2" t="b">
        <v>0</v>
      </c>
      <c r="AX47"/>
      <c r="AY47"/>
      <c r="AZ47"/>
    </row>
    <row r="48" spans="1:52">
      <c r="A48" s="2" t="s">
        <v>70</v>
      </c>
      <c r="B48">
        <v>2011</v>
      </c>
      <c r="C48">
        <v>0</v>
      </c>
      <c r="D48" t="s">
        <v>1816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 s="2" t="s">
        <v>23</v>
      </c>
      <c r="K48" s="39">
        <f>_xlfn.XLOOKUP("LOADINGSPEEDDEF_"&amp;PROPERTIES[[#This Row],[LOADINGSPEED]],LOADINGSPEEDDEF[TYPE],LOADINGSPEEDDEF[SPEED])</f>
        <v>40</v>
      </c>
      <c r="L48" t="s">
        <v>20</v>
      </c>
      <c r="M48">
        <v>1</v>
      </c>
      <c r="N48" s="33">
        <v>40</v>
      </c>
      <c r="O48">
        <v>710</v>
      </c>
      <c r="P48">
        <v>120</v>
      </c>
      <c r="Q48" s="30">
        <v>100</v>
      </c>
      <c r="R48" s="29">
        <f>IFERROR(PROPERTIES[[#This Row],[TE_STARTING_KN]]/(PROPERTIES[[#This Row],[WEIGHT]]*9.81),0)</f>
        <v>0.254841997961264</v>
      </c>
      <c r="S48" s="29">
        <v>0.37</v>
      </c>
      <c r="T48" s="26">
        <f>ROUND(IF(IFERROR(PROPERTIES[[#This Row],[TE_COEFFICIENT_CALC]],0)=0,PROPERTIES[[#This Row],[TE_COEFFICIENT_MANUAL]],PROPERTIES[[#This Row],[TE_COEFFICIENT_CALC]]),3)</f>
        <v>0.255</v>
      </c>
      <c r="U48" s="11">
        <v>15</v>
      </c>
      <c r="V48" s="9">
        <v>0</v>
      </c>
      <c r="W48" s="9">
        <v>0</v>
      </c>
      <c r="X48" s="10">
        <v>0</v>
      </c>
      <c r="Y48" t="s">
        <v>910</v>
      </c>
      <c r="Z48" t="s">
        <v>903</v>
      </c>
      <c r="AA48" s="2" t="s">
        <v>921</v>
      </c>
      <c r="AB48" s="9" t="s">
        <v>985</v>
      </c>
      <c r="AC48" s="9" t="s">
        <v>986</v>
      </c>
      <c r="AD48" s="10" t="str">
        <f>SUBSTITUTE(SUBSTITUTE(PROPERTIES[[#This Row],[PURCHASECOST_VALUE]], "PURCHASECOST_", ""), "_VALUE", "")</f>
        <v>DIESELRAILBUS</v>
      </c>
      <c r="AE48" s="9" t="str" cm="1">
        <f t="array" ref="AE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" s="2" t="b">
        <v>0</v>
      </c>
      <c r="AX48"/>
      <c r="AY48"/>
      <c r="AZ48"/>
    </row>
    <row r="49" spans="1:52">
      <c r="A49" s="2" t="s">
        <v>71</v>
      </c>
      <c r="B49">
        <v>1956</v>
      </c>
      <c r="C49">
        <v>0</v>
      </c>
      <c r="D49" t="s">
        <v>1869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 s="2" t="s">
        <v>23</v>
      </c>
      <c r="K49" s="39">
        <f>_xlfn.XLOOKUP("LOADINGSPEEDDEF_"&amp;PROPERTIES[[#This Row],[LOADINGSPEED]],LOADINGSPEEDDEF[TYPE],LOADINGSPEEDDEF[SPEED])</f>
        <v>40</v>
      </c>
      <c r="L49">
        <v>45</v>
      </c>
      <c r="M49">
        <v>1</v>
      </c>
      <c r="N49" s="33">
        <v>36</v>
      </c>
      <c r="O49">
        <v>335</v>
      </c>
      <c r="P49">
        <v>130</v>
      </c>
      <c r="Q49" s="30">
        <v>0</v>
      </c>
      <c r="R49" s="29">
        <f>IFERROR(PROPERTIES[[#This Row],[TE_STARTING_KN]]/(PROPERTIES[[#This Row],[WEIGHT]]*9.81),0)</f>
        <v>0</v>
      </c>
      <c r="S49" s="29">
        <v>0.23</v>
      </c>
      <c r="T49" s="26">
        <f>ROUND(IF(IFERROR(PROPERTIES[[#This Row],[TE_COEFFICIENT_CALC]],0)=0,PROPERTIES[[#This Row],[TE_COEFFICIENT_MANUAL]],PROPERTIES[[#This Row],[TE_COEFFICIENT_CALC]]),3)</f>
        <v>0.23</v>
      </c>
      <c r="U49" s="11">
        <v>25</v>
      </c>
      <c r="V49" s="9">
        <v>0</v>
      </c>
      <c r="W49" s="9">
        <v>0</v>
      </c>
      <c r="X49" s="10">
        <v>0</v>
      </c>
      <c r="Y49" t="s">
        <v>905</v>
      </c>
      <c r="Z49" t="s">
        <v>903</v>
      </c>
      <c r="AA49" s="2" t="s">
        <v>921</v>
      </c>
      <c r="AB49" s="9" t="s">
        <v>985</v>
      </c>
      <c r="AC49" s="9" t="s">
        <v>986</v>
      </c>
      <c r="AD49" s="10" t="str">
        <f>SUBSTITUTE(SUBSTITUTE(PROPERTIES[[#This Row],[PURCHASECOST_VALUE]], "PURCHASECOST_", ""), "_VALUE", "")</f>
        <v>DIESELRAILBUS</v>
      </c>
      <c r="AE49" s="9" t="str" cm="1">
        <f t="array" ref="AE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" s="2" t="b">
        <v>0</v>
      </c>
      <c r="AX49"/>
      <c r="AY49"/>
      <c r="AZ49"/>
    </row>
    <row r="50" spans="1:52">
      <c r="A50" s="2" t="s">
        <v>72</v>
      </c>
      <c r="B50">
        <v>1903</v>
      </c>
      <c r="C50">
        <v>0</v>
      </c>
      <c r="D50" t="s">
        <v>1816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 s="2" t="s">
        <v>23</v>
      </c>
      <c r="K50" s="39">
        <f>_xlfn.XLOOKUP("LOADINGSPEEDDEF_"&amp;PROPERTIES[[#This Row],[LOADINGSPEED]],LOADINGSPEEDDEF[TYPE],LOADINGSPEEDDEF[SPEED])</f>
        <v>40</v>
      </c>
      <c r="L50">
        <v>45</v>
      </c>
      <c r="M50">
        <v>1</v>
      </c>
      <c r="N50" s="33">
        <v>23</v>
      </c>
      <c r="O50">
        <v>150</v>
      </c>
      <c r="P50">
        <v>35</v>
      </c>
      <c r="Q50" s="30">
        <v>0</v>
      </c>
      <c r="R50" s="29">
        <f>IFERROR(PROPERTIES[[#This Row],[TE_STARTING_KN]]/(PROPERTIES[[#This Row],[WEIGHT]]*9.81),0)</f>
        <v>0</v>
      </c>
      <c r="S50" s="29">
        <v>0.33</v>
      </c>
      <c r="T50" s="26">
        <f>ROUND(IF(IFERROR(PROPERTIES[[#This Row],[TE_COEFFICIENT_CALC]],0)=0,PROPERTIES[[#This Row],[TE_COEFFICIENT_MANUAL]],PROPERTIES[[#This Row],[TE_COEFFICIENT_CALC]]),3)</f>
        <v>0.33</v>
      </c>
      <c r="U50" s="11">
        <v>15</v>
      </c>
      <c r="V50" s="9">
        <v>0</v>
      </c>
      <c r="W50" s="9">
        <v>0</v>
      </c>
      <c r="X50" s="10">
        <v>0</v>
      </c>
      <c r="Y50" t="s">
        <v>910</v>
      </c>
      <c r="Z50" t="s">
        <v>903</v>
      </c>
      <c r="AA50" s="2" t="s">
        <v>921</v>
      </c>
      <c r="AB50" s="9" t="s">
        <v>987</v>
      </c>
      <c r="AC50" s="9" t="s">
        <v>988</v>
      </c>
      <c r="AD50" s="10" t="str">
        <f>SUBSTITUTE(SUBSTITUTE(PROPERTIES[[#This Row],[PURCHASECOST_VALUE]], "PURCHASECOST_", ""), "_VALUE", "")</f>
        <v>ELECTRICRAILBUS</v>
      </c>
      <c r="AE50" s="9" t="str" cm="1">
        <f t="array" ref="AE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" s="2" t="b">
        <v>0</v>
      </c>
      <c r="AX50"/>
      <c r="AY50"/>
      <c r="AZ50"/>
    </row>
    <row r="51" spans="1:52">
      <c r="A51" s="2" t="s">
        <v>74</v>
      </c>
      <c r="B51">
        <v>1960</v>
      </c>
      <c r="C51">
        <v>0</v>
      </c>
      <c r="D51" t="s">
        <v>1835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 s="2" t="s">
        <v>23</v>
      </c>
      <c r="K51" s="39">
        <f>_xlfn.XLOOKUP("LOADINGSPEEDDEF_"&amp;PROPERTIES[[#This Row],[LOADINGSPEED]],LOADINGSPEEDDEF[TYPE],LOADINGSPEEDDEF[SPEED])</f>
        <v>40</v>
      </c>
      <c r="L51">
        <v>45</v>
      </c>
      <c r="M51">
        <v>1</v>
      </c>
      <c r="N51" s="33">
        <v>55</v>
      </c>
      <c r="O51">
        <v>1260</v>
      </c>
      <c r="P51">
        <v>130</v>
      </c>
      <c r="Q51" s="30">
        <v>0</v>
      </c>
      <c r="R51" s="29">
        <f>IFERROR(PROPERTIES[[#This Row],[TE_STARTING_KN]]/(PROPERTIES[[#This Row],[WEIGHT]]*9.81),0)</f>
        <v>0</v>
      </c>
      <c r="S51" s="29">
        <v>0.21</v>
      </c>
      <c r="T51" s="26">
        <f>ROUND(IF(IFERROR(PROPERTIES[[#This Row],[TE_COEFFICIENT_CALC]],0)=0,PROPERTIES[[#This Row],[TE_COEFFICIENT_MANUAL]],PROPERTIES[[#This Row],[TE_COEFFICIENT_CALC]]),3)</f>
        <v>0.21</v>
      </c>
      <c r="U51" s="11">
        <v>15</v>
      </c>
      <c r="V51" s="9">
        <v>0</v>
      </c>
      <c r="W51" s="9">
        <v>0</v>
      </c>
      <c r="X51" s="10">
        <v>0</v>
      </c>
      <c r="Y51" t="s">
        <v>904</v>
      </c>
      <c r="Z51" t="s">
        <v>903</v>
      </c>
      <c r="AA51" s="2" t="s">
        <v>921</v>
      </c>
      <c r="AB51" s="9" t="s">
        <v>987</v>
      </c>
      <c r="AC51" s="9" t="s">
        <v>988</v>
      </c>
      <c r="AD51" s="10" t="str">
        <f>SUBSTITUTE(SUBSTITUTE(PROPERTIES[[#This Row],[PURCHASECOST_VALUE]], "PURCHASECOST_", ""), "_VALUE", "")</f>
        <v>ELECTRICRAILBUS</v>
      </c>
      <c r="AE51" s="9" t="str" cm="1">
        <f t="array" ref="AE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" s="2" t="b">
        <v>0</v>
      </c>
      <c r="AX51"/>
      <c r="AY51"/>
      <c r="AZ51"/>
    </row>
    <row r="52" spans="1:52">
      <c r="A52" s="2" t="s">
        <v>75</v>
      </c>
      <c r="B52">
        <v>1930</v>
      </c>
      <c r="C52">
        <v>0</v>
      </c>
      <c r="D52" t="s">
        <v>1817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 s="2" t="s">
        <v>23</v>
      </c>
      <c r="K52" s="39">
        <f>_xlfn.XLOOKUP("LOADINGSPEEDDEF_"&amp;PROPERTIES[[#This Row],[LOADINGSPEED]],LOADINGSPEEDDEF[TYPE],LOADINGSPEEDDEF[SPEED])</f>
        <v>40</v>
      </c>
      <c r="L52">
        <v>45</v>
      </c>
      <c r="M52">
        <v>1</v>
      </c>
      <c r="N52" s="33">
        <v>23</v>
      </c>
      <c r="O52">
        <v>175</v>
      </c>
      <c r="P52">
        <v>50</v>
      </c>
      <c r="Q52" s="30">
        <v>0</v>
      </c>
      <c r="R52" s="29">
        <f>IFERROR(PROPERTIES[[#This Row],[TE_STARTING_KN]]/(PROPERTIES[[#This Row],[WEIGHT]]*9.81),0)</f>
        <v>0</v>
      </c>
      <c r="S52" s="29">
        <v>0.08</v>
      </c>
      <c r="T52" s="26">
        <f>ROUND(IF(IFERROR(PROPERTIES[[#This Row],[TE_COEFFICIENT_CALC]],0)=0,PROPERTIES[[#This Row],[TE_COEFFICIENT_MANUAL]],PROPERTIES[[#This Row],[TE_COEFFICIENT_CALC]]),3)</f>
        <v>0.08</v>
      </c>
      <c r="U52" s="11">
        <v>15</v>
      </c>
      <c r="V52" s="9">
        <v>0</v>
      </c>
      <c r="W52" s="9">
        <v>0</v>
      </c>
      <c r="X52" s="10">
        <v>0</v>
      </c>
      <c r="Y52" t="s">
        <v>904</v>
      </c>
      <c r="Z52" t="s">
        <v>903</v>
      </c>
      <c r="AA52" s="2" t="s">
        <v>921</v>
      </c>
      <c r="AB52" s="9" t="s">
        <v>987</v>
      </c>
      <c r="AC52" s="9" t="s">
        <v>988</v>
      </c>
      <c r="AD52" s="10" t="str">
        <f>SUBSTITUTE(SUBSTITUTE(PROPERTIES[[#This Row],[PURCHASECOST_VALUE]], "PURCHASECOST_", ""), "_VALUE", "")</f>
        <v>ELECTRICRAILBUS</v>
      </c>
      <c r="AE52" s="9" t="str" cm="1">
        <f t="array" ref="AE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" s="2" t="b">
        <v>0</v>
      </c>
      <c r="AX52"/>
      <c r="AY52"/>
      <c r="AZ52"/>
    </row>
    <row r="53" spans="1:52">
      <c r="A53" s="2" t="s">
        <v>76</v>
      </c>
      <c r="B53">
        <v>1982</v>
      </c>
      <c r="C53">
        <v>0</v>
      </c>
      <c r="D53" t="s">
        <v>1817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 s="2" t="s">
        <v>23</v>
      </c>
      <c r="K53" s="39">
        <f>_xlfn.XLOOKUP("LOADINGSPEEDDEF_"&amp;PROPERTIES[[#This Row],[LOADINGSPEED]],LOADINGSPEEDDEF[TYPE],LOADINGSPEEDDEF[SPEED])</f>
        <v>40</v>
      </c>
      <c r="L53">
        <v>45</v>
      </c>
      <c r="M53">
        <v>1</v>
      </c>
      <c r="N53" s="33">
        <v>28</v>
      </c>
      <c r="O53">
        <v>285</v>
      </c>
      <c r="P53">
        <v>50</v>
      </c>
      <c r="Q53" s="30">
        <v>60</v>
      </c>
      <c r="R53" s="29">
        <f>IFERROR(PROPERTIES[[#This Row],[TE_STARTING_KN]]/(PROPERTIES[[#This Row],[WEIGHT]]*9.81),0)</f>
        <v>0.218435998252512</v>
      </c>
      <c r="S53" s="29">
        <v>0.13</v>
      </c>
      <c r="T53" s="26">
        <f>ROUND(IF(IFERROR(PROPERTIES[[#This Row],[TE_COEFFICIENT_CALC]],0)=0,PROPERTIES[[#This Row],[TE_COEFFICIENT_MANUAL]],PROPERTIES[[#This Row],[TE_COEFFICIENT_CALC]]),3)</f>
        <v>0.218</v>
      </c>
      <c r="U53" s="11">
        <v>15</v>
      </c>
      <c r="V53" s="9">
        <v>0</v>
      </c>
      <c r="W53" s="9">
        <v>0</v>
      </c>
      <c r="X53" s="10">
        <v>0</v>
      </c>
      <c r="Y53" t="s">
        <v>904</v>
      </c>
      <c r="Z53" t="s">
        <v>903</v>
      </c>
      <c r="AA53" s="2" t="s">
        <v>921</v>
      </c>
      <c r="AB53" s="9" t="s">
        <v>987</v>
      </c>
      <c r="AC53" s="9" t="s">
        <v>988</v>
      </c>
      <c r="AD53" s="10" t="str">
        <f>SUBSTITUTE(SUBSTITUTE(PROPERTIES[[#This Row],[PURCHASECOST_VALUE]], "PURCHASECOST_", ""), "_VALUE", "")</f>
        <v>ELECTRICRAILBUS</v>
      </c>
      <c r="AE53" s="9" t="str" cm="1">
        <f t="array" ref="AE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" s="2" t="b">
        <v>0</v>
      </c>
      <c r="AX53"/>
      <c r="AY53"/>
      <c r="AZ53"/>
    </row>
    <row r="54" spans="1:52">
      <c r="A54" s="2" t="s">
        <v>77</v>
      </c>
      <c r="B54">
        <v>1930</v>
      </c>
      <c r="C54">
        <v>0</v>
      </c>
      <c r="D54" t="s">
        <v>1961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 s="2" t="s">
        <v>23</v>
      </c>
      <c r="K54" s="39">
        <f>_xlfn.XLOOKUP("LOADINGSPEEDDEF_"&amp;PROPERTIES[[#This Row],[LOADINGSPEED]],LOADINGSPEEDDEF[TYPE],LOADINGSPEEDDEF[SPEED])</f>
        <v>40</v>
      </c>
      <c r="L54">
        <v>45</v>
      </c>
      <c r="M54">
        <v>1</v>
      </c>
      <c r="N54" s="33">
        <v>45</v>
      </c>
      <c r="O54">
        <v>240</v>
      </c>
      <c r="P54">
        <v>40</v>
      </c>
      <c r="Q54" s="30">
        <v>0</v>
      </c>
      <c r="R54" s="29">
        <f>IFERROR(PROPERTIES[[#This Row],[TE_STARTING_KN]]/(PROPERTIES[[#This Row],[WEIGHT]]*9.81),0)</f>
        <v>0</v>
      </c>
      <c r="S54" s="29">
        <v>0.2</v>
      </c>
      <c r="T54" s="26">
        <f>ROUND(IF(IFERROR(PROPERTIES[[#This Row],[TE_COEFFICIENT_CALC]],0)=0,PROPERTIES[[#This Row],[TE_COEFFICIENT_MANUAL]],PROPERTIES[[#This Row],[TE_COEFFICIENT_CALC]]),3)</f>
        <v>0.2</v>
      </c>
      <c r="U54" s="11">
        <v>15</v>
      </c>
      <c r="V54" s="9">
        <v>0</v>
      </c>
      <c r="W54" s="9">
        <v>0</v>
      </c>
      <c r="X54" s="10">
        <v>0</v>
      </c>
      <c r="Y54" t="s">
        <v>910</v>
      </c>
      <c r="Z54" t="s">
        <v>903</v>
      </c>
      <c r="AA54" s="2" t="s">
        <v>921</v>
      </c>
      <c r="AB54" s="9" t="s">
        <v>987</v>
      </c>
      <c r="AC54" s="9" t="s">
        <v>988</v>
      </c>
      <c r="AD54" s="10" t="str">
        <f>SUBSTITUTE(SUBSTITUTE(PROPERTIES[[#This Row],[PURCHASECOST_VALUE]], "PURCHASECOST_", ""), "_VALUE", "")</f>
        <v>ELECTRICRAILBUS</v>
      </c>
      <c r="AE54" s="9" t="str" cm="1">
        <f t="array" ref="AE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" s="2" t="b">
        <v>0</v>
      </c>
      <c r="AX54"/>
      <c r="AY54"/>
      <c r="AZ54"/>
    </row>
    <row r="55" spans="1:52">
      <c r="A55" s="2" t="s">
        <v>78</v>
      </c>
      <c r="B55">
        <v>1949</v>
      </c>
      <c r="C55">
        <v>0</v>
      </c>
      <c r="D55" t="s">
        <v>1869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 s="2" t="s">
        <v>23</v>
      </c>
      <c r="K55" s="39">
        <f>_xlfn.XLOOKUP("LOADINGSPEEDDEF_"&amp;PROPERTIES[[#This Row],[LOADINGSPEED]],LOADINGSPEEDDEF[TYPE],LOADINGSPEEDDEF[SPEED])</f>
        <v>40</v>
      </c>
      <c r="L55">
        <v>45</v>
      </c>
      <c r="M55">
        <v>1</v>
      </c>
      <c r="N55" s="33">
        <v>58</v>
      </c>
      <c r="O55">
        <v>800</v>
      </c>
      <c r="P55">
        <v>150</v>
      </c>
      <c r="Q55" s="30">
        <v>0</v>
      </c>
      <c r="R55" s="29">
        <f>IFERROR(PROPERTIES[[#This Row],[TE_STARTING_KN]]/(PROPERTIES[[#This Row],[WEIGHT]]*9.81),0)</f>
        <v>0</v>
      </c>
      <c r="S55" s="29">
        <v>0.21</v>
      </c>
      <c r="T55" s="26">
        <f>ROUND(IF(IFERROR(PROPERTIES[[#This Row],[TE_COEFFICIENT_CALC]],0)=0,PROPERTIES[[#This Row],[TE_COEFFICIENT_MANUAL]],PROPERTIES[[#This Row],[TE_COEFFICIENT_CALC]]),3)</f>
        <v>0.21</v>
      </c>
      <c r="U55" s="11">
        <v>15</v>
      </c>
      <c r="V55" s="9">
        <v>0</v>
      </c>
      <c r="W55" s="9">
        <v>0</v>
      </c>
      <c r="X55" s="10">
        <v>0</v>
      </c>
      <c r="Y55" t="s">
        <v>905</v>
      </c>
      <c r="Z55" t="s">
        <v>903</v>
      </c>
      <c r="AA55" s="2" t="s">
        <v>921</v>
      </c>
      <c r="AB55" s="9" t="s">
        <v>987</v>
      </c>
      <c r="AC55" s="9" t="s">
        <v>988</v>
      </c>
      <c r="AD55" s="10" t="str">
        <f>SUBSTITUTE(SUBSTITUTE(PROPERTIES[[#This Row],[PURCHASECOST_VALUE]], "PURCHASECOST_", ""), "_VALUE", "")</f>
        <v>ELECTRICRAILBUS</v>
      </c>
      <c r="AE55" s="9" t="str" cm="1">
        <f t="array" ref="AE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" s="2" t="b">
        <v>0</v>
      </c>
      <c r="AX55"/>
      <c r="AY55"/>
      <c r="AZ55"/>
    </row>
    <row r="56" spans="1:52">
      <c r="A56" s="2" t="s">
        <v>79</v>
      </c>
      <c r="B56">
        <v>1981</v>
      </c>
      <c r="C56">
        <v>0</v>
      </c>
      <c r="D56" t="s">
        <v>1869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 s="2" t="s">
        <v>23</v>
      </c>
      <c r="K56" s="39">
        <f>_xlfn.XLOOKUP("LOADINGSPEEDDEF_"&amp;PROPERTIES[[#This Row],[LOADINGSPEED]],LOADINGSPEEDDEF[TYPE],LOADINGSPEEDDEF[SPEED])</f>
        <v>40</v>
      </c>
      <c r="L56">
        <v>45</v>
      </c>
      <c r="M56">
        <v>1</v>
      </c>
      <c r="N56" s="33">
        <v>49</v>
      </c>
      <c r="O56">
        <v>770</v>
      </c>
      <c r="P56">
        <v>110</v>
      </c>
      <c r="Q56" s="30">
        <v>0</v>
      </c>
      <c r="R56" s="29">
        <f>IFERROR(PROPERTIES[[#This Row],[TE_STARTING_KN]]/(PROPERTIES[[#This Row],[WEIGHT]]*9.81),0)</f>
        <v>0</v>
      </c>
      <c r="S56" s="29">
        <v>0.17</v>
      </c>
      <c r="T56" s="26">
        <f>ROUND(IF(IFERROR(PROPERTIES[[#This Row],[TE_COEFFICIENT_CALC]],0)=0,PROPERTIES[[#This Row],[TE_COEFFICIENT_MANUAL]],PROPERTIES[[#This Row],[TE_COEFFICIENT_CALC]]),3)</f>
        <v>0.17</v>
      </c>
      <c r="U56" s="11">
        <v>15</v>
      </c>
      <c r="V56" s="9">
        <v>0</v>
      </c>
      <c r="W56" s="9">
        <v>0</v>
      </c>
      <c r="X56" s="10">
        <v>0</v>
      </c>
      <c r="Y56" t="s">
        <v>905</v>
      </c>
      <c r="Z56" t="s">
        <v>903</v>
      </c>
      <c r="AA56" s="2" t="s">
        <v>921</v>
      </c>
      <c r="AB56" s="9" t="s">
        <v>987</v>
      </c>
      <c r="AC56" s="9" t="s">
        <v>988</v>
      </c>
      <c r="AD56" s="10" t="str">
        <f>SUBSTITUTE(SUBSTITUTE(PROPERTIES[[#This Row],[PURCHASECOST_VALUE]], "PURCHASECOST_", ""), "_VALUE", "")</f>
        <v>ELECTRICRAILBUS</v>
      </c>
      <c r="AE56" s="9" t="str" cm="1">
        <f t="array" ref="AE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6" s="2" t="b">
        <v>0</v>
      </c>
      <c r="AX56"/>
      <c r="AY56"/>
      <c r="AZ56"/>
    </row>
    <row r="57" spans="1:52">
      <c r="A57" s="2" t="s">
        <v>80</v>
      </c>
      <c r="B57">
        <v>1950</v>
      </c>
      <c r="C57">
        <v>0</v>
      </c>
      <c r="D57" t="s">
        <v>1869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 s="2" t="s">
        <v>23</v>
      </c>
      <c r="K57" s="39">
        <f>_xlfn.XLOOKUP("LOADINGSPEEDDEF_"&amp;PROPERTIES[[#This Row],[LOADINGSPEED]],LOADINGSPEEDDEF[TYPE],LOADINGSPEEDDEF[SPEED])</f>
        <v>40</v>
      </c>
      <c r="L57">
        <v>45</v>
      </c>
      <c r="M57">
        <v>1</v>
      </c>
      <c r="N57" s="33">
        <v>66</v>
      </c>
      <c r="O57">
        <v>965</v>
      </c>
      <c r="P57">
        <v>110</v>
      </c>
      <c r="Q57" s="30">
        <v>0</v>
      </c>
      <c r="R57" s="29">
        <f>IFERROR(PROPERTIES[[#This Row],[TE_STARTING_KN]]/(PROPERTIES[[#This Row],[WEIGHT]]*9.81),0)</f>
        <v>0</v>
      </c>
      <c r="S57" s="29">
        <v>0.08</v>
      </c>
      <c r="T57" s="26">
        <f>ROUND(IF(IFERROR(PROPERTIES[[#This Row],[TE_COEFFICIENT_CALC]],0)=0,PROPERTIES[[#This Row],[TE_COEFFICIENT_MANUAL]],PROPERTIES[[#This Row],[TE_COEFFICIENT_CALC]]),3)</f>
        <v>0.08</v>
      </c>
      <c r="U57" s="11">
        <v>15</v>
      </c>
      <c r="V57" s="9">
        <v>0</v>
      </c>
      <c r="W57" s="9">
        <v>0</v>
      </c>
      <c r="X57" s="10">
        <v>0</v>
      </c>
      <c r="Y57" t="s">
        <v>905</v>
      </c>
      <c r="Z57" t="s">
        <v>903</v>
      </c>
      <c r="AA57" s="2" t="s">
        <v>921</v>
      </c>
      <c r="AB57" s="9" t="s">
        <v>987</v>
      </c>
      <c r="AC57" s="9" t="s">
        <v>988</v>
      </c>
      <c r="AD57" s="10" t="str">
        <f>SUBSTITUTE(SUBSTITUTE(PROPERTIES[[#This Row],[PURCHASECOST_VALUE]], "PURCHASECOST_", ""), "_VALUE", "")</f>
        <v>ELECTRICRAILBUS</v>
      </c>
      <c r="AE57" s="9" t="str" cm="1">
        <f t="array" ref="AE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7" s="2" t="b">
        <v>0</v>
      </c>
      <c r="AX57"/>
      <c r="AY57"/>
      <c r="AZ57"/>
    </row>
    <row r="58" spans="1:52">
      <c r="A58" s="2" t="s">
        <v>81</v>
      </c>
      <c r="B58">
        <v>1927</v>
      </c>
      <c r="C58">
        <v>0</v>
      </c>
      <c r="D58" t="s">
        <v>1896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 s="2" t="s">
        <v>23</v>
      </c>
      <c r="K58" s="39">
        <f>_xlfn.XLOOKUP("LOADINGSPEEDDEF_"&amp;PROPERTIES[[#This Row],[LOADINGSPEED]],LOADINGSPEEDDEF[TYPE],LOADINGSPEEDDEF[SPEED])</f>
        <v>40</v>
      </c>
      <c r="L58">
        <v>45</v>
      </c>
      <c r="M58">
        <v>1</v>
      </c>
      <c r="N58" s="33">
        <v>40</v>
      </c>
      <c r="O58">
        <v>480</v>
      </c>
      <c r="P58">
        <v>85</v>
      </c>
      <c r="Q58" s="30">
        <v>0</v>
      </c>
      <c r="R58" s="29">
        <f>IFERROR(PROPERTIES[[#This Row],[TE_STARTING_KN]]/(PROPERTIES[[#This Row],[WEIGHT]]*9.81),0)</f>
        <v>0</v>
      </c>
      <c r="S58" s="29">
        <v>0.13</v>
      </c>
      <c r="T58" s="26">
        <f>ROUND(IF(IFERROR(PROPERTIES[[#This Row],[TE_COEFFICIENT_CALC]],0)=0,PROPERTIES[[#This Row],[TE_COEFFICIENT_MANUAL]],PROPERTIES[[#This Row],[TE_COEFFICIENT_CALC]]),3)</f>
        <v>0.13</v>
      </c>
      <c r="U58" s="11">
        <v>15</v>
      </c>
      <c r="V58" s="9">
        <v>0</v>
      </c>
      <c r="W58" s="9">
        <v>0</v>
      </c>
      <c r="X58" s="10">
        <v>0</v>
      </c>
      <c r="Y58" t="s">
        <v>907</v>
      </c>
      <c r="Z58" t="s">
        <v>903</v>
      </c>
      <c r="AA58" s="2" t="s">
        <v>921</v>
      </c>
      <c r="AB58" s="9" t="s">
        <v>987</v>
      </c>
      <c r="AC58" s="9" t="s">
        <v>988</v>
      </c>
      <c r="AD58" s="10" t="str">
        <f>SUBSTITUTE(SUBSTITUTE(PROPERTIES[[#This Row],[PURCHASECOST_VALUE]], "PURCHASECOST_", ""), "_VALUE", "")</f>
        <v>ELECTRICRAILBUS</v>
      </c>
      <c r="AE58" s="9" t="str" cm="1">
        <f t="array" ref="AE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" s="2" t="b">
        <v>0</v>
      </c>
      <c r="AX58"/>
      <c r="AY58"/>
      <c r="AZ58"/>
    </row>
    <row r="59" spans="1:52">
      <c r="A59" s="2" t="s">
        <v>82</v>
      </c>
      <c r="B59">
        <v>2005</v>
      </c>
      <c r="C59">
        <v>0</v>
      </c>
      <c r="D59" t="s">
        <v>1938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 s="2" t="s">
        <v>23</v>
      </c>
      <c r="K59" s="39">
        <f>_xlfn.XLOOKUP("LOADINGSPEEDDEF_"&amp;PROPERTIES[[#This Row],[LOADINGSPEED]],LOADINGSPEEDDEF[TYPE],LOADINGSPEEDDEF[SPEED])</f>
        <v>40</v>
      </c>
      <c r="L59" t="s">
        <v>20</v>
      </c>
      <c r="M59">
        <v>1</v>
      </c>
      <c r="N59" s="33">
        <v>53</v>
      </c>
      <c r="O59">
        <v>750</v>
      </c>
      <c r="P59">
        <v>120</v>
      </c>
      <c r="Q59" s="30">
        <v>0</v>
      </c>
      <c r="R59" s="29">
        <f>IFERROR(PROPERTIES[[#This Row],[TE_STARTING_KN]]/(PROPERTIES[[#This Row],[WEIGHT]]*9.81),0)</f>
        <v>0</v>
      </c>
      <c r="S59" s="29">
        <v>0.08</v>
      </c>
      <c r="T59" s="26">
        <f>ROUND(IF(IFERROR(PROPERTIES[[#This Row],[TE_COEFFICIENT_CALC]],0)=0,PROPERTIES[[#This Row],[TE_COEFFICIENT_MANUAL]],PROPERTIES[[#This Row],[TE_COEFFICIENT_CALC]]),3)</f>
        <v>0.08</v>
      </c>
      <c r="U59" s="11">
        <v>15</v>
      </c>
      <c r="V59" s="9">
        <v>0</v>
      </c>
      <c r="W59" s="9">
        <v>0</v>
      </c>
      <c r="X59" s="10">
        <v>0</v>
      </c>
      <c r="Y59" t="s">
        <v>910</v>
      </c>
      <c r="Z59" t="s">
        <v>903</v>
      </c>
      <c r="AA59" s="2" t="s">
        <v>921</v>
      </c>
      <c r="AB59" s="9" t="s">
        <v>987</v>
      </c>
      <c r="AC59" s="9" t="s">
        <v>988</v>
      </c>
      <c r="AD59" s="10" t="str">
        <f>SUBSTITUTE(SUBSTITUTE(PROPERTIES[[#This Row],[PURCHASECOST_VALUE]], "PURCHASECOST_", ""), "_VALUE", "")</f>
        <v>ELECTRICRAILBUS</v>
      </c>
      <c r="AE59" s="9" t="str" cm="1">
        <f t="array" ref="AE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" s="2" t="b">
        <v>0</v>
      </c>
      <c r="AX59"/>
      <c r="AY59"/>
      <c r="AZ59"/>
    </row>
    <row r="60" spans="1:52">
      <c r="A60" s="2" t="s">
        <v>83</v>
      </c>
      <c r="B60">
        <v>1989</v>
      </c>
      <c r="C60">
        <v>0</v>
      </c>
      <c r="D60" t="s">
        <v>1772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 s="2" t="s">
        <v>23</v>
      </c>
      <c r="K60" s="39">
        <f>_xlfn.XLOOKUP("LOADINGSPEEDDEF_"&amp;PROPERTIES[[#This Row],[LOADINGSPEED]],LOADINGSPEEDDEF[TYPE],LOADINGSPEEDDEF[SPEED])</f>
        <v>40</v>
      </c>
      <c r="L60">
        <v>45</v>
      </c>
      <c r="M60">
        <v>1</v>
      </c>
      <c r="N60" s="33">
        <v>42</v>
      </c>
      <c r="O60">
        <v>643</v>
      </c>
      <c r="P60">
        <v>120</v>
      </c>
      <c r="Q60" s="30">
        <v>0</v>
      </c>
      <c r="R60" s="29">
        <f>IFERROR(PROPERTIES[[#This Row],[TE_STARTING_KN]]/(PROPERTIES[[#This Row],[WEIGHT]]*9.81),0)</f>
        <v>0</v>
      </c>
      <c r="S60" s="29">
        <v>0.21</v>
      </c>
      <c r="T60" s="26">
        <f>ROUND(IF(IFERROR(PROPERTIES[[#This Row],[TE_COEFFICIENT_CALC]],0)=0,PROPERTIES[[#This Row],[TE_COEFFICIENT_MANUAL]],PROPERTIES[[#This Row],[TE_COEFFICIENT_CALC]]),3)</f>
        <v>0.21</v>
      </c>
      <c r="U60" s="11">
        <v>15</v>
      </c>
      <c r="V60" s="9">
        <v>0</v>
      </c>
      <c r="W60" s="9">
        <v>0</v>
      </c>
      <c r="X60" s="10">
        <v>0</v>
      </c>
      <c r="Y60" t="s">
        <v>904</v>
      </c>
      <c r="Z60" t="s">
        <v>903</v>
      </c>
      <c r="AA60" s="2" t="s">
        <v>921</v>
      </c>
      <c r="AB60" s="9" t="s">
        <v>987</v>
      </c>
      <c r="AC60" s="9" t="s">
        <v>988</v>
      </c>
      <c r="AD60" s="10" t="str">
        <f>SUBSTITUTE(SUBSTITUTE(PROPERTIES[[#This Row],[PURCHASECOST_VALUE]], "PURCHASECOST_", ""), "_VALUE", "")</f>
        <v>ELECTRICRAILBUS</v>
      </c>
      <c r="AE60" s="9" t="str" cm="1">
        <f t="array" ref="AE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0" s="2" t="b">
        <v>0</v>
      </c>
      <c r="AX60"/>
      <c r="AY60"/>
      <c r="AZ60"/>
    </row>
    <row r="61" spans="1:52">
      <c r="A61" s="2" t="s">
        <v>84</v>
      </c>
      <c r="B61">
        <v>2001</v>
      </c>
      <c r="C61">
        <v>0</v>
      </c>
      <c r="D61" t="s">
        <v>1772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 s="2" t="s">
        <v>23</v>
      </c>
      <c r="K61" s="39">
        <f>_xlfn.XLOOKUP("LOADINGSPEEDDEF_"&amp;PROPERTIES[[#This Row],[LOADINGSPEED]],LOADINGSPEEDDEF[TYPE],LOADINGSPEEDDEF[SPEED])</f>
        <v>40</v>
      </c>
      <c r="L61" t="s">
        <v>20</v>
      </c>
      <c r="M61">
        <v>1</v>
      </c>
      <c r="N61" s="33">
        <v>52</v>
      </c>
      <c r="O61">
        <v>1475</v>
      </c>
      <c r="P61">
        <v>90</v>
      </c>
      <c r="Q61" s="30">
        <v>0</v>
      </c>
      <c r="R61" s="29">
        <f>IFERROR(PROPERTIES[[#This Row],[TE_STARTING_KN]]/(PROPERTIES[[#This Row],[WEIGHT]]*9.81),0)</f>
        <v>0</v>
      </c>
      <c r="S61" s="29">
        <v>0.28999999999999998</v>
      </c>
      <c r="T61" s="26">
        <f>ROUND(IF(IFERROR(PROPERTIES[[#This Row],[TE_COEFFICIENT_CALC]],0)=0,PROPERTIES[[#This Row],[TE_COEFFICIENT_MANUAL]],PROPERTIES[[#This Row],[TE_COEFFICIENT_CALC]]),3)</f>
        <v>0.28999999999999998</v>
      </c>
      <c r="U61" s="11">
        <v>15</v>
      </c>
      <c r="V61" s="9">
        <v>0</v>
      </c>
      <c r="W61" s="9">
        <v>0</v>
      </c>
      <c r="X61" s="10">
        <v>0</v>
      </c>
      <c r="Y61" t="s">
        <v>904</v>
      </c>
      <c r="Z61" t="s">
        <v>903</v>
      </c>
      <c r="AA61" s="2" t="s">
        <v>921</v>
      </c>
      <c r="AB61" s="9" t="s">
        <v>987</v>
      </c>
      <c r="AC61" s="9" t="s">
        <v>988</v>
      </c>
      <c r="AD61" s="10" t="str">
        <f>SUBSTITUTE(SUBSTITUTE(PROPERTIES[[#This Row],[PURCHASECOST_VALUE]], "PURCHASECOST_", ""), "_VALUE", "")</f>
        <v>ELECTRICRAILBUS</v>
      </c>
      <c r="AE61" s="9" t="str" cm="1">
        <f t="array" ref="AE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" s="2" t="b">
        <v>0</v>
      </c>
      <c r="AX61"/>
      <c r="AY61"/>
      <c r="AZ61"/>
    </row>
    <row r="62" spans="1:52">
      <c r="A62" s="2" t="s">
        <v>85</v>
      </c>
      <c r="B62">
        <v>1927</v>
      </c>
      <c r="C62">
        <v>0</v>
      </c>
      <c r="D62" t="s">
        <v>1817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 s="2" t="s">
        <v>23</v>
      </c>
      <c r="K62" s="39">
        <f>_xlfn.XLOOKUP("LOADINGSPEEDDEF_"&amp;PROPERTIES[[#This Row],[LOADINGSPEED]],LOADINGSPEEDDEF[TYPE],LOADINGSPEEDDEF[SPEED])</f>
        <v>40</v>
      </c>
      <c r="L62">
        <v>45</v>
      </c>
      <c r="M62">
        <v>1</v>
      </c>
      <c r="N62" s="33">
        <v>61</v>
      </c>
      <c r="O62">
        <v>740</v>
      </c>
      <c r="P62">
        <v>75</v>
      </c>
      <c r="Q62" s="30">
        <v>0</v>
      </c>
      <c r="R62" s="29">
        <f>IFERROR(PROPERTIES[[#This Row],[TE_STARTING_KN]]/(PROPERTIES[[#This Row],[WEIGHT]]*9.81),0)</f>
        <v>0</v>
      </c>
      <c r="S62" s="29">
        <v>0.16</v>
      </c>
      <c r="T62" s="26">
        <f>ROUND(IF(IFERROR(PROPERTIES[[#This Row],[TE_COEFFICIENT_CALC]],0)=0,PROPERTIES[[#This Row],[TE_COEFFICIENT_MANUAL]],PROPERTIES[[#This Row],[TE_COEFFICIENT_CALC]]),3)</f>
        <v>0.16</v>
      </c>
      <c r="U62" s="11">
        <v>15</v>
      </c>
      <c r="V62" s="9">
        <v>0</v>
      </c>
      <c r="W62" s="9">
        <v>0</v>
      </c>
      <c r="X62" s="10">
        <v>0</v>
      </c>
      <c r="Y62" t="s">
        <v>904</v>
      </c>
      <c r="Z62" t="s">
        <v>903</v>
      </c>
      <c r="AA62" s="2" t="s">
        <v>921</v>
      </c>
      <c r="AB62" s="9" t="s">
        <v>987</v>
      </c>
      <c r="AC62" s="9" t="s">
        <v>988</v>
      </c>
      <c r="AD62" s="10" t="str">
        <f>SUBSTITUTE(SUBSTITUTE(PROPERTIES[[#This Row],[PURCHASECOST_VALUE]], "PURCHASECOST_", ""), "_VALUE", "")</f>
        <v>ELECTRICRAILBUS</v>
      </c>
      <c r="AE62" s="9" t="str" cm="1">
        <f t="array" ref="AE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" s="2" t="b">
        <v>0</v>
      </c>
      <c r="AX62"/>
      <c r="AY62"/>
      <c r="AZ62"/>
    </row>
    <row r="63" spans="1:52">
      <c r="A63" s="2" t="s">
        <v>86</v>
      </c>
      <c r="B63">
        <v>1955</v>
      </c>
      <c r="C63">
        <v>0</v>
      </c>
      <c r="D63" t="s">
        <v>1956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 s="2" t="s">
        <v>23</v>
      </c>
      <c r="K63" s="39">
        <f>_xlfn.XLOOKUP("LOADINGSPEEDDEF_"&amp;PROPERTIES[[#This Row],[LOADINGSPEED]],LOADINGSPEEDDEF[TYPE],LOADINGSPEEDDEF[SPEED])</f>
        <v>40</v>
      </c>
      <c r="L63">
        <v>45</v>
      </c>
      <c r="M63">
        <v>1</v>
      </c>
      <c r="N63" s="33">
        <v>21</v>
      </c>
      <c r="O63">
        <v>230</v>
      </c>
      <c r="P63">
        <v>110</v>
      </c>
      <c r="Q63" s="30">
        <v>15</v>
      </c>
      <c r="R63" s="29">
        <f>IFERROR(PROPERTIES[[#This Row],[TE_STARTING_KN]]/(PROPERTIES[[#This Row],[WEIGHT]]*9.81),0)</f>
        <v>7.2811999417503992E-2</v>
      </c>
      <c r="S63" s="29">
        <v>0.34</v>
      </c>
      <c r="T63" s="26">
        <f>ROUND(IF(IFERROR(PROPERTIES[[#This Row],[TE_COEFFICIENT_CALC]],0)=0,PROPERTIES[[#This Row],[TE_COEFFICIENT_MANUAL]],PROPERTIES[[#This Row],[TE_COEFFICIENT_CALC]]),3)</f>
        <v>7.2999999999999995E-2</v>
      </c>
      <c r="U63" s="11">
        <v>15</v>
      </c>
      <c r="V63" s="9">
        <v>0</v>
      </c>
      <c r="W63" s="9">
        <v>0</v>
      </c>
      <c r="X63" s="10">
        <v>0</v>
      </c>
      <c r="Y63" t="s">
        <v>908</v>
      </c>
      <c r="Z63" t="s">
        <v>903</v>
      </c>
      <c r="AA63" s="2" t="s">
        <v>921</v>
      </c>
      <c r="AB63" s="9" t="s">
        <v>987</v>
      </c>
      <c r="AC63" s="9" t="s">
        <v>988</v>
      </c>
      <c r="AD63" s="10" t="str">
        <f>SUBSTITUTE(SUBSTITUTE(PROPERTIES[[#This Row],[PURCHASECOST_VALUE]], "PURCHASECOST_", ""), "_VALUE", "")</f>
        <v>ELECTRICRAILBUS</v>
      </c>
      <c r="AE63" s="9" t="str" cm="1">
        <f t="array" ref="AE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3" s="2" t="b">
        <v>0</v>
      </c>
      <c r="AX63"/>
      <c r="AY63"/>
      <c r="AZ63"/>
    </row>
    <row r="64" spans="1:52">
      <c r="A64" s="2" t="s">
        <v>87</v>
      </c>
      <c r="B64">
        <v>1963</v>
      </c>
      <c r="C64">
        <v>0</v>
      </c>
      <c r="D64" t="s">
        <v>1992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 s="2" t="s">
        <v>23</v>
      </c>
      <c r="K64" s="39">
        <f>_xlfn.XLOOKUP("LOADINGSPEEDDEF_"&amp;PROPERTIES[[#This Row],[LOADINGSPEED]],LOADINGSPEEDDEF[TYPE],LOADINGSPEEDDEF[SPEED])</f>
        <v>40</v>
      </c>
      <c r="L64">
        <v>45</v>
      </c>
      <c r="M64">
        <v>1</v>
      </c>
      <c r="N64" s="33">
        <v>46</v>
      </c>
      <c r="O64">
        <v>550</v>
      </c>
      <c r="P64">
        <v>137</v>
      </c>
      <c r="Q64" s="30">
        <v>0</v>
      </c>
      <c r="R64" s="29">
        <f>IFERROR(PROPERTIES[[#This Row],[TE_STARTING_KN]]/(PROPERTIES[[#This Row],[WEIGHT]]*9.81),0)</f>
        <v>0</v>
      </c>
      <c r="S64" s="29">
        <v>0.18</v>
      </c>
      <c r="T64" s="26">
        <f>ROUND(IF(IFERROR(PROPERTIES[[#This Row],[TE_COEFFICIENT_CALC]],0)=0,PROPERTIES[[#This Row],[TE_COEFFICIENT_MANUAL]],PROPERTIES[[#This Row],[TE_COEFFICIENT_CALC]]),3)</f>
        <v>0.18</v>
      </c>
      <c r="U64" s="11">
        <v>15</v>
      </c>
      <c r="V64" s="9">
        <v>0</v>
      </c>
      <c r="W64" s="9">
        <v>0</v>
      </c>
      <c r="X64" s="10">
        <v>0</v>
      </c>
      <c r="Y64" t="s">
        <v>909</v>
      </c>
      <c r="Z64" t="s">
        <v>903</v>
      </c>
      <c r="AA64" s="2" t="s">
        <v>921</v>
      </c>
      <c r="AB64" s="9" t="s">
        <v>987</v>
      </c>
      <c r="AC64" s="9" t="s">
        <v>988</v>
      </c>
      <c r="AD64" s="10" t="str">
        <f>SUBSTITUTE(SUBSTITUTE(PROPERTIES[[#This Row],[PURCHASECOST_VALUE]], "PURCHASECOST_", ""), "_VALUE", "")</f>
        <v>ELECTRICRAILBUS</v>
      </c>
      <c r="AE64" s="9" t="str" cm="1">
        <f t="array" ref="AE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" s="2" t="b">
        <v>0</v>
      </c>
      <c r="AX64"/>
      <c r="AY64"/>
      <c r="AZ64"/>
    </row>
    <row r="65" spans="1:52">
      <c r="A65" s="2" t="s">
        <v>88</v>
      </c>
      <c r="B65">
        <v>2010</v>
      </c>
      <c r="C65">
        <v>0</v>
      </c>
      <c r="D65" t="s">
        <v>1992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 s="2" t="s">
        <v>23</v>
      </c>
      <c r="K65" s="39">
        <f>_xlfn.XLOOKUP("LOADINGSPEEDDEF_"&amp;PROPERTIES[[#This Row],[LOADINGSPEED]],LOADINGSPEEDDEF[TYPE],LOADINGSPEEDDEF[SPEED])</f>
        <v>40</v>
      </c>
      <c r="L65" t="s">
        <v>20</v>
      </c>
      <c r="M65">
        <v>1</v>
      </c>
      <c r="N65" s="33">
        <v>66</v>
      </c>
      <c r="O65">
        <v>680</v>
      </c>
      <c r="P65">
        <v>180</v>
      </c>
      <c r="Q65" s="30">
        <v>0</v>
      </c>
      <c r="R65" s="29">
        <f>IFERROR(PROPERTIES[[#This Row],[TE_STARTING_KN]]/(PROPERTIES[[#This Row],[WEIGHT]]*9.81),0)</f>
        <v>0</v>
      </c>
      <c r="S65" s="29">
        <v>0.17</v>
      </c>
      <c r="T65" s="26">
        <f>ROUND(IF(IFERROR(PROPERTIES[[#This Row],[TE_COEFFICIENT_CALC]],0)=0,PROPERTIES[[#This Row],[TE_COEFFICIENT_MANUAL]],PROPERTIES[[#This Row],[TE_COEFFICIENT_CALC]]),3)</f>
        <v>0.17</v>
      </c>
      <c r="U65" s="11">
        <v>15</v>
      </c>
      <c r="V65" s="9">
        <v>0</v>
      </c>
      <c r="W65" s="9">
        <v>0</v>
      </c>
      <c r="X65" s="10">
        <v>0</v>
      </c>
      <c r="Y65" t="s">
        <v>909</v>
      </c>
      <c r="Z65" t="s">
        <v>903</v>
      </c>
      <c r="AA65" s="2" t="s">
        <v>921</v>
      </c>
      <c r="AB65" s="9" t="s">
        <v>987</v>
      </c>
      <c r="AC65" s="9" t="s">
        <v>988</v>
      </c>
      <c r="AD65" s="10" t="str">
        <f>SUBSTITUTE(SUBSTITUTE(PROPERTIES[[#This Row],[PURCHASECOST_VALUE]], "PURCHASECOST_", ""), "_VALUE", "")</f>
        <v>ELECTRICRAILBUS</v>
      </c>
      <c r="AE65" s="9" t="str" cm="1">
        <f t="array" ref="AE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5" s="2" t="b">
        <v>0</v>
      </c>
      <c r="AX65"/>
      <c r="AY65"/>
      <c r="AZ65"/>
    </row>
    <row r="66" spans="1:52">
      <c r="A66" s="2" t="s">
        <v>89</v>
      </c>
      <c r="B66">
        <v>1835</v>
      </c>
      <c r="C66">
        <v>0</v>
      </c>
      <c r="D66" t="s">
        <v>1780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 s="2" t="s">
        <v>19</v>
      </c>
      <c r="K66" s="39">
        <f>_xlfn.XLOOKUP("LOADINGSPEEDDEF_"&amp;PROPERTIES[[#This Row],[LOADINGSPEED]],LOADINGSPEEDDEF[TYPE],LOADINGSPEEDDEF[SPEED])</f>
        <v>0</v>
      </c>
      <c r="L66">
        <v>45</v>
      </c>
      <c r="M66">
        <v>1</v>
      </c>
      <c r="N66" s="33">
        <v>16</v>
      </c>
      <c r="O66">
        <v>50</v>
      </c>
      <c r="P66">
        <v>35</v>
      </c>
      <c r="Q66" s="30">
        <v>0</v>
      </c>
      <c r="R66" s="29">
        <f>IFERROR(PROPERTIES[[#This Row],[TE_STARTING_KN]]/(PROPERTIES[[#This Row],[WEIGHT]]*9.81),0)</f>
        <v>0</v>
      </c>
      <c r="S66" s="29">
        <v>0.09</v>
      </c>
      <c r="T66" s="26">
        <f>ROUND(IF(IFERROR(PROPERTIES[[#This Row],[TE_COEFFICIENT_CALC]],0)=0,PROPERTIES[[#This Row],[TE_COEFFICIENT_MANUAL]],PROPERTIES[[#This Row],[TE_COEFFICIENT_CALC]]),3)</f>
        <v>0.09</v>
      </c>
      <c r="U66" s="11">
        <v>40</v>
      </c>
      <c r="V66" s="9">
        <v>0</v>
      </c>
      <c r="W66" s="9">
        <v>0</v>
      </c>
      <c r="X66" s="10">
        <v>0</v>
      </c>
      <c r="Y66" t="s">
        <v>904</v>
      </c>
      <c r="Z66" t="s">
        <v>903</v>
      </c>
      <c r="AA66" s="2" t="s">
        <v>921</v>
      </c>
      <c r="AB66" s="9" t="s">
        <v>989</v>
      </c>
      <c r="AC66" s="9" t="s">
        <v>990</v>
      </c>
      <c r="AD66" s="10" t="str">
        <f>SUBSTITUTE(SUBSTITUTE(PROPERTIES[[#This Row],[PURCHASECOST_VALUE]], "PURCHASECOST_", ""), "_VALUE", "")</f>
        <v>STEAMENGINE</v>
      </c>
      <c r="AE66" s="9" t="str" cm="1">
        <f t="array" ref="AE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6" s="2" t="b">
        <v>0</v>
      </c>
      <c r="AX66"/>
      <c r="AY66"/>
      <c r="AZ66"/>
    </row>
    <row r="67" spans="1:52">
      <c r="A67" s="2" t="s">
        <v>90</v>
      </c>
      <c r="B67">
        <v>1848</v>
      </c>
      <c r="C67">
        <v>0</v>
      </c>
      <c r="D67" t="s">
        <v>1992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 s="2" t="s">
        <v>19</v>
      </c>
      <c r="K67" s="39">
        <f>_xlfn.XLOOKUP("LOADINGSPEEDDEF_"&amp;PROPERTIES[[#This Row],[LOADINGSPEED]],LOADINGSPEEDDEF[TYPE],LOADINGSPEEDDEF[SPEED])</f>
        <v>0</v>
      </c>
      <c r="L67">
        <v>45</v>
      </c>
      <c r="M67">
        <v>1</v>
      </c>
      <c r="N67" s="33">
        <v>45</v>
      </c>
      <c r="O67">
        <v>650</v>
      </c>
      <c r="P67">
        <v>96</v>
      </c>
      <c r="Q67" s="30">
        <v>0</v>
      </c>
      <c r="R67" s="29">
        <f>IFERROR(PROPERTIES[[#This Row],[TE_STARTING_KN]]/(PROPERTIES[[#This Row],[WEIGHT]]*9.81),0)</f>
        <v>0</v>
      </c>
      <c r="S67" s="29">
        <v>0.18</v>
      </c>
      <c r="T67" s="26">
        <f>ROUND(IF(IFERROR(PROPERTIES[[#This Row],[TE_COEFFICIENT_CALC]],0)=0,PROPERTIES[[#This Row],[TE_COEFFICIENT_MANUAL]],PROPERTIES[[#This Row],[TE_COEFFICIENT_CALC]]),3)</f>
        <v>0.18</v>
      </c>
      <c r="U67" s="11">
        <v>40</v>
      </c>
      <c r="V67" s="9">
        <v>0</v>
      </c>
      <c r="W67" s="9">
        <v>4</v>
      </c>
      <c r="X67" s="10">
        <v>0</v>
      </c>
      <c r="Y67" t="s">
        <v>909</v>
      </c>
      <c r="Z67" t="s">
        <v>903</v>
      </c>
      <c r="AA67" s="2" t="s">
        <v>921</v>
      </c>
      <c r="AB67" s="9" t="s">
        <v>989</v>
      </c>
      <c r="AC67" s="9" t="s">
        <v>990</v>
      </c>
      <c r="AD67" s="10" t="str">
        <f>SUBSTITUTE(SUBSTITUTE(PROPERTIES[[#This Row],[PURCHASECOST_VALUE]], "PURCHASECOST_", ""), "_VALUE", "")</f>
        <v>STEAMENGINE</v>
      </c>
      <c r="AE67" s="9" t="str" cm="1">
        <f t="array" ref="AE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7" s="2" t="b">
        <v>0</v>
      </c>
      <c r="AX67"/>
      <c r="AY67"/>
      <c r="AZ67"/>
    </row>
    <row r="68" spans="1:52">
      <c r="A68" s="2" t="s">
        <v>91</v>
      </c>
      <c r="B68">
        <v>1854</v>
      </c>
      <c r="C68">
        <v>0</v>
      </c>
      <c r="D68" t="s">
        <v>1803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 s="2" t="s">
        <v>19</v>
      </c>
      <c r="K68" s="39">
        <f>_xlfn.XLOOKUP("LOADINGSPEEDDEF_"&amp;PROPERTIES[[#This Row],[LOADINGSPEED]],LOADINGSPEEDDEF[TYPE],LOADINGSPEEDDEF[SPEED])</f>
        <v>0</v>
      </c>
      <c r="L68">
        <v>45</v>
      </c>
      <c r="M68">
        <v>1</v>
      </c>
      <c r="N68" s="33">
        <v>45</v>
      </c>
      <c r="O68">
        <v>400</v>
      </c>
      <c r="P68">
        <v>60</v>
      </c>
      <c r="Q68" s="30">
        <v>0</v>
      </c>
      <c r="R68" s="29">
        <f>IFERROR(PROPERTIES[[#This Row],[TE_STARTING_KN]]/(PROPERTIES[[#This Row],[WEIGHT]]*9.81),0)</f>
        <v>0</v>
      </c>
      <c r="S68" s="29">
        <v>0.2</v>
      </c>
      <c r="T68" s="26">
        <f>ROUND(IF(IFERROR(PROPERTIES[[#This Row],[TE_COEFFICIENT_CALC]],0)=0,PROPERTIES[[#This Row],[TE_COEFFICIENT_MANUAL]],PROPERTIES[[#This Row],[TE_COEFFICIENT_CALC]]),3)</f>
        <v>0.2</v>
      </c>
      <c r="U68" s="11">
        <v>40</v>
      </c>
      <c r="V68" s="9">
        <v>0</v>
      </c>
      <c r="W68" s="9">
        <v>0</v>
      </c>
      <c r="X68" s="10">
        <v>0</v>
      </c>
      <c r="Y68" t="s">
        <v>904</v>
      </c>
      <c r="Z68" t="s">
        <v>903</v>
      </c>
      <c r="AA68" s="2" t="s">
        <v>921</v>
      </c>
      <c r="AB68" s="9" t="s">
        <v>989</v>
      </c>
      <c r="AC68" s="9" t="s">
        <v>990</v>
      </c>
      <c r="AD68" s="10" t="str">
        <f>SUBSTITUTE(SUBSTITUTE(PROPERTIES[[#This Row],[PURCHASECOST_VALUE]], "PURCHASECOST_", ""), "_VALUE", "")</f>
        <v>STEAMENGINE</v>
      </c>
      <c r="AE68" s="9" t="str" cm="1">
        <f t="array" ref="AE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8" s="2" t="b">
        <v>0</v>
      </c>
      <c r="AX68"/>
      <c r="AY68"/>
      <c r="AZ68"/>
    </row>
    <row r="69" spans="1:52">
      <c r="A69" s="2" t="s">
        <v>92</v>
      </c>
      <c r="B69">
        <v>1869</v>
      </c>
      <c r="C69">
        <v>0</v>
      </c>
      <c r="D69" t="s">
        <v>1992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 s="2" t="s">
        <v>19</v>
      </c>
      <c r="K69" s="39">
        <f>_xlfn.XLOOKUP("LOADINGSPEEDDEF_"&amp;PROPERTIES[[#This Row],[LOADINGSPEED]],LOADINGSPEEDDEF[TYPE],LOADINGSPEEDDEF[SPEED])</f>
        <v>0</v>
      </c>
      <c r="L69">
        <v>45</v>
      </c>
      <c r="M69">
        <v>1</v>
      </c>
      <c r="N69" s="33">
        <v>85</v>
      </c>
      <c r="O69">
        <v>1200</v>
      </c>
      <c r="P69">
        <v>110</v>
      </c>
      <c r="Q69" s="30">
        <v>0</v>
      </c>
      <c r="R69" s="29">
        <f>IFERROR(PROPERTIES[[#This Row],[TE_STARTING_KN]]/(PROPERTIES[[#This Row],[WEIGHT]]*9.81),0)</f>
        <v>0</v>
      </c>
      <c r="S69" s="29">
        <v>0.2</v>
      </c>
      <c r="T69" s="26">
        <f>ROUND(IF(IFERROR(PROPERTIES[[#This Row],[TE_COEFFICIENT_CALC]],0)=0,PROPERTIES[[#This Row],[TE_COEFFICIENT_MANUAL]],PROPERTIES[[#This Row],[TE_COEFFICIENT_CALC]]),3)</f>
        <v>0.2</v>
      </c>
      <c r="U69" s="11">
        <v>40</v>
      </c>
      <c r="V69" s="9">
        <v>0</v>
      </c>
      <c r="W69" s="9">
        <v>4</v>
      </c>
      <c r="X69" s="10">
        <v>0</v>
      </c>
      <c r="Y69" t="s">
        <v>909</v>
      </c>
      <c r="Z69" t="s">
        <v>903</v>
      </c>
      <c r="AA69" s="2" t="s">
        <v>921</v>
      </c>
      <c r="AB69" s="9" t="s">
        <v>989</v>
      </c>
      <c r="AC69" s="9" t="s">
        <v>990</v>
      </c>
      <c r="AD69" s="10" t="str">
        <f>SUBSTITUTE(SUBSTITUTE(PROPERTIES[[#This Row],[PURCHASECOST_VALUE]], "PURCHASECOST_", ""), "_VALUE", "")</f>
        <v>STEAMENGINE</v>
      </c>
      <c r="AE69" s="9" t="str" cm="1">
        <f t="array" ref="AE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9" s="2" t="b">
        <v>0</v>
      </c>
      <c r="AX69"/>
      <c r="AY69"/>
      <c r="AZ69"/>
    </row>
    <row r="70" spans="1:52">
      <c r="A70" s="2" t="s">
        <v>93</v>
      </c>
      <c r="B70">
        <v>1875</v>
      </c>
      <c r="C70">
        <v>0</v>
      </c>
      <c r="D70" t="s">
        <v>1992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 s="2" t="s">
        <v>19</v>
      </c>
      <c r="K70" s="39">
        <f>_xlfn.XLOOKUP("LOADINGSPEEDDEF_"&amp;PROPERTIES[[#This Row],[LOADINGSPEED]],LOADINGSPEEDDEF[TYPE],LOADINGSPEEDDEF[SPEED])</f>
        <v>0</v>
      </c>
      <c r="L70">
        <v>45</v>
      </c>
      <c r="M70">
        <v>1</v>
      </c>
      <c r="N70" s="33">
        <v>126</v>
      </c>
      <c r="O70">
        <v>1500</v>
      </c>
      <c r="P70">
        <v>60</v>
      </c>
      <c r="Q70" s="30">
        <v>0</v>
      </c>
      <c r="R70" s="29">
        <f>IFERROR(PROPERTIES[[#This Row],[TE_STARTING_KN]]/(PROPERTIES[[#This Row],[WEIGHT]]*9.81),0)</f>
        <v>0</v>
      </c>
      <c r="S70" s="29">
        <v>0.24</v>
      </c>
      <c r="T70" s="26">
        <f>ROUND(IF(IFERROR(PROPERTIES[[#This Row],[TE_COEFFICIENT_CALC]],0)=0,PROPERTIES[[#This Row],[TE_COEFFICIENT_MANUAL]],PROPERTIES[[#This Row],[TE_COEFFICIENT_CALC]]),3)</f>
        <v>0.24</v>
      </c>
      <c r="U70" s="11">
        <v>40</v>
      </c>
      <c r="V70" s="9">
        <v>0</v>
      </c>
      <c r="W70" s="9">
        <v>5</v>
      </c>
      <c r="X70" s="10">
        <v>0</v>
      </c>
      <c r="Y70" t="s">
        <v>909</v>
      </c>
      <c r="Z70" t="s">
        <v>903</v>
      </c>
      <c r="AA70" s="2" t="s">
        <v>921</v>
      </c>
      <c r="AB70" s="9" t="s">
        <v>989</v>
      </c>
      <c r="AC70" s="9" t="s">
        <v>990</v>
      </c>
      <c r="AD70" s="10" t="str">
        <f>SUBSTITUTE(SUBSTITUTE(PROPERTIES[[#This Row],[PURCHASECOST_VALUE]], "PURCHASECOST_", ""), "_VALUE", "")</f>
        <v>STEAMENGINE</v>
      </c>
      <c r="AE70" s="9" t="str" cm="1">
        <f t="array" ref="AE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0" s="2" t="b">
        <v>0</v>
      </c>
      <c r="AX70"/>
      <c r="AY70"/>
      <c r="AZ70"/>
    </row>
    <row r="71" spans="1:52">
      <c r="A71" s="2" t="s">
        <v>94</v>
      </c>
      <c r="B71">
        <v>1885</v>
      </c>
      <c r="C71">
        <v>0</v>
      </c>
      <c r="D71" t="s">
        <v>1859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 s="2" t="s">
        <v>19</v>
      </c>
      <c r="K71" s="39">
        <f>_xlfn.XLOOKUP("LOADINGSPEEDDEF_"&amp;PROPERTIES[[#This Row],[LOADINGSPEED]],LOADINGSPEEDDEF[TYPE],LOADINGSPEEDDEF[SPEED])</f>
        <v>0</v>
      </c>
      <c r="L71">
        <v>45</v>
      </c>
      <c r="M71">
        <v>0</v>
      </c>
      <c r="N71" s="33">
        <v>27</v>
      </c>
      <c r="O71">
        <v>170</v>
      </c>
      <c r="P71">
        <v>45</v>
      </c>
      <c r="Q71" s="30">
        <v>31.2</v>
      </c>
      <c r="R71" s="29">
        <f>IFERROR(PROPERTIES[[#This Row],[TE_STARTING_KN]]/(PROPERTIES[[#This Row],[WEIGHT]]*9.81),0)</f>
        <v>0.11779363461320648</v>
      </c>
      <c r="S71" s="29">
        <v>0.21</v>
      </c>
      <c r="T71" s="26">
        <f>ROUND(IF(IFERROR(PROPERTIES[[#This Row],[TE_COEFFICIENT_CALC]],0)=0,PROPERTIES[[#This Row],[TE_COEFFICIENT_MANUAL]],PROPERTIES[[#This Row],[TE_COEFFICIENT_CALC]]),3)</f>
        <v>0.11799999999999999</v>
      </c>
      <c r="U71" s="11">
        <v>40</v>
      </c>
      <c r="V71" s="9">
        <v>0</v>
      </c>
      <c r="W71" s="9">
        <v>0</v>
      </c>
      <c r="X71" s="10">
        <v>0</v>
      </c>
      <c r="Y71" t="s">
        <v>910</v>
      </c>
      <c r="Z71" t="s">
        <v>903</v>
      </c>
      <c r="AA71" s="2" t="s">
        <v>921</v>
      </c>
      <c r="AB71" s="9" t="s">
        <v>989</v>
      </c>
      <c r="AC71" s="9" t="s">
        <v>990</v>
      </c>
      <c r="AD71" s="10" t="str">
        <f>SUBSTITUTE(SUBSTITUTE(PROPERTIES[[#This Row],[PURCHASECOST_VALUE]], "PURCHASECOST_", ""), "_VALUE", "")</f>
        <v>STEAMENGINE</v>
      </c>
      <c r="AE71" s="9" t="str" cm="1">
        <f t="array" ref="AE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1" s="2" t="b">
        <v>0</v>
      </c>
      <c r="AX71"/>
      <c r="AY71"/>
      <c r="AZ71"/>
    </row>
    <row r="72" spans="1:52">
      <c r="A72" s="2" t="s">
        <v>95</v>
      </c>
      <c r="B72">
        <v>1897</v>
      </c>
      <c r="C72">
        <v>0</v>
      </c>
      <c r="D72" t="s">
        <v>1772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 s="2" t="s">
        <v>19</v>
      </c>
      <c r="K72" s="39">
        <f>_xlfn.XLOOKUP("LOADINGSPEEDDEF_"&amp;PROPERTIES[[#This Row],[LOADINGSPEED]],LOADINGSPEEDDEF[TYPE],LOADINGSPEEDDEF[SPEED])</f>
        <v>0</v>
      </c>
      <c r="L72">
        <v>45</v>
      </c>
      <c r="M72">
        <v>1</v>
      </c>
      <c r="N72" s="33">
        <v>39</v>
      </c>
      <c r="O72">
        <v>320</v>
      </c>
      <c r="P72">
        <v>50</v>
      </c>
      <c r="Q72" s="30">
        <v>0</v>
      </c>
      <c r="R72" s="29">
        <f>IFERROR(PROPERTIES[[#This Row],[TE_STARTING_KN]]/(PROPERTIES[[#This Row],[WEIGHT]]*9.81),0)</f>
        <v>0</v>
      </c>
      <c r="S72" s="29">
        <v>0.23</v>
      </c>
      <c r="T72" s="26">
        <f>ROUND(IF(IFERROR(PROPERTIES[[#This Row],[TE_COEFFICIENT_CALC]],0)=0,PROPERTIES[[#This Row],[TE_COEFFICIENT_MANUAL]],PROPERTIES[[#This Row],[TE_COEFFICIENT_CALC]]),3)</f>
        <v>0.23</v>
      </c>
      <c r="U72" s="11">
        <v>40</v>
      </c>
      <c r="V72" s="9">
        <v>0</v>
      </c>
      <c r="W72" s="9">
        <v>0</v>
      </c>
      <c r="X72" s="10">
        <v>0</v>
      </c>
      <c r="Y72" t="s">
        <v>904</v>
      </c>
      <c r="Z72" t="s">
        <v>903</v>
      </c>
      <c r="AA72" s="2" t="s">
        <v>921</v>
      </c>
      <c r="AB72" s="9" t="s">
        <v>989</v>
      </c>
      <c r="AC72" s="9" t="s">
        <v>990</v>
      </c>
      <c r="AD72" s="10" t="str">
        <f>SUBSTITUTE(SUBSTITUTE(PROPERTIES[[#This Row],[PURCHASECOST_VALUE]], "PURCHASECOST_", ""), "_VALUE", "")</f>
        <v>STEAMENGINE</v>
      </c>
      <c r="AE72" s="9" t="str" cm="1">
        <f t="array" ref="AE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2" s="2" t="b">
        <v>0</v>
      </c>
      <c r="AX72"/>
      <c r="AY72"/>
      <c r="AZ72"/>
    </row>
    <row r="73" spans="1:52">
      <c r="A73" s="2" t="s">
        <v>96</v>
      </c>
      <c r="B73">
        <v>1900</v>
      </c>
      <c r="C73">
        <v>0</v>
      </c>
      <c r="D73" t="s">
        <v>1836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 s="2" t="s">
        <v>19</v>
      </c>
      <c r="K73" s="39">
        <f>_xlfn.XLOOKUP("LOADINGSPEEDDEF_"&amp;PROPERTIES[[#This Row],[LOADINGSPEED]],LOADINGSPEEDDEF[TYPE],LOADINGSPEEDDEF[SPEED])</f>
        <v>0</v>
      </c>
      <c r="L73">
        <v>45</v>
      </c>
      <c r="M73">
        <v>0</v>
      </c>
      <c r="N73" s="33">
        <v>53</v>
      </c>
      <c r="O73">
        <v>540</v>
      </c>
      <c r="P73">
        <v>80</v>
      </c>
      <c r="Q73" s="30">
        <v>83.1</v>
      </c>
      <c r="R73" s="29">
        <f>IFERROR(PROPERTIES[[#This Row],[TE_STARTING_KN]]/(PROPERTIES[[#This Row],[WEIGHT]]*9.81),0)</f>
        <v>0.15982920777797008</v>
      </c>
      <c r="S73" s="29">
        <v>0.16</v>
      </c>
      <c r="T73" s="26">
        <f>ROUND(IF(IFERROR(PROPERTIES[[#This Row],[TE_COEFFICIENT_CALC]],0)=0,PROPERTIES[[#This Row],[TE_COEFFICIENT_MANUAL]],PROPERTIES[[#This Row],[TE_COEFFICIENT_CALC]]),3)</f>
        <v>0.16</v>
      </c>
      <c r="U73" s="11">
        <v>40</v>
      </c>
      <c r="V73" s="9">
        <v>0</v>
      </c>
      <c r="W73" s="9">
        <v>0</v>
      </c>
      <c r="X73" s="10">
        <v>0</v>
      </c>
      <c r="Y73" t="s">
        <v>908</v>
      </c>
      <c r="Z73" t="s">
        <v>903</v>
      </c>
      <c r="AA73" s="2" t="s">
        <v>921</v>
      </c>
      <c r="AB73" s="9" t="s">
        <v>989</v>
      </c>
      <c r="AC73" s="9" t="s">
        <v>990</v>
      </c>
      <c r="AD73" s="10" t="str">
        <f>SUBSTITUTE(SUBSTITUTE(PROPERTIES[[#This Row],[PURCHASECOST_VALUE]], "PURCHASECOST_", ""), "_VALUE", "")</f>
        <v>STEAMENGINE</v>
      </c>
      <c r="AE73" s="9" t="str" cm="1">
        <f t="array" ref="AE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3" s="2" t="b">
        <v>0</v>
      </c>
      <c r="AX73"/>
      <c r="AY73"/>
      <c r="AZ73"/>
    </row>
    <row r="74" spans="1:52">
      <c r="A74" s="2" t="s">
        <v>97</v>
      </c>
      <c r="B74">
        <v>1902</v>
      </c>
      <c r="C74">
        <v>0</v>
      </c>
      <c r="D74" t="s">
        <v>1803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 s="2" t="s">
        <v>19</v>
      </c>
      <c r="K74" s="39">
        <f>_xlfn.XLOOKUP("LOADINGSPEEDDEF_"&amp;PROPERTIES[[#This Row],[LOADINGSPEED]],LOADINGSPEEDDEF[TYPE],LOADINGSPEEDDEF[SPEED])</f>
        <v>0</v>
      </c>
      <c r="L74">
        <v>45</v>
      </c>
      <c r="M74">
        <v>1</v>
      </c>
      <c r="N74" s="33">
        <v>106</v>
      </c>
      <c r="O74">
        <v>1340</v>
      </c>
      <c r="P74">
        <v>100</v>
      </c>
      <c r="Q74" s="30">
        <v>0</v>
      </c>
      <c r="R74" s="29">
        <f>IFERROR(PROPERTIES[[#This Row],[TE_STARTING_KN]]/(PROPERTIES[[#This Row],[WEIGHT]]*9.81),0)</f>
        <v>0</v>
      </c>
      <c r="S74" s="29">
        <v>0.16</v>
      </c>
      <c r="T74" s="26">
        <f>ROUND(IF(IFERROR(PROPERTIES[[#This Row],[TE_COEFFICIENT_CALC]],0)=0,PROPERTIES[[#This Row],[TE_COEFFICIENT_MANUAL]],PROPERTIES[[#This Row],[TE_COEFFICIENT_CALC]]),3)</f>
        <v>0.16</v>
      </c>
      <c r="U74" s="11">
        <v>40</v>
      </c>
      <c r="V74" s="9">
        <v>0</v>
      </c>
      <c r="W74" s="9">
        <v>4</v>
      </c>
      <c r="X74" s="10">
        <v>0</v>
      </c>
      <c r="Y74" t="s">
        <v>904</v>
      </c>
      <c r="Z74" t="s">
        <v>903</v>
      </c>
      <c r="AA74" s="2" t="s">
        <v>921</v>
      </c>
      <c r="AB74" s="9" t="s">
        <v>989</v>
      </c>
      <c r="AC74" s="9" t="s">
        <v>990</v>
      </c>
      <c r="AD74" s="10" t="str">
        <f>SUBSTITUTE(SUBSTITUTE(PROPERTIES[[#This Row],[PURCHASECOST_VALUE]], "PURCHASECOST_", ""), "_VALUE", "")</f>
        <v>STEAMENGINE</v>
      </c>
      <c r="AE74" s="9" t="str" cm="1">
        <f t="array" ref="AE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4" s="2" t="b">
        <v>0</v>
      </c>
      <c r="AX74"/>
      <c r="AY74"/>
      <c r="AZ74"/>
    </row>
    <row r="75" spans="1:52">
      <c r="A75" s="2" t="s">
        <v>98</v>
      </c>
      <c r="B75">
        <v>1902</v>
      </c>
      <c r="C75">
        <v>0</v>
      </c>
      <c r="D75" t="s">
        <v>1803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 s="2" t="s">
        <v>19</v>
      </c>
      <c r="K75" s="39">
        <f>_xlfn.XLOOKUP("LOADINGSPEEDDEF_"&amp;PROPERTIES[[#This Row],[LOADINGSPEED]],LOADINGSPEEDDEF[TYPE],LOADINGSPEEDDEF[SPEED])</f>
        <v>0</v>
      </c>
      <c r="L75">
        <v>45</v>
      </c>
      <c r="M75">
        <v>1</v>
      </c>
      <c r="N75" s="33">
        <v>35</v>
      </c>
      <c r="O75">
        <v>493</v>
      </c>
      <c r="P75">
        <v>45</v>
      </c>
      <c r="Q75" s="30">
        <v>0</v>
      </c>
      <c r="R75" s="29">
        <f>IFERROR(PROPERTIES[[#This Row],[TE_STARTING_KN]]/(PROPERTIES[[#This Row],[WEIGHT]]*9.81),0)</f>
        <v>0</v>
      </c>
      <c r="S75" s="29">
        <v>0.25</v>
      </c>
      <c r="T75" s="26">
        <f>ROUND(IF(IFERROR(PROPERTIES[[#This Row],[TE_COEFFICIENT_CALC]],0)=0,PROPERTIES[[#This Row],[TE_COEFFICIENT_MANUAL]],PROPERTIES[[#This Row],[TE_COEFFICIENT_CALC]]),3)</f>
        <v>0.25</v>
      </c>
      <c r="U75" s="11">
        <v>40</v>
      </c>
      <c r="V75" s="9">
        <v>0</v>
      </c>
      <c r="W75" s="9">
        <v>0</v>
      </c>
      <c r="X75" s="10">
        <v>0</v>
      </c>
      <c r="Y75" t="s">
        <v>904</v>
      </c>
      <c r="Z75" t="s">
        <v>903</v>
      </c>
      <c r="AA75" s="2" t="s">
        <v>921</v>
      </c>
      <c r="AB75" s="9" t="s">
        <v>989</v>
      </c>
      <c r="AC75" s="9" t="s">
        <v>990</v>
      </c>
      <c r="AD75" s="10" t="str">
        <f>SUBSTITUTE(SUBSTITUTE(PROPERTIES[[#This Row],[PURCHASECOST_VALUE]], "PURCHASECOST_", ""), "_VALUE", "")</f>
        <v>STEAMENGINE</v>
      </c>
      <c r="AE75" s="9" t="str" cm="1">
        <f t="array" ref="AE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5" s="2" t="b">
        <v>0</v>
      </c>
      <c r="AX75"/>
      <c r="AY75"/>
      <c r="AZ75"/>
    </row>
    <row r="76" spans="1:52">
      <c r="A76" s="2" t="s">
        <v>99</v>
      </c>
      <c r="B76">
        <v>1910</v>
      </c>
      <c r="C76">
        <v>0</v>
      </c>
      <c r="D76" t="s">
        <v>1772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 s="2" t="s">
        <v>19</v>
      </c>
      <c r="K76" s="39">
        <f>_xlfn.XLOOKUP("LOADINGSPEEDDEF_"&amp;PROPERTIES[[#This Row],[LOADINGSPEED]],LOADINGSPEEDDEF[TYPE],LOADINGSPEEDDEF[SPEED])</f>
        <v>0</v>
      </c>
      <c r="L76">
        <v>45</v>
      </c>
      <c r="M76">
        <v>1</v>
      </c>
      <c r="N76" s="33">
        <v>42</v>
      </c>
      <c r="O76">
        <v>480</v>
      </c>
      <c r="P76">
        <v>60</v>
      </c>
      <c r="Q76" s="30">
        <v>0</v>
      </c>
      <c r="R76" s="29">
        <f>IFERROR(PROPERTIES[[#This Row],[TE_STARTING_KN]]/(PROPERTIES[[#This Row],[WEIGHT]]*9.81),0)</f>
        <v>0</v>
      </c>
      <c r="S76" s="29">
        <v>0.26</v>
      </c>
      <c r="T76" s="26">
        <f>ROUND(IF(IFERROR(PROPERTIES[[#This Row],[TE_COEFFICIENT_CALC]],0)=0,PROPERTIES[[#This Row],[TE_COEFFICIENT_MANUAL]],PROPERTIES[[#This Row],[TE_COEFFICIENT_CALC]]),3)</f>
        <v>0.26</v>
      </c>
      <c r="U76" s="11">
        <v>40</v>
      </c>
      <c r="V76" s="9">
        <v>0</v>
      </c>
      <c r="W76" s="9">
        <v>0</v>
      </c>
      <c r="X76" s="10">
        <v>0</v>
      </c>
      <c r="Y76" t="s">
        <v>904</v>
      </c>
      <c r="Z76" t="s">
        <v>903</v>
      </c>
      <c r="AA76" s="2" t="s">
        <v>921</v>
      </c>
      <c r="AB76" s="9" t="s">
        <v>989</v>
      </c>
      <c r="AC76" s="9" t="s">
        <v>990</v>
      </c>
      <c r="AD76" s="10" t="str">
        <f>SUBSTITUTE(SUBSTITUTE(PROPERTIES[[#This Row],[PURCHASECOST_VALUE]], "PURCHASECOST_", ""), "_VALUE", "")</f>
        <v>STEAMENGINE</v>
      </c>
      <c r="AE76" s="9" t="str" cm="1">
        <f t="array" ref="AE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6" s="2" t="b">
        <v>0</v>
      </c>
      <c r="AX76"/>
      <c r="AY76"/>
      <c r="AZ76"/>
    </row>
    <row r="77" spans="1:52">
      <c r="A77" s="2" t="s">
        <v>100</v>
      </c>
      <c r="B77">
        <v>1908</v>
      </c>
      <c r="C77">
        <v>0</v>
      </c>
      <c r="D77" t="s">
        <v>1930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 s="2" t="s">
        <v>19</v>
      </c>
      <c r="K77" s="39">
        <f>_xlfn.XLOOKUP("LOADINGSPEEDDEF_"&amp;PROPERTIES[[#This Row],[LOADINGSPEED]],LOADINGSPEEDDEF[TYPE],LOADINGSPEEDDEF[SPEED])</f>
        <v>0</v>
      </c>
      <c r="L77">
        <v>45</v>
      </c>
      <c r="M77">
        <v>1</v>
      </c>
      <c r="N77" s="33">
        <v>94</v>
      </c>
      <c r="O77">
        <v>850</v>
      </c>
      <c r="P77">
        <v>48</v>
      </c>
      <c r="Q77" s="30">
        <v>0</v>
      </c>
      <c r="R77" s="29">
        <f>IFERROR(PROPERTIES[[#This Row],[TE_STARTING_KN]]/(PROPERTIES[[#This Row],[WEIGHT]]*9.81),0)</f>
        <v>0</v>
      </c>
      <c r="S77" s="29">
        <v>0.22</v>
      </c>
      <c r="T77" s="26">
        <f>ROUND(IF(IFERROR(PROPERTIES[[#This Row],[TE_COEFFICIENT_CALC]],0)=0,PROPERTIES[[#This Row],[TE_COEFFICIENT_MANUAL]],PROPERTIES[[#This Row],[TE_COEFFICIENT_CALC]]),3)</f>
        <v>0.22</v>
      </c>
      <c r="U77" s="11">
        <v>40</v>
      </c>
      <c r="V77" s="9">
        <v>0</v>
      </c>
      <c r="W77" s="9">
        <v>6</v>
      </c>
      <c r="X77" s="10">
        <v>0</v>
      </c>
      <c r="Y77" t="s">
        <v>906</v>
      </c>
      <c r="Z77" t="s">
        <v>903</v>
      </c>
      <c r="AA77" s="2" t="s">
        <v>921</v>
      </c>
      <c r="AB77" s="9" t="s">
        <v>989</v>
      </c>
      <c r="AC77" s="9" t="s">
        <v>990</v>
      </c>
      <c r="AD77" s="10" t="str">
        <f>SUBSTITUTE(SUBSTITUTE(PROPERTIES[[#This Row],[PURCHASECOST_VALUE]], "PURCHASECOST_", ""), "_VALUE", "")</f>
        <v>STEAMENGINE</v>
      </c>
      <c r="AE77" s="9" t="str" cm="1">
        <f t="array" ref="AE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7" s="2" t="b">
        <v>0</v>
      </c>
      <c r="AX77"/>
      <c r="AY77"/>
      <c r="AZ77"/>
    </row>
    <row r="78" spans="1:52">
      <c r="A78" s="2" t="s">
        <v>101</v>
      </c>
      <c r="B78">
        <v>1914</v>
      </c>
      <c r="C78">
        <v>0</v>
      </c>
      <c r="D78" t="s">
        <v>1857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 s="2" t="s">
        <v>19</v>
      </c>
      <c r="K78" s="39">
        <f>_xlfn.XLOOKUP("LOADINGSPEEDDEF_"&amp;PROPERTIES[[#This Row],[LOADINGSPEED]],LOADINGSPEEDDEF[TYPE],LOADINGSPEEDDEF[SPEED])</f>
        <v>0</v>
      </c>
      <c r="L78">
        <v>45</v>
      </c>
      <c r="M78">
        <v>0</v>
      </c>
      <c r="N78" s="33">
        <v>52</v>
      </c>
      <c r="O78">
        <v>330</v>
      </c>
      <c r="P78">
        <v>60</v>
      </c>
      <c r="Q78" s="30">
        <v>0</v>
      </c>
      <c r="R78" s="29">
        <f>IFERROR(PROPERTIES[[#This Row],[TE_STARTING_KN]]/(PROPERTIES[[#This Row],[WEIGHT]]*9.81),0)</f>
        <v>0</v>
      </c>
      <c r="S78" s="29">
        <v>0.19</v>
      </c>
      <c r="T78" s="26">
        <f>ROUND(IF(IFERROR(PROPERTIES[[#This Row],[TE_COEFFICIENT_CALC]],0)=0,PROPERTIES[[#This Row],[TE_COEFFICIENT_MANUAL]],PROPERTIES[[#This Row],[TE_COEFFICIENT_CALC]]),3)</f>
        <v>0.19</v>
      </c>
      <c r="U78" s="11">
        <v>40</v>
      </c>
      <c r="V78" s="9">
        <v>0</v>
      </c>
      <c r="W78" s="9">
        <v>0</v>
      </c>
      <c r="X78" s="10">
        <v>0</v>
      </c>
      <c r="Y78" t="s">
        <v>910</v>
      </c>
      <c r="Z78" t="s">
        <v>903</v>
      </c>
      <c r="AA78" s="2" t="s">
        <v>921</v>
      </c>
      <c r="AB78" s="9" t="s">
        <v>989</v>
      </c>
      <c r="AC78" s="9" t="s">
        <v>990</v>
      </c>
      <c r="AD78" s="10" t="str">
        <f>SUBSTITUTE(SUBSTITUTE(PROPERTIES[[#This Row],[PURCHASECOST_VALUE]], "PURCHASECOST_", ""), "_VALUE", "")</f>
        <v>STEAMENGINE</v>
      </c>
      <c r="AE78" s="9" t="str" cm="1">
        <f t="array" ref="AE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8" s="2" t="b">
        <v>0</v>
      </c>
      <c r="AX78"/>
      <c r="AY78"/>
      <c r="AZ78"/>
    </row>
    <row r="79" spans="1:52">
      <c r="A79" s="2" t="s">
        <v>102</v>
      </c>
      <c r="B79">
        <v>1916</v>
      </c>
      <c r="C79">
        <v>0</v>
      </c>
      <c r="D79" t="s">
        <v>1869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 s="2" t="s">
        <v>19</v>
      </c>
      <c r="K79" s="39">
        <f>_xlfn.XLOOKUP("LOADINGSPEEDDEF_"&amp;PROPERTIES[[#This Row],[LOADINGSPEED]],LOADINGSPEEDDEF[TYPE],LOADINGSPEEDDEF[SPEED])</f>
        <v>0</v>
      </c>
      <c r="L79">
        <v>45</v>
      </c>
      <c r="M79">
        <v>1</v>
      </c>
      <c r="N79" s="33">
        <v>92</v>
      </c>
      <c r="O79">
        <v>540</v>
      </c>
      <c r="P79">
        <v>75</v>
      </c>
      <c r="Q79" s="30">
        <v>0</v>
      </c>
      <c r="R79" s="29">
        <f>IFERROR(PROPERTIES[[#This Row],[TE_STARTING_KN]]/(PROPERTIES[[#This Row],[WEIGHT]]*9.81),0)</f>
        <v>0</v>
      </c>
      <c r="S79" s="29">
        <v>0.2</v>
      </c>
      <c r="T79" s="26">
        <f>ROUND(IF(IFERROR(PROPERTIES[[#This Row],[TE_COEFFICIENT_CALC]],0)=0,PROPERTIES[[#This Row],[TE_COEFFICIENT_MANUAL]],PROPERTIES[[#This Row],[TE_COEFFICIENT_CALC]]),3)</f>
        <v>0.2</v>
      </c>
      <c r="U79" s="11">
        <v>40</v>
      </c>
      <c r="V79" s="9">
        <v>0</v>
      </c>
      <c r="W79" s="9">
        <v>0</v>
      </c>
      <c r="X79" s="10">
        <v>0</v>
      </c>
      <c r="Y79" t="s">
        <v>905</v>
      </c>
      <c r="Z79" t="s">
        <v>903</v>
      </c>
      <c r="AA79" s="2" t="s">
        <v>921</v>
      </c>
      <c r="AB79" s="9" t="s">
        <v>989</v>
      </c>
      <c r="AC79" s="9" t="s">
        <v>990</v>
      </c>
      <c r="AD79" s="10" t="str">
        <f>SUBSTITUTE(SUBSTITUTE(PROPERTIES[[#This Row],[PURCHASECOST_VALUE]], "PURCHASECOST_", ""), "_VALUE", "")</f>
        <v>STEAMENGINE</v>
      </c>
      <c r="AE79" s="9" t="str" cm="1">
        <f t="array" ref="AE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" s="2" t="b">
        <v>0</v>
      </c>
      <c r="AX79"/>
      <c r="AY79"/>
      <c r="AZ79"/>
    </row>
    <row r="80" spans="1:52">
      <c r="A80" s="2" t="s">
        <v>103</v>
      </c>
      <c r="B80">
        <v>1910</v>
      </c>
      <c r="C80">
        <v>0</v>
      </c>
      <c r="D80" t="s">
        <v>1770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 s="2" t="s">
        <v>19</v>
      </c>
      <c r="K80" s="39">
        <f>_xlfn.XLOOKUP("LOADINGSPEEDDEF_"&amp;PROPERTIES[[#This Row],[LOADINGSPEED]],LOADINGSPEEDDEF[TYPE],LOADINGSPEEDDEF[SPEED])</f>
        <v>0</v>
      </c>
      <c r="L80">
        <v>45</v>
      </c>
      <c r="M80">
        <v>1</v>
      </c>
      <c r="N80" s="33">
        <v>92</v>
      </c>
      <c r="O80">
        <v>850</v>
      </c>
      <c r="P80">
        <v>64</v>
      </c>
      <c r="Q80" s="30">
        <v>0</v>
      </c>
      <c r="R80" s="29">
        <f>IFERROR(PROPERTIES[[#This Row],[TE_STARTING_KN]]/(PROPERTIES[[#This Row],[WEIGHT]]*9.81),0)</f>
        <v>0</v>
      </c>
      <c r="S80" s="29">
        <v>0.22</v>
      </c>
      <c r="T80" s="26">
        <f>ROUND(IF(IFERROR(PROPERTIES[[#This Row],[TE_COEFFICIENT_CALC]],0)=0,PROPERTIES[[#This Row],[TE_COEFFICIENT_MANUAL]],PROPERTIES[[#This Row],[TE_COEFFICIENT_CALC]]),3)</f>
        <v>0.22</v>
      </c>
      <c r="U80" s="11">
        <v>40</v>
      </c>
      <c r="V80" s="9">
        <v>0</v>
      </c>
      <c r="W80" s="9">
        <v>4</v>
      </c>
      <c r="X80" s="10">
        <v>0</v>
      </c>
      <c r="Y80" t="s">
        <v>911</v>
      </c>
      <c r="Z80" t="s">
        <v>903</v>
      </c>
      <c r="AA80" s="2" t="s">
        <v>921</v>
      </c>
      <c r="AB80" s="9" t="s">
        <v>989</v>
      </c>
      <c r="AC80" s="9" t="s">
        <v>990</v>
      </c>
      <c r="AD80" s="10" t="str">
        <f>SUBSTITUTE(SUBSTITUTE(PROPERTIES[[#This Row],[PURCHASECOST_VALUE]], "PURCHASECOST_", ""), "_VALUE", "")</f>
        <v>STEAMENGINE</v>
      </c>
      <c r="AE80" s="9" t="str" cm="1">
        <f t="array" ref="AE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" s="2" t="b">
        <v>0</v>
      </c>
      <c r="AX80"/>
      <c r="AY80"/>
      <c r="AZ80"/>
    </row>
    <row r="81" spans="1:52">
      <c r="A81" s="2" t="s">
        <v>104</v>
      </c>
      <c r="B81">
        <v>1913</v>
      </c>
      <c r="C81">
        <v>0</v>
      </c>
      <c r="D81" t="s">
        <v>1835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6</v>
      </c>
      <c r="J81" s="2" t="s">
        <v>19</v>
      </c>
      <c r="K81" s="39">
        <f>_xlfn.XLOOKUP("LOADINGSPEEDDEF_"&amp;PROPERTIES[[#This Row],[LOADINGSPEED]],LOADINGSPEEDDEF[TYPE],LOADINGSPEEDDEF[SPEED])</f>
        <v>0</v>
      </c>
      <c r="L81">
        <v>45</v>
      </c>
      <c r="M81">
        <v>1</v>
      </c>
      <c r="N81" s="33">
        <v>118</v>
      </c>
      <c r="O81">
        <v>1500</v>
      </c>
      <c r="P81">
        <v>80</v>
      </c>
      <c r="Q81" s="30">
        <v>0</v>
      </c>
      <c r="R81" s="29">
        <f>IFERROR(PROPERTIES[[#This Row],[TE_STARTING_KN]]/(PROPERTIES[[#This Row],[WEIGHT]]*9.81),0)</f>
        <v>0</v>
      </c>
      <c r="S81" s="29">
        <v>0.16</v>
      </c>
      <c r="T81" s="26">
        <f>ROUND(IF(IFERROR(PROPERTIES[[#This Row],[TE_COEFFICIENT_CALC]],0)=0,PROPERTIES[[#This Row],[TE_COEFFICIENT_MANUAL]],PROPERTIES[[#This Row],[TE_COEFFICIENT_CALC]]),3)</f>
        <v>0.16</v>
      </c>
      <c r="U81" s="11">
        <v>40</v>
      </c>
      <c r="V81" s="9">
        <v>0</v>
      </c>
      <c r="W81" s="9">
        <v>4</v>
      </c>
      <c r="X81" s="10">
        <v>0</v>
      </c>
      <c r="Y81" t="s">
        <v>904</v>
      </c>
      <c r="Z81" t="s">
        <v>903</v>
      </c>
      <c r="AA81" s="2" t="s">
        <v>921</v>
      </c>
      <c r="AB81" s="9" t="s">
        <v>989</v>
      </c>
      <c r="AC81" s="9" t="s">
        <v>990</v>
      </c>
      <c r="AD81" s="10" t="str">
        <f>SUBSTITUTE(SUBSTITUTE(PROPERTIES[[#This Row],[PURCHASECOST_VALUE]], "PURCHASECOST_", ""), "_VALUE", "")</f>
        <v>STEAMENGINE</v>
      </c>
      <c r="AE81" s="9" t="str" cm="1">
        <f t="array" ref="AE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1" s="2" t="b">
        <v>0</v>
      </c>
      <c r="AX81"/>
      <c r="AY81"/>
      <c r="AZ81"/>
    </row>
    <row r="82" spans="1:52">
      <c r="A82" s="2" t="s">
        <v>105</v>
      </c>
      <c r="B82">
        <v>1911</v>
      </c>
      <c r="C82">
        <v>0</v>
      </c>
      <c r="D82" t="s">
        <v>1835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6</v>
      </c>
      <c r="J82" s="2" t="s">
        <v>19</v>
      </c>
      <c r="K82" s="39">
        <f>_xlfn.XLOOKUP("LOADINGSPEEDDEF_"&amp;PROPERTIES[[#This Row],[LOADINGSPEED]],LOADINGSPEEDDEF[TYPE],LOADINGSPEEDDEF[SPEED])</f>
        <v>0</v>
      </c>
      <c r="L82">
        <v>45</v>
      </c>
      <c r="M82">
        <v>1</v>
      </c>
      <c r="N82" s="33">
        <v>94</v>
      </c>
      <c r="O82">
        <v>1360</v>
      </c>
      <c r="P82">
        <v>70</v>
      </c>
      <c r="Q82" s="30">
        <v>0</v>
      </c>
      <c r="R82" s="29">
        <f>IFERROR(PROPERTIES[[#This Row],[TE_STARTING_KN]]/(PROPERTIES[[#This Row],[WEIGHT]]*9.81),0)</f>
        <v>0</v>
      </c>
      <c r="S82" s="29">
        <v>0.18</v>
      </c>
      <c r="T82" s="26">
        <f>ROUND(IF(IFERROR(PROPERTIES[[#This Row],[TE_COEFFICIENT_CALC]],0)=0,PROPERTIES[[#This Row],[TE_COEFFICIENT_MANUAL]],PROPERTIES[[#This Row],[TE_COEFFICIENT_CALC]]),3)</f>
        <v>0.18</v>
      </c>
      <c r="U82" s="11">
        <v>40</v>
      </c>
      <c r="V82" s="9">
        <v>0</v>
      </c>
      <c r="W82" s="9">
        <v>0</v>
      </c>
      <c r="X82" s="10">
        <v>0</v>
      </c>
      <c r="Y82" t="s">
        <v>904</v>
      </c>
      <c r="Z82" t="s">
        <v>903</v>
      </c>
      <c r="AA82" s="2" t="s">
        <v>921</v>
      </c>
      <c r="AB82" s="9" t="s">
        <v>989</v>
      </c>
      <c r="AC82" s="9" t="s">
        <v>990</v>
      </c>
      <c r="AD82" s="10" t="str">
        <f>SUBSTITUTE(SUBSTITUTE(PROPERTIES[[#This Row],[PURCHASECOST_VALUE]], "PURCHASECOST_", ""), "_VALUE", "")</f>
        <v>STEAMENGINE</v>
      </c>
      <c r="AE82" s="9" t="str" cm="1">
        <f t="array" ref="AE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2" s="2" t="b">
        <v>0</v>
      </c>
      <c r="AX82"/>
      <c r="AY82"/>
      <c r="AZ82"/>
    </row>
    <row r="83" spans="1:52">
      <c r="A83" s="2" t="s">
        <v>106</v>
      </c>
      <c r="B83">
        <v>1928</v>
      </c>
      <c r="C83">
        <v>0</v>
      </c>
      <c r="D83" t="s">
        <v>1836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 s="2" t="s">
        <v>19</v>
      </c>
      <c r="K83" s="39">
        <f>_xlfn.XLOOKUP("LOADINGSPEEDDEF_"&amp;PROPERTIES[[#This Row],[LOADINGSPEED]],LOADINGSPEEDDEF[TYPE],LOADINGSPEEDDEF[SPEED])</f>
        <v>0</v>
      </c>
      <c r="L83">
        <v>45</v>
      </c>
      <c r="M83">
        <v>0</v>
      </c>
      <c r="N83" s="33">
        <v>122</v>
      </c>
      <c r="O83">
        <v>1450</v>
      </c>
      <c r="P83">
        <v>130</v>
      </c>
      <c r="Q83" s="30">
        <v>0</v>
      </c>
      <c r="R83" s="29">
        <f>IFERROR(PROPERTIES[[#This Row],[TE_STARTING_KN]]/(PROPERTIES[[#This Row],[WEIGHT]]*9.81),0)</f>
        <v>0</v>
      </c>
      <c r="S83" s="29">
        <v>0.11</v>
      </c>
      <c r="T83" s="26">
        <f>ROUND(IF(IFERROR(PROPERTIES[[#This Row],[TE_COEFFICIENT_CALC]],0)=0,PROPERTIES[[#This Row],[TE_COEFFICIENT_MANUAL]],PROPERTIES[[#This Row],[TE_COEFFICIENT_CALC]]),3)</f>
        <v>0.11</v>
      </c>
      <c r="U83" s="11">
        <v>40</v>
      </c>
      <c r="V83" s="9">
        <v>0</v>
      </c>
      <c r="W83" s="9">
        <v>6</v>
      </c>
      <c r="X83" s="10">
        <v>0</v>
      </c>
      <c r="Y83" t="s">
        <v>908</v>
      </c>
      <c r="Z83" t="s">
        <v>903</v>
      </c>
      <c r="AA83" s="2" t="s">
        <v>921</v>
      </c>
      <c r="AB83" s="9" t="s">
        <v>989</v>
      </c>
      <c r="AC83" s="9" t="s">
        <v>990</v>
      </c>
      <c r="AD83" s="10" t="str">
        <f>SUBSTITUTE(SUBSTITUTE(PROPERTIES[[#This Row],[PURCHASECOST_VALUE]], "PURCHASECOST_", ""), "_VALUE", "")</f>
        <v>STEAMENGINE</v>
      </c>
      <c r="AE83" s="9" t="str" cm="1">
        <f t="array" ref="AE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3" s="2" t="b">
        <v>0</v>
      </c>
      <c r="AX83"/>
      <c r="AY83"/>
      <c r="AZ83"/>
    </row>
    <row r="84" spans="1:52">
      <c r="A84" s="2" t="s">
        <v>107</v>
      </c>
      <c r="B84">
        <v>1929</v>
      </c>
      <c r="C84">
        <v>0</v>
      </c>
      <c r="D84" t="s">
        <v>1836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 s="2" t="s">
        <v>19</v>
      </c>
      <c r="K84" s="39">
        <f>_xlfn.XLOOKUP("LOADINGSPEEDDEF_"&amp;PROPERTIES[[#This Row],[LOADINGSPEED]],LOADINGSPEEDDEF[TYPE],LOADINGSPEEDDEF[SPEED])</f>
        <v>0</v>
      </c>
      <c r="L84">
        <v>45</v>
      </c>
      <c r="M84">
        <v>0</v>
      </c>
      <c r="N84" s="33">
        <v>48</v>
      </c>
      <c r="O84">
        <v>700</v>
      </c>
      <c r="P84">
        <v>72</v>
      </c>
      <c r="Q84" s="30">
        <v>0</v>
      </c>
      <c r="R84" s="29">
        <f>IFERROR(PROPERTIES[[#This Row],[TE_STARTING_KN]]/(PROPERTIES[[#This Row],[WEIGHT]]*9.81),0)</f>
        <v>0</v>
      </c>
      <c r="S84" s="29">
        <v>0.21</v>
      </c>
      <c r="T84" s="26">
        <f>ROUND(IF(IFERROR(PROPERTIES[[#This Row],[TE_COEFFICIENT_CALC]],0)=0,PROPERTIES[[#This Row],[TE_COEFFICIENT_MANUAL]],PROPERTIES[[#This Row],[TE_COEFFICIENT_CALC]]),3)</f>
        <v>0.21</v>
      </c>
      <c r="U84" s="11">
        <v>40</v>
      </c>
      <c r="V84" s="9">
        <v>0</v>
      </c>
      <c r="W84" s="9">
        <v>0</v>
      </c>
      <c r="X84" s="10">
        <v>0</v>
      </c>
      <c r="Y84" t="s">
        <v>908</v>
      </c>
      <c r="Z84" t="s">
        <v>903</v>
      </c>
      <c r="AA84" s="2" t="s">
        <v>921</v>
      </c>
      <c r="AB84" s="9" t="s">
        <v>989</v>
      </c>
      <c r="AC84" s="9" t="s">
        <v>990</v>
      </c>
      <c r="AD84" s="10" t="str">
        <f>SUBSTITUTE(SUBSTITUTE(PROPERTIES[[#This Row],[PURCHASECOST_VALUE]], "PURCHASECOST_", ""), "_VALUE", "")</f>
        <v>STEAMENGINE</v>
      </c>
      <c r="AE84" s="9" t="str" cm="1">
        <f t="array" ref="AE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4" s="2" t="b">
        <v>0</v>
      </c>
      <c r="AX84"/>
      <c r="AY84"/>
      <c r="AZ84"/>
    </row>
    <row r="85" spans="1:52">
      <c r="A85" s="2" t="s">
        <v>108</v>
      </c>
      <c r="B85">
        <v>1930</v>
      </c>
      <c r="C85">
        <v>0</v>
      </c>
      <c r="D85" t="s">
        <v>1925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 s="2" t="s">
        <v>19</v>
      </c>
      <c r="K85" s="39">
        <f>_xlfn.XLOOKUP("LOADINGSPEEDDEF_"&amp;PROPERTIES[[#This Row],[LOADINGSPEED]],LOADINGSPEEDDEF[TYPE],LOADINGSPEEDDEF[SPEED])</f>
        <v>0</v>
      </c>
      <c r="L85">
        <v>45</v>
      </c>
      <c r="M85">
        <v>1</v>
      </c>
      <c r="N85" s="33">
        <v>127</v>
      </c>
      <c r="O85">
        <v>1609</v>
      </c>
      <c r="P85">
        <v>90</v>
      </c>
      <c r="Q85" s="30">
        <v>0</v>
      </c>
      <c r="R85" s="29">
        <f>IFERROR(PROPERTIES[[#This Row],[TE_STARTING_KN]]/(PROPERTIES[[#This Row],[WEIGHT]]*9.81),0)</f>
        <v>0</v>
      </c>
      <c r="S85" s="29">
        <v>0.12</v>
      </c>
      <c r="T85" s="26">
        <f>ROUND(IF(IFERROR(PROPERTIES[[#This Row],[TE_COEFFICIENT_CALC]],0)=0,PROPERTIES[[#This Row],[TE_COEFFICIENT_MANUAL]],PROPERTIES[[#This Row],[TE_COEFFICIENT_CALC]]),3)</f>
        <v>0.12</v>
      </c>
      <c r="U85" s="11">
        <v>40</v>
      </c>
      <c r="V85" s="9">
        <v>0</v>
      </c>
      <c r="W85" s="9">
        <v>0</v>
      </c>
      <c r="X85" s="10">
        <v>0</v>
      </c>
      <c r="Y85" t="s">
        <v>904</v>
      </c>
      <c r="Z85" t="s">
        <v>903</v>
      </c>
      <c r="AA85" s="2" t="s">
        <v>921</v>
      </c>
      <c r="AB85" s="9" t="s">
        <v>989</v>
      </c>
      <c r="AC85" s="9" t="s">
        <v>990</v>
      </c>
      <c r="AD85" s="10" t="str">
        <f>SUBSTITUTE(SUBSTITUTE(PROPERTIES[[#This Row],[PURCHASECOST_VALUE]], "PURCHASECOST_", ""), "_VALUE", "")</f>
        <v>STEAMENGINE</v>
      </c>
      <c r="AE85" s="9" t="str" cm="1">
        <f t="array" ref="AE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5" s="2" t="b">
        <v>0</v>
      </c>
      <c r="AX85"/>
      <c r="AY85"/>
      <c r="AZ85"/>
    </row>
    <row r="86" spans="1:52">
      <c r="A86" s="2" t="s">
        <v>109</v>
      </c>
      <c r="B86">
        <v>1930</v>
      </c>
      <c r="C86">
        <v>0</v>
      </c>
      <c r="D86" t="s">
        <v>1992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 s="2" t="s">
        <v>19</v>
      </c>
      <c r="K86" s="39">
        <f>_xlfn.XLOOKUP("LOADINGSPEEDDEF_"&amp;PROPERTIES[[#This Row],[LOADINGSPEED]],LOADINGSPEEDDEF[TYPE],LOADINGSPEEDDEF[SPEED])</f>
        <v>0</v>
      </c>
      <c r="L86">
        <v>45</v>
      </c>
      <c r="M86">
        <v>1</v>
      </c>
      <c r="N86" s="33">
        <v>415</v>
      </c>
      <c r="O86">
        <v>5000</v>
      </c>
      <c r="P86">
        <v>110</v>
      </c>
      <c r="Q86" s="30">
        <v>0</v>
      </c>
      <c r="R86" s="29">
        <f>IFERROR(PROPERTIES[[#This Row],[TE_STARTING_KN]]/(PROPERTIES[[#This Row],[WEIGHT]]*9.81),0)</f>
        <v>0</v>
      </c>
      <c r="S86" s="29">
        <v>0.11</v>
      </c>
      <c r="T86" s="26">
        <f>ROUND(IF(IFERROR(PROPERTIES[[#This Row],[TE_COEFFICIENT_CALC]],0)=0,PROPERTIES[[#This Row],[TE_COEFFICIENT_MANUAL]],PROPERTIES[[#This Row],[TE_COEFFICIENT_CALC]]),3)</f>
        <v>0.11</v>
      </c>
      <c r="U86" s="11">
        <v>40</v>
      </c>
      <c r="V86" s="9">
        <v>0</v>
      </c>
      <c r="W86" s="9">
        <v>6</v>
      </c>
      <c r="X86" s="10">
        <v>0</v>
      </c>
      <c r="Y86" t="s">
        <v>909</v>
      </c>
      <c r="Z86" t="s">
        <v>903</v>
      </c>
      <c r="AA86" s="2" t="s">
        <v>921</v>
      </c>
      <c r="AB86" s="9" t="s">
        <v>989</v>
      </c>
      <c r="AC86" s="9" t="s">
        <v>990</v>
      </c>
      <c r="AD86" s="10" t="str">
        <f>SUBSTITUTE(SUBSTITUTE(PROPERTIES[[#This Row],[PURCHASECOST_VALUE]], "PURCHASECOST_", ""), "_VALUE", "")</f>
        <v>STEAMENGINE</v>
      </c>
      <c r="AE86" s="9" t="str" cm="1">
        <f t="array" ref="AE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86" s="2" t="b">
        <v>0</v>
      </c>
      <c r="AX86"/>
      <c r="AY86"/>
      <c r="AZ86"/>
    </row>
    <row r="87" spans="1:52">
      <c r="A87" s="2" t="s">
        <v>110</v>
      </c>
      <c r="B87">
        <v>1910</v>
      </c>
      <c r="C87">
        <v>0</v>
      </c>
      <c r="D87" t="s">
        <v>1817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 s="2" t="s">
        <v>19</v>
      </c>
      <c r="K87" s="39">
        <f>_xlfn.XLOOKUP("LOADINGSPEEDDEF_"&amp;PROPERTIES[[#This Row],[LOADINGSPEED]],LOADINGSPEEDDEF[TYPE],LOADINGSPEEDDEF[SPEED])</f>
        <v>0</v>
      </c>
      <c r="L87">
        <v>45</v>
      </c>
      <c r="M87">
        <v>1</v>
      </c>
      <c r="N87" s="33">
        <v>140</v>
      </c>
      <c r="O87">
        <v>1500</v>
      </c>
      <c r="P87">
        <v>110</v>
      </c>
      <c r="Q87" s="30">
        <v>0</v>
      </c>
      <c r="R87" s="29">
        <f>IFERROR(PROPERTIES[[#This Row],[TE_STARTING_KN]]/(PROPERTIES[[#This Row],[WEIGHT]]*9.81),0)</f>
        <v>0</v>
      </c>
      <c r="S87" s="29">
        <v>0.1</v>
      </c>
      <c r="T87" s="26">
        <f>ROUND(IF(IFERROR(PROPERTIES[[#This Row],[TE_COEFFICIENT_CALC]],0)=0,PROPERTIES[[#This Row],[TE_COEFFICIENT_MANUAL]],PROPERTIES[[#This Row],[TE_COEFFICIENT_CALC]]),3)</f>
        <v>0.1</v>
      </c>
      <c r="U87" s="11">
        <v>40</v>
      </c>
      <c r="V87" s="9">
        <v>0</v>
      </c>
      <c r="W87" s="9">
        <v>4</v>
      </c>
      <c r="X87" s="10">
        <v>0</v>
      </c>
      <c r="Y87" t="s">
        <v>904</v>
      </c>
      <c r="Z87" t="s">
        <v>903</v>
      </c>
      <c r="AA87" s="2" t="s">
        <v>921</v>
      </c>
      <c r="AB87" s="9" t="s">
        <v>989</v>
      </c>
      <c r="AC87" s="9" t="s">
        <v>990</v>
      </c>
      <c r="AD87" s="10" t="str">
        <f>SUBSTITUTE(SUBSTITUTE(PROPERTIES[[#This Row],[PURCHASECOST_VALUE]], "PURCHASECOST_", ""), "_VALUE", "")</f>
        <v>STEAMENGINE</v>
      </c>
      <c r="AE87" s="9" t="str" cm="1">
        <f t="array" ref="AE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7" s="2" t="b">
        <v>0</v>
      </c>
      <c r="AX87"/>
      <c r="AY87"/>
      <c r="AZ87"/>
    </row>
    <row r="88" spans="1:52">
      <c r="A88" s="2" t="s">
        <v>111</v>
      </c>
      <c r="B88">
        <v>1934</v>
      </c>
      <c r="C88">
        <v>0</v>
      </c>
      <c r="D88" t="s">
        <v>1836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 s="2" t="s">
        <v>19</v>
      </c>
      <c r="K88" s="39">
        <f>_xlfn.XLOOKUP("LOADINGSPEEDDEF_"&amp;PROPERTIES[[#This Row],[LOADINGSPEED]],LOADINGSPEEDDEF[TYPE],LOADINGSPEEDDEF[SPEED])</f>
        <v>0</v>
      </c>
      <c r="L88">
        <v>45</v>
      </c>
      <c r="M88">
        <v>1</v>
      </c>
      <c r="N88" s="33">
        <v>125</v>
      </c>
      <c r="O88">
        <v>1600</v>
      </c>
      <c r="P88">
        <v>145</v>
      </c>
      <c r="Q88" s="30">
        <v>0</v>
      </c>
      <c r="R88" s="29">
        <f>IFERROR(PROPERTIES[[#This Row],[TE_STARTING_KN]]/(PROPERTIES[[#This Row],[WEIGHT]]*9.81),0)</f>
        <v>0</v>
      </c>
      <c r="S88" s="29">
        <v>0.11</v>
      </c>
      <c r="T88" s="26">
        <f>ROUND(IF(IFERROR(PROPERTIES[[#This Row],[TE_COEFFICIENT_CALC]],0)=0,PROPERTIES[[#This Row],[TE_COEFFICIENT_MANUAL]],PROPERTIES[[#This Row],[TE_COEFFICIENT_CALC]]),3)</f>
        <v>0.11</v>
      </c>
      <c r="U88" s="11">
        <v>40</v>
      </c>
      <c r="V88" s="9">
        <v>0</v>
      </c>
      <c r="W88" s="9">
        <v>5</v>
      </c>
      <c r="X88" s="10">
        <v>0</v>
      </c>
      <c r="Y88" t="s">
        <v>908</v>
      </c>
      <c r="Z88" t="s">
        <v>903</v>
      </c>
      <c r="AA88" s="2" t="s">
        <v>921</v>
      </c>
      <c r="AB88" s="9" t="s">
        <v>989</v>
      </c>
      <c r="AC88" s="9" t="s">
        <v>990</v>
      </c>
      <c r="AD88" s="10" t="str">
        <f>SUBSTITUTE(SUBSTITUTE(PROPERTIES[[#This Row],[PURCHASECOST_VALUE]], "PURCHASECOST_", ""), "_VALUE", "")</f>
        <v>STEAMENGINE</v>
      </c>
      <c r="AE88" s="9" t="str" cm="1">
        <f t="array" ref="AE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8" s="2" t="b">
        <v>0</v>
      </c>
      <c r="AX88"/>
      <c r="AY88"/>
      <c r="AZ88"/>
    </row>
    <row r="89" spans="1:52">
      <c r="A89" s="2" t="s">
        <v>112</v>
      </c>
      <c r="B89">
        <v>1935</v>
      </c>
      <c r="C89">
        <v>0</v>
      </c>
      <c r="D89" t="s">
        <v>1950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 s="2" t="s">
        <v>19</v>
      </c>
      <c r="K89" s="39">
        <f>_xlfn.XLOOKUP("LOADINGSPEEDDEF_"&amp;PROPERTIES[[#This Row],[LOADINGSPEED]],LOADINGSPEEDDEF[TYPE],LOADINGSPEEDDEF[SPEED])</f>
        <v>0</v>
      </c>
      <c r="L89">
        <v>45</v>
      </c>
      <c r="M89">
        <v>1</v>
      </c>
      <c r="N89" s="33">
        <v>55</v>
      </c>
      <c r="O89">
        <v>450</v>
      </c>
      <c r="P89">
        <v>35</v>
      </c>
      <c r="Q89" s="30">
        <v>0</v>
      </c>
      <c r="R89" s="29">
        <f>IFERROR(PROPERTIES[[#This Row],[TE_STARTING_KN]]/(PROPERTIES[[#This Row],[WEIGHT]]*9.81),0)</f>
        <v>0</v>
      </c>
      <c r="S89" s="29">
        <v>0.18</v>
      </c>
      <c r="T89" s="26">
        <f>ROUND(IF(IFERROR(PROPERTIES[[#This Row],[TE_COEFFICIENT_CALC]],0)=0,PROPERTIES[[#This Row],[TE_COEFFICIENT_MANUAL]],PROPERTIES[[#This Row],[TE_COEFFICIENT_CALC]]),3)</f>
        <v>0.18</v>
      </c>
      <c r="U89" s="11">
        <v>40</v>
      </c>
      <c r="V89" s="9">
        <v>0</v>
      </c>
      <c r="W89" s="9">
        <v>0</v>
      </c>
      <c r="X89" s="10">
        <v>0</v>
      </c>
      <c r="Y89" t="s">
        <v>912</v>
      </c>
      <c r="Z89" t="s">
        <v>903</v>
      </c>
      <c r="AA89" s="2" t="s">
        <v>921</v>
      </c>
      <c r="AB89" s="9" t="s">
        <v>989</v>
      </c>
      <c r="AC89" s="9" t="s">
        <v>990</v>
      </c>
      <c r="AD89" s="10" t="str">
        <f>SUBSTITUTE(SUBSTITUTE(PROPERTIES[[#This Row],[PURCHASECOST_VALUE]], "PURCHASECOST_", ""), "_VALUE", "")</f>
        <v>STEAMENGINE</v>
      </c>
      <c r="AE89" s="9" t="str" cm="1">
        <f t="array" ref="AE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89" s="2" t="b">
        <v>0</v>
      </c>
      <c r="AX89"/>
      <c r="AY89"/>
      <c r="AZ89"/>
    </row>
    <row r="90" spans="1:52">
      <c r="A90" s="2" t="s">
        <v>113</v>
      </c>
      <c r="B90">
        <v>1935</v>
      </c>
      <c r="C90">
        <v>0</v>
      </c>
      <c r="D90" t="s">
        <v>1836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 s="2" t="s">
        <v>19</v>
      </c>
      <c r="K90" s="39">
        <f>_xlfn.XLOOKUP("LOADINGSPEEDDEF_"&amp;PROPERTIES[[#This Row],[LOADINGSPEED]],LOADINGSPEEDDEF[TYPE],LOADINGSPEEDDEF[SPEED])</f>
        <v>0</v>
      </c>
      <c r="L90">
        <v>45</v>
      </c>
      <c r="M90">
        <v>1</v>
      </c>
      <c r="N90" s="33">
        <v>170</v>
      </c>
      <c r="O90">
        <v>2200</v>
      </c>
      <c r="P90">
        <v>140</v>
      </c>
      <c r="Q90" s="30">
        <v>0</v>
      </c>
      <c r="R90" s="29">
        <f>IFERROR(PROPERTIES[[#This Row],[TE_STARTING_KN]]/(PROPERTIES[[#This Row],[WEIGHT]]*9.81),0)</f>
        <v>0</v>
      </c>
      <c r="S90" s="29">
        <v>0.09</v>
      </c>
      <c r="T90" s="26">
        <f>ROUND(IF(IFERROR(PROPERTIES[[#This Row],[TE_COEFFICIENT_CALC]],0)=0,PROPERTIES[[#This Row],[TE_COEFFICIENT_MANUAL]],PROPERTIES[[#This Row],[TE_COEFFICIENT_CALC]]),3)</f>
        <v>0.09</v>
      </c>
      <c r="U90" s="11">
        <v>40</v>
      </c>
      <c r="V90" s="9">
        <v>0</v>
      </c>
      <c r="W90" s="9">
        <v>6</v>
      </c>
      <c r="X90" s="10">
        <v>0</v>
      </c>
      <c r="Y90" t="s">
        <v>908</v>
      </c>
      <c r="Z90" t="s">
        <v>903</v>
      </c>
      <c r="AA90" s="2" t="s">
        <v>921</v>
      </c>
      <c r="AB90" s="9" t="s">
        <v>989</v>
      </c>
      <c r="AC90" s="9" t="s">
        <v>990</v>
      </c>
      <c r="AD90" s="10" t="str">
        <f>SUBSTITUTE(SUBSTITUTE(PROPERTIES[[#This Row],[PURCHASECOST_VALUE]], "PURCHASECOST_", ""), "_VALUE", "")</f>
        <v>STEAMENGINE</v>
      </c>
      <c r="AE90" s="9" t="str" cm="1">
        <f t="array" ref="AE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0" s="2" t="b">
        <v>0</v>
      </c>
      <c r="AX90"/>
      <c r="AY90"/>
      <c r="AZ90"/>
    </row>
    <row r="91" spans="1:52">
      <c r="A91" s="2" t="s">
        <v>114</v>
      </c>
      <c r="B91">
        <v>1937</v>
      </c>
      <c r="C91">
        <v>0</v>
      </c>
      <c r="D91" t="s">
        <v>1798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 s="2" t="s">
        <v>19</v>
      </c>
      <c r="K91" s="39">
        <f>_xlfn.XLOOKUP("LOADINGSPEEDDEF_"&amp;PROPERTIES[[#This Row],[LOADINGSPEED]],LOADINGSPEEDDEF[TYPE],LOADINGSPEEDDEF[SPEED])</f>
        <v>0</v>
      </c>
      <c r="L91">
        <v>45</v>
      </c>
      <c r="M91">
        <v>1</v>
      </c>
      <c r="N91" s="33">
        <v>286</v>
      </c>
      <c r="O91">
        <v>3100</v>
      </c>
      <c r="P91">
        <v>144</v>
      </c>
      <c r="Q91" s="30">
        <v>0</v>
      </c>
      <c r="R91" s="29">
        <f>IFERROR(PROPERTIES[[#This Row],[TE_STARTING_KN]]/(PROPERTIES[[#This Row],[WEIGHT]]*9.81),0)</f>
        <v>0</v>
      </c>
      <c r="S91" s="29">
        <v>7.0000000000000007E-2</v>
      </c>
      <c r="T91" s="26">
        <f>ROUND(IF(IFERROR(PROPERTIES[[#This Row],[TE_COEFFICIENT_CALC]],0)=0,PROPERTIES[[#This Row],[TE_COEFFICIENT_MANUAL]],PROPERTIES[[#This Row],[TE_COEFFICIENT_CALC]]),3)</f>
        <v>7.0000000000000007E-2</v>
      </c>
      <c r="U91" s="11">
        <v>40</v>
      </c>
      <c r="V91" s="9">
        <v>0</v>
      </c>
      <c r="W91" s="9">
        <v>6</v>
      </c>
      <c r="X91" s="10">
        <v>0</v>
      </c>
      <c r="Y91" t="s">
        <v>909</v>
      </c>
      <c r="Z91" t="s">
        <v>903</v>
      </c>
      <c r="AA91" s="2" t="s">
        <v>921</v>
      </c>
      <c r="AB91" s="9" t="s">
        <v>989</v>
      </c>
      <c r="AC91" s="9" t="s">
        <v>990</v>
      </c>
      <c r="AD91" s="10" t="str">
        <f>SUBSTITUTE(SUBSTITUTE(PROPERTIES[[#This Row],[PURCHASECOST_VALUE]], "PURCHASECOST_", ""), "_VALUE", "")</f>
        <v>STEAMENGINE</v>
      </c>
      <c r="AE91" s="9" t="str" cm="1">
        <f t="array" ref="AE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1" s="2" t="b">
        <v>0</v>
      </c>
      <c r="AX91"/>
      <c r="AY91"/>
      <c r="AZ91"/>
    </row>
    <row r="92" spans="1:52">
      <c r="A92" s="2" t="s">
        <v>115</v>
      </c>
      <c r="B92">
        <v>1937</v>
      </c>
      <c r="C92">
        <v>0</v>
      </c>
      <c r="D92" t="s">
        <v>1819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6</v>
      </c>
      <c r="J92" s="2" t="s">
        <v>19</v>
      </c>
      <c r="K92" s="39">
        <f>_xlfn.XLOOKUP("LOADINGSPEEDDEF_"&amp;PROPERTIES[[#This Row],[LOADINGSPEED]],LOADINGSPEEDDEF[TYPE],LOADINGSPEEDDEF[SPEED])</f>
        <v>0</v>
      </c>
      <c r="L92">
        <v>45</v>
      </c>
      <c r="M92">
        <v>1</v>
      </c>
      <c r="N92" s="33">
        <v>132</v>
      </c>
      <c r="O92">
        <v>1600</v>
      </c>
      <c r="P92">
        <v>110</v>
      </c>
      <c r="Q92" s="30">
        <v>0</v>
      </c>
      <c r="R92" s="29">
        <f>IFERROR(PROPERTIES[[#This Row],[TE_STARTING_KN]]/(PROPERTIES[[#This Row],[WEIGHT]]*9.81),0)</f>
        <v>0</v>
      </c>
      <c r="S92" s="29">
        <v>0.09</v>
      </c>
      <c r="T92" s="26">
        <f>ROUND(IF(IFERROR(PROPERTIES[[#This Row],[TE_COEFFICIENT_CALC]],0)=0,PROPERTIES[[#This Row],[TE_COEFFICIENT_MANUAL]],PROPERTIES[[#This Row],[TE_COEFFICIENT_CALC]]),3)</f>
        <v>0.09</v>
      </c>
      <c r="U92" s="11">
        <v>40</v>
      </c>
      <c r="V92" s="9">
        <v>0</v>
      </c>
      <c r="W92" s="9">
        <v>4</v>
      </c>
      <c r="X92" s="10">
        <v>0</v>
      </c>
      <c r="Y92" t="s">
        <v>908</v>
      </c>
      <c r="Z92" t="s">
        <v>903</v>
      </c>
      <c r="AA92" s="2" t="s">
        <v>921</v>
      </c>
      <c r="AB92" s="9" t="s">
        <v>989</v>
      </c>
      <c r="AC92" s="9" t="s">
        <v>990</v>
      </c>
      <c r="AD92" s="10" t="str">
        <f>SUBSTITUTE(SUBSTITUTE(PROPERTIES[[#This Row],[PURCHASECOST_VALUE]], "PURCHASECOST_", ""), "_VALUE", "")</f>
        <v>STEAMENGINE</v>
      </c>
      <c r="AE92" s="9" t="str" cm="1">
        <f t="array" ref="AE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2" s="2" t="b">
        <v>0</v>
      </c>
      <c r="AX92"/>
      <c r="AY92"/>
      <c r="AZ92"/>
    </row>
    <row r="93" spans="1:52">
      <c r="A93" s="2" t="s">
        <v>116</v>
      </c>
      <c r="B93">
        <v>1937</v>
      </c>
      <c r="C93">
        <v>0</v>
      </c>
      <c r="D93" t="s">
        <v>1817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 s="2" t="s">
        <v>19</v>
      </c>
      <c r="K93" s="39">
        <f>_xlfn.XLOOKUP("LOADINGSPEEDDEF_"&amp;PROPERTIES[[#This Row],[LOADINGSPEED]],LOADINGSPEEDDEF[TYPE],LOADINGSPEEDDEF[SPEED])</f>
        <v>0</v>
      </c>
      <c r="L93">
        <v>45</v>
      </c>
      <c r="M93">
        <v>1</v>
      </c>
      <c r="N93" s="33">
        <v>150</v>
      </c>
      <c r="O93">
        <v>1600</v>
      </c>
      <c r="P93">
        <v>80</v>
      </c>
      <c r="Q93" s="30">
        <v>0</v>
      </c>
      <c r="R93" s="29">
        <f>IFERROR(PROPERTIES[[#This Row],[TE_STARTING_KN]]/(PROPERTIES[[#This Row],[WEIGHT]]*9.81),0)</f>
        <v>0</v>
      </c>
      <c r="S93" s="29">
        <v>0.12</v>
      </c>
      <c r="T93" s="26">
        <f>ROUND(IF(IFERROR(PROPERTIES[[#This Row],[TE_COEFFICIENT_CALC]],0)=0,PROPERTIES[[#This Row],[TE_COEFFICIENT_MANUAL]],PROPERTIES[[#This Row],[TE_COEFFICIENT_CALC]]),3)</f>
        <v>0.12</v>
      </c>
      <c r="U93" s="11">
        <v>40</v>
      </c>
      <c r="V93" s="9">
        <v>0</v>
      </c>
      <c r="W93" s="9">
        <v>6</v>
      </c>
      <c r="X93" s="10">
        <v>0</v>
      </c>
      <c r="Y93" t="s">
        <v>904</v>
      </c>
      <c r="Z93" t="s">
        <v>903</v>
      </c>
      <c r="AA93" s="2" t="s">
        <v>921</v>
      </c>
      <c r="AB93" s="9" t="s">
        <v>989</v>
      </c>
      <c r="AC93" s="9" t="s">
        <v>990</v>
      </c>
      <c r="AD93" s="10" t="str">
        <f>SUBSTITUTE(SUBSTITUTE(PROPERTIES[[#This Row],[PURCHASECOST_VALUE]], "PURCHASECOST_", ""), "_VALUE", "")</f>
        <v>STEAMENGINE</v>
      </c>
      <c r="AE93" s="9" t="str" cm="1">
        <f t="array" ref="AE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3" s="2" t="b">
        <v>0</v>
      </c>
      <c r="AX93"/>
      <c r="AY93"/>
      <c r="AZ93"/>
    </row>
    <row r="94" spans="1:52">
      <c r="A94" s="2" t="s">
        <v>117</v>
      </c>
      <c r="B94">
        <v>1948</v>
      </c>
      <c r="C94">
        <v>0</v>
      </c>
      <c r="D94" t="s">
        <v>1836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 s="2" t="s">
        <v>19</v>
      </c>
      <c r="K94" s="39">
        <f>_xlfn.XLOOKUP("LOADINGSPEEDDEF_"&amp;PROPERTIES[[#This Row],[LOADINGSPEED]],LOADINGSPEEDDEF[TYPE],LOADINGSPEEDDEF[SPEED])</f>
        <v>0</v>
      </c>
      <c r="L94">
        <v>45</v>
      </c>
      <c r="M94">
        <v>1</v>
      </c>
      <c r="N94" s="33">
        <v>162</v>
      </c>
      <c r="O94">
        <v>2400</v>
      </c>
      <c r="P94">
        <v>160</v>
      </c>
      <c r="Q94" s="30">
        <v>0</v>
      </c>
      <c r="R94" s="29">
        <f>IFERROR(PROPERTIES[[#This Row],[TE_STARTING_KN]]/(PROPERTIES[[#This Row],[WEIGHT]]*9.81),0)</f>
        <v>0</v>
      </c>
      <c r="S94" s="29">
        <v>0.11</v>
      </c>
      <c r="T94" s="26">
        <f>ROUND(IF(IFERROR(PROPERTIES[[#This Row],[TE_COEFFICIENT_CALC]],0)=0,PROPERTIES[[#This Row],[TE_COEFFICIENT_MANUAL]],PROPERTIES[[#This Row],[TE_COEFFICIENT_CALC]]),3)</f>
        <v>0.11</v>
      </c>
      <c r="U94" s="11">
        <v>40</v>
      </c>
      <c r="V94" s="9">
        <v>0</v>
      </c>
      <c r="W94" s="9">
        <v>5</v>
      </c>
      <c r="X94" s="10">
        <v>0</v>
      </c>
      <c r="Y94" t="s">
        <v>908</v>
      </c>
      <c r="Z94" t="s">
        <v>903</v>
      </c>
      <c r="AA94" s="2" t="s">
        <v>921</v>
      </c>
      <c r="AB94" s="9" t="s">
        <v>989</v>
      </c>
      <c r="AC94" s="9" t="s">
        <v>990</v>
      </c>
      <c r="AD94" s="10" t="str">
        <f>SUBSTITUTE(SUBSTITUTE(PROPERTIES[[#This Row],[PURCHASECOST_VALUE]], "PURCHASECOST_", ""), "_VALUE", "")</f>
        <v>STEAMENGINE</v>
      </c>
      <c r="AE94" s="9" t="str" cm="1">
        <f t="array" ref="AE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4" s="2" t="b">
        <v>0</v>
      </c>
      <c r="AX94"/>
      <c r="AY94"/>
      <c r="AZ94"/>
    </row>
    <row r="95" spans="1:52">
      <c r="A95" s="2" t="s">
        <v>118</v>
      </c>
      <c r="B95">
        <v>1953</v>
      </c>
      <c r="C95">
        <v>0</v>
      </c>
      <c r="D95" t="s">
        <v>2006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 s="2" t="s">
        <v>19</v>
      </c>
      <c r="K95" s="39">
        <f>_xlfn.XLOOKUP("LOADINGSPEEDDEF_"&amp;PROPERTIES[[#This Row],[LOADINGSPEED]],LOADINGSPEEDDEF[TYPE],LOADINGSPEEDDEF[SPEED])</f>
        <v>0</v>
      </c>
      <c r="L95">
        <v>45</v>
      </c>
      <c r="M95">
        <v>1</v>
      </c>
      <c r="N95" s="33">
        <v>231</v>
      </c>
      <c r="O95">
        <v>3000</v>
      </c>
      <c r="P95">
        <v>100</v>
      </c>
      <c r="Q95" s="30">
        <v>201</v>
      </c>
      <c r="R95" s="29">
        <f>IFERROR(PROPERTIES[[#This Row],[TE_STARTING_KN]]/(PROPERTIES[[#This Row],[WEIGHT]]*9.81),0)</f>
        <v>8.8698253835868504E-2</v>
      </c>
      <c r="S95" s="29">
        <v>0.08</v>
      </c>
      <c r="T95" s="26">
        <f>ROUND(IF(IFERROR(PROPERTIES[[#This Row],[TE_COEFFICIENT_CALC]],0)=0,PROPERTIES[[#This Row],[TE_COEFFICIENT_MANUAL]],PROPERTIES[[#This Row],[TE_COEFFICIENT_CALC]]),3)</f>
        <v>8.8999999999999996E-2</v>
      </c>
      <c r="U95" s="11">
        <v>40</v>
      </c>
      <c r="V95" s="9">
        <v>0</v>
      </c>
      <c r="W95" s="9">
        <v>5</v>
      </c>
      <c r="X95" s="10">
        <v>0</v>
      </c>
      <c r="Y95" t="s">
        <v>907</v>
      </c>
      <c r="Z95" t="s">
        <v>903</v>
      </c>
      <c r="AA95" s="2" t="s">
        <v>921</v>
      </c>
      <c r="AB95" s="9" t="s">
        <v>989</v>
      </c>
      <c r="AC95" s="9" t="s">
        <v>990</v>
      </c>
      <c r="AD95" s="10" t="str">
        <f>SUBSTITUTE(SUBSTITUTE(PROPERTIES[[#This Row],[PURCHASECOST_VALUE]], "PURCHASECOST_", ""), "_VALUE", "")</f>
        <v>STEAMENGINE</v>
      </c>
      <c r="AE95" s="9" t="str" cm="1">
        <f t="array" ref="AE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5" s="2" t="b">
        <v>0</v>
      </c>
      <c r="AX95"/>
      <c r="AY95"/>
      <c r="AZ95"/>
    </row>
    <row r="96" spans="1:52">
      <c r="A96" s="2" t="s">
        <v>119</v>
      </c>
      <c r="B96">
        <v>1954</v>
      </c>
      <c r="C96">
        <v>0</v>
      </c>
      <c r="D96" t="s">
        <v>1950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 s="2" t="s">
        <v>19</v>
      </c>
      <c r="K96" s="39">
        <f>_xlfn.XLOOKUP("LOADINGSPEEDDEF_"&amp;PROPERTIES[[#This Row],[LOADINGSPEED]],LOADINGSPEEDDEF[TYPE],LOADINGSPEEDDEF[SPEED])</f>
        <v>0</v>
      </c>
      <c r="L96">
        <v>45</v>
      </c>
      <c r="M96">
        <v>1</v>
      </c>
      <c r="N96" s="33">
        <v>254</v>
      </c>
      <c r="O96">
        <v>3000</v>
      </c>
      <c r="P96">
        <v>125</v>
      </c>
      <c r="Q96" s="30">
        <v>176</v>
      </c>
      <c r="R96" s="29">
        <f>IFERROR(PROPERTIES[[#This Row],[TE_STARTING_KN]]/(PROPERTIES[[#This Row],[WEIGHT]]*9.81),0)</f>
        <v>7.0633372663279473E-2</v>
      </c>
      <c r="S96" s="29">
        <v>0.06</v>
      </c>
      <c r="T96" s="26">
        <f>ROUND(IF(IFERROR(PROPERTIES[[#This Row],[TE_COEFFICIENT_CALC]],0)=0,PROPERTIES[[#This Row],[TE_COEFFICIENT_MANUAL]],PROPERTIES[[#This Row],[TE_COEFFICIENT_CALC]]),3)</f>
        <v>7.0999999999999994E-2</v>
      </c>
      <c r="U96" s="11">
        <v>40</v>
      </c>
      <c r="V96" s="9">
        <v>0</v>
      </c>
      <c r="W96" s="9">
        <v>6</v>
      </c>
      <c r="X96" s="10">
        <v>0</v>
      </c>
      <c r="Y96" t="s">
        <v>912</v>
      </c>
      <c r="Z96" t="s">
        <v>903</v>
      </c>
      <c r="AA96" s="2" t="s">
        <v>921</v>
      </c>
      <c r="AB96" s="9" t="s">
        <v>989</v>
      </c>
      <c r="AC96" s="9" t="s">
        <v>990</v>
      </c>
      <c r="AD96" s="10" t="str">
        <f>SUBSTITUTE(SUBSTITUTE(PROPERTIES[[#This Row],[PURCHASECOST_VALUE]], "PURCHASECOST_", ""), "_VALUE", "")</f>
        <v>STEAMENGINE</v>
      </c>
      <c r="AE96" s="9" t="str" cm="1">
        <f t="array" ref="AE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6" s="2" t="b">
        <v>0</v>
      </c>
      <c r="AX96"/>
      <c r="AY96"/>
      <c r="AZ96"/>
    </row>
    <row r="97" spans="1:52">
      <c r="A97" s="2" t="s">
        <v>120</v>
      </c>
      <c r="B97">
        <v>1934</v>
      </c>
      <c r="C97">
        <v>0</v>
      </c>
      <c r="D97" t="s">
        <v>1835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 s="2" t="s">
        <v>19</v>
      </c>
      <c r="K97" s="39">
        <f>_xlfn.XLOOKUP("LOADINGSPEEDDEF_"&amp;PROPERTIES[[#This Row],[LOADINGSPEED]],LOADINGSPEEDDEF[TYPE],LOADINGSPEEDDEF[SPEED])</f>
        <v>0</v>
      </c>
      <c r="L97">
        <v>45</v>
      </c>
      <c r="M97">
        <v>1</v>
      </c>
      <c r="N97" s="33">
        <v>119</v>
      </c>
      <c r="O97">
        <v>1500</v>
      </c>
      <c r="P97">
        <v>105</v>
      </c>
      <c r="Q97" s="30">
        <v>253</v>
      </c>
      <c r="R97" s="29">
        <f>IFERROR(PROPERTIES[[#This Row],[TE_STARTING_KN]]/(PROPERTIES[[#This Row],[WEIGHT]]*9.81),0)</f>
        <v>0.21672277473680601</v>
      </c>
      <c r="S97" s="29">
        <v>0.22</v>
      </c>
      <c r="T97" s="26">
        <f>ROUND(IF(IFERROR(PROPERTIES[[#This Row],[TE_COEFFICIENT_CALC]],0)=0,PROPERTIES[[#This Row],[TE_COEFFICIENT_MANUAL]],PROPERTIES[[#This Row],[TE_COEFFICIENT_CALC]]),3)</f>
        <v>0.217</v>
      </c>
      <c r="U97" s="11">
        <v>40</v>
      </c>
      <c r="V97" s="9">
        <v>0</v>
      </c>
      <c r="W97" s="9">
        <v>5</v>
      </c>
      <c r="X97" s="10">
        <v>0</v>
      </c>
      <c r="Y97" t="s">
        <v>904</v>
      </c>
      <c r="Z97" t="s">
        <v>903</v>
      </c>
      <c r="AA97" s="2" t="s">
        <v>921</v>
      </c>
      <c r="AB97" s="9" t="s">
        <v>989</v>
      </c>
      <c r="AC97" s="9" t="s">
        <v>990</v>
      </c>
      <c r="AD97" s="10" t="str">
        <f>SUBSTITUTE(SUBSTITUTE(PROPERTIES[[#This Row],[PURCHASECOST_VALUE]], "PURCHASECOST_", ""), "_VALUE", "")</f>
        <v>STEAMENGINE</v>
      </c>
      <c r="AE97" s="9" t="str" cm="1">
        <f t="array" ref="AE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7" s="2" t="b">
        <v>0</v>
      </c>
      <c r="AX97"/>
      <c r="AY97"/>
      <c r="AZ97"/>
    </row>
    <row r="98" spans="1:52">
      <c r="A98" s="2" t="s">
        <v>121</v>
      </c>
      <c r="B98">
        <v>1908</v>
      </c>
      <c r="C98">
        <v>0</v>
      </c>
      <c r="D98" t="s">
        <v>1869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 s="2" t="s">
        <v>19</v>
      </c>
      <c r="K98" s="39">
        <f>_xlfn.XLOOKUP("LOADINGSPEEDDEF_"&amp;PROPERTIES[[#This Row],[LOADINGSPEED]],LOADINGSPEEDDEF[TYPE],LOADINGSPEEDDEF[SPEED])</f>
        <v>0</v>
      </c>
      <c r="L98">
        <v>45</v>
      </c>
      <c r="M98">
        <v>1</v>
      </c>
      <c r="N98" s="33">
        <v>55</v>
      </c>
      <c r="O98">
        <v>500</v>
      </c>
      <c r="P98">
        <v>40</v>
      </c>
      <c r="Q98" s="30">
        <v>0</v>
      </c>
      <c r="R98" s="29">
        <f>IFERROR(PROPERTIES[[#This Row],[TE_STARTING_KN]]/(PROPERTIES[[#This Row],[WEIGHT]]*9.81),0)</f>
        <v>0</v>
      </c>
      <c r="S98" s="29">
        <v>0.21</v>
      </c>
      <c r="T98" s="26">
        <f>ROUND(IF(IFERROR(PROPERTIES[[#This Row],[TE_COEFFICIENT_CALC]],0)=0,PROPERTIES[[#This Row],[TE_COEFFICIENT_MANUAL]],PROPERTIES[[#This Row],[TE_COEFFICIENT_CALC]]),3)</f>
        <v>0.21</v>
      </c>
      <c r="U98" s="11">
        <v>40</v>
      </c>
      <c r="V98" s="9">
        <v>0</v>
      </c>
      <c r="W98" s="9">
        <v>0</v>
      </c>
      <c r="X98" s="10">
        <v>0</v>
      </c>
      <c r="Y98" t="s">
        <v>905</v>
      </c>
      <c r="Z98" t="s">
        <v>903</v>
      </c>
      <c r="AA98" s="2" t="s">
        <v>921</v>
      </c>
      <c r="AB98" s="9" t="s">
        <v>989</v>
      </c>
      <c r="AC98" s="9" t="s">
        <v>990</v>
      </c>
      <c r="AD98" s="10" t="str">
        <f>SUBSTITUTE(SUBSTITUTE(PROPERTIES[[#This Row],[PURCHASECOST_VALUE]], "PURCHASECOST_", ""), "_VALUE", "")</f>
        <v>STEAMENGINE</v>
      </c>
      <c r="AE98" s="9" t="str" cm="1">
        <f t="array" ref="AE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98" s="2" t="b">
        <v>0</v>
      </c>
      <c r="AX98"/>
      <c r="AY98"/>
      <c r="AZ98"/>
    </row>
    <row r="99" spans="1:52">
      <c r="A99" s="2" t="s">
        <v>122</v>
      </c>
      <c r="B99">
        <v>1934</v>
      </c>
      <c r="C99">
        <v>0</v>
      </c>
      <c r="D99" t="s">
        <v>1938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 s="2" t="s">
        <v>19</v>
      </c>
      <c r="K99" s="39">
        <f>_xlfn.XLOOKUP("LOADINGSPEEDDEF_"&amp;PROPERTIES[[#This Row],[LOADINGSPEED]],LOADINGSPEEDDEF[TYPE],LOADINGSPEEDDEF[SPEED])</f>
        <v>0</v>
      </c>
      <c r="L99">
        <v>45</v>
      </c>
      <c r="M99">
        <v>0</v>
      </c>
      <c r="N99" s="33">
        <v>118</v>
      </c>
      <c r="O99">
        <v>1868</v>
      </c>
      <c r="P99">
        <v>75</v>
      </c>
      <c r="Q99" s="30">
        <v>0</v>
      </c>
      <c r="R99" s="29">
        <f>IFERROR(PROPERTIES[[#This Row],[TE_STARTING_KN]]/(PROPERTIES[[#This Row],[WEIGHT]]*9.81),0)</f>
        <v>0</v>
      </c>
      <c r="S99" s="29">
        <v>0.11</v>
      </c>
      <c r="T99" s="26">
        <f>ROUND(IF(IFERROR(PROPERTIES[[#This Row],[TE_COEFFICIENT_CALC]],0)=0,PROPERTIES[[#This Row],[TE_COEFFICIENT_MANUAL]],PROPERTIES[[#This Row],[TE_COEFFICIENT_CALC]]),3)</f>
        <v>0.11</v>
      </c>
      <c r="U99" s="11">
        <v>40</v>
      </c>
      <c r="V99" s="9">
        <v>0</v>
      </c>
      <c r="W99" s="9">
        <v>0</v>
      </c>
      <c r="X99" s="10">
        <v>0</v>
      </c>
      <c r="Y99" t="s">
        <v>910</v>
      </c>
      <c r="Z99" t="s">
        <v>903</v>
      </c>
      <c r="AA99" s="2" t="s">
        <v>921</v>
      </c>
      <c r="AB99" s="9" t="s">
        <v>989</v>
      </c>
      <c r="AC99" s="9" t="s">
        <v>990</v>
      </c>
      <c r="AD99" s="10" t="str">
        <f>SUBSTITUTE(SUBSTITUTE(PROPERTIES[[#This Row],[PURCHASECOST_VALUE]], "PURCHASECOST_", ""), "_VALUE", "")</f>
        <v>STEAMENGINE</v>
      </c>
      <c r="AE99" s="9" t="str" cm="1">
        <f t="array" ref="AE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9" s="2" t="b">
        <v>0</v>
      </c>
      <c r="AX99"/>
      <c r="AY99"/>
      <c r="AZ99"/>
    </row>
    <row r="100" spans="1:52">
      <c r="A100" s="2" t="s">
        <v>123</v>
      </c>
      <c r="B100">
        <v>1913</v>
      </c>
      <c r="C100">
        <v>0</v>
      </c>
      <c r="D100" t="s">
        <v>1803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 s="2" t="s">
        <v>19</v>
      </c>
      <c r="K100" s="39">
        <f>_xlfn.XLOOKUP("LOADINGSPEEDDEF_"&amp;PROPERTIES[[#This Row],[LOADINGSPEED]],LOADINGSPEEDDEF[TYPE],LOADINGSPEEDDEF[SPEED])</f>
        <v>0</v>
      </c>
      <c r="L100">
        <v>45</v>
      </c>
      <c r="M100">
        <v>1</v>
      </c>
      <c r="N100" s="33">
        <v>151</v>
      </c>
      <c r="O100">
        <v>1620</v>
      </c>
      <c r="P100">
        <v>65</v>
      </c>
      <c r="Q100" s="30">
        <v>0</v>
      </c>
      <c r="R100" s="29">
        <f>IFERROR(PROPERTIES[[#This Row],[TE_STARTING_KN]]/(PROPERTIES[[#This Row],[WEIGHT]]*9.81),0)</f>
        <v>0</v>
      </c>
      <c r="S100" s="29">
        <v>0.12</v>
      </c>
      <c r="T100" s="26">
        <f>ROUND(IF(IFERROR(PROPERTIES[[#This Row],[TE_COEFFICIENT_CALC]],0)=0,PROPERTIES[[#This Row],[TE_COEFFICIENT_MANUAL]],PROPERTIES[[#This Row],[TE_COEFFICIENT_CALC]]),3)</f>
        <v>0.12</v>
      </c>
      <c r="U100" s="11">
        <v>40</v>
      </c>
      <c r="V100" s="9">
        <v>0</v>
      </c>
      <c r="W100" s="9">
        <v>4</v>
      </c>
      <c r="X100" s="10">
        <v>0</v>
      </c>
      <c r="Y100" t="s">
        <v>904</v>
      </c>
      <c r="Z100" t="s">
        <v>903</v>
      </c>
      <c r="AA100" s="2" t="s">
        <v>921</v>
      </c>
      <c r="AB100" s="9" t="s">
        <v>989</v>
      </c>
      <c r="AC100" s="9" t="s">
        <v>990</v>
      </c>
      <c r="AD100" s="10" t="str">
        <f>SUBSTITUTE(SUBSTITUTE(PROPERTIES[[#This Row],[PURCHASECOST_VALUE]], "PURCHASECOST_", ""), "_VALUE", "")</f>
        <v>STEAMENGINE</v>
      </c>
      <c r="AE100" s="9" t="str" cm="1">
        <f t="array" ref="AE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00" s="2" t="b">
        <v>0</v>
      </c>
      <c r="AX100"/>
      <c r="AY100"/>
      <c r="AZ100"/>
    </row>
    <row r="101" spans="1:52">
      <c r="A101" s="2" t="s">
        <v>124</v>
      </c>
      <c r="B101">
        <v>1941</v>
      </c>
      <c r="C101">
        <v>0</v>
      </c>
      <c r="D101" t="s">
        <v>1992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 s="2" t="s">
        <v>19</v>
      </c>
      <c r="K101" s="39">
        <f>_xlfn.XLOOKUP("LOADINGSPEEDDEF_"&amp;PROPERTIES[[#This Row],[LOADINGSPEED]],LOADINGSPEEDDEF[TYPE],LOADINGSPEEDDEF[SPEED])</f>
        <v>0</v>
      </c>
      <c r="L101">
        <v>45</v>
      </c>
      <c r="M101">
        <v>1</v>
      </c>
      <c r="N101" s="33">
        <v>603</v>
      </c>
      <c r="O101">
        <v>6290</v>
      </c>
      <c r="P101">
        <v>128</v>
      </c>
      <c r="Q101" s="30">
        <v>0</v>
      </c>
      <c r="R101" s="29">
        <f>IFERROR(PROPERTIES[[#This Row],[TE_STARTING_KN]]/(PROPERTIES[[#This Row],[WEIGHT]]*9.81),0)</f>
        <v>0</v>
      </c>
      <c r="S101" s="29">
        <v>0.1</v>
      </c>
      <c r="T101" s="26">
        <f>ROUND(IF(IFERROR(PROPERTIES[[#This Row],[TE_COEFFICIENT_CALC]],0)=0,PROPERTIES[[#This Row],[TE_COEFFICIENT_MANUAL]],PROPERTIES[[#This Row],[TE_COEFFICIENT_CALC]]),3)</f>
        <v>0.1</v>
      </c>
      <c r="U101" s="11">
        <v>40</v>
      </c>
      <c r="V101" s="9">
        <v>0</v>
      </c>
      <c r="W101" s="9">
        <v>0</v>
      </c>
      <c r="X101" s="10">
        <v>0</v>
      </c>
      <c r="Y101" t="s">
        <v>909</v>
      </c>
      <c r="Z101" t="s">
        <v>903</v>
      </c>
      <c r="AA101" s="2" t="s">
        <v>921</v>
      </c>
      <c r="AB101" s="9" t="s">
        <v>989</v>
      </c>
      <c r="AC101" s="9" t="s">
        <v>990</v>
      </c>
      <c r="AD101" s="10" t="str">
        <f>SUBSTITUTE(SUBSTITUTE(PROPERTIES[[#This Row],[PURCHASECOST_VALUE]], "PURCHASECOST_", ""), "_VALUE", "")</f>
        <v>STEAMENGINE</v>
      </c>
      <c r="AE101" s="9" t="str" cm="1">
        <f t="array" ref="AE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1" s="2" t="b">
        <v>0</v>
      </c>
      <c r="AX101"/>
      <c r="AY101"/>
      <c r="AZ101"/>
    </row>
    <row r="102" spans="1:52">
      <c r="A102" s="2" t="s">
        <v>125</v>
      </c>
      <c r="B102">
        <v>1844</v>
      </c>
      <c r="C102">
        <v>0</v>
      </c>
      <c r="D102" t="s">
        <v>1925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 s="2" t="s">
        <v>19</v>
      </c>
      <c r="K102" s="39">
        <f>_xlfn.XLOOKUP("LOADINGSPEEDDEF_"&amp;PROPERTIES[[#This Row],[LOADINGSPEED]],LOADINGSPEEDDEF[TYPE],LOADINGSPEEDDEF[SPEED])</f>
        <v>0</v>
      </c>
      <c r="L102">
        <v>45</v>
      </c>
      <c r="M102">
        <v>1</v>
      </c>
      <c r="N102" s="33">
        <f>48+32</f>
        <v>80</v>
      </c>
      <c r="O102">
        <v>600</v>
      </c>
      <c r="P102">
        <v>90</v>
      </c>
      <c r="Q102" s="30">
        <v>0</v>
      </c>
      <c r="R102" s="29">
        <f>IFERROR(PROPERTIES[[#This Row],[TE_STARTING_KN]]/(PROPERTIES[[#This Row],[WEIGHT]]*9.81),0)</f>
        <v>0</v>
      </c>
      <c r="S102" s="29">
        <v>0.08</v>
      </c>
      <c r="T102" s="26">
        <f>ROUND(IF(IFERROR(PROPERTIES[[#This Row],[TE_COEFFICIENT_CALC]],0)=0,PROPERTIES[[#This Row],[TE_COEFFICIENT_MANUAL]],PROPERTIES[[#This Row],[TE_COEFFICIENT_CALC]]),3)</f>
        <v>0.08</v>
      </c>
      <c r="U102" s="11">
        <v>40</v>
      </c>
      <c r="V102" s="9">
        <v>0</v>
      </c>
      <c r="W102" s="9">
        <v>3</v>
      </c>
      <c r="X102" s="10">
        <v>0</v>
      </c>
      <c r="Y102" t="s">
        <v>904</v>
      </c>
      <c r="Z102" t="s">
        <v>903</v>
      </c>
      <c r="AA102" s="2" t="s">
        <v>921</v>
      </c>
      <c r="AB102" s="9" t="s">
        <v>989</v>
      </c>
      <c r="AC102" s="9" t="s">
        <v>990</v>
      </c>
      <c r="AD102" s="10" t="str">
        <f>SUBSTITUTE(SUBSTITUTE(PROPERTIES[[#This Row],[PURCHASECOST_VALUE]], "PURCHASECOST_", ""), "_VALUE", "")</f>
        <v>STEAMENGINE</v>
      </c>
      <c r="AE102" s="9" t="str" cm="1">
        <f t="array" ref="AE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2" s="2" t="b">
        <v>0</v>
      </c>
      <c r="AX102"/>
      <c r="AY102"/>
      <c r="AZ102"/>
    </row>
    <row r="103" spans="1:52">
      <c r="A103" s="2" t="s">
        <v>126</v>
      </c>
      <c r="B103">
        <v>1846</v>
      </c>
      <c r="C103">
        <v>0</v>
      </c>
      <c r="D103" t="s">
        <v>1836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 s="2" t="s">
        <v>19</v>
      </c>
      <c r="K103" s="39">
        <f>_xlfn.XLOOKUP("LOADINGSPEEDDEF_"&amp;PROPERTIES[[#This Row],[LOADINGSPEED]],LOADINGSPEEDDEF[TYPE],LOADINGSPEEDDEF[SPEED])</f>
        <v>0</v>
      </c>
      <c r="L103">
        <v>45</v>
      </c>
      <c r="M103">
        <v>1</v>
      </c>
      <c r="N103" s="33">
        <v>65</v>
      </c>
      <c r="O103">
        <v>450</v>
      </c>
      <c r="P103">
        <v>128</v>
      </c>
      <c r="Q103" s="30">
        <v>0</v>
      </c>
      <c r="R103" s="29">
        <f>IFERROR(PROPERTIES[[#This Row],[TE_STARTING_KN]]/(PROPERTIES[[#This Row],[WEIGHT]]*9.81),0)</f>
        <v>0</v>
      </c>
      <c r="S103" s="29">
        <v>0.06</v>
      </c>
      <c r="T103" s="26">
        <f>ROUND(IF(IFERROR(PROPERTIES[[#This Row],[TE_COEFFICIENT_CALC]],0)=0,PROPERTIES[[#This Row],[TE_COEFFICIENT_MANUAL]],PROPERTIES[[#This Row],[TE_COEFFICIENT_CALC]]),3)</f>
        <v>0.06</v>
      </c>
      <c r="U103" s="11">
        <v>40</v>
      </c>
      <c r="V103" s="9">
        <v>0</v>
      </c>
      <c r="W103" s="9">
        <v>4</v>
      </c>
      <c r="X103" s="10">
        <v>0</v>
      </c>
      <c r="Y103" t="s">
        <v>908</v>
      </c>
      <c r="Z103" t="s">
        <v>903</v>
      </c>
      <c r="AA103" s="2" t="s">
        <v>921</v>
      </c>
      <c r="AB103" s="9" t="s">
        <v>989</v>
      </c>
      <c r="AC103" s="9" t="s">
        <v>990</v>
      </c>
      <c r="AD103" s="10" t="str">
        <f>SUBSTITUTE(SUBSTITUTE(PROPERTIES[[#This Row],[PURCHASECOST_VALUE]], "PURCHASECOST_", ""), "_VALUE", "")</f>
        <v>STEAMENGINE</v>
      </c>
      <c r="AE103" s="9" t="str" cm="1">
        <f t="array" ref="AE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3" s="2" t="b">
        <v>0</v>
      </c>
      <c r="AX103"/>
      <c r="AY103"/>
      <c r="AZ103"/>
    </row>
    <row r="104" spans="1:52">
      <c r="A104" s="2" t="s">
        <v>127</v>
      </c>
      <c r="B104">
        <v>1855</v>
      </c>
      <c r="C104">
        <v>0</v>
      </c>
      <c r="D104" t="s">
        <v>1773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 s="2" t="s">
        <v>19</v>
      </c>
      <c r="K104" s="39">
        <f>_xlfn.XLOOKUP("LOADINGSPEEDDEF_"&amp;PROPERTIES[[#This Row],[LOADINGSPEED]],LOADINGSPEEDDEF[TYPE],LOADINGSPEEDDEF[SPEED])</f>
        <v>0</v>
      </c>
      <c r="L104">
        <v>45</v>
      </c>
      <c r="M104">
        <v>1</v>
      </c>
      <c r="N104" s="33">
        <v>45</v>
      </c>
      <c r="O104">
        <v>160</v>
      </c>
      <c r="P104">
        <v>55</v>
      </c>
      <c r="Q104" s="30">
        <v>40</v>
      </c>
      <c r="R104" s="29">
        <f>IFERROR(PROPERTIES[[#This Row],[TE_STARTING_KN]]/(PROPERTIES[[#This Row],[WEIGHT]]*9.81),0)</f>
        <v>9.0610488164004979E-2</v>
      </c>
      <c r="S104" s="29">
        <v>0.08</v>
      </c>
      <c r="T104" s="26">
        <f>ROUND(IF(IFERROR(PROPERTIES[[#This Row],[TE_COEFFICIENT_CALC]],0)=0,PROPERTIES[[#This Row],[TE_COEFFICIENT_MANUAL]],PROPERTIES[[#This Row],[TE_COEFFICIENT_CALC]]),3)</f>
        <v>9.0999999999999998E-2</v>
      </c>
      <c r="U104" s="11">
        <v>40</v>
      </c>
      <c r="V104" s="9">
        <v>0</v>
      </c>
      <c r="W104" s="9">
        <v>4</v>
      </c>
      <c r="X104" s="10">
        <v>0</v>
      </c>
      <c r="Y104" t="s">
        <v>906</v>
      </c>
      <c r="Z104" t="s">
        <v>903</v>
      </c>
      <c r="AA104" s="2" t="s">
        <v>921</v>
      </c>
      <c r="AB104" s="9" t="s">
        <v>989</v>
      </c>
      <c r="AC104" s="9" t="s">
        <v>990</v>
      </c>
      <c r="AD104" s="10" t="str">
        <f>SUBSTITUTE(SUBSTITUTE(PROPERTIES[[#This Row],[PURCHASECOST_VALUE]], "PURCHASECOST_", ""), "_VALUE", "")</f>
        <v>STEAMENGINE</v>
      </c>
      <c r="AE104" s="9" t="str" cm="1">
        <f t="array" ref="AE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04" s="2" t="b">
        <v>0</v>
      </c>
      <c r="AX104"/>
      <c r="AY104"/>
      <c r="AZ104"/>
    </row>
    <row r="105" spans="1:52">
      <c r="A105" s="2" t="s">
        <v>128</v>
      </c>
      <c r="B105">
        <v>1863</v>
      </c>
      <c r="C105">
        <v>0</v>
      </c>
      <c r="D105" t="s">
        <v>1992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 s="2" t="s">
        <v>19</v>
      </c>
      <c r="K105" s="39">
        <f>_xlfn.XLOOKUP("LOADINGSPEEDDEF_"&amp;PROPERTIES[[#This Row],[LOADINGSPEED]],LOADINGSPEEDDEF[TYPE],LOADINGSPEEDDEF[SPEED])</f>
        <v>0</v>
      </c>
      <c r="L105">
        <v>45</v>
      </c>
      <c r="M105">
        <v>1</v>
      </c>
      <c r="N105" s="33">
        <v>45</v>
      </c>
      <c r="O105">
        <v>126</v>
      </c>
      <c r="P105">
        <v>65</v>
      </c>
      <c r="Q105" s="30">
        <v>34.6</v>
      </c>
      <c r="R105" s="29">
        <f>IFERROR(PROPERTIES[[#This Row],[TE_STARTING_KN]]/(PROPERTIES[[#This Row],[WEIGHT]]*9.81),0)</f>
        <v>7.8378072261864301E-2</v>
      </c>
      <c r="S105" s="29">
        <v>0.14000000000000001</v>
      </c>
      <c r="T105" s="26">
        <f>ROUND(IF(IFERROR(PROPERTIES[[#This Row],[TE_COEFFICIENT_CALC]],0)=0,PROPERTIES[[#This Row],[TE_COEFFICIENT_MANUAL]],PROPERTIES[[#This Row],[TE_COEFFICIENT_CALC]]),3)</f>
        <v>7.8E-2</v>
      </c>
      <c r="U105" s="11">
        <v>40</v>
      </c>
      <c r="V105" s="9">
        <v>0</v>
      </c>
      <c r="W105" s="9">
        <v>3</v>
      </c>
      <c r="X105" s="10">
        <v>0</v>
      </c>
      <c r="Y105" t="s">
        <v>909</v>
      </c>
      <c r="Z105" t="s">
        <v>903</v>
      </c>
      <c r="AA105" s="2" t="s">
        <v>921</v>
      </c>
      <c r="AB105" s="9" t="s">
        <v>989</v>
      </c>
      <c r="AC105" s="9" t="s">
        <v>990</v>
      </c>
      <c r="AD105" s="10" t="str">
        <f>SUBSTITUTE(SUBSTITUTE(PROPERTIES[[#This Row],[PURCHASECOST_VALUE]], "PURCHASECOST_", ""), "_VALUE", "")</f>
        <v>STEAMENGINE</v>
      </c>
      <c r="AE105" s="9" t="str" cm="1">
        <f t="array" ref="AE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5" s="2" t="b">
        <v>0</v>
      </c>
      <c r="AX105"/>
      <c r="AY105"/>
      <c r="AZ105"/>
    </row>
    <row r="106" spans="1:52">
      <c r="A106" s="2" t="s">
        <v>129</v>
      </c>
      <c r="B106">
        <v>1865</v>
      </c>
      <c r="C106">
        <v>0</v>
      </c>
      <c r="D106" t="s">
        <v>1925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5</v>
      </c>
      <c r="J106" s="2" t="s">
        <v>19</v>
      </c>
      <c r="K106" s="39">
        <f>_xlfn.XLOOKUP("LOADINGSPEEDDEF_"&amp;PROPERTIES[[#This Row],[LOADINGSPEED]],LOADINGSPEEDDEF[TYPE],LOADINGSPEEDDEF[SPEED])</f>
        <v>0</v>
      </c>
      <c r="L106">
        <v>45</v>
      </c>
      <c r="M106">
        <v>1</v>
      </c>
      <c r="N106" s="33">
        <v>49</v>
      </c>
      <c r="O106">
        <v>320</v>
      </c>
      <c r="P106">
        <v>90</v>
      </c>
      <c r="Q106" s="30">
        <v>0</v>
      </c>
      <c r="R106" s="29">
        <f>IFERROR(PROPERTIES[[#This Row],[TE_STARTING_KN]]/(PROPERTIES[[#This Row],[WEIGHT]]*9.81),0)</f>
        <v>0</v>
      </c>
      <c r="S106" s="29">
        <v>7.0000000000000007E-2</v>
      </c>
      <c r="T106" s="26">
        <f>ROUND(IF(IFERROR(PROPERTIES[[#This Row],[TE_COEFFICIENT_CALC]],0)=0,PROPERTIES[[#This Row],[TE_COEFFICIENT_MANUAL]],PROPERTIES[[#This Row],[TE_COEFFICIENT_CALC]]),3)</f>
        <v>7.0000000000000007E-2</v>
      </c>
      <c r="U106" s="11">
        <v>40</v>
      </c>
      <c r="V106" s="9">
        <v>0</v>
      </c>
      <c r="W106" s="9">
        <v>3</v>
      </c>
      <c r="X106" s="10">
        <v>0</v>
      </c>
      <c r="Y106" t="s">
        <v>904</v>
      </c>
      <c r="Z106" t="s">
        <v>903</v>
      </c>
      <c r="AA106" s="2" t="s">
        <v>921</v>
      </c>
      <c r="AB106" s="9" t="s">
        <v>989</v>
      </c>
      <c r="AC106" s="9" t="s">
        <v>990</v>
      </c>
      <c r="AD106" s="10" t="str">
        <f>SUBSTITUTE(SUBSTITUTE(PROPERTIES[[#This Row],[PURCHASECOST_VALUE]], "PURCHASECOST_", ""), "_VALUE", "")</f>
        <v>STEAMENGINE</v>
      </c>
      <c r="AE106" s="9" t="str" cm="1">
        <f t="array" ref="AE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6" s="2" t="b">
        <v>0</v>
      </c>
      <c r="AX106"/>
      <c r="AY106"/>
      <c r="AZ106"/>
    </row>
    <row r="107" spans="1:52">
      <c r="A107" s="2" t="s">
        <v>130</v>
      </c>
      <c r="B107">
        <v>1876</v>
      </c>
      <c r="C107">
        <v>0</v>
      </c>
      <c r="D107" t="s">
        <v>2006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 s="2" t="s">
        <v>19</v>
      </c>
      <c r="K107" s="39">
        <f>_xlfn.XLOOKUP("LOADINGSPEEDDEF_"&amp;PROPERTIES[[#This Row],[LOADINGSPEED]],LOADINGSPEEDDEF[TYPE],LOADINGSPEEDDEF[SPEED])</f>
        <v>0</v>
      </c>
      <c r="L107">
        <v>45</v>
      </c>
      <c r="M107">
        <v>1</v>
      </c>
      <c r="N107" s="33">
        <v>30</v>
      </c>
      <c r="O107">
        <v>240</v>
      </c>
      <c r="P107">
        <v>55</v>
      </c>
      <c r="Q107" s="30">
        <v>44</v>
      </c>
      <c r="R107" s="29">
        <f>IFERROR(PROPERTIES[[#This Row],[TE_STARTING_KN]]/(PROPERTIES[[#This Row],[WEIGHT]]*9.81),0)</f>
        <v>0.14950730547060823</v>
      </c>
      <c r="S107" s="29">
        <v>0.17</v>
      </c>
      <c r="T107" s="26">
        <f>ROUND(IF(IFERROR(PROPERTIES[[#This Row],[TE_COEFFICIENT_CALC]],0)=0,PROPERTIES[[#This Row],[TE_COEFFICIENT_MANUAL]],PROPERTIES[[#This Row],[TE_COEFFICIENT_CALC]]),3)</f>
        <v>0.15</v>
      </c>
      <c r="U107" s="11">
        <v>40</v>
      </c>
      <c r="V107" s="9">
        <v>0</v>
      </c>
      <c r="W107" s="9">
        <v>0</v>
      </c>
      <c r="X107" s="10">
        <v>0</v>
      </c>
      <c r="Y107" t="s">
        <v>907</v>
      </c>
      <c r="Z107" t="s">
        <v>903</v>
      </c>
      <c r="AA107" s="2" t="s">
        <v>921</v>
      </c>
      <c r="AB107" s="9" t="s">
        <v>989</v>
      </c>
      <c r="AC107" s="9" t="s">
        <v>990</v>
      </c>
      <c r="AD107" s="10" t="str">
        <f>SUBSTITUTE(SUBSTITUTE(PROPERTIES[[#This Row],[PURCHASECOST_VALUE]], "PURCHASECOST_", ""), "_VALUE", "")</f>
        <v>STEAMENGINE</v>
      </c>
      <c r="AE107" s="9" t="str" cm="1">
        <f t="array" ref="AE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07" s="2" t="b">
        <v>0</v>
      </c>
      <c r="AX107"/>
      <c r="AY107"/>
      <c r="AZ107"/>
    </row>
    <row r="108" spans="1:52">
      <c r="A108" s="2" t="s">
        <v>131</v>
      </c>
      <c r="B108">
        <v>1881</v>
      </c>
      <c r="C108">
        <v>0</v>
      </c>
      <c r="D108" t="s">
        <v>1773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 s="2" t="s">
        <v>19</v>
      </c>
      <c r="K108" s="39">
        <f>_xlfn.XLOOKUP("LOADINGSPEEDDEF_"&amp;PROPERTIES[[#This Row],[LOADINGSPEED]],LOADINGSPEEDDEF[TYPE],LOADINGSPEEDDEF[SPEED])</f>
        <v>0</v>
      </c>
      <c r="L108">
        <v>45</v>
      </c>
      <c r="M108">
        <v>1</v>
      </c>
      <c r="N108" s="33">
        <v>75</v>
      </c>
      <c r="O108">
        <v>650</v>
      </c>
      <c r="P108">
        <v>80</v>
      </c>
      <c r="Q108" s="30">
        <v>98.1</v>
      </c>
      <c r="R108" s="29">
        <f>IFERROR(PROPERTIES[[#This Row],[TE_STARTING_KN]]/(PROPERTIES[[#This Row],[WEIGHT]]*9.81),0)</f>
        <v>0.13333333333333333</v>
      </c>
      <c r="S108" s="29">
        <v>0.14000000000000001</v>
      </c>
      <c r="T108" s="26">
        <f>ROUND(IF(IFERROR(PROPERTIES[[#This Row],[TE_COEFFICIENT_CALC]],0)=0,PROPERTIES[[#This Row],[TE_COEFFICIENT_MANUAL]],PROPERTIES[[#This Row],[TE_COEFFICIENT_CALC]]),3)</f>
        <v>0.13300000000000001</v>
      </c>
      <c r="U108" s="11">
        <v>40</v>
      </c>
      <c r="V108" s="9">
        <v>0</v>
      </c>
      <c r="W108" s="9">
        <v>4</v>
      </c>
      <c r="X108" s="10">
        <v>0</v>
      </c>
      <c r="Y108" t="s">
        <v>906</v>
      </c>
      <c r="Z108" t="s">
        <v>903</v>
      </c>
      <c r="AA108" s="2" t="s">
        <v>921</v>
      </c>
      <c r="AB108" s="9" t="s">
        <v>989</v>
      </c>
      <c r="AC108" s="9" t="s">
        <v>990</v>
      </c>
      <c r="AD108" s="10" t="str">
        <f>SUBSTITUTE(SUBSTITUTE(PROPERTIES[[#This Row],[PURCHASECOST_VALUE]], "PURCHASECOST_", ""), "_VALUE", "")</f>
        <v>STEAMENGINE</v>
      </c>
      <c r="AE108" s="9" t="str" cm="1">
        <f t="array" ref="AE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8" s="2" t="b">
        <v>0</v>
      </c>
      <c r="AX108"/>
      <c r="AY108"/>
      <c r="AZ108"/>
    </row>
    <row r="109" spans="1:52">
      <c r="A109" s="2" t="s">
        <v>132</v>
      </c>
      <c r="B109">
        <v>1886</v>
      </c>
      <c r="C109">
        <v>0</v>
      </c>
      <c r="D109" t="s">
        <v>1798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 s="2" t="s">
        <v>19</v>
      </c>
      <c r="K109" s="39">
        <f>_xlfn.XLOOKUP("LOADINGSPEEDDEF_"&amp;PROPERTIES[[#This Row],[LOADINGSPEED]],LOADINGSPEEDDEF[TYPE],LOADINGSPEEDDEF[SPEED])</f>
        <v>0</v>
      </c>
      <c r="L109">
        <v>45</v>
      </c>
      <c r="M109">
        <v>1</v>
      </c>
      <c r="N109" s="33">
        <v>82</v>
      </c>
      <c r="O109">
        <v>380</v>
      </c>
      <c r="P109">
        <v>80</v>
      </c>
      <c r="Q109" s="30">
        <v>67</v>
      </c>
      <c r="R109" s="29">
        <f>IFERROR(PROPERTIES[[#This Row],[TE_STARTING_KN]]/(PROPERTIES[[#This Row],[WEIGHT]]*9.81),0)</f>
        <v>8.3289823723925308E-2</v>
      </c>
      <c r="S109" s="29">
        <v>0.13</v>
      </c>
      <c r="T109" s="26">
        <f>ROUND(IF(IFERROR(PROPERTIES[[#This Row],[TE_COEFFICIENT_CALC]],0)=0,PROPERTIES[[#This Row],[TE_COEFFICIENT_MANUAL]],PROPERTIES[[#This Row],[TE_COEFFICIENT_CALC]]),3)</f>
        <v>8.3000000000000004E-2</v>
      </c>
      <c r="U109" s="11">
        <v>40</v>
      </c>
      <c r="V109" s="9">
        <v>0</v>
      </c>
      <c r="W109" s="9">
        <v>4</v>
      </c>
      <c r="X109" s="10">
        <v>0</v>
      </c>
      <c r="Y109" t="s">
        <v>909</v>
      </c>
      <c r="Z109" t="s">
        <v>903</v>
      </c>
      <c r="AA109" s="2" t="s">
        <v>921</v>
      </c>
      <c r="AB109" s="9" t="s">
        <v>989</v>
      </c>
      <c r="AC109" s="9" t="s">
        <v>990</v>
      </c>
      <c r="AD109" s="10" t="str">
        <f>SUBSTITUTE(SUBSTITUTE(PROPERTIES[[#This Row],[PURCHASECOST_VALUE]], "PURCHASECOST_", ""), "_VALUE", "")</f>
        <v>STEAMENGINE</v>
      </c>
      <c r="AE109" s="9" t="str" cm="1">
        <f t="array" ref="AE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9" s="2" t="b">
        <v>0</v>
      </c>
      <c r="AX109"/>
      <c r="AY109"/>
      <c r="AZ109"/>
    </row>
    <row r="110" spans="1:52">
      <c r="A110" s="2" t="s">
        <v>133</v>
      </c>
      <c r="B110">
        <v>1887</v>
      </c>
      <c r="C110">
        <v>0</v>
      </c>
      <c r="D110" t="s">
        <v>2006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 s="2" t="s">
        <v>19</v>
      </c>
      <c r="K110" s="39">
        <f>_xlfn.XLOOKUP("LOADINGSPEEDDEF_"&amp;PROPERTIES[[#This Row],[LOADINGSPEED]],LOADINGSPEEDDEF[TYPE],LOADINGSPEEDDEF[SPEED])</f>
        <v>0</v>
      </c>
      <c r="L110">
        <v>45</v>
      </c>
      <c r="M110">
        <v>1</v>
      </c>
      <c r="N110" s="33">
        <v>36</v>
      </c>
      <c r="O110">
        <v>220</v>
      </c>
      <c r="P110">
        <v>60</v>
      </c>
      <c r="Q110" s="30">
        <v>41.6</v>
      </c>
      <c r="R110" s="29">
        <f>IFERROR(PROPERTIES[[#This Row],[TE_STARTING_KN]]/(PROPERTIES[[#This Row],[WEIGHT]]*9.81),0)</f>
        <v>0.11779363461320648</v>
      </c>
      <c r="S110" s="29">
        <v>0.12</v>
      </c>
      <c r="T110" s="26">
        <f>ROUND(IF(IFERROR(PROPERTIES[[#This Row],[TE_COEFFICIENT_CALC]],0)=0,PROPERTIES[[#This Row],[TE_COEFFICIENT_MANUAL]],PROPERTIES[[#This Row],[TE_COEFFICIENT_CALC]]),3)</f>
        <v>0.11799999999999999</v>
      </c>
      <c r="U110" s="11">
        <v>40</v>
      </c>
      <c r="V110" s="9">
        <v>0</v>
      </c>
      <c r="W110" s="9">
        <v>0</v>
      </c>
      <c r="X110" s="10">
        <v>0</v>
      </c>
      <c r="Y110" t="s">
        <v>907</v>
      </c>
      <c r="Z110" t="s">
        <v>903</v>
      </c>
      <c r="AA110" s="2" t="s">
        <v>921</v>
      </c>
      <c r="AB110" s="9" t="s">
        <v>989</v>
      </c>
      <c r="AC110" s="9" t="s">
        <v>990</v>
      </c>
      <c r="AD110" s="10" t="str">
        <f>SUBSTITUTE(SUBSTITUTE(PROPERTIES[[#This Row],[PURCHASECOST_VALUE]], "PURCHASECOST_", ""), "_VALUE", "")</f>
        <v>STEAMENGINE</v>
      </c>
      <c r="AE110" s="9" t="str" cm="1">
        <f t="array" ref="AE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0" s="2" t="b">
        <v>0</v>
      </c>
      <c r="AX110"/>
      <c r="AY110"/>
      <c r="AZ110"/>
    </row>
    <row r="111" spans="1:52">
      <c r="A111" s="2" t="s">
        <v>134</v>
      </c>
      <c r="B111">
        <v>1891</v>
      </c>
      <c r="C111">
        <v>0</v>
      </c>
      <c r="D111" t="s">
        <v>1828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 s="2" t="s">
        <v>19</v>
      </c>
      <c r="K111" s="39">
        <f>_xlfn.XLOOKUP("LOADINGSPEEDDEF_"&amp;PROPERTIES[[#This Row],[LOADINGSPEED]],LOADINGSPEEDDEF[TYPE],LOADINGSPEEDDEF[SPEED])</f>
        <v>0</v>
      </c>
      <c r="L111">
        <v>45</v>
      </c>
      <c r="M111">
        <v>1</v>
      </c>
      <c r="N111" s="33">
        <v>88.5</v>
      </c>
      <c r="O111">
        <v>750</v>
      </c>
      <c r="P111">
        <v>55</v>
      </c>
      <c r="Q111" s="30">
        <v>118</v>
      </c>
      <c r="R111" s="29">
        <f>IFERROR(PROPERTIES[[#This Row],[TE_STARTING_KN]]/(PROPERTIES[[#This Row],[WEIGHT]]*9.81),0)</f>
        <v>0.13591573224600748</v>
      </c>
      <c r="S111" s="29">
        <v>0.1</v>
      </c>
      <c r="T111" s="26">
        <f>ROUND(IF(IFERROR(PROPERTIES[[#This Row],[TE_COEFFICIENT_CALC]],0)=0,PROPERTIES[[#This Row],[TE_COEFFICIENT_MANUAL]],PROPERTIES[[#This Row],[TE_COEFFICIENT_CALC]]),3)</f>
        <v>0.13600000000000001</v>
      </c>
      <c r="U111" s="11">
        <v>40</v>
      </c>
      <c r="V111" s="9">
        <v>0</v>
      </c>
      <c r="W111" s="9">
        <v>3</v>
      </c>
      <c r="X111" s="10">
        <v>0</v>
      </c>
      <c r="Y111" t="s">
        <v>905</v>
      </c>
      <c r="Z111" t="s">
        <v>903</v>
      </c>
      <c r="AA111" s="2" t="s">
        <v>921</v>
      </c>
      <c r="AB111" s="9" t="s">
        <v>989</v>
      </c>
      <c r="AC111" s="9" t="s">
        <v>990</v>
      </c>
      <c r="AD111" s="10" t="str">
        <f>SUBSTITUTE(SUBSTITUTE(PROPERTIES[[#This Row],[PURCHASECOST_VALUE]], "PURCHASECOST_", ""), "_VALUE", "")</f>
        <v>STEAMENGINE</v>
      </c>
      <c r="AE111" s="9" t="str" cm="1">
        <f t="array" ref="AE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1" s="2" t="b">
        <v>0</v>
      </c>
      <c r="AX111"/>
      <c r="AY111"/>
      <c r="AZ111"/>
    </row>
    <row r="112" spans="1:52">
      <c r="A112" s="2" t="s">
        <v>135</v>
      </c>
      <c r="B112">
        <v>1892</v>
      </c>
      <c r="C112">
        <v>0</v>
      </c>
      <c r="D112" t="s">
        <v>1817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 s="2" t="s">
        <v>19</v>
      </c>
      <c r="K112" s="39">
        <f>_xlfn.XLOOKUP("LOADINGSPEEDDEF_"&amp;PROPERTIES[[#This Row],[LOADINGSPEED]],LOADINGSPEEDDEF[TYPE],LOADINGSPEEDDEF[SPEED])</f>
        <v>0</v>
      </c>
      <c r="L112">
        <v>45</v>
      </c>
      <c r="M112">
        <v>1</v>
      </c>
      <c r="N112" s="33">
        <v>27</v>
      </c>
      <c r="O112">
        <v>206</v>
      </c>
      <c r="P112">
        <v>30</v>
      </c>
      <c r="Q112" s="30">
        <v>42.17</v>
      </c>
      <c r="R112" s="29">
        <f>IFERROR(PROPERTIES[[#This Row],[TE_STARTING_KN]]/(PROPERTIES[[#This Row],[WEIGHT]]*9.81),0)</f>
        <v>0.15921017857817044</v>
      </c>
      <c r="S112" s="29">
        <v>0.14000000000000001</v>
      </c>
      <c r="T112" s="26">
        <f>ROUND(IF(IFERROR(PROPERTIES[[#This Row],[TE_COEFFICIENT_CALC]],0)=0,PROPERTIES[[#This Row],[TE_COEFFICIENT_MANUAL]],PROPERTIES[[#This Row],[TE_COEFFICIENT_CALC]]),3)</f>
        <v>0.159</v>
      </c>
      <c r="U112" s="11">
        <v>40</v>
      </c>
      <c r="V112" s="9">
        <v>0</v>
      </c>
      <c r="W112" s="9">
        <v>0</v>
      </c>
      <c r="X112" s="10">
        <v>0</v>
      </c>
      <c r="Y112" t="s">
        <v>904</v>
      </c>
      <c r="Z112" t="s">
        <v>903</v>
      </c>
      <c r="AA112" s="2" t="s">
        <v>921</v>
      </c>
      <c r="AB112" s="9" t="s">
        <v>989</v>
      </c>
      <c r="AC112" s="9" t="s">
        <v>990</v>
      </c>
      <c r="AD112" s="10" t="str">
        <f>SUBSTITUTE(SUBSTITUTE(PROPERTIES[[#This Row],[PURCHASECOST_VALUE]], "PURCHASECOST_", ""), "_VALUE", "")</f>
        <v>STEAMENGINE</v>
      </c>
      <c r="AE112" s="9" t="str" cm="1">
        <f t="array" ref="AE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2" s="2" t="b">
        <v>0</v>
      </c>
      <c r="AX112"/>
      <c r="AY112"/>
      <c r="AZ112"/>
    </row>
    <row r="113" spans="1:52">
      <c r="A113" s="2" t="s">
        <v>136</v>
      </c>
      <c r="B113">
        <v>1893</v>
      </c>
      <c r="C113">
        <v>0</v>
      </c>
      <c r="D113" t="s">
        <v>1817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 s="2" t="s">
        <v>19</v>
      </c>
      <c r="K113" s="39">
        <f>_xlfn.XLOOKUP("LOADINGSPEEDDEF_"&amp;PROPERTIES[[#This Row],[LOADINGSPEED]],LOADINGSPEEDDEF[TYPE],LOADINGSPEEDDEF[SPEED])</f>
        <v>0</v>
      </c>
      <c r="L113">
        <v>45</v>
      </c>
      <c r="M113">
        <v>1</v>
      </c>
      <c r="N113" s="33">
        <v>50.5</v>
      </c>
      <c r="O113">
        <v>580</v>
      </c>
      <c r="P113">
        <v>100</v>
      </c>
      <c r="Q113" s="30">
        <v>64</v>
      </c>
      <c r="R113" s="29">
        <f>IFERROR(PROPERTIES[[#This Row],[TE_STARTING_KN]]/(PROPERTIES[[#This Row],[WEIGHT]]*9.81),0)</f>
        <v>0.12918723064967047</v>
      </c>
      <c r="S113" s="29">
        <v>0.13</v>
      </c>
      <c r="T113" s="26">
        <f>ROUND(IF(IFERROR(PROPERTIES[[#This Row],[TE_COEFFICIENT_CALC]],0)=0,PROPERTIES[[#This Row],[TE_COEFFICIENT_MANUAL]],PROPERTIES[[#This Row],[TE_COEFFICIENT_CALC]]),3)</f>
        <v>0.129</v>
      </c>
      <c r="U113" s="11">
        <v>40</v>
      </c>
      <c r="V113" s="9">
        <v>0</v>
      </c>
      <c r="W113" s="9">
        <v>4</v>
      </c>
      <c r="X113" s="10">
        <v>0</v>
      </c>
      <c r="Y113" t="s">
        <v>904</v>
      </c>
      <c r="Z113" t="s">
        <v>903</v>
      </c>
      <c r="AA113" s="2" t="s">
        <v>921</v>
      </c>
      <c r="AB113" s="9" t="s">
        <v>989</v>
      </c>
      <c r="AC113" s="9" t="s">
        <v>990</v>
      </c>
      <c r="AD113" s="10" t="str">
        <f>SUBSTITUTE(SUBSTITUTE(PROPERTIES[[#This Row],[PURCHASECOST_VALUE]], "PURCHASECOST_", ""), "_VALUE", "")</f>
        <v>STEAMENGINE</v>
      </c>
      <c r="AE113" s="9" t="str" cm="1">
        <f t="array" ref="AE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3" s="2" t="b">
        <v>0</v>
      </c>
      <c r="AX113"/>
      <c r="AY113"/>
      <c r="AZ113"/>
    </row>
    <row r="114" spans="1:52">
      <c r="A114" s="2" t="s">
        <v>137</v>
      </c>
      <c r="B114">
        <v>1894</v>
      </c>
      <c r="C114">
        <v>0</v>
      </c>
      <c r="D114" t="s">
        <v>1926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 s="2" t="s">
        <v>19</v>
      </c>
      <c r="K114" s="39">
        <f>_xlfn.XLOOKUP("LOADINGSPEEDDEF_"&amp;PROPERTIES[[#This Row],[LOADINGSPEED]],LOADINGSPEEDDEF[TYPE],LOADINGSPEEDDEF[SPEED])</f>
        <v>0</v>
      </c>
      <c r="L114">
        <v>45</v>
      </c>
      <c r="M114">
        <v>0</v>
      </c>
      <c r="N114" s="33">
        <v>77.599999999999994</v>
      </c>
      <c r="O114">
        <v>700</v>
      </c>
      <c r="P114">
        <v>60</v>
      </c>
      <c r="Q114" s="30">
        <v>82.56</v>
      </c>
      <c r="R114" s="29">
        <f>IFERROR(PROPERTIES[[#This Row],[TE_STARTING_KN]]/(PROPERTIES[[#This Row],[WEIGHT]]*9.81),0)</f>
        <v>0.10845234717361835</v>
      </c>
      <c r="S114" s="29">
        <v>0.17</v>
      </c>
      <c r="T114" s="26">
        <f>ROUND(IF(IFERROR(PROPERTIES[[#This Row],[TE_COEFFICIENT_CALC]],0)=0,PROPERTIES[[#This Row],[TE_COEFFICIENT_MANUAL]],PROPERTIES[[#This Row],[TE_COEFFICIENT_CALC]]),3)</f>
        <v>0.108</v>
      </c>
      <c r="U114" s="11">
        <v>40</v>
      </c>
      <c r="V114" s="9">
        <v>0</v>
      </c>
      <c r="W114" s="9">
        <v>0</v>
      </c>
      <c r="X114" s="10">
        <v>0</v>
      </c>
      <c r="Y114" t="s">
        <v>908</v>
      </c>
      <c r="Z114" t="s">
        <v>903</v>
      </c>
      <c r="AA114" s="2" t="s">
        <v>921</v>
      </c>
      <c r="AB114" s="9" t="s">
        <v>989</v>
      </c>
      <c r="AC114" s="9" t="s">
        <v>990</v>
      </c>
      <c r="AD114" s="10" t="str">
        <f>SUBSTITUTE(SUBSTITUTE(PROPERTIES[[#This Row],[PURCHASECOST_VALUE]], "PURCHASECOST_", ""), "_VALUE", "")</f>
        <v>STEAMENGINE</v>
      </c>
      <c r="AE114" s="9" t="str" cm="1">
        <f t="array" ref="AE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4" s="2" t="b">
        <v>0</v>
      </c>
      <c r="AX114"/>
      <c r="AY114"/>
      <c r="AZ114"/>
    </row>
    <row r="115" spans="1:52">
      <c r="A115" s="2" t="s">
        <v>138</v>
      </c>
      <c r="B115">
        <v>1895</v>
      </c>
      <c r="C115">
        <v>0</v>
      </c>
      <c r="D115" t="s">
        <v>1992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 s="2" t="s">
        <v>19</v>
      </c>
      <c r="K115" s="39">
        <f>_xlfn.XLOOKUP("LOADINGSPEEDDEF_"&amp;PROPERTIES[[#This Row],[LOADINGSPEED]],LOADINGSPEEDDEF[TYPE],LOADINGSPEEDDEF[SPEED])</f>
        <v>0</v>
      </c>
      <c r="L115">
        <v>45</v>
      </c>
      <c r="M115">
        <v>1</v>
      </c>
      <c r="N115" s="33">
        <v>106.5</v>
      </c>
      <c r="O115">
        <v>850</v>
      </c>
      <c r="P115">
        <v>128</v>
      </c>
      <c r="Q115" s="30">
        <v>77.84</v>
      </c>
      <c r="R115" s="29">
        <f>IFERROR(PROPERTIES[[#This Row],[TE_STARTING_KN]]/(PROPERTIES[[#This Row],[WEIGHT]]*9.81),0)</f>
        <v>7.4504792943867762E-2</v>
      </c>
      <c r="S115" s="29">
        <v>0.17</v>
      </c>
      <c r="T115" s="26">
        <f>ROUND(IF(IFERROR(PROPERTIES[[#This Row],[TE_COEFFICIENT_CALC]],0)=0,PROPERTIES[[#This Row],[TE_COEFFICIENT_MANUAL]],PROPERTIES[[#This Row],[TE_COEFFICIENT_CALC]]),3)</f>
        <v>7.4999999999999997E-2</v>
      </c>
      <c r="U115" s="11">
        <v>40</v>
      </c>
      <c r="V115" s="9">
        <v>0</v>
      </c>
      <c r="W115" s="9">
        <v>4</v>
      </c>
      <c r="X115" s="10">
        <v>0</v>
      </c>
      <c r="Y115" t="s">
        <v>909</v>
      </c>
      <c r="Z115" t="s">
        <v>903</v>
      </c>
      <c r="AA115" s="2" t="s">
        <v>921</v>
      </c>
      <c r="AB115" s="9" t="s">
        <v>989</v>
      </c>
      <c r="AC115" s="9" t="s">
        <v>990</v>
      </c>
      <c r="AD115" s="10" t="str">
        <f>SUBSTITUTE(SUBSTITUTE(PROPERTIES[[#This Row],[PURCHASECOST_VALUE]], "PURCHASECOST_", ""), "_VALUE", "")</f>
        <v>STEAMENGINE</v>
      </c>
      <c r="AE115" s="9" t="str" cm="1">
        <f t="array" ref="AE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15" s="2" t="b">
        <v>0</v>
      </c>
      <c r="AX115"/>
      <c r="AY115"/>
      <c r="AZ115"/>
    </row>
    <row r="116" spans="1:52">
      <c r="A116" s="2" t="s">
        <v>139</v>
      </c>
      <c r="B116">
        <v>1901</v>
      </c>
      <c r="C116">
        <v>0</v>
      </c>
      <c r="D116" t="s">
        <v>1925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 s="2" t="s">
        <v>19</v>
      </c>
      <c r="K116" s="39">
        <f>_xlfn.XLOOKUP("LOADINGSPEEDDEF_"&amp;PROPERTIES[[#This Row],[LOADINGSPEED]],LOADINGSPEEDDEF[TYPE],LOADINGSPEEDDEF[SPEED])</f>
        <v>0</v>
      </c>
      <c r="L116">
        <v>45</v>
      </c>
      <c r="M116">
        <v>1</v>
      </c>
      <c r="N116" s="33">
        <v>35</v>
      </c>
      <c r="O116">
        <v>290</v>
      </c>
      <c r="P116">
        <v>45</v>
      </c>
      <c r="Q116" s="30">
        <v>68</v>
      </c>
      <c r="R116" s="29">
        <f>IFERROR(PROPERTIES[[#This Row],[TE_STARTING_KN]]/(PROPERTIES[[#This Row],[WEIGHT]]*9.81),0)</f>
        <v>0.19804863841561088</v>
      </c>
      <c r="S116" s="29">
        <v>0.14000000000000001</v>
      </c>
      <c r="T116" s="26">
        <f>ROUND(IF(IFERROR(PROPERTIES[[#This Row],[TE_COEFFICIENT_CALC]],0)=0,PROPERTIES[[#This Row],[TE_COEFFICIENT_MANUAL]],PROPERTIES[[#This Row],[TE_COEFFICIENT_CALC]]),3)</f>
        <v>0.19800000000000001</v>
      </c>
      <c r="U116" s="11">
        <v>40</v>
      </c>
      <c r="V116" s="9">
        <v>0</v>
      </c>
      <c r="W116" s="9">
        <v>0</v>
      </c>
      <c r="X116" s="10">
        <v>0</v>
      </c>
      <c r="Y116" t="s">
        <v>904</v>
      </c>
      <c r="Z116" t="s">
        <v>903</v>
      </c>
      <c r="AA116" s="2" t="s">
        <v>921</v>
      </c>
      <c r="AB116" s="9" t="s">
        <v>989</v>
      </c>
      <c r="AC116" s="9" t="s">
        <v>990</v>
      </c>
      <c r="AD116" s="10" t="str">
        <f>SUBSTITUTE(SUBSTITUTE(PROPERTIES[[#This Row],[PURCHASECOST_VALUE]], "PURCHASECOST_", ""), "_VALUE", "")</f>
        <v>STEAMENGINE</v>
      </c>
      <c r="AE116" s="9" t="str" cm="1">
        <f t="array" ref="AE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6" s="2" t="b">
        <v>0</v>
      </c>
      <c r="AX116"/>
      <c r="AY116"/>
      <c r="AZ116"/>
    </row>
    <row r="117" spans="1:52">
      <c r="A117" s="2" t="s">
        <v>140</v>
      </c>
      <c r="B117">
        <v>1910</v>
      </c>
      <c r="C117">
        <v>0</v>
      </c>
      <c r="D117" t="s">
        <v>2006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 s="2" t="s">
        <v>19</v>
      </c>
      <c r="K117" s="39">
        <f>_xlfn.XLOOKUP("LOADINGSPEEDDEF_"&amp;PROPERTIES[[#This Row],[LOADINGSPEED]],LOADINGSPEEDDEF[TYPE],LOADINGSPEEDDEF[SPEED])</f>
        <v>0</v>
      </c>
      <c r="L117">
        <v>45</v>
      </c>
      <c r="M117">
        <v>1</v>
      </c>
      <c r="N117" s="33">
        <v>159.9</v>
      </c>
      <c r="O117">
        <v>1200</v>
      </c>
      <c r="P117">
        <v>50</v>
      </c>
      <c r="Q117" s="30">
        <v>204</v>
      </c>
      <c r="R117" s="29">
        <f>IFERROR(PROPERTIES[[#This Row],[TE_STARTING_KN]]/(PROPERTIES[[#This Row],[WEIGHT]]*9.81),0)</f>
        <v>0.13005070064814972</v>
      </c>
      <c r="S117" s="29">
        <v>0.2</v>
      </c>
      <c r="T117" s="26">
        <f>ROUND(IF(IFERROR(PROPERTIES[[#This Row],[TE_COEFFICIENT_CALC]],0)=0,PROPERTIES[[#This Row],[TE_COEFFICIENT_MANUAL]],PROPERTIES[[#This Row],[TE_COEFFICIENT_CALC]]),3)</f>
        <v>0.13</v>
      </c>
      <c r="U117" s="11">
        <v>40</v>
      </c>
      <c r="V117" s="9">
        <v>0</v>
      </c>
      <c r="W117" s="9">
        <v>5</v>
      </c>
      <c r="X117" s="10">
        <v>0</v>
      </c>
      <c r="Y117" t="s">
        <v>907</v>
      </c>
      <c r="Z117" t="s">
        <v>903</v>
      </c>
      <c r="AA117" s="2" t="s">
        <v>921</v>
      </c>
      <c r="AB117" s="9" t="s">
        <v>989</v>
      </c>
      <c r="AC117" s="9" t="s">
        <v>990</v>
      </c>
      <c r="AD117" s="10" t="str">
        <f>SUBSTITUTE(SUBSTITUTE(PROPERTIES[[#This Row],[PURCHASECOST_VALUE]], "PURCHASECOST_", ""), "_VALUE", "")</f>
        <v>STEAMENGINE</v>
      </c>
      <c r="AE117" s="9" t="str" cm="1">
        <f t="array" ref="AE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17" s="2" t="b">
        <v>0</v>
      </c>
      <c r="AX117"/>
      <c r="AY117"/>
      <c r="AZ117"/>
    </row>
    <row r="118" spans="1:52">
      <c r="A118" s="2" t="s">
        <v>141</v>
      </c>
      <c r="B118">
        <v>1911</v>
      </c>
      <c r="C118">
        <v>0</v>
      </c>
      <c r="D118" t="s">
        <v>1768</v>
      </c>
      <c r="E118" t="str">
        <f>_xlfn.XLOOKUP(PROPERTIES[[#This Row],[COUNTRY]],COUNTRIES[COUNTRY_DESCRIPTION],COUNTRIES[COUNTRY_LABEL],"")</f>
        <v>AO</v>
      </c>
      <c r="F118" t="s">
        <v>22</v>
      </c>
      <c r="G118" t="s">
        <v>17</v>
      </c>
      <c r="H118">
        <v>0</v>
      </c>
      <c r="I118">
        <v>6</v>
      </c>
      <c r="J118" s="2" t="s">
        <v>19</v>
      </c>
      <c r="K118" s="39">
        <f>_xlfn.XLOOKUP("LOADINGSPEEDDEF_"&amp;PROPERTIES[[#This Row],[LOADINGSPEED]],LOADINGSPEEDDEF[TYPE],LOADINGSPEEDDEF[SPEED])</f>
        <v>0</v>
      </c>
      <c r="L118">
        <v>45</v>
      </c>
      <c r="M118">
        <v>1</v>
      </c>
      <c r="N118" s="33">
        <v>67.099999999999994</v>
      </c>
      <c r="O118">
        <v>750</v>
      </c>
      <c r="P118">
        <v>60</v>
      </c>
      <c r="Q118" s="30">
        <v>60.4</v>
      </c>
      <c r="R118" s="29">
        <f>IFERROR(PROPERTIES[[#This Row],[TE_STARTING_KN]]/(PROPERTIES[[#This Row],[WEIGHT]]*9.81),0)</f>
        <v>9.1758311039405946E-2</v>
      </c>
      <c r="S118" s="29">
        <v>0.09</v>
      </c>
      <c r="T118" s="26">
        <f>ROUND(IF(IFERROR(PROPERTIES[[#This Row],[TE_COEFFICIENT_CALC]],0)=0,PROPERTIES[[#This Row],[TE_COEFFICIENT_MANUAL]],PROPERTIES[[#This Row],[TE_COEFFICIENT_CALC]]),3)</f>
        <v>9.1999999999999998E-2</v>
      </c>
      <c r="U118" s="11">
        <v>40</v>
      </c>
      <c r="V118" s="9">
        <v>0</v>
      </c>
      <c r="W118" s="9">
        <v>4</v>
      </c>
      <c r="X118" s="10">
        <v>0</v>
      </c>
      <c r="Y118" t="s">
        <v>907</v>
      </c>
      <c r="Z118" t="s">
        <v>903</v>
      </c>
      <c r="AA118" s="2" t="s">
        <v>921</v>
      </c>
      <c r="AB118" s="9" t="s">
        <v>989</v>
      </c>
      <c r="AC118" s="9" t="s">
        <v>990</v>
      </c>
      <c r="AD118" s="10" t="str">
        <f>SUBSTITUTE(SUBSTITUTE(PROPERTIES[[#This Row],[PURCHASECOST_VALUE]], "PURCHASECOST_", ""), "_VALUE", "")</f>
        <v>STEAMENGINE</v>
      </c>
      <c r="AE118" s="9" t="str" cm="1">
        <f t="array" ref="AE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8" s="2" t="b">
        <v>0</v>
      </c>
      <c r="AX118"/>
      <c r="AY118"/>
      <c r="AZ118"/>
    </row>
    <row r="119" spans="1:52">
      <c r="A119" s="2" t="s">
        <v>142</v>
      </c>
      <c r="B119">
        <v>1915</v>
      </c>
      <c r="C119">
        <v>0</v>
      </c>
      <c r="D119" t="s">
        <v>1836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 s="2" t="s">
        <v>19</v>
      </c>
      <c r="K119" s="39">
        <f>_xlfn.XLOOKUP("LOADINGSPEEDDEF_"&amp;PROPERTIES[[#This Row],[LOADINGSPEED]],LOADINGSPEEDDEF[TYPE],LOADINGSPEEDDEF[SPEED])</f>
        <v>0</v>
      </c>
      <c r="L119">
        <v>45</v>
      </c>
      <c r="M119">
        <v>1</v>
      </c>
      <c r="N119" s="33">
        <v>63</v>
      </c>
      <c r="O119">
        <v>850</v>
      </c>
      <c r="P119">
        <v>75</v>
      </c>
      <c r="Q119" s="30">
        <v>91.24</v>
      </c>
      <c r="R119" s="29">
        <f>IFERROR(PROPERTIES[[#This Row],[TE_STARTING_KN]]/(PROPERTIES[[#This Row],[WEIGHT]]*9.81),0)</f>
        <v>0.14763037393006809</v>
      </c>
      <c r="S119" s="29">
        <v>0.14000000000000001</v>
      </c>
      <c r="T119" s="26">
        <f>ROUND(IF(IFERROR(PROPERTIES[[#This Row],[TE_COEFFICIENT_CALC]],0)=0,PROPERTIES[[#This Row],[TE_COEFFICIENT_MANUAL]],PROPERTIES[[#This Row],[TE_COEFFICIENT_CALC]]),3)</f>
        <v>0.14799999999999999</v>
      </c>
      <c r="U119" s="11">
        <v>40</v>
      </c>
      <c r="V119" s="9">
        <v>0</v>
      </c>
      <c r="W119" s="9">
        <v>0</v>
      </c>
      <c r="X119" s="10">
        <v>0</v>
      </c>
      <c r="Y119" t="s">
        <v>908</v>
      </c>
      <c r="Z119" t="s">
        <v>903</v>
      </c>
      <c r="AA119" s="2" t="s">
        <v>921</v>
      </c>
      <c r="AB119" s="9" t="s">
        <v>989</v>
      </c>
      <c r="AC119" s="9" t="s">
        <v>990</v>
      </c>
      <c r="AD119" s="10" t="str">
        <f>SUBSTITUTE(SUBSTITUTE(PROPERTIES[[#This Row],[PURCHASECOST_VALUE]], "PURCHASECOST_", ""), "_VALUE", "")</f>
        <v>STEAMENGINE</v>
      </c>
      <c r="AE119" s="9" t="str" cm="1">
        <f t="array" ref="AE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9" s="2" t="b">
        <v>0</v>
      </c>
      <c r="AX119"/>
      <c r="AY119"/>
      <c r="AZ119"/>
    </row>
    <row r="120" spans="1:52">
      <c r="A120" s="2" t="s">
        <v>143</v>
      </c>
      <c r="B120">
        <v>1918</v>
      </c>
      <c r="C120">
        <v>0</v>
      </c>
      <c r="D120" t="s">
        <v>1817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 s="2" t="s">
        <v>19</v>
      </c>
      <c r="K120" s="39">
        <f>_xlfn.XLOOKUP("LOADINGSPEEDDEF_"&amp;PROPERTIES[[#This Row],[LOADINGSPEED]],LOADINGSPEEDDEF[TYPE],LOADINGSPEEDDEF[SPEED])</f>
        <v>0</v>
      </c>
      <c r="L120">
        <v>45</v>
      </c>
      <c r="M120">
        <v>1</v>
      </c>
      <c r="N120" s="33">
        <v>162.69999999999999</v>
      </c>
      <c r="O120">
        <v>1780</v>
      </c>
      <c r="P120">
        <v>115</v>
      </c>
      <c r="Q120" s="30">
        <v>112</v>
      </c>
      <c r="R120" s="29">
        <f>IFERROR(PROPERTIES[[#This Row],[TE_STARTING_KN]]/(PROPERTIES[[#This Row],[WEIGHT]]*9.81),0)</f>
        <v>7.0171613452148909E-2</v>
      </c>
      <c r="S120" s="29">
        <v>0.23</v>
      </c>
      <c r="T120" s="26">
        <f>ROUND(IF(IFERROR(PROPERTIES[[#This Row],[TE_COEFFICIENT_CALC]],0)=0,PROPERTIES[[#This Row],[TE_COEFFICIENT_MANUAL]],PROPERTIES[[#This Row],[TE_COEFFICIENT_CALC]]),3)</f>
        <v>7.0000000000000007E-2</v>
      </c>
      <c r="U120" s="11">
        <v>40</v>
      </c>
      <c r="V120" s="9">
        <v>0</v>
      </c>
      <c r="W120" s="9">
        <v>6</v>
      </c>
      <c r="X120" s="10">
        <v>0</v>
      </c>
      <c r="Y120" t="s">
        <v>904</v>
      </c>
      <c r="Z120" t="s">
        <v>903</v>
      </c>
      <c r="AA120" s="2" t="s">
        <v>921</v>
      </c>
      <c r="AB120" s="9" t="s">
        <v>989</v>
      </c>
      <c r="AC120" s="9" t="s">
        <v>990</v>
      </c>
      <c r="AD120" s="10" t="str">
        <f>SUBSTITUTE(SUBSTITUTE(PROPERTIES[[#This Row],[PURCHASECOST_VALUE]], "PURCHASECOST_", ""), "_VALUE", "")</f>
        <v>STEAMENGINE</v>
      </c>
      <c r="AE120" s="9" t="str" cm="1">
        <f t="array" ref="AE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0" s="2" t="b">
        <v>0</v>
      </c>
      <c r="AX120"/>
      <c r="AY120"/>
      <c r="AZ120"/>
    </row>
    <row r="121" spans="1:52">
      <c r="A121" s="2" t="s">
        <v>144</v>
      </c>
      <c r="B121">
        <v>1921</v>
      </c>
      <c r="C121">
        <v>0</v>
      </c>
      <c r="D121" t="s">
        <v>1780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 s="2" t="s">
        <v>19</v>
      </c>
      <c r="K121" s="39">
        <f>_xlfn.XLOOKUP("LOADINGSPEEDDEF_"&amp;PROPERTIES[[#This Row],[LOADINGSPEED]],LOADINGSPEEDDEF[TYPE],LOADINGSPEEDDEF[SPEED])</f>
        <v>0</v>
      </c>
      <c r="L121">
        <v>45</v>
      </c>
      <c r="M121">
        <v>1</v>
      </c>
      <c r="N121" s="33">
        <v>133</v>
      </c>
      <c r="O121">
        <v>1600</v>
      </c>
      <c r="P121">
        <v>110</v>
      </c>
      <c r="Q121" s="30">
        <v>102</v>
      </c>
      <c r="R121" s="29">
        <f>IFERROR(PROPERTIES[[#This Row],[TE_STARTING_KN]]/(PROPERTIES[[#This Row],[WEIGHT]]*9.81),0)</f>
        <v>7.8177094111425358E-2</v>
      </c>
      <c r="S121" s="29">
        <v>0.12</v>
      </c>
      <c r="T121" s="26">
        <f>ROUND(IF(IFERROR(PROPERTIES[[#This Row],[TE_COEFFICIENT_CALC]],0)=0,PROPERTIES[[#This Row],[TE_COEFFICIENT_MANUAL]],PROPERTIES[[#This Row],[TE_COEFFICIENT_CALC]]),3)</f>
        <v>7.8E-2</v>
      </c>
      <c r="U121" s="11">
        <v>40</v>
      </c>
      <c r="V121" s="9">
        <v>0</v>
      </c>
      <c r="W121" s="9">
        <v>4</v>
      </c>
      <c r="X121" s="10">
        <v>0</v>
      </c>
      <c r="Y121" t="s">
        <v>904</v>
      </c>
      <c r="Z121" t="s">
        <v>903</v>
      </c>
      <c r="AA121" s="2" t="s">
        <v>921</v>
      </c>
      <c r="AB121" s="9" t="s">
        <v>989</v>
      </c>
      <c r="AC121" s="9" t="s">
        <v>990</v>
      </c>
      <c r="AD121" s="10" t="str">
        <f>SUBSTITUTE(SUBSTITUTE(PROPERTIES[[#This Row],[PURCHASECOST_VALUE]], "PURCHASECOST_", ""), "_VALUE", "")</f>
        <v>STEAMENGINE</v>
      </c>
      <c r="AE121" s="9" t="str" cm="1">
        <f t="array" ref="AE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1" s="2" t="b">
        <v>0</v>
      </c>
      <c r="AX121"/>
      <c r="AY121"/>
      <c r="AZ121"/>
    </row>
    <row r="122" spans="1:52">
      <c r="A122" s="2" t="s">
        <v>145</v>
      </c>
      <c r="B122">
        <v>1922</v>
      </c>
      <c r="C122">
        <v>0</v>
      </c>
      <c r="D122" t="s">
        <v>1861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 s="2" t="s">
        <v>19</v>
      </c>
      <c r="K122" s="39">
        <f>_xlfn.XLOOKUP("LOADINGSPEEDDEF_"&amp;PROPERTIES[[#This Row],[LOADINGSPEED]],LOADINGSPEEDDEF[TYPE],LOADINGSPEEDDEF[SPEED])</f>
        <v>0</v>
      </c>
      <c r="L122">
        <v>45</v>
      </c>
      <c r="M122">
        <v>0</v>
      </c>
      <c r="N122" s="33">
        <v>84</v>
      </c>
      <c r="O122">
        <v>550</v>
      </c>
      <c r="P122">
        <v>120</v>
      </c>
      <c r="Q122" s="30">
        <v>101.8</v>
      </c>
      <c r="R122" s="29">
        <f>IFERROR(PROPERTIES[[#This Row],[TE_STARTING_KN]]/(PROPERTIES[[#This Row],[WEIGHT]]*9.81),0)</f>
        <v>0.12353769234503179</v>
      </c>
      <c r="S122" s="29">
        <v>0.12</v>
      </c>
      <c r="T122" s="26">
        <f>ROUND(IF(IFERROR(PROPERTIES[[#This Row],[TE_COEFFICIENT_CALC]],0)=0,PROPERTIES[[#This Row],[TE_COEFFICIENT_MANUAL]],PROPERTIES[[#This Row],[TE_COEFFICIENT_CALC]]),3)</f>
        <v>0.124</v>
      </c>
      <c r="U122" s="11">
        <v>40</v>
      </c>
      <c r="V122" s="9">
        <v>0</v>
      </c>
      <c r="W122" s="9">
        <v>4</v>
      </c>
      <c r="X122" s="10">
        <v>0</v>
      </c>
      <c r="Y122" t="s">
        <v>908</v>
      </c>
      <c r="Z122" t="s">
        <v>903</v>
      </c>
      <c r="AA122" s="2" t="s">
        <v>921</v>
      </c>
      <c r="AB122" s="9" t="s">
        <v>989</v>
      </c>
      <c r="AC122" s="9" t="s">
        <v>990</v>
      </c>
      <c r="AD122" s="10" t="str">
        <f>SUBSTITUTE(SUBSTITUTE(PROPERTIES[[#This Row],[PURCHASECOST_VALUE]], "PURCHASECOST_", ""), "_VALUE", "")</f>
        <v>STEAMENGINE</v>
      </c>
      <c r="AE122" s="9" t="str" cm="1">
        <f t="array" ref="AE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2" s="2" t="b">
        <v>0</v>
      </c>
      <c r="AX122"/>
      <c r="AY122"/>
      <c r="AZ122"/>
    </row>
    <row r="123" spans="1:52">
      <c r="A123" s="2" t="s">
        <v>146</v>
      </c>
      <c r="B123">
        <v>1922</v>
      </c>
      <c r="C123">
        <v>0</v>
      </c>
      <c r="D123" t="s">
        <v>1992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 s="2" t="s">
        <v>19</v>
      </c>
      <c r="K123" s="39">
        <f>_xlfn.XLOOKUP("LOADINGSPEEDDEF_"&amp;PROPERTIES[[#This Row],[LOADINGSPEED]],LOADINGSPEEDDEF[TYPE],LOADINGSPEEDDEF[SPEED])</f>
        <v>0</v>
      </c>
      <c r="L123">
        <v>45</v>
      </c>
      <c r="M123">
        <v>1</v>
      </c>
      <c r="N123" s="33">
        <v>105</v>
      </c>
      <c r="O123">
        <v>850</v>
      </c>
      <c r="P123">
        <v>65</v>
      </c>
      <c r="Q123" s="30">
        <v>136.80000000000001</v>
      </c>
      <c r="R123" s="29">
        <f>IFERROR(PROPERTIES[[#This Row],[TE_STARTING_KN]]/(PROPERTIES[[#This Row],[WEIGHT]]*9.81),0)</f>
        <v>0.13280908693752733</v>
      </c>
      <c r="S123" s="29">
        <v>0.21</v>
      </c>
      <c r="T123" s="26">
        <f>ROUND(IF(IFERROR(PROPERTIES[[#This Row],[TE_COEFFICIENT_CALC]],0)=0,PROPERTIES[[#This Row],[TE_COEFFICIENT_MANUAL]],PROPERTIES[[#This Row],[TE_COEFFICIENT_CALC]]),3)</f>
        <v>0.13300000000000001</v>
      </c>
      <c r="U123" s="11">
        <v>40</v>
      </c>
      <c r="V123" s="9">
        <v>0</v>
      </c>
      <c r="W123" s="9">
        <v>4</v>
      </c>
      <c r="X123" s="10">
        <v>0</v>
      </c>
      <c r="Y123" t="s">
        <v>909</v>
      </c>
      <c r="Z123" t="s">
        <v>903</v>
      </c>
      <c r="AA123" s="2" t="s">
        <v>921</v>
      </c>
      <c r="AB123" s="9" t="s">
        <v>989</v>
      </c>
      <c r="AC123" s="9" t="s">
        <v>990</v>
      </c>
      <c r="AD123" s="10" t="str">
        <f>SUBSTITUTE(SUBSTITUTE(PROPERTIES[[#This Row],[PURCHASECOST_VALUE]], "PURCHASECOST_", ""), "_VALUE", "")</f>
        <v>STEAMENGINE</v>
      </c>
      <c r="AE123" s="9" t="str" cm="1">
        <f t="array" ref="AE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3" s="2" t="b">
        <v>0</v>
      </c>
      <c r="AX123"/>
      <c r="AY123"/>
      <c r="AZ123"/>
    </row>
    <row r="124" spans="1:52">
      <c r="A124" s="2" t="s">
        <v>147</v>
      </c>
      <c r="B124">
        <v>1923</v>
      </c>
      <c r="C124">
        <v>0</v>
      </c>
      <c r="D124" t="s">
        <v>1798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 s="2" t="s">
        <v>19</v>
      </c>
      <c r="K124" s="39">
        <f>_xlfn.XLOOKUP("LOADINGSPEEDDEF_"&amp;PROPERTIES[[#This Row],[LOADINGSPEED]],LOADINGSPEEDDEF[TYPE],LOADINGSPEEDDEF[SPEED])</f>
        <v>0</v>
      </c>
      <c r="L124">
        <v>45</v>
      </c>
      <c r="M124">
        <v>1</v>
      </c>
      <c r="N124" s="33">
        <v>273</v>
      </c>
      <c r="O124">
        <v>3200</v>
      </c>
      <c r="P124">
        <v>130</v>
      </c>
      <c r="Q124" s="30">
        <v>220.6</v>
      </c>
      <c r="R124" s="29">
        <f>IFERROR(PROPERTIES[[#This Row],[TE_STARTING_KN]]/(PROPERTIES[[#This Row],[WEIGHT]]*9.81),0)</f>
        <v>8.2370908058981451E-2</v>
      </c>
      <c r="S124" s="29">
        <v>0.08</v>
      </c>
      <c r="T124" s="26">
        <f>ROUND(IF(IFERROR(PROPERTIES[[#This Row],[TE_COEFFICIENT_CALC]],0)=0,PROPERTIES[[#This Row],[TE_COEFFICIENT_MANUAL]],PROPERTIES[[#This Row],[TE_COEFFICIENT_CALC]]),3)</f>
        <v>8.2000000000000003E-2</v>
      </c>
      <c r="U124" s="11">
        <v>40</v>
      </c>
      <c r="V124" s="9">
        <v>0</v>
      </c>
      <c r="W124" s="9">
        <v>6</v>
      </c>
      <c r="X124" s="10">
        <v>0</v>
      </c>
      <c r="Y124" t="s">
        <v>909</v>
      </c>
      <c r="Z124" t="s">
        <v>903</v>
      </c>
      <c r="AA124" s="2" t="s">
        <v>921</v>
      </c>
      <c r="AB124" s="9" t="s">
        <v>989</v>
      </c>
      <c r="AC124" s="9" t="s">
        <v>990</v>
      </c>
      <c r="AD124" s="10" t="str">
        <f>SUBSTITUTE(SUBSTITUTE(PROPERTIES[[#This Row],[PURCHASECOST_VALUE]], "PURCHASECOST_", ""), "_VALUE", "")</f>
        <v>STEAMENGINE</v>
      </c>
      <c r="AE124" s="9" t="str" cm="1">
        <f t="array" ref="AE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4" s="2" t="b">
        <v>0</v>
      </c>
      <c r="AX124"/>
      <c r="AY124"/>
      <c r="AZ124"/>
    </row>
    <row r="125" spans="1:52">
      <c r="A125" s="2" t="s">
        <v>148</v>
      </c>
      <c r="B125">
        <v>1927</v>
      </c>
      <c r="C125">
        <v>0</v>
      </c>
      <c r="D125" t="s">
        <v>1864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 s="2" t="s">
        <v>19</v>
      </c>
      <c r="K125" s="39">
        <f>_xlfn.XLOOKUP("LOADINGSPEEDDEF_"&amp;PROPERTIES[[#This Row],[LOADINGSPEED]],LOADINGSPEEDDEF[TYPE],LOADINGSPEEDDEF[SPEED])</f>
        <v>0</v>
      </c>
      <c r="L125">
        <v>45</v>
      </c>
      <c r="M125">
        <v>1</v>
      </c>
      <c r="N125" s="33">
        <v>162.5</v>
      </c>
      <c r="O125">
        <v>2150</v>
      </c>
      <c r="P125">
        <v>110</v>
      </c>
      <c r="Q125" s="30">
        <v>119.03</v>
      </c>
      <c r="R125" s="29">
        <f>IFERROR(PROPERTIES[[#This Row],[TE_STARTING_KN]]/(PROPERTIES[[#This Row],[WEIGHT]]*9.81),0)</f>
        <v>7.4667921273425863E-2</v>
      </c>
      <c r="S125" s="29">
        <v>0.08</v>
      </c>
      <c r="T125" s="26">
        <f>ROUND(IF(IFERROR(PROPERTIES[[#This Row],[TE_COEFFICIENT_CALC]],0)=0,PROPERTIES[[#This Row],[TE_COEFFICIENT_MANUAL]],PROPERTIES[[#This Row],[TE_COEFFICIENT_CALC]]),3)</f>
        <v>7.4999999999999997E-2</v>
      </c>
      <c r="U125" s="11">
        <v>40</v>
      </c>
      <c r="V125" s="9">
        <v>0</v>
      </c>
      <c r="W125" s="9">
        <v>7</v>
      </c>
      <c r="X125" s="10">
        <v>0</v>
      </c>
      <c r="Y125" t="s">
        <v>912</v>
      </c>
      <c r="Z125" t="s">
        <v>903</v>
      </c>
      <c r="AA125" s="2" t="s">
        <v>921</v>
      </c>
      <c r="AB125" s="9" t="s">
        <v>989</v>
      </c>
      <c r="AC125" s="9" t="s">
        <v>990</v>
      </c>
      <c r="AD125" s="10" t="str">
        <f>SUBSTITUTE(SUBSTITUTE(PROPERTIES[[#This Row],[PURCHASECOST_VALUE]], "PURCHASECOST_", ""), "_VALUE", "")</f>
        <v>STEAMENGINE</v>
      </c>
      <c r="AE125" s="9" t="str" cm="1">
        <f t="array" ref="AE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5" s="2" t="b">
        <v>0</v>
      </c>
      <c r="AX125"/>
      <c r="AY125"/>
      <c r="AZ125"/>
    </row>
    <row r="126" spans="1:52">
      <c r="A126" s="2" t="s">
        <v>149</v>
      </c>
      <c r="B126">
        <v>1940</v>
      </c>
      <c r="C126">
        <v>0</v>
      </c>
      <c r="D126" t="s">
        <v>1866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 s="2" t="s">
        <v>19</v>
      </c>
      <c r="K126" s="39">
        <f>_xlfn.XLOOKUP("LOADINGSPEEDDEF_"&amp;PROPERTIES[[#This Row],[LOADINGSPEED]],LOADINGSPEEDDEF[TYPE],LOADINGSPEEDDEF[SPEED])</f>
        <v>0</v>
      </c>
      <c r="L126">
        <v>45</v>
      </c>
      <c r="M126">
        <v>1</v>
      </c>
      <c r="N126" s="33">
        <v>162</v>
      </c>
      <c r="O126">
        <v>1640</v>
      </c>
      <c r="P126">
        <v>110</v>
      </c>
      <c r="Q126" s="30">
        <v>0</v>
      </c>
      <c r="R126" s="29">
        <f>IFERROR(PROPERTIES[[#This Row],[TE_STARTING_KN]]/(PROPERTIES[[#This Row],[WEIGHT]]*9.81),0)</f>
        <v>0</v>
      </c>
      <c r="S126" s="29">
        <v>0.08</v>
      </c>
      <c r="T126" s="26">
        <f>ROUND(IF(IFERROR(PROPERTIES[[#This Row],[TE_COEFFICIENT_CALC]],0)=0,PROPERTIES[[#This Row],[TE_COEFFICIENT_MANUAL]],PROPERTIES[[#This Row],[TE_COEFFICIENT_CALC]]),3)</f>
        <v>0.08</v>
      </c>
      <c r="U126" s="11">
        <v>40</v>
      </c>
      <c r="V126" s="9">
        <v>0</v>
      </c>
      <c r="W126" s="9">
        <v>6</v>
      </c>
      <c r="X126" s="10">
        <v>0</v>
      </c>
      <c r="Y126" t="s">
        <v>912</v>
      </c>
      <c r="Z126" t="s">
        <v>903</v>
      </c>
      <c r="AA126" s="2" t="s">
        <v>921</v>
      </c>
      <c r="AB126" s="9" t="s">
        <v>989</v>
      </c>
      <c r="AC126" s="9" t="s">
        <v>990</v>
      </c>
      <c r="AD126" s="10" t="str">
        <f>SUBSTITUTE(SUBSTITUTE(PROPERTIES[[#This Row],[PURCHASECOST_VALUE]], "PURCHASECOST_", ""), "_VALUE", "")</f>
        <v>STEAMENGINE</v>
      </c>
      <c r="AE126" s="9" t="str" cm="1">
        <f t="array" ref="AE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6" s="2" t="b">
        <v>0</v>
      </c>
      <c r="AX126"/>
      <c r="AY126"/>
      <c r="AZ126"/>
    </row>
    <row r="127" spans="1:52">
      <c r="A127" s="2" t="s">
        <v>150</v>
      </c>
      <c r="B127">
        <v>1942</v>
      </c>
      <c r="C127">
        <v>0</v>
      </c>
      <c r="D127" t="s">
        <v>1825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 s="2" t="s">
        <v>19</v>
      </c>
      <c r="K127" s="39">
        <f>_xlfn.XLOOKUP("LOADINGSPEEDDEF_"&amp;PROPERTIES[[#This Row],[LOADINGSPEED]],LOADINGSPEEDDEF[TYPE],LOADINGSPEEDDEF[SPEED])</f>
        <v>0</v>
      </c>
      <c r="L127">
        <v>45</v>
      </c>
      <c r="M127">
        <v>1</v>
      </c>
      <c r="N127" s="33">
        <v>46</v>
      </c>
      <c r="O127">
        <v>560</v>
      </c>
      <c r="P127">
        <v>65</v>
      </c>
      <c r="Q127" s="30">
        <v>92.68</v>
      </c>
      <c r="R127" s="29">
        <f>IFERROR(PROPERTIES[[#This Row],[TE_STARTING_KN]]/(PROPERTIES[[#This Row],[WEIGHT]]*9.81),0)</f>
        <v>0.20538049018304302</v>
      </c>
      <c r="S127" s="29">
        <v>0.22</v>
      </c>
      <c r="T127" s="26">
        <f>ROUND(IF(IFERROR(PROPERTIES[[#This Row],[TE_COEFFICIENT_CALC]],0)=0,PROPERTIES[[#This Row],[TE_COEFFICIENT_MANUAL]],PROPERTIES[[#This Row],[TE_COEFFICIENT_CALC]]),3)</f>
        <v>0.20499999999999999</v>
      </c>
      <c r="U127" s="11">
        <v>40</v>
      </c>
      <c r="V127" s="9">
        <v>0</v>
      </c>
      <c r="W127" s="9">
        <v>0</v>
      </c>
      <c r="X127" s="10">
        <v>0</v>
      </c>
      <c r="Y127" t="s">
        <v>907</v>
      </c>
      <c r="Z127" t="s">
        <v>903</v>
      </c>
      <c r="AA127" s="2" t="s">
        <v>921</v>
      </c>
      <c r="AB127" s="9" t="s">
        <v>989</v>
      </c>
      <c r="AC127" s="9" t="s">
        <v>990</v>
      </c>
      <c r="AD127" s="10" t="str">
        <f>SUBSTITUTE(SUBSTITUTE(PROPERTIES[[#This Row],[PURCHASECOST_VALUE]], "PURCHASECOST_", ""), "_VALUE", "")</f>
        <v>STEAMENGINE</v>
      </c>
      <c r="AE127" s="9" t="str" cm="1">
        <f t="array" ref="AE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7" s="2" t="b">
        <v>0</v>
      </c>
      <c r="AX127"/>
      <c r="AY127"/>
      <c r="AZ127"/>
    </row>
    <row r="128" spans="1:52">
      <c r="A128" s="2" t="s">
        <v>151</v>
      </c>
      <c r="B128">
        <v>1949</v>
      </c>
      <c r="C128">
        <v>0</v>
      </c>
      <c r="D128" t="s">
        <v>1836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 s="2" t="s">
        <v>19</v>
      </c>
      <c r="K128" s="39">
        <f>_xlfn.XLOOKUP("LOADINGSPEEDDEF_"&amp;PROPERTIES[[#This Row],[LOADINGSPEED]],LOADINGSPEEDDEF[TYPE],LOADINGSPEEDDEF[SPEED])</f>
        <v>0</v>
      </c>
      <c r="L128">
        <v>45</v>
      </c>
      <c r="M128">
        <v>0</v>
      </c>
      <c r="N128" s="33">
        <v>41.6</v>
      </c>
      <c r="O128">
        <v>500</v>
      </c>
      <c r="P128">
        <v>65</v>
      </c>
      <c r="Q128" s="30">
        <v>82.36</v>
      </c>
      <c r="R128" s="29">
        <f>IFERROR(PROPERTIES[[#This Row],[TE_STARTING_KN]]/(PROPERTIES[[#This Row],[WEIGHT]]*9.81),0)</f>
        <v>0.20181525915470866</v>
      </c>
      <c r="S128" s="29">
        <v>0.2</v>
      </c>
      <c r="T128" s="26">
        <f>ROUND(IF(IFERROR(PROPERTIES[[#This Row],[TE_COEFFICIENT_CALC]],0)=0,PROPERTIES[[#This Row],[TE_COEFFICIENT_MANUAL]],PROPERTIES[[#This Row],[TE_COEFFICIENT_CALC]]),3)</f>
        <v>0.20200000000000001</v>
      </c>
      <c r="U128" s="11">
        <v>40</v>
      </c>
      <c r="V128" s="9">
        <v>0</v>
      </c>
      <c r="W128" s="9">
        <v>0</v>
      </c>
      <c r="X128" s="10">
        <v>0</v>
      </c>
      <c r="Y128" t="s">
        <v>908</v>
      </c>
      <c r="Z128" t="s">
        <v>903</v>
      </c>
      <c r="AA128" s="2" t="s">
        <v>921</v>
      </c>
      <c r="AB128" s="9" t="s">
        <v>989</v>
      </c>
      <c r="AC128" s="9" t="s">
        <v>990</v>
      </c>
      <c r="AD128" s="10" t="str">
        <f>SUBSTITUTE(SUBSTITUTE(PROPERTIES[[#This Row],[PURCHASECOST_VALUE]], "PURCHASECOST_", ""), "_VALUE", "")</f>
        <v>STEAMENGINE</v>
      </c>
      <c r="AE128" s="9" t="str" cm="1">
        <f t="array" ref="AE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8" s="2" t="b">
        <v>0</v>
      </c>
      <c r="AX128"/>
      <c r="AY128"/>
      <c r="AZ128"/>
    </row>
    <row r="129" spans="1:52">
      <c r="A129" s="2" t="s">
        <v>152</v>
      </c>
      <c r="B129">
        <v>1951</v>
      </c>
      <c r="C129">
        <v>0</v>
      </c>
      <c r="D129" t="s">
        <v>1773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 s="2" t="s">
        <v>19</v>
      </c>
      <c r="K129" s="39">
        <f>_xlfn.XLOOKUP("LOADINGSPEEDDEF_"&amp;PROPERTIES[[#This Row],[LOADINGSPEED]],LOADINGSPEEDDEF[TYPE],LOADINGSPEEDDEF[SPEED])</f>
        <v>0</v>
      </c>
      <c r="L129">
        <v>45</v>
      </c>
      <c r="M129">
        <v>1</v>
      </c>
      <c r="N129" s="33">
        <v>188.3</v>
      </c>
      <c r="O129">
        <v>2400</v>
      </c>
      <c r="P129">
        <v>130</v>
      </c>
      <c r="Q129" s="30">
        <v>142.69999999999999</v>
      </c>
      <c r="R129" s="29">
        <f>IFERROR(PROPERTIES[[#This Row],[TE_STARTING_KN]]/(PROPERTIES[[#This Row],[WEIGHT]]*9.81),0)</f>
        <v>7.7251095292771896E-2</v>
      </c>
      <c r="S129" s="29">
        <v>7.0000000000000007E-2</v>
      </c>
      <c r="T129" s="26">
        <f>ROUND(IF(IFERROR(PROPERTIES[[#This Row],[TE_COEFFICIENT_CALC]],0)=0,PROPERTIES[[#This Row],[TE_COEFFICIENT_MANUAL]],PROPERTIES[[#This Row],[TE_COEFFICIENT_CALC]]),3)</f>
        <v>7.6999999999999999E-2</v>
      </c>
      <c r="U129" s="11">
        <v>40</v>
      </c>
      <c r="V129" s="9">
        <v>0</v>
      </c>
      <c r="W129" s="9">
        <v>5</v>
      </c>
      <c r="X129" s="10">
        <v>0</v>
      </c>
      <c r="Y129" t="s">
        <v>906</v>
      </c>
      <c r="Z129" t="s">
        <v>903</v>
      </c>
      <c r="AA129" s="2" t="s">
        <v>921</v>
      </c>
      <c r="AB129" s="9" t="s">
        <v>989</v>
      </c>
      <c r="AC129" s="9" t="s">
        <v>990</v>
      </c>
      <c r="AD129" s="10" t="str">
        <f>SUBSTITUTE(SUBSTITUTE(PROPERTIES[[#This Row],[PURCHASECOST_VALUE]], "PURCHASECOST_", ""), "_VALUE", "")</f>
        <v>STEAMENGINE</v>
      </c>
      <c r="AE129" s="9" t="str" cm="1">
        <f t="array" ref="AE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9" s="2" t="b">
        <v>0</v>
      </c>
      <c r="AX129"/>
      <c r="AY129"/>
      <c r="AZ129"/>
    </row>
    <row r="130" spans="1:52">
      <c r="A130" s="2" t="s">
        <v>153</v>
      </c>
      <c r="B130">
        <v>1952</v>
      </c>
      <c r="C130">
        <v>0</v>
      </c>
      <c r="D130" t="s">
        <v>1817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 s="2" t="s">
        <v>19</v>
      </c>
      <c r="K130" s="39">
        <f>_xlfn.XLOOKUP("LOADINGSPEEDDEF_"&amp;PROPERTIES[[#This Row],[LOADINGSPEED]],LOADINGSPEEDDEF[TYPE],LOADINGSPEEDDEF[SPEED])</f>
        <v>0</v>
      </c>
      <c r="L130">
        <v>45</v>
      </c>
      <c r="M130">
        <v>1</v>
      </c>
      <c r="N130" s="33">
        <v>55</v>
      </c>
      <c r="O130">
        <v>592</v>
      </c>
      <c r="P130">
        <v>30</v>
      </c>
      <c r="Q130" s="30">
        <v>83.35</v>
      </c>
      <c r="R130" s="29">
        <f>IFERROR(PROPERTIES[[#This Row],[TE_STARTING_KN]]/(PROPERTIES[[#This Row],[WEIGHT]]*9.81),0)</f>
        <v>0.15448058567324618</v>
      </c>
      <c r="S130" s="29">
        <v>0.2</v>
      </c>
      <c r="T130" s="26">
        <f>ROUND(IF(IFERROR(PROPERTIES[[#This Row],[TE_COEFFICIENT_CALC]],0)=0,PROPERTIES[[#This Row],[TE_COEFFICIENT_MANUAL]],PROPERTIES[[#This Row],[TE_COEFFICIENT_CALC]]),3)</f>
        <v>0.154</v>
      </c>
      <c r="U130" s="11">
        <v>40</v>
      </c>
      <c r="V130" s="9">
        <v>0</v>
      </c>
      <c r="W130" s="9">
        <v>0</v>
      </c>
      <c r="X130" s="10">
        <v>0</v>
      </c>
      <c r="Y130" t="s">
        <v>904</v>
      </c>
      <c r="Z130" t="s">
        <v>903</v>
      </c>
      <c r="AA130" s="2" t="s">
        <v>921</v>
      </c>
      <c r="AB130" s="9" t="s">
        <v>989</v>
      </c>
      <c r="AC130" s="9" t="s">
        <v>990</v>
      </c>
      <c r="AD130" s="10" t="str">
        <f>SUBSTITUTE(SUBSTITUTE(PROPERTIES[[#This Row],[PURCHASECOST_VALUE]], "PURCHASECOST_", ""), "_VALUE", "")</f>
        <v>STEAMENGINE</v>
      </c>
      <c r="AE130" s="9" t="str" cm="1">
        <f t="array" ref="AE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0" s="2" t="b">
        <v>0</v>
      </c>
      <c r="AX130"/>
      <c r="AY130"/>
      <c r="AZ130"/>
    </row>
    <row r="131" spans="1:52">
      <c r="A131" s="2" t="s">
        <v>154</v>
      </c>
      <c r="B131">
        <v>1961</v>
      </c>
      <c r="C131">
        <v>0</v>
      </c>
      <c r="D131" t="s">
        <v>1817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 s="2" t="s">
        <v>19</v>
      </c>
      <c r="K131" s="39">
        <f>_xlfn.XLOOKUP("LOADINGSPEEDDEF_"&amp;PROPERTIES[[#This Row],[LOADINGSPEED]],LOADINGSPEEDDEF[TYPE],LOADINGSPEEDDEF[SPEED])</f>
        <v>0</v>
      </c>
      <c r="L131">
        <v>45</v>
      </c>
      <c r="M131">
        <v>1</v>
      </c>
      <c r="N131" s="33">
        <v>172</v>
      </c>
      <c r="O131">
        <v>2120</v>
      </c>
      <c r="P131">
        <v>182</v>
      </c>
      <c r="Q131" s="30">
        <v>0</v>
      </c>
      <c r="R131" s="29">
        <f>IFERROR(PROPERTIES[[#This Row],[TE_STARTING_KN]]/(PROPERTIES[[#This Row],[WEIGHT]]*9.81),0)</f>
        <v>0</v>
      </c>
      <c r="S131" s="29">
        <v>0.06</v>
      </c>
      <c r="T131" s="26">
        <f>ROUND(IF(IFERROR(PROPERTIES[[#This Row],[TE_COEFFICIENT_CALC]],0)=0,PROPERTIES[[#This Row],[TE_COEFFICIENT_MANUAL]],PROPERTIES[[#This Row],[TE_COEFFICIENT_CALC]]),3)</f>
        <v>0.06</v>
      </c>
      <c r="U131" s="11">
        <v>40</v>
      </c>
      <c r="V131" s="9">
        <v>0</v>
      </c>
      <c r="W131" s="9">
        <v>6</v>
      </c>
      <c r="X131" s="10">
        <v>0</v>
      </c>
      <c r="Y131" t="s">
        <v>904</v>
      </c>
      <c r="Z131" t="s">
        <v>903</v>
      </c>
      <c r="AA131" s="2" t="s">
        <v>921</v>
      </c>
      <c r="AB131" s="9" t="s">
        <v>989</v>
      </c>
      <c r="AC131" s="9" t="s">
        <v>990</v>
      </c>
      <c r="AD131" s="10" t="str">
        <f>SUBSTITUTE(SUBSTITUTE(PROPERTIES[[#This Row],[PURCHASECOST_VALUE]], "PURCHASECOST_", ""), "_VALUE", "")</f>
        <v>STEAMENGINE</v>
      </c>
      <c r="AE131" s="9" t="str" cm="1">
        <f t="array" ref="AE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1" s="2" t="b">
        <v>0</v>
      </c>
      <c r="AX131"/>
      <c r="AY131"/>
      <c r="AZ131"/>
    </row>
    <row r="132" spans="1:52">
      <c r="A132" s="2" t="s">
        <v>155</v>
      </c>
      <c r="B132">
        <v>1923</v>
      </c>
      <c r="C132">
        <v>0</v>
      </c>
      <c r="D132" t="s">
        <v>1930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 s="2" t="s">
        <v>23</v>
      </c>
      <c r="K132" s="39">
        <f>_xlfn.XLOOKUP("LOADINGSPEEDDEF_"&amp;PROPERTIES[[#This Row],[LOADINGSPEED]],LOADINGSPEEDDEF[TYPE],LOADINGSPEEDDEF[SPEED])</f>
        <v>40</v>
      </c>
      <c r="L132">
        <v>45</v>
      </c>
      <c r="M132">
        <v>1</v>
      </c>
      <c r="N132" s="33">
        <v>74</v>
      </c>
      <c r="O132">
        <v>1000</v>
      </c>
      <c r="P132">
        <v>97</v>
      </c>
      <c r="Q132" s="30">
        <v>99</v>
      </c>
      <c r="R132" s="29">
        <f>IFERROR(PROPERTIES[[#This Row],[TE_STARTING_KN]]/(PROPERTIES[[#This Row],[WEIGHT]]*9.81),0)</f>
        <v>0.13637490701710883</v>
      </c>
      <c r="S132" s="29">
        <v>0.14000000000000001</v>
      </c>
      <c r="T132" s="26">
        <f>ROUND(IF(IFERROR(PROPERTIES[[#This Row],[TE_COEFFICIENT_CALC]],0)=0,PROPERTIES[[#This Row],[TE_COEFFICIENT_MANUAL]],PROPERTIES[[#This Row],[TE_COEFFICIENT_CALC]]),3)</f>
        <v>0.13600000000000001</v>
      </c>
      <c r="U132" s="11">
        <v>40</v>
      </c>
      <c r="V132" s="9">
        <v>0</v>
      </c>
      <c r="W132" s="9">
        <v>0</v>
      </c>
      <c r="X132" s="10">
        <v>0</v>
      </c>
      <c r="Y132" t="s">
        <v>906</v>
      </c>
      <c r="Z132" t="s">
        <v>903</v>
      </c>
      <c r="AA132" s="2" t="s">
        <v>921</v>
      </c>
      <c r="AB132" s="9" t="s">
        <v>989</v>
      </c>
      <c r="AC132" s="9" t="s">
        <v>990</v>
      </c>
      <c r="AD132" s="10" t="str">
        <f>SUBSTITUTE(SUBSTITUTE(PROPERTIES[[#This Row],[PURCHASECOST_VALUE]], "PURCHASECOST_", ""), "_VALUE", "")</f>
        <v>STEAMENGINE</v>
      </c>
      <c r="AE132" s="9" t="str" cm="1">
        <f t="array" ref="AE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2" s="2" t="b">
        <v>0</v>
      </c>
      <c r="AX132"/>
      <c r="AY132"/>
      <c r="AZ132"/>
    </row>
    <row r="133" spans="1:52">
      <c r="A133" s="2" t="s">
        <v>156</v>
      </c>
      <c r="B133">
        <v>1929</v>
      </c>
      <c r="C133">
        <v>0</v>
      </c>
      <c r="D133" t="s">
        <v>1773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 s="2" t="s">
        <v>23</v>
      </c>
      <c r="K133" s="39">
        <f>_xlfn.XLOOKUP("LOADINGSPEEDDEF_"&amp;PROPERTIES[[#This Row],[LOADINGSPEED]],LOADINGSPEEDDEF[TYPE],LOADINGSPEEDDEF[SPEED])</f>
        <v>40</v>
      </c>
      <c r="L133">
        <v>45</v>
      </c>
      <c r="M133">
        <v>1</v>
      </c>
      <c r="N133" s="33">
        <v>231</v>
      </c>
      <c r="O133">
        <v>2800</v>
      </c>
      <c r="P133">
        <v>80</v>
      </c>
      <c r="Q133" s="30">
        <v>289.10000000000002</v>
      </c>
      <c r="R133" s="29">
        <f>IFERROR(PROPERTIES[[#This Row],[TE_STARTING_KN]]/(PROPERTIES[[#This Row],[WEIGHT]]*9.81),0)</f>
        <v>0.12757544867636611</v>
      </c>
      <c r="S133" s="29">
        <v>0.12</v>
      </c>
      <c r="T133" s="26">
        <f>ROUND(IF(IFERROR(PROPERTIES[[#This Row],[TE_COEFFICIENT_CALC]],0)=0,PROPERTIES[[#This Row],[TE_COEFFICIENT_MANUAL]],PROPERTIES[[#This Row],[TE_COEFFICIENT_CALC]]),3)</f>
        <v>0.128</v>
      </c>
      <c r="U133" s="11">
        <v>40</v>
      </c>
      <c r="V133" s="9">
        <v>0</v>
      </c>
      <c r="W133" s="9">
        <v>5</v>
      </c>
      <c r="X133" s="10">
        <v>0</v>
      </c>
      <c r="Y133" t="s">
        <v>906</v>
      </c>
      <c r="Z133" t="s">
        <v>903</v>
      </c>
      <c r="AA133" s="2" t="s">
        <v>921</v>
      </c>
      <c r="AB133" s="9" t="s">
        <v>989</v>
      </c>
      <c r="AC133" s="9" t="s">
        <v>990</v>
      </c>
      <c r="AD133" s="10" t="str">
        <f>SUBSTITUTE(SUBSTITUTE(PROPERTIES[[#This Row],[PURCHASECOST_VALUE]], "PURCHASECOST_", ""), "_VALUE", "")</f>
        <v>STEAMENGINE</v>
      </c>
      <c r="AE133" s="9" t="str" cm="1">
        <f t="array" ref="AE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3" s="2" t="b">
        <v>0</v>
      </c>
      <c r="AX133"/>
      <c r="AY133"/>
      <c r="AZ133"/>
    </row>
    <row r="134" spans="1:52">
      <c r="A134" s="2" t="s">
        <v>157</v>
      </c>
      <c r="B134">
        <v>1943</v>
      </c>
      <c r="C134">
        <v>0</v>
      </c>
      <c r="D134" t="s">
        <v>1773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 s="2" t="s">
        <v>23</v>
      </c>
      <c r="K134" s="39">
        <f>_xlfn.XLOOKUP("LOADINGSPEEDDEF_"&amp;PROPERTIES[[#This Row],[LOADINGSPEED]],LOADINGSPEEDDEF[TYPE],LOADINGSPEEDDEF[SPEED])</f>
        <v>40</v>
      </c>
      <c r="L134">
        <v>45</v>
      </c>
      <c r="M134">
        <v>1</v>
      </c>
      <c r="N134" s="33">
        <v>200</v>
      </c>
      <c r="O134">
        <v>2600</v>
      </c>
      <c r="P134">
        <v>112</v>
      </c>
      <c r="Q134" s="30">
        <v>145</v>
      </c>
      <c r="R134" s="29">
        <f>IFERROR(PROPERTIES[[#This Row],[TE_STARTING_KN]]/(PROPERTIES[[#This Row],[WEIGHT]]*9.81),0)</f>
        <v>7.3904179408766563E-2</v>
      </c>
      <c r="S134" s="29">
        <v>7.0000000000000007E-2</v>
      </c>
      <c r="T134" s="26">
        <f>ROUND(IF(IFERROR(PROPERTIES[[#This Row],[TE_COEFFICIENT_CALC]],0)=0,PROPERTIES[[#This Row],[TE_COEFFICIENT_MANUAL]],PROPERTIES[[#This Row],[TE_COEFFICIENT_CALC]]),3)</f>
        <v>7.3999999999999996E-2</v>
      </c>
      <c r="U134" s="11">
        <v>40</v>
      </c>
      <c r="V134" s="9">
        <v>0</v>
      </c>
      <c r="W134" s="9">
        <v>5</v>
      </c>
      <c r="X134" s="10">
        <v>0</v>
      </c>
      <c r="Y134" t="s">
        <v>906</v>
      </c>
      <c r="Z134" t="s">
        <v>903</v>
      </c>
      <c r="AA134" s="2" t="s">
        <v>921</v>
      </c>
      <c r="AB134" s="9" t="s">
        <v>989</v>
      </c>
      <c r="AC134" s="9" t="s">
        <v>990</v>
      </c>
      <c r="AD134" s="10" t="str">
        <f>SUBSTITUTE(SUBSTITUTE(PROPERTIES[[#This Row],[PURCHASECOST_VALUE]], "PURCHASECOST_", ""), "_VALUE", "")</f>
        <v>STEAMENGINE</v>
      </c>
      <c r="AE134" s="9" t="str" cm="1">
        <f t="array" ref="AE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4" s="2" t="b">
        <v>0</v>
      </c>
      <c r="AX134"/>
      <c r="AY134"/>
      <c r="AZ134"/>
    </row>
    <row r="135" spans="1:52">
      <c r="A135" s="2" t="s">
        <v>158</v>
      </c>
      <c r="B135">
        <v>1952</v>
      </c>
      <c r="C135">
        <v>0</v>
      </c>
      <c r="D135" t="s">
        <v>1773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 s="2" t="s">
        <v>23</v>
      </c>
      <c r="K135" s="39">
        <f>_xlfn.XLOOKUP("LOADINGSPEEDDEF_"&amp;PROPERTIES[[#This Row],[LOADINGSPEED]],LOADINGSPEEDDEF[TYPE],LOADINGSPEEDDEF[SPEED])</f>
        <v>40</v>
      </c>
      <c r="L135">
        <v>45</v>
      </c>
      <c r="M135">
        <v>1</v>
      </c>
      <c r="N135" s="33">
        <v>259</v>
      </c>
      <c r="O135">
        <v>3500</v>
      </c>
      <c r="P135">
        <v>95</v>
      </c>
      <c r="Q135" s="30">
        <f>264.9*2</f>
        <v>529.79999999999995</v>
      </c>
      <c r="R135" s="29">
        <f>IFERROR(PROPERTIES[[#This Row],[TE_STARTING_KN]]/(PROPERTIES[[#This Row],[WEIGHT]]*9.81),0)</f>
        <v>0.20851782319672227</v>
      </c>
      <c r="S135" s="29">
        <v>0.11</v>
      </c>
      <c r="T135" s="26">
        <f>ROUND(IF(IFERROR(PROPERTIES[[#This Row],[TE_COEFFICIENT_CALC]],0)=0,PROPERTIES[[#This Row],[TE_COEFFICIENT_MANUAL]],PROPERTIES[[#This Row],[TE_COEFFICIENT_CALC]]),3)</f>
        <v>0.20899999999999999</v>
      </c>
      <c r="U135" s="11">
        <v>40</v>
      </c>
      <c r="V135" s="9">
        <v>0</v>
      </c>
      <c r="W135" s="9">
        <v>0</v>
      </c>
      <c r="X135" s="10">
        <v>0</v>
      </c>
      <c r="Y135" t="s">
        <v>906</v>
      </c>
      <c r="Z135" t="s">
        <v>903</v>
      </c>
      <c r="AA135" s="2" t="s">
        <v>921</v>
      </c>
      <c r="AB135" s="9" t="s">
        <v>989</v>
      </c>
      <c r="AC135" s="9" t="s">
        <v>990</v>
      </c>
      <c r="AD135" s="10" t="str">
        <f>SUBSTITUTE(SUBSTITUTE(PROPERTIES[[#This Row],[PURCHASECOST_VALUE]], "PURCHASECOST_", ""), "_VALUE", "")</f>
        <v>STEAMENGINE</v>
      </c>
      <c r="AE135" s="9" t="str" cm="1">
        <f t="array" ref="AE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5" s="2" t="b">
        <v>0</v>
      </c>
      <c r="AX135"/>
      <c r="AY135"/>
      <c r="AZ135"/>
    </row>
    <row r="136" spans="1:52">
      <c r="A136" s="2" t="s">
        <v>159</v>
      </c>
      <c r="B136">
        <v>1910</v>
      </c>
      <c r="C136">
        <v>0</v>
      </c>
      <c r="D136" t="s">
        <v>1993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 s="2" t="s">
        <v>23</v>
      </c>
      <c r="K136" s="39">
        <f>_xlfn.XLOOKUP("LOADINGSPEEDDEF_"&amp;PROPERTIES[[#This Row],[LOADINGSPEED]],LOADINGSPEEDDEF[TYPE],LOADINGSPEEDDEF[SPEED])</f>
        <v>40</v>
      </c>
      <c r="L136">
        <v>45</v>
      </c>
      <c r="M136">
        <v>1</v>
      </c>
      <c r="N136" s="33">
        <v>84.5</v>
      </c>
      <c r="O136">
        <v>650</v>
      </c>
      <c r="P136">
        <v>75</v>
      </c>
      <c r="Q136" s="30">
        <v>0</v>
      </c>
      <c r="R136" s="29">
        <f>IFERROR(PROPERTIES[[#This Row],[TE_STARTING_KN]]/(PROPERTIES[[#This Row],[WEIGHT]]*9.81),0)</f>
        <v>0</v>
      </c>
      <c r="S136" s="29">
        <v>0.1</v>
      </c>
      <c r="T136" s="26">
        <f>ROUND(IF(IFERROR(PROPERTIES[[#This Row],[TE_COEFFICIENT_CALC]],0)=0,PROPERTIES[[#This Row],[TE_COEFFICIENT_MANUAL]],PROPERTIES[[#This Row],[TE_COEFFICIENT_CALC]]),3)</f>
        <v>0.1</v>
      </c>
      <c r="U136" s="11">
        <v>40</v>
      </c>
      <c r="V136" s="9">
        <v>0</v>
      </c>
      <c r="W136" s="9">
        <v>3</v>
      </c>
      <c r="X136" s="10">
        <v>0</v>
      </c>
      <c r="Y136" t="s">
        <v>911</v>
      </c>
      <c r="Z136" t="s">
        <v>903</v>
      </c>
      <c r="AA136" s="2" t="s">
        <v>921</v>
      </c>
      <c r="AB136" s="9" t="s">
        <v>989</v>
      </c>
      <c r="AC136" s="9" t="s">
        <v>990</v>
      </c>
      <c r="AD136" s="10" t="str">
        <f>SUBSTITUTE(SUBSTITUTE(PROPERTIES[[#This Row],[PURCHASECOST_VALUE]], "PURCHASECOST_", ""), "_VALUE", "")</f>
        <v>STEAMENGINE</v>
      </c>
      <c r="AE136" s="9" t="str" cm="1">
        <f t="array" ref="AE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6" s="2" t="b">
        <v>0</v>
      </c>
      <c r="AX136"/>
      <c r="AY136"/>
      <c r="AZ136"/>
    </row>
    <row r="137" spans="1:52">
      <c r="A137" s="2" t="s">
        <v>160</v>
      </c>
      <c r="B137">
        <v>1930</v>
      </c>
      <c r="C137">
        <v>0</v>
      </c>
      <c r="D137" t="s">
        <v>1770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 s="2" t="s">
        <v>23</v>
      </c>
      <c r="K137" s="39">
        <f>_xlfn.XLOOKUP("LOADINGSPEEDDEF_"&amp;PROPERTIES[[#This Row],[LOADINGSPEED]],LOADINGSPEEDDEF[TYPE],LOADINGSPEEDDEF[SPEED])</f>
        <v>40</v>
      </c>
      <c r="L137">
        <v>45</v>
      </c>
      <c r="M137">
        <v>1</v>
      </c>
      <c r="N137" s="33">
        <v>203</v>
      </c>
      <c r="O137">
        <v>1500</v>
      </c>
      <c r="P137">
        <v>160</v>
      </c>
      <c r="Q137" s="30">
        <v>0</v>
      </c>
      <c r="R137" s="29">
        <f>IFERROR(PROPERTIES[[#This Row],[TE_STARTING_KN]]/(PROPERTIES[[#This Row],[WEIGHT]]*9.81),0)</f>
        <v>0</v>
      </c>
      <c r="S137" s="29">
        <v>0.08</v>
      </c>
      <c r="T137" s="26">
        <f>ROUND(IF(IFERROR(PROPERTIES[[#This Row],[TE_COEFFICIENT_CALC]],0)=0,PROPERTIES[[#This Row],[TE_COEFFICIENT_MANUAL]],PROPERTIES[[#This Row],[TE_COEFFICIENT_CALC]]),3)</f>
        <v>0.08</v>
      </c>
      <c r="U137" s="11">
        <v>40</v>
      </c>
      <c r="V137" s="9">
        <v>0</v>
      </c>
      <c r="W137" s="9">
        <v>5</v>
      </c>
      <c r="X137" s="10">
        <v>0</v>
      </c>
      <c r="Y137" t="s">
        <v>911</v>
      </c>
      <c r="Z137" t="s">
        <v>903</v>
      </c>
      <c r="AA137" s="2" t="s">
        <v>921</v>
      </c>
      <c r="AB137" s="9" t="s">
        <v>989</v>
      </c>
      <c r="AC137" s="9" t="s">
        <v>990</v>
      </c>
      <c r="AD137" s="10" t="str">
        <f>SUBSTITUTE(SUBSTITUTE(PROPERTIES[[#This Row],[PURCHASECOST_VALUE]], "PURCHASECOST_", ""), "_VALUE", "")</f>
        <v>STEAMENGINE</v>
      </c>
      <c r="AE137" s="9" t="str" cm="1">
        <f t="array" ref="AE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7" s="2" t="b">
        <v>0</v>
      </c>
      <c r="AX137"/>
      <c r="AY137"/>
      <c r="AZ137"/>
    </row>
    <row r="138" spans="1:52">
      <c r="A138" s="2" t="s">
        <v>161</v>
      </c>
      <c r="B138">
        <v>1873</v>
      </c>
      <c r="C138">
        <v>0</v>
      </c>
      <c r="D138" t="s">
        <v>2006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 s="2" t="s">
        <v>23</v>
      </c>
      <c r="K138" s="39">
        <f>_xlfn.XLOOKUP("LOADINGSPEEDDEF_"&amp;PROPERTIES[[#This Row],[LOADINGSPEED]],LOADINGSPEEDDEF[TYPE],LOADINGSPEEDDEF[SPEED])</f>
        <v>40</v>
      </c>
      <c r="L138">
        <v>45</v>
      </c>
      <c r="M138">
        <v>1</v>
      </c>
      <c r="N138" s="33">
        <v>8</v>
      </c>
      <c r="O138">
        <v>40</v>
      </c>
      <c r="P138">
        <v>16</v>
      </c>
      <c r="Q138" s="30">
        <v>14.6</v>
      </c>
      <c r="R138" s="29">
        <f>IFERROR(PROPERTIES[[#This Row],[TE_STARTING_KN]]/(PROPERTIES[[#This Row],[WEIGHT]]*9.81),0)</f>
        <v>0.18603465851172271</v>
      </c>
      <c r="S138" s="29">
        <v>0.06</v>
      </c>
      <c r="T138" s="26">
        <f>ROUND(IF(IFERROR(PROPERTIES[[#This Row],[TE_COEFFICIENT_CALC]],0)=0,PROPERTIES[[#This Row],[TE_COEFFICIENT_MANUAL]],PROPERTIES[[#This Row],[TE_COEFFICIENT_CALC]]),3)</f>
        <v>0.186</v>
      </c>
      <c r="U138" s="11">
        <v>40</v>
      </c>
      <c r="V138" s="9">
        <v>0</v>
      </c>
      <c r="W138" s="9">
        <v>0</v>
      </c>
      <c r="X138" s="10">
        <v>0</v>
      </c>
      <c r="Y138" t="s">
        <v>907</v>
      </c>
      <c r="Z138" t="s">
        <v>903</v>
      </c>
      <c r="AA138" s="2" t="s">
        <v>921</v>
      </c>
      <c r="AB138" s="9" t="s">
        <v>989</v>
      </c>
      <c r="AC138" s="9" t="s">
        <v>990</v>
      </c>
      <c r="AD138" s="10" t="str">
        <f>SUBSTITUTE(SUBSTITUTE(PROPERTIES[[#This Row],[PURCHASECOST_VALUE]], "PURCHASECOST_", ""), "_VALUE", "")</f>
        <v>STEAMENGINE</v>
      </c>
      <c r="AE138" s="9" t="str" cm="1">
        <f t="array" ref="AE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8" s="2" t="b">
        <v>0</v>
      </c>
      <c r="AX138"/>
      <c r="AY138"/>
      <c r="AZ138"/>
    </row>
    <row r="139" spans="1:52">
      <c r="A139" s="2" t="s">
        <v>162</v>
      </c>
      <c r="B139">
        <v>1895</v>
      </c>
      <c r="C139">
        <v>0</v>
      </c>
      <c r="D139" t="s">
        <v>1918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 s="2" t="s">
        <v>23</v>
      </c>
      <c r="K139" s="39">
        <f>_xlfn.XLOOKUP("LOADINGSPEEDDEF_"&amp;PROPERTIES[[#This Row],[LOADINGSPEED]],LOADINGSPEEDDEF[TYPE],LOADINGSPEEDDEF[SPEED])</f>
        <v>40</v>
      </c>
      <c r="L139">
        <v>45</v>
      </c>
      <c r="M139">
        <v>1</v>
      </c>
      <c r="N139" s="33">
        <v>20</v>
      </c>
      <c r="O139">
        <v>120</v>
      </c>
      <c r="P139">
        <v>30</v>
      </c>
      <c r="Q139" s="30">
        <v>13</v>
      </c>
      <c r="R139" s="29">
        <f>IFERROR(PROPERTIES[[#This Row],[TE_STARTING_KN]]/(PROPERTIES[[#This Row],[WEIGHT]]*9.81),0)</f>
        <v>6.6258919469928637E-2</v>
      </c>
      <c r="S139" s="29">
        <v>0.08</v>
      </c>
      <c r="T139" s="26">
        <f>ROUND(IF(IFERROR(PROPERTIES[[#This Row],[TE_COEFFICIENT_CALC]],0)=0,PROPERTIES[[#This Row],[TE_COEFFICIENT_MANUAL]],PROPERTIES[[#This Row],[TE_COEFFICIENT_CALC]]),3)</f>
        <v>6.6000000000000003E-2</v>
      </c>
      <c r="U139" s="11">
        <v>40</v>
      </c>
      <c r="V139" s="9">
        <v>0</v>
      </c>
      <c r="W139" s="9">
        <v>3</v>
      </c>
      <c r="X139" s="10">
        <v>0</v>
      </c>
      <c r="Y139" t="s">
        <v>907</v>
      </c>
      <c r="Z139" t="s">
        <v>903</v>
      </c>
      <c r="AA139" s="2" t="s">
        <v>921</v>
      </c>
      <c r="AB139" s="9" t="s">
        <v>989</v>
      </c>
      <c r="AC139" s="9" t="s">
        <v>990</v>
      </c>
      <c r="AD139" s="10" t="str">
        <f>SUBSTITUTE(SUBSTITUTE(PROPERTIES[[#This Row],[PURCHASECOST_VALUE]], "PURCHASECOST_", ""), "_VALUE", "")</f>
        <v>STEAMENGINE</v>
      </c>
      <c r="AE139" s="9" t="str" cm="1">
        <f t="array" ref="AE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9" s="2" t="b">
        <v>0</v>
      </c>
      <c r="AX139"/>
      <c r="AY139"/>
      <c r="AZ139"/>
    </row>
    <row r="140" spans="1:52">
      <c r="A140" s="2" t="s">
        <v>163</v>
      </c>
      <c r="B140">
        <v>1911</v>
      </c>
      <c r="C140">
        <v>0</v>
      </c>
      <c r="D140" t="s">
        <v>1827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 s="2" t="s">
        <v>23</v>
      </c>
      <c r="K140" s="39">
        <f>_xlfn.XLOOKUP("LOADINGSPEEDDEF_"&amp;PROPERTIES[[#This Row],[LOADINGSPEED]],LOADINGSPEEDDEF[TYPE],LOADINGSPEEDDEF[SPEED])</f>
        <v>40</v>
      </c>
      <c r="L140">
        <v>45</v>
      </c>
      <c r="M140">
        <v>1</v>
      </c>
      <c r="N140" s="33">
        <v>35</v>
      </c>
      <c r="O140">
        <v>250</v>
      </c>
      <c r="P140">
        <v>40</v>
      </c>
      <c r="Q140" s="30">
        <v>48</v>
      </c>
      <c r="R140" s="29">
        <f>IFERROR(PROPERTIES[[#This Row],[TE_STARTING_KN]]/(PROPERTIES[[#This Row],[WEIGHT]]*9.81),0)</f>
        <v>0.13979903888160769</v>
      </c>
      <c r="S140" s="29">
        <v>0.14000000000000001</v>
      </c>
      <c r="T140" s="26">
        <f>ROUND(IF(IFERROR(PROPERTIES[[#This Row],[TE_COEFFICIENT_CALC]],0)=0,PROPERTIES[[#This Row],[TE_COEFFICIENT_MANUAL]],PROPERTIES[[#This Row],[TE_COEFFICIENT_CALC]]),3)</f>
        <v>0.14000000000000001</v>
      </c>
      <c r="U140" s="11">
        <v>40</v>
      </c>
      <c r="V140" s="9">
        <v>0</v>
      </c>
      <c r="W140" s="9">
        <v>0</v>
      </c>
      <c r="X140" s="10">
        <v>0</v>
      </c>
      <c r="Y140" t="s">
        <v>907</v>
      </c>
      <c r="Z140" t="s">
        <v>903</v>
      </c>
      <c r="AA140" s="2" t="s">
        <v>921</v>
      </c>
      <c r="AB140" s="9" t="s">
        <v>989</v>
      </c>
      <c r="AC140" s="9" t="s">
        <v>990</v>
      </c>
      <c r="AD140" s="10" t="str">
        <f>SUBSTITUTE(SUBSTITUTE(PROPERTIES[[#This Row],[PURCHASECOST_VALUE]], "PURCHASECOST_", ""), "_VALUE", "")</f>
        <v>STEAMENGINE</v>
      </c>
      <c r="AE140" s="9" t="str" cm="1">
        <f t="array" ref="AE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0" s="2" t="b">
        <v>0</v>
      </c>
      <c r="AX140"/>
      <c r="AY140"/>
      <c r="AZ140"/>
    </row>
    <row r="141" spans="1:52">
      <c r="A141" s="2" t="s">
        <v>164</v>
      </c>
      <c r="B141">
        <v>1923</v>
      </c>
      <c r="C141">
        <v>0</v>
      </c>
      <c r="D141" t="s">
        <v>1874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 s="2" t="s">
        <v>23</v>
      </c>
      <c r="K141" s="39">
        <f>_xlfn.XLOOKUP("LOADINGSPEEDDEF_"&amp;PROPERTIES[[#This Row],[LOADINGSPEED]],LOADINGSPEEDDEF[TYPE],LOADINGSPEEDDEF[SPEED])</f>
        <v>40</v>
      </c>
      <c r="L141">
        <v>45</v>
      </c>
      <c r="M141">
        <v>1</v>
      </c>
      <c r="N141" s="33">
        <v>108</v>
      </c>
      <c r="O141">
        <v>1100</v>
      </c>
      <c r="P141">
        <v>75</v>
      </c>
      <c r="Q141" s="30">
        <v>108.49</v>
      </c>
      <c r="R141" s="29">
        <f>IFERROR(PROPERTIES[[#This Row],[TE_STARTING_KN]]/(PROPERTIES[[#This Row],[WEIGHT]]*9.81),0)</f>
        <v>0.10239929021784271</v>
      </c>
      <c r="S141" s="29">
        <v>0.14000000000000001</v>
      </c>
      <c r="T141" s="26">
        <f>ROUND(IF(IFERROR(PROPERTIES[[#This Row],[TE_COEFFICIENT_CALC]],0)=0,PROPERTIES[[#This Row],[TE_COEFFICIENT_MANUAL]],PROPERTIES[[#This Row],[TE_COEFFICIENT_CALC]]),3)</f>
        <v>0.10199999999999999</v>
      </c>
      <c r="U141" s="11">
        <v>40</v>
      </c>
      <c r="V141" s="9">
        <v>0</v>
      </c>
      <c r="W141" s="9">
        <v>3</v>
      </c>
      <c r="X141" s="10">
        <v>0</v>
      </c>
      <c r="Y141" t="s">
        <v>907</v>
      </c>
      <c r="Z141" t="s">
        <v>903</v>
      </c>
      <c r="AA141" s="2" t="s">
        <v>921</v>
      </c>
      <c r="AB141" s="9" t="s">
        <v>989</v>
      </c>
      <c r="AC141" s="9" t="s">
        <v>990</v>
      </c>
      <c r="AD141" s="10" t="str">
        <f>SUBSTITUTE(SUBSTITUTE(PROPERTIES[[#This Row],[PURCHASECOST_VALUE]], "PURCHASECOST_", ""), "_VALUE", "")</f>
        <v>STEAMENGINE</v>
      </c>
      <c r="AE141" s="9" t="str" cm="1">
        <f t="array" ref="AE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1" s="2" t="b">
        <v>0</v>
      </c>
      <c r="AX141"/>
      <c r="AY141"/>
      <c r="AZ141"/>
    </row>
    <row r="142" spans="1:52">
      <c r="A142" s="2" t="s">
        <v>165</v>
      </c>
      <c r="B142">
        <v>1928</v>
      </c>
      <c r="C142">
        <v>0</v>
      </c>
      <c r="D142" t="s">
        <v>1874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 s="2" t="s">
        <v>23</v>
      </c>
      <c r="K142" s="39">
        <f>_xlfn.XLOOKUP("LOADINGSPEEDDEF_"&amp;PROPERTIES[[#This Row],[LOADINGSPEED]],LOADINGSPEEDDEF[TYPE],LOADINGSPEEDDEF[SPEED])</f>
        <v>40</v>
      </c>
      <c r="L142">
        <v>45</v>
      </c>
      <c r="M142">
        <v>1</v>
      </c>
      <c r="N142" s="33">
        <v>94.2</v>
      </c>
      <c r="O142">
        <v>900</v>
      </c>
      <c r="P142">
        <v>65</v>
      </c>
      <c r="Q142" s="30">
        <v>108.09</v>
      </c>
      <c r="R142" s="29">
        <f>IFERROR(PROPERTIES[[#This Row],[TE_STARTING_KN]]/(PROPERTIES[[#This Row],[WEIGHT]]*9.81),0)</f>
        <v>0.11696760747190245</v>
      </c>
      <c r="S142" s="29">
        <v>0.13</v>
      </c>
      <c r="T142" s="26">
        <f>ROUND(IF(IFERROR(PROPERTIES[[#This Row],[TE_COEFFICIENT_CALC]],0)=0,PROPERTIES[[#This Row],[TE_COEFFICIENT_MANUAL]],PROPERTIES[[#This Row],[TE_COEFFICIENT_CALC]]),3)</f>
        <v>0.11700000000000001</v>
      </c>
      <c r="U142" s="11">
        <v>40</v>
      </c>
      <c r="V142" s="9">
        <v>0</v>
      </c>
      <c r="W142" s="9">
        <v>3</v>
      </c>
      <c r="X142" s="10">
        <v>0</v>
      </c>
      <c r="Y142" t="s">
        <v>907</v>
      </c>
      <c r="Z142" t="s">
        <v>903</v>
      </c>
      <c r="AA142" s="2" t="s">
        <v>921</v>
      </c>
      <c r="AB142" s="9" t="s">
        <v>989</v>
      </c>
      <c r="AC142" s="9" t="s">
        <v>990</v>
      </c>
      <c r="AD142" s="10" t="str">
        <f>SUBSTITUTE(SUBSTITUTE(PROPERTIES[[#This Row],[PURCHASECOST_VALUE]], "PURCHASECOST_", ""), "_VALUE", "")</f>
        <v>STEAMENGINE</v>
      </c>
      <c r="AE142" s="9" t="str" cm="1">
        <f t="array" ref="AE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2" s="2" t="b">
        <v>0</v>
      </c>
      <c r="AX142"/>
      <c r="AY142"/>
      <c r="AZ142"/>
    </row>
    <row r="143" spans="1:52">
      <c r="A143" s="2" t="s">
        <v>166</v>
      </c>
      <c r="B143">
        <v>1940</v>
      </c>
      <c r="C143">
        <v>0</v>
      </c>
      <c r="D143" t="s">
        <v>2008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 s="2" t="s">
        <v>23</v>
      </c>
      <c r="K143" s="39">
        <f>_xlfn.XLOOKUP("LOADINGSPEEDDEF_"&amp;PROPERTIES[[#This Row],[LOADINGSPEED]],LOADINGSPEEDDEF[TYPE],LOADINGSPEEDDEF[SPEED])</f>
        <v>40</v>
      </c>
      <c r="L143">
        <v>45</v>
      </c>
      <c r="M143">
        <v>1</v>
      </c>
      <c r="N143" s="33">
        <v>179.5</v>
      </c>
      <c r="O143">
        <v>1600</v>
      </c>
      <c r="P143">
        <v>100</v>
      </c>
      <c r="Q143" s="30">
        <v>190.1</v>
      </c>
      <c r="R143" s="29">
        <f>IFERROR(PROPERTIES[[#This Row],[TE_STARTING_KN]]/(PROPERTIES[[#This Row],[WEIGHT]]*9.81),0)</f>
        <v>0.10795646532019229</v>
      </c>
      <c r="S143" s="29">
        <v>0.1</v>
      </c>
      <c r="T143" s="26">
        <f>ROUND(IF(IFERROR(PROPERTIES[[#This Row],[TE_COEFFICIENT_CALC]],0)=0,PROPERTIES[[#This Row],[TE_COEFFICIENT_MANUAL]],PROPERTIES[[#This Row],[TE_COEFFICIENT_CALC]]),3)</f>
        <v>0.108</v>
      </c>
      <c r="U143" s="11">
        <v>40</v>
      </c>
      <c r="V143" s="9">
        <v>0</v>
      </c>
      <c r="W143" s="9">
        <v>0</v>
      </c>
      <c r="X143" s="10">
        <v>0</v>
      </c>
      <c r="Y143" t="s">
        <v>907</v>
      </c>
      <c r="Z143" t="s">
        <v>903</v>
      </c>
      <c r="AA143" s="2" t="s">
        <v>921</v>
      </c>
      <c r="AB143" s="9" t="s">
        <v>989</v>
      </c>
      <c r="AC143" s="9" t="s">
        <v>990</v>
      </c>
      <c r="AD143" s="10" t="str">
        <f>SUBSTITUTE(SUBSTITUTE(PROPERTIES[[#This Row],[PURCHASECOST_VALUE]], "PURCHASECOST_", ""), "_VALUE", "")</f>
        <v>STEAMENGINE</v>
      </c>
      <c r="AE143" s="9" t="str" cm="1">
        <f t="array" ref="AE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3" s="2" t="b">
        <v>0</v>
      </c>
      <c r="AX143"/>
      <c r="AY143"/>
      <c r="AZ143"/>
    </row>
    <row r="144" spans="1:52">
      <c r="A144" s="2" t="s">
        <v>167</v>
      </c>
      <c r="B144">
        <v>1953</v>
      </c>
      <c r="C144">
        <v>0</v>
      </c>
      <c r="D144" t="s">
        <v>2006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 s="2" t="s">
        <v>23</v>
      </c>
      <c r="K144" s="39">
        <f>_xlfn.XLOOKUP("LOADINGSPEEDDEF_"&amp;PROPERTIES[[#This Row],[LOADINGSPEED]],LOADINGSPEEDDEF[TYPE],LOADINGSPEEDDEF[SPEED])</f>
        <v>40</v>
      </c>
      <c r="L144">
        <v>45</v>
      </c>
      <c r="M144">
        <v>1</v>
      </c>
      <c r="N144" s="33">
        <v>241.3</v>
      </c>
      <c r="O144">
        <v>2500</v>
      </c>
      <c r="P144">
        <v>85</v>
      </c>
      <c r="Q144" s="30">
        <v>430</v>
      </c>
      <c r="R144" s="29">
        <f>IFERROR(PROPERTIES[[#This Row],[TE_STARTING_KN]]/(PROPERTIES[[#This Row],[WEIGHT]]*9.81),0)</f>
        <v>0.1816528124713527</v>
      </c>
      <c r="S144" s="29">
        <v>0.13</v>
      </c>
      <c r="T144" s="26">
        <f>ROUND(IF(IFERROR(PROPERTIES[[#This Row],[TE_COEFFICIENT_CALC]],0)=0,PROPERTIES[[#This Row],[TE_COEFFICIENT_MANUAL]],PROPERTIES[[#This Row],[TE_COEFFICIENT_CALC]]),3)</f>
        <v>0.182</v>
      </c>
      <c r="U144" s="11">
        <v>40</v>
      </c>
      <c r="V144" s="9">
        <v>0</v>
      </c>
      <c r="W144" s="9">
        <v>0</v>
      </c>
      <c r="X144" s="10">
        <v>0</v>
      </c>
      <c r="Y144" t="s">
        <v>907</v>
      </c>
      <c r="Z144" t="s">
        <v>903</v>
      </c>
      <c r="AA144" s="2" t="s">
        <v>921</v>
      </c>
      <c r="AB144" s="9" t="s">
        <v>989</v>
      </c>
      <c r="AC144" s="9" t="s">
        <v>990</v>
      </c>
      <c r="AD144" s="10" t="str">
        <f>SUBSTITUTE(SUBSTITUTE(PROPERTIES[[#This Row],[PURCHASECOST_VALUE]], "PURCHASECOST_", ""), "_VALUE", "")</f>
        <v>STEAMENGINE</v>
      </c>
      <c r="AE144" s="9" t="str" cm="1">
        <f t="array" ref="AE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4" s="2" t="b">
        <v>0</v>
      </c>
      <c r="AX144"/>
      <c r="AY144"/>
      <c r="AZ144"/>
    </row>
    <row r="145" spans="1:52">
      <c r="A145" s="2" t="s">
        <v>168</v>
      </c>
      <c r="B145">
        <v>1955</v>
      </c>
      <c r="C145">
        <v>0</v>
      </c>
      <c r="D145" t="s">
        <v>1874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 s="2" t="s">
        <v>23</v>
      </c>
      <c r="K145" s="39">
        <f>_xlfn.XLOOKUP("LOADINGSPEEDDEF_"&amp;PROPERTIES[[#This Row],[LOADINGSPEED]],LOADINGSPEEDDEF[TYPE],LOADINGSPEEDDEF[SPEED])</f>
        <v>40</v>
      </c>
      <c r="L145">
        <v>45</v>
      </c>
      <c r="M145">
        <v>1</v>
      </c>
      <c r="N145" s="33">
        <v>135.19999999999999</v>
      </c>
      <c r="O145">
        <v>1650</v>
      </c>
      <c r="P145">
        <v>95</v>
      </c>
      <c r="Q145" s="30">
        <v>118.32</v>
      </c>
      <c r="R145" s="29">
        <f>IFERROR(PROPERTIES[[#This Row],[TE_STARTING_KN]]/(PROPERTIES[[#This Row],[WEIGHT]]*9.81),0)</f>
        <v>8.9209778694605793E-2</v>
      </c>
      <c r="S145" s="29">
        <v>0.1</v>
      </c>
      <c r="T145" s="26">
        <f>ROUND(IF(IFERROR(PROPERTIES[[#This Row],[TE_COEFFICIENT_CALC]],0)=0,PROPERTIES[[#This Row],[TE_COEFFICIENT_MANUAL]],PROPERTIES[[#This Row],[TE_COEFFICIENT_CALC]]),3)</f>
        <v>8.8999999999999996E-2</v>
      </c>
      <c r="U145" s="11">
        <v>40</v>
      </c>
      <c r="V145" s="9">
        <v>0</v>
      </c>
      <c r="W145" s="9">
        <v>4</v>
      </c>
      <c r="X145" s="10">
        <v>0</v>
      </c>
      <c r="Y145" t="s">
        <v>907</v>
      </c>
      <c r="Z145" t="s">
        <v>903</v>
      </c>
      <c r="AA145" s="2" t="s">
        <v>921</v>
      </c>
      <c r="AB145" s="9" t="s">
        <v>989</v>
      </c>
      <c r="AC145" s="9" t="s">
        <v>990</v>
      </c>
      <c r="AD145" s="10" t="str">
        <f>SUBSTITUTE(SUBSTITUTE(PROPERTIES[[#This Row],[PURCHASECOST_VALUE]], "PURCHASECOST_", ""), "_VALUE", "")</f>
        <v>STEAMENGINE</v>
      </c>
      <c r="AE145" s="9" t="str" cm="1">
        <f t="array" ref="AE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5" s="2" t="b">
        <v>0</v>
      </c>
      <c r="AX145"/>
      <c r="AY145"/>
      <c r="AZ145"/>
    </row>
    <row r="146" spans="1:52">
      <c r="A146" s="2" t="s">
        <v>169</v>
      </c>
      <c r="B146">
        <v>1855</v>
      </c>
      <c r="C146">
        <v>0</v>
      </c>
      <c r="D146" t="s">
        <v>1864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 s="2" t="s">
        <v>23</v>
      </c>
      <c r="K146" s="39">
        <f>_xlfn.XLOOKUP("LOADINGSPEEDDEF_"&amp;PROPERTIES[[#This Row],[LOADINGSPEED]],LOADINGSPEEDDEF[TYPE],LOADINGSPEEDDEF[SPEED])</f>
        <v>40</v>
      </c>
      <c r="L146">
        <v>45</v>
      </c>
      <c r="M146">
        <v>1</v>
      </c>
      <c r="N146" s="33">
        <v>28</v>
      </c>
      <c r="O146">
        <v>130</v>
      </c>
      <c r="P146">
        <v>40</v>
      </c>
      <c r="Q146" s="30">
        <v>20</v>
      </c>
      <c r="R146" s="29">
        <f>IFERROR(PROPERTIES[[#This Row],[TE_STARTING_KN]]/(PROPERTIES[[#This Row],[WEIGHT]]*9.81),0)</f>
        <v>7.2811999417504006E-2</v>
      </c>
      <c r="S146" s="29">
        <v>0.16</v>
      </c>
      <c r="T146" s="26">
        <f>ROUND(IF(IFERROR(PROPERTIES[[#This Row],[TE_COEFFICIENT_CALC]],0)=0,PROPERTIES[[#This Row],[TE_COEFFICIENT_MANUAL]],PROPERTIES[[#This Row],[TE_COEFFICIENT_CALC]]),3)</f>
        <v>7.2999999999999995E-2</v>
      </c>
      <c r="U146" s="11">
        <v>40</v>
      </c>
      <c r="V146" s="9">
        <v>0</v>
      </c>
      <c r="W146" s="9">
        <v>0</v>
      </c>
      <c r="X146" s="10">
        <v>0</v>
      </c>
      <c r="Y146" t="s">
        <v>912</v>
      </c>
      <c r="Z146" t="s">
        <v>903</v>
      </c>
      <c r="AA146" s="2" t="s">
        <v>921</v>
      </c>
      <c r="AB146" s="9" t="s">
        <v>989</v>
      </c>
      <c r="AC146" s="9" t="s">
        <v>990</v>
      </c>
      <c r="AD146" s="10" t="str">
        <f>SUBSTITUTE(SUBSTITUTE(PROPERTIES[[#This Row],[PURCHASECOST_VALUE]], "PURCHASECOST_", ""), "_VALUE", "")</f>
        <v>STEAMENGINE</v>
      </c>
      <c r="AE146" s="9" t="str" cm="1">
        <f t="array" ref="AE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6" s="2" t="b">
        <v>0</v>
      </c>
      <c r="AX146"/>
      <c r="AY146"/>
      <c r="AZ146"/>
    </row>
    <row r="147" spans="1:52">
      <c r="A147" s="2" t="s">
        <v>170</v>
      </c>
      <c r="B147">
        <v>1889</v>
      </c>
      <c r="C147">
        <v>0</v>
      </c>
      <c r="D147" t="s">
        <v>1864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 s="2" t="s">
        <v>23</v>
      </c>
      <c r="K147" s="39">
        <f>_xlfn.XLOOKUP("LOADINGSPEEDDEF_"&amp;PROPERTIES[[#This Row],[LOADINGSPEED]],LOADINGSPEEDDEF[TYPE],LOADINGSPEEDDEF[SPEED])</f>
        <v>40</v>
      </c>
      <c r="L147" t="s">
        <v>20</v>
      </c>
      <c r="M147">
        <v>1</v>
      </c>
      <c r="N147" s="33">
        <v>14.2</v>
      </c>
      <c r="O147">
        <v>100</v>
      </c>
      <c r="P147">
        <v>25</v>
      </c>
      <c r="Q147" s="30">
        <v>34.47</v>
      </c>
      <c r="R147" s="29">
        <f>IFERROR(PROPERTIES[[#This Row],[TE_STARTING_KN]]/(PROPERTIES[[#This Row],[WEIGHT]]*9.81),0)</f>
        <v>0.24744799069647241</v>
      </c>
      <c r="S147" s="29">
        <v>0.18</v>
      </c>
      <c r="T147" s="26">
        <f>ROUND(IF(IFERROR(PROPERTIES[[#This Row],[TE_COEFFICIENT_CALC]],0)=0,PROPERTIES[[#This Row],[TE_COEFFICIENT_MANUAL]],PROPERTIES[[#This Row],[TE_COEFFICIENT_CALC]]),3)</f>
        <v>0.247</v>
      </c>
      <c r="U147" s="11">
        <v>40</v>
      </c>
      <c r="V147" s="9">
        <v>0</v>
      </c>
      <c r="W147" s="9">
        <v>2</v>
      </c>
      <c r="X147" s="10">
        <v>0</v>
      </c>
      <c r="Y147" t="s">
        <v>912</v>
      </c>
      <c r="Z147" t="s">
        <v>903</v>
      </c>
      <c r="AA147" s="2" t="s">
        <v>921</v>
      </c>
      <c r="AB147" s="9" t="s">
        <v>989</v>
      </c>
      <c r="AC147" s="9" t="s">
        <v>990</v>
      </c>
      <c r="AD147" s="10" t="str">
        <f>SUBSTITUTE(SUBSTITUTE(PROPERTIES[[#This Row],[PURCHASECOST_VALUE]], "PURCHASECOST_", ""), "_VALUE", "")</f>
        <v>STEAMENGINE</v>
      </c>
      <c r="AE147" s="9" t="str" cm="1">
        <f t="array" ref="AE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7" s="2" t="b">
        <v>0</v>
      </c>
      <c r="AX147"/>
      <c r="AY147"/>
      <c r="AZ147"/>
    </row>
    <row r="148" spans="1:52">
      <c r="A148" s="2" t="s">
        <v>171</v>
      </c>
      <c r="B148">
        <v>1895</v>
      </c>
      <c r="C148">
        <v>0</v>
      </c>
      <c r="D148" t="s">
        <v>1808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 s="2" t="s">
        <v>23</v>
      </c>
      <c r="K148" s="39">
        <f>_xlfn.XLOOKUP("LOADINGSPEEDDEF_"&amp;PROPERTIES[[#This Row],[LOADINGSPEED]],LOADINGSPEEDDEF[TYPE],LOADINGSPEEDDEF[SPEED])</f>
        <v>40</v>
      </c>
      <c r="L148">
        <v>45</v>
      </c>
      <c r="M148">
        <v>1</v>
      </c>
      <c r="N148" s="33">
        <v>102.5</v>
      </c>
      <c r="O148">
        <v>850</v>
      </c>
      <c r="P148">
        <v>70</v>
      </c>
      <c r="Q148" s="30">
        <v>130</v>
      </c>
      <c r="R148" s="29">
        <f>IFERROR(PROPERTIES[[#This Row],[TE_STARTING_KN]]/(PROPERTIES[[#This Row],[WEIGHT]]*9.81),0)</f>
        <v>0.12928569652669003</v>
      </c>
      <c r="S148" s="29">
        <v>0.16</v>
      </c>
      <c r="T148" s="26">
        <f>ROUND(IF(IFERROR(PROPERTIES[[#This Row],[TE_COEFFICIENT_CALC]],0)=0,PROPERTIES[[#This Row],[TE_COEFFICIENT_MANUAL]],PROPERTIES[[#This Row],[TE_COEFFICIENT_CALC]]),3)</f>
        <v>0.129</v>
      </c>
      <c r="U148" s="11">
        <v>40</v>
      </c>
      <c r="V148" s="9">
        <v>0</v>
      </c>
      <c r="W148" s="9">
        <v>3</v>
      </c>
      <c r="X148" s="10">
        <v>0</v>
      </c>
      <c r="Y148" t="s">
        <v>912</v>
      </c>
      <c r="Z148" t="s">
        <v>903</v>
      </c>
      <c r="AA148" s="2" t="s">
        <v>921</v>
      </c>
      <c r="AB148" s="9" t="s">
        <v>989</v>
      </c>
      <c r="AC148" s="9" t="s">
        <v>990</v>
      </c>
      <c r="AD148" s="10" t="str">
        <f>SUBSTITUTE(SUBSTITUTE(PROPERTIES[[#This Row],[PURCHASECOST_VALUE]], "PURCHASECOST_", ""), "_VALUE", "")</f>
        <v>STEAMENGINE</v>
      </c>
      <c r="AE148" s="9" t="str" cm="1">
        <f t="array" ref="AE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8" s="2" t="b">
        <v>0</v>
      </c>
      <c r="AX148"/>
      <c r="AY148"/>
      <c r="AZ148"/>
    </row>
    <row r="149" spans="1:52">
      <c r="A149" s="2" t="s">
        <v>172</v>
      </c>
      <c r="B149">
        <v>1906</v>
      </c>
      <c r="C149">
        <v>0</v>
      </c>
      <c r="D149" t="s">
        <v>1950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 s="2" t="s">
        <v>23</v>
      </c>
      <c r="K149" s="39">
        <f>_xlfn.XLOOKUP("LOADINGSPEEDDEF_"&amp;PROPERTIES[[#This Row],[LOADINGSPEED]],LOADINGSPEEDDEF[TYPE],LOADINGSPEEDDEF[SPEED])</f>
        <v>40</v>
      </c>
      <c r="L149">
        <v>45</v>
      </c>
      <c r="M149">
        <v>1</v>
      </c>
      <c r="N149" s="33">
        <v>126.5</v>
      </c>
      <c r="O149">
        <v>1200</v>
      </c>
      <c r="P149">
        <v>115</v>
      </c>
      <c r="Q149" s="30">
        <v>87</v>
      </c>
      <c r="R149" s="29">
        <f>IFERROR(PROPERTIES[[#This Row],[TE_STARTING_KN]]/(PROPERTIES[[#This Row],[WEIGHT]]*9.81),0)</f>
        <v>7.0106731454956411E-2</v>
      </c>
      <c r="S149" s="29">
        <v>0.13</v>
      </c>
      <c r="T149" s="26">
        <f>ROUND(IF(IFERROR(PROPERTIES[[#This Row],[TE_COEFFICIENT_CALC]],0)=0,PROPERTIES[[#This Row],[TE_COEFFICIENT_MANUAL]],PROPERTIES[[#This Row],[TE_COEFFICIENT_CALC]]),3)</f>
        <v>7.0000000000000007E-2</v>
      </c>
      <c r="U149" s="11">
        <v>40</v>
      </c>
      <c r="V149" s="9">
        <v>0</v>
      </c>
      <c r="W149" s="9">
        <v>3</v>
      </c>
      <c r="X149" s="10">
        <v>0</v>
      </c>
      <c r="Y149" t="s">
        <v>912</v>
      </c>
      <c r="Z149" t="s">
        <v>903</v>
      </c>
      <c r="AA149" s="2" t="s">
        <v>921</v>
      </c>
      <c r="AB149" s="9" t="s">
        <v>989</v>
      </c>
      <c r="AC149" s="9" t="s">
        <v>990</v>
      </c>
      <c r="AD149" s="10" t="str">
        <f>SUBSTITUTE(SUBSTITUTE(PROPERTIES[[#This Row],[PURCHASECOST_VALUE]], "PURCHASECOST_", ""), "_VALUE", "")</f>
        <v>STEAMENGINE</v>
      </c>
      <c r="AE149" s="9" t="str" cm="1">
        <f t="array" ref="AE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9" s="2" t="b">
        <v>0</v>
      </c>
      <c r="AX149"/>
      <c r="AY149"/>
      <c r="AZ149"/>
    </row>
    <row r="150" spans="1:52">
      <c r="A150" s="2" t="s">
        <v>173</v>
      </c>
      <c r="B150">
        <v>1915</v>
      </c>
      <c r="C150">
        <v>0</v>
      </c>
      <c r="D150" t="s">
        <v>1950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 s="2" t="s">
        <v>23</v>
      </c>
      <c r="K150" s="39">
        <f>_xlfn.XLOOKUP("LOADINGSPEEDDEF_"&amp;PROPERTIES[[#This Row],[LOADINGSPEED]],LOADINGSPEEDDEF[TYPE],LOADINGSPEEDDEF[SPEED])</f>
        <v>40</v>
      </c>
      <c r="L150">
        <v>45</v>
      </c>
      <c r="M150">
        <v>1</v>
      </c>
      <c r="N150" s="33">
        <v>155</v>
      </c>
      <c r="O150">
        <v>1600</v>
      </c>
      <c r="P150">
        <v>89</v>
      </c>
      <c r="Q150" s="30">
        <v>229.08</v>
      </c>
      <c r="R150" s="29">
        <f>IFERROR(PROPERTIES[[#This Row],[TE_STARTING_KN]]/(PROPERTIES[[#This Row],[WEIGHT]]*9.81),0)</f>
        <v>0.15065601262700995</v>
      </c>
      <c r="S150" s="29">
        <v>0.22</v>
      </c>
      <c r="T150" s="26">
        <f>ROUND(IF(IFERROR(PROPERTIES[[#This Row],[TE_COEFFICIENT_CALC]],0)=0,PROPERTIES[[#This Row],[TE_COEFFICIENT_MANUAL]],PROPERTIES[[#This Row],[TE_COEFFICIENT_CALC]]),3)</f>
        <v>0.151</v>
      </c>
      <c r="U150" s="11">
        <v>40</v>
      </c>
      <c r="V150" s="9">
        <v>0</v>
      </c>
      <c r="W150" s="9">
        <v>3</v>
      </c>
      <c r="X150" s="10">
        <v>0</v>
      </c>
      <c r="Y150" t="s">
        <v>912</v>
      </c>
      <c r="Z150" t="s">
        <v>903</v>
      </c>
      <c r="AA150" s="2" t="s">
        <v>921</v>
      </c>
      <c r="AB150" s="9" t="s">
        <v>989</v>
      </c>
      <c r="AC150" s="9" t="s">
        <v>990</v>
      </c>
      <c r="AD150" s="10" t="str">
        <f>SUBSTITUTE(SUBSTITUTE(PROPERTIES[[#This Row],[PURCHASECOST_VALUE]], "PURCHASECOST_", ""), "_VALUE", "")</f>
        <v>STEAMENGINE</v>
      </c>
      <c r="AE150" s="9" t="str" cm="1">
        <f t="array" ref="AE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0" s="2" t="b">
        <v>0</v>
      </c>
      <c r="AX150"/>
      <c r="AY150"/>
      <c r="AZ150"/>
    </row>
    <row r="151" spans="1:52">
      <c r="A151" s="2" t="s">
        <v>174</v>
      </c>
      <c r="B151">
        <v>1918</v>
      </c>
      <c r="C151">
        <v>0</v>
      </c>
      <c r="D151" t="s">
        <v>1862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 s="2" t="s">
        <v>23</v>
      </c>
      <c r="K151" s="39">
        <f>_xlfn.XLOOKUP("LOADINGSPEEDDEF_"&amp;PROPERTIES[[#This Row],[LOADINGSPEED]],LOADINGSPEEDDEF[TYPE],LOADINGSPEEDDEF[SPEED])</f>
        <v>40</v>
      </c>
      <c r="L151">
        <v>45</v>
      </c>
      <c r="M151">
        <v>1</v>
      </c>
      <c r="N151" s="33">
        <v>119</v>
      </c>
      <c r="O151">
        <v>1050</v>
      </c>
      <c r="P151">
        <v>85</v>
      </c>
      <c r="Q151" s="30">
        <v>108.9</v>
      </c>
      <c r="R151" s="29">
        <f>IFERROR(PROPERTIES[[#This Row],[TE_STARTING_KN]]/(PROPERTIES[[#This Row],[WEIGHT]]*9.81),0)</f>
        <v>9.3285020430190421E-2</v>
      </c>
      <c r="S151" s="29">
        <v>0.09</v>
      </c>
      <c r="T151" s="26">
        <f>ROUND(IF(IFERROR(PROPERTIES[[#This Row],[TE_COEFFICIENT_CALC]],0)=0,PROPERTIES[[#This Row],[TE_COEFFICIENT_MANUAL]],PROPERTIES[[#This Row],[TE_COEFFICIENT_CALC]]),3)</f>
        <v>9.2999999999999999E-2</v>
      </c>
      <c r="U151" s="11">
        <v>40</v>
      </c>
      <c r="V151" s="9">
        <v>0</v>
      </c>
      <c r="W151" s="9">
        <v>3</v>
      </c>
      <c r="X151" s="10">
        <v>0</v>
      </c>
      <c r="Y151" t="s">
        <v>912</v>
      </c>
      <c r="Z151" t="s">
        <v>903</v>
      </c>
      <c r="AA151" s="2" t="s">
        <v>921</v>
      </c>
      <c r="AB151" s="9" t="s">
        <v>989</v>
      </c>
      <c r="AC151" s="9" t="s">
        <v>990</v>
      </c>
      <c r="AD151" s="10" t="str">
        <f>SUBSTITUTE(SUBSTITUTE(PROPERTIES[[#This Row],[PURCHASECOST_VALUE]], "PURCHASECOST_", ""), "_VALUE", "")</f>
        <v>STEAMENGINE</v>
      </c>
      <c r="AE151" s="9" t="str" cm="1">
        <f t="array" ref="AE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1" s="2" t="b">
        <v>0</v>
      </c>
      <c r="AX151"/>
      <c r="AY151"/>
      <c r="AZ151"/>
    </row>
    <row r="152" spans="1:52">
      <c r="A152" s="2" t="s">
        <v>175</v>
      </c>
      <c r="B152">
        <v>1923</v>
      </c>
      <c r="C152">
        <v>0</v>
      </c>
      <c r="D152" t="s">
        <v>1869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 s="2" t="s">
        <v>23</v>
      </c>
      <c r="K152" s="39">
        <f>_xlfn.XLOOKUP("LOADINGSPEEDDEF_"&amp;PROPERTIES[[#This Row],[LOADINGSPEED]],LOADINGSPEEDDEF[TYPE],LOADINGSPEEDDEF[SPEED])</f>
        <v>40</v>
      </c>
      <c r="L152">
        <v>45</v>
      </c>
      <c r="M152">
        <v>1</v>
      </c>
      <c r="N152" s="33">
        <v>128.80000000000001</v>
      </c>
      <c r="O152">
        <v>1500</v>
      </c>
      <c r="P152">
        <v>70</v>
      </c>
      <c r="Q152" s="30">
        <v>177.4</v>
      </c>
      <c r="R152" s="29">
        <f>IFERROR(PROPERTIES[[#This Row],[TE_STARTING_KN]]/(PROPERTIES[[#This Row],[WEIGHT]]*9.81),0)</f>
        <v>0.14040052931157834</v>
      </c>
      <c r="S152" s="29">
        <v>0.13</v>
      </c>
      <c r="T152" s="26">
        <f>ROUND(IF(IFERROR(PROPERTIES[[#This Row],[TE_COEFFICIENT_CALC]],0)=0,PROPERTIES[[#This Row],[TE_COEFFICIENT_MANUAL]],PROPERTIES[[#This Row],[TE_COEFFICIENT_CALC]]),3)</f>
        <v>0.14000000000000001</v>
      </c>
      <c r="U152" s="11">
        <v>40</v>
      </c>
      <c r="V152" s="9">
        <v>0</v>
      </c>
      <c r="W152" s="9">
        <v>4</v>
      </c>
      <c r="X152" s="10">
        <v>0</v>
      </c>
      <c r="Y152" t="s">
        <v>905</v>
      </c>
      <c r="Z152" t="s">
        <v>903</v>
      </c>
      <c r="AA152" s="2" t="s">
        <v>921</v>
      </c>
      <c r="AB152" s="9" t="s">
        <v>989</v>
      </c>
      <c r="AC152" s="9" t="s">
        <v>990</v>
      </c>
      <c r="AD152" s="10" t="str">
        <f>SUBSTITUTE(SUBSTITUTE(PROPERTIES[[#This Row],[PURCHASECOST_VALUE]], "PURCHASECOST_", ""), "_VALUE", "")</f>
        <v>STEAMENGINE</v>
      </c>
      <c r="AE152" s="9" t="str" cm="1">
        <f t="array" ref="AE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2" s="2" t="b">
        <v>0</v>
      </c>
      <c r="AX152"/>
      <c r="AY152"/>
      <c r="AZ152"/>
    </row>
    <row r="153" spans="1:52">
      <c r="A153" s="2" t="s">
        <v>176</v>
      </c>
      <c r="B153">
        <v>1928</v>
      </c>
      <c r="C153">
        <v>0</v>
      </c>
      <c r="D153" t="s">
        <v>1869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 s="2" t="s">
        <v>23</v>
      </c>
      <c r="K153" s="39">
        <f>_xlfn.XLOOKUP("LOADINGSPEEDDEF_"&amp;PROPERTIES[[#This Row],[LOADINGSPEED]],LOADINGSPEEDDEF[TYPE],LOADINGSPEEDDEF[SPEED])</f>
        <v>40</v>
      </c>
      <c r="L153">
        <v>45</v>
      </c>
      <c r="M153">
        <v>1</v>
      </c>
      <c r="N153" s="33">
        <v>144</v>
      </c>
      <c r="O153">
        <v>1750</v>
      </c>
      <c r="P153">
        <v>130</v>
      </c>
      <c r="Q153" s="30">
        <v>145</v>
      </c>
      <c r="R153" s="29">
        <f>IFERROR(PROPERTIES[[#This Row],[TE_STARTING_KN]]/(PROPERTIES[[#This Row],[WEIGHT]]*9.81),0)</f>
        <v>0.10264469362328689</v>
      </c>
      <c r="S153" s="29">
        <v>0.1</v>
      </c>
      <c r="T153" s="26">
        <f>ROUND(IF(IFERROR(PROPERTIES[[#This Row],[TE_COEFFICIENT_CALC]],0)=0,PROPERTIES[[#This Row],[TE_COEFFICIENT_MANUAL]],PROPERTIES[[#This Row],[TE_COEFFICIENT_CALC]]),3)</f>
        <v>0.10299999999999999</v>
      </c>
      <c r="U153" s="11">
        <v>40</v>
      </c>
      <c r="V153" s="9">
        <v>0</v>
      </c>
      <c r="W153" s="9">
        <v>4</v>
      </c>
      <c r="X153" s="10">
        <v>0</v>
      </c>
      <c r="Y153" t="s">
        <v>905</v>
      </c>
      <c r="Z153" t="s">
        <v>903</v>
      </c>
      <c r="AA153" s="2" t="s">
        <v>921</v>
      </c>
      <c r="AB153" s="9" t="s">
        <v>989</v>
      </c>
      <c r="AC153" s="9" t="s">
        <v>990</v>
      </c>
      <c r="AD153" s="10" t="str">
        <f>SUBSTITUTE(SUBSTITUTE(PROPERTIES[[#This Row],[PURCHASECOST_VALUE]], "PURCHASECOST_", ""), "_VALUE", "")</f>
        <v>STEAMENGINE</v>
      </c>
      <c r="AE153" s="9" t="str" cm="1">
        <f t="array" ref="AE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3" s="2" t="b">
        <v>0</v>
      </c>
      <c r="AX153"/>
      <c r="AY153"/>
      <c r="AZ153"/>
    </row>
    <row r="154" spans="1:52">
      <c r="A154" s="2" t="s">
        <v>177</v>
      </c>
      <c r="B154">
        <v>1943</v>
      </c>
      <c r="C154">
        <v>0</v>
      </c>
      <c r="D154" t="s">
        <v>1848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 s="2" t="s">
        <v>23</v>
      </c>
      <c r="K154" s="39">
        <f>_xlfn.XLOOKUP("LOADINGSPEEDDEF_"&amp;PROPERTIES[[#This Row],[LOADINGSPEED]],LOADINGSPEEDDEF[TYPE],LOADINGSPEEDDEF[SPEED])</f>
        <v>40</v>
      </c>
      <c r="L154">
        <v>45</v>
      </c>
      <c r="M154">
        <v>1</v>
      </c>
      <c r="N154" s="33">
        <v>138.5</v>
      </c>
      <c r="O154">
        <v>1600</v>
      </c>
      <c r="P154">
        <v>75</v>
      </c>
      <c r="Q154" s="30">
        <v>152.19999999999999</v>
      </c>
      <c r="R154" s="29">
        <f>IFERROR(PROPERTIES[[#This Row],[TE_STARTING_KN]]/(PROPERTIES[[#This Row],[WEIGHT]]*9.81),0)</f>
        <v>0.11202007823741336</v>
      </c>
      <c r="S154" s="29">
        <v>0.11</v>
      </c>
      <c r="T154" s="26">
        <f>ROUND(IF(IFERROR(PROPERTIES[[#This Row],[TE_COEFFICIENT_CALC]],0)=0,PROPERTIES[[#This Row],[TE_COEFFICIENT_MANUAL]],PROPERTIES[[#This Row],[TE_COEFFICIENT_CALC]]),3)</f>
        <v>0.112</v>
      </c>
      <c r="U154" s="11">
        <v>40</v>
      </c>
      <c r="V154" s="9">
        <v>0</v>
      </c>
      <c r="W154" s="9">
        <v>4</v>
      </c>
      <c r="X154" s="10">
        <v>0</v>
      </c>
      <c r="Y154" t="s">
        <v>905</v>
      </c>
      <c r="Z154" t="s">
        <v>903</v>
      </c>
      <c r="AA154" s="2" t="s">
        <v>921</v>
      </c>
      <c r="AB154" s="9" t="s">
        <v>989</v>
      </c>
      <c r="AC154" s="9" t="s">
        <v>990</v>
      </c>
      <c r="AD154" s="10" t="str">
        <f>SUBSTITUTE(SUBSTITUTE(PROPERTIES[[#This Row],[PURCHASECOST_VALUE]], "PURCHASECOST_", ""), "_VALUE", "")</f>
        <v>STEAMENGINE</v>
      </c>
      <c r="AE154" s="9" t="str" cm="1">
        <f t="array" ref="AE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4" s="2" t="b">
        <v>0</v>
      </c>
      <c r="AX154"/>
      <c r="AY154"/>
      <c r="AZ154"/>
    </row>
    <row r="155" spans="1:52">
      <c r="A155" s="2" t="s">
        <v>178</v>
      </c>
      <c r="B155">
        <v>1951</v>
      </c>
      <c r="C155">
        <v>0</v>
      </c>
      <c r="D155" t="s">
        <v>1766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 s="2" t="s">
        <v>23</v>
      </c>
      <c r="K155" s="39">
        <f>_xlfn.XLOOKUP("LOADINGSPEEDDEF_"&amp;PROPERTIES[[#This Row],[LOADINGSPEED]],LOADINGSPEEDDEF[TYPE],LOADINGSPEEDDEF[SPEED])</f>
        <v>40</v>
      </c>
      <c r="L155">
        <v>45</v>
      </c>
      <c r="M155">
        <v>1</v>
      </c>
      <c r="N155" s="33">
        <v>123.5</v>
      </c>
      <c r="O155">
        <v>1200</v>
      </c>
      <c r="P155">
        <v>80</v>
      </c>
      <c r="Q155" s="30">
        <v>138</v>
      </c>
      <c r="R155" s="29">
        <f>IFERROR(PROPERTIES[[#This Row],[TE_STARTING_KN]]/(PROPERTIES[[#This Row],[WEIGHT]]*9.81),0)</f>
        <v>0.11390508734786861</v>
      </c>
      <c r="S155" s="29">
        <v>0.14000000000000001</v>
      </c>
      <c r="T155" s="26">
        <f>ROUND(IF(IFERROR(PROPERTIES[[#This Row],[TE_COEFFICIENT_CALC]],0)=0,PROPERTIES[[#This Row],[TE_COEFFICIENT_MANUAL]],PROPERTIES[[#This Row],[TE_COEFFICIENT_CALC]]),3)</f>
        <v>0.114</v>
      </c>
      <c r="U155" s="11">
        <v>40</v>
      </c>
      <c r="V155" s="9">
        <v>0</v>
      </c>
      <c r="W155" s="9">
        <v>0</v>
      </c>
      <c r="X155" s="10">
        <v>0</v>
      </c>
      <c r="Y155" t="s">
        <v>905</v>
      </c>
      <c r="Z155" t="s">
        <v>903</v>
      </c>
      <c r="AA155" s="2" t="s">
        <v>921</v>
      </c>
      <c r="AB155" s="9" t="s">
        <v>989</v>
      </c>
      <c r="AC155" s="9" t="s">
        <v>990</v>
      </c>
      <c r="AD155" s="10" t="str">
        <f>SUBSTITUTE(SUBSTITUTE(PROPERTIES[[#This Row],[PURCHASECOST_VALUE]], "PURCHASECOST_", ""), "_VALUE", "")</f>
        <v>STEAMENGINE</v>
      </c>
      <c r="AE155" s="9" t="str" cm="1">
        <f t="array" ref="AE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5" s="2" t="b">
        <v>0</v>
      </c>
      <c r="AX155"/>
      <c r="AY155"/>
      <c r="AZ155"/>
    </row>
    <row r="156" spans="1:52">
      <c r="A156" s="2" t="s">
        <v>179</v>
      </c>
      <c r="B156">
        <v>1955</v>
      </c>
      <c r="C156">
        <v>0</v>
      </c>
      <c r="D156" t="s">
        <v>1828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 s="2" t="s">
        <v>23</v>
      </c>
      <c r="K156" s="39">
        <f>_xlfn.XLOOKUP("LOADINGSPEEDDEF_"&amp;PROPERTIES[[#This Row],[LOADINGSPEED]],LOADINGSPEEDDEF[TYPE],LOADINGSPEEDDEF[SPEED])</f>
        <v>40</v>
      </c>
      <c r="L156">
        <v>45</v>
      </c>
      <c r="M156">
        <v>1</v>
      </c>
      <c r="N156" s="33">
        <v>213.5</v>
      </c>
      <c r="O156">
        <v>3500</v>
      </c>
      <c r="P156">
        <f>ROUND(1.62*75,0)</f>
        <v>122</v>
      </c>
      <c r="Q156" s="30">
        <v>0</v>
      </c>
      <c r="R156" s="29">
        <f>IFERROR(PROPERTIES[[#This Row],[TE_STARTING_KN]]/(PROPERTIES[[#This Row],[WEIGHT]]*9.81),0)</f>
        <v>0</v>
      </c>
      <c r="S156" s="29">
        <v>0.11</v>
      </c>
      <c r="T156" s="26">
        <f>ROUND(IF(IFERROR(PROPERTIES[[#This Row],[TE_COEFFICIENT_CALC]],0)=0,PROPERTIES[[#This Row],[TE_COEFFICIENT_MANUAL]],PROPERTIES[[#This Row],[TE_COEFFICIENT_CALC]]),3)</f>
        <v>0.11</v>
      </c>
      <c r="U156" s="11">
        <v>40</v>
      </c>
      <c r="V156" s="9">
        <v>0</v>
      </c>
      <c r="W156" s="9">
        <v>5</v>
      </c>
      <c r="X156" s="10">
        <v>0</v>
      </c>
      <c r="Y156" t="s">
        <v>905</v>
      </c>
      <c r="Z156" t="s">
        <v>903</v>
      </c>
      <c r="AA156" s="2" t="s">
        <v>921</v>
      </c>
      <c r="AB156" s="9" t="s">
        <v>989</v>
      </c>
      <c r="AC156" s="9" t="s">
        <v>990</v>
      </c>
      <c r="AD156" s="10" t="str">
        <f>SUBSTITUTE(SUBSTITUTE(PROPERTIES[[#This Row],[PURCHASECOST_VALUE]], "PURCHASECOST_", ""), "_VALUE", "")</f>
        <v>STEAMENGINE</v>
      </c>
      <c r="AE156" s="9" t="str" cm="1">
        <f t="array" ref="AE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6" s="2" t="b">
        <v>0</v>
      </c>
      <c r="AX156"/>
      <c r="AY156"/>
      <c r="AZ156"/>
    </row>
    <row r="157" spans="1:52">
      <c r="A157" s="2" t="s">
        <v>180</v>
      </c>
      <c r="B157">
        <v>1910</v>
      </c>
      <c r="C157">
        <v>0</v>
      </c>
      <c r="D157" t="s">
        <v>1816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 s="2" t="s">
        <v>23</v>
      </c>
      <c r="K157" s="39">
        <f>_xlfn.XLOOKUP("LOADINGSPEEDDEF_"&amp;PROPERTIES[[#This Row],[LOADINGSPEED]],LOADINGSPEEDDEF[TYPE],LOADINGSPEEDDEF[SPEED])</f>
        <v>40</v>
      </c>
      <c r="L157">
        <v>45</v>
      </c>
      <c r="M157">
        <v>0</v>
      </c>
      <c r="N157" s="33">
        <v>132</v>
      </c>
      <c r="O157">
        <v>1400</v>
      </c>
      <c r="P157">
        <v>60</v>
      </c>
      <c r="Q157" s="30">
        <v>195</v>
      </c>
      <c r="R157" s="29">
        <f>IFERROR(PROPERTIES[[#This Row],[TE_STARTING_KN]]/(PROPERTIES[[#This Row],[WEIGHT]]*9.81),0)</f>
        <v>0.15058845334074691</v>
      </c>
      <c r="S157" s="29">
        <v>0.31</v>
      </c>
      <c r="T157" s="26">
        <f>ROUND(IF(IFERROR(PROPERTIES[[#This Row],[TE_COEFFICIENT_CALC]],0)=0,PROPERTIES[[#This Row],[TE_COEFFICIENT_MANUAL]],PROPERTIES[[#This Row],[TE_COEFFICIENT_CALC]]),3)</f>
        <v>0.151</v>
      </c>
      <c r="U157" s="11">
        <v>40</v>
      </c>
      <c r="V157" s="9">
        <v>0</v>
      </c>
      <c r="W157" s="9">
        <v>3</v>
      </c>
      <c r="X157" s="10">
        <v>0</v>
      </c>
      <c r="Y157" t="s">
        <v>910</v>
      </c>
      <c r="Z157" t="s">
        <v>903</v>
      </c>
      <c r="AA157" s="2" t="s">
        <v>921</v>
      </c>
      <c r="AB157" s="9" t="s">
        <v>989</v>
      </c>
      <c r="AC157" s="9" t="s">
        <v>990</v>
      </c>
      <c r="AD157" s="10" t="str">
        <f>SUBSTITUTE(SUBSTITUTE(PROPERTIES[[#This Row],[PURCHASECOST_VALUE]], "PURCHASECOST_", ""), "_VALUE", "")</f>
        <v>STEAMENGINE</v>
      </c>
      <c r="AE157" s="9" t="str" cm="1">
        <f t="array" ref="AE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7" s="2" t="b">
        <v>0</v>
      </c>
      <c r="AX157"/>
      <c r="AY157"/>
      <c r="AZ157"/>
    </row>
    <row r="158" spans="1:52">
      <c r="A158" s="2" t="s">
        <v>181</v>
      </c>
      <c r="B158">
        <v>1923</v>
      </c>
      <c r="C158">
        <v>0</v>
      </c>
      <c r="D158" t="s">
        <v>1938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 s="2" t="s">
        <v>23</v>
      </c>
      <c r="K158" s="39">
        <f>_xlfn.XLOOKUP("LOADINGSPEEDDEF_"&amp;PROPERTIES[[#This Row],[LOADINGSPEED]],LOADINGSPEEDDEF[TYPE],LOADINGSPEEDDEF[SPEED])</f>
        <v>40</v>
      </c>
      <c r="L158">
        <v>45</v>
      </c>
      <c r="M158">
        <v>1</v>
      </c>
      <c r="N158" s="33">
        <v>133</v>
      </c>
      <c r="O158">
        <v>980</v>
      </c>
      <c r="P158">
        <v>100</v>
      </c>
      <c r="Q158" s="30">
        <v>123</v>
      </c>
      <c r="R158" s="29">
        <f>IFERROR(PROPERTIES[[#This Row],[TE_STARTING_KN]]/(PROPERTIES[[#This Row],[WEIGHT]]*9.81),0)</f>
        <v>9.4272378193189399E-2</v>
      </c>
      <c r="S158" s="29">
        <v>0.06</v>
      </c>
      <c r="T158" s="26">
        <f>ROUND(IF(IFERROR(PROPERTIES[[#This Row],[TE_COEFFICIENT_CALC]],0)=0,PROPERTIES[[#This Row],[TE_COEFFICIENT_MANUAL]],PROPERTIES[[#This Row],[TE_COEFFICIENT_CALC]]),3)</f>
        <v>9.4E-2</v>
      </c>
      <c r="U158" s="11">
        <v>40</v>
      </c>
      <c r="V158" s="9">
        <v>0</v>
      </c>
      <c r="W158" s="9">
        <v>3</v>
      </c>
      <c r="X158" s="10">
        <v>0</v>
      </c>
      <c r="Y158" t="s">
        <v>910</v>
      </c>
      <c r="Z158" t="s">
        <v>903</v>
      </c>
      <c r="AA158" s="2" t="s">
        <v>921</v>
      </c>
      <c r="AB158" s="9" t="s">
        <v>989</v>
      </c>
      <c r="AC158" s="9" t="s">
        <v>990</v>
      </c>
      <c r="AD158" s="10" t="str">
        <f>SUBSTITUTE(SUBSTITUTE(PROPERTIES[[#This Row],[PURCHASECOST_VALUE]], "PURCHASECOST_", ""), "_VALUE", "")</f>
        <v>STEAMENGINE</v>
      </c>
      <c r="AE158" s="9" t="str" cm="1">
        <f t="array" ref="AE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8" s="2" t="b">
        <v>0</v>
      </c>
      <c r="AX158"/>
      <c r="AY158"/>
      <c r="AZ158"/>
    </row>
    <row r="159" spans="1:52">
      <c r="A159" s="2" t="s">
        <v>182</v>
      </c>
      <c r="B159">
        <v>1924</v>
      </c>
      <c r="C159">
        <v>0</v>
      </c>
      <c r="D159" t="s">
        <v>1857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 s="2" t="s">
        <v>23</v>
      </c>
      <c r="K159" s="39">
        <f>_xlfn.XLOOKUP("LOADINGSPEEDDEF_"&amp;PROPERTIES[[#This Row],[LOADINGSPEED]],LOADINGSPEEDDEF[TYPE],LOADINGSPEEDDEF[SPEED])</f>
        <v>40</v>
      </c>
      <c r="L159">
        <v>45</v>
      </c>
      <c r="M159">
        <v>1</v>
      </c>
      <c r="N159" s="33">
        <v>145.19999999999999</v>
      </c>
      <c r="O159">
        <v>1350</v>
      </c>
      <c r="P159">
        <v>90</v>
      </c>
      <c r="Q159" s="30">
        <v>113.2</v>
      </c>
      <c r="R159" s="29">
        <f>IFERROR(PROPERTIES[[#This Row],[TE_STARTING_KN]]/(PROPERTIES[[#This Row],[WEIGHT]]*9.81),0)</f>
        <v>7.9471388895909323E-2</v>
      </c>
      <c r="S159" s="29">
        <v>0.13</v>
      </c>
      <c r="T159" s="26">
        <f>ROUND(IF(IFERROR(PROPERTIES[[#This Row],[TE_COEFFICIENT_CALC]],0)=0,PROPERTIES[[#This Row],[TE_COEFFICIENT_MANUAL]],PROPERTIES[[#This Row],[TE_COEFFICIENT_CALC]]),3)</f>
        <v>7.9000000000000001E-2</v>
      </c>
      <c r="U159" s="11">
        <v>40</v>
      </c>
      <c r="V159" s="9">
        <v>0</v>
      </c>
      <c r="W159" s="9">
        <v>4</v>
      </c>
      <c r="X159" s="10">
        <v>0</v>
      </c>
      <c r="Y159" t="s">
        <v>910</v>
      </c>
      <c r="Z159" t="s">
        <v>903</v>
      </c>
      <c r="AA159" s="2" t="s">
        <v>921</v>
      </c>
      <c r="AB159" s="9" t="s">
        <v>989</v>
      </c>
      <c r="AC159" s="9" t="s">
        <v>990</v>
      </c>
      <c r="AD159" s="10" t="str">
        <f>SUBSTITUTE(SUBSTITUTE(PROPERTIES[[#This Row],[PURCHASECOST_VALUE]], "PURCHASECOST_", ""), "_VALUE", "")</f>
        <v>STEAMENGINE</v>
      </c>
      <c r="AE159" s="9" t="str" cm="1">
        <f t="array" ref="AE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9" s="2" t="b">
        <v>0</v>
      </c>
      <c r="AX159"/>
      <c r="AY159"/>
      <c r="AZ159"/>
    </row>
    <row r="160" spans="1:52">
      <c r="A160" s="2" t="s">
        <v>183</v>
      </c>
      <c r="B160">
        <v>1936</v>
      </c>
      <c r="C160">
        <v>0</v>
      </c>
      <c r="D160" t="s">
        <v>1859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 s="2" t="s">
        <v>23</v>
      </c>
      <c r="K160" s="39">
        <f>_xlfn.XLOOKUP("LOADINGSPEEDDEF_"&amp;PROPERTIES[[#This Row],[LOADINGSPEED]],LOADINGSPEEDDEF[TYPE],LOADINGSPEEDDEF[SPEED])</f>
        <v>40</v>
      </c>
      <c r="L160">
        <v>45</v>
      </c>
      <c r="M160">
        <v>1</v>
      </c>
      <c r="N160" s="33">
        <v>85</v>
      </c>
      <c r="O160">
        <v>618</v>
      </c>
      <c r="P160">
        <v>120</v>
      </c>
      <c r="Q160" s="30">
        <v>65</v>
      </c>
      <c r="R160" s="29">
        <f>IFERROR(PROPERTIES[[#This Row],[TE_STARTING_KN]]/(PROPERTIES[[#This Row],[WEIGHT]]*9.81),0)</f>
        <v>7.7951669964621939E-2</v>
      </c>
      <c r="S160" s="29">
        <v>0.08</v>
      </c>
      <c r="T160" s="26">
        <f>ROUND(IF(IFERROR(PROPERTIES[[#This Row],[TE_COEFFICIENT_CALC]],0)=0,PROPERTIES[[#This Row],[TE_COEFFICIENT_MANUAL]],PROPERTIES[[#This Row],[TE_COEFFICIENT_CALC]]),3)</f>
        <v>7.8E-2</v>
      </c>
      <c r="U160" s="11">
        <v>40</v>
      </c>
      <c r="V160" s="9">
        <v>0</v>
      </c>
      <c r="W160" s="9">
        <v>0</v>
      </c>
      <c r="X160" s="10">
        <v>0</v>
      </c>
      <c r="Y160" t="s">
        <v>910</v>
      </c>
      <c r="Z160" t="s">
        <v>903</v>
      </c>
      <c r="AA160" s="2" t="s">
        <v>921</v>
      </c>
      <c r="AB160" s="9" t="s">
        <v>989</v>
      </c>
      <c r="AC160" s="9" t="s">
        <v>990</v>
      </c>
      <c r="AD160" s="10" t="str">
        <f>SUBSTITUTE(SUBSTITUTE(PROPERTIES[[#This Row],[PURCHASECOST_VALUE]], "PURCHASECOST_", ""), "_VALUE", "")</f>
        <v>STEAMENGINE</v>
      </c>
      <c r="AE160" s="9" t="str" cm="1">
        <f t="array" ref="AE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0" s="2" t="b">
        <v>0</v>
      </c>
      <c r="AX160"/>
      <c r="AY160"/>
      <c r="AZ160"/>
    </row>
    <row r="161" spans="1:52">
      <c r="A161" s="2" t="s">
        <v>184</v>
      </c>
      <c r="B161">
        <v>1946</v>
      </c>
      <c r="C161">
        <v>0</v>
      </c>
      <c r="D161" t="s">
        <v>1816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 s="2" t="s">
        <v>23</v>
      </c>
      <c r="K161" s="39">
        <f>_xlfn.XLOOKUP("LOADINGSPEEDDEF_"&amp;PROPERTIES[[#This Row],[LOADINGSPEED]],LOADINGSPEEDDEF[TYPE],LOADINGSPEEDDEF[SPEED])</f>
        <v>40</v>
      </c>
      <c r="L161">
        <v>45</v>
      </c>
      <c r="M161">
        <v>0</v>
      </c>
      <c r="N161" s="33">
        <v>143.69999999999999</v>
      </c>
      <c r="O161">
        <v>1857</v>
      </c>
      <c r="P161">
        <v>80</v>
      </c>
      <c r="Q161" s="30">
        <v>200</v>
      </c>
      <c r="R161" s="29">
        <f>IFERROR(PROPERTIES[[#This Row],[TE_STARTING_KN]]/(PROPERTIES[[#This Row],[WEIGHT]]*9.81),0)</f>
        <v>0.14187445954698066</v>
      </c>
      <c r="S161" s="29">
        <v>0.2</v>
      </c>
      <c r="T161" s="26">
        <f>ROUND(IF(IFERROR(PROPERTIES[[#This Row],[TE_COEFFICIENT_CALC]],0)=0,PROPERTIES[[#This Row],[TE_COEFFICIENT_MANUAL]],PROPERTIES[[#This Row],[TE_COEFFICIENT_CALC]]),3)</f>
        <v>0.14199999999999999</v>
      </c>
      <c r="U161" s="11">
        <v>40</v>
      </c>
      <c r="V161" s="9">
        <v>0</v>
      </c>
      <c r="W161" s="9">
        <v>3</v>
      </c>
      <c r="X161" s="10">
        <v>0</v>
      </c>
      <c r="Y161" t="s">
        <v>910</v>
      </c>
      <c r="Z161" t="s">
        <v>903</v>
      </c>
      <c r="AA161" s="2" t="s">
        <v>921</v>
      </c>
      <c r="AB161" s="9" t="s">
        <v>989</v>
      </c>
      <c r="AC161" s="9" t="s">
        <v>990</v>
      </c>
      <c r="AD161" s="10" t="str">
        <f>SUBSTITUTE(SUBSTITUTE(PROPERTIES[[#This Row],[PURCHASECOST_VALUE]], "PURCHASECOST_", ""), "_VALUE", "")</f>
        <v>STEAMENGINE</v>
      </c>
      <c r="AE161" s="9" t="str" cm="1">
        <f t="array" ref="AE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1" s="2" t="b">
        <v>0</v>
      </c>
      <c r="AX161"/>
      <c r="AY161"/>
      <c r="AZ161"/>
    </row>
    <row r="162" spans="1:52">
      <c r="A162" s="2" t="s">
        <v>185</v>
      </c>
      <c r="B162">
        <v>1951</v>
      </c>
      <c r="C162">
        <v>0</v>
      </c>
      <c r="D162" t="s">
        <v>1938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 s="2" t="s">
        <v>23</v>
      </c>
      <c r="K162" s="39">
        <f>_xlfn.XLOOKUP("LOADINGSPEEDDEF_"&amp;PROPERTIES[[#This Row],[LOADINGSPEED]],LOADINGSPEEDDEF[TYPE],LOADINGSPEEDDEF[SPEED])</f>
        <v>40</v>
      </c>
      <c r="L162">
        <v>45</v>
      </c>
      <c r="M162">
        <v>1</v>
      </c>
      <c r="N162" s="33">
        <v>144.9</v>
      </c>
      <c r="O162">
        <v>1290</v>
      </c>
      <c r="P162">
        <v>100</v>
      </c>
      <c r="Q162" s="30">
        <v>125</v>
      </c>
      <c r="R162" s="29">
        <f>IFERROR(PROPERTIES[[#This Row],[TE_STARTING_KN]]/(PROPERTIES[[#This Row],[WEIGHT]]*9.81),0)</f>
        <v>8.7937197364135272E-2</v>
      </c>
      <c r="S162" s="29">
        <v>0.1</v>
      </c>
      <c r="T162" s="26">
        <f>ROUND(IF(IFERROR(PROPERTIES[[#This Row],[TE_COEFFICIENT_CALC]],0)=0,PROPERTIES[[#This Row],[TE_COEFFICIENT_MANUAL]],PROPERTIES[[#This Row],[TE_COEFFICIENT_CALC]]),3)</f>
        <v>8.7999999999999995E-2</v>
      </c>
      <c r="U162" s="11">
        <v>40</v>
      </c>
      <c r="V162" s="9">
        <v>0</v>
      </c>
      <c r="W162" s="9">
        <v>4</v>
      </c>
      <c r="X162" s="10">
        <v>0</v>
      </c>
      <c r="Y162" t="s">
        <v>910</v>
      </c>
      <c r="Z162" t="s">
        <v>903</v>
      </c>
      <c r="AA162" s="2" t="s">
        <v>921</v>
      </c>
      <c r="AB162" s="9" t="s">
        <v>989</v>
      </c>
      <c r="AC162" s="9" t="s">
        <v>990</v>
      </c>
      <c r="AD162" s="10" t="str">
        <f>SUBSTITUTE(SUBSTITUTE(PROPERTIES[[#This Row],[PURCHASECOST_VALUE]], "PURCHASECOST_", ""), "_VALUE", "")</f>
        <v>STEAMENGINE</v>
      </c>
      <c r="AE162" s="9" t="str" cm="1">
        <f t="array" ref="AE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2" s="2" t="b">
        <v>0</v>
      </c>
      <c r="AX162"/>
      <c r="AY162"/>
      <c r="AZ162"/>
    </row>
    <row r="163" spans="1:52">
      <c r="A163" s="2" t="s">
        <v>186</v>
      </c>
      <c r="B163">
        <v>1911</v>
      </c>
      <c r="C163">
        <v>0</v>
      </c>
      <c r="D163" t="s">
        <v>1772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 s="2" t="s">
        <v>23</v>
      </c>
      <c r="K163" s="39">
        <f>_xlfn.XLOOKUP("LOADINGSPEEDDEF_"&amp;PROPERTIES[[#This Row],[LOADINGSPEED]],LOADINGSPEEDDEF[TYPE],LOADINGSPEEDDEF[SPEED])</f>
        <v>40</v>
      </c>
      <c r="L163">
        <v>45</v>
      </c>
      <c r="M163">
        <v>1</v>
      </c>
      <c r="N163" s="33">
        <v>138</v>
      </c>
      <c r="O163">
        <v>1885</v>
      </c>
      <c r="P163">
        <v>100</v>
      </c>
      <c r="Q163" s="30">
        <v>96.39</v>
      </c>
      <c r="R163" s="29">
        <f>IFERROR(PROPERTIES[[#This Row],[TE_STARTING_KN]]/(PROPERTIES[[#This Row],[WEIGHT]]*9.81),0)</f>
        <v>7.1200638213003598E-2</v>
      </c>
      <c r="S163" s="29">
        <v>0.17</v>
      </c>
      <c r="T163" s="26">
        <f>ROUND(IF(IFERROR(PROPERTIES[[#This Row],[TE_COEFFICIENT_CALC]],0)=0,PROPERTIES[[#This Row],[TE_COEFFICIENT_MANUAL]],PROPERTIES[[#This Row],[TE_COEFFICIENT_CALC]]),3)</f>
        <v>7.0999999999999994E-2</v>
      </c>
      <c r="U163" s="11">
        <v>40</v>
      </c>
      <c r="V163" s="9">
        <v>0</v>
      </c>
      <c r="W163" s="9">
        <v>4</v>
      </c>
      <c r="X163" s="10">
        <v>0</v>
      </c>
      <c r="Y163" t="s">
        <v>904</v>
      </c>
      <c r="Z163" t="s">
        <v>903</v>
      </c>
      <c r="AA163" s="2" t="s">
        <v>921</v>
      </c>
      <c r="AB163" s="9" t="s">
        <v>989</v>
      </c>
      <c r="AC163" s="9" t="s">
        <v>990</v>
      </c>
      <c r="AD163" s="10" t="str">
        <f>SUBSTITUTE(SUBSTITUTE(PROPERTIES[[#This Row],[PURCHASECOST_VALUE]], "PURCHASECOST_", ""), "_VALUE", "")</f>
        <v>STEAMENGINE</v>
      </c>
      <c r="AE163" s="9" t="str" cm="1">
        <f t="array" ref="AE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63" s="2" t="b">
        <v>0</v>
      </c>
      <c r="AX163"/>
      <c r="AY163"/>
      <c r="AZ163"/>
    </row>
    <row r="164" spans="1:52">
      <c r="A164" s="2" t="s">
        <v>187</v>
      </c>
      <c r="B164">
        <v>1941</v>
      </c>
      <c r="C164">
        <v>0</v>
      </c>
      <c r="D164" t="s">
        <v>1992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 s="2" t="s">
        <v>23</v>
      </c>
      <c r="K164" s="39">
        <f>_xlfn.XLOOKUP("LOADINGSPEEDDEF_"&amp;PROPERTIES[[#This Row],[LOADINGSPEED]],LOADINGSPEEDDEF[TYPE],LOADINGSPEEDDEF[SPEED])</f>
        <v>40</v>
      </c>
      <c r="L164">
        <v>45</v>
      </c>
      <c r="M164">
        <v>1</v>
      </c>
      <c r="N164" s="33">
        <v>390</v>
      </c>
      <c r="O164">
        <v>5500</v>
      </c>
      <c r="P164">
        <v>177</v>
      </c>
      <c r="Q164" s="30">
        <v>349.85</v>
      </c>
      <c r="R164" s="29">
        <f>IFERROR(PROPERTIES[[#This Row],[TE_STARTING_KN]]/(PROPERTIES[[#This Row],[WEIGHT]]*9.81),0)</f>
        <v>9.1442536396664845E-2</v>
      </c>
      <c r="S164" s="29">
        <v>0.09</v>
      </c>
      <c r="T164" s="26">
        <f>ROUND(IF(IFERROR(PROPERTIES[[#This Row],[TE_COEFFICIENT_CALC]],0)=0,PROPERTIES[[#This Row],[TE_COEFFICIENT_MANUAL]],PROPERTIES[[#This Row],[TE_COEFFICIENT_CALC]]),3)</f>
        <v>9.0999999999999998E-2</v>
      </c>
      <c r="U164" s="11">
        <v>40</v>
      </c>
      <c r="V164" s="9">
        <v>0</v>
      </c>
      <c r="W164" s="9">
        <v>6</v>
      </c>
      <c r="X164" s="10">
        <v>0</v>
      </c>
      <c r="Y164" t="s">
        <v>909</v>
      </c>
      <c r="Z164" t="s">
        <v>903</v>
      </c>
      <c r="AA164" s="2" t="s">
        <v>921</v>
      </c>
      <c r="AB164" s="9" t="s">
        <v>989</v>
      </c>
      <c r="AC164" s="9" t="s">
        <v>990</v>
      </c>
      <c r="AD164" s="10" t="str">
        <f>SUBSTITUTE(SUBSTITUTE(PROPERTIES[[#This Row],[PURCHASECOST_VALUE]], "PURCHASECOST_", ""), "_VALUE", "")</f>
        <v>STEAMENGINE</v>
      </c>
      <c r="AE164" s="9" t="str" cm="1">
        <f t="array" ref="AE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4" s="2" t="b">
        <v>0</v>
      </c>
      <c r="AX164"/>
      <c r="AY164"/>
      <c r="AZ164"/>
    </row>
    <row r="165" spans="1:52">
      <c r="A165" s="2" t="s">
        <v>188</v>
      </c>
      <c r="B165">
        <v>1866</v>
      </c>
      <c r="C165">
        <v>0</v>
      </c>
      <c r="D165" t="s">
        <v>1861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 s="2" t="s">
        <v>19</v>
      </c>
      <c r="K165" s="39">
        <f>_xlfn.XLOOKUP("LOADINGSPEEDDEF_"&amp;PROPERTIES[[#This Row],[LOADINGSPEED]],LOADINGSPEEDDEF[TYPE],LOADINGSPEEDDEF[SPEED])</f>
        <v>0</v>
      </c>
      <c r="L165">
        <v>45</v>
      </c>
      <c r="M165">
        <v>0</v>
      </c>
      <c r="N165" s="33">
        <v>74.5</v>
      </c>
      <c r="O165">
        <v>650</v>
      </c>
      <c r="P165">
        <v>60</v>
      </c>
      <c r="Q165" s="30">
        <v>76.400000000000006</v>
      </c>
      <c r="R165" s="29">
        <f>IFERROR(PROPERTIES[[#This Row],[TE_STARTING_KN]]/(PROPERTIES[[#This Row],[WEIGHT]]*9.81),0)</f>
        <v>0.10453652963350643</v>
      </c>
      <c r="S165" s="29">
        <v>0.13</v>
      </c>
      <c r="T165" s="26">
        <f>ROUND(IF(IFERROR(PROPERTIES[[#This Row],[TE_COEFFICIENT_CALC]],0)=0,PROPERTIES[[#This Row],[TE_COEFFICIENT_MANUAL]],PROPERTIES[[#This Row],[TE_COEFFICIENT_CALC]]),3)</f>
        <v>0.105</v>
      </c>
      <c r="U165" s="11">
        <v>40</v>
      </c>
      <c r="V165" s="9">
        <v>0</v>
      </c>
      <c r="W165" s="9">
        <v>3</v>
      </c>
      <c r="X165" s="10">
        <v>0</v>
      </c>
      <c r="Y165" t="s">
        <v>908</v>
      </c>
      <c r="Z165" t="s">
        <v>903</v>
      </c>
      <c r="AA165" s="2" t="s">
        <v>921</v>
      </c>
      <c r="AB165" s="9" t="s">
        <v>989</v>
      </c>
      <c r="AC165" s="9" t="s">
        <v>990</v>
      </c>
      <c r="AD165" s="10" t="str">
        <f>SUBSTITUTE(SUBSTITUTE(PROPERTIES[[#This Row],[PURCHASECOST_VALUE]], "PURCHASECOST_", ""), "_VALUE", "")</f>
        <v>STEAMENGINE</v>
      </c>
      <c r="AE165" s="9" t="str" cm="1">
        <f t="array" ref="AE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65" s="2" t="b">
        <v>0</v>
      </c>
      <c r="AX165"/>
      <c r="AY165"/>
      <c r="AZ165"/>
    </row>
    <row r="166" spans="1:52">
      <c r="A166" s="2" t="s">
        <v>189</v>
      </c>
      <c r="B166">
        <v>1914</v>
      </c>
      <c r="C166">
        <v>0</v>
      </c>
      <c r="D166" t="s">
        <v>1992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 s="2" t="s">
        <v>19</v>
      </c>
      <c r="K166" s="39">
        <f>_xlfn.XLOOKUP("LOADINGSPEEDDEF_"&amp;PROPERTIES[[#This Row],[LOADINGSPEED]],LOADINGSPEEDDEF[TYPE],LOADINGSPEEDDEF[SPEED])</f>
        <v>0</v>
      </c>
      <c r="L166">
        <v>45</v>
      </c>
      <c r="M166">
        <v>1</v>
      </c>
      <c r="N166" s="33">
        <v>217</v>
      </c>
      <c r="O166">
        <v>2990</v>
      </c>
      <c r="P166">
        <v>96</v>
      </c>
      <c r="Q166" s="30">
        <v>243.42</v>
      </c>
      <c r="R166" s="29">
        <f>IFERROR(PROPERTIES[[#This Row],[TE_STARTING_KN]]/(PROPERTIES[[#This Row],[WEIGHT]]*9.81),0)</f>
        <v>0.11434772192392789</v>
      </c>
      <c r="S166" s="29">
        <v>0.11</v>
      </c>
      <c r="T166" s="26">
        <f>ROUND(IF(IFERROR(PROPERTIES[[#This Row],[TE_COEFFICIENT_CALC]],0)=0,PROPERTIES[[#This Row],[TE_COEFFICIENT_MANUAL]],PROPERTIES[[#This Row],[TE_COEFFICIENT_CALC]]),3)</f>
        <v>0.114</v>
      </c>
      <c r="U166" s="11">
        <v>40</v>
      </c>
      <c r="V166" s="9">
        <v>0</v>
      </c>
      <c r="W166" s="9">
        <v>4</v>
      </c>
      <c r="X166" s="10">
        <v>0</v>
      </c>
      <c r="Y166" t="s">
        <v>909</v>
      </c>
      <c r="Z166" t="s">
        <v>903</v>
      </c>
      <c r="AA166" s="2" t="s">
        <v>921</v>
      </c>
      <c r="AB166" s="9" t="s">
        <v>989</v>
      </c>
      <c r="AC166" s="9" t="s">
        <v>990</v>
      </c>
      <c r="AD166" s="10" t="str">
        <f>SUBSTITUTE(SUBSTITUTE(PROPERTIES[[#This Row],[PURCHASECOST_VALUE]], "PURCHASECOST_", ""), "_VALUE", "")</f>
        <v>STEAMENGINE</v>
      </c>
      <c r="AE166" s="9" t="str" cm="1">
        <f t="array" ref="AE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6" s="2" t="b">
        <v>0</v>
      </c>
      <c r="AX166"/>
      <c r="AY166"/>
      <c r="AZ166"/>
    </row>
    <row r="167" spans="1:52">
      <c r="A167" s="2" t="s">
        <v>190</v>
      </c>
      <c r="B167">
        <v>1871</v>
      </c>
      <c r="C167">
        <v>0</v>
      </c>
      <c r="D167" t="s">
        <v>1770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 s="2" t="s">
        <v>19</v>
      </c>
      <c r="K167" s="39">
        <f>_xlfn.XLOOKUP("LOADINGSPEEDDEF_"&amp;PROPERTIES[[#This Row],[LOADINGSPEED]],LOADINGSPEEDDEF[TYPE],LOADINGSPEEDDEF[SPEED])</f>
        <v>0</v>
      </c>
      <c r="L167">
        <v>45</v>
      </c>
      <c r="M167">
        <v>1</v>
      </c>
      <c r="N167" s="33">
        <v>48</v>
      </c>
      <c r="O167">
        <v>145</v>
      </c>
      <c r="P167">
        <v>45</v>
      </c>
      <c r="Q167" s="30">
        <v>62</v>
      </c>
      <c r="R167" s="29">
        <f>IFERROR(PROPERTIES[[#This Row],[TE_STARTING_KN]]/(PROPERTIES[[#This Row],[WEIGHT]]*9.81),0)</f>
        <v>0.13166836561331974</v>
      </c>
      <c r="S167" s="29">
        <v>0.04</v>
      </c>
      <c r="T167" s="26">
        <f>ROUND(IF(IFERROR(PROPERTIES[[#This Row],[TE_COEFFICIENT_CALC]],0)=0,PROPERTIES[[#This Row],[TE_COEFFICIENT_MANUAL]],PROPERTIES[[#This Row],[TE_COEFFICIENT_CALC]]),3)</f>
        <v>0.13200000000000001</v>
      </c>
      <c r="U167" s="11">
        <v>40</v>
      </c>
      <c r="V167" s="9">
        <v>0</v>
      </c>
      <c r="W167" s="9">
        <v>0</v>
      </c>
      <c r="X167" s="10">
        <v>0</v>
      </c>
      <c r="Y167" t="s">
        <v>911</v>
      </c>
      <c r="Z167" t="s">
        <v>903</v>
      </c>
      <c r="AA167" s="2" t="s">
        <v>921</v>
      </c>
      <c r="AB167" s="9" t="s">
        <v>989</v>
      </c>
      <c r="AC167" s="9" t="s">
        <v>990</v>
      </c>
      <c r="AD167" s="10" t="str">
        <f>SUBSTITUTE(SUBSTITUTE(PROPERTIES[[#This Row],[PURCHASECOST_VALUE]], "PURCHASECOST_", ""), "_VALUE", "")</f>
        <v>STEAMENGINE</v>
      </c>
      <c r="AE167" s="9" t="str" cm="1">
        <f t="array" ref="AE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67" s="2" t="b">
        <v>0</v>
      </c>
      <c r="AX167"/>
      <c r="AY167"/>
      <c r="AZ167"/>
    </row>
    <row r="168" spans="1:52">
      <c r="A168" s="2" t="s">
        <v>191</v>
      </c>
      <c r="B168">
        <v>1914</v>
      </c>
      <c r="C168">
        <v>0</v>
      </c>
      <c r="D168" t="s">
        <v>1773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 s="2" t="s">
        <v>19</v>
      </c>
      <c r="K168" s="39">
        <f>_xlfn.XLOOKUP("LOADINGSPEEDDEF_"&amp;PROPERTIES[[#This Row],[LOADINGSPEED]],LOADINGSPEEDDEF[TYPE],LOADINGSPEEDDEF[SPEED])</f>
        <v>0</v>
      </c>
      <c r="L168">
        <v>45</v>
      </c>
      <c r="M168">
        <v>1</v>
      </c>
      <c r="N168" s="33">
        <v>126</v>
      </c>
      <c r="O168">
        <v>1400</v>
      </c>
      <c r="P168">
        <v>80</v>
      </c>
      <c r="Q168" s="30">
        <v>129.80000000000001</v>
      </c>
      <c r="R168" s="29">
        <f>IFERROR(PROPERTIES[[#This Row],[TE_STARTING_KN]]/(PROPERTIES[[#This Row],[WEIGHT]]*9.81),0)</f>
        <v>0.10501108360435576</v>
      </c>
      <c r="S168" s="29">
        <v>0.1</v>
      </c>
      <c r="T168" s="26">
        <f>ROUND(IF(IFERROR(PROPERTIES[[#This Row],[TE_COEFFICIENT_CALC]],0)=0,PROPERTIES[[#This Row],[TE_COEFFICIENT_MANUAL]],PROPERTIES[[#This Row],[TE_COEFFICIENT_CALC]]),3)</f>
        <v>0.105</v>
      </c>
      <c r="U168" s="11">
        <v>40</v>
      </c>
      <c r="V168" s="9">
        <v>0</v>
      </c>
      <c r="W168" s="9">
        <v>4</v>
      </c>
      <c r="X168" s="10">
        <v>0</v>
      </c>
      <c r="Y168" t="s">
        <v>906</v>
      </c>
      <c r="Z168" t="s">
        <v>903</v>
      </c>
      <c r="AA168" s="2" t="s">
        <v>921</v>
      </c>
      <c r="AB168" s="9" t="s">
        <v>989</v>
      </c>
      <c r="AC168" s="9" t="s">
        <v>990</v>
      </c>
      <c r="AD168" s="10" t="str">
        <f>SUBSTITUTE(SUBSTITUTE(PROPERTIES[[#This Row],[PURCHASECOST_VALUE]], "PURCHASECOST_", ""), "_VALUE", "")</f>
        <v>STEAMENGINE</v>
      </c>
      <c r="AE168" s="9" t="str" cm="1">
        <f t="array" ref="AE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8" s="2" t="b">
        <v>0</v>
      </c>
      <c r="AX168"/>
      <c r="AY168"/>
      <c r="AZ168"/>
    </row>
    <row r="169" spans="1:52">
      <c r="A169" s="2" t="s">
        <v>192</v>
      </c>
      <c r="B169">
        <v>1945</v>
      </c>
      <c r="C169">
        <v>0</v>
      </c>
      <c r="D169" t="s">
        <v>1780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 s="2" t="s">
        <v>19</v>
      </c>
      <c r="K169" s="39">
        <f>_xlfn.XLOOKUP("LOADINGSPEEDDEF_"&amp;PROPERTIES[[#This Row],[LOADINGSPEED]],LOADINGSPEEDDEF[TYPE],LOADINGSPEEDDEF[SPEED])</f>
        <v>0</v>
      </c>
      <c r="L169">
        <v>45</v>
      </c>
      <c r="M169">
        <v>1</v>
      </c>
      <c r="N169" s="33">
        <v>127</v>
      </c>
      <c r="O169">
        <v>1970</v>
      </c>
      <c r="P169">
        <v>96</v>
      </c>
      <c r="Q169" s="30">
        <v>138</v>
      </c>
      <c r="R169" s="29">
        <f>IFERROR(PROPERTIES[[#This Row],[TE_STARTING_KN]]/(PROPERTIES[[#This Row],[WEIGHT]]*9.81),0)</f>
        <v>0.11076597076741553</v>
      </c>
      <c r="S169" s="29">
        <v>0.15</v>
      </c>
      <c r="T169" s="26">
        <f>ROUND(IF(IFERROR(PROPERTIES[[#This Row],[TE_COEFFICIENT_CALC]],0)=0,PROPERTIES[[#This Row],[TE_COEFFICIENT_MANUAL]],PROPERTIES[[#This Row],[TE_COEFFICIENT_CALC]]),3)</f>
        <v>0.111</v>
      </c>
      <c r="U169" s="11">
        <v>40</v>
      </c>
      <c r="V169" s="9">
        <v>0</v>
      </c>
      <c r="W169" s="9">
        <v>4</v>
      </c>
      <c r="X169" s="10">
        <v>0</v>
      </c>
      <c r="Y169" t="s">
        <v>904</v>
      </c>
      <c r="Z169" t="s">
        <v>903</v>
      </c>
      <c r="AA169" s="2" t="s">
        <v>921</v>
      </c>
      <c r="AB169" s="9" t="s">
        <v>989</v>
      </c>
      <c r="AC169" s="9" t="s">
        <v>990</v>
      </c>
      <c r="AD169" s="10" t="str">
        <f>SUBSTITUTE(SUBSTITUTE(PROPERTIES[[#This Row],[PURCHASECOST_VALUE]], "PURCHASECOST_", ""), "_VALUE", "")</f>
        <v>STEAMENGINE</v>
      </c>
      <c r="AE169" s="9" t="str" cm="1">
        <f t="array" ref="AE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9" s="2" t="b">
        <v>0</v>
      </c>
      <c r="AX169"/>
      <c r="AY169"/>
      <c r="AZ169"/>
    </row>
    <row r="170" spans="1:52">
      <c r="A170" s="2" t="s">
        <v>193</v>
      </c>
      <c r="B170">
        <v>1954</v>
      </c>
      <c r="C170">
        <v>0</v>
      </c>
      <c r="D170" t="s">
        <v>1806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 s="2" t="s">
        <v>19</v>
      </c>
      <c r="K170" s="39">
        <f>_xlfn.XLOOKUP("LOADINGSPEEDDEF_"&amp;PROPERTIES[[#This Row],[LOADINGSPEED]],LOADINGSPEEDDEF[TYPE],LOADINGSPEEDDEF[SPEED])</f>
        <v>0</v>
      </c>
      <c r="L170">
        <v>45</v>
      </c>
      <c r="M170">
        <v>1</v>
      </c>
      <c r="N170" s="33">
        <v>146</v>
      </c>
      <c r="O170">
        <v>1457</v>
      </c>
      <c r="P170">
        <v>85</v>
      </c>
      <c r="Q170" s="30">
        <v>151</v>
      </c>
      <c r="R170" s="29">
        <f>IFERROR(PROPERTIES[[#This Row],[TE_STARTING_KN]]/(PROPERTIES[[#This Row],[WEIGHT]]*9.81),0)</f>
        <v>0.10542778545794758</v>
      </c>
      <c r="S170" s="29">
        <v>0.1</v>
      </c>
      <c r="T170" s="26">
        <f>ROUND(IF(IFERROR(PROPERTIES[[#This Row],[TE_COEFFICIENT_CALC]],0)=0,PROPERTIES[[#This Row],[TE_COEFFICIENT_MANUAL]],PROPERTIES[[#This Row],[TE_COEFFICIENT_CALC]]),3)</f>
        <v>0.105</v>
      </c>
      <c r="U170" s="11">
        <v>40</v>
      </c>
      <c r="V170" s="9">
        <v>0</v>
      </c>
      <c r="W170" s="9">
        <v>4</v>
      </c>
      <c r="X170" s="10">
        <v>0</v>
      </c>
      <c r="Y170" t="s">
        <v>911</v>
      </c>
      <c r="Z170" t="s">
        <v>903</v>
      </c>
      <c r="AA170" s="2" t="s">
        <v>921</v>
      </c>
      <c r="AB170" s="9" t="s">
        <v>989</v>
      </c>
      <c r="AC170" s="9" t="s">
        <v>990</v>
      </c>
      <c r="AD170" s="10" t="str">
        <f>SUBSTITUTE(SUBSTITUTE(PROPERTIES[[#This Row],[PURCHASECOST_VALUE]], "PURCHASECOST_", ""), "_VALUE", "")</f>
        <v>STEAMENGINE</v>
      </c>
      <c r="AE170" s="9" t="str" cm="1">
        <f t="array" ref="AE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0" s="2" t="b">
        <v>0</v>
      </c>
      <c r="AX170"/>
      <c r="AY170"/>
      <c r="AZ170"/>
    </row>
    <row r="171" spans="1:52">
      <c r="A171" s="2" t="s">
        <v>194</v>
      </c>
      <c r="B171">
        <v>1956</v>
      </c>
      <c r="C171">
        <v>0</v>
      </c>
      <c r="D171" t="s">
        <v>1808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 s="2" t="s">
        <v>23</v>
      </c>
      <c r="K171" s="39">
        <f>_xlfn.XLOOKUP("LOADINGSPEEDDEF_"&amp;PROPERTIES[[#This Row],[LOADINGSPEED]],LOADINGSPEEDDEF[TYPE],LOADINGSPEEDDEF[SPEED])</f>
        <v>40</v>
      </c>
      <c r="L171">
        <v>45</v>
      </c>
      <c r="M171">
        <v>1</v>
      </c>
      <c r="N171" s="33">
        <v>203.2</v>
      </c>
      <c r="O171">
        <v>2980</v>
      </c>
      <c r="P171">
        <v>80</v>
      </c>
      <c r="Q171" s="30">
        <v>281.75</v>
      </c>
      <c r="R171" s="29">
        <f>IFERROR(PROPERTIES[[#This Row],[TE_STARTING_KN]]/(PROPERTIES[[#This Row],[WEIGHT]]*9.81),0)</f>
        <v>0.1413419939480042</v>
      </c>
      <c r="S171" s="29">
        <v>0.21</v>
      </c>
      <c r="T171" s="26">
        <f>ROUND(IF(IFERROR(PROPERTIES[[#This Row],[TE_COEFFICIENT_CALC]],0)=0,PROPERTIES[[#This Row],[TE_COEFFICIENT_MANUAL]],PROPERTIES[[#This Row],[TE_COEFFICIENT_CALC]]),3)</f>
        <v>0.14099999999999999</v>
      </c>
      <c r="U171" s="11">
        <v>40</v>
      </c>
      <c r="V171" s="9">
        <v>0</v>
      </c>
      <c r="W171" s="9">
        <v>6</v>
      </c>
      <c r="X171" s="10">
        <v>0</v>
      </c>
      <c r="Y171" t="s">
        <v>912</v>
      </c>
      <c r="Z171" t="s">
        <v>903</v>
      </c>
      <c r="AA171" s="2" t="s">
        <v>921</v>
      </c>
      <c r="AB171" s="9" t="s">
        <v>989</v>
      </c>
      <c r="AC171" s="9" t="s">
        <v>990</v>
      </c>
      <c r="AD171" s="10" t="str">
        <f>SUBSTITUTE(SUBSTITUTE(PROPERTIES[[#This Row],[PURCHASECOST_VALUE]], "PURCHASECOST_", ""), "_VALUE", "")</f>
        <v>STEAMENGINE</v>
      </c>
      <c r="AE171" s="9" t="str" cm="1">
        <f t="array" ref="AE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1" s="2" t="b">
        <v>0</v>
      </c>
      <c r="AX171"/>
      <c r="AY171"/>
      <c r="AZ171"/>
    </row>
    <row r="172" spans="1:52">
      <c r="A172" s="2" t="s">
        <v>195</v>
      </c>
      <c r="B172">
        <v>1930</v>
      </c>
      <c r="C172">
        <v>0</v>
      </c>
      <c r="D172" t="s">
        <v>1817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 s="2" t="s">
        <v>19</v>
      </c>
      <c r="K172" s="39">
        <f>_xlfn.XLOOKUP("LOADINGSPEEDDEF_"&amp;PROPERTIES[[#This Row],[LOADINGSPEED]],LOADINGSPEEDDEF[TYPE],LOADINGSPEEDDEF[SPEED])</f>
        <v>0</v>
      </c>
      <c r="L172">
        <v>45</v>
      </c>
      <c r="M172">
        <v>1</v>
      </c>
      <c r="N172" s="33">
        <v>15</v>
      </c>
      <c r="O172">
        <v>60</v>
      </c>
      <c r="P172">
        <v>30</v>
      </c>
      <c r="Q172" s="30">
        <v>30</v>
      </c>
      <c r="R172" s="29">
        <f>IFERROR(PROPERTIES[[#This Row],[TE_STARTING_KN]]/(PROPERTIES[[#This Row],[WEIGHT]]*9.81),0)</f>
        <v>0.2038735983690112</v>
      </c>
      <c r="S172" s="29">
        <v>0.39</v>
      </c>
      <c r="T172" s="26">
        <f>ROUND(IF(IFERROR(PROPERTIES[[#This Row],[TE_COEFFICIENT_CALC]],0)=0,PROPERTIES[[#This Row],[TE_COEFFICIENT_MANUAL]],PROPERTIES[[#This Row],[TE_COEFFICIENT_CALC]]),3)</f>
        <v>0.20399999999999999</v>
      </c>
      <c r="U172" s="11">
        <v>40</v>
      </c>
      <c r="V172" s="9">
        <v>0</v>
      </c>
      <c r="W172" s="9">
        <v>0</v>
      </c>
      <c r="X172" s="10">
        <v>0</v>
      </c>
      <c r="Y172" t="s">
        <v>904</v>
      </c>
      <c r="Z172" t="s">
        <v>903</v>
      </c>
      <c r="AA172" s="2" t="s">
        <v>921</v>
      </c>
      <c r="AB172" s="9" t="s">
        <v>991</v>
      </c>
      <c r="AC172" s="9" t="s">
        <v>992</v>
      </c>
      <c r="AD172" s="10" t="str">
        <f>SUBSTITUTE(SUBSTITUTE(PROPERTIES[[#This Row],[PURCHASECOST_VALUE]], "PURCHASECOST_", ""), "_VALUE", "")</f>
        <v>DIESELENGINE</v>
      </c>
      <c r="AE172" s="9" t="str" cm="1">
        <f t="array" ref="AE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2" s="2" t="b">
        <v>0</v>
      </c>
      <c r="AX172"/>
      <c r="AY172"/>
      <c r="AZ172"/>
    </row>
    <row r="173" spans="1:52">
      <c r="A173" s="2" t="s">
        <v>196</v>
      </c>
      <c r="B173">
        <v>1931</v>
      </c>
      <c r="C173">
        <v>0</v>
      </c>
      <c r="D173" t="s">
        <v>1992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 s="2" t="s">
        <v>19</v>
      </c>
      <c r="K173" s="39">
        <f>_xlfn.XLOOKUP("LOADINGSPEEDDEF_"&amp;PROPERTIES[[#This Row],[LOADINGSPEED]],LOADINGSPEEDDEF[TYPE],LOADINGSPEEDDEF[SPEED])</f>
        <v>0</v>
      </c>
      <c r="L173">
        <v>45</v>
      </c>
      <c r="M173">
        <v>1</v>
      </c>
      <c r="N173" s="33">
        <v>90.7</v>
      </c>
      <c r="O173">
        <v>600</v>
      </c>
      <c r="P173">
        <v>55</v>
      </c>
      <c r="Q173" s="30">
        <v>250</v>
      </c>
      <c r="R173" s="29">
        <f>IFERROR(PROPERTIES[[#This Row],[TE_STARTING_KN]]/(PROPERTIES[[#This Row],[WEIGHT]]*9.81),0)</f>
        <v>0.28097243435641017</v>
      </c>
      <c r="S173" s="29">
        <v>0.11</v>
      </c>
      <c r="T173" s="26">
        <f>ROUND(IF(IFERROR(PROPERTIES[[#This Row],[TE_COEFFICIENT_CALC]],0)=0,PROPERTIES[[#This Row],[TE_COEFFICIENT_MANUAL]],PROPERTIES[[#This Row],[TE_COEFFICIENT_CALC]]),3)</f>
        <v>0.28100000000000003</v>
      </c>
      <c r="U173" s="11">
        <v>40</v>
      </c>
      <c r="V173" s="9">
        <v>0</v>
      </c>
      <c r="W173" s="9">
        <v>0</v>
      </c>
      <c r="X173" s="10">
        <v>0</v>
      </c>
      <c r="Y173" t="s">
        <v>909</v>
      </c>
      <c r="Z173" t="s">
        <v>903</v>
      </c>
      <c r="AA173" s="2" t="s">
        <v>921</v>
      </c>
      <c r="AB173" s="9" t="s">
        <v>991</v>
      </c>
      <c r="AC173" s="9" t="s">
        <v>992</v>
      </c>
      <c r="AD173" s="10" t="str">
        <f>SUBSTITUTE(SUBSTITUTE(PROPERTIES[[#This Row],[PURCHASECOST_VALUE]], "PURCHASECOST_", ""), "_VALUE", "")</f>
        <v>DIESELENGINE</v>
      </c>
      <c r="AE173" s="9" t="str" cm="1">
        <f t="array" ref="AE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3" s="2" t="b">
        <v>0</v>
      </c>
      <c r="AX173"/>
      <c r="AY173"/>
      <c r="AZ173"/>
    </row>
    <row r="174" spans="1:52">
      <c r="A174" s="2" t="s">
        <v>197</v>
      </c>
      <c r="B174">
        <v>1934</v>
      </c>
      <c r="C174">
        <v>0</v>
      </c>
      <c r="D174" t="s">
        <v>1925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 s="2" t="s">
        <v>19</v>
      </c>
      <c r="K174" s="39">
        <f>_xlfn.XLOOKUP("LOADINGSPEEDDEF_"&amp;PROPERTIES[[#This Row],[LOADINGSPEED]],LOADINGSPEEDDEF[TYPE],LOADINGSPEEDDEF[SPEED])</f>
        <v>0</v>
      </c>
      <c r="L174">
        <v>45</v>
      </c>
      <c r="M174">
        <v>1</v>
      </c>
      <c r="N174" s="33">
        <v>21</v>
      </c>
      <c r="O174">
        <v>72</v>
      </c>
      <c r="P174">
        <v>60</v>
      </c>
      <c r="Q174" s="30">
        <v>45</v>
      </c>
      <c r="R174" s="29">
        <f>IFERROR(PROPERTIES[[#This Row],[TE_STARTING_KN]]/(PROPERTIES[[#This Row],[WEIGHT]]*9.81),0)</f>
        <v>0.218435998252512</v>
      </c>
      <c r="S174" s="29">
        <v>0.19</v>
      </c>
      <c r="T174" s="26">
        <f>ROUND(IF(IFERROR(PROPERTIES[[#This Row],[TE_COEFFICIENT_CALC]],0)=0,PROPERTIES[[#This Row],[TE_COEFFICIENT_MANUAL]],PROPERTIES[[#This Row],[TE_COEFFICIENT_CALC]]),3)</f>
        <v>0.218</v>
      </c>
      <c r="U174" s="11">
        <v>40</v>
      </c>
      <c r="V174" s="9">
        <v>0</v>
      </c>
      <c r="W174" s="9">
        <v>0</v>
      </c>
      <c r="X174" s="10">
        <v>0</v>
      </c>
      <c r="Y174" t="s">
        <v>904</v>
      </c>
      <c r="Z174" t="s">
        <v>903</v>
      </c>
      <c r="AA174" s="2" t="s">
        <v>921</v>
      </c>
      <c r="AB174" s="9" t="s">
        <v>991</v>
      </c>
      <c r="AC174" s="9" t="s">
        <v>992</v>
      </c>
      <c r="AD174" s="10" t="str">
        <f>SUBSTITUTE(SUBSTITUTE(PROPERTIES[[#This Row],[PURCHASECOST_VALUE]], "PURCHASECOST_", ""), "_VALUE", "")</f>
        <v>DIESELENGINE</v>
      </c>
      <c r="AE174" s="9" t="str" cm="1">
        <f t="array" ref="AE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4" s="2" t="b">
        <v>0</v>
      </c>
      <c r="AX174"/>
      <c r="AY174"/>
      <c r="AZ174"/>
    </row>
    <row r="175" spans="1:52">
      <c r="A175" s="2" t="s">
        <v>198</v>
      </c>
      <c r="B175">
        <v>1936</v>
      </c>
      <c r="C175">
        <v>0</v>
      </c>
      <c r="D175" t="s">
        <v>1817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 s="2" t="s">
        <v>19</v>
      </c>
      <c r="K175" s="39">
        <f>_xlfn.XLOOKUP("LOADINGSPEEDDEF_"&amp;PROPERTIES[[#This Row],[LOADINGSPEED]],LOADINGSPEEDDEF[TYPE],LOADINGSPEEDDEF[SPEED])</f>
        <v>0</v>
      </c>
      <c r="L175">
        <v>45</v>
      </c>
      <c r="M175">
        <v>1</v>
      </c>
      <c r="N175" s="33">
        <v>26</v>
      </c>
      <c r="O175">
        <v>200</v>
      </c>
      <c r="P175">
        <v>55</v>
      </c>
      <c r="Q175" s="30">
        <v>68</v>
      </c>
      <c r="R175" s="29">
        <f>IFERROR(PROPERTIES[[#This Row],[TE_STARTING_KN]]/(PROPERTIES[[#This Row],[WEIGHT]]*9.81),0)</f>
        <v>0.26660393632870699</v>
      </c>
      <c r="S175" s="29">
        <v>0.31</v>
      </c>
      <c r="T175" s="26">
        <f>ROUND(IF(IFERROR(PROPERTIES[[#This Row],[TE_COEFFICIENT_CALC]],0)=0,PROPERTIES[[#This Row],[TE_COEFFICIENT_MANUAL]],PROPERTIES[[#This Row],[TE_COEFFICIENT_CALC]]),3)</f>
        <v>0.26700000000000002</v>
      </c>
      <c r="U175" s="11">
        <v>40</v>
      </c>
      <c r="V175" s="9">
        <v>0</v>
      </c>
      <c r="W175" s="9">
        <v>0</v>
      </c>
      <c r="X175" s="10">
        <v>0</v>
      </c>
      <c r="Y175" t="s">
        <v>904</v>
      </c>
      <c r="Z175" t="s">
        <v>903</v>
      </c>
      <c r="AA175" s="2" t="s">
        <v>921</v>
      </c>
      <c r="AB175" s="9" t="s">
        <v>991</v>
      </c>
      <c r="AC175" s="9" t="s">
        <v>992</v>
      </c>
      <c r="AD175" s="10" t="str">
        <f>SUBSTITUTE(SUBSTITUTE(PROPERTIES[[#This Row],[PURCHASECOST_VALUE]], "PURCHASECOST_", ""), "_VALUE", "")</f>
        <v>DIESELENGINE</v>
      </c>
      <c r="AE175" s="9" t="str" cm="1">
        <f t="array" ref="AE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5" s="2" t="b">
        <v>0</v>
      </c>
      <c r="AX175"/>
      <c r="AY175"/>
      <c r="AZ175"/>
    </row>
    <row r="176" spans="1:52">
      <c r="A176" s="2" t="s">
        <v>199</v>
      </c>
      <c r="B176">
        <v>1941</v>
      </c>
      <c r="C176">
        <v>0</v>
      </c>
      <c r="D176" t="s">
        <v>1803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 s="2" t="s">
        <v>19</v>
      </c>
      <c r="K176" s="39">
        <f>_xlfn.XLOOKUP("LOADINGSPEEDDEF_"&amp;PROPERTIES[[#This Row],[LOADINGSPEED]],LOADINGSPEEDDEF[TYPE],LOADINGSPEEDDEF[SPEED])</f>
        <v>0</v>
      </c>
      <c r="L176">
        <v>45</v>
      </c>
      <c r="M176">
        <v>1</v>
      </c>
      <c r="N176" s="33">
        <v>92</v>
      </c>
      <c r="O176">
        <v>2170</v>
      </c>
      <c r="P176">
        <v>110</v>
      </c>
      <c r="Q176" s="30">
        <v>127</v>
      </c>
      <c r="R176" s="29">
        <f>IFERROR(PROPERTIES[[#This Row],[TE_STARTING_KN]]/(PROPERTIES[[#This Row],[WEIGHT]]*9.81),0)</f>
        <v>0.14071710322208925</v>
      </c>
      <c r="S176" s="29">
        <v>0.14000000000000001</v>
      </c>
      <c r="T176" s="26">
        <f>ROUND(IF(IFERROR(PROPERTIES[[#This Row],[TE_COEFFICIENT_CALC]],0)=0,PROPERTIES[[#This Row],[TE_COEFFICIENT_MANUAL]],PROPERTIES[[#This Row],[TE_COEFFICIENT_CALC]]),3)</f>
        <v>0.14099999999999999</v>
      </c>
      <c r="U176" s="11">
        <v>40</v>
      </c>
      <c r="V176" s="9">
        <v>0</v>
      </c>
      <c r="W176" s="9">
        <v>0</v>
      </c>
      <c r="X176" s="10">
        <v>0</v>
      </c>
      <c r="Y176" t="s">
        <v>904</v>
      </c>
      <c r="Z176" t="s">
        <v>903</v>
      </c>
      <c r="AA176" s="2" t="s">
        <v>921</v>
      </c>
      <c r="AB176" s="9" t="s">
        <v>991</v>
      </c>
      <c r="AC176" s="9" t="s">
        <v>992</v>
      </c>
      <c r="AD176" s="10" t="str">
        <f>SUBSTITUTE(SUBSTITUTE(PROPERTIES[[#This Row],[PURCHASECOST_VALUE]], "PURCHASECOST_", ""), "_VALUE", "")</f>
        <v>DIESELENGINE</v>
      </c>
      <c r="AE176" s="9" t="str" cm="1">
        <f t="array" ref="AE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6" s="2" t="b">
        <v>0</v>
      </c>
      <c r="AX176"/>
      <c r="AY176"/>
      <c r="AZ176"/>
    </row>
    <row r="177" spans="1:52">
      <c r="A177" s="2" t="s">
        <v>200</v>
      </c>
      <c r="B177">
        <v>1943</v>
      </c>
      <c r="C177">
        <v>0</v>
      </c>
      <c r="D177" t="s">
        <v>1773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 s="2" t="s">
        <v>19</v>
      </c>
      <c r="K177" s="39">
        <f>_xlfn.XLOOKUP("LOADINGSPEEDDEF_"&amp;PROPERTIES[[#This Row],[LOADINGSPEED]],LOADINGSPEEDDEF[TYPE],LOADINGSPEEDDEF[SPEED])</f>
        <v>0</v>
      </c>
      <c r="L177">
        <v>45</v>
      </c>
      <c r="M177">
        <v>1</v>
      </c>
      <c r="N177" s="33">
        <v>40</v>
      </c>
      <c r="O177">
        <v>380</v>
      </c>
      <c r="P177">
        <v>56</v>
      </c>
      <c r="Q177" s="30">
        <v>57.83</v>
      </c>
      <c r="R177" s="29">
        <f>IFERROR(PROPERTIES[[#This Row],[TE_STARTING_KN]]/(PROPERTIES[[#This Row],[WEIGHT]]*9.81),0)</f>
        <v>0.14737512742099895</v>
      </c>
      <c r="S177" s="29">
        <v>0.15</v>
      </c>
      <c r="T177" s="26">
        <f>ROUND(IF(IFERROR(PROPERTIES[[#This Row],[TE_COEFFICIENT_CALC]],0)=0,PROPERTIES[[#This Row],[TE_COEFFICIENT_MANUAL]],PROPERTIES[[#This Row],[TE_COEFFICIENT_CALC]]),3)</f>
        <v>0.14699999999999999</v>
      </c>
      <c r="U177" s="11">
        <v>40</v>
      </c>
      <c r="V177" s="9">
        <v>0</v>
      </c>
      <c r="W177" s="9">
        <v>0</v>
      </c>
      <c r="X177" s="10">
        <v>0</v>
      </c>
      <c r="Y177" t="s">
        <v>906</v>
      </c>
      <c r="Z177" t="s">
        <v>903</v>
      </c>
      <c r="AA177" s="2" t="s">
        <v>921</v>
      </c>
      <c r="AB177" s="9" t="s">
        <v>991</v>
      </c>
      <c r="AC177" s="9" t="s">
        <v>992</v>
      </c>
      <c r="AD177" s="10" t="str">
        <f>SUBSTITUTE(SUBSTITUTE(PROPERTIES[[#This Row],[PURCHASECOST_VALUE]], "PURCHASECOST_", ""), "_VALUE", "")</f>
        <v>DIESELENGINE</v>
      </c>
      <c r="AE177" s="9" t="str" cm="1">
        <f t="array" ref="AE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7" s="2" t="b">
        <v>0</v>
      </c>
      <c r="AX177"/>
      <c r="AY177"/>
      <c r="AZ177"/>
    </row>
    <row r="178" spans="1:52">
      <c r="A178" s="2" t="s">
        <v>201</v>
      </c>
      <c r="B178">
        <v>1940</v>
      </c>
      <c r="C178">
        <v>0</v>
      </c>
      <c r="D178" t="s">
        <v>1992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 s="2" t="s">
        <v>19</v>
      </c>
      <c r="K178" s="39">
        <f>_xlfn.XLOOKUP("LOADINGSPEEDDEF_"&amp;PROPERTIES[[#This Row],[LOADINGSPEED]],LOADINGSPEEDDEF[TYPE],LOADINGSPEEDDEF[SPEED])</f>
        <v>0</v>
      </c>
      <c r="L178">
        <v>45</v>
      </c>
      <c r="M178">
        <v>1</v>
      </c>
      <c r="N178" s="33">
        <v>104</v>
      </c>
      <c r="O178">
        <v>1000</v>
      </c>
      <c r="P178">
        <v>96</v>
      </c>
      <c r="Q178" s="30">
        <v>261</v>
      </c>
      <c r="R178" s="29">
        <f>IFERROR(PROPERTIES[[#This Row],[TE_STARTING_KN]]/(PROPERTIES[[#This Row],[WEIGHT]]*9.81),0)</f>
        <v>0.25582215949188425</v>
      </c>
      <c r="S178" s="29">
        <v>0.15</v>
      </c>
      <c r="T178" s="26">
        <f>ROUND(IF(IFERROR(PROPERTIES[[#This Row],[TE_COEFFICIENT_CALC]],0)=0,PROPERTIES[[#This Row],[TE_COEFFICIENT_MANUAL]],PROPERTIES[[#This Row],[TE_COEFFICIENT_CALC]]),3)</f>
        <v>0.25600000000000001</v>
      </c>
      <c r="U178" s="11">
        <v>40</v>
      </c>
      <c r="V178" s="9">
        <v>0</v>
      </c>
      <c r="W178" s="9">
        <v>0</v>
      </c>
      <c r="X178" s="10">
        <v>0</v>
      </c>
      <c r="Y178" t="s">
        <v>909</v>
      </c>
      <c r="Z178" t="s">
        <v>903</v>
      </c>
      <c r="AA178" s="2" t="s">
        <v>921</v>
      </c>
      <c r="AB178" s="9" t="s">
        <v>991</v>
      </c>
      <c r="AC178" s="9" t="s">
        <v>992</v>
      </c>
      <c r="AD178" s="10" t="str">
        <f>SUBSTITUTE(SUBSTITUTE(PROPERTIES[[#This Row],[PURCHASECOST_VALUE]], "PURCHASECOST_", ""), "_VALUE", "")</f>
        <v>DIESELENGINE</v>
      </c>
      <c r="AE178" s="9" t="str" cm="1">
        <f t="array" ref="AE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8" s="2" t="b">
        <v>0</v>
      </c>
      <c r="AX178"/>
      <c r="AY178"/>
      <c r="AZ178"/>
    </row>
    <row r="179" spans="1:52">
      <c r="A179" s="2" t="s">
        <v>202</v>
      </c>
      <c r="B179">
        <v>1946</v>
      </c>
      <c r="C179">
        <v>0</v>
      </c>
      <c r="D179" t="s">
        <v>1992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 s="2" t="s">
        <v>19</v>
      </c>
      <c r="K179" s="39">
        <f>_xlfn.XLOOKUP("LOADINGSPEEDDEF_"&amp;PROPERTIES[[#This Row],[LOADINGSPEED]],LOADINGSPEEDDEF[TYPE],LOADINGSPEEDDEF[SPEED])</f>
        <v>0</v>
      </c>
      <c r="L179">
        <v>45</v>
      </c>
      <c r="M179">
        <v>1</v>
      </c>
      <c r="N179" s="33">
        <v>139</v>
      </c>
      <c r="O179">
        <v>1500</v>
      </c>
      <c r="P179">
        <v>164</v>
      </c>
      <c r="Q179" s="30">
        <v>250</v>
      </c>
      <c r="R179" s="29">
        <f>IFERROR(PROPERTIES[[#This Row],[TE_STARTING_KN]]/(PROPERTIES[[#This Row],[WEIGHT]]*9.81),0)</f>
        <v>0.1833395668786072</v>
      </c>
      <c r="S179" s="29">
        <v>0.16</v>
      </c>
      <c r="T179" s="26">
        <f>ROUND(IF(IFERROR(PROPERTIES[[#This Row],[TE_COEFFICIENT_CALC]],0)=0,PROPERTIES[[#This Row],[TE_COEFFICIENT_MANUAL]],PROPERTIES[[#This Row],[TE_COEFFICIENT_CALC]]),3)</f>
        <v>0.183</v>
      </c>
      <c r="U179" s="11">
        <v>40</v>
      </c>
      <c r="V179" s="9">
        <v>0</v>
      </c>
      <c r="W179" s="9">
        <v>0</v>
      </c>
      <c r="X179" s="10">
        <v>0</v>
      </c>
      <c r="Y179" t="s">
        <v>909</v>
      </c>
      <c r="Z179" t="s">
        <v>903</v>
      </c>
      <c r="AA179" s="2" t="s">
        <v>921</v>
      </c>
      <c r="AB179" s="9" t="s">
        <v>991</v>
      </c>
      <c r="AC179" s="9" t="s">
        <v>992</v>
      </c>
      <c r="AD179" s="10" t="str">
        <f>SUBSTITUTE(SUBSTITUTE(PROPERTIES[[#This Row],[PURCHASECOST_VALUE]], "PURCHASECOST_", ""), "_VALUE", "")</f>
        <v>DIESELENGINE</v>
      </c>
      <c r="AE179" s="9" t="str" cm="1">
        <f t="array" ref="AE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79" s="2" t="b">
        <v>0</v>
      </c>
      <c r="AX179"/>
      <c r="AY179"/>
      <c r="AZ179"/>
    </row>
    <row r="180" spans="1:52">
      <c r="A180" s="2" t="s">
        <v>203</v>
      </c>
      <c r="B180">
        <v>1949</v>
      </c>
      <c r="C180">
        <v>0</v>
      </c>
      <c r="D180" t="s">
        <v>1992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 s="2" t="s">
        <v>19</v>
      </c>
      <c r="K180" s="39">
        <f>_xlfn.XLOOKUP("LOADINGSPEEDDEF_"&amp;PROPERTIES[[#This Row],[LOADINGSPEED]],LOADINGSPEEDDEF[TYPE],LOADINGSPEEDDEF[SPEED])</f>
        <v>0</v>
      </c>
      <c r="L180">
        <v>45</v>
      </c>
      <c r="M180">
        <v>1</v>
      </c>
      <c r="N180" s="33">
        <v>143</v>
      </c>
      <c r="O180">
        <v>2250</v>
      </c>
      <c r="P180">
        <v>188</v>
      </c>
      <c r="Q180" s="30">
        <v>251</v>
      </c>
      <c r="R180" s="29">
        <f>IFERROR(PROPERTIES[[#This Row],[TE_STARTING_KN]]/(PROPERTIES[[#This Row],[WEIGHT]]*9.81),0)</f>
        <v>0.17892403213504129</v>
      </c>
      <c r="S180" s="29">
        <v>0.13</v>
      </c>
      <c r="T180" s="26">
        <f>ROUND(IF(IFERROR(PROPERTIES[[#This Row],[TE_COEFFICIENT_CALC]],0)=0,PROPERTIES[[#This Row],[TE_COEFFICIENT_MANUAL]],PROPERTIES[[#This Row],[TE_COEFFICIENT_CALC]]),3)</f>
        <v>0.17899999999999999</v>
      </c>
      <c r="U180" s="11">
        <v>40</v>
      </c>
      <c r="V180" s="9">
        <v>0</v>
      </c>
      <c r="W180" s="9">
        <v>0</v>
      </c>
      <c r="X180" s="10">
        <v>0</v>
      </c>
      <c r="Y180" t="s">
        <v>909</v>
      </c>
      <c r="Z180" t="s">
        <v>903</v>
      </c>
      <c r="AA180" s="2" t="s">
        <v>921</v>
      </c>
      <c r="AB180" s="9" t="s">
        <v>991</v>
      </c>
      <c r="AC180" s="9" t="s">
        <v>992</v>
      </c>
      <c r="AD180" s="10" t="str">
        <f>SUBSTITUTE(SUBSTITUTE(PROPERTIES[[#This Row],[PURCHASECOST_VALUE]], "PURCHASECOST_", ""), "_VALUE", "")</f>
        <v>DIESELENGINE</v>
      </c>
      <c r="AE180" s="9" t="str" cm="1">
        <f t="array" ref="AE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80" s="2" t="b">
        <v>0</v>
      </c>
      <c r="AX180"/>
      <c r="AY180"/>
      <c r="AZ180"/>
    </row>
    <row r="181" spans="1:52">
      <c r="A181" s="2" t="s">
        <v>204</v>
      </c>
      <c r="B181">
        <v>1950</v>
      </c>
      <c r="C181">
        <v>0</v>
      </c>
      <c r="D181" t="s">
        <v>1791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 s="2" t="s">
        <v>19</v>
      </c>
      <c r="K181" s="39">
        <f>_xlfn.XLOOKUP("LOADINGSPEEDDEF_"&amp;PROPERTIES[[#This Row],[LOADINGSPEED]],LOADINGSPEEDDEF[TYPE],LOADINGSPEEDDEF[SPEED])</f>
        <v>0</v>
      </c>
      <c r="L181">
        <v>45</v>
      </c>
      <c r="M181">
        <v>1</v>
      </c>
      <c r="N181" s="33">
        <v>112</v>
      </c>
      <c r="O181">
        <v>1600</v>
      </c>
      <c r="P181">
        <v>137</v>
      </c>
      <c r="Q181" s="30">
        <v>274.8</v>
      </c>
      <c r="R181" s="29">
        <f>IFERROR(PROPERTIES[[#This Row],[TE_STARTING_KN]]/(PROPERTIES[[#This Row],[WEIGHT]]*9.81),0)</f>
        <v>0.25010921799912628</v>
      </c>
      <c r="S181" s="29">
        <v>0.1</v>
      </c>
      <c r="T181" s="26">
        <f>ROUND(IF(IFERROR(PROPERTIES[[#This Row],[TE_COEFFICIENT_CALC]],0)=0,PROPERTIES[[#This Row],[TE_COEFFICIENT_MANUAL]],PROPERTIES[[#This Row],[TE_COEFFICIENT_CALC]]),3)</f>
        <v>0.25</v>
      </c>
      <c r="U181" s="11">
        <v>40</v>
      </c>
      <c r="V181" s="9">
        <v>0</v>
      </c>
      <c r="W181" s="9">
        <v>0</v>
      </c>
      <c r="X181" s="10">
        <v>0</v>
      </c>
      <c r="Y181" t="s">
        <v>911</v>
      </c>
      <c r="Z181" t="s">
        <v>903</v>
      </c>
      <c r="AA181" s="2" t="s">
        <v>921</v>
      </c>
      <c r="AB181" s="9" t="s">
        <v>991</v>
      </c>
      <c r="AC181" s="9" t="s">
        <v>992</v>
      </c>
      <c r="AD181" s="10" t="str">
        <f>SUBSTITUTE(SUBSTITUTE(PROPERTIES[[#This Row],[PURCHASECOST_VALUE]], "PURCHASECOST_", ""), "_VALUE", "")</f>
        <v>DIESELENGINE</v>
      </c>
      <c r="AE181" s="9" t="str" cm="1">
        <f t="array" ref="AE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1" s="2" t="b">
        <v>0</v>
      </c>
      <c r="AX181"/>
      <c r="AY181"/>
      <c r="AZ181"/>
    </row>
    <row r="182" spans="1:52">
      <c r="A182" s="2" t="s">
        <v>205</v>
      </c>
      <c r="B182">
        <v>1950</v>
      </c>
      <c r="C182">
        <v>0</v>
      </c>
      <c r="D182" t="s">
        <v>1925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 s="2" t="s">
        <v>19</v>
      </c>
      <c r="K182" s="39">
        <f>_xlfn.XLOOKUP("LOADINGSPEEDDEF_"&amp;PROPERTIES[[#This Row],[LOADINGSPEED]],LOADINGSPEEDDEF[TYPE],LOADINGSPEEDDEF[SPEED])</f>
        <v>0</v>
      </c>
      <c r="L182">
        <v>45</v>
      </c>
      <c r="M182">
        <v>1</v>
      </c>
      <c r="N182" s="33">
        <v>47</v>
      </c>
      <c r="O182">
        <v>400</v>
      </c>
      <c r="P182">
        <v>30</v>
      </c>
      <c r="Q182" s="30">
        <v>143</v>
      </c>
      <c r="R182" s="29">
        <f>IFERROR(PROPERTIES[[#This Row],[TE_STARTING_KN]]/(PROPERTIES[[#This Row],[WEIGHT]]*9.81),0)</f>
        <v>0.31014813368902766</v>
      </c>
      <c r="S182" s="29">
        <v>0.3</v>
      </c>
      <c r="T182" s="26">
        <f>ROUND(IF(IFERROR(PROPERTIES[[#This Row],[TE_COEFFICIENT_CALC]],0)=0,PROPERTIES[[#This Row],[TE_COEFFICIENT_MANUAL]],PROPERTIES[[#This Row],[TE_COEFFICIENT_CALC]]),3)</f>
        <v>0.31</v>
      </c>
      <c r="U182" s="11">
        <v>40</v>
      </c>
      <c r="V182" s="9">
        <v>0</v>
      </c>
      <c r="W182" s="9">
        <v>0</v>
      </c>
      <c r="X182" s="10">
        <v>0</v>
      </c>
      <c r="Y182" t="s">
        <v>904</v>
      </c>
      <c r="Z182" t="s">
        <v>903</v>
      </c>
      <c r="AA182" s="2" t="s">
        <v>921</v>
      </c>
      <c r="AB182" s="9" t="s">
        <v>991</v>
      </c>
      <c r="AC182" s="9" t="s">
        <v>992</v>
      </c>
      <c r="AD182" s="10" t="str">
        <f>SUBSTITUTE(SUBSTITUTE(PROPERTIES[[#This Row],[PURCHASECOST_VALUE]], "PURCHASECOST_", ""), "_VALUE", "")</f>
        <v>DIESELENGINE</v>
      </c>
      <c r="AE182" s="9" t="str" cm="1">
        <f t="array" ref="AE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2" s="2" t="b">
        <v>0</v>
      </c>
      <c r="AX182"/>
      <c r="AY182"/>
      <c r="AZ182"/>
    </row>
    <row r="183" spans="1:52">
      <c r="A183" s="2" t="s">
        <v>206</v>
      </c>
      <c r="B183">
        <v>1950</v>
      </c>
      <c r="C183">
        <v>0</v>
      </c>
      <c r="D183" t="s">
        <v>1992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 s="2" t="s">
        <v>19</v>
      </c>
      <c r="K183" s="39">
        <f>_xlfn.XLOOKUP("LOADINGSPEEDDEF_"&amp;PROPERTIES[[#This Row],[LOADINGSPEED]],LOADINGSPEEDDEF[TYPE],LOADINGSPEEDDEF[SPEED])</f>
        <v>0</v>
      </c>
      <c r="L183">
        <v>45</v>
      </c>
      <c r="M183">
        <v>1</v>
      </c>
      <c r="N183" s="33">
        <v>121</v>
      </c>
      <c r="O183">
        <v>1600</v>
      </c>
      <c r="P183">
        <v>110</v>
      </c>
      <c r="Q183" s="30">
        <v>216.18</v>
      </c>
      <c r="R183" s="29">
        <f>IFERROR(PROPERTIES[[#This Row],[TE_STARTING_KN]]/(PROPERTIES[[#This Row],[WEIGHT]]*9.81),0)</f>
        <v>0.18212146485707786</v>
      </c>
      <c r="S183" s="29">
        <v>0.16</v>
      </c>
      <c r="T183" s="26">
        <f>ROUND(IF(IFERROR(PROPERTIES[[#This Row],[TE_COEFFICIENT_CALC]],0)=0,PROPERTIES[[#This Row],[TE_COEFFICIENT_MANUAL]],PROPERTIES[[#This Row],[TE_COEFFICIENT_CALC]]),3)</f>
        <v>0.182</v>
      </c>
      <c r="U183" s="11">
        <v>40</v>
      </c>
      <c r="V183" s="9">
        <v>0</v>
      </c>
      <c r="W183" s="9">
        <v>0</v>
      </c>
      <c r="X183" s="10">
        <v>0</v>
      </c>
      <c r="Y183" t="s">
        <v>909</v>
      </c>
      <c r="Z183" t="s">
        <v>903</v>
      </c>
      <c r="AA183" s="2" t="s">
        <v>921</v>
      </c>
      <c r="AB183" s="9" t="s">
        <v>991</v>
      </c>
      <c r="AC183" s="9" t="s">
        <v>992</v>
      </c>
      <c r="AD183" s="10" t="str">
        <f>SUBSTITUTE(SUBSTITUTE(PROPERTIES[[#This Row],[PURCHASECOST_VALUE]], "PURCHASECOST_", ""), "_VALUE", "")</f>
        <v>DIESELENGINE</v>
      </c>
      <c r="AE183" s="9" t="str" cm="1">
        <f t="array" ref="AE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3" s="2" t="b">
        <v>0</v>
      </c>
      <c r="AX183"/>
      <c r="AY183"/>
      <c r="AZ183"/>
    </row>
    <row r="184" spans="1:52">
      <c r="A184" s="2" t="s">
        <v>207</v>
      </c>
      <c r="B184">
        <v>1952</v>
      </c>
      <c r="C184">
        <v>0</v>
      </c>
      <c r="D184" t="s">
        <v>1993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 s="2" t="s">
        <v>19</v>
      </c>
      <c r="K184" s="39">
        <f>_xlfn.XLOOKUP("LOADINGSPEEDDEF_"&amp;PROPERTIES[[#This Row],[LOADINGSPEED]],LOADINGSPEEDDEF[TYPE],LOADINGSPEEDDEF[SPEED])</f>
        <v>0</v>
      </c>
      <c r="L184">
        <v>45</v>
      </c>
      <c r="M184">
        <v>1</v>
      </c>
      <c r="N184" s="33">
        <v>112</v>
      </c>
      <c r="O184">
        <v>1500</v>
      </c>
      <c r="P184">
        <v>110</v>
      </c>
      <c r="Q184" s="30">
        <v>255</v>
      </c>
      <c r="R184" s="29">
        <f>IFERROR(PROPERTIES[[#This Row],[TE_STARTING_KN]]/(PROPERTIES[[#This Row],[WEIGHT]]*9.81),0)</f>
        <v>0.23208824814329401</v>
      </c>
      <c r="S184" s="29">
        <v>0.18</v>
      </c>
      <c r="T184" s="26">
        <f>ROUND(IF(IFERROR(PROPERTIES[[#This Row],[TE_COEFFICIENT_CALC]],0)=0,PROPERTIES[[#This Row],[TE_COEFFICIENT_MANUAL]],PROPERTIES[[#This Row],[TE_COEFFICIENT_CALC]]),3)</f>
        <v>0.23200000000000001</v>
      </c>
      <c r="U184" s="11">
        <v>40</v>
      </c>
      <c r="V184" s="9">
        <v>0</v>
      </c>
      <c r="W184" s="9">
        <v>0</v>
      </c>
      <c r="X184" s="10">
        <v>0</v>
      </c>
      <c r="Y184" t="s">
        <v>911</v>
      </c>
      <c r="Z184" t="s">
        <v>903</v>
      </c>
      <c r="AA184" s="2" t="s">
        <v>921</v>
      </c>
      <c r="AB184" s="9" t="s">
        <v>991</v>
      </c>
      <c r="AC184" s="9" t="s">
        <v>992</v>
      </c>
      <c r="AD184" s="10" t="str">
        <f>SUBSTITUTE(SUBSTITUTE(PROPERTIES[[#This Row],[PURCHASECOST_VALUE]], "PURCHASECOST_", ""), "_VALUE", "")</f>
        <v>DIESELENGINE</v>
      </c>
      <c r="AE184" s="9" t="str" cm="1">
        <f t="array" ref="AE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4" s="2" t="b">
        <v>0</v>
      </c>
      <c r="AX184"/>
      <c r="AY184"/>
      <c r="AZ184"/>
    </row>
    <row r="185" spans="1:52">
      <c r="A185" s="2" t="s">
        <v>208</v>
      </c>
      <c r="B185">
        <v>1953</v>
      </c>
      <c r="C185">
        <v>0</v>
      </c>
      <c r="D185" t="s">
        <v>1798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 s="2" t="s">
        <v>19</v>
      </c>
      <c r="K185" s="39">
        <f>_xlfn.XLOOKUP("LOADINGSPEEDDEF_"&amp;PROPERTIES[[#This Row],[LOADINGSPEED]],LOADINGSPEEDDEF[TYPE],LOADINGSPEEDDEF[SPEED])</f>
        <v>0</v>
      </c>
      <c r="L185">
        <v>45</v>
      </c>
      <c r="M185">
        <v>1</v>
      </c>
      <c r="N185" s="33">
        <v>170</v>
      </c>
      <c r="O185">
        <v>2400</v>
      </c>
      <c r="P185">
        <v>105</v>
      </c>
      <c r="Q185" s="30">
        <v>498.2</v>
      </c>
      <c r="R185" s="29">
        <f>IFERROR(PROPERTIES[[#This Row],[TE_STARTING_KN]]/(PROPERTIES[[#This Row],[WEIGHT]]*9.81),0)</f>
        <v>0.29873478443365115</v>
      </c>
      <c r="S185" s="29">
        <v>0.28999999999999998</v>
      </c>
      <c r="T185" s="26">
        <f>ROUND(IF(IFERROR(PROPERTIES[[#This Row],[TE_COEFFICIENT_CALC]],0)=0,PROPERTIES[[#This Row],[TE_COEFFICIENT_MANUAL]],PROPERTIES[[#This Row],[TE_COEFFICIENT_CALC]]),3)</f>
        <v>0.29899999999999999</v>
      </c>
      <c r="U185" s="11">
        <v>40</v>
      </c>
      <c r="V185" s="9">
        <v>0</v>
      </c>
      <c r="W185" s="9">
        <v>0</v>
      </c>
      <c r="X185" s="10">
        <v>0</v>
      </c>
      <c r="Y185" t="s">
        <v>909</v>
      </c>
      <c r="Z185" t="s">
        <v>903</v>
      </c>
      <c r="AA185" s="2" t="s">
        <v>921</v>
      </c>
      <c r="AB185" s="9" t="s">
        <v>991</v>
      </c>
      <c r="AC185" s="9" t="s">
        <v>992</v>
      </c>
      <c r="AD185" s="10" t="str">
        <f>SUBSTITUTE(SUBSTITUTE(PROPERTIES[[#This Row],[PURCHASECOST_VALUE]], "PURCHASECOST_", ""), "_VALUE", "")</f>
        <v>DIESELENGINE</v>
      </c>
      <c r="AE185" s="9" t="str" cm="1">
        <f t="array" ref="AE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85" s="2" t="b">
        <v>0</v>
      </c>
      <c r="AX185"/>
      <c r="AY185"/>
      <c r="AZ185"/>
    </row>
    <row r="186" spans="1:52">
      <c r="A186" s="2" t="s">
        <v>209</v>
      </c>
      <c r="B186">
        <v>1953</v>
      </c>
      <c r="C186">
        <v>0</v>
      </c>
      <c r="D186" t="s">
        <v>1890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 s="2" t="s">
        <v>19</v>
      </c>
      <c r="K186" s="39">
        <f>_xlfn.XLOOKUP("LOADINGSPEEDDEF_"&amp;PROPERTIES[[#This Row],[LOADINGSPEED]],LOADINGSPEEDDEF[TYPE],LOADINGSPEEDDEF[SPEED])</f>
        <v>0</v>
      </c>
      <c r="L186">
        <v>45</v>
      </c>
      <c r="M186">
        <v>1</v>
      </c>
      <c r="N186" s="33">
        <v>50</v>
      </c>
      <c r="O186">
        <v>350</v>
      </c>
      <c r="P186">
        <v>24</v>
      </c>
      <c r="Q186" s="30">
        <v>160</v>
      </c>
      <c r="R186" s="29">
        <f>IFERROR(PROPERTIES[[#This Row],[TE_STARTING_KN]]/(PROPERTIES[[#This Row],[WEIGHT]]*9.81),0)</f>
        <v>0.32619775739041795</v>
      </c>
      <c r="S186" s="29">
        <v>0.32</v>
      </c>
      <c r="T186" s="26">
        <f>ROUND(IF(IFERROR(PROPERTIES[[#This Row],[TE_COEFFICIENT_CALC]],0)=0,PROPERTIES[[#This Row],[TE_COEFFICIENT_MANUAL]],PROPERTIES[[#This Row],[TE_COEFFICIENT_CALC]]),3)</f>
        <v>0.32600000000000001</v>
      </c>
      <c r="U186" s="11">
        <v>40</v>
      </c>
      <c r="V186" s="9">
        <v>0</v>
      </c>
      <c r="W186" s="9">
        <v>0</v>
      </c>
      <c r="X186" s="10">
        <v>0</v>
      </c>
      <c r="Y186" t="s">
        <v>907</v>
      </c>
      <c r="Z186" t="s">
        <v>903</v>
      </c>
      <c r="AA186" s="2" t="s">
        <v>921</v>
      </c>
      <c r="AB186" s="9" t="s">
        <v>991</v>
      </c>
      <c r="AC186" s="9" t="s">
        <v>992</v>
      </c>
      <c r="AD186" s="10" t="str">
        <f>SUBSTITUTE(SUBSTITUTE(PROPERTIES[[#This Row],[PURCHASECOST_VALUE]], "PURCHASECOST_", ""), "_VALUE", "")</f>
        <v>DIESELENGINE</v>
      </c>
      <c r="AE186" s="9" t="str" cm="1">
        <f t="array" ref="AE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6" s="2" t="b">
        <v>0</v>
      </c>
      <c r="AX186"/>
      <c r="AY186"/>
      <c r="AZ186"/>
    </row>
    <row r="187" spans="1:52">
      <c r="A187" s="2" t="s">
        <v>210</v>
      </c>
      <c r="B187">
        <v>1954</v>
      </c>
      <c r="C187">
        <v>0</v>
      </c>
      <c r="D187" t="s">
        <v>1772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 s="2" t="s">
        <v>19</v>
      </c>
      <c r="K187" s="39">
        <f>_xlfn.XLOOKUP("LOADINGSPEEDDEF_"&amp;PROPERTIES[[#This Row],[LOADINGSPEED]],LOADINGSPEEDDEF[TYPE],LOADINGSPEEDDEF[SPEED])</f>
        <v>0</v>
      </c>
      <c r="L187">
        <v>45</v>
      </c>
      <c r="M187">
        <v>1</v>
      </c>
      <c r="N187" s="33">
        <v>28</v>
      </c>
      <c r="O187">
        <v>200</v>
      </c>
      <c r="P187">
        <v>60</v>
      </c>
      <c r="Q187" s="30">
        <v>79</v>
      </c>
      <c r="R187" s="29">
        <f>IFERROR(PROPERTIES[[#This Row],[TE_STARTING_KN]]/(PROPERTIES[[#This Row],[WEIGHT]]*9.81),0)</f>
        <v>0.28760739769914079</v>
      </c>
      <c r="S187" s="29">
        <v>0.28000000000000003</v>
      </c>
      <c r="T187" s="26">
        <f>ROUND(IF(IFERROR(PROPERTIES[[#This Row],[TE_COEFFICIENT_CALC]],0)=0,PROPERTIES[[#This Row],[TE_COEFFICIENT_MANUAL]],PROPERTIES[[#This Row],[TE_COEFFICIENT_CALC]]),3)</f>
        <v>0.28799999999999998</v>
      </c>
      <c r="U187" s="11">
        <v>40</v>
      </c>
      <c r="V187" s="9">
        <v>0</v>
      </c>
      <c r="W187" s="9">
        <v>0</v>
      </c>
      <c r="X187" s="10">
        <v>0</v>
      </c>
      <c r="Y187" t="s">
        <v>904</v>
      </c>
      <c r="Z187" t="s">
        <v>903</v>
      </c>
      <c r="AA187" s="2" t="s">
        <v>921</v>
      </c>
      <c r="AB187" s="9" t="s">
        <v>991</v>
      </c>
      <c r="AC187" s="9" t="s">
        <v>992</v>
      </c>
      <c r="AD187" s="10" t="str">
        <f>SUBSTITUTE(SUBSTITUTE(PROPERTIES[[#This Row],[PURCHASECOST_VALUE]], "PURCHASECOST_", ""), "_VALUE", "")</f>
        <v>DIESELENGINE</v>
      </c>
      <c r="AE187" s="9" t="str" cm="1">
        <f t="array" ref="AE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7" s="2" t="b">
        <v>0</v>
      </c>
      <c r="AX187"/>
      <c r="AY187"/>
      <c r="AZ187"/>
    </row>
    <row r="188" spans="1:52">
      <c r="A188" s="2" t="s">
        <v>211</v>
      </c>
      <c r="B188">
        <v>1954</v>
      </c>
      <c r="C188">
        <v>0</v>
      </c>
      <c r="D188" t="s">
        <v>1798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 s="2" t="s">
        <v>19</v>
      </c>
      <c r="K188" s="39">
        <f>_xlfn.XLOOKUP("LOADINGSPEEDDEF_"&amp;PROPERTIES[[#This Row],[LOADINGSPEED]],LOADINGSPEEDDEF[TYPE],LOADINGSPEEDDEF[SPEED])</f>
        <v>0</v>
      </c>
      <c r="L188">
        <v>45</v>
      </c>
      <c r="M188">
        <v>1</v>
      </c>
      <c r="N188" s="33">
        <v>111</v>
      </c>
      <c r="O188">
        <v>1200</v>
      </c>
      <c r="P188">
        <v>104</v>
      </c>
      <c r="Q188" s="30">
        <v>0</v>
      </c>
      <c r="R188" s="29">
        <f>IFERROR(PROPERTIES[[#This Row],[TE_STARTING_KN]]/(PROPERTIES[[#This Row],[WEIGHT]]*9.81),0)</f>
        <v>0</v>
      </c>
      <c r="S188" s="29">
        <v>0.14000000000000001</v>
      </c>
      <c r="T188" s="26">
        <f>ROUND(IF(IFERROR(PROPERTIES[[#This Row],[TE_COEFFICIENT_CALC]],0)=0,PROPERTIES[[#This Row],[TE_COEFFICIENT_MANUAL]],PROPERTIES[[#This Row],[TE_COEFFICIENT_CALC]]),3)</f>
        <v>0.14000000000000001</v>
      </c>
      <c r="U188" s="11">
        <v>40</v>
      </c>
      <c r="V188" s="9">
        <v>0</v>
      </c>
      <c r="W188" s="9">
        <v>0</v>
      </c>
      <c r="X188" s="10">
        <v>0</v>
      </c>
      <c r="Y188" t="s">
        <v>909</v>
      </c>
      <c r="Z188" t="s">
        <v>903</v>
      </c>
      <c r="AA188" s="2" t="s">
        <v>921</v>
      </c>
      <c r="AB188" s="9" t="s">
        <v>991</v>
      </c>
      <c r="AC188" s="9" t="s">
        <v>992</v>
      </c>
      <c r="AD188" s="10" t="str">
        <f>SUBSTITUTE(SUBSTITUTE(PROPERTIES[[#This Row],[PURCHASECOST_VALUE]], "PURCHASECOST_", ""), "_VALUE", "")</f>
        <v>DIESELENGINE</v>
      </c>
      <c r="AE188" s="9" t="str" cm="1">
        <f t="array" ref="AE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8" s="2" t="b">
        <v>0</v>
      </c>
      <c r="AX188"/>
      <c r="AY188"/>
      <c r="AZ188"/>
    </row>
    <row r="189" spans="1:52">
      <c r="A189" s="2" t="s">
        <v>212</v>
      </c>
      <c r="B189">
        <v>1954</v>
      </c>
      <c r="C189">
        <v>0</v>
      </c>
      <c r="D189" t="s">
        <v>1798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 s="2" t="s">
        <v>19</v>
      </c>
      <c r="K189" s="39">
        <f>_xlfn.XLOOKUP("LOADINGSPEEDDEF_"&amp;PROPERTIES[[#This Row],[LOADINGSPEED]],LOADINGSPEEDDEF[TYPE],LOADINGSPEEDDEF[SPEED])</f>
        <v>0</v>
      </c>
      <c r="L189">
        <v>45</v>
      </c>
      <c r="M189">
        <v>1</v>
      </c>
      <c r="N189" s="33">
        <v>104</v>
      </c>
      <c r="O189">
        <v>1800</v>
      </c>
      <c r="P189">
        <v>144</v>
      </c>
      <c r="Q189" s="30">
        <v>0</v>
      </c>
      <c r="R189" s="29">
        <f>IFERROR(PROPERTIES[[#This Row],[TE_STARTING_KN]]/(PROPERTIES[[#This Row],[WEIGHT]]*9.81),0)</f>
        <v>0</v>
      </c>
      <c r="S189" s="29">
        <v>0.19</v>
      </c>
      <c r="T189" s="26">
        <f>ROUND(IF(IFERROR(PROPERTIES[[#This Row],[TE_COEFFICIENT_CALC]],0)=0,PROPERTIES[[#This Row],[TE_COEFFICIENT_MANUAL]],PROPERTIES[[#This Row],[TE_COEFFICIENT_CALC]]),3)</f>
        <v>0.19</v>
      </c>
      <c r="U189" s="11">
        <v>40</v>
      </c>
      <c r="V189" s="9">
        <v>0</v>
      </c>
      <c r="W189" s="9">
        <v>0</v>
      </c>
      <c r="X189" s="10">
        <v>55</v>
      </c>
      <c r="Y189" t="s">
        <v>909</v>
      </c>
      <c r="Z189" t="s">
        <v>903</v>
      </c>
      <c r="AA189" s="2" t="s">
        <v>921</v>
      </c>
      <c r="AB189" s="9" t="s">
        <v>991</v>
      </c>
      <c r="AC189" s="9" t="s">
        <v>992</v>
      </c>
      <c r="AD189" s="10" t="str">
        <f>SUBSTITUTE(SUBSTITUTE(PROPERTIES[[#This Row],[PURCHASECOST_VALUE]], "PURCHASECOST_", ""), "_VALUE", "")</f>
        <v>DIESELENGINE</v>
      </c>
      <c r="AE189" s="9" t="str" cm="1">
        <f t="array" ref="AE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9" s="2" t="b">
        <v>0</v>
      </c>
      <c r="AX189"/>
      <c r="AY189"/>
      <c r="AZ189"/>
    </row>
    <row r="190" spans="1:52">
      <c r="A190" s="2" t="s">
        <v>213</v>
      </c>
      <c r="B190">
        <v>1954</v>
      </c>
      <c r="C190">
        <v>0</v>
      </c>
      <c r="D190" t="s">
        <v>1859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 s="2" t="s">
        <v>19</v>
      </c>
      <c r="K190" s="39">
        <f>_xlfn.XLOOKUP("LOADINGSPEEDDEF_"&amp;PROPERTIES[[#This Row],[LOADINGSPEED]],LOADINGSPEEDDEF[TYPE],LOADINGSPEEDDEF[SPEED])</f>
        <v>0</v>
      </c>
      <c r="L190">
        <v>45</v>
      </c>
      <c r="M190">
        <v>0</v>
      </c>
      <c r="N190" s="33">
        <v>62</v>
      </c>
      <c r="O190">
        <v>590</v>
      </c>
      <c r="P190">
        <v>80</v>
      </c>
      <c r="Q190" s="30">
        <v>166.5</v>
      </c>
      <c r="R190" s="29">
        <f>IFERROR(PROPERTIES[[#This Row],[TE_STARTING_KN]]/(PROPERTIES[[#This Row],[WEIGHT]]*9.81),0)</f>
        <v>0.27374963006806746</v>
      </c>
      <c r="S190" s="29">
        <v>0.3</v>
      </c>
      <c r="T190" s="26">
        <f>ROUND(IF(IFERROR(PROPERTIES[[#This Row],[TE_COEFFICIENT_CALC]],0)=0,PROPERTIES[[#This Row],[TE_COEFFICIENT_MANUAL]],PROPERTIES[[#This Row],[TE_COEFFICIENT_CALC]]),3)</f>
        <v>0.27400000000000002</v>
      </c>
      <c r="U190" s="11">
        <v>40</v>
      </c>
      <c r="V190" s="9">
        <v>0</v>
      </c>
      <c r="W190" s="9">
        <v>0</v>
      </c>
      <c r="X190" s="10">
        <v>0</v>
      </c>
      <c r="Y190" t="s">
        <v>910</v>
      </c>
      <c r="Z190" t="s">
        <v>903</v>
      </c>
      <c r="AA190" s="2" t="s">
        <v>921</v>
      </c>
      <c r="AB190" s="9" t="s">
        <v>991</v>
      </c>
      <c r="AC190" s="9" t="s">
        <v>992</v>
      </c>
      <c r="AD190" s="10" t="str">
        <f>SUBSTITUTE(SUBSTITUTE(PROPERTIES[[#This Row],[PURCHASECOST_VALUE]], "PURCHASECOST_", ""), "_VALUE", "")</f>
        <v>DIESELENGINE</v>
      </c>
      <c r="AE190" s="9" t="str" cm="1">
        <f t="array" ref="AE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0" s="2" t="b">
        <v>0</v>
      </c>
      <c r="AX190"/>
      <c r="AY190"/>
      <c r="AZ190"/>
    </row>
    <row r="191" spans="1:52">
      <c r="A191" s="2" t="s">
        <v>214</v>
      </c>
      <c r="B191">
        <v>1955</v>
      </c>
      <c r="C191">
        <v>0</v>
      </c>
      <c r="D191" t="s">
        <v>1859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 s="2" t="s">
        <v>19</v>
      </c>
      <c r="K191" s="39">
        <f>_xlfn.XLOOKUP("LOADINGSPEEDDEF_"&amp;PROPERTIES[[#This Row],[LOADINGSPEED]],LOADINGSPEEDDEF[TYPE],LOADINGSPEEDDEF[SPEED])</f>
        <v>0</v>
      </c>
      <c r="L191">
        <v>45</v>
      </c>
      <c r="M191">
        <v>0</v>
      </c>
      <c r="N191" s="33">
        <v>19</v>
      </c>
      <c r="O191">
        <v>135</v>
      </c>
      <c r="P191">
        <v>50</v>
      </c>
      <c r="Q191" s="30">
        <v>0</v>
      </c>
      <c r="R191" s="29">
        <f>IFERROR(PROPERTIES[[#This Row],[TE_STARTING_KN]]/(PROPERTIES[[#This Row],[WEIGHT]]*9.81),0)</f>
        <v>0</v>
      </c>
      <c r="S191" s="29">
        <v>0.32</v>
      </c>
      <c r="T191" s="26">
        <f>ROUND(IF(IFERROR(PROPERTIES[[#This Row],[TE_COEFFICIENT_CALC]],0)=0,PROPERTIES[[#This Row],[TE_COEFFICIENT_MANUAL]],PROPERTIES[[#This Row],[TE_COEFFICIENT_CALC]]),3)</f>
        <v>0.32</v>
      </c>
      <c r="U191" s="11">
        <v>40</v>
      </c>
      <c r="V191" s="9">
        <v>0</v>
      </c>
      <c r="W191" s="9">
        <v>0</v>
      </c>
      <c r="X191" s="10">
        <v>0</v>
      </c>
      <c r="Y191" t="s">
        <v>910</v>
      </c>
      <c r="Z191" t="s">
        <v>903</v>
      </c>
      <c r="AA191" s="2" t="s">
        <v>921</v>
      </c>
      <c r="AB191" s="9" t="s">
        <v>991</v>
      </c>
      <c r="AC191" s="9" t="s">
        <v>992</v>
      </c>
      <c r="AD191" s="10" t="str">
        <f>SUBSTITUTE(SUBSTITUTE(PROPERTIES[[#This Row],[PURCHASECOST_VALUE]], "PURCHASECOST_", ""), "_VALUE", "")</f>
        <v>DIESELENGINE</v>
      </c>
      <c r="AE191" s="9" t="str" cm="1">
        <f t="array" ref="AE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91" s="2" t="b">
        <v>0</v>
      </c>
      <c r="AX191"/>
      <c r="AY191"/>
      <c r="AZ191"/>
    </row>
    <row r="192" spans="1:52">
      <c r="A192" s="2" t="s">
        <v>215</v>
      </c>
      <c r="B192">
        <v>1956</v>
      </c>
      <c r="C192">
        <v>0</v>
      </c>
      <c r="D192" t="s">
        <v>1780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 s="2" t="s">
        <v>19</v>
      </c>
      <c r="K192" s="39">
        <f>_xlfn.XLOOKUP("LOADINGSPEEDDEF_"&amp;PROPERTIES[[#This Row],[LOADINGSPEED]],LOADINGSPEEDDEF[TYPE],LOADINGSPEEDDEF[SPEED])</f>
        <v>0</v>
      </c>
      <c r="L192">
        <v>45</v>
      </c>
      <c r="M192">
        <v>1</v>
      </c>
      <c r="N192" s="33">
        <v>57</v>
      </c>
      <c r="O192">
        <v>440</v>
      </c>
      <c r="P192">
        <v>50</v>
      </c>
      <c r="Q192" s="30">
        <v>196</v>
      </c>
      <c r="R192" s="29">
        <f>IFERROR(PROPERTIES[[#This Row],[TE_STARTING_KN]]/(PROPERTIES[[#This Row],[WEIGHT]]*9.81),0)</f>
        <v>0.35051952000286135</v>
      </c>
      <c r="S192" s="29">
        <v>0.39</v>
      </c>
      <c r="T192" s="26">
        <f>ROUND(IF(IFERROR(PROPERTIES[[#This Row],[TE_COEFFICIENT_CALC]],0)=0,PROPERTIES[[#This Row],[TE_COEFFICIENT_MANUAL]],PROPERTIES[[#This Row],[TE_COEFFICIENT_CALC]]),3)</f>
        <v>0.35099999999999998</v>
      </c>
      <c r="U192" s="11">
        <v>40</v>
      </c>
      <c r="V192" s="9">
        <v>0</v>
      </c>
      <c r="W192" s="9">
        <v>0</v>
      </c>
      <c r="X192" s="10">
        <v>0</v>
      </c>
      <c r="Y192" t="s">
        <v>904</v>
      </c>
      <c r="Z192" t="s">
        <v>903</v>
      </c>
      <c r="AA192" s="2" t="s">
        <v>921</v>
      </c>
      <c r="AB192" s="9" t="s">
        <v>991</v>
      </c>
      <c r="AC192" s="9" t="s">
        <v>992</v>
      </c>
      <c r="AD192" s="10" t="str">
        <f>SUBSTITUTE(SUBSTITUTE(PROPERTIES[[#This Row],[PURCHASECOST_VALUE]], "PURCHASECOST_", ""), "_VALUE", "")</f>
        <v>DIESELENGINE</v>
      </c>
      <c r="AE192" s="9" t="str" cm="1">
        <f t="array" ref="AE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92" s="2" t="b">
        <v>0</v>
      </c>
      <c r="AX192"/>
      <c r="AY192"/>
      <c r="AZ192"/>
    </row>
    <row r="193" spans="1:52">
      <c r="A193" s="2" t="s">
        <v>216</v>
      </c>
      <c r="B193">
        <v>1956</v>
      </c>
      <c r="C193">
        <v>0</v>
      </c>
      <c r="D193" t="s">
        <v>1817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 s="2" t="s">
        <v>19</v>
      </c>
      <c r="K193" s="39">
        <f>_xlfn.XLOOKUP("LOADINGSPEEDDEF_"&amp;PROPERTIES[[#This Row],[LOADINGSPEED]],LOADINGSPEEDDEF[TYPE],LOADINGSPEEDDEF[SPEED])</f>
        <v>0</v>
      </c>
      <c r="L193">
        <v>45</v>
      </c>
      <c r="M193">
        <v>1</v>
      </c>
      <c r="N193" s="33">
        <v>81</v>
      </c>
      <c r="O193">
        <v>2169</v>
      </c>
      <c r="P193">
        <v>140</v>
      </c>
      <c r="Q193" s="30">
        <v>234</v>
      </c>
      <c r="R193" s="29">
        <f>IFERROR(PROPERTIES[[#This Row],[TE_STARTING_KN]]/(PROPERTIES[[#This Row],[WEIGHT]]*9.81),0)</f>
        <v>0.29448408653301616</v>
      </c>
      <c r="S193" s="29">
        <v>0.28999999999999998</v>
      </c>
      <c r="T193" s="26">
        <f>ROUND(IF(IFERROR(PROPERTIES[[#This Row],[TE_COEFFICIENT_CALC]],0)=0,PROPERTIES[[#This Row],[TE_COEFFICIENT_MANUAL]],PROPERTIES[[#This Row],[TE_COEFFICIENT_CALC]]),3)</f>
        <v>0.29399999999999998</v>
      </c>
      <c r="U193" s="11">
        <v>40</v>
      </c>
      <c r="V193" s="9">
        <v>0</v>
      </c>
      <c r="W193" s="9">
        <v>0</v>
      </c>
      <c r="X193" s="10">
        <v>0</v>
      </c>
      <c r="Y193" t="s">
        <v>904</v>
      </c>
      <c r="Z193" t="s">
        <v>903</v>
      </c>
      <c r="AA193" s="2" t="s">
        <v>921</v>
      </c>
      <c r="AB193" s="9" t="s">
        <v>991</v>
      </c>
      <c r="AC193" s="9" t="s">
        <v>992</v>
      </c>
      <c r="AD193" s="10" t="str">
        <f>SUBSTITUTE(SUBSTITUTE(PROPERTIES[[#This Row],[PURCHASECOST_VALUE]], "PURCHASECOST_", ""), "_VALUE", "")</f>
        <v>DIESELENGINE</v>
      </c>
      <c r="AE193" s="9" t="str" cm="1">
        <f t="array" ref="AE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3" s="2" t="b">
        <v>0</v>
      </c>
      <c r="AX193"/>
      <c r="AY193"/>
      <c r="AZ193"/>
    </row>
    <row r="194" spans="1:52">
      <c r="A194" s="2" t="s">
        <v>217</v>
      </c>
      <c r="B194">
        <v>1956</v>
      </c>
      <c r="C194">
        <v>0</v>
      </c>
      <c r="D194" t="s">
        <v>1992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 s="2" t="s">
        <v>19</v>
      </c>
      <c r="K194" s="39">
        <f>_xlfn.XLOOKUP("LOADINGSPEEDDEF_"&amp;PROPERTIES[[#This Row],[LOADINGSPEED]],LOADINGSPEEDDEF[TYPE],LOADINGSPEEDDEF[SPEED])</f>
        <v>0</v>
      </c>
      <c r="L194">
        <v>45</v>
      </c>
      <c r="M194">
        <v>1</v>
      </c>
      <c r="N194" s="33">
        <v>130</v>
      </c>
      <c r="O194">
        <v>1750</v>
      </c>
      <c r="P194">
        <v>144</v>
      </c>
      <c r="Q194" s="30">
        <v>253.28</v>
      </c>
      <c r="R194" s="29">
        <f>IFERROR(PROPERTIES[[#This Row],[TE_STARTING_KN]]/(PROPERTIES[[#This Row],[WEIGHT]]*9.81),0)</f>
        <v>0.19860424998039677</v>
      </c>
      <c r="S194" s="29">
        <v>0.2</v>
      </c>
      <c r="T194" s="26">
        <f>ROUND(IF(IFERROR(PROPERTIES[[#This Row],[TE_COEFFICIENT_CALC]],0)=0,PROPERTIES[[#This Row],[TE_COEFFICIENT_MANUAL]],PROPERTIES[[#This Row],[TE_COEFFICIENT_CALC]]),3)</f>
        <v>0.19900000000000001</v>
      </c>
      <c r="U194" s="11">
        <v>40</v>
      </c>
      <c r="V194" s="9">
        <v>0</v>
      </c>
      <c r="W194" s="9">
        <v>0</v>
      </c>
      <c r="X194" s="10">
        <v>0</v>
      </c>
      <c r="Y194" t="s">
        <v>909</v>
      </c>
      <c r="Z194" t="s">
        <v>903</v>
      </c>
      <c r="AA194" s="2" t="s">
        <v>921</v>
      </c>
      <c r="AB194" s="9" t="s">
        <v>991</v>
      </c>
      <c r="AC194" s="9" t="s">
        <v>992</v>
      </c>
      <c r="AD194" s="10" t="str">
        <f>SUBSTITUTE(SUBSTITUTE(PROPERTIES[[#This Row],[PURCHASECOST_VALUE]], "PURCHASECOST_", ""), "_VALUE", "")</f>
        <v>DIESELENGINE</v>
      </c>
      <c r="AE194" s="9" t="str" cm="1">
        <f t="array" ref="AE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4" s="2" t="b">
        <v>0</v>
      </c>
      <c r="AX194"/>
      <c r="AY194"/>
      <c r="AZ194"/>
    </row>
    <row r="195" spans="1:52">
      <c r="A195" s="2" t="s">
        <v>218</v>
      </c>
      <c r="B195">
        <v>1958</v>
      </c>
      <c r="C195">
        <v>0</v>
      </c>
      <c r="D195" t="s">
        <v>1816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 s="2" t="s">
        <v>19</v>
      </c>
      <c r="K195" s="39">
        <f>_xlfn.XLOOKUP("LOADINGSPEEDDEF_"&amp;PROPERTIES[[#This Row],[LOADINGSPEED]],LOADINGSPEEDDEF[TYPE],LOADINGSPEEDDEF[SPEED])</f>
        <v>0</v>
      </c>
      <c r="L195">
        <v>45</v>
      </c>
      <c r="M195">
        <v>0</v>
      </c>
      <c r="N195" s="33">
        <v>61</v>
      </c>
      <c r="O195">
        <v>740</v>
      </c>
      <c r="P195">
        <v>80</v>
      </c>
      <c r="Q195" s="30">
        <v>160</v>
      </c>
      <c r="R195" s="29">
        <f>IFERROR(PROPERTIES[[#This Row],[TE_STARTING_KN]]/(PROPERTIES[[#This Row],[WEIGHT]]*9.81),0)</f>
        <v>0.2673752109757524</v>
      </c>
      <c r="S195" s="29">
        <v>0.28000000000000003</v>
      </c>
      <c r="T195" s="26">
        <f>ROUND(IF(IFERROR(PROPERTIES[[#This Row],[TE_COEFFICIENT_CALC]],0)=0,PROPERTIES[[#This Row],[TE_COEFFICIENT_MANUAL]],PROPERTIES[[#This Row],[TE_COEFFICIENT_CALC]]),3)</f>
        <v>0.26700000000000002</v>
      </c>
      <c r="U195" s="11">
        <v>40</v>
      </c>
      <c r="V195" s="9">
        <v>0</v>
      </c>
      <c r="W195" s="9">
        <v>0</v>
      </c>
      <c r="X195" s="10">
        <v>0</v>
      </c>
      <c r="Y195" t="s">
        <v>910</v>
      </c>
      <c r="Z195" t="s">
        <v>903</v>
      </c>
      <c r="AA195" s="2" t="s">
        <v>921</v>
      </c>
      <c r="AB195" s="9" t="s">
        <v>991</v>
      </c>
      <c r="AC195" s="9" t="s">
        <v>992</v>
      </c>
      <c r="AD195" s="10" t="str">
        <f>SUBSTITUTE(SUBSTITUTE(PROPERTIES[[#This Row],[PURCHASECOST_VALUE]], "PURCHASECOST_", ""), "_VALUE", "")</f>
        <v>DIESELENGINE</v>
      </c>
      <c r="AE195" s="9" t="str" cm="1">
        <f t="array" ref="AE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5" s="2" t="b">
        <v>0</v>
      </c>
      <c r="AX195"/>
      <c r="AY195"/>
      <c r="AZ195"/>
    </row>
    <row r="196" spans="1:52">
      <c r="A196" s="2" t="s">
        <v>219</v>
      </c>
      <c r="B196">
        <v>1959</v>
      </c>
      <c r="C196">
        <v>0</v>
      </c>
      <c r="D196" t="s">
        <v>1830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 s="2" t="s">
        <v>19</v>
      </c>
      <c r="K196" s="39">
        <f>_xlfn.XLOOKUP("LOADINGSPEEDDEF_"&amp;PROPERTIES[[#This Row],[LOADINGSPEED]],LOADINGSPEEDDEF[TYPE],LOADINGSPEEDDEF[SPEED])</f>
        <v>0</v>
      </c>
      <c r="L196">
        <v>45</v>
      </c>
      <c r="M196">
        <v>1</v>
      </c>
      <c r="N196" s="33">
        <v>122</v>
      </c>
      <c r="O196">
        <v>1900</v>
      </c>
      <c r="P196">
        <v>120</v>
      </c>
      <c r="Q196" s="30">
        <v>275</v>
      </c>
      <c r="R196" s="29">
        <f>IFERROR(PROPERTIES[[#This Row],[TE_STARTING_KN]]/(PROPERTIES[[#This Row],[WEIGHT]]*9.81),0)</f>
        <v>0.2297755719322872</v>
      </c>
      <c r="S196" s="29">
        <v>0.18</v>
      </c>
      <c r="T196" s="26">
        <f>ROUND(IF(IFERROR(PROPERTIES[[#This Row],[TE_COEFFICIENT_CALC]],0)=0,PROPERTIES[[#This Row],[TE_COEFFICIENT_MANUAL]],PROPERTIES[[#This Row],[TE_COEFFICIENT_CALC]]),3)</f>
        <v>0.23</v>
      </c>
      <c r="U196" s="11">
        <v>40</v>
      </c>
      <c r="V196" s="9">
        <v>0</v>
      </c>
      <c r="W196" s="9">
        <v>0</v>
      </c>
      <c r="X196" s="10">
        <v>0</v>
      </c>
      <c r="Y196" t="s">
        <v>908</v>
      </c>
      <c r="Z196" t="s">
        <v>903</v>
      </c>
      <c r="AA196" s="2" t="s">
        <v>921</v>
      </c>
      <c r="AB196" s="9" t="s">
        <v>991</v>
      </c>
      <c r="AC196" s="9" t="s">
        <v>992</v>
      </c>
      <c r="AD196" s="10" t="str">
        <f>SUBSTITUTE(SUBSTITUTE(PROPERTIES[[#This Row],[PURCHASECOST_VALUE]], "PURCHASECOST_", ""), "_VALUE", "")</f>
        <v>DIESELENGINE</v>
      </c>
      <c r="AE196" s="9" t="str" cm="1">
        <f t="array" ref="AE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6" s="2" t="b">
        <v>0</v>
      </c>
      <c r="AX196"/>
      <c r="AY196"/>
      <c r="AZ196"/>
    </row>
    <row r="197" spans="1:52">
      <c r="A197" s="2" t="s">
        <v>220</v>
      </c>
      <c r="B197">
        <v>1959</v>
      </c>
      <c r="C197">
        <v>0</v>
      </c>
      <c r="D197" t="s">
        <v>1948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 s="2" t="s">
        <v>19</v>
      </c>
      <c r="K197" s="39">
        <f>_xlfn.XLOOKUP("LOADINGSPEEDDEF_"&amp;PROPERTIES[[#This Row],[LOADINGSPEED]],LOADINGSPEEDDEF[TYPE],LOADINGSPEEDDEF[SPEED])</f>
        <v>0</v>
      </c>
      <c r="L197">
        <v>45</v>
      </c>
      <c r="M197">
        <v>0</v>
      </c>
      <c r="N197" s="33">
        <v>116</v>
      </c>
      <c r="O197">
        <v>2070</v>
      </c>
      <c r="P197">
        <v>100</v>
      </c>
      <c r="Q197" s="30">
        <v>0</v>
      </c>
      <c r="R197" s="29">
        <f>IFERROR(PROPERTIES[[#This Row],[TE_STARTING_KN]]/(PROPERTIES[[#This Row],[WEIGHT]]*9.81),0)</f>
        <v>0</v>
      </c>
      <c r="S197" s="29">
        <v>0.27</v>
      </c>
      <c r="T197" s="26">
        <f>ROUND(IF(IFERROR(PROPERTIES[[#This Row],[TE_COEFFICIENT_CALC]],0)=0,PROPERTIES[[#This Row],[TE_COEFFICIENT_MANUAL]],PROPERTIES[[#This Row],[TE_COEFFICIENT_CALC]]),3)</f>
        <v>0.27</v>
      </c>
      <c r="U197" s="11">
        <v>40</v>
      </c>
      <c r="V197" s="9">
        <v>0</v>
      </c>
      <c r="W197" s="9">
        <v>0</v>
      </c>
      <c r="X197" s="10">
        <v>0</v>
      </c>
      <c r="Y197" t="s">
        <v>910</v>
      </c>
      <c r="Z197" t="s">
        <v>903</v>
      </c>
      <c r="AA197" s="2" t="s">
        <v>921</v>
      </c>
      <c r="AB197" s="9" t="s">
        <v>991</v>
      </c>
      <c r="AC197" s="9" t="s">
        <v>992</v>
      </c>
      <c r="AD197" s="10" t="str">
        <f>SUBSTITUTE(SUBSTITUTE(PROPERTIES[[#This Row],[PURCHASECOST_VALUE]], "PURCHASECOST_", ""), "_VALUE", "")</f>
        <v>DIESELENGINE</v>
      </c>
      <c r="AE197" s="9" t="str" cm="1">
        <f t="array" ref="AE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7" s="2" t="b">
        <v>0</v>
      </c>
      <c r="AX197"/>
      <c r="AY197"/>
      <c r="AZ197"/>
    </row>
    <row r="198" spans="1:52">
      <c r="A198" s="2" t="s">
        <v>221</v>
      </c>
      <c r="B198">
        <v>1960</v>
      </c>
      <c r="C198">
        <v>0</v>
      </c>
      <c r="D198" t="s">
        <v>1791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 s="2" t="s">
        <v>19</v>
      </c>
      <c r="K198" s="39">
        <f>_xlfn.XLOOKUP("LOADINGSPEEDDEF_"&amp;PROPERTIES[[#This Row],[LOADINGSPEED]],LOADINGSPEEDDEF[TYPE],LOADINGSPEEDDEF[SPEED])</f>
        <v>0</v>
      </c>
      <c r="L198">
        <v>45</v>
      </c>
      <c r="M198">
        <v>1</v>
      </c>
      <c r="N198" s="33">
        <v>64</v>
      </c>
      <c r="O198">
        <v>875</v>
      </c>
      <c r="P198">
        <v>124</v>
      </c>
      <c r="Q198" s="30">
        <v>152</v>
      </c>
      <c r="R198" s="29">
        <f>IFERROR(PROPERTIES[[#This Row],[TE_STARTING_KN]]/(PROPERTIES[[#This Row],[WEIGHT]]*9.81),0)</f>
        <v>0.24209989806320081</v>
      </c>
      <c r="S198" s="29">
        <v>0.13</v>
      </c>
      <c r="T198" s="26">
        <f>ROUND(IF(IFERROR(PROPERTIES[[#This Row],[TE_COEFFICIENT_CALC]],0)=0,PROPERTIES[[#This Row],[TE_COEFFICIENT_MANUAL]],PROPERTIES[[#This Row],[TE_COEFFICIENT_CALC]]),3)</f>
        <v>0.24199999999999999</v>
      </c>
      <c r="U198" s="11">
        <v>40</v>
      </c>
      <c r="V198" s="9">
        <v>0</v>
      </c>
      <c r="W198" s="9">
        <v>0</v>
      </c>
      <c r="X198" s="10">
        <v>0</v>
      </c>
      <c r="Y198" t="s">
        <v>911</v>
      </c>
      <c r="Z198" t="s">
        <v>903</v>
      </c>
      <c r="AA198" s="2" t="s">
        <v>921</v>
      </c>
      <c r="AB198" s="9" t="s">
        <v>991</v>
      </c>
      <c r="AC198" s="9" t="s">
        <v>992</v>
      </c>
      <c r="AD198" s="10" t="str">
        <f>SUBSTITUTE(SUBSTITUTE(PROPERTIES[[#This Row],[PURCHASECOST_VALUE]], "PURCHASECOST_", ""), "_VALUE", "")</f>
        <v>DIESELENGINE</v>
      </c>
      <c r="AE198" s="9" t="str" cm="1">
        <f t="array" ref="AE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8" s="2" t="b">
        <v>0</v>
      </c>
      <c r="AX198"/>
      <c r="AY198"/>
      <c r="AZ198"/>
    </row>
    <row r="199" spans="1:52">
      <c r="A199" s="2" t="s">
        <v>222</v>
      </c>
      <c r="B199">
        <v>1960</v>
      </c>
      <c r="C199">
        <v>0</v>
      </c>
      <c r="D199" t="s">
        <v>1791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 s="2" t="s">
        <v>19</v>
      </c>
      <c r="K199" s="39">
        <f>_xlfn.XLOOKUP("LOADINGSPEEDDEF_"&amp;PROPERTIES[[#This Row],[LOADINGSPEED]],LOADINGSPEEDDEF[TYPE],LOADINGSPEEDDEF[SPEED])</f>
        <v>0</v>
      </c>
      <c r="L199">
        <v>45</v>
      </c>
      <c r="M199">
        <v>1</v>
      </c>
      <c r="N199" s="33">
        <v>156</v>
      </c>
      <c r="O199">
        <v>3540</v>
      </c>
      <c r="P199">
        <v>110</v>
      </c>
      <c r="Q199" s="30">
        <v>400</v>
      </c>
      <c r="R199" s="29">
        <f>IFERROR(PROPERTIES[[#This Row],[TE_STARTING_KN]]/(PROPERTIES[[#This Row],[WEIGHT]]*9.81),0)</f>
        <v>0.26137640816539898</v>
      </c>
      <c r="S199" s="29">
        <v>0.28999999999999998</v>
      </c>
      <c r="T199" s="26">
        <f>ROUND(IF(IFERROR(PROPERTIES[[#This Row],[TE_COEFFICIENT_CALC]],0)=0,PROPERTIES[[#This Row],[TE_COEFFICIENT_MANUAL]],PROPERTIES[[#This Row],[TE_COEFFICIENT_CALC]]),3)</f>
        <v>0.26100000000000001</v>
      </c>
      <c r="U199" s="11">
        <v>40</v>
      </c>
      <c r="V199" s="9">
        <v>0</v>
      </c>
      <c r="W199" s="9">
        <v>0</v>
      </c>
      <c r="X199" s="10">
        <v>0</v>
      </c>
      <c r="Y199" t="s">
        <v>911</v>
      </c>
      <c r="Z199" t="s">
        <v>903</v>
      </c>
      <c r="AA199" s="2" t="s">
        <v>921</v>
      </c>
      <c r="AB199" s="9" t="s">
        <v>991</v>
      </c>
      <c r="AC199" s="9" t="s">
        <v>992</v>
      </c>
      <c r="AD199" s="10" t="str">
        <f>SUBSTITUTE(SUBSTITUTE(PROPERTIES[[#This Row],[PURCHASECOST_VALUE]], "PURCHASECOST_", ""), "_VALUE", "")</f>
        <v>DIESELENGINE</v>
      </c>
      <c r="AE199" s="9" t="str" cm="1">
        <f t="array" ref="AE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99" s="2" t="b">
        <v>0</v>
      </c>
      <c r="AX199"/>
      <c r="AY199"/>
      <c r="AZ199"/>
    </row>
    <row r="200" spans="1:52">
      <c r="A200" s="2" t="s">
        <v>223</v>
      </c>
      <c r="B200">
        <v>1960</v>
      </c>
      <c r="C200">
        <v>0</v>
      </c>
      <c r="D200" t="s">
        <v>1950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 s="2" t="s">
        <v>19</v>
      </c>
      <c r="K200" s="39">
        <f>_xlfn.XLOOKUP("LOADINGSPEEDDEF_"&amp;PROPERTIES[[#This Row],[LOADINGSPEED]],LOADINGSPEEDDEF[TYPE],LOADINGSPEEDDEF[SPEED])</f>
        <v>0</v>
      </c>
      <c r="L200">
        <v>45</v>
      </c>
      <c r="M200">
        <v>1</v>
      </c>
      <c r="N200" s="33">
        <v>130</v>
      </c>
      <c r="O200">
        <v>2960</v>
      </c>
      <c r="P200">
        <v>160</v>
      </c>
      <c r="Q200" s="30">
        <v>245</v>
      </c>
      <c r="R200" s="29">
        <f>IFERROR(PROPERTIES[[#This Row],[TE_STARTING_KN]]/(PROPERTIES[[#This Row],[WEIGHT]]*9.81),0)</f>
        <v>0.19211166000156826</v>
      </c>
      <c r="S200" s="29">
        <v>0.15</v>
      </c>
      <c r="T200" s="26">
        <f>ROUND(IF(IFERROR(PROPERTIES[[#This Row],[TE_COEFFICIENT_CALC]],0)=0,PROPERTIES[[#This Row],[TE_COEFFICIENT_MANUAL]],PROPERTIES[[#This Row],[TE_COEFFICIENT_CALC]]),3)</f>
        <v>0.192</v>
      </c>
      <c r="U200" s="11">
        <v>40</v>
      </c>
      <c r="V200" s="9">
        <v>0</v>
      </c>
      <c r="W200" s="9">
        <v>0</v>
      </c>
      <c r="X200" s="10">
        <v>0</v>
      </c>
      <c r="Y200" t="s">
        <v>912</v>
      </c>
      <c r="Z200" t="s">
        <v>903</v>
      </c>
      <c r="AA200" s="2" t="s">
        <v>921</v>
      </c>
      <c r="AB200" s="9" t="s">
        <v>991</v>
      </c>
      <c r="AC200" s="9" t="s">
        <v>992</v>
      </c>
      <c r="AD200" s="10" t="str">
        <f>SUBSTITUTE(SUBSTITUTE(PROPERTIES[[#This Row],[PURCHASECOST_VALUE]], "PURCHASECOST_", ""), "_VALUE", "")</f>
        <v>DIESELENGINE</v>
      </c>
      <c r="AE200" s="9" t="str" cm="1">
        <f t="array" ref="AE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00" s="2" t="b">
        <v>0</v>
      </c>
      <c r="AX200"/>
      <c r="AY200"/>
      <c r="AZ200"/>
    </row>
    <row r="201" spans="1:52">
      <c r="A201" s="2" t="s">
        <v>224</v>
      </c>
      <c r="B201">
        <v>1961</v>
      </c>
      <c r="C201">
        <v>0</v>
      </c>
      <c r="D201" t="s">
        <v>1780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 s="2" t="s">
        <v>19</v>
      </c>
      <c r="K201" s="39">
        <f>_xlfn.XLOOKUP("LOADINGSPEEDDEF_"&amp;PROPERTIES[[#This Row],[LOADINGSPEED]],LOADINGSPEEDDEF[TYPE],LOADINGSPEEDDEF[SPEED])</f>
        <v>0</v>
      </c>
      <c r="L201">
        <v>45</v>
      </c>
      <c r="M201">
        <v>1</v>
      </c>
      <c r="N201" s="33">
        <v>78.599999999999994</v>
      </c>
      <c r="O201">
        <v>1380</v>
      </c>
      <c r="P201">
        <v>120</v>
      </c>
      <c r="Q201" s="30">
        <v>212</v>
      </c>
      <c r="R201" s="29">
        <f>IFERROR(PROPERTIES[[#This Row],[TE_STARTING_KN]]/(PROPERTIES[[#This Row],[WEIGHT]]*9.81),0)</f>
        <v>0.27494403851291588</v>
      </c>
      <c r="S201" s="29">
        <v>0.27</v>
      </c>
      <c r="T201" s="26">
        <f>ROUND(IF(IFERROR(PROPERTIES[[#This Row],[TE_COEFFICIENT_CALC]],0)=0,PROPERTIES[[#This Row],[TE_COEFFICIENT_MANUAL]],PROPERTIES[[#This Row],[TE_COEFFICIENT_CALC]]),3)</f>
        <v>0.27500000000000002</v>
      </c>
      <c r="U201" s="11">
        <v>40</v>
      </c>
      <c r="V201" s="9">
        <v>0</v>
      </c>
      <c r="W201" s="9">
        <v>0</v>
      </c>
      <c r="X201" s="10">
        <v>0</v>
      </c>
      <c r="Y201" t="s">
        <v>904</v>
      </c>
      <c r="Z201" t="s">
        <v>903</v>
      </c>
      <c r="AA201" s="2" t="s">
        <v>921</v>
      </c>
      <c r="AB201" s="9" t="s">
        <v>991</v>
      </c>
      <c r="AC201" s="9" t="s">
        <v>992</v>
      </c>
      <c r="AD201" s="10" t="str">
        <f>SUBSTITUTE(SUBSTITUTE(PROPERTIES[[#This Row],[PURCHASECOST_VALUE]], "PURCHASECOST_", ""), "_VALUE", "")</f>
        <v>DIESELENGINE</v>
      </c>
      <c r="AE201" s="9" t="str" cm="1">
        <f t="array" ref="AE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1" s="2" t="b">
        <v>0</v>
      </c>
      <c r="AX201"/>
      <c r="AY201"/>
      <c r="AZ201"/>
    </row>
    <row r="202" spans="1:52">
      <c r="A202" s="2" t="s">
        <v>225</v>
      </c>
      <c r="B202">
        <v>1960</v>
      </c>
      <c r="C202">
        <v>0</v>
      </c>
      <c r="D202" t="s">
        <v>1819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 s="2" t="s">
        <v>19</v>
      </c>
      <c r="K202" s="39">
        <f>_xlfn.XLOOKUP("LOADINGSPEEDDEF_"&amp;PROPERTIES[[#This Row],[LOADINGSPEED]],LOADINGSPEEDDEF[TYPE],LOADINGSPEEDDEF[SPEED])</f>
        <v>0</v>
      </c>
      <c r="L202">
        <v>45</v>
      </c>
      <c r="M202">
        <v>0</v>
      </c>
      <c r="N202" s="33">
        <v>45</v>
      </c>
      <c r="O202">
        <v>334</v>
      </c>
      <c r="P202">
        <v>60</v>
      </c>
      <c r="Q202" s="30">
        <v>110</v>
      </c>
      <c r="R202" s="29">
        <f>IFERROR(PROPERTIES[[#This Row],[TE_STARTING_KN]]/(PROPERTIES[[#This Row],[WEIGHT]]*9.81),0)</f>
        <v>0.24917884245101368</v>
      </c>
      <c r="S202" s="29">
        <v>0.21</v>
      </c>
      <c r="T202" s="26">
        <f>ROUND(IF(IFERROR(PROPERTIES[[#This Row],[TE_COEFFICIENT_CALC]],0)=0,PROPERTIES[[#This Row],[TE_COEFFICIENT_MANUAL]],PROPERTIES[[#This Row],[TE_COEFFICIENT_CALC]]),3)</f>
        <v>0.249</v>
      </c>
      <c r="U202" s="11">
        <v>40</v>
      </c>
      <c r="V202" s="9">
        <v>0</v>
      </c>
      <c r="W202" s="9">
        <v>0</v>
      </c>
      <c r="X202" s="10">
        <v>0</v>
      </c>
      <c r="Y202" t="s">
        <v>908</v>
      </c>
      <c r="Z202" t="s">
        <v>903</v>
      </c>
      <c r="AA202" s="2" t="s">
        <v>921</v>
      </c>
      <c r="AB202" s="9" t="s">
        <v>991</v>
      </c>
      <c r="AC202" s="9" t="s">
        <v>992</v>
      </c>
      <c r="AD202" s="10" t="str">
        <f>SUBSTITUTE(SUBSTITUTE(PROPERTIES[[#This Row],[PURCHASECOST_VALUE]], "PURCHASECOST_", ""), "_VALUE", "")</f>
        <v>DIESELENGINE</v>
      </c>
      <c r="AE202" s="9" t="str" cm="1">
        <f t="array" ref="AE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02" s="2" t="b">
        <v>0</v>
      </c>
      <c r="AX202"/>
      <c r="AY202"/>
      <c r="AZ202"/>
    </row>
    <row r="203" spans="1:52">
      <c r="A203" s="2" t="s">
        <v>226</v>
      </c>
      <c r="B203">
        <v>1963</v>
      </c>
      <c r="C203">
        <v>0</v>
      </c>
      <c r="D203" t="s">
        <v>1864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 s="2" t="s">
        <v>19</v>
      </c>
      <c r="K203" s="39">
        <f>_xlfn.XLOOKUP("LOADINGSPEEDDEF_"&amp;PROPERTIES[[#This Row],[LOADINGSPEED]],LOADINGSPEEDDEF[TYPE],LOADINGSPEEDDEF[SPEED])</f>
        <v>0</v>
      </c>
      <c r="L203">
        <v>45</v>
      </c>
      <c r="M203">
        <v>1</v>
      </c>
      <c r="N203" s="33">
        <v>113</v>
      </c>
      <c r="O203">
        <v>2400</v>
      </c>
      <c r="P203">
        <v>120</v>
      </c>
      <c r="Q203" s="30">
        <v>300</v>
      </c>
      <c r="R203" s="29">
        <f>IFERROR(PROPERTIES[[#This Row],[TE_STARTING_KN]]/(PROPERTIES[[#This Row],[WEIGHT]]*9.81),0)</f>
        <v>0.27062867040134231</v>
      </c>
      <c r="S203" s="29">
        <v>0.27</v>
      </c>
      <c r="T203" s="26">
        <f>ROUND(IF(IFERROR(PROPERTIES[[#This Row],[TE_COEFFICIENT_CALC]],0)=0,PROPERTIES[[#This Row],[TE_COEFFICIENT_MANUAL]],PROPERTIES[[#This Row],[TE_COEFFICIENT_CALC]]),3)</f>
        <v>0.27100000000000002</v>
      </c>
      <c r="U203" s="11">
        <v>40</v>
      </c>
      <c r="V203" s="9">
        <v>0</v>
      </c>
      <c r="W203" s="9">
        <v>0</v>
      </c>
      <c r="X203" s="10">
        <v>0</v>
      </c>
      <c r="Y203" t="s">
        <v>912</v>
      </c>
      <c r="Z203" t="s">
        <v>903</v>
      </c>
      <c r="AA203" s="2" t="s">
        <v>921</v>
      </c>
      <c r="AB203" s="9" t="s">
        <v>991</v>
      </c>
      <c r="AC203" s="9" t="s">
        <v>992</v>
      </c>
      <c r="AD203" s="10" t="str">
        <f>SUBSTITUTE(SUBSTITUTE(PROPERTIES[[#This Row],[PURCHASECOST_VALUE]], "PURCHASECOST_", ""), "_VALUE", "")</f>
        <v>DIESELENGINE</v>
      </c>
      <c r="AE203" s="9" t="str" cm="1">
        <f t="array" ref="AE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3" s="2" t="b">
        <v>0</v>
      </c>
      <c r="AX203"/>
      <c r="AY203"/>
      <c r="AZ203"/>
    </row>
    <row r="204" spans="1:52">
      <c r="A204" s="2" t="s">
        <v>227</v>
      </c>
      <c r="B204">
        <v>1964</v>
      </c>
      <c r="C204">
        <v>0</v>
      </c>
      <c r="D204" t="s">
        <v>1836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 s="2" t="s">
        <v>19</v>
      </c>
      <c r="K204" s="39">
        <f>_xlfn.XLOOKUP("LOADINGSPEEDDEF_"&amp;PROPERTIES[[#This Row],[LOADINGSPEED]],LOADINGSPEEDDEF[TYPE],LOADINGSPEEDDEF[SPEED])</f>
        <v>0</v>
      </c>
      <c r="L204">
        <v>45</v>
      </c>
      <c r="M204">
        <v>0</v>
      </c>
      <c r="N204" s="33">
        <v>49</v>
      </c>
      <c r="O204">
        <v>650</v>
      </c>
      <c r="P204">
        <v>64</v>
      </c>
      <c r="Q204" s="30">
        <v>137.5</v>
      </c>
      <c r="R204" s="29">
        <f>IFERROR(PROPERTIES[[#This Row],[TE_STARTING_KN]]/(PROPERTIES[[#This Row],[WEIGHT]]*9.81),0)</f>
        <v>0.28604714056876573</v>
      </c>
      <c r="S204" s="29">
        <v>0.28000000000000003</v>
      </c>
      <c r="T204" s="26">
        <f>ROUND(IF(IFERROR(PROPERTIES[[#This Row],[TE_COEFFICIENT_CALC]],0)=0,PROPERTIES[[#This Row],[TE_COEFFICIENT_MANUAL]],PROPERTIES[[#This Row],[TE_COEFFICIENT_CALC]]),3)</f>
        <v>0.28599999999999998</v>
      </c>
      <c r="U204" s="11">
        <v>40</v>
      </c>
      <c r="V204" s="9">
        <v>0</v>
      </c>
      <c r="W204" s="9">
        <v>0</v>
      </c>
      <c r="X204" s="10">
        <v>0</v>
      </c>
      <c r="Y204" t="s">
        <v>908</v>
      </c>
      <c r="Z204" t="s">
        <v>903</v>
      </c>
      <c r="AA204" s="2" t="s">
        <v>921</v>
      </c>
      <c r="AB204" s="9" t="s">
        <v>991</v>
      </c>
      <c r="AC204" s="9" t="s">
        <v>992</v>
      </c>
      <c r="AD204" s="10" t="str">
        <f>SUBSTITUTE(SUBSTITUTE(PROPERTIES[[#This Row],[PURCHASECOST_VALUE]], "PURCHASECOST_", ""), "_VALUE", "")</f>
        <v>DIESELENGINE</v>
      </c>
      <c r="AE204" s="9" t="str" cm="1">
        <f t="array" ref="AE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4" s="2" t="b">
        <v>0</v>
      </c>
      <c r="AX204"/>
      <c r="AY204"/>
      <c r="AZ204"/>
    </row>
    <row r="205" spans="1:52">
      <c r="A205" s="2" t="s">
        <v>228</v>
      </c>
      <c r="B205">
        <v>1964</v>
      </c>
      <c r="C205">
        <v>0</v>
      </c>
      <c r="D205" t="s">
        <v>1950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 s="2" t="s">
        <v>19</v>
      </c>
      <c r="K205" s="39">
        <f>_xlfn.XLOOKUP("LOADINGSPEEDDEF_"&amp;PROPERTIES[[#This Row],[LOADINGSPEED]],LOADINGSPEEDDEF[TYPE],LOADINGSPEEDDEF[SPEED])</f>
        <v>0</v>
      </c>
      <c r="L205">
        <v>45</v>
      </c>
      <c r="M205">
        <v>1</v>
      </c>
      <c r="N205" s="33">
        <v>126</v>
      </c>
      <c r="O205">
        <v>1250</v>
      </c>
      <c r="P205">
        <v>95</v>
      </c>
      <c r="Q205" s="30">
        <v>362</v>
      </c>
      <c r="R205" s="29">
        <f>IFERROR(PROPERTIES[[#This Row],[TE_STARTING_KN]]/(PROPERTIES[[#This Row],[WEIGHT]]*9.81),0)</f>
        <v>0.29286604210151607</v>
      </c>
      <c r="S205" s="29">
        <v>0.28999999999999998</v>
      </c>
      <c r="T205" s="26">
        <f>ROUND(IF(IFERROR(PROPERTIES[[#This Row],[TE_COEFFICIENT_CALC]],0)=0,PROPERTIES[[#This Row],[TE_COEFFICIENT_MANUAL]],PROPERTIES[[#This Row],[TE_COEFFICIENT_CALC]]),3)</f>
        <v>0.29299999999999998</v>
      </c>
      <c r="U205" s="11">
        <v>40</v>
      </c>
      <c r="V205" s="9">
        <v>0</v>
      </c>
      <c r="W205" s="9">
        <v>0</v>
      </c>
      <c r="X205" s="10">
        <v>0</v>
      </c>
      <c r="Y205" t="s">
        <v>912</v>
      </c>
      <c r="Z205" t="s">
        <v>903</v>
      </c>
      <c r="AA205" s="2" t="s">
        <v>921</v>
      </c>
      <c r="AB205" s="9" t="s">
        <v>991</v>
      </c>
      <c r="AC205" s="9" t="s">
        <v>992</v>
      </c>
      <c r="AD205" s="10" t="str">
        <f>SUBSTITUTE(SUBSTITUTE(PROPERTIES[[#This Row],[PURCHASECOST_VALUE]], "PURCHASECOST_", ""), "_VALUE", "")</f>
        <v>DIESELENGINE</v>
      </c>
      <c r="AE205" s="9" t="str" cm="1">
        <f t="array" ref="AE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5" s="2" t="b">
        <v>0</v>
      </c>
      <c r="AX205"/>
      <c r="AY205"/>
      <c r="AZ205"/>
    </row>
    <row r="206" spans="1:52">
      <c r="A206" s="2" t="s">
        <v>229</v>
      </c>
      <c r="B206">
        <v>1965</v>
      </c>
      <c r="C206">
        <v>0</v>
      </c>
      <c r="D206" t="s">
        <v>1770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 s="2" t="s">
        <v>19</v>
      </c>
      <c r="K206" s="39">
        <f>_xlfn.XLOOKUP("LOADINGSPEEDDEF_"&amp;PROPERTIES[[#This Row],[LOADINGSPEED]],LOADINGSPEEDDEF[TYPE],LOADINGSPEEDDEF[SPEED])</f>
        <v>0</v>
      </c>
      <c r="L206">
        <v>45</v>
      </c>
      <c r="M206">
        <v>1</v>
      </c>
      <c r="N206" s="33">
        <v>112</v>
      </c>
      <c r="O206">
        <v>1870</v>
      </c>
      <c r="P206">
        <v>120</v>
      </c>
      <c r="Q206" s="30">
        <v>255</v>
      </c>
      <c r="R206" s="29">
        <f>IFERROR(PROPERTIES[[#This Row],[TE_STARTING_KN]]/(PROPERTIES[[#This Row],[WEIGHT]]*9.81),0)</f>
        <v>0.23208824814329401</v>
      </c>
      <c r="S206" s="29">
        <v>0.21</v>
      </c>
      <c r="T206" s="26">
        <f>ROUND(IF(IFERROR(PROPERTIES[[#This Row],[TE_COEFFICIENT_CALC]],0)=0,PROPERTIES[[#This Row],[TE_COEFFICIENT_MANUAL]],PROPERTIES[[#This Row],[TE_COEFFICIENT_CALC]]),3)</f>
        <v>0.23200000000000001</v>
      </c>
      <c r="U206" s="11">
        <v>40</v>
      </c>
      <c r="V206" s="9">
        <v>0</v>
      </c>
      <c r="W206" s="9">
        <v>0</v>
      </c>
      <c r="X206" s="10">
        <v>0</v>
      </c>
      <c r="Y206" t="s">
        <v>911</v>
      </c>
      <c r="Z206" t="s">
        <v>903</v>
      </c>
      <c r="AA206" s="2" t="s">
        <v>921</v>
      </c>
      <c r="AB206" s="9" t="s">
        <v>991</v>
      </c>
      <c r="AC206" s="9" t="s">
        <v>992</v>
      </c>
      <c r="AD206" s="10" t="str">
        <f>SUBSTITUTE(SUBSTITUTE(PROPERTIES[[#This Row],[PURCHASECOST_VALUE]], "PURCHASECOST_", ""), "_VALUE", "")</f>
        <v>DIESELENGINE</v>
      </c>
      <c r="AE206" s="9" t="str" cm="1">
        <f t="array" ref="AE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6" s="2" t="b">
        <v>0</v>
      </c>
      <c r="AX206"/>
      <c r="AY206"/>
      <c r="AZ206"/>
    </row>
    <row r="207" spans="1:52">
      <c r="A207" s="2" t="s">
        <v>230</v>
      </c>
      <c r="B207">
        <v>1965</v>
      </c>
      <c r="C207">
        <v>0</v>
      </c>
      <c r="D207" t="s">
        <v>1950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 s="2" t="s">
        <v>19</v>
      </c>
      <c r="K207" s="39">
        <f>_xlfn.XLOOKUP("LOADINGSPEEDDEF_"&amp;PROPERTIES[[#This Row],[LOADINGSPEED]],LOADINGSPEEDDEF[TYPE],LOADINGSPEEDDEF[SPEED])</f>
        <v>0</v>
      </c>
      <c r="L207">
        <v>45</v>
      </c>
      <c r="M207">
        <v>1</v>
      </c>
      <c r="N207" s="33">
        <v>116</v>
      </c>
      <c r="O207">
        <v>1970</v>
      </c>
      <c r="P207">
        <v>100</v>
      </c>
      <c r="Q207" s="30">
        <v>314</v>
      </c>
      <c r="R207" s="29">
        <f>IFERROR(PROPERTIES[[#This Row],[TE_STARTING_KN]]/(PROPERTIES[[#This Row],[WEIGHT]]*9.81),0)</f>
        <v>0.27593237020633415</v>
      </c>
      <c r="S207" s="29">
        <v>0.3</v>
      </c>
      <c r="T207" s="26">
        <f>ROUND(IF(IFERROR(PROPERTIES[[#This Row],[TE_COEFFICIENT_CALC]],0)=0,PROPERTIES[[#This Row],[TE_COEFFICIENT_MANUAL]],PROPERTIES[[#This Row],[TE_COEFFICIENT_CALC]]),3)</f>
        <v>0.27600000000000002</v>
      </c>
      <c r="U207" s="11">
        <v>40</v>
      </c>
      <c r="V207" s="9">
        <v>0</v>
      </c>
      <c r="W207" s="9">
        <v>0</v>
      </c>
      <c r="X207" s="10">
        <v>0</v>
      </c>
      <c r="Y207" t="s">
        <v>912</v>
      </c>
      <c r="Z207" t="s">
        <v>903</v>
      </c>
      <c r="AA207" s="2" t="s">
        <v>921</v>
      </c>
      <c r="AB207" s="9" t="s">
        <v>991</v>
      </c>
      <c r="AC207" s="9" t="s">
        <v>992</v>
      </c>
      <c r="AD207" s="10" t="str">
        <f>SUBSTITUTE(SUBSTITUTE(PROPERTIES[[#This Row],[PURCHASECOST_VALUE]], "PURCHASECOST_", ""), "_VALUE", "")</f>
        <v>DIESELENGINE</v>
      </c>
      <c r="AE207" s="9" t="str" cm="1">
        <f t="array" ref="AE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7" s="2" t="b">
        <v>0</v>
      </c>
      <c r="AX207"/>
      <c r="AY207"/>
      <c r="AZ207"/>
    </row>
    <row r="208" spans="1:52">
      <c r="A208" s="2" t="s">
        <v>231</v>
      </c>
      <c r="B208">
        <v>1969</v>
      </c>
      <c r="C208">
        <v>0</v>
      </c>
      <c r="D208" t="s">
        <v>1773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 s="2" t="s">
        <v>19</v>
      </c>
      <c r="K208" s="39">
        <f>_xlfn.XLOOKUP("LOADINGSPEEDDEF_"&amp;PROPERTIES[[#This Row],[LOADINGSPEED]],LOADINGSPEEDDEF[TYPE],LOADINGSPEEDDEF[SPEED])</f>
        <v>0</v>
      </c>
      <c r="L208">
        <v>45</v>
      </c>
      <c r="M208">
        <v>1</v>
      </c>
      <c r="N208" s="33">
        <v>110</v>
      </c>
      <c r="O208">
        <v>2000</v>
      </c>
      <c r="P208">
        <v>124</v>
      </c>
      <c r="Q208" s="30">
        <v>315.47000000000003</v>
      </c>
      <c r="R208" s="29">
        <f>IFERROR(PROPERTIES[[#This Row],[TE_STARTING_KN]]/(PROPERTIES[[#This Row],[WEIGHT]]*9.81),0)</f>
        <v>0.29234547307941799</v>
      </c>
      <c r="S208" s="29">
        <v>0.25</v>
      </c>
      <c r="T208" s="26">
        <f>ROUND(IF(IFERROR(PROPERTIES[[#This Row],[TE_COEFFICIENT_CALC]],0)=0,PROPERTIES[[#This Row],[TE_COEFFICIENT_MANUAL]],PROPERTIES[[#This Row],[TE_COEFFICIENT_CALC]]),3)</f>
        <v>0.29199999999999998</v>
      </c>
      <c r="U208" s="11">
        <v>40</v>
      </c>
      <c r="V208" s="9">
        <v>0</v>
      </c>
      <c r="W208" s="9">
        <v>0</v>
      </c>
      <c r="X208" s="10">
        <v>0</v>
      </c>
      <c r="Y208" t="s">
        <v>906</v>
      </c>
      <c r="Z208" t="s">
        <v>903</v>
      </c>
      <c r="AA208" s="2" t="s">
        <v>921</v>
      </c>
      <c r="AB208" s="9" t="s">
        <v>991</v>
      </c>
      <c r="AC208" s="9" t="s">
        <v>992</v>
      </c>
      <c r="AD208" s="10" t="str">
        <f>SUBSTITUTE(SUBSTITUTE(PROPERTIES[[#This Row],[PURCHASECOST_VALUE]], "PURCHASECOST_", ""), "_VALUE", "")</f>
        <v>DIESELENGINE</v>
      </c>
      <c r="AE208" s="9" t="str" cm="1">
        <f t="array" ref="AE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8" s="2" t="b">
        <v>0</v>
      </c>
      <c r="AX208"/>
      <c r="AY208"/>
      <c r="AZ208"/>
    </row>
    <row r="209" spans="1:52">
      <c r="A209" s="2" t="s">
        <v>232</v>
      </c>
      <c r="B209">
        <v>1969</v>
      </c>
      <c r="C209">
        <v>0</v>
      </c>
      <c r="D209" t="s">
        <v>1825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 s="2" t="s">
        <v>19</v>
      </c>
      <c r="K209" s="39">
        <f>_xlfn.XLOOKUP("LOADINGSPEEDDEF_"&amp;PROPERTIES[[#This Row],[LOADINGSPEED]],LOADINGSPEEDDEF[TYPE],LOADINGSPEEDDEF[SPEED])</f>
        <v>0</v>
      </c>
      <c r="L209">
        <v>45</v>
      </c>
      <c r="M209">
        <v>1</v>
      </c>
      <c r="N209" s="33">
        <v>108</v>
      </c>
      <c r="O209">
        <v>1650</v>
      </c>
      <c r="P209">
        <v>110</v>
      </c>
      <c r="Q209" s="30">
        <v>265</v>
      </c>
      <c r="R209" s="29">
        <f>IFERROR(PROPERTIES[[#This Row],[TE_STARTING_KN]]/(PROPERTIES[[#This Row],[WEIGHT]]*9.81),0)</f>
        <v>0.25012270170272211</v>
      </c>
      <c r="S209" s="29">
        <v>0.21</v>
      </c>
      <c r="T209" s="26">
        <f>ROUND(IF(IFERROR(PROPERTIES[[#This Row],[TE_COEFFICIENT_CALC]],0)=0,PROPERTIES[[#This Row],[TE_COEFFICIENT_MANUAL]],PROPERTIES[[#This Row],[TE_COEFFICIENT_CALC]]),3)</f>
        <v>0.25</v>
      </c>
      <c r="U209" s="11">
        <v>40</v>
      </c>
      <c r="V209" s="9">
        <v>0</v>
      </c>
      <c r="W209" s="9">
        <v>0</v>
      </c>
      <c r="X209" s="10">
        <v>0</v>
      </c>
      <c r="Y209" t="s">
        <v>907</v>
      </c>
      <c r="Z209" t="s">
        <v>903</v>
      </c>
      <c r="AA209" s="2" t="s">
        <v>921</v>
      </c>
      <c r="AB209" s="9" t="s">
        <v>991</v>
      </c>
      <c r="AC209" s="9" t="s">
        <v>992</v>
      </c>
      <c r="AD209" s="10" t="str">
        <f>SUBSTITUTE(SUBSTITUTE(PROPERTIES[[#This Row],[PURCHASECOST_VALUE]], "PURCHASECOST_", ""), "_VALUE", "")</f>
        <v>DIESELENGINE</v>
      </c>
      <c r="AE209" s="9" t="str" cm="1">
        <f t="array" ref="AE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9" s="2" t="b">
        <v>0</v>
      </c>
      <c r="AX209"/>
      <c r="AY209"/>
      <c r="AZ209"/>
    </row>
    <row r="210" spans="1:52">
      <c r="A210" s="2" t="s">
        <v>233</v>
      </c>
      <c r="B210">
        <v>1969</v>
      </c>
      <c r="C210">
        <v>0</v>
      </c>
      <c r="D210" t="s">
        <v>1992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 s="2" t="s">
        <v>19</v>
      </c>
      <c r="K210" s="39">
        <f>_xlfn.XLOOKUP("LOADINGSPEEDDEF_"&amp;PROPERTIES[[#This Row],[LOADINGSPEED]],LOADINGSPEEDDEF[TYPE],LOADINGSPEEDDEF[SPEED])</f>
        <v>0</v>
      </c>
      <c r="L210">
        <v>45</v>
      </c>
      <c r="M210">
        <v>1</v>
      </c>
      <c r="N210" s="33">
        <v>247</v>
      </c>
      <c r="O210">
        <v>6600</v>
      </c>
      <c r="P210">
        <v>144</v>
      </c>
      <c r="Q210" s="30">
        <v>506.8</v>
      </c>
      <c r="R210" s="29">
        <f>IFERROR(PROPERTIES[[#This Row],[TE_STARTING_KN]]/(PROPERTIES[[#This Row],[WEIGHT]]*9.81),0)</f>
        <v>0.20915615314456454</v>
      </c>
      <c r="S210" s="29">
        <v>0.19</v>
      </c>
      <c r="T210" s="26">
        <f>ROUND(IF(IFERROR(PROPERTIES[[#This Row],[TE_COEFFICIENT_CALC]],0)=0,PROPERTIES[[#This Row],[TE_COEFFICIENT_MANUAL]],PROPERTIES[[#This Row],[TE_COEFFICIENT_CALC]]),3)</f>
        <v>0.20899999999999999</v>
      </c>
      <c r="U210" s="11">
        <v>40</v>
      </c>
      <c r="V210" s="9">
        <v>0</v>
      </c>
      <c r="W210" s="9">
        <v>2</v>
      </c>
      <c r="X210" s="10">
        <v>0</v>
      </c>
      <c r="Y210" t="s">
        <v>909</v>
      </c>
      <c r="Z210" t="s">
        <v>903</v>
      </c>
      <c r="AA210" s="2" t="s">
        <v>921</v>
      </c>
      <c r="AB210" s="9" t="s">
        <v>991</v>
      </c>
      <c r="AC210" s="9" t="s">
        <v>992</v>
      </c>
      <c r="AD210" s="10" t="str">
        <f>SUBSTITUTE(SUBSTITUTE(PROPERTIES[[#This Row],[PURCHASECOST_VALUE]], "PURCHASECOST_", ""), "_VALUE", "")</f>
        <v>DIESELENGINE</v>
      </c>
      <c r="AE210" s="9" t="str" cm="1">
        <f t="array" ref="AE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0" s="2" t="b">
        <v>0</v>
      </c>
      <c r="AX210"/>
      <c r="AY210"/>
      <c r="AZ210"/>
    </row>
    <row r="211" spans="1:52">
      <c r="A211" s="2" t="s">
        <v>234</v>
      </c>
      <c r="B211">
        <v>1970</v>
      </c>
      <c r="C211">
        <v>0</v>
      </c>
      <c r="D211" t="s">
        <v>1773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 s="2" t="s">
        <v>19</v>
      </c>
      <c r="K211" s="39">
        <f>_xlfn.XLOOKUP("LOADINGSPEEDDEF_"&amp;PROPERTIES[[#This Row],[LOADINGSPEED]],LOADINGSPEEDDEF[TYPE],LOADINGSPEEDDEF[SPEED])</f>
        <v>0</v>
      </c>
      <c r="L211">
        <v>45</v>
      </c>
      <c r="M211">
        <v>1</v>
      </c>
      <c r="N211" s="33">
        <v>98</v>
      </c>
      <c r="O211">
        <v>2000</v>
      </c>
      <c r="P211">
        <v>80</v>
      </c>
      <c r="Q211" s="30">
        <v>286</v>
      </c>
      <c r="R211" s="29">
        <f>IFERROR(PROPERTIES[[#This Row],[TE_STARTING_KN]]/(PROPERTIES[[#This Row],[WEIGHT]]*9.81),0)</f>
        <v>0.29748902619151635</v>
      </c>
      <c r="S211" s="29">
        <v>0.28999999999999998</v>
      </c>
      <c r="T211" s="26">
        <f>ROUND(IF(IFERROR(PROPERTIES[[#This Row],[TE_COEFFICIENT_CALC]],0)=0,PROPERTIES[[#This Row],[TE_COEFFICIENT_MANUAL]],PROPERTIES[[#This Row],[TE_COEFFICIENT_CALC]]),3)</f>
        <v>0.29699999999999999</v>
      </c>
      <c r="U211" s="11">
        <v>40</v>
      </c>
      <c r="V211" s="9">
        <v>0</v>
      </c>
      <c r="W211" s="9">
        <v>0</v>
      </c>
      <c r="X211" s="10">
        <v>0</v>
      </c>
      <c r="Y211" t="s">
        <v>906</v>
      </c>
      <c r="Z211" t="s">
        <v>903</v>
      </c>
      <c r="AA211" s="2" t="s">
        <v>921</v>
      </c>
      <c r="AB211" s="9" t="s">
        <v>991</v>
      </c>
      <c r="AC211" s="9" t="s">
        <v>992</v>
      </c>
      <c r="AD211" s="10" t="str">
        <f>SUBSTITUTE(SUBSTITUTE(PROPERTIES[[#This Row],[PURCHASECOST_VALUE]], "PURCHASECOST_", ""), "_VALUE", "")</f>
        <v>DIESELENGINE</v>
      </c>
      <c r="AE211" s="9" t="str" cm="1">
        <f t="array" ref="AE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1" s="2" t="b">
        <v>0</v>
      </c>
      <c r="AX211"/>
      <c r="AY211"/>
      <c r="AZ211"/>
    </row>
    <row r="212" spans="1:52">
      <c r="A212" s="2" t="s">
        <v>235</v>
      </c>
      <c r="B212">
        <v>1972</v>
      </c>
      <c r="C212">
        <v>0</v>
      </c>
      <c r="D212" t="s">
        <v>1857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 s="2" t="s">
        <v>19</v>
      </c>
      <c r="K212" s="39">
        <f>_xlfn.XLOOKUP("LOADINGSPEEDDEF_"&amp;PROPERTIES[[#This Row],[LOADINGSPEED]],LOADINGSPEEDDEF[TYPE],LOADINGSPEEDDEF[SPEED])</f>
        <v>0</v>
      </c>
      <c r="L212">
        <v>45</v>
      </c>
      <c r="M212">
        <v>1</v>
      </c>
      <c r="N212" s="33">
        <v>103</v>
      </c>
      <c r="O212">
        <v>2200</v>
      </c>
      <c r="P212">
        <v>124</v>
      </c>
      <c r="Q212" s="30">
        <v>0</v>
      </c>
      <c r="R212" s="29">
        <f>IFERROR(PROPERTIES[[#This Row],[TE_STARTING_KN]]/(PROPERTIES[[#This Row],[WEIGHT]]*9.81),0)</f>
        <v>0</v>
      </c>
      <c r="S212" s="29">
        <v>0.26</v>
      </c>
      <c r="T212" s="26">
        <f>ROUND(IF(IFERROR(PROPERTIES[[#This Row],[TE_COEFFICIENT_CALC]],0)=0,PROPERTIES[[#This Row],[TE_COEFFICIENT_MANUAL]],PROPERTIES[[#This Row],[TE_COEFFICIENT_CALC]]),3)</f>
        <v>0.26</v>
      </c>
      <c r="U212" s="11">
        <v>40</v>
      </c>
      <c r="V212" s="9">
        <v>0</v>
      </c>
      <c r="W212" s="9">
        <v>0</v>
      </c>
      <c r="X212" s="10">
        <v>0</v>
      </c>
      <c r="Y212" t="s">
        <v>910</v>
      </c>
      <c r="Z212" t="s">
        <v>903</v>
      </c>
      <c r="AA212" s="2" t="s">
        <v>921</v>
      </c>
      <c r="AB212" s="9" t="s">
        <v>991</v>
      </c>
      <c r="AC212" s="9" t="s">
        <v>992</v>
      </c>
      <c r="AD212" s="10" t="str">
        <f>SUBSTITUTE(SUBSTITUTE(PROPERTIES[[#This Row],[PURCHASECOST_VALUE]], "PURCHASECOST_", ""), "_VALUE", "")</f>
        <v>DIESELENGINE</v>
      </c>
      <c r="AE212" s="9" t="str" cm="1">
        <f t="array" ref="AE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2" s="2" t="b">
        <v>0</v>
      </c>
      <c r="AX212"/>
      <c r="AY212"/>
      <c r="AZ212"/>
    </row>
    <row r="213" spans="1:52">
      <c r="A213" s="2" t="s">
        <v>236</v>
      </c>
      <c r="B213">
        <v>1972</v>
      </c>
      <c r="C213">
        <v>0</v>
      </c>
      <c r="D213" t="s">
        <v>1956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 s="2" t="s">
        <v>19</v>
      </c>
      <c r="K213" s="39">
        <f>_xlfn.XLOOKUP("LOADINGSPEEDDEF_"&amp;PROPERTIES[[#This Row],[LOADINGSPEED]],LOADINGSPEEDDEF[TYPE],LOADINGSPEEDDEF[SPEED])</f>
        <v>0</v>
      </c>
      <c r="L213">
        <v>45</v>
      </c>
      <c r="M213">
        <v>0</v>
      </c>
      <c r="N213" s="33">
        <v>46</v>
      </c>
      <c r="O213">
        <v>620</v>
      </c>
      <c r="P213">
        <v>70</v>
      </c>
      <c r="Q213" s="30">
        <v>0</v>
      </c>
      <c r="R213" s="29">
        <f>IFERROR(PROPERTIES[[#This Row],[TE_STARTING_KN]]/(PROPERTIES[[#This Row],[WEIGHT]]*9.81),0)</f>
        <v>0</v>
      </c>
      <c r="S213" s="29">
        <v>0.3</v>
      </c>
      <c r="T213" s="26">
        <f>ROUND(IF(IFERROR(PROPERTIES[[#This Row],[TE_COEFFICIENT_CALC]],0)=0,PROPERTIES[[#This Row],[TE_COEFFICIENT_MANUAL]],PROPERTIES[[#This Row],[TE_COEFFICIENT_CALC]]),3)</f>
        <v>0.3</v>
      </c>
      <c r="U213" s="11">
        <v>40</v>
      </c>
      <c r="V213" s="9">
        <v>0</v>
      </c>
      <c r="W213" s="9">
        <v>0</v>
      </c>
      <c r="X213" s="10">
        <v>0</v>
      </c>
      <c r="Y213" t="s">
        <v>908</v>
      </c>
      <c r="Z213" t="s">
        <v>903</v>
      </c>
      <c r="AA213" s="2" t="s">
        <v>921</v>
      </c>
      <c r="AB213" s="9" t="s">
        <v>991</v>
      </c>
      <c r="AC213" s="9" t="s">
        <v>992</v>
      </c>
      <c r="AD213" s="10" t="str">
        <f>SUBSTITUTE(SUBSTITUTE(PROPERTIES[[#This Row],[PURCHASECOST_VALUE]], "PURCHASECOST_", ""), "_VALUE", "")</f>
        <v>DIESELENGINE</v>
      </c>
      <c r="AE213" s="9" t="str" cm="1">
        <f t="array" ref="AE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3" s="2" t="b">
        <v>0</v>
      </c>
      <c r="AX213"/>
      <c r="AY213"/>
      <c r="AZ213"/>
    </row>
    <row r="214" spans="1:52">
      <c r="A214" s="2" t="s">
        <v>237</v>
      </c>
      <c r="B214">
        <v>1973</v>
      </c>
      <c r="C214">
        <v>0</v>
      </c>
      <c r="D214" t="s">
        <v>1798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 s="2" t="s">
        <v>19</v>
      </c>
      <c r="K214" s="39">
        <f>_xlfn.XLOOKUP("LOADINGSPEEDDEF_"&amp;PROPERTIES[[#This Row],[LOADINGSPEED]],LOADINGSPEEDDEF[TYPE],LOADINGSPEEDDEF[SPEED])</f>
        <v>0</v>
      </c>
      <c r="L214">
        <v>45</v>
      </c>
      <c r="M214">
        <v>1</v>
      </c>
      <c r="N214" s="33">
        <v>125</v>
      </c>
      <c r="O214">
        <v>2000</v>
      </c>
      <c r="P214">
        <v>108</v>
      </c>
      <c r="Q214" s="30">
        <v>268.67</v>
      </c>
      <c r="R214" s="29">
        <f>IFERROR(PROPERTIES[[#This Row],[TE_STARTING_KN]]/(PROPERTIES[[#This Row],[WEIGHT]]*9.81),0)</f>
        <v>0.21909887869520897</v>
      </c>
      <c r="S214" s="29">
        <v>0.13</v>
      </c>
      <c r="T214" s="26">
        <f>ROUND(IF(IFERROR(PROPERTIES[[#This Row],[TE_COEFFICIENT_CALC]],0)=0,PROPERTIES[[#This Row],[TE_COEFFICIENT_MANUAL]],PROPERTIES[[#This Row],[TE_COEFFICIENT_CALC]]),3)</f>
        <v>0.219</v>
      </c>
      <c r="U214" s="11">
        <v>40</v>
      </c>
      <c r="V214" s="9">
        <v>0</v>
      </c>
      <c r="W214" s="9">
        <v>0</v>
      </c>
      <c r="X214" s="10">
        <v>0</v>
      </c>
      <c r="Y214" t="s">
        <v>909</v>
      </c>
      <c r="Z214" t="s">
        <v>903</v>
      </c>
      <c r="AA214" s="2" t="s">
        <v>921</v>
      </c>
      <c r="AB214" s="9" t="s">
        <v>991</v>
      </c>
      <c r="AC214" s="9" t="s">
        <v>992</v>
      </c>
      <c r="AD214" s="10" t="str">
        <f>SUBSTITUTE(SUBSTITUTE(PROPERTIES[[#This Row],[PURCHASECOST_VALUE]], "PURCHASECOST_", ""), "_VALUE", "")</f>
        <v>DIESELENGINE</v>
      </c>
      <c r="AE214" s="9" t="str" cm="1">
        <f t="array" ref="AE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4" s="2" t="b">
        <v>0</v>
      </c>
      <c r="AX214"/>
      <c r="AY214"/>
      <c r="AZ214"/>
    </row>
    <row r="215" spans="1:52">
      <c r="A215" s="2" t="s">
        <v>927</v>
      </c>
      <c r="B215">
        <v>1973</v>
      </c>
      <c r="C215">
        <v>0</v>
      </c>
      <c r="D215" t="s">
        <v>1992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 s="2" t="s">
        <v>19</v>
      </c>
      <c r="K215" s="39">
        <f>_xlfn.XLOOKUP("LOADINGSPEEDDEF_"&amp;PROPERTIES[[#This Row],[LOADINGSPEED]],LOADINGSPEEDDEF[TYPE],LOADINGSPEEDDEF[SPEED])</f>
        <v>0</v>
      </c>
      <c r="L215">
        <v>45</v>
      </c>
      <c r="M215">
        <v>1</v>
      </c>
      <c r="N215" s="33">
        <v>131</v>
      </c>
      <c r="O215">
        <v>3000</v>
      </c>
      <c r="P215">
        <v>153</v>
      </c>
      <c r="Q215" s="30">
        <v>289</v>
      </c>
      <c r="R215" s="29">
        <f>IFERROR(PROPERTIES[[#This Row],[TE_STARTING_KN]]/(PROPERTIES[[#This Row],[WEIGHT]]*9.81),0)</f>
        <v>0.22488347301009251</v>
      </c>
      <c r="S215" s="29">
        <v>0.15</v>
      </c>
      <c r="T215" s="26">
        <f>ROUND(IF(IFERROR(PROPERTIES[[#This Row],[TE_COEFFICIENT_CALC]],0)=0,PROPERTIES[[#This Row],[TE_COEFFICIENT_MANUAL]],PROPERTIES[[#This Row],[TE_COEFFICIENT_CALC]]),3)</f>
        <v>0.22500000000000001</v>
      </c>
      <c r="U215" s="11">
        <v>40</v>
      </c>
      <c r="V215" s="9">
        <v>0</v>
      </c>
      <c r="W215" s="9">
        <v>0</v>
      </c>
      <c r="X215" s="10">
        <v>0</v>
      </c>
      <c r="Y215" t="s">
        <v>909</v>
      </c>
      <c r="Z215" t="s">
        <v>903</v>
      </c>
      <c r="AA215" s="2" t="s">
        <v>921</v>
      </c>
      <c r="AB215" s="9" t="s">
        <v>991</v>
      </c>
      <c r="AC215" s="9" t="s">
        <v>992</v>
      </c>
      <c r="AD215" s="10" t="str">
        <f>SUBSTITUTE(SUBSTITUTE(PROPERTIES[[#This Row],[PURCHASECOST_VALUE]], "PURCHASECOST_", ""), "_VALUE", "")</f>
        <v>DIESELENGINE</v>
      </c>
      <c r="AE215" s="9" t="str" cm="1">
        <f t="array" ref="AE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5" s="2" t="b">
        <v>0</v>
      </c>
      <c r="AX215"/>
      <c r="AY215"/>
      <c r="AZ215"/>
    </row>
    <row r="216" spans="1:52">
      <c r="A216" s="2" t="s">
        <v>238</v>
      </c>
      <c r="B216">
        <v>1976</v>
      </c>
      <c r="C216">
        <v>0</v>
      </c>
      <c r="D216" t="s">
        <v>1808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 s="2" t="s">
        <v>19</v>
      </c>
      <c r="K216" s="39">
        <f>_xlfn.XLOOKUP("LOADINGSPEEDDEF_"&amp;PROPERTIES[[#This Row],[LOADINGSPEED]],LOADINGSPEEDDEF[TYPE],LOADINGSPEEDDEF[SPEED])</f>
        <v>0</v>
      </c>
      <c r="L216">
        <v>45</v>
      </c>
      <c r="M216">
        <v>1</v>
      </c>
      <c r="N216" s="33">
        <v>92</v>
      </c>
      <c r="O216">
        <v>2200</v>
      </c>
      <c r="P216">
        <v>120</v>
      </c>
      <c r="Q216" s="30">
        <v>271</v>
      </c>
      <c r="R216" s="29">
        <f>IFERROR(PROPERTIES[[#This Row],[TE_STARTING_KN]]/(PROPERTIES[[#This Row],[WEIGHT]]*9.81),0)</f>
        <v>0.30027035411957625</v>
      </c>
      <c r="S216" s="29">
        <v>0.28999999999999998</v>
      </c>
      <c r="T216" s="26">
        <f>ROUND(IF(IFERROR(PROPERTIES[[#This Row],[TE_COEFFICIENT_CALC]],0)=0,PROPERTIES[[#This Row],[TE_COEFFICIENT_MANUAL]],PROPERTIES[[#This Row],[TE_COEFFICIENT_CALC]]),3)</f>
        <v>0.3</v>
      </c>
      <c r="U216" s="11">
        <v>40</v>
      </c>
      <c r="V216" s="9">
        <v>0</v>
      </c>
      <c r="W216" s="9">
        <v>0</v>
      </c>
      <c r="X216" s="10">
        <v>0</v>
      </c>
      <c r="Y216" t="s">
        <v>912</v>
      </c>
      <c r="Z216" t="s">
        <v>903</v>
      </c>
      <c r="AA216" s="2" t="s">
        <v>921</v>
      </c>
      <c r="AB216" s="9" t="s">
        <v>991</v>
      </c>
      <c r="AC216" s="9" t="s">
        <v>992</v>
      </c>
      <c r="AD216" s="10" t="str">
        <f>SUBSTITUTE(SUBSTITUTE(PROPERTIES[[#This Row],[PURCHASECOST_VALUE]], "PURCHASECOST_", ""), "_VALUE", "")</f>
        <v>DIESELENGINE</v>
      </c>
      <c r="AE216" s="9" t="str" cm="1">
        <f t="array" ref="AE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6" s="2" t="b">
        <v>0</v>
      </c>
      <c r="AX216"/>
      <c r="AY216"/>
      <c r="AZ216"/>
    </row>
    <row r="217" spans="1:52">
      <c r="A217" s="2" t="s">
        <v>239</v>
      </c>
      <c r="B217">
        <v>2001</v>
      </c>
      <c r="C217">
        <v>0</v>
      </c>
      <c r="D217" t="s">
        <v>1932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 s="2" t="s">
        <v>19</v>
      </c>
      <c r="K217" s="39">
        <f>_xlfn.XLOOKUP("LOADINGSPEEDDEF_"&amp;PROPERTIES[[#This Row],[LOADINGSPEED]],LOADINGSPEEDDEF[TYPE],LOADINGSPEEDDEF[SPEED])</f>
        <v>0</v>
      </c>
      <c r="L217">
        <v>45</v>
      </c>
      <c r="M217">
        <v>1</v>
      </c>
      <c r="N217" s="33">
        <v>115</v>
      </c>
      <c r="O217">
        <v>3000</v>
      </c>
      <c r="P217">
        <v>165</v>
      </c>
      <c r="Q217" s="30">
        <v>289</v>
      </c>
      <c r="R217" s="29">
        <f>IFERROR(PROPERTIES[[#This Row],[TE_STARTING_KN]]/(PROPERTIES[[#This Row],[WEIGHT]]*9.81),0)</f>
        <v>0.2561716083854097</v>
      </c>
      <c r="S217" s="29">
        <v>0.1</v>
      </c>
      <c r="T217" s="26">
        <f>ROUND(IF(IFERROR(PROPERTIES[[#This Row],[TE_COEFFICIENT_CALC]],0)=0,PROPERTIES[[#This Row],[TE_COEFFICIENT_MANUAL]],PROPERTIES[[#This Row],[TE_COEFFICIENT_CALC]]),3)</f>
        <v>0.25600000000000001</v>
      </c>
      <c r="U217" s="11">
        <v>40</v>
      </c>
      <c r="V217" s="9">
        <v>0</v>
      </c>
      <c r="W217" s="9">
        <v>0</v>
      </c>
      <c r="X217" s="10">
        <v>0</v>
      </c>
      <c r="Y217" t="s">
        <v>909</v>
      </c>
      <c r="Z217" t="s">
        <v>903</v>
      </c>
      <c r="AA217" s="2" t="s">
        <v>921</v>
      </c>
      <c r="AB217" s="9" t="s">
        <v>991</v>
      </c>
      <c r="AC217" s="9" t="s">
        <v>992</v>
      </c>
      <c r="AD217" s="10" t="str">
        <f>SUBSTITUTE(SUBSTITUTE(PROPERTIES[[#This Row],[PURCHASECOST_VALUE]], "PURCHASECOST_", ""), "_VALUE", "")</f>
        <v>DIESELENGINE</v>
      </c>
      <c r="AE217" s="9" t="str" cm="1">
        <f t="array" ref="AE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17" s="2" t="b">
        <v>0</v>
      </c>
      <c r="AX217"/>
      <c r="AY217"/>
      <c r="AZ217"/>
    </row>
    <row r="218" spans="1:52">
      <c r="A218" s="2" t="s">
        <v>240</v>
      </c>
      <c r="B218">
        <v>1981</v>
      </c>
      <c r="C218">
        <v>0</v>
      </c>
      <c r="D218" t="s">
        <v>1943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 s="2" t="s">
        <v>19</v>
      </c>
      <c r="K218" s="39">
        <f>_xlfn.XLOOKUP("LOADINGSPEEDDEF_"&amp;PROPERTIES[[#This Row],[LOADINGSPEED]],LOADINGSPEEDDEF[TYPE],LOADINGSPEEDDEF[SPEED])</f>
        <v>0</v>
      </c>
      <c r="L218">
        <v>45</v>
      </c>
      <c r="M218">
        <v>1</v>
      </c>
      <c r="N218" s="33">
        <v>115</v>
      </c>
      <c r="O218">
        <v>2260</v>
      </c>
      <c r="P218">
        <v>100</v>
      </c>
      <c r="Q218" s="30">
        <v>388.3</v>
      </c>
      <c r="R218" s="29">
        <f>IFERROR(PROPERTIES[[#This Row],[TE_STARTING_KN]]/(PROPERTIES[[#This Row],[WEIGHT]]*9.81),0)</f>
        <v>0.34419181846385671</v>
      </c>
      <c r="S218" s="29">
        <v>0.34</v>
      </c>
      <c r="T218" s="26">
        <f>ROUND(IF(IFERROR(PROPERTIES[[#This Row],[TE_COEFFICIENT_CALC]],0)=0,PROPERTIES[[#This Row],[TE_COEFFICIENT_MANUAL]],PROPERTIES[[#This Row],[TE_COEFFICIENT_CALC]]),3)</f>
        <v>0.34399999999999997</v>
      </c>
      <c r="U218" s="11">
        <v>40</v>
      </c>
      <c r="V218" s="9">
        <v>0</v>
      </c>
      <c r="W218" s="9">
        <v>0</v>
      </c>
      <c r="X218" s="10">
        <v>0</v>
      </c>
      <c r="Y218" t="s">
        <v>905</v>
      </c>
      <c r="Z218" t="s">
        <v>903</v>
      </c>
      <c r="AA218" s="2" t="s">
        <v>921</v>
      </c>
      <c r="AB218" s="9" t="s">
        <v>991</v>
      </c>
      <c r="AC218" s="9" t="s">
        <v>992</v>
      </c>
      <c r="AD218" s="10" t="str">
        <f>SUBSTITUTE(SUBSTITUTE(PROPERTIES[[#This Row],[PURCHASECOST_VALUE]], "PURCHASECOST_", ""), "_VALUE", "")</f>
        <v>DIESELENGINE</v>
      </c>
      <c r="AE218" s="9" t="str" cm="1">
        <f t="array" ref="AE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8" s="2" t="b">
        <v>0</v>
      </c>
      <c r="AX218"/>
      <c r="AY218"/>
      <c r="AZ218"/>
    </row>
    <row r="219" spans="1:52">
      <c r="A219" s="2" t="s">
        <v>241</v>
      </c>
      <c r="B219">
        <v>1985</v>
      </c>
      <c r="C219">
        <v>0</v>
      </c>
      <c r="D219" t="s">
        <v>1830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 s="2" t="s">
        <v>19</v>
      </c>
      <c r="K219" s="39">
        <f>_xlfn.XLOOKUP("LOADINGSPEEDDEF_"&amp;PROPERTIES[[#This Row],[LOADINGSPEED]],LOADINGSPEEDDEF[TYPE],LOADINGSPEEDDEF[SPEED])</f>
        <v>0</v>
      </c>
      <c r="L219">
        <v>45</v>
      </c>
      <c r="M219">
        <v>0</v>
      </c>
      <c r="N219" s="33">
        <v>82</v>
      </c>
      <c r="O219">
        <v>2250</v>
      </c>
      <c r="P219">
        <v>140</v>
      </c>
      <c r="Q219" s="30">
        <v>270</v>
      </c>
      <c r="R219" s="29">
        <f>IFERROR(PROPERTIES[[#This Row],[TE_STARTING_KN]]/(PROPERTIES[[#This Row],[WEIGHT]]*9.81),0)</f>
        <v>0.33564555829044523</v>
      </c>
      <c r="S219" s="29">
        <v>0.33</v>
      </c>
      <c r="T219" s="26">
        <f>ROUND(IF(IFERROR(PROPERTIES[[#This Row],[TE_COEFFICIENT_CALC]],0)=0,PROPERTIES[[#This Row],[TE_COEFFICIENT_MANUAL]],PROPERTIES[[#This Row],[TE_COEFFICIENT_CALC]]),3)</f>
        <v>0.33600000000000002</v>
      </c>
      <c r="U219" s="11">
        <v>40</v>
      </c>
      <c r="V219" s="9">
        <v>0</v>
      </c>
      <c r="W219" s="9">
        <v>0</v>
      </c>
      <c r="X219" s="10">
        <v>0</v>
      </c>
      <c r="Y219" t="s">
        <v>908</v>
      </c>
      <c r="Z219" t="s">
        <v>903</v>
      </c>
      <c r="AA219" s="2" t="s">
        <v>921</v>
      </c>
      <c r="AB219" s="9" t="s">
        <v>991</v>
      </c>
      <c r="AC219" s="9" t="s">
        <v>992</v>
      </c>
      <c r="AD219" s="10" t="str">
        <f>SUBSTITUTE(SUBSTITUTE(PROPERTIES[[#This Row],[PURCHASECOST_VALUE]], "PURCHASECOST_", ""), "_VALUE", "")</f>
        <v>DIESELENGINE</v>
      </c>
      <c r="AE219" s="9" t="str" cm="1">
        <f t="array" ref="AE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9" s="2" t="b">
        <v>0</v>
      </c>
      <c r="AX219"/>
      <c r="AY219"/>
      <c r="AZ219"/>
    </row>
    <row r="220" spans="1:52">
      <c r="A220" s="2" t="s">
        <v>242</v>
      </c>
      <c r="B220">
        <v>1988</v>
      </c>
      <c r="C220">
        <v>0</v>
      </c>
      <c r="D220" t="s">
        <v>1950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 s="2" t="s">
        <v>19</v>
      </c>
      <c r="K220" s="39">
        <f>_xlfn.XLOOKUP("LOADINGSPEEDDEF_"&amp;PROPERTIES[[#This Row],[LOADINGSPEED]],LOADINGSPEEDDEF[TYPE],LOADINGSPEEDDEF[SPEED])</f>
        <v>0</v>
      </c>
      <c r="L220" t="s">
        <v>20</v>
      </c>
      <c r="M220">
        <v>1</v>
      </c>
      <c r="N220" s="33">
        <v>180</v>
      </c>
      <c r="O220">
        <v>6000</v>
      </c>
      <c r="P220">
        <v>160</v>
      </c>
      <c r="Q220" s="30">
        <v>240</v>
      </c>
      <c r="R220" s="29">
        <f>IFERROR(PROPERTIES[[#This Row],[TE_STARTING_KN]]/(PROPERTIES[[#This Row],[WEIGHT]]*9.81),0)</f>
        <v>0.13591573224600745</v>
      </c>
      <c r="S220" s="29">
        <v>0.13</v>
      </c>
      <c r="T220" s="26">
        <f>ROUND(IF(IFERROR(PROPERTIES[[#This Row],[TE_COEFFICIENT_CALC]],0)=0,PROPERTIES[[#This Row],[TE_COEFFICIENT_MANUAL]],PROPERTIES[[#This Row],[TE_COEFFICIENT_CALC]]),3)</f>
        <v>0.13600000000000001</v>
      </c>
      <c r="U220" s="11">
        <v>40</v>
      </c>
      <c r="V220" s="9">
        <v>0</v>
      </c>
      <c r="W220" s="9">
        <v>0</v>
      </c>
      <c r="X220" s="10">
        <v>0</v>
      </c>
      <c r="Y220" t="s">
        <v>912</v>
      </c>
      <c r="Z220" t="s">
        <v>903</v>
      </c>
      <c r="AA220" s="2" t="s">
        <v>921</v>
      </c>
      <c r="AB220" s="9" t="s">
        <v>991</v>
      </c>
      <c r="AC220" s="9" t="s">
        <v>992</v>
      </c>
      <c r="AD220" s="10" t="str">
        <f>SUBSTITUTE(SUBSTITUTE(PROPERTIES[[#This Row],[PURCHASECOST_VALUE]], "PURCHASECOST_", ""), "_VALUE", "")</f>
        <v>DIESELENGINE</v>
      </c>
      <c r="AE220" s="9" t="str" cm="1">
        <f t="array" ref="AE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0" s="2" t="b">
        <v>0</v>
      </c>
      <c r="AX220"/>
      <c r="AY220"/>
      <c r="AZ220"/>
    </row>
    <row r="221" spans="1:52">
      <c r="A221" s="2" t="s">
        <v>243</v>
      </c>
      <c r="B221">
        <v>1992</v>
      </c>
      <c r="C221">
        <v>0</v>
      </c>
      <c r="D221" t="s">
        <v>1773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 s="2" t="s">
        <v>19</v>
      </c>
      <c r="K221" s="39">
        <f>_xlfn.XLOOKUP("LOADINGSPEEDDEF_"&amp;PROPERTIES[[#This Row],[LOADINGSPEED]],LOADINGSPEEDDEF[TYPE],LOADINGSPEEDDEF[SPEED])</f>
        <v>0</v>
      </c>
      <c r="L221">
        <v>45</v>
      </c>
      <c r="M221">
        <v>1</v>
      </c>
      <c r="N221" s="33">
        <v>128</v>
      </c>
      <c r="O221">
        <v>4063</v>
      </c>
      <c r="P221">
        <v>150</v>
      </c>
      <c r="Q221" s="30">
        <v>323</v>
      </c>
      <c r="R221" s="29">
        <f>IFERROR(PROPERTIES[[#This Row],[TE_STARTING_KN]]/(PROPERTIES[[#This Row],[WEIGHT]]*9.81),0)</f>
        <v>0.25723114169215083</v>
      </c>
      <c r="S221" s="29">
        <v>0.25</v>
      </c>
      <c r="T221" s="26">
        <f>ROUND(IF(IFERROR(PROPERTIES[[#This Row],[TE_COEFFICIENT_CALC]],0)=0,PROPERTIES[[#This Row],[TE_COEFFICIENT_MANUAL]],PROPERTIES[[#This Row],[TE_COEFFICIENT_CALC]]),3)</f>
        <v>0.25700000000000001</v>
      </c>
      <c r="U221" s="11">
        <v>40</v>
      </c>
      <c r="V221" s="9">
        <v>0</v>
      </c>
      <c r="W221" s="9">
        <v>0</v>
      </c>
      <c r="X221" s="10">
        <v>0</v>
      </c>
      <c r="Y221" t="s">
        <v>906</v>
      </c>
      <c r="Z221" t="s">
        <v>903</v>
      </c>
      <c r="AA221" s="2" t="s">
        <v>921</v>
      </c>
      <c r="AB221" s="9" t="s">
        <v>991</v>
      </c>
      <c r="AC221" s="9" t="s">
        <v>992</v>
      </c>
      <c r="AD221" s="10" t="str">
        <f>SUBSTITUTE(SUBSTITUTE(PROPERTIES[[#This Row],[PURCHASECOST_VALUE]], "PURCHASECOST_", ""), "_VALUE", "")</f>
        <v>DIESELENGINE</v>
      </c>
      <c r="AE221" s="9" t="str" cm="1">
        <f t="array" ref="AE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1" s="2" t="b">
        <v>0</v>
      </c>
      <c r="AX221"/>
      <c r="AY221"/>
      <c r="AZ221"/>
    </row>
    <row r="222" spans="1:52">
      <c r="A222" s="2" t="s">
        <v>244</v>
      </c>
      <c r="B222">
        <v>1992</v>
      </c>
      <c r="C222">
        <v>0</v>
      </c>
      <c r="D222" t="s">
        <v>1992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 s="2" t="s">
        <v>19</v>
      </c>
      <c r="K222" s="39">
        <f>_xlfn.XLOOKUP("LOADINGSPEEDDEF_"&amp;PROPERTIES[[#This Row],[LOADINGSPEED]],LOADINGSPEEDDEF[TYPE],LOADINGSPEEDDEF[SPEED])</f>
        <v>0</v>
      </c>
      <c r="L222" t="s">
        <v>20</v>
      </c>
      <c r="M222">
        <v>1</v>
      </c>
      <c r="N222" s="33">
        <v>121.6</v>
      </c>
      <c r="O222">
        <v>4250</v>
      </c>
      <c r="P222">
        <v>177</v>
      </c>
      <c r="Q222" s="30">
        <v>280.25</v>
      </c>
      <c r="R222" s="29">
        <f>IFERROR(PROPERTIES[[#This Row],[TE_STARTING_KN]]/(PROPERTIES[[#This Row],[WEIGHT]]*9.81),0)</f>
        <v>0.23493246687054029</v>
      </c>
      <c r="S222" s="29">
        <v>0.19</v>
      </c>
      <c r="T222" s="26">
        <f>ROUND(IF(IFERROR(PROPERTIES[[#This Row],[TE_COEFFICIENT_CALC]],0)=0,PROPERTIES[[#This Row],[TE_COEFFICIENT_MANUAL]],PROPERTIES[[#This Row],[TE_COEFFICIENT_CALC]]),3)</f>
        <v>0.23499999999999999</v>
      </c>
      <c r="U222" s="11">
        <v>40</v>
      </c>
      <c r="V222" s="9">
        <v>0</v>
      </c>
      <c r="W222" s="9">
        <v>0</v>
      </c>
      <c r="X222" s="10">
        <v>0</v>
      </c>
      <c r="Y222" t="s">
        <v>909</v>
      </c>
      <c r="Z222" t="s">
        <v>903</v>
      </c>
      <c r="AA222" s="2" t="s">
        <v>921</v>
      </c>
      <c r="AB222" s="9" t="s">
        <v>991</v>
      </c>
      <c r="AC222" s="9" t="s">
        <v>992</v>
      </c>
      <c r="AD222" s="10" t="str">
        <f>SUBSTITUTE(SUBSTITUTE(PROPERTIES[[#This Row],[PURCHASECOST_VALUE]], "PURCHASECOST_", ""), "_VALUE", "")</f>
        <v>DIESELENGINE</v>
      </c>
      <c r="AE222" s="9" t="str" cm="1">
        <f t="array" ref="AE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2" s="2" t="b">
        <v>0</v>
      </c>
      <c r="AX222"/>
      <c r="AY222"/>
      <c r="AZ222"/>
    </row>
    <row r="223" spans="1:52">
      <c r="A223" s="2" t="s">
        <v>245</v>
      </c>
      <c r="B223">
        <v>1994</v>
      </c>
      <c r="C223">
        <v>0</v>
      </c>
      <c r="D223" t="s">
        <v>2263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 s="2" t="s">
        <v>19</v>
      </c>
      <c r="K223" s="39">
        <f>_xlfn.XLOOKUP("LOADINGSPEEDDEF_"&amp;PROPERTIES[[#This Row],[LOADINGSPEED]],LOADINGSPEEDDEF[TYPE],LOADINGSPEEDDEF[SPEED])</f>
        <v>0</v>
      </c>
      <c r="L223">
        <v>45</v>
      </c>
      <c r="M223">
        <v>1</v>
      </c>
      <c r="N223" s="33">
        <v>51</v>
      </c>
      <c r="O223">
        <v>700</v>
      </c>
      <c r="P223">
        <v>40</v>
      </c>
      <c r="Q223" s="30">
        <v>0</v>
      </c>
      <c r="R223" s="29">
        <f>IFERROR(PROPERTIES[[#This Row],[TE_STARTING_KN]]/(PROPERTIES[[#This Row],[WEIGHT]]*9.81),0)</f>
        <v>0</v>
      </c>
      <c r="S223" s="29">
        <v>0.28000000000000003</v>
      </c>
      <c r="T223" s="26">
        <f>ROUND(IF(IFERROR(PROPERTIES[[#This Row],[TE_COEFFICIENT_CALC]],0)=0,PROPERTIES[[#This Row],[TE_COEFFICIENT_MANUAL]],PROPERTIES[[#This Row],[TE_COEFFICIENT_CALC]]),3)</f>
        <v>0.28000000000000003</v>
      </c>
      <c r="U223" s="11">
        <v>40</v>
      </c>
      <c r="V223" s="9">
        <v>0</v>
      </c>
      <c r="W223" s="9">
        <v>0</v>
      </c>
      <c r="X223" s="10">
        <v>0</v>
      </c>
      <c r="Y223" t="s">
        <v>912</v>
      </c>
      <c r="Z223" t="s">
        <v>903</v>
      </c>
      <c r="AA223" s="2" t="s">
        <v>921</v>
      </c>
      <c r="AB223" s="9" t="s">
        <v>991</v>
      </c>
      <c r="AC223" s="9" t="s">
        <v>992</v>
      </c>
      <c r="AD223" s="10" t="str">
        <f>SUBSTITUTE(SUBSTITUTE(PROPERTIES[[#This Row],[PURCHASECOST_VALUE]], "PURCHASECOST_", ""), "_VALUE", "")</f>
        <v>DIESELENGINE</v>
      </c>
      <c r="AE223" s="9" t="str" cm="1">
        <f t="array" ref="AE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23" s="2" t="b">
        <v>0</v>
      </c>
      <c r="AX223"/>
      <c r="AY223"/>
      <c r="AZ223"/>
    </row>
    <row r="224" spans="1:52">
      <c r="A224" s="2" t="s">
        <v>246</v>
      </c>
      <c r="B224">
        <v>1995</v>
      </c>
      <c r="C224">
        <v>0</v>
      </c>
      <c r="D224" t="s">
        <v>1770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 s="2" t="s">
        <v>19</v>
      </c>
      <c r="K224" s="39">
        <f>_xlfn.XLOOKUP("LOADINGSPEEDDEF_"&amp;PROPERTIES[[#This Row],[LOADINGSPEED]],LOADINGSPEEDDEF[TYPE],LOADINGSPEEDDEF[SPEED])</f>
        <v>0</v>
      </c>
      <c r="L224" t="s">
        <v>20</v>
      </c>
      <c r="M224">
        <v>1</v>
      </c>
      <c r="N224" s="33">
        <v>96</v>
      </c>
      <c r="O224">
        <v>2150</v>
      </c>
      <c r="P224">
        <v>104</v>
      </c>
      <c r="Q224" s="30">
        <v>245</v>
      </c>
      <c r="R224" s="29">
        <f>IFERROR(PROPERTIES[[#This Row],[TE_STARTING_KN]]/(PROPERTIES[[#This Row],[WEIGHT]]*9.81),0)</f>
        <v>0.26015120625212368</v>
      </c>
      <c r="S224" s="29">
        <v>0.28999999999999998</v>
      </c>
      <c r="T224" s="26">
        <f>ROUND(IF(IFERROR(PROPERTIES[[#This Row],[TE_COEFFICIENT_CALC]],0)=0,PROPERTIES[[#This Row],[TE_COEFFICIENT_MANUAL]],PROPERTIES[[#This Row],[TE_COEFFICIENT_CALC]]),3)</f>
        <v>0.26</v>
      </c>
      <c r="U224" s="11">
        <v>40</v>
      </c>
      <c r="V224" s="9">
        <v>0</v>
      </c>
      <c r="W224" s="9">
        <v>0</v>
      </c>
      <c r="X224" s="10">
        <v>0</v>
      </c>
      <c r="Y224" t="s">
        <v>911</v>
      </c>
      <c r="Z224" t="s">
        <v>903</v>
      </c>
      <c r="AA224" s="2" t="s">
        <v>921</v>
      </c>
      <c r="AB224" s="9" t="s">
        <v>991</v>
      </c>
      <c r="AC224" s="9" t="s">
        <v>992</v>
      </c>
      <c r="AD224" s="10" t="str">
        <f>SUBSTITUTE(SUBSTITUTE(PROPERTIES[[#This Row],[PURCHASECOST_VALUE]], "PURCHASECOST_", ""), "_VALUE", "")</f>
        <v>DIESELENGINE</v>
      </c>
      <c r="AE224" s="9" t="str" cm="1">
        <f t="array" ref="AE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4" s="2" t="b">
        <v>0</v>
      </c>
      <c r="AX224"/>
      <c r="AY224"/>
      <c r="AZ224"/>
    </row>
    <row r="225" spans="1:52">
      <c r="A225" s="2" t="s">
        <v>247</v>
      </c>
      <c r="B225">
        <v>1999</v>
      </c>
      <c r="C225">
        <v>0</v>
      </c>
      <c r="D225" t="s">
        <v>1780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 s="2" t="s">
        <v>19</v>
      </c>
      <c r="K225" s="39">
        <f>_xlfn.XLOOKUP("LOADINGSPEEDDEF_"&amp;PROPERTIES[[#This Row],[LOADINGSPEED]],LOADINGSPEEDDEF[TYPE],LOADINGSPEEDDEF[SPEED])</f>
        <v>0</v>
      </c>
      <c r="L225">
        <v>45</v>
      </c>
      <c r="M225">
        <v>1</v>
      </c>
      <c r="N225" s="33">
        <v>90</v>
      </c>
      <c r="O225">
        <v>1500</v>
      </c>
      <c r="P225">
        <v>100</v>
      </c>
      <c r="Q225" s="30">
        <v>291</v>
      </c>
      <c r="R225" s="29">
        <f>IFERROR(PROPERTIES[[#This Row],[TE_STARTING_KN]]/(PROPERTIES[[#This Row],[WEIGHT]]*9.81),0)</f>
        <v>0.3295956506965681</v>
      </c>
      <c r="S225" s="29">
        <v>0.34</v>
      </c>
      <c r="T225" s="26">
        <f>ROUND(IF(IFERROR(PROPERTIES[[#This Row],[TE_COEFFICIENT_CALC]],0)=0,PROPERTIES[[#This Row],[TE_COEFFICIENT_MANUAL]],PROPERTIES[[#This Row],[TE_COEFFICIENT_CALC]]),3)</f>
        <v>0.33</v>
      </c>
      <c r="U225" s="11">
        <v>40</v>
      </c>
      <c r="V225" s="9">
        <v>0</v>
      </c>
      <c r="W225" s="9">
        <v>0</v>
      </c>
      <c r="X225" s="10">
        <v>0</v>
      </c>
      <c r="Y225" t="s">
        <v>904</v>
      </c>
      <c r="Z225" t="s">
        <v>903</v>
      </c>
      <c r="AA225" s="2" t="s">
        <v>921</v>
      </c>
      <c r="AB225" s="9" t="s">
        <v>991</v>
      </c>
      <c r="AC225" s="9" t="s">
        <v>992</v>
      </c>
      <c r="AD225" s="10" t="str">
        <f>SUBSTITUTE(SUBSTITUTE(PROPERTIES[[#This Row],[PURCHASECOST_VALUE]], "PURCHASECOST_", ""), "_VALUE", "")</f>
        <v>DIESELENGINE</v>
      </c>
      <c r="AE225" s="9" t="str" cm="1">
        <f t="array" ref="AE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5" s="2" t="b">
        <v>0</v>
      </c>
      <c r="AX225"/>
      <c r="AY225"/>
      <c r="AZ225"/>
    </row>
    <row r="226" spans="1:52">
      <c r="A226" s="2" t="s">
        <v>248</v>
      </c>
      <c r="B226">
        <v>1998</v>
      </c>
      <c r="C226">
        <v>0</v>
      </c>
      <c r="D226" t="s">
        <v>1836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 s="2" t="s">
        <v>19</v>
      </c>
      <c r="K226" s="39">
        <f>_xlfn.XLOOKUP("LOADINGSPEEDDEF_"&amp;PROPERTIES[[#This Row],[LOADINGSPEED]],LOADINGSPEEDDEF[TYPE],LOADINGSPEEDDEF[SPEED])</f>
        <v>0</v>
      </c>
      <c r="L226" t="s">
        <v>20</v>
      </c>
      <c r="M226">
        <v>0</v>
      </c>
      <c r="N226" s="33">
        <v>126</v>
      </c>
      <c r="O226">
        <v>3200</v>
      </c>
      <c r="P226">
        <v>120</v>
      </c>
      <c r="Q226" s="30">
        <v>409</v>
      </c>
      <c r="R226" s="29">
        <f>IFERROR(PROPERTIES[[#This Row],[TE_STARTING_KN]]/(PROPERTIES[[#This Row],[WEIGHT]]*9.81),0)</f>
        <v>0.33089008624176813</v>
      </c>
      <c r="S226" s="29">
        <v>0.32</v>
      </c>
      <c r="T226" s="26">
        <f>ROUND(IF(IFERROR(PROPERTIES[[#This Row],[TE_COEFFICIENT_CALC]],0)=0,PROPERTIES[[#This Row],[TE_COEFFICIENT_MANUAL]],PROPERTIES[[#This Row],[TE_COEFFICIENT_CALC]]),3)</f>
        <v>0.33100000000000002</v>
      </c>
      <c r="U226" s="11">
        <v>40</v>
      </c>
      <c r="V226" s="9">
        <v>0</v>
      </c>
      <c r="W226" s="9">
        <v>0</v>
      </c>
      <c r="X226" s="10">
        <v>0</v>
      </c>
      <c r="Y226" t="s">
        <v>908</v>
      </c>
      <c r="Z226" t="s">
        <v>903</v>
      </c>
      <c r="AA226" s="2" t="s">
        <v>921</v>
      </c>
      <c r="AB226" s="9" t="s">
        <v>991</v>
      </c>
      <c r="AC226" s="9" t="s">
        <v>992</v>
      </c>
      <c r="AD226" s="10" t="str">
        <f>SUBSTITUTE(SUBSTITUTE(PROPERTIES[[#This Row],[PURCHASECOST_VALUE]], "PURCHASECOST_", ""), "_VALUE", "")</f>
        <v>DIESELENGINE</v>
      </c>
      <c r="AE226" s="9" t="str" cm="1">
        <f t="array" ref="AE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6" s="2" t="b">
        <v>0</v>
      </c>
      <c r="AX226"/>
      <c r="AY226"/>
      <c r="AZ226"/>
    </row>
    <row r="227" spans="1:52">
      <c r="A227" s="2" t="s">
        <v>249</v>
      </c>
      <c r="B227">
        <v>1999</v>
      </c>
      <c r="C227">
        <v>0</v>
      </c>
      <c r="D227" t="s">
        <v>1836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 s="2" t="s">
        <v>19</v>
      </c>
      <c r="K227" s="39">
        <f>_xlfn.XLOOKUP("LOADINGSPEEDDEF_"&amp;PROPERTIES[[#This Row],[LOADINGSPEED]],LOADINGSPEEDDEF[TYPE],LOADINGSPEEDDEF[SPEED])</f>
        <v>0</v>
      </c>
      <c r="L227" t="s">
        <v>20</v>
      </c>
      <c r="M227">
        <v>1</v>
      </c>
      <c r="N227" s="33">
        <v>88</v>
      </c>
      <c r="O227">
        <v>3200</v>
      </c>
      <c r="P227">
        <v>200</v>
      </c>
      <c r="Q227" s="30">
        <v>143</v>
      </c>
      <c r="R227" s="29">
        <f>IFERROR(PROPERTIES[[#This Row],[TE_STARTING_KN]]/(PROPERTIES[[#This Row],[WEIGHT]]*9.81),0)</f>
        <v>0.16564729867482159</v>
      </c>
      <c r="S227" s="29">
        <v>0.2</v>
      </c>
      <c r="T227" s="26">
        <f>ROUND(IF(IFERROR(PROPERTIES[[#This Row],[TE_COEFFICIENT_CALC]],0)=0,PROPERTIES[[#This Row],[TE_COEFFICIENT_MANUAL]],PROPERTIES[[#This Row],[TE_COEFFICIENT_CALC]]),3)</f>
        <v>0.16600000000000001</v>
      </c>
      <c r="U227" s="11">
        <v>40</v>
      </c>
      <c r="V227" s="9">
        <v>0</v>
      </c>
      <c r="W227" s="9">
        <v>0</v>
      </c>
      <c r="X227" s="10">
        <v>0</v>
      </c>
      <c r="Y227" t="s">
        <v>908</v>
      </c>
      <c r="Z227" t="s">
        <v>903</v>
      </c>
      <c r="AA227" s="2" t="s">
        <v>921</v>
      </c>
      <c r="AB227" s="9" t="s">
        <v>991</v>
      </c>
      <c r="AC227" s="9" t="s">
        <v>992</v>
      </c>
      <c r="AD227" s="10" t="str">
        <f>SUBSTITUTE(SUBSTITUTE(PROPERTIES[[#This Row],[PURCHASECOST_VALUE]], "PURCHASECOST_", ""), "_VALUE", "")</f>
        <v>DIESELENGINE</v>
      </c>
      <c r="AE227" s="9" t="str" cm="1">
        <f t="array" ref="AE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7" s="2" t="b">
        <v>0</v>
      </c>
      <c r="AX227"/>
      <c r="AY227"/>
      <c r="AZ227"/>
    </row>
    <row r="228" spans="1:52">
      <c r="A228" s="2" t="s">
        <v>250</v>
      </c>
      <c r="B228">
        <v>2002</v>
      </c>
      <c r="C228">
        <v>0</v>
      </c>
      <c r="D228" t="s">
        <v>1867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 s="2" t="s">
        <v>19</v>
      </c>
      <c r="K228" s="39">
        <f>_xlfn.XLOOKUP("LOADINGSPEEDDEF_"&amp;PROPERTIES[[#This Row],[LOADINGSPEED]],LOADINGSPEEDDEF[TYPE],LOADINGSPEEDDEF[SPEED])</f>
        <v>0</v>
      </c>
      <c r="L228" t="s">
        <v>20</v>
      </c>
      <c r="M228">
        <v>1</v>
      </c>
      <c r="N228" s="33">
        <v>123</v>
      </c>
      <c r="O228">
        <v>4300</v>
      </c>
      <c r="P228">
        <v>160</v>
      </c>
      <c r="Q228" s="30">
        <v>542</v>
      </c>
      <c r="R228" s="29">
        <f>IFERROR(PROPERTIES[[#This Row],[TE_STARTING_KN]]/(PROPERTIES[[#This Row],[WEIGHT]]*9.81),0)</f>
        <v>0.44918491998375637</v>
      </c>
      <c r="S228" s="29">
        <v>0.21</v>
      </c>
      <c r="T228" s="26">
        <f>ROUND(IF(IFERROR(PROPERTIES[[#This Row],[TE_COEFFICIENT_CALC]],0)=0,PROPERTIES[[#This Row],[TE_COEFFICIENT_MANUAL]],PROPERTIES[[#This Row],[TE_COEFFICIENT_CALC]]),3)</f>
        <v>0.44900000000000001</v>
      </c>
      <c r="U228" s="11">
        <v>40</v>
      </c>
      <c r="V228" s="9">
        <v>0</v>
      </c>
      <c r="W228" s="9">
        <v>0</v>
      </c>
      <c r="X228" s="10">
        <v>0</v>
      </c>
      <c r="Y228" t="s">
        <v>912</v>
      </c>
      <c r="Z228" t="s">
        <v>903</v>
      </c>
      <c r="AA228" s="2" t="s">
        <v>921</v>
      </c>
      <c r="AB228" s="9" t="s">
        <v>991</v>
      </c>
      <c r="AC228" s="9" t="s">
        <v>992</v>
      </c>
      <c r="AD228" s="10" t="str">
        <f>SUBSTITUTE(SUBSTITUTE(PROPERTIES[[#This Row],[PURCHASECOST_VALUE]], "PURCHASECOST_", ""), "_VALUE", "")</f>
        <v>DIESELENGINE</v>
      </c>
      <c r="AE228" s="9" t="str" cm="1">
        <f t="array" ref="AE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8" s="2" t="b">
        <v>0</v>
      </c>
      <c r="AX228"/>
      <c r="AY228"/>
      <c r="AZ228"/>
    </row>
    <row r="229" spans="1:52">
      <c r="A229" s="2" t="s">
        <v>251</v>
      </c>
      <c r="B229">
        <v>2006</v>
      </c>
      <c r="C229">
        <v>0</v>
      </c>
      <c r="D229" t="s">
        <v>1989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 s="2" t="s">
        <v>19</v>
      </c>
      <c r="K229" s="39">
        <f>_xlfn.XLOOKUP("LOADINGSPEEDDEF_"&amp;PROPERTIES[[#This Row],[LOADINGSPEED]],LOADINGSPEEDDEF[TYPE],LOADINGSPEEDDEF[SPEED])</f>
        <v>0</v>
      </c>
      <c r="L229" t="s">
        <v>20</v>
      </c>
      <c r="M229">
        <v>1</v>
      </c>
      <c r="N229" s="33">
        <v>135</v>
      </c>
      <c r="O229">
        <v>4216</v>
      </c>
      <c r="P229">
        <v>160</v>
      </c>
      <c r="Q229" s="30">
        <v>310</v>
      </c>
      <c r="R229" s="29">
        <f>IFERROR(PROPERTIES[[#This Row],[TE_STARTING_KN]]/(PROPERTIES[[#This Row],[WEIGHT]]*9.81),0)</f>
        <v>0.23407709442367952</v>
      </c>
      <c r="S229" s="29">
        <v>0.12</v>
      </c>
      <c r="T229" s="26">
        <f>ROUND(IF(IFERROR(PROPERTIES[[#This Row],[TE_COEFFICIENT_CALC]],0)=0,PROPERTIES[[#This Row],[TE_COEFFICIENT_MANUAL]],PROPERTIES[[#This Row],[TE_COEFFICIENT_CALC]]),3)</f>
        <v>0.23400000000000001</v>
      </c>
      <c r="U229" s="11">
        <v>40</v>
      </c>
      <c r="V229" s="9">
        <v>0</v>
      </c>
      <c r="W229" s="9">
        <v>0</v>
      </c>
      <c r="X229" s="10">
        <v>0</v>
      </c>
      <c r="Y229" t="s">
        <v>910</v>
      </c>
      <c r="Z229" t="s">
        <v>903</v>
      </c>
      <c r="AA229" s="2" t="s">
        <v>921</v>
      </c>
      <c r="AB229" s="9" t="s">
        <v>991</v>
      </c>
      <c r="AC229" s="9" t="s">
        <v>992</v>
      </c>
      <c r="AD229" s="10" t="str">
        <f>SUBSTITUTE(SUBSTITUTE(PROPERTIES[[#This Row],[PURCHASECOST_VALUE]], "PURCHASECOST_", ""), "_VALUE", "")</f>
        <v>DIESELENGINE</v>
      </c>
      <c r="AE229" s="9" t="str" cm="1">
        <f t="array" ref="AE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9" s="2" t="b">
        <v>0</v>
      </c>
      <c r="AX229"/>
      <c r="AY229"/>
      <c r="AZ229"/>
    </row>
    <row r="230" spans="1:52">
      <c r="A230" s="2" t="s">
        <v>252</v>
      </c>
      <c r="B230">
        <v>2008</v>
      </c>
      <c r="C230">
        <v>0</v>
      </c>
      <c r="D230" t="s">
        <v>1808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 s="2" t="s">
        <v>19</v>
      </c>
      <c r="K230" s="39">
        <f>_xlfn.XLOOKUP("LOADINGSPEEDDEF_"&amp;PROPERTIES[[#This Row],[LOADINGSPEED]],LOADINGSPEEDDEF[TYPE],LOADINGSPEEDDEF[SPEED])</f>
        <v>0</v>
      </c>
      <c r="L230" t="s">
        <v>20</v>
      </c>
      <c r="M230">
        <v>1</v>
      </c>
      <c r="N230" s="33">
        <v>150</v>
      </c>
      <c r="O230">
        <v>6250</v>
      </c>
      <c r="P230">
        <v>120</v>
      </c>
      <c r="Q230" s="30">
        <v>620</v>
      </c>
      <c r="R230" s="29">
        <f>IFERROR(PROPERTIES[[#This Row],[TE_STARTING_KN]]/(PROPERTIES[[#This Row],[WEIGHT]]*9.81),0)</f>
        <v>0.42133876996262315</v>
      </c>
      <c r="S230" s="29">
        <v>0.41</v>
      </c>
      <c r="T230" s="26">
        <f>ROUND(IF(IFERROR(PROPERTIES[[#This Row],[TE_COEFFICIENT_CALC]],0)=0,PROPERTIES[[#This Row],[TE_COEFFICIENT_MANUAL]],PROPERTIES[[#This Row],[TE_COEFFICIENT_CALC]]),3)</f>
        <v>0.42099999999999999</v>
      </c>
      <c r="U230" s="11">
        <v>40</v>
      </c>
      <c r="V230" s="9">
        <v>0</v>
      </c>
      <c r="W230" s="9">
        <v>0</v>
      </c>
      <c r="X230" s="10">
        <v>0</v>
      </c>
      <c r="Y230" t="s">
        <v>912</v>
      </c>
      <c r="Z230" t="s">
        <v>903</v>
      </c>
      <c r="AA230" s="2" t="s">
        <v>921</v>
      </c>
      <c r="AB230" s="9" t="s">
        <v>991</v>
      </c>
      <c r="AC230" s="9" t="s">
        <v>992</v>
      </c>
      <c r="AD230" s="10" t="str">
        <f>SUBSTITUTE(SUBSTITUTE(PROPERTIES[[#This Row],[PURCHASECOST_VALUE]], "PURCHASECOST_", ""), "_VALUE", "")</f>
        <v>DIESELENGINE</v>
      </c>
      <c r="AE230" s="9" t="str" cm="1">
        <f t="array" ref="AE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0" s="2" t="b">
        <v>0</v>
      </c>
      <c r="AX230"/>
      <c r="AY230"/>
      <c r="AZ230"/>
    </row>
    <row r="231" spans="1:52">
      <c r="A231" s="2" t="s">
        <v>253</v>
      </c>
      <c r="B231">
        <v>2010</v>
      </c>
      <c r="C231">
        <v>0</v>
      </c>
      <c r="D231" t="s">
        <v>1817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 s="2" t="s">
        <v>19</v>
      </c>
      <c r="K231" s="39">
        <f>_xlfn.XLOOKUP("LOADINGSPEEDDEF_"&amp;PROPERTIES[[#This Row],[LOADINGSPEED]],LOADINGSPEEDDEF[TYPE],LOADINGSPEEDDEF[SPEED])</f>
        <v>0</v>
      </c>
      <c r="L231" t="s">
        <v>20</v>
      </c>
      <c r="M231">
        <v>1</v>
      </c>
      <c r="N231" s="33">
        <v>80</v>
      </c>
      <c r="O231">
        <v>1600</v>
      </c>
      <c r="P231">
        <v>100</v>
      </c>
      <c r="Q231" s="30">
        <v>313</v>
      </c>
      <c r="R231" s="29">
        <f>IFERROR(PROPERTIES[[#This Row],[TE_STARTING_KN]]/(PROPERTIES[[#This Row],[WEIGHT]]*9.81),0)</f>
        <v>0.39882772680937817</v>
      </c>
      <c r="S231" s="29">
        <v>0.32</v>
      </c>
      <c r="T231" s="26">
        <f>ROUND(IF(IFERROR(PROPERTIES[[#This Row],[TE_COEFFICIENT_CALC]],0)=0,PROPERTIES[[#This Row],[TE_COEFFICIENT_MANUAL]],PROPERTIES[[#This Row],[TE_COEFFICIENT_CALC]]),3)</f>
        <v>0.39900000000000002</v>
      </c>
      <c r="U231" s="11">
        <v>40</v>
      </c>
      <c r="V231" s="9">
        <v>0</v>
      </c>
      <c r="W231" s="9">
        <v>0</v>
      </c>
      <c r="X231" s="10">
        <v>0</v>
      </c>
      <c r="Y231" t="s">
        <v>904</v>
      </c>
      <c r="Z231" t="s">
        <v>903</v>
      </c>
      <c r="AA231" s="2" t="s">
        <v>921</v>
      </c>
      <c r="AB231" s="9" t="s">
        <v>991</v>
      </c>
      <c r="AC231" s="9" t="s">
        <v>992</v>
      </c>
      <c r="AD231" s="10" t="str">
        <f>SUBSTITUTE(SUBSTITUTE(PROPERTIES[[#This Row],[PURCHASECOST_VALUE]], "PURCHASECOST_", ""), "_VALUE", "")</f>
        <v>DIESELENGINE</v>
      </c>
      <c r="AE231" s="9" t="str" cm="1">
        <f t="array" ref="AE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1" s="2" t="b">
        <v>0</v>
      </c>
      <c r="AX231"/>
      <c r="AY231"/>
      <c r="AZ231"/>
    </row>
    <row r="232" spans="1:52">
      <c r="A232" s="2" t="s">
        <v>254</v>
      </c>
      <c r="B232">
        <v>2011</v>
      </c>
      <c r="C232">
        <v>0</v>
      </c>
      <c r="D232" t="s">
        <v>1950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 s="2" t="s">
        <v>19</v>
      </c>
      <c r="K232" s="39">
        <f>_xlfn.XLOOKUP("LOADINGSPEEDDEF_"&amp;PROPERTIES[[#This Row],[LOADINGSPEED]],LOADINGSPEEDDEF[TYPE],LOADINGSPEEDDEF[SPEED])</f>
        <v>0</v>
      </c>
      <c r="L232" t="s">
        <v>20</v>
      </c>
      <c r="M232">
        <v>1</v>
      </c>
      <c r="N232" s="33">
        <v>300</v>
      </c>
      <c r="O232">
        <v>11130</v>
      </c>
      <c r="P232">
        <v>100</v>
      </c>
      <c r="Q232" s="30">
        <v>775</v>
      </c>
      <c r="R232" s="29">
        <f>IFERROR(PROPERTIES[[#This Row],[TE_STARTING_KN]]/(PROPERTIES[[#This Row],[WEIGHT]]*9.81),0)</f>
        <v>0.26333673122663948</v>
      </c>
      <c r="S232" s="29">
        <v>0.23</v>
      </c>
      <c r="T232" s="26">
        <f>ROUND(IF(IFERROR(PROPERTIES[[#This Row],[TE_COEFFICIENT_CALC]],0)=0,PROPERTIES[[#This Row],[TE_COEFFICIENT_MANUAL]],PROPERTIES[[#This Row],[TE_COEFFICIENT_CALC]]),3)</f>
        <v>0.26300000000000001</v>
      </c>
      <c r="U232" s="11">
        <v>40</v>
      </c>
      <c r="V232" s="9">
        <v>0</v>
      </c>
      <c r="W232" s="9">
        <v>8</v>
      </c>
      <c r="X232" s="10">
        <v>0</v>
      </c>
      <c r="Y232" t="s">
        <v>912</v>
      </c>
      <c r="Z232" t="s">
        <v>903</v>
      </c>
      <c r="AA232" s="2" t="s">
        <v>921</v>
      </c>
      <c r="AB232" s="9" t="s">
        <v>991</v>
      </c>
      <c r="AC232" s="9" t="s">
        <v>992</v>
      </c>
      <c r="AD232" s="10" t="str">
        <f>SUBSTITUTE(SUBSTITUTE(PROPERTIES[[#This Row],[PURCHASECOST_VALUE]], "PURCHASECOST_", ""), "_VALUE", "")</f>
        <v>DIESELENGINE</v>
      </c>
      <c r="AE232" s="9" t="str" cm="1">
        <f t="array" ref="AE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2" s="2" t="b">
        <v>1</v>
      </c>
      <c r="AX232"/>
      <c r="AY232"/>
      <c r="AZ232"/>
    </row>
    <row r="233" spans="1:52">
      <c r="A233" s="2" t="s">
        <v>255</v>
      </c>
      <c r="B233">
        <v>2003</v>
      </c>
      <c r="C233">
        <v>0</v>
      </c>
      <c r="D233" t="s">
        <v>1808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 s="2" t="s">
        <v>19</v>
      </c>
      <c r="K233" s="39">
        <f>_xlfn.XLOOKUP("LOADINGSPEEDDEF_"&amp;PROPERTIES[[#This Row],[LOADINGSPEED]],LOADINGSPEEDDEF[TYPE],LOADINGSPEEDDEF[SPEED])</f>
        <v>0</v>
      </c>
      <c r="L233" t="s">
        <v>20</v>
      </c>
      <c r="M233">
        <v>1</v>
      </c>
      <c r="N233" s="33">
        <v>80</v>
      </c>
      <c r="O233">
        <v>2680</v>
      </c>
      <c r="P233">
        <v>140</v>
      </c>
      <c r="Q233" s="30">
        <v>235</v>
      </c>
      <c r="R233" s="29">
        <f>IFERROR(PROPERTIES[[#This Row],[TE_STARTING_KN]]/(PROPERTIES[[#This Row],[WEIGHT]]*9.81),0)</f>
        <v>0.29943934760448521</v>
      </c>
      <c r="S233" s="29">
        <v>0.28999999999999998</v>
      </c>
      <c r="T233" s="26">
        <f>ROUND(IF(IFERROR(PROPERTIES[[#This Row],[TE_COEFFICIENT_CALC]],0)=0,PROPERTIES[[#This Row],[TE_COEFFICIENT_MANUAL]],PROPERTIES[[#This Row],[TE_COEFFICIENT_CALC]]),3)</f>
        <v>0.29899999999999999</v>
      </c>
      <c r="U233" s="11">
        <v>40</v>
      </c>
      <c r="V233" s="9">
        <v>0</v>
      </c>
      <c r="W233" s="9">
        <v>0</v>
      </c>
      <c r="X233" s="10">
        <v>0</v>
      </c>
      <c r="Y233" t="s">
        <v>912</v>
      </c>
      <c r="Z233" t="s">
        <v>903</v>
      </c>
      <c r="AA233" s="2" t="s">
        <v>921</v>
      </c>
      <c r="AB233" s="9" t="s">
        <v>991</v>
      </c>
      <c r="AC233" s="9" t="s">
        <v>992</v>
      </c>
      <c r="AD233" s="10" t="str">
        <f>SUBSTITUTE(SUBSTITUTE(PROPERTIES[[#This Row],[PURCHASECOST_VALUE]], "PURCHASECOST_", ""), "_VALUE", "")</f>
        <v>DIESELENGINE</v>
      </c>
      <c r="AE233" s="9" t="str" cm="1">
        <f t="array" ref="AE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3" s="2" t="b">
        <v>0</v>
      </c>
      <c r="AX233"/>
      <c r="AY233"/>
      <c r="AZ233"/>
    </row>
    <row r="234" spans="1:52">
      <c r="A234" s="2" t="s">
        <v>256</v>
      </c>
      <c r="B234">
        <v>2010</v>
      </c>
      <c r="C234">
        <v>0</v>
      </c>
      <c r="D234" t="s">
        <v>1817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 s="2" t="s">
        <v>19</v>
      </c>
      <c r="K234" s="39">
        <f>_xlfn.XLOOKUP("LOADINGSPEEDDEF_"&amp;PROPERTIES[[#This Row],[LOADINGSPEED]],LOADINGSPEEDDEF[TYPE],LOADINGSPEEDDEF[SPEED])</f>
        <v>0</v>
      </c>
      <c r="L234" t="s">
        <v>20</v>
      </c>
      <c r="M234">
        <v>1</v>
      </c>
      <c r="N234" s="33">
        <v>135</v>
      </c>
      <c r="O234">
        <v>4900</v>
      </c>
      <c r="P234">
        <v>140</v>
      </c>
      <c r="Q234" s="30">
        <v>408</v>
      </c>
      <c r="R234" s="29">
        <f>IFERROR(PROPERTIES[[#This Row],[TE_STARTING_KN]]/(PROPERTIES[[#This Row],[WEIGHT]]*9.81),0)</f>
        <v>0.30807565975761692</v>
      </c>
      <c r="S234" s="29">
        <v>0.35</v>
      </c>
      <c r="T234" s="26">
        <f>ROUND(IF(IFERROR(PROPERTIES[[#This Row],[TE_COEFFICIENT_CALC]],0)=0,PROPERTIES[[#This Row],[TE_COEFFICIENT_MANUAL]],PROPERTIES[[#This Row],[TE_COEFFICIENT_CALC]]),3)</f>
        <v>0.308</v>
      </c>
      <c r="U234" s="11">
        <v>40</v>
      </c>
      <c r="V234" s="9">
        <v>0</v>
      </c>
      <c r="W234" s="9">
        <v>0</v>
      </c>
      <c r="X234" s="10">
        <v>0</v>
      </c>
      <c r="Y234" t="s">
        <v>904</v>
      </c>
      <c r="Z234" t="s">
        <v>903</v>
      </c>
      <c r="AA234" s="2" t="s">
        <v>921</v>
      </c>
      <c r="AB234" s="9" t="s">
        <v>991</v>
      </c>
      <c r="AC234" s="9" t="s">
        <v>992</v>
      </c>
      <c r="AD234" s="10" t="str">
        <f>SUBSTITUTE(SUBSTITUTE(PROPERTIES[[#This Row],[PURCHASECOST_VALUE]], "PURCHASECOST_", ""), "_VALUE", "")</f>
        <v>DIESELENGINE</v>
      </c>
      <c r="AE234" s="9" t="str" cm="1">
        <f t="array" ref="AE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4" s="2" t="b">
        <v>0</v>
      </c>
      <c r="AX234"/>
      <c r="AY234"/>
      <c r="AZ234"/>
    </row>
    <row r="235" spans="1:52">
      <c r="A235" s="2" t="s">
        <v>257</v>
      </c>
      <c r="B235">
        <v>1963</v>
      </c>
      <c r="C235">
        <v>0</v>
      </c>
      <c r="D235" t="s">
        <v>1950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 s="2" t="s">
        <v>19</v>
      </c>
      <c r="K235" s="39">
        <f>_xlfn.XLOOKUP("LOADINGSPEEDDEF_"&amp;PROPERTIES[[#This Row],[LOADINGSPEED]],LOADINGSPEEDDEF[TYPE],LOADINGSPEEDDEF[SPEED])</f>
        <v>0</v>
      </c>
      <c r="L235">
        <v>45</v>
      </c>
      <c r="M235">
        <v>1</v>
      </c>
      <c r="N235" s="33">
        <v>125</v>
      </c>
      <c r="O235">
        <v>1300</v>
      </c>
      <c r="P235">
        <v>95</v>
      </c>
      <c r="Q235" s="30">
        <v>265</v>
      </c>
      <c r="R235" s="29">
        <f>IFERROR(PROPERTIES[[#This Row],[TE_STARTING_KN]]/(PROPERTIES[[#This Row],[WEIGHT]]*9.81),0)</f>
        <v>0.21610601427115189</v>
      </c>
      <c r="S235" s="29">
        <v>0.12</v>
      </c>
      <c r="T235" s="26">
        <f>ROUND(IF(IFERROR(PROPERTIES[[#This Row],[TE_COEFFICIENT_CALC]],0)=0,PROPERTIES[[#This Row],[TE_COEFFICIENT_MANUAL]],PROPERTIES[[#This Row],[TE_COEFFICIENT_CALC]]),3)</f>
        <v>0.216</v>
      </c>
      <c r="U235" s="11">
        <v>40</v>
      </c>
      <c r="V235" s="9">
        <v>0</v>
      </c>
      <c r="W235" s="9">
        <v>0</v>
      </c>
      <c r="X235" s="10">
        <v>0</v>
      </c>
      <c r="Y235" t="s">
        <v>912</v>
      </c>
      <c r="Z235" t="s">
        <v>903</v>
      </c>
      <c r="AA235" s="2" t="s">
        <v>921</v>
      </c>
      <c r="AB235" s="9" t="s">
        <v>991</v>
      </c>
      <c r="AC235" s="9" t="s">
        <v>992</v>
      </c>
      <c r="AD235" s="10" t="str">
        <f>SUBSTITUTE(SUBSTITUTE(PROPERTIES[[#This Row],[PURCHASECOST_VALUE]], "PURCHASECOST_", ""), "_VALUE", "")</f>
        <v>DIESELENGINE</v>
      </c>
      <c r="AE235" s="9" t="str" cm="1">
        <f t="array" ref="AE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5" s="2" t="b">
        <v>0</v>
      </c>
      <c r="AX235"/>
      <c r="AY235"/>
      <c r="AZ235"/>
    </row>
    <row r="236" spans="1:52">
      <c r="A236" s="2" t="s">
        <v>258</v>
      </c>
      <c r="B236">
        <v>1928</v>
      </c>
      <c r="C236">
        <v>0</v>
      </c>
      <c r="D236" t="s">
        <v>1798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 s="2" t="s">
        <v>19</v>
      </c>
      <c r="K236" s="39">
        <f>_xlfn.XLOOKUP("LOADINGSPEEDDEF_"&amp;PROPERTIES[[#This Row],[LOADINGSPEED]],LOADINGSPEEDDEF[TYPE],LOADINGSPEEDDEF[SPEED])</f>
        <v>0</v>
      </c>
      <c r="L236">
        <v>45</v>
      </c>
      <c r="M236">
        <v>1</v>
      </c>
      <c r="N236" s="33">
        <v>335</v>
      </c>
      <c r="O236">
        <v>2660</v>
      </c>
      <c r="P236">
        <v>112</v>
      </c>
      <c r="Q236" s="30">
        <v>213.5</v>
      </c>
      <c r="R236" s="29">
        <f>IFERROR(PROPERTIES[[#This Row],[TE_STARTING_KN]]/(PROPERTIES[[#This Row],[WEIGHT]]*9.81),0)</f>
        <v>6.4965691420572971E-2</v>
      </c>
      <c r="S236" s="29">
        <v>0.11</v>
      </c>
      <c r="T236" s="26">
        <f>ROUND(IF(IFERROR(PROPERTIES[[#This Row],[TE_COEFFICIENT_CALC]],0)=0,PROPERTIES[[#This Row],[TE_COEFFICIENT_MANUAL]],PROPERTIES[[#This Row],[TE_COEFFICIENT_CALC]]),3)</f>
        <v>6.5000000000000002E-2</v>
      </c>
      <c r="U236" s="11">
        <v>40</v>
      </c>
      <c r="V236" s="9">
        <v>0</v>
      </c>
      <c r="W236" s="9">
        <v>7</v>
      </c>
      <c r="X236" s="10">
        <v>0</v>
      </c>
      <c r="Y236" t="s">
        <v>909</v>
      </c>
      <c r="Z236" t="s">
        <v>903</v>
      </c>
      <c r="AA236" s="2" t="s">
        <v>921</v>
      </c>
      <c r="AB236" s="9" t="s">
        <v>991</v>
      </c>
      <c r="AC236" s="9" t="s">
        <v>992</v>
      </c>
      <c r="AD236" s="10" t="str">
        <f>SUBSTITUTE(SUBSTITUTE(PROPERTIES[[#This Row],[PURCHASECOST_VALUE]], "PURCHASECOST_", ""), "_VALUE", "")</f>
        <v>DIESELENGINE</v>
      </c>
      <c r="AE236" s="9" t="str" cm="1">
        <f t="array" ref="AE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6" s="2" t="b">
        <v>0</v>
      </c>
      <c r="AX236"/>
      <c r="AY236"/>
      <c r="AZ236"/>
    </row>
    <row r="237" spans="1:52">
      <c r="A237" s="2" t="s">
        <v>259</v>
      </c>
      <c r="B237">
        <v>1932</v>
      </c>
      <c r="C237">
        <v>0</v>
      </c>
      <c r="D237" t="s">
        <v>1836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 s="2" t="s">
        <v>19</v>
      </c>
      <c r="K237" s="39">
        <f>_xlfn.XLOOKUP("LOADINGSPEEDDEF_"&amp;PROPERTIES[[#This Row],[LOADINGSPEED]],LOADINGSPEEDDEF[TYPE],LOADINGSPEEDDEF[SPEED])</f>
        <v>0</v>
      </c>
      <c r="L237">
        <v>45</v>
      </c>
      <c r="M237">
        <v>0</v>
      </c>
      <c r="N237" s="33">
        <v>22</v>
      </c>
      <c r="O237">
        <v>150</v>
      </c>
      <c r="P237">
        <v>48</v>
      </c>
      <c r="Q237" s="30">
        <v>46.8</v>
      </c>
      <c r="R237" s="29">
        <f>IFERROR(PROPERTIES[[#This Row],[TE_STARTING_KN]]/(PROPERTIES[[#This Row],[WEIGHT]]*9.81),0)</f>
        <v>0.21684737281067554</v>
      </c>
      <c r="S237" s="29">
        <v>0.21</v>
      </c>
      <c r="T237" s="26">
        <f>ROUND(IF(IFERROR(PROPERTIES[[#This Row],[TE_COEFFICIENT_CALC]],0)=0,PROPERTIES[[#This Row],[TE_COEFFICIENT_MANUAL]],PROPERTIES[[#This Row],[TE_COEFFICIENT_CALC]]),3)</f>
        <v>0.217</v>
      </c>
      <c r="U237" s="11">
        <v>40</v>
      </c>
      <c r="V237" s="9">
        <v>0</v>
      </c>
      <c r="W237" s="9">
        <v>0</v>
      </c>
      <c r="X237" s="10">
        <v>0</v>
      </c>
      <c r="Y237" t="s">
        <v>908</v>
      </c>
      <c r="Z237" t="s">
        <v>903</v>
      </c>
      <c r="AA237" s="2" t="s">
        <v>921</v>
      </c>
      <c r="AB237" s="9" t="s">
        <v>991</v>
      </c>
      <c r="AC237" s="9" t="s">
        <v>992</v>
      </c>
      <c r="AD237" s="10" t="str">
        <f>SUBSTITUTE(SUBSTITUTE(PROPERTIES[[#This Row],[PURCHASECOST_VALUE]], "PURCHASECOST_", ""), "_VALUE", "")</f>
        <v>DIESELENGINE</v>
      </c>
      <c r="AE237" s="9" t="str" cm="1">
        <f t="array" ref="AE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37" s="2" t="b">
        <v>0</v>
      </c>
      <c r="AX237"/>
      <c r="AY237"/>
      <c r="AZ237"/>
    </row>
    <row r="238" spans="1:52">
      <c r="A238" s="2" t="s">
        <v>260</v>
      </c>
      <c r="B238">
        <v>1937</v>
      </c>
      <c r="C238">
        <v>0</v>
      </c>
      <c r="D238" t="s">
        <v>1992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 s="2" t="s">
        <v>19</v>
      </c>
      <c r="K238" s="39">
        <f>_xlfn.XLOOKUP("LOADINGSPEEDDEF_"&amp;PROPERTIES[[#This Row],[LOADINGSPEED]],LOADINGSPEEDDEF[TYPE],LOADINGSPEEDDEF[SPEED])</f>
        <v>0</v>
      </c>
      <c r="L238">
        <v>45</v>
      </c>
      <c r="M238">
        <v>1</v>
      </c>
      <c r="N238" s="33">
        <v>98</v>
      </c>
      <c r="O238">
        <v>1200</v>
      </c>
      <c r="P238">
        <v>180</v>
      </c>
      <c r="Q238" s="30">
        <v>125</v>
      </c>
      <c r="R238" s="29">
        <f>IFERROR(PROPERTIES[[#This Row],[TE_STARTING_KN]]/(PROPERTIES[[#This Row],[WEIGHT]]*9.81),0)</f>
        <v>0.13002142753125714</v>
      </c>
      <c r="S238" s="29">
        <v>0.12</v>
      </c>
      <c r="T238" s="26">
        <f>ROUND(IF(IFERROR(PROPERTIES[[#This Row],[TE_COEFFICIENT_CALC]],0)=0,PROPERTIES[[#This Row],[TE_COEFFICIENT_MANUAL]],PROPERTIES[[#This Row],[TE_COEFFICIENT_CALC]]),3)</f>
        <v>0.13</v>
      </c>
      <c r="U238" s="11">
        <v>40</v>
      </c>
      <c r="V238" s="9">
        <v>0</v>
      </c>
      <c r="W238" s="9">
        <v>0</v>
      </c>
      <c r="X238" s="10">
        <v>0</v>
      </c>
      <c r="Y238" t="s">
        <v>909</v>
      </c>
      <c r="Z238" t="s">
        <v>903</v>
      </c>
      <c r="AA238" s="2" t="s">
        <v>921</v>
      </c>
      <c r="AB238" s="9" t="s">
        <v>991</v>
      </c>
      <c r="AC238" s="9" t="s">
        <v>992</v>
      </c>
      <c r="AD238" s="10" t="str">
        <f>SUBSTITUTE(SUBSTITUTE(PROPERTIES[[#This Row],[PURCHASECOST_VALUE]], "PURCHASECOST_", ""), "_VALUE", "")</f>
        <v>DIESELENGINE</v>
      </c>
      <c r="AE238" s="9" t="str" cm="1">
        <f t="array" ref="AE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38" s="2" t="b">
        <v>0</v>
      </c>
      <c r="AX238"/>
      <c r="AY238"/>
      <c r="AZ238"/>
    </row>
    <row r="239" spans="1:52">
      <c r="A239" s="2" t="s">
        <v>261</v>
      </c>
      <c r="B239">
        <v>1939</v>
      </c>
      <c r="C239">
        <v>0</v>
      </c>
      <c r="D239" t="s">
        <v>1992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 s="2" t="s">
        <v>19</v>
      </c>
      <c r="K239" s="39">
        <f>_xlfn.XLOOKUP("LOADINGSPEEDDEF_"&amp;PROPERTIES[[#This Row],[LOADINGSPEED]],LOADINGSPEEDDEF[TYPE],LOADINGSPEEDDEF[SPEED])</f>
        <v>0</v>
      </c>
      <c r="L239">
        <v>45</v>
      </c>
      <c r="M239">
        <v>1</v>
      </c>
      <c r="N239" s="33">
        <v>92</v>
      </c>
      <c r="O239">
        <v>660</v>
      </c>
      <c r="P239">
        <v>64</v>
      </c>
      <c r="Q239" s="30">
        <v>226.84</v>
      </c>
      <c r="R239" s="29">
        <f>IFERROR(PROPERTIES[[#This Row],[TE_STARTING_KN]]/(PROPERTIES[[#This Row],[WEIGHT]]*9.81),0)</f>
        <v>0.2513406905110136</v>
      </c>
      <c r="S239" s="29">
        <v>0.24</v>
      </c>
      <c r="T239" s="26">
        <f>ROUND(IF(IFERROR(PROPERTIES[[#This Row],[TE_COEFFICIENT_CALC]],0)=0,PROPERTIES[[#This Row],[TE_COEFFICIENT_MANUAL]],PROPERTIES[[#This Row],[TE_COEFFICIENT_CALC]]),3)</f>
        <v>0.251</v>
      </c>
      <c r="U239" s="11">
        <v>40</v>
      </c>
      <c r="V239" s="9">
        <v>0</v>
      </c>
      <c r="W239" s="9">
        <v>0</v>
      </c>
      <c r="X239" s="10">
        <v>0</v>
      </c>
      <c r="Y239" t="s">
        <v>909</v>
      </c>
      <c r="Z239" t="s">
        <v>903</v>
      </c>
      <c r="AA239" s="2" t="s">
        <v>921</v>
      </c>
      <c r="AB239" s="9" t="s">
        <v>991</v>
      </c>
      <c r="AC239" s="9" t="s">
        <v>992</v>
      </c>
      <c r="AD239" s="10" t="str">
        <f>SUBSTITUTE(SUBSTITUTE(PROPERTIES[[#This Row],[PURCHASECOST_VALUE]], "PURCHASECOST_", ""), "_VALUE", "")</f>
        <v>DIESELENGINE</v>
      </c>
      <c r="AE239" s="9" t="str" cm="1">
        <f t="array" ref="AE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9" s="2" t="b">
        <v>0</v>
      </c>
      <c r="AX239"/>
      <c r="AY239"/>
      <c r="AZ239"/>
    </row>
    <row r="240" spans="1:52">
      <c r="A240" s="2" t="s">
        <v>262</v>
      </c>
      <c r="B240">
        <v>1939</v>
      </c>
      <c r="C240">
        <v>0</v>
      </c>
      <c r="D240" t="s">
        <v>1836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 s="2" t="s">
        <v>19</v>
      </c>
      <c r="K240" s="39">
        <f>_xlfn.XLOOKUP("LOADINGSPEEDDEF_"&amp;PROPERTIES[[#This Row],[LOADINGSPEED]],LOADINGSPEEDDEF[TYPE],LOADINGSPEEDDEF[SPEED])</f>
        <v>0</v>
      </c>
      <c r="L240">
        <v>45</v>
      </c>
      <c r="M240">
        <v>0</v>
      </c>
      <c r="N240" s="33">
        <v>55</v>
      </c>
      <c r="O240">
        <v>350</v>
      </c>
      <c r="P240">
        <v>32</v>
      </c>
      <c r="Q240" s="30">
        <v>160</v>
      </c>
      <c r="R240" s="29">
        <f>IFERROR(PROPERTIES[[#This Row],[TE_STARTING_KN]]/(PROPERTIES[[#This Row],[WEIGHT]]*9.81),0)</f>
        <v>0.2965434158094708</v>
      </c>
      <c r="S240" s="29">
        <v>0.28999999999999998</v>
      </c>
      <c r="T240" s="26">
        <f>ROUND(IF(IFERROR(PROPERTIES[[#This Row],[TE_COEFFICIENT_CALC]],0)=0,PROPERTIES[[#This Row],[TE_COEFFICIENT_MANUAL]],PROPERTIES[[#This Row],[TE_COEFFICIENT_CALC]]),3)</f>
        <v>0.29699999999999999</v>
      </c>
      <c r="U240" s="11">
        <v>40</v>
      </c>
      <c r="V240" s="9">
        <v>0</v>
      </c>
      <c r="W240" s="9">
        <v>0</v>
      </c>
      <c r="X240" s="10">
        <v>0</v>
      </c>
      <c r="Y240" t="s">
        <v>908</v>
      </c>
      <c r="Z240" t="s">
        <v>903</v>
      </c>
      <c r="AA240" s="2" t="s">
        <v>921</v>
      </c>
      <c r="AB240" s="9" t="s">
        <v>991</v>
      </c>
      <c r="AC240" s="9" t="s">
        <v>992</v>
      </c>
      <c r="AD240" s="10" t="str">
        <f>SUBSTITUTE(SUBSTITUTE(PROPERTIES[[#This Row],[PURCHASECOST_VALUE]], "PURCHASECOST_", ""), "_VALUE", "")</f>
        <v>DIESELENGINE</v>
      </c>
      <c r="AE240" s="9" t="str" cm="1">
        <f t="array" ref="AE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40" s="2" t="b">
        <v>0</v>
      </c>
      <c r="AX240"/>
      <c r="AY240"/>
      <c r="AZ240"/>
    </row>
    <row r="241" spans="1:52">
      <c r="A241" s="2" t="s">
        <v>263</v>
      </c>
      <c r="B241">
        <v>1939</v>
      </c>
      <c r="C241">
        <v>0</v>
      </c>
      <c r="D241" t="s">
        <v>1773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 s="2" t="s">
        <v>19</v>
      </c>
      <c r="K241" s="39">
        <f>_xlfn.XLOOKUP("LOADINGSPEEDDEF_"&amp;PROPERTIES[[#This Row],[LOADINGSPEED]],LOADINGSPEEDDEF[TYPE],LOADINGSPEEDDEF[SPEED])</f>
        <v>0</v>
      </c>
      <c r="L241">
        <v>45</v>
      </c>
      <c r="M241">
        <v>1</v>
      </c>
      <c r="N241" s="33">
        <v>18</v>
      </c>
      <c r="O241">
        <v>150</v>
      </c>
      <c r="P241">
        <v>50</v>
      </c>
      <c r="Q241" s="30">
        <v>31</v>
      </c>
      <c r="R241" s="29">
        <f>IFERROR(PROPERTIES[[#This Row],[TE_STARTING_KN]]/(PROPERTIES[[#This Row],[WEIGHT]]*9.81),0)</f>
        <v>0.17555782081775964</v>
      </c>
      <c r="S241" s="29">
        <v>0.17</v>
      </c>
      <c r="T241" s="26">
        <f>ROUND(IF(IFERROR(PROPERTIES[[#This Row],[TE_COEFFICIENT_CALC]],0)=0,PROPERTIES[[#This Row],[TE_COEFFICIENT_MANUAL]],PROPERTIES[[#This Row],[TE_COEFFICIENT_CALC]]),3)</f>
        <v>0.17599999999999999</v>
      </c>
      <c r="U241" s="11">
        <v>40</v>
      </c>
      <c r="V241" s="9">
        <v>0</v>
      </c>
      <c r="W241" s="9">
        <v>0</v>
      </c>
      <c r="X241" s="10">
        <v>0</v>
      </c>
      <c r="Y241" t="s">
        <v>906</v>
      </c>
      <c r="Z241" t="s">
        <v>903</v>
      </c>
      <c r="AA241" s="2" t="s">
        <v>921</v>
      </c>
      <c r="AB241" s="9" t="s">
        <v>991</v>
      </c>
      <c r="AC241" s="9" t="s">
        <v>992</v>
      </c>
      <c r="AD241" s="10" t="str">
        <f>SUBSTITUTE(SUBSTITUTE(PROPERTIES[[#This Row],[PURCHASECOST_VALUE]], "PURCHASECOST_", ""), "_VALUE", "")</f>
        <v>DIESELENGINE</v>
      </c>
      <c r="AE241" s="9" t="str" cm="1">
        <f t="array" ref="AE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41" s="2" t="b">
        <v>0</v>
      </c>
      <c r="AX241"/>
      <c r="AY241"/>
      <c r="AZ241"/>
    </row>
    <row r="242" spans="1:52">
      <c r="A242" s="2" t="s">
        <v>264</v>
      </c>
      <c r="B242">
        <v>1944</v>
      </c>
      <c r="C242">
        <v>0</v>
      </c>
      <c r="D242" t="s">
        <v>1992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 s="2" t="s">
        <v>19</v>
      </c>
      <c r="K242" s="39">
        <f>_xlfn.XLOOKUP("LOADINGSPEEDDEF_"&amp;PROPERTIES[[#This Row],[LOADINGSPEED]],LOADINGSPEEDDEF[TYPE],LOADINGSPEEDDEF[SPEED])</f>
        <v>0</v>
      </c>
      <c r="L242">
        <v>45</v>
      </c>
      <c r="M242">
        <v>1</v>
      </c>
      <c r="N242" s="33">
        <v>109</v>
      </c>
      <c r="O242">
        <v>1000</v>
      </c>
      <c r="P242">
        <v>97</v>
      </c>
      <c r="Q242" s="30">
        <v>179.9</v>
      </c>
      <c r="R242" s="29">
        <f>IFERROR(PROPERTIES[[#This Row],[TE_STARTING_KN]]/(PROPERTIES[[#This Row],[WEIGHT]]*9.81),0)</f>
        <v>0.16824247865406017</v>
      </c>
      <c r="S242" s="29">
        <v>0.17</v>
      </c>
      <c r="T242" s="26">
        <f>ROUND(IF(IFERROR(PROPERTIES[[#This Row],[TE_COEFFICIENT_CALC]],0)=0,PROPERTIES[[#This Row],[TE_COEFFICIENT_MANUAL]],PROPERTIES[[#This Row],[TE_COEFFICIENT_CALC]]),3)</f>
        <v>0.16800000000000001</v>
      </c>
      <c r="U242" s="11">
        <v>40</v>
      </c>
      <c r="V242" s="9">
        <v>0</v>
      </c>
      <c r="W242" s="9">
        <v>0</v>
      </c>
      <c r="X242" s="10">
        <v>0</v>
      </c>
      <c r="Y242" t="s">
        <v>909</v>
      </c>
      <c r="Z242" t="s">
        <v>903</v>
      </c>
      <c r="AA242" s="2" t="s">
        <v>921</v>
      </c>
      <c r="AB242" s="9" t="s">
        <v>991</v>
      </c>
      <c r="AC242" s="9" t="s">
        <v>992</v>
      </c>
      <c r="AD242" s="10" t="str">
        <f>SUBSTITUTE(SUBSTITUTE(PROPERTIES[[#This Row],[PURCHASECOST_VALUE]], "PURCHASECOST_", ""), "_VALUE", "")</f>
        <v>DIESELENGINE</v>
      </c>
      <c r="AE242" s="9" t="str" cm="1">
        <f t="array" ref="AE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2" s="2" t="b">
        <v>0</v>
      </c>
      <c r="AX242"/>
      <c r="AY242"/>
      <c r="AZ242"/>
    </row>
    <row r="243" spans="1:52">
      <c r="A243" s="2" t="s">
        <v>265</v>
      </c>
      <c r="B243">
        <v>1948</v>
      </c>
      <c r="C243">
        <v>0</v>
      </c>
      <c r="D243" t="s">
        <v>1822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 s="2" t="s">
        <v>19</v>
      </c>
      <c r="K243" s="39">
        <f>_xlfn.XLOOKUP("LOADINGSPEEDDEF_"&amp;PROPERTIES[[#This Row],[LOADINGSPEED]],LOADINGSPEEDDEF[TYPE],LOADINGSPEEDDEF[SPEED])</f>
        <v>0</v>
      </c>
      <c r="L243">
        <v>45</v>
      </c>
      <c r="M243">
        <v>1</v>
      </c>
      <c r="N243" s="33">
        <v>92</v>
      </c>
      <c r="O243">
        <v>1000</v>
      </c>
      <c r="P243">
        <v>80</v>
      </c>
      <c r="Q243" s="30">
        <v>0</v>
      </c>
      <c r="R243" s="29">
        <f>IFERROR(PROPERTIES[[#This Row],[TE_STARTING_KN]]/(PROPERTIES[[#This Row],[WEIGHT]]*9.81),0)</f>
        <v>0</v>
      </c>
      <c r="S243" s="29">
        <v>0.14000000000000001</v>
      </c>
      <c r="T243" s="26">
        <f>ROUND(IF(IFERROR(PROPERTIES[[#This Row],[TE_COEFFICIENT_CALC]],0)=0,PROPERTIES[[#This Row],[TE_COEFFICIENT_MANUAL]],PROPERTIES[[#This Row],[TE_COEFFICIENT_CALC]]),3)</f>
        <v>0.14000000000000001</v>
      </c>
      <c r="U243" s="11">
        <v>40</v>
      </c>
      <c r="V243" s="9">
        <v>0</v>
      </c>
      <c r="W243" s="9">
        <v>0</v>
      </c>
      <c r="X243" s="10">
        <v>0</v>
      </c>
      <c r="Y243" t="s">
        <v>907</v>
      </c>
      <c r="Z243" t="s">
        <v>903</v>
      </c>
      <c r="AA243" s="2" t="s">
        <v>921</v>
      </c>
      <c r="AB243" s="9" t="s">
        <v>991</v>
      </c>
      <c r="AC243" s="9" t="s">
        <v>992</v>
      </c>
      <c r="AD243" s="10" t="str">
        <f>SUBSTITUTE(SUBSTITUTE(PROPERTIES[[#This Row],[PURCHASECOST_VALUE]], "PURCHASECOST_", ""), "_VALUE", "")</f>
        <v>DIESELENGINE</v>
      </c>
      <c r="AE243" s="9" t="str" cm="1">
        <f t="array" ref="AE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3" s="2" t="b">
        <v>0</v>
      </c>
      <c r="AX243"/>
      <c r="AY243"/>
      <c r="AZ243"/>
    </row>
    <row r="244" spans="1:52">
      <c r="A244" s="2" t="s">
        <v>266</v>
      </c>
      <c r="B244">
        <v>1950</v>
      </c>
      <c r="C244">
        <v>0</v>
      </c>
      <c r="D244" t="s">
        <v>1861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 s="2" t="s">
        <v>19</v>
      </c>
      <c r="K244" s="39">
        <f>_xlfn.XLOOKUP("LOADINGSPEEDDEF_"&amp;PROPERTIES[[#This Row],[LOADINGSPEED]],LOADINGSPEEDDEF[TYPE],LOADINGSPEEDDEF[SPEED])</f>
        <v>0</v>
      </c>
      <c r="L244">
        <v>45</v>
      </c>
      <c r="M244">
        <v>0</v>
      </c>
      <c r="N244" s="33">
        <v>81</v>
      </c>
      <c r="O244">
        <v>915</v>
      </c>
      <c r="P244">
        <v>88</v>
      </c>
      <c r="Q244" s="30">
        <v>205</v>
      </c>
      <c r="R244" s="29">
        <f>IFERROR(PROPERTIES[[#This Row],[TE_STARTING_KN]]/(PROPERTIES[[#This Row],[WEIGHT]]*9.81),0)</f>
        <v>0.25798819546695861</v>
      </c>
      <c r="S244" s="29">
        <v>0.25</v>
      </c>
      <c r="T244" s="26">
        <f>ROUND(IF(IFERROR(PROPERTIES[[#This Row],[TE_COEFFICIENT_CALC]],0)=0,PROPERTIES[[#This Row],[TE_COEFFICIENT_MANUAL]],PROPERTIES[[#This Row],[TE_COEFFICIENT_CALC]]),3)</f>
        <v>0.25800000000000001</v>
      </c>
      <c r="U244" s="11">
        <v>40</v>
      </c>
      <c r="V244" s="9">
        <v>0</v>
      </c>
      <c r="W244" s="9">
        <v>0</v>
      </c>
      <c r="X244" s="10">
        <v>0</v>
      </c>
      <c r="Y244" t="s">
        <v>908</v>
      </c>
      <c r="Z244" t="s">
        <v>903</v>
      </c>
      <c r="AA244" s="2" t="s">
        <v>921</v>
      </c>
      <c r="AB244" s="9" t="s">
        <v>991</v>
      </c>
      <c r="AC244" s="9" t="s">
        <v>992</v>
      </c>
      <c r="AD244" s="10" t="str">
        <f>SUBSTITUTE(SUBSTITUTE(PROPERTIES[[#This Row],[PURCHASECOST_VALUE]], "PURCHASECOST_", ""), "_VALUE", "")</f>
        <v>DIESELENGINE</v>
      </c>
      <c r="AE244" s="9" t="str" cm="1">
        <f t="array" ref="AE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4" s="2" t="b">
        <v>0</v>
      </c>
      <c r="AX244"/>
      <c r="AY244"/>
      <c r="AZ244"/>
    </row>
    <row r="245" spans="1:52">
      <c r="A245" s="2" t="s">
        <v>267</v>
      </c>
      <c r="B245">
        <v>1950</v>
      </c>
      <c r="C245">
        <v>0</v>
      </c>
      <c r="D245" t="s">
        <v>1791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 s="2" t="s">
        <v>19</v>
      </c>
      <c r="K245" s="39">
        <f>_xlfn.XLOOKUP("LOADINGSPEEDDEF_"&amp;PROPERTIES[[#This Row],[LOADINGSPEED]],LOADINGSPEEDDEF[TYPE],LOADINGSPEEDDEF[SPEED])</f>
        <v>0</v>
      </c>
      <c r="L245">
        <v>45</v>
      </c>
      <c r="M245">
        <v>1</v>
      </c>
      <c r="N245" s="33">
        <v>148</v>
      </c>
      <c r="O245">
        <v>1600</v>
      </c>
      <c r="P245">
        <v>100</v>
      </c>
      <c r="Q245" s="30">
        <v>434</v>
      </c>
      <c r="R245" s="29">
        <f>IFERROR(PROPERTIES[[#This Row],[TE_STARTING_KN]]/(PROPERTIES[[#This Row],[WEIGHT]]*9.81),0)</f>
        <v>0.29892277598699613</v>
      </c>
      <c r="S245" s="29">
        <v>0.24</v>
      </c>
      <c r="T245" s="26">
        <f>ROUND(IF(IFERROR(PROPERTIES[[#This Row],[TE_COEFFICIENT_CALC]],0)=0,PROPERTIES[[#This Row],[TE_COEFFICIENT_MANUAL]],PROPERTIES[[#This Row],[TE_COEFFICIENT_CALC]]),3)</f>
        <v>0.29899999999999999</v>
      </c>
      <c r="U245" s="11">
        <v>40</v>
      </c>
      <c r="V245" s="9">
        <v>0</v>
      </c>
      <c r="W245" s="9">
        <v>0</v>
      </c>
      <c r="X245" s="10">
        <v>0</v>
      </c>
      <c r="Y245" t="s">
        <v>911</v>
      </c>
      <c r="Z245" t="s">
        <v>903</v>
      </c>
      <c r="AA245" s="2" t="s">
        <v>921</v>
      </c>
      <c r="AB245" s="9" t="s">
        <v>991</v>
      </c>
      <c r="AC245" s="9" t="s">
        <v>992</v>
      </c>
      <c r="AD245" s="10" t="str">
        <f>SUBSTITUTE(SUBSTITUTE(PROPERTIES[[#This Row],[PURCHASECOST_VALUE]], "PURCHASECOST_", ""), "_VALUE", "")</f>
        <v>DIESELENGINE</v>
      </c>
      <c r="AE245" s="9" t="str" cm="1">
        <f t="array" ref="AE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45" s="2" t="b">
        <v>0</v>
      </c>
      <c r="AX245"/>
      <c r="AY245"/>
      <c r="AZ245"/>
    </row>
    <row r="246" spans="1:52">
      <c r="A246" s="2" t="s">
        <v>268</v>
      </c>
      <c r="B246">
        <v>1950</v>
      </c>
      <c r="C246">
        <v>0</v>
      </c>
      <c r="D246" t="s">
        <v>1916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 s="2" t="s">
        <v>19</v>
      </c>
      <c r="K246" s="39">
        <f>_xlfn.XLOOKUP("LOADINGSPEEDDEF_"&amp;PROPERTIES[[#This Row],[LOADINGSPEED]],LOADINGSPEEDDEF[TYPE],LOADINGSPEEDDEF[SPEED])</f>
        <v>0</v>
      </c>
      <c r="L246">
        <v>45</v>
      </c>
      <c r="M246">
        <v>1</v>
      </c>
      <c r="N246" s="33">
        <v>113</v>
      </c>
      <c r="O246">
        <v>1600</v>
      </c>
      <c r="P246">
        <v>105</v>
      </c>
      <c r="Q246" s="30">
        <v>187.4</v>
      </c>
      <c r="R246" s="29">
        <f>IFERROR(PROPERTIES[[#This Row],[TE_STARTING_KN]]/(PROPERTIES[[#This Row],[WEIGHT]]*9.81),0)</f>
        <v>0.16905270944403852</v>
      </c>
      <c r="S246" s="29">
        <v>0.17</v>
      </c>
      <c r="T246" s="26">
        <f>ROUND(IF(IFERROR(PROPERTIES[[#This Row],[TE_COEFFICIENT_CALC]],0)=0,PROPERTIES[[#This Row],[TE_COEFFICIENT_MANUAL]],PROPERTIES[[#This Row],[TE_COEFFICIENT_CALC]]),3)</f>
        <v>0.16900000000000001</v>
      </c>
      <c r="U246" s="11">
        <v>40</v>
      </c>
      <c r="V246" s="9">
        <v>0</v>
      </c>
      <c r="W246" s="9">
        <v>0</v>
      </c>
      <c r="X246" s="10">
        <v>0</v>
      </c>
      <c r="Y246" t="s">
        <v>909</v>
      </c>
      <c r="Z246" t="s">
        <v>903</v>
      </c>
      <c r="AA246" s="2" t="s">
        <v>921</v>
      </c>
      <c r="AB246" s="9" t="s">
        <v>991</v>
      </c>
      <c r="AC246" s="9" t="s">
        <v>992</v>
      </c>
      <c r="AD246" s="10" t="str">
        <f>SUBSTITUTE(SUBSTITUTE(PROPERTIES[[#This Row],[PURCHASECOST_VALUE]], "PURCHASECOST_", ""), "_VALUE", "")</f>
        <v>DIESELENGINE</v>
      </c>
      <c r="AE246" s="9" t="str" cm="1">
        <f t="array" ref="AE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6" s="2" t="b">
        <v>0</v>
      </c>
      <c r="AX246"/>
      <c r="AY246"/>
      <c r="AZ246"/>
    </row>
    <row r="247" spans="1:52">
      <c r="A247" s="2" t="s">
        <v>269</v>
      </c>
      <c r="B247">
        <v>1951</v>
      </c>
      <c r="C247">
        <v>0</v>
      </c>
      <c r="D247" t="s">
        <v>1773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 s="2" t="s">
        <v>19</v>
      </c>
      <c r="K247" s="39">
        <f>_xlfn.XLOOKUP("LOADINGSPEEDDEF_"&amp;PROPERTIES[[#This Row],[LOADINGSPEED]],LOADINGSPEEDDEF[TYPE],LOADINGSPEEDDEF[SPEED])</f>
        <v>0</v>
      </c>
      <c r="L247">
        <v>45</v>
      </c>
      <c r="M247">
        <v>1</v>
      </c>
      <c r="N247" s="33">
        <v>121</v>
      </c>
      <c r="O247">
        <v>1590</v>
      </c>
      <c r="P247">
        <v>121</v>
      </c>
      <c r="Q247" s="30">
        <v>249.1</v>
      </c>
      <c r="R247" s="29">
        <f>IFERROR(PROPERTIES[[#This Row],[TE_STARTING_KN]]/(PROPERTIES[[#This Row],[WEIGHT]]*9.81),0)</f>
        <v>0.20985501385834998</v>
      </c>
      <c r="S247" s="29">
        <v>0.12</v>
      </c>
      <c r="T247" s="26">
        <f>ROUND(IF(IFERROR(PROPERTIES[[#This Row],[TE_COEFFICIENT_CALC]],0)=0,PROPERTIES[[#This Row],[TE_COEFFICIENT_MANUAL]],PROPERTIES[[#This Row],[TE_COEFFICIENT_CALC]]),3)</f>
        <v>0.21</v>
      </c>
      <c r="U247" s="11">
        <v>40</v>
      </c>
      <c r="V247" s="9">
        <v>0</v>
      </c>
      <c r="W247" s="9">
        <v>0</v>
      </c>
      <c r="X247" s="10">
        <v>0</v>
      </c>
      <c r="Y247" t="s">
        <v>906</v>
      </c>
      <c r="Z247" t="s">
        <v>903</v>
      </c>
      <c r="AA247" s="2" t="s">
        <v>921</v>
      </c>
      <c r="AB247" s="9" t="s">
        <v>991</v>
      </c>
      <c r="AC247" s="9" t="s">
        <v>992</v>
      </c>
      <c r="AD247" s="10" t="str">
        <f>SUBSTITUTE(SUBSTITUTE(PROPERTIES[[#This Row],[PURCHASECOST_VALUE]], "PURCHASECOST_", ""), "_VALUE", "")</f>
        <v>DIESELENGINE</v>
      </c>
      <c r="AE247" s="9" t="str" cm="1">
        <f t="array" ref="AE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7" s="2" t="b">
        <v>0</v>
      </c>
      <c r="AX247"/>
      <c r="AY247"/>
      <c r="AZ247"/>
    </row>
    <row r="248" spans="1:52">
      <c r="A248" s="2" t="s">
        <v>270</v>
      </c>
      <c r="B248">
        <v>1954</v>
      </c>
      <c r="C248">
        <v>0</v>
      </c>
      <c r="D248" t="s">
        <v>1889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 s="2" t="s">
        <v>19</v>
      </c>
      <c r="K248" s="39">
        <f>_xlfn.XLOOKUP("LOADINGSPEEDDEF_"&amp;PROPERTIES[[#This Row],[LOADINGSPEED]],LOADINGSPEEDDEF[TYPE],LOADINGSPEEDDEF[SPEED])</f>
        <v>0</v>
      </c>
      <c r="L248">
        <v>45</v>
      </c>
      <c r="M248">
        <v>1</v>
      </c>
      <c r="N248" s="33">
        <v>79</v>
      </c>
      <c r="O248">
        <v>1425</v>
      </c>
      <c r="P248">
        <v>112</v>
      </c>
      <c r="Q248" s="30">
        <v>0</v>
      </c>
      <c r="R248" s="29">
        <f>IFERROR(PROPERTIES[[#This Row],[TE_STARTING_KN]]/(PROPERTIES[[#This Row],[WEIGHT]]*9.81),0)</f>
        <v>0</v>
      </c>
      <c r="S248" s="29">
        <v>0.24</v>
      </c>
      <c r="T248" s="26">
        <f>ROUND(IF(IFERROR(PROPERTIES[[#This Row],[TE_COEFFICIENT_CALC]],0)=0,PROPERTIES[[#This Row],[TE_COEFFICIENT_MANUAL]],PROPERTIES[[#This Row],[TE_COEFFICIENT_CALC]]),3)</f>
        <v>0.24</v>
      </c>
      <c r="U248" s="11">
        <v>40</v>
      </c>
      <c r="V248" s="9">
        <v>0</v>
      </c>
      <c r="W248" s="9">
        <v>0</v>
      </c>
      <c r="X248" s="10">
        <v>0</v>
      </c>
      <c r="Y248" t="s">
        <v>912</v>
      </c>
      <c r="Z248" t="s">
        <v>903</v>
      </c>
      <c r="AA248" s="2" t="s">
        <v>921</v>
      </c>
      <c r="AB248" s="9" t="s">
        <v>991</v>
      </c>
      <c r="AC248" s="9" t="s">
        <v>992</v>
      </c>
      <c r="AD248" s="10" t="str">
        <f>SUBSTITUTE(SUBSTITUTE(PROPERTIES[[#This Row],[PURCHASECOST_VALUE]], "PURCHASECOST_", ""), "_VALUE", "")</f>
        <v>DIESELENGINE</v>
      </c>
      <c r="AE248" s="9" t="str" cm="1">
        <f t="array" ref="AE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8" s="2" t="b">
        <v>0</v>
      </c>
      <c r="AX248"/>
      <c r="AY248"/>
      <c r="AZ248"/>
    </row>
    <row r="249" spans="1:52">
      <c r="A249" s="2" t="s">
        <v>271</v>
      </c>
      <c r="B249">
        <v>1955</v>
      </c>
      <c r="C249">
        <v>0</v>
      </c>
      <c r="D249" t="s">
        <v>1861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 s="2" t="s">
        <v>19</v>
      </c>
      <c r="K249" s="39">
        <f>_xlfn.XLOOKUP("LOADINGSPEEDDEF_"&amp;PROPERTIES[[#This Row],[LOADINGSPEED]],LOADINGSPEEDDEF[TYPE],LOADINGSPEEDDEF[SPEED])</f>
        <v>0</v>
      </c>
      <c r="L249">
        <v>45</v>
      </c>
      <c r="M249">
        <v>0</v>
      </c>
      <c r="N249" s="33">
        <v>82</v>
      </c>
      <c r="O249">
        <v>1325</v>
      </c>
      <c r="P249">
        <v>120</v>
      </c>
      <c r="Q249" s="30">
        <v>275</v>
      </c>
      <c r="R249" s="29">
        <f>IFERROR(PROPERTIES[[#This Row],[TE_STARTING_KN]]/(PROPERTIES[[#This Row],[WEIGHT]]*9.81),0)</f>
        <v>0.34186121677730535</v>
      </c>
      <c r="S249" s="29">
        <v>0.33</v>
      </c>
      <c r="T249" s="26">
        <f>ROUND(IF(IFERROR(PROPERTIES[[#This Row],[TE_COEFFICIENT_CALC]],0)=0,PROPERTIES[[#This Row],[TE_COEFFICIENT_MANUAL]],PROPERTIES[[#This Row],[TE_COEFFICIENT_CALC]]),3)</f>
        <v>0.34200000000000003</v>
      </c>
      <c r="U249" s="11">
        <v>40</v>
      </c>
      <c r="V249" s="9">
        <v>0</v>
      </c>
      <c r="W249" s="9">
        <v>0</v>
      </c>
      <c r="X249" s="10">
        <v>0</v>
      </c>
      <c r="Y249" t="s">
        <v>908</v>
      </c>
      <c r="Z249" t="s">
        <v>903</v>
      </c>
      <c r="AA249" s="2" t="s">
        <v>921</v>
      </c>
      <c r="AB249" s="9" t="s">
        <v>991</v>
      </c>
      <c r="AC249" s="9" t="s">
        <v>992</v>
      </c>
      <c r="AD249" s="10" t="str">
        <f>SUBSTITUTE(SUBSTITUTE(PROPERTIES[[#This Row],[PURCHASECOST_VALUE]], "PURCHASECOST_", ""), "_VALUE", "")</f>
        <v>DIESELENGINE</v>
      </c>
      <c r="AE249" s="9" t="str" cm="1">
        <f t="array" ref="AE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9" s="2" t="b">
        <v>0</v>
      </c>
      <c r="AX249"/>
      <c r="AY249"/>
      <c r="AZ249"/>
    </row>
    <row r="250" spans="1:52">
      <c r="A250" s="2" t="s">
        <v>272</v>
      </c>
      <c r="B250">
        <v>1957</v>
      </c>
      <c r="C250">
        <v>0</v>
      </c>
      <c r="D250" t="s">
        <v>1869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 s="2" t="s">
        <v>19</v>
      </c>
      <c r="K250" s="39">
        <f>_xlfn.XLOOKUP("LOADINGSPEEDDEF_"&amp;PROPERTIES[[#This Row],[LOADINGSPEED]],LOADINGSPEEDDEF[TYPE],LOADINGSPEEDDEF[SPEED])</f>
        <v>0</v>
      </c>
      <c r="L250">
        <v>45</v>
      </c>
      <c r="M250">
        <v>1</v>
      </c>
      <c r="N250" s="33">
        <v>67</v>
      </c>
      <c r="O250">
        <v>1380</v>
      </c>
      <c r="P250">
        <v>110</v>
      </c>
      <c r="Q250" s="30">
        <v>0</v>
      </c>
      <c r="R250" s="29">
        <f>IFERROR(PROPERTIES[[#This Row],[TE_STARTING_KN]]/(PROPERTIES[[#This Row],[WEIGHT]]*9.81),0)</f>
        <v>0</v>
      </c>
      <c r="S250" s="29">
        <v>0.26</v>
      </c>
      <c r="T250" s="26">
        <f>ROUND(IF(IFERROR(PROPERTIES[[#This Row],[TE_COEFFICIENT_CALC]],0)=0,PROPERTIES[[#This Row],[TE_COEFFICIENT_MANUAL]],PROPERTIES[[#This Row],[TE_COEFFICIENT_CALC]]),3)</f>
        <v>0.26</v>
      </c>
      <c r="U250" s="11">
        <v>40</v>
      </c>
      <c r="V250" s="9">
        <v>0</v>
      </c>
      <c r="W250" s="9">
        <v>0</v>
      </c>
      <c r="X250" s="10">
        <v>0</v>
      </c>
      <c r="Y250" t="s">
        <v>905</v>
      </c>
      <c r="Z250" t="s">
        <v>903</v>
      </c>
      <c r="AA250" s="2" t="s">
        <v>921</v>
      </c>
      <c r="AB250" s="9" t="s">
        <v>991</v>
      </c>
      <c r="AC250" s="9" t="s">
        <v>992</v>
      </c>
      <c r="AD250" s="10" t="str">
        <f>SUBSTITUTE(SUBSTITUTE(PROPERTIES[[#This Row],[PURCHASECOST_VALUE]], "PURCHASECOST_", ""), "_VALUE", "")</f>
        <v>DIESELENGINE</v>
      </c>
      <c r="AE250" s="9" t="str" cm="1">
        <f t="array" ref="AE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0" s="2" t="b">
        <v>0</v>
      </c>
      <c r="AX250"/>
      <c r="AY250"/>
      <c r="AZ250"/>
    </row>
    <row r="251" spans="1:52">
      <c r="A251" s="2" t="s">
        <v>273</v>
      </c>
      <c r="B251">
        <v>1957</v>
      </c>
      <c r="C251">
        <v>0</v>
      </c>
      <c r="D251" t="s">
        <v>1773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 s="2" t="s">
        <v>19</v>
      </c>
      <c r="K251" s="39">
        <f>_xlfn.XLOOKUP("LOADINGSPEEDDEF_"&amp;PROPERTIES[[#This Row],[LOADINGSPEED]],LOADINGSPEEDDEF[TYPE],LOADINGSPEEDDEF[SPEED])</f>
        <v>0</v>
      </c>
      <c r="L251">
        <v>45</v>
      </c>
      <c r="M251">
        <v>1</v>
      </c>
      <c r="N251" s="33">
        <v>112</v>
      </c>
      <c r="O251">
        <v>1950</v>
      </c>
      <c r="P251">
        <v>129</v>
      </c>
      <c r="Q251" s="30">
        <v>254</v>
      </c>
      <c r="R251" s="29">
        <f>IFERROR(PROPERTIES[[#This Row],[TE_STARTING_KN]]/(PROPERTIES[[#This Row],[WEIGHT]]*9.81),0)</f>
        <v>0.23117809815057522</v>
      </c>
      <c r="S251" s="29">
        <v>0.19</v>
      </c>
      <c r="T251" s="26">
        <f>ROUND(IF(IFERROR(PROPERTIES[[#This Row],[TE_COEFFICIENT_CALC]],0)=0,PROPERTIES[[#This Row],[TE_COEFFICIENT_MANUAL]],PROPERTIES[[#This Row],[TE_COEFFICIENT_CALC]]),3)</f>
        <v>0.23100000000000001</v>
      </c>
      <c r="U251" s="11">
        <v>40</v>
      </c>
      <c r="V251" s="9">
        <v>0</v>
      </c>
      <c r="W251" s="9">
        <v>0</v>
      </c>
      <c r="X251" s="10">
        <v>0</v>
      </c>
      <c r="Y251" t="s">
        <v>906</v>
      </c>
      <c r="Z251" t="s">
        <v>903</v>
      </c>
      <c r="AA251" s="2" t="s">
        <v>921</v>
      </c>
      <c r="AB251" s="9" t="s">
        <v>991</v>
      </c>
      <c r="AC251" s="9" t="s">
        <v>992</v>
      </c>
      <c r="AD251" s="10" t="str">
        <f>SUBSTITUTE(SUBSTITUTE(PROPERTIES[[#This Row],[PURCHASECOST_VALUE]], "PURCHASECOST_", ""), "_VALUE", "")</f>
        <v>DIESELENGINE</v>
      </c>
      <c r="AE251" s="9" t="str" cm="1">
        <f t="array" ref="AE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1" s="2" t="b">
        <v>0</v>
      </c>
      <c r="AX251"/>
      <c r="AY251"/>
      <c r="AZ251"/>
    </row>
    <row r="252" spans="1:52">
      <c r="A252" s="2" t="s">
        <v>274</v>
      </c>
      <c r="B252">
        <v>1959</v>
      </c>
      <c r="C252">
        <v>0</v>
      </c>
      <c r="D252" t="s">
        <v>2008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 s="2" t="s">
        <v>19</v>
      </c>
      <c r="K252" s="39">
        <f>_xlfn.XLOOKUP("LOADINGSPEEDDEF_"&amp;PROPERTIES[[#This Row],[LOADINGSPEED]],LOADINGSPEEDDEF[TYPE],LOADINGSPEEDDEF[SPEED])</f>
        <v>0</v>
      </c>
      <c r="L252">
        <v>45</v>
      </c>
      <c r="M252">
        <v>1</v>
      </c>
      <c r="N252" s="33">
        <v>76</v>
      </c>
      <c r="O252">
        <v>1316</v>
      </c>
      <c r="P252">
        <v>89</v>
      </c>
      <c r="Q252" s="30">
        <v>197.2</v>
      </c>
      <c r="R252" s="29">
        <f>IFERROR(PROPERTIES[[#This Row],[TE_STARTING_KN]]/(PROPERTIES[[#This Row],[WEIGHT]]*9.81),0)</f>
        <v>0.26449916841032239</v>
      </c>
      <c r="S252" s="29">
        <v>0.26</v>
      </c>
      <c r="T252" s="26">
        <f>ROUND(IF(IFERROR(PROPERTIES[[#This Row],[TE_COEFFICIENT_CALC]],0)=0,PROPERTIES[[#This Row],[TE_COEFFICIENT_MANUAL]],PROPERTIES[[#This Row],[TE_COEFFICIENT_CALC]]),3)</f>
        <v>0.26400000000000001</v>
      </c>
      <c r="U252" s="11">
        <v>40</v>
      </c>
      <c r="V252" s="9">
        <v>0</v>
      </c>
      <c r="W252" s="9">
        <v>0</v>
      </c>
      <c r="X252" s="10">
        <v>0</v>
      </c>
      <c r="Y252" t="s">
        <v>907</v>
      </c>
      <c r="Z252" t="s">
        <v>903</v>
      </c>
      <c r="AA252" s="2" t="s">
        <v>921</v>
      </c>
      <c r="AB252" s="9" t="s">
        <v>991</v>
      </c>
      <c r="AC252" s="9" t="s">
        <v>992</v>
      </c>
      <c r="AD252" s="10" t="str">
        <f>SUBSTITUTE(SUBSTITUTE(PROPERTIES[[#This Row],[PURCHASECOST_VALUE]], "PURCHASECOST_", ""), "_VALUE", "")</f>
        <v>DIESELENGINE</v>
      </c>
      <c r="AE252" s="9" t="str" cm="1">
        <f t="array" ref="AE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2" s="2" t="b">
        <v>0</v>
      </c>
      <c r="AX252"/>
      <c r="AY252"/>
      <c r="AZ252"/>
    </row>
    <row r="253" spans="1:52">
      <c r="A253" s="2" t="s">
        <v>275</v>
      </c>
      <c r="B253">
        <v>1960</v>
      </c>
      <c r="C253">
        <v>0</v>
      </c>
      <c r="D253" t="s">
        <v>1881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 s="2" t="s">
        <v>19</v>
      </c>
      <c r="K253" s="39">
        <f>_xlfn.XLOOKUP("LOADINGSPEEDDEF_"&amp;PROPERTIES[[#This Row],[LOADINGSPEED]],LOADINGSPEEDDEF[TYPE],LOADINGSPEEDDEF[SPEED])</f>
        <v>0</v>
      </c>
      <c r="L253">
        <v>45</v>
      </c>
      <c r="M253">
        <v>1</v>
      </c>
      <c r="N253" s="33">
        <v>177</v>
      </c>
      <c r="O253">
        <v>1800</v>
      </c>
      <c r="P253">
        <v>104</v>
      </c>
      <c r="Q253" s="30">
        <v>433</v>
      </c>
      <c r="R253" s="29">
        <f>IFERROR(PROPERTIES[[#This Row],[TE_STARTING_KN]]/(PROPERTIES[[#This Row],[WEIGHT]]*9.81),0)</f>
        <v>0.2493708138242425</v>
      </c>
      <c r="S253" s="29">
        <v>0.09</v>
      </c>
      <c r="T253" s="26">
        <f>ROUND(IF(IFERROR(PROPERTIES[[#This Row],[TE_COEFFICIENT_CALC]],0)=0,PROPERTIES[[#This Row],[TE_COEFFICIENT_MANUAL]],PROPERTIES[[#This Row],[TE_COEFFICIENT_CALC]]),3)</f>
        <v>0.249</v>
      </c>
      <c r="U253" s="11">
        <v>40</v>
      </c>
      <c r="V253" s="9">
        <v>0</v>
      </c>
      <c r="W253" s="9">
        <v>0</v>
      </c>
      <c r="X253" s="10">
        <v>0</v>
      </c>
      <c r="Y253" t="s">
        <v>912</v>
      </c>
      <c r="Z253" t="s">
        <v>903</v>
      </c>
      <c r="AA253" s="2" t="s">
        <v>921</v>
      </c>
      <c r="AB253" s="9" t="s">
        <v>991</v>
      </c>
      <c r="AC253" s="9" t="s">
        <v>992</v>
      </c>
      <c r="AD253" s="10" t="str">
        <f>SUBSTITUTE(SUBSTITUTE(PROPERTIES[[#This Row],[PURCHASECOST_VALUE]], "PURCHASECOST_", ""), "_VALUE", "")</f>
        <v>DIESELENGINE</v>
      </c>
      <c r="AE253" s="9" t="str" cm="1">
        <f t="array" ref="AE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3" s="2" t="b">
        <v>0</v>
      </c>
      <c r="AX253"/>
      <c r="AY253"/>
      <c r="AZ253"/>
    </row>
    <row r="254" spans="1:52">
      <c r="A254" s="2" t="s">
        <v>276</v>
      </c>
      <c r="B254">
        <v>1971</v>
      </c>
      <c r="C254">
        <v>0</v>
      </c>
      <c r="D254" t="s">
        <v>1869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 s="2" t="s">
        <v>19</v>
      </c>
      <c r="K254" s="39">
        <f>_xlfn.XLOOKUP("LOADINGSPEEDDEF_"&amp;PROPERTIES[[#This Row],[LOADINGSPEED]],LOADINGSPEEDDEF[TYPE],LOADINGSPEEDDEF[SPEED])</f>
        <v>0</v>
      </c>
      <c r="L254">
        <v>45</v>
      </c>
      <c r="M254">
        <v>1</v>
      </c>
      <c r="N254" s="33">
        <v>62</v>
      </c>
      <c r="O254">
        <v>1010</v>
      </c>
      <c r="P254">
        <v>130</v>
      </c>
      <c r="Q254" s="30">
        <v>0</v>
      </c>
      <c r="R254" s="29">
        <f>IFERROR(PROPERTIES[[#This Row],[TE_STARTING_KN]]/(PROPERTIES[[#This Row],[WEIGHT]]*9.81),0)</f>
        <v>0</v>
      </c>
      <c r="S254" s="29">
        <v>0.3</v>
      </c>
      <c r="T254" s="26">
        <f>ROUND(IF(IFERROR(PROPERTIES[[#This Row],[TE_COEFFICIENT_CALC]],0)=0,PROPERTIES[[#This Row],[TE_COEFFICIENT_MANUAL]],PROPERTIES[[#This Row],[TE_COEFFICIENT_CALC]]),3)</f>
        <v>0.3</v>
      </c>
      <c r="U254" s="11">
        <v>40</v>
      </c>
      <c r="V254" s="9">
        <v>0</v>
      </c>
      <c r="W254" s="9">
        <v>0</v>
      </c>
      <c r="X254" s="10">
        <v>0</v>
      </c>
      <c r="Y254" t="s">
        <v>905</v>
      </c>
      <c r="Z254" t="s">
        <v>903</v>
      </c>
      <c r="AA254" s="2" t="s">
        <v>921</v>
      </c>
      <c r="AB254" s="9" t="s">
        <v>991</v>
      </c>
      <c r="AC254" s="9" t="s">
        <v>992</v>
      </c>
      <c r="AD254" s="10" t="str">
        <f>SUBSTITUTE(SUBSTITUTE(PROPERTIES[[#This Row],[PURCHASECOST_VALUE]], "PURCHASECOST_", ""), "_VALUE", "")</f>
        <v>DIESELENGINE</v>
      </c>
      <c r="AE254" s="9" t="str" cm="1">
        <f t="array" ref="AE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4" s="2" t="b">
        <v>0</v>
      </c>
      <c r="AX254"/>
      <c r="AY254"/>
      <c r="AZ254"/>
    </row>
    <row r="255" spans="1:52">
      <c r="A255" s="2" t="s">
        <v>277</v>
      </c>
      <c r="B255">
        <v>1980</v>
      </c>
      <c r="C255">
        <v>0</v>
      </c>
      <c r="D255" t="s">
        <v>1926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 s="2" t="s">
        <v>19</v>
      </c>
      <c r="K255" s="39">
        <f>_xlfn.XLOOKUP("LOADINGSPEEDDEF_"&amp;PROPERTIES[[#This Row],[LOADINGSPEED]],LOADINGSPEEDDEF[TYPE],LOADINGSPEEDDEF[SPEED])</f>
        <v>0</v>
      </c>
      <c r="L255">
        <v>45</v>
      </c>
      <c r="M255">
        <v>1</v>
      </c>
      <c r="N255" s="33">
        <v>120</v>
      </c>
      <c r="O255">
        <v>3290</v>
      </c>
      <c r="P255">
        <v>140</v>
      </c>
      <c r="Q255" s="30">
        <v>360</v>
      </c>
      <c r="R255" s="29">
        <f>IFERROR(PROPERTIES[[#This Row],[TE_STARTING_KN]]/(PROPERTIES[[#This Row],[WEIGHT]]*9.81),0)</f>
        <v>0.3058103975535168</v>
      </c>
      <c r="S255" s="29">
        <v>0.32</v>
      </c>
      <c r="T255" s="26">
        <f>ROUND(IF(IFERROR(PROPERTIES[[#This Row],[TE_COEFFICIENT_CALC]],0)=0,PROPERTIES[[#This Row],[TE_COEFFICIENT_MANUAL]],PROPERTIES[[#This Row],[TE_COEFFICIENT_CALC]]),3)</f>
        <v>0.30599999999999999</v>
      </c>
      <c r="U255" s="11">
        <v>40</v>
      </c>
      <c r="V255" s="9">
        <v>0</v>
      </c>
      <c r="W255" s="9">
        <v>0</v>
      </c>
      <c r="X255" s="10">
        <v>0</v>
      </c>
      <c r="Y255" t="s">
        <v>908</v>
      </c>
      <c r="Z255" t="s">
        <v>903</v>
      </c>
      <c r="AA255" s="2" t="s">
        <v>921</v>
      </c>
      <c r="AB255" s="9" t="s">
        <v>991</v>
      </c>
      <c r="AC255" s="9" t="s">
        <v>992</v>
      </c>
      <c r="AD255" s="10" t="str">
        <f>SUBSTITUTE(SUBSTITUTE(PROPERTIES[[#This Row],[PURCHASECOST_VALUE]], "PURCHASECOST_", ""), "_VALUE", "")</f>
        <v>DIESELENGINE</v>
      </c>
      <c r="AE255" s="9" t="str" cm="1">
        <f t="array" ref="AE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5" s="2" t="b">
        <v>0</v>
      </c>
      <c r="AX255"/>
      <c r="AY255"/>
      <c r="AZ255"/>
    </row>
    <row r="256" spans="1:52">
      <c r="A256" s="2" t="s">
        <v>278</v>
      </c>
      <c r="B256">
        <v>1984</v>
      </c>
      <c r="C256">
        <v>0</v>
      </c>
      <c r="D256" t="s">
        <v>1808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 s="2" t="s">
        <v>19</v>
      </c>
      <c r="K256" s="39">
        <f>_xlfn.XLOOKUP("LOADINGSPEEDDEF_"&amp;PROPERTIES[[#This Row],[LOADINGSPEED]],LOADINGSPEEDDEF[TYPE],LOADINGSPEEDDEF[SPEED])</f>
        <v>0</v>
      </c>
      <c r="L256">
        <v>45</v>
      </c>
      <c r="M256">
        <v>1</v>
      </c>
      <c r="N256" s="33">
        <v>150</v>
      </c>
      <c r="O256">
        <v>4930</v>
      </c>
      <c r="P256">
        <v>100</v>
      </c>
      <c r="Q256" s="30">
        <v>480</v>
      </c>
      <c r="R256" s="29">
        <f>IFERROR(PROPERTIES[[#This Row],[TE_STARTING_KN]]/(PROPERTIES[[#This Row],[WEIGHT]]*9.81),0)</f>
        <v>0.32619775739041795</v>
      </c>
      <c r="S256" s="29">
        <v>0.35</v>
      </c>
      <c r="T256" s="26">
        <f>ROUND(IF(IFERROR(PROPERTIES[[#This Row],[TE_COEFFICIENT_CALC]],0)=0,PROPERTIES[[#This Row],[TE_COEFFICIENT_MANUAL]],PROPERTIES[[#This Row],[TE_COEFFICIENT_CALC]]),3)</f>
        <v>0.32600000000000001</v>
      </c>
      <c r="U256" s="11">
        <v>40</v>
      </c>
      <c r="V256" s="9">
        <v>0</v>
      </c>
      <c r="W256" s="9">
        <v>0</v>
      </c>
      <c r="X256" s="10">
        <v>0</v>
      </c>
      <c r="Y256" t="s">
        <v>912</v>
      </c>
      <c r="Z256" t="s">
        <v>903</v>
      </c>
      <c r="AA256" s="2" t="s">
        <v>921</v>
      </c>
      <c r="AB256" s="9" t="s">
        <v>991</v>
      </c>
      <c r="AC256" s="9" t="s">
        <v>992</v>
      </c>
      <c r="AD256" s="10" t="str">
        <f>SUBSTITUTE(SUBSTITUTE(PROPERTIES[[#This Row],[PURCHASECOST_VALUE]], "PURCHASECOST_", ""), "_VALUE", "")</f>
        <v>DIESELENGINE</v>
      </c>
      <c r="AE256" s="9" t="str" cm="1">
        <f t="array" ref="AE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6" s="2" t="b">
        <v>0</v>
      </c>
      <c r="AX256"/>
      <c r="AY256"/>
      <c r="AZ256"/>
    </row>
    <row r="257" spans="1:52">
      <c r="A257" s="2" t="s">
        <v>279</v>
      </c>
      <c r="B257">
        <v>1984</v>
      </c>
      <c r="C257">
        <v>0</v>
      </c>
      <c r="D257" t="s">
        <v>1773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 s="2" t="s">
        <v>19</v>
      </c>
      <c r="K257" s="39">
        <f>_xlfn.XLOOKUP("LOADINGSPEEDDEF_"&amp;PROPERTIES[[#This Row],[LOADINGSPEED]],LOADINGSPEEDDEF[TYPE],LOADINGSPEEDDEF[SPEED])</f>
        <v>0</v>
      </c>
      <c r="L257">
        <v>45</v>
      </c>
      <c r="M257">
        <v>1</v>
      </c>
      <c r="N257" s="33">
        <v>127</v>
      </c>
      <c r="O257">
        <v>3000</v>
      </c>
      <c r="P257">
        <v>114</v>
      </c>
      <c r="Q257" s="30">
        <v>337</v>
      </c>
      <c r="R257" s="29">
        <f>IFERROR(PROPERTIES[[#This Row],[TE_STARTING_KN]]/(PROPERTIES[[#This Row],[WEIGHT]]*9.81),0)</f>
        <v>0.27049371122187704</v>
      </c>
      <c r="S257" s="29">
        <v>0.27</v>
      </c>
      <c r="T257" s="26">
        <f>ROUND(IF(IFERROR(PROPERTIES[[#This Row],[TE_COEFFICIENT_CALC]],0)=0,PROPERTIES[[#This Row],[TE_COEFFICIENT_MANUAL]],PROPERTIES[[#This Row],[TE_COEFFICIENT_CALC]]),3)</f>
        <v>0.27</v>
      </c>
      <c r="U257" s="11">
        <v>40</v>
      </c>
      <c r="V257" s="9">
        <v>0</v>
      </c>
      <c r="W257" s="9">
        <v>0</v>
      </c>
      <c r="X257" s="10">
        <v>0</v>
      </c>
      <c r="Y257" t="s">
        <v>906</v>
      </c>
      <c r="Z257" t="s">
        <v>903</v>
      </c>
      <c r="AA257" s="2" t="s">
        <v>921</v>
      </c>
      <c r="AB257" s="9" t="s">
        <v>991</v>
      </c>
      <c r="AC257" s="9" t="s">
        <v>992</v>
      </c>
      <c r="AD257" s="10" t="str">
        <f>SUBSTITUTE(SUBSTITUTE(PROPERTIES[[#This Row],[PURCHASECOST_VALUE]], "PURCHASECOST_", ""), "_VALUE", "")</f>
        <v>DIESELENGINE</v>
      </c>
      <c r="AE257" s="9" t="str" cm="1">
        <f t="array" ref="AE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7" s="2" t="b">
        <v>0</v>
      </c>
      <c r="AX257"/>
      <c r="AY257"/>
      <c r="AZ257"/>
    </row>
    <row r="258" spans="1:52">
      <c r="A258" s="2" t="s">
        <v>280</v>
      </c>
      <c r="B258">
        <v>1989</v>
      </c>
      <c r="C258">
        <v>0</v>
      </c>
      <c r="D258" t="s">
        <v>1836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 s="2" t="s">
        <v>19</v>
      </c>
      <c r="K258" s="39">
        <f>_xlfn.XLOOKUP("LOADINGSPEEDDEF_"&amp;PROPERTIES[[#This Row],[LOADINGSPEED]],LOADINGSPEEDDEF[TYPE],LOADINGSPEEDDEF[SPEED])</f>
        <v>0</v>
      </c>
      <c r="L258">
        <v>45</v>
      </c>
      <c r="M258">
        <v>0</v>
      </c>
      <c r="N258" s="33">
        <v>130</v>
      </c>
      <c r="O258">
        <v>3100</v>
      </c>
      <c r="P258">
        <v>97</v>
      </c>
      <c r="Q258" s="30">
        <v>474</v>
      </c>
      <c r="R258" s="29">
        <f>IFERROR(PROPERTIES[[#This Row],[TE_STARTING_KN]]/(PROPERTIES[[#This Row],[WEIGHT]]*9.81),0)</f>
        <v>0.37167725241119737</v>
      </c>
      <c r="S258" s="29">
        <v>0.36</v>
      </c>
      <c r="T258" s="26">
        <f>ROUND(IF(IFERROR(PROPERTIES[[#This Row],[TE_COEFFICIENT_CALC]],0)=0,PROPERTIES[[#This Row],[TE_COEFFICIENT_MANUAL]],PROPERTIES[[#This Row],[TE_COEFFICIENT_CALC]]),3)</f>
        <v>0.372</v>
      </c>
      <c r="U258" s="11">
        <v>40</v>
      </c>
      <c r="V258" s="9">
        <v>0</v>
      </c>
      <c r="W258" s="9">
        <v>0</v>
      </c>
      <c r="X258" s="10">
        <v>0</v>
      </c>
      <c r="Y258" t="s">
        <v>908</v>
      </c>
      <c r="Z258" t="s">
        <v>903</v>
      </c>
      <c r="AA258" s="2" t="s">
        <v>921</v>
      </c>
      <c r="AB258" s="9" t="s">
        <v>991</v>
      </c>
      <c r="AC258" s="9" t="s">
        <v>992</v>
      </c>
      <c r="AD258" s="10" t="str">
        <f>SUBSTITUTE(SUBSTITUTE(PROPERTIES[[#This Row],[PURCHASECOST_VALUE]], "PURCHASECOST_", ""), "_VALUE", "")</f>
        <v>DIESELENGINE</v>
      </c>
      <c r="AE258" s="9" t="str" cm="1">
        <f t="array" ref="AE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8" s="2" t="b">
        <v>0</v>
      </c>
      <c r="AX258"/>
      <c r="AY258"/>
      <c r="AZ258"/>
    </row>
    <row r="259" spans="1:52">
      <c r="A259" s="2" t="s">
        <v>281</v>
      </c>
      <c r="B259">
        <v>1989</v>
      </c>
      <c r="C259">
        <v>0</v>
      </c>
      <c r="D259" t="s">
        <v>1773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 s="2" t="s">
        <v>19</v>
      </c>
      <c r="K259" s="39">
        <f>_xlfn.XLOOKUP("LOADINGSPEEDDEF_"&amp;PROPERTIES[[#This Row],[LOADINGSPEED]],LOADINGSPEEDDEF[TYPE],LOADINGSPEEDDEF[SPEED])</f>
        <v>0</v>
      </c>
      <c r="L259">
        <v>45</v>
      </c>
      <c r="M259">
        <v>1</v>
      </c>
      <c r="N259" s="33">
        <v>99</v>
      </c>
      <c r="O259">
        <v>2450</v>
      </c>
      <c r="P259">
        <v>90</v>
      </c>
      <c r="Q259" s="30">
        <v>375</v>
      </c>
      <c r="R259" s="29">
        <f>IFERROR(PROPERTIES[[#This Row],[TE_STARTING_KN]]/(PROPERTIES[[#This Row],[WEIGHT]]*9.81),0)</f>
        <v>0.38612423933524848</v>
      </c>
      <c r="S259" s="29">
        <v>0.38</v>
      </c>
      <c r="T259" s="26">
        <f>ROUND(IF(IFERROR(PROPERTIES[[#This Row],[TE_COEFFICIENT_CALC]],0)=0,PROPERTIES[[#This Row],[TE_COEFFICIENT_MANUAL]],PROPERTIES[[#This Row],[TE_COEFFICIENT_CALC]]),3)</f>
        <v>0.38600000000000001</v>
      </c>
      <c r="U259" s="11">
        <v>40</v>
      </c>
      <c r="V259" s="9">
        <v>0</v>
      </c>
      <c r="W259" s="9">
        <v>0</v>
      </c>
      <c r="X259" s="10">
        <v>0</v>
      </c>
      <c r="Y259" t="s">
        <v>906</v>
      </c>
      <c r="Z259" t="s">
        <v>903</v>
      </c>
      <c r="AA259" s="2" t="s">
        <v>921</v>
      </c>
      <c r="AB259" s="9" t="s">
        <v>991</v>
      </c>
      <c r="AC259" s="9" t="s">
        <v>992</v>
      </c>
      <c r="AD259" s="10" t="str">
        <f>SUBSTITUTE(SUBSTITUTE(PROPERTIES[[#This Row],[PURCHASECOST_VALUE]], "PURCHASECOST_", ""), "_VALUE", "")</f>
        <v>DIESELENGINE</v>
      </c>
      <c r="AE259" s="9" t="str" cm="1">
        <f t="array" ref="AE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9" s="2" t="b">
        <v>0</v>
      </c>
      <c r="AX259"/>
      <c r="AY259"/>
      <c r="AZ259"/>
    </row>
    <row r="260" spans="1:52">
      <c r="A260" s="2" t="s">
        <v>282</v>
      </c>
      <c r="B260">
        <v>1992</v>
      </c>
      <c r="C260">
        <v>0</v>
      </c>
      <c r="D260" t="s">
        <v>1952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 s="2" t="s">
        <v>19</v>
      </c>
      <c r="K260" s="39">
        <f>_xlfn.XLOOKUP("LOADINGSPEEDDEF_"&amp;PROPERTIES[[#This Row],[LOADINGSPEED]],LOADINGSPEEDDEF[TYPE],LOADINGSPEEDDEF[SPEED])</f>
        <v>0</v>
      </c>
      <c r="L260">
        <v>45</v>
      </c>
      <c r="M260">
        <v>1</v>
      </c>
      <c r="N260" s="33">
        <v>170</v>
      </c>
      <c r="O260">
        <v>4500</v>
      </c>
      <c r="P260">
        <v>110</v>
      </c>
      <c r="Q260" s="30">
        <v>850</v>
      </c>
      <c r="R260" s="29">
        <f>IFERROR(PROPERTIES[[#This Row],[TE_STARTING_KN]]/(PROPERTIES[[#This Row],[WEIGHT]]*9.81),0)</f>
        <v>0.509683995922528</v>
      </c>
      <c r="S260" s="29">
        <v>0.5</v>
      </c>
      <c r="T260" s="26">
        <f>ROUND(IF(IFERROR(PROPERTIES[[#This Row],[TE_COEFFICIENT_CALC]],0)=0,PROPERTIES[[#This Row],[TE_COEFFICIENT_MANUAL]],PROPERTIES[[#This Row],[TE_COEFFICIENT_CALC]]),3)</f>
        <v>0.51</v>
      </c>
      <c r="U260" s="11">
        <v>40</v>
      </c>
      <c r="V260" s="9">
        <v>0</v>
      </c>
      <c r="W260" s="9">
        <v>0</v>
      </c>
      <c r="X260" s="10">
        <v>0</v>
      </c>
      <c r="Y260" t="s">
        <v>912</v>
      </c>
      <c r="Z260" t="s">
        <v>903</v>
      </c>
      <c r="AA260" s="2" t="s">
        <v>921</v>
      </c>
      <c r="AB260" s="9" t="s">
        <v>991</v>
      </c>
      <c r="AC260" s="9" t="s">
        <v>992</v>
      </c>
      <c r="AD260" s="10" t="str">
        <f>SUBSTITUTE(SUBSTITUTE(PROPERTIES[[#This Row],[PURCHASECOST_VALUE]], "PURCHASECOST_", ""), "_VALUE", "")</f>
        <v>DIESELENGINE</v>
      </c>
      <c r="AE260" s="9" t="str" cm="1">
        <f t="array" ref="AE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0" s="2" t="b">
        <v>0</v>
      </c>
      <c r="AX260"/>
      <c r="AY260"/>
      <c r="AZ260"/>
    </row>
    <row r="261" spans="1:52">
      <c r="A261" s="2" t="s">
        <v>283</v>
      </c>
      <c r="B261">
        <v>1994</v>
      </c>
      <c r="C261">
        <v>0</v>
      </c>
      <c r="D261" t="s">
        <v>1861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 s="2" t="s">
        <v>19</v>
      </c>
      <c r="K261" s="39">
        <f>_xlfn.XLOOKUP("LOADINGSPEEDDEF_"&amp;PROPERTIES[[#This Row],[LOADINGSPEED]],LOADINGSPEEDDEF[TYPE],LOADINGSPEEDDEF[SPEED])</f>
        <v>0</v>
      </c>
      <c r="L261">
        <v>45</v>
      </c>
      <c r="M261">
        <v>1</v>
      </c>
      <c r="N261" s="33">
        <v>112</v>
      </c>
      <c r="O261">
        <v>3200</v>
      </c>
      <c r="P261">
        <v>164</v>
      </c>
      <c r="Q261" s="30">
        <v>190</v>
      </c>
      <c r="R261" s="29">
        <f>IFERROR(PROPERTIES[[#This Row],[TE_STARTING_KN]]/(PROPERTIES[[#This Row],[WEIGHT]]*9.81),0)</f>
        <v>0.172928498616572</v>
      </c>
      <c r="S261" s="29">
        <v>0.17</v>
      </c>
      <c r="T261" s="26">
        <f>ROUND(IF(IFERROR(PROPERTIES[[#This Row],[TE_COEFFICIENT_CALC]],0)=0,PROPERTIES[[#This Row],[TE_COEFFICIENT_MANUAL]],PROPERTIES[[#This Row],[TE_COEFFICIENT_CALC]]),3)</f>
        <v>0.17299999999999999</v>
      </c>
      <c r="U261" s="11">
        <v>40</v>
      </c>
      <c r="V261" s="9">
        <v>0</v>
      </c>
      <c r="W261" s="9">
        <v>0</v>
      </c>
      <c r="X261" s="10">
        <v>0</v>
      </c>
      <c r="Y261" t="s">
        <v>908</v>
      </c>
      <c r="Z261" t="s">
        <v>903</v>
      </c>
      <c r="AA261" s="2" t="s">
        <v>921</v>
      </c>
      <c r="AB261" s="9" t="s">
        <v>991</v>
      </c>
      <c r="AC261" s="9" t="s">
        <v>992</v>
      </c>
      <c r="AD261" s="10" t="str">
        <f>SUBSTITUTE(SUBSTITUTE(PROPERTIES[[#This Row],[PURCHASECOST_VALUE]], "PURCHASECOST_", ""), "_VALUE", "")</f>
        <v>DIESELENGINE</v>
      </c>
      <c r="AE261" s="9" t="str" cm="1">
        <f t="array" ref="AE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1" s="2" t="b">
        <v>0</v>
      </c>
      <c r="AX261"/>
      <c r="AY261"/>
      <c r="AZ261"/>
    </row>
    <row r="262" spans="1:52">
      <c r="A262" s="2" t="s">
        <v>284</v>
      </c>
      <c r="B262">
        <v>1988</v>
      </c>
      <c r="C262">
        <v>0</v>
      </c>
      <c r="D262" t="s">
        <v>1992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 s="2" t="s">
        <v>19</v>
      </c>
      <c r="K262" s="39">
        <f>_xlfn.XLOOKUP("LOADINGSPEEDDEF_"&amp;PROPERTIES[[#This Row],[LOADINGSPEED]],LOADINGSPEEDDEF[TYPE],LOADINGSPEEDDEF[SPEED])</f>
        <v>0</v>
      </c>
      <c r="L262">
        <v>45</v>
      </c>
      <c r="M262">
        <v>1</v>
      </c>
      <c r="N262" s="33">
        <v>130</v>
      </c>
      <c r="O262">
        <v>3000</v>
      </c>
      <c r="P262">
        <v>177</v>
      </c>
      <c r="Q262" s="30">
        <v>0</v>
      </c>
      <c r="R262" s="29">
        <f>IFERROR(PROPERTIES[[#This Row],[TE_STARTING_KN]]/(PROPERTIES[[#This Row],[WEIGHT]]*9.81),0)</f>
        <v>0</v>
      </c>
      <c r="S262" s="29">
        <v>0.22</v>
      </c>
      <c r="T262" s="26">
        <f>ROUND(IF(IFERROR(PROPERTIES[[#This Row],[TE_COEFFICIENT_CALC]],0)=0,PROPERTIES[[#This Row],[TE_COEFFICIENT_MANUAL]],PROPERTIES[[#This Row],[TE_COEFFICIENT_CALC]]),3)</f>
        <v>0.22</v>
      </c>
      <c r="U262" s="11">
        <v>40</v>
      </c>
      <c r="V262" s="9">
        <v>0</v>
      </c>
      <c r="W262" s="9">
        <v>0</v>
      </c>
      <c r="X262" s="10">
        <v>0</v>
      </c>
      <c r="Y262" t="s">
        <v>909</v>
      </c>
      <c r="Z262" t="s">
        <v>903</v>
      </c>
      <c r="AA262" s="2" t="s">
        <v>921</v>
      </c>
      <c r="AB262" s="9" t="s">
        <v>991</v>
      </c>
      <c r="AC262" s="9" t="s">
        <v>992</v>
      </c>
      <c r="AD262" s="10" t="str">
        <f>SUBSTITUTE(SUBSTITUTE(PROPERTIES[[#This Row],[PURCHASECOST_VALUE]], "PURCHASECOST_", ""), "_VALUE", "")</f>
        <v>DIESELENGINE</v>
      </c>
      <c r="AE262" s="9" t="str" cm="1">
        <f t="array" ref="AE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2" s="2" t="b">
        <v>0</v>
      </c>
      <c r="AX262"/>
      <c r="AY262"/>
      <c r="AZ262"/>
    </row>
    <row r="263" spans="1:52">
      <c r="A263" s="2" t="s">
        <v>285</v>
      </c>
      <c r="B263">
        <v>2002</v>
      </c>
      <c r="C263">
        <v>0</v>
      </c>
      <c r="D263" t="s">
        <v>1835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 s="2" t="s">
        <v>19</v>
      </c>
      <c r="K263" s="39">
        <f>_xlfn.XLOOKUP("LOADINGSPEEDDEF_"&amp;PROPERTIES[[#This Row],[LOADINGSPEED]],LOADINGSPEEDDEF[TYPE],LOADINGSPEEDDEF[SPEED])</f>
        <v>0</v>
      </c>
      <c r="L263" t="s">
        <v>20</v>
      </c>
      <c r="M263">
        <v>1</v>
      </c>
      <c r="N263" s="33">
        <v>86</v>
      </c>
      <c r="O263">
        <v>2010</v>
      </c>
      <c r="P263">
        <v>100</v>
      </c>
      <c r="Q263" s="30">
        <v>0</v>
      </c>
      <c r="R263" s="29">
        <f>IFERROR(PROPERTIES[[#This Row],[TE_STARTING_KN]]/(PROPERTIES[[#This Row],[WEIGHT]]*9.81),0)</f>
        <v>0</v>
      </c>
      <c r="S263" s="29">
        <v>0.33</v>
      </c>
      <c r="T263" s="26">
        <f>ROUND(IF(IFERROR(PROPERTIES[[#This Row],[TE_COEFFICIENT_CALC]],0)=0,PROPERTIES[[#This Row],[TE_COEFFICIENT_MANUAL]],PROPERTIES[[#This Row],[TE_COEFFICIENT_CALC]]),3)</f>
        <v>0.33</v>
      </c>
      <c r="U263" s="11">
        <v>40</v>
      </c>
      <c r="V263" s="9">
        <v>0</v>
      </c>
      <c r="W263" s="9">
        <v>0</v>
      </c>
      <c r="X263" s="10">
        <v>0</v>
      </c>
      <c r="Y263" t="s">
        <v>904</v>
      </c>
      <c r="Z263" t="s">
        <v>903</v>
      </c>
      <c r="AA263" s="2" t="s">
        <v>921</v>
      </c>
      <c r="AB263" s="9" t="s">
        <v>991</v>
      </c>
      <c r="AC263" s="9" t="s">
        <v>992</v>
      </c>
      <c r="AD263" s="10" t="str">
        <f>SUBSTITUTE(SUBSTITUTE(PROPERTIES[[#This Row],[PURCHASECOST_VALUE]], "PURCHASECOST_", ""), "_VALUE", "")</f>
        <v>DIESELENGINE</v>
      </c>
      <c r="AE263" s="9" t="str" cm="1">
        <f t="array" ref="AE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3" s="2" t="b">
        <v>0</v>
      </c>
      <c r="AX263"/>
      <c r="AY263"/>
      <c r="AZ263"/>
    </row>
    <row r="264" spans="1:52">
      <c r="A264" s="2" t="s">
        <v>286</v>
      </c>
      <c r="B264">
        <v>2003</v>
      </c>
      <c r="C264">
        <v>0</v>
      </c>
      <c r="D264" t="s">
        <v>1869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 s="2" t="s">
        <v>19</v>
      </c>
      <c r="K264" s="39">
        <f>_xlfn.XLOOKUP("LOADINGSPEEDDEF_"&amp;PROPERTIES[[#This Row],[LOADINGSPEED]],LOADINGSPEEDDEF[TYPE],LOADINGSPEEDDEF[SPEED])</f>
        <v>0</v>
      </c>
      <c r="L264" t="s">
        <v>20</v>
      </c>
      <c r="M264">
        <v>1</v>
      </c>
      <c r="N264" s="33">
        <v>89</v>
      </c>
      <c r="O264">
        <v>3000</v>
      </c>
      <c r="P264">
        <v>120</v>
      </c>
      <c r="Q264" s="30">
        <v>275</v>
      </c>
      <c r="R264" s="29">
        <f>IFERROR(PROPERTIES[[#This Row],[TE_STARTING_KN]]/(PROPERTIES[[#This Row],[WEIGHT]]*9.81),0)</f>
        <v>0.31497325590718023</v>
      </c>
      <c r="S264" s="29">
        <v>0.32</v>
      </c>
      <c r="T264" s="26">
        <f>ROUND(IF(IFERROR(PROPERTIES[[#This Row],[TE_COEFFICIENT_CALC]],0)=0,PROPERTIES[[#This Row],[TE_COEFFICIENT_MANUAL]],PROPERTIES[[#This Row],[TE_COEFFICIENT_CALC]]),3)</f>
        <v>0.315</v>
      </c>
      <c r="U264" s="11">
        <v>40</v>
      </c>
      <c r="V264" s="9">
        <v>0</v>
      </c>
      <c r="W264" s="9">
        <v>0</v>
      </c>
      <c r="X264" s="10">
        <v>0</v>
      </c>
      <c r="Y264" t="s">
        <v>905</v>
      </c>
      <c r="Z264" t="s">
        <v>903</v>
      </c>
      <c r="AA264" s="2" t="s">
        <v>921</v>
      </c>
      <c r="AB264" s="9" t="s">
        <v>991</v>
      </c>
      <c r="AC264" s="9" t="s">
        <v>992</v>
      </c>
      <c r="AD264" s="10" t="str">
        <f>SUBSTITUTE(SUBSTITUTE(PROPERTIES[[#This Row],[PURCHASECOST_VALUE]], "PURCHASECOST_", ""), "_VALUE", "")</f>
        <v>DIESELENGINE</v>
      </c>
      <c r="AE264" s="9" t="str" cm="1">
        <f t="array" ref="AE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4" s="2" t="b">
        <v>0</v>
      </c>
      <c r="AX264"/>
      <c r="AY264"/>
      <c r="AZ264"/>
    </row>
    <row r="265" spans="1:52">
      <c r="A265" s="2" t="s">
        <v>287</v>
      </c>
      <c r="B265">
        <v>2003</v>
      </c>
      <c r="C265">
        <v>0</v>
      </c>
      <c r="D265" t="s">
        <v>1798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 s="2" t="s">
        <v>19</v>
      </c>
      <c r="K265" s="39">
        <f>_xlfn.XLOOKUP("LOADINGSPEEDDEF_"&amp;PROPERTIES[[#This Row],[LOADINGSPEED]],LOADINGSPEEDDEF[TYPE],LOADINGSPEEDDEF[SPEED])</f>
        <v>0</v>
      </c>
      <c r="L265" t="s">
        <v>20</v>
      </c>
      <c r="M265">
        <v>1</v>
      </c>
      <c r="N265" s="33">
        <v>134</v>
      </c>
      <c r="O265">
        <v>4000</v>
      </c>
      <c r="P265">
        <v>150</v>
      </c>
      <c r="Q265" s="30">
        <v>380</v>
      </c>
      <c r="R265" s="29">
        <f>IFERROR(PROPERTIES[[#This Row],[TE_STARTING_KN]]/(PROPERTIES[[#This Row],[WEIGHT]]*9.81),0)</f>
        <v>0.28907450515009053</v>
      </c>
      <c r="S265" s="29">
        <v>0.3</v>
      </c>
      <c r="T265" s="26">
        <f>ROUND(IF(IFERROR(PROPERTIES[[#This Row],[TE_COEFFICIENT_CALC]],0)=0,PROPERTIES[[#This Row],[TE_COEFFICIENT_MANUAL]],PROPERTIES[[#This Row],[TE_COEFFICIENT_CALC]]),3)</f>
        <v>0.28899999999999998</v>
      </c>
      <c r="U265" s="11">
        <v>40</v>
      </c>
      <c r="V265" s="9">
        <v>0</v>
      </c>
      <c r="W265" s="9">
        <v>0</v>
      </c>
      <c r="X265" s="10">
        <v>0</v>
      </c>
      <c r="Y265" t="s">
        <v>909</v>
      </c>
      <c r="Z265" t="s">
        <v>903</v>
      </c>
      <c r="AA265" s="2" t="s">
        <v>921</v>
      </c>
      <c r="AB265" s="9" t="s">
        <v>991</v>
      </c>
      <c r="AC265" s="9" t="s">
        <v>992</v>
      </c>
      <c r="AD265" s="10" t="str">
        <f>SUBSTITUTE(SUBSTITUTE(PROPERTIES[[#This Row],[PURCHASECOST_VALUE]], "PURCHASECOST_", ""), "_VALUE", "")</f>
        <v>DIESELENGINE</v>
      </c>
      <c r="AE265" s="9" t="str" cm="1">
        <f t="array" ref="AE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5" s="2" t="b">
        <v>0</v>
      </c>
      <c r="AX265"/>
      <c r="AY265"/>
      <c r="AZ265"/>
    </row>
    <row r="266" spans="1:52">
      <c r="A266" s="2" t="s">
        <v>288</v>
      </c>
      <c r="B266">
        <v>2006</v>
      </c>
      <c r="C266">
        <v>0</v>
      </c>
      <c r="D266" t="s">
        <v>1828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 s="2" t="s">
        <v>19</v>
      </c>
      <c r="K266" s="39">
        <f>_xlfn.XLOOKUP("LOADINGSPEEDDEF_"&amp;PROPERTIES[[#This Row],[LOADINGSPEED]],LOADINGSPEEDDEF[TYPE],LOADINGSPEEDDEF[SPEED])</f>
        <v>0</v>
      </c>
      <c r="L266" t="s">
        <v>20</v>
      </c>
      <c r="M266">
        <v>1</v>
      </c>
      <c r="N266" s="33">
        <v>80</v>
      </c>
      <c r="O266">
        <v>3300</v>
      </c>
      <c r="P266">
        <v>200</v>
      </c>
      <c r="Q266" s="30">
        <v>178</v>
      </c>
      <c r="R266" s="29">
        <f>IFERROR(PROPERTIES[[#This Row],[TE_STARTING_KN]]/(PROPERTIES[[#This Row],[WEIGHT]]*9.81),0)</f>
        <v>0.22680937818552496</v>
      </c>
      <c r="S266" s="29">
        <v>0.2</v>
      </c>
      <c r="T266" s="26">
        <f>ROUND(IF(IFERROR(PROPERTIES[[#This Row],[TE_COEFFICIENT_CALC]],0)=0,PROPERTIES[[#This Row],[TE_COEFFICIENT_MANUAL]],PROPERTIES[[#This Row],[TE_COEFFICIENT_CALC]]),3)</f>
        <v>0.22700000000000001</v>
      </c>
      <c r="U266" s="11">
        <v>40</v>
      </c>
      <c r="V266" s="9">
        <v>0</v>
      </c>
      <c r="W266" s="9">
        <v>0</v>
      </c>
      <c r="X266" s="10">
        <v>0</v>
      </c>
      <c r="Y266" t="s">
        <v>905</v>
      </c>
      <c r="Z266" t="s">
        <v>903</v>
      </c>
      <c r="AA266" s="2" t="s">
        <v>921</v>
      </c>
      <c r="AB266" s="9" t="s">
        <v>991</v>
      </c>
      <c r="AC266" s="9" t="s">
        <v>992</v>
      </c>
      <c r="AD266" s="10" t="str">
        <f>SUBSTITUTE(SUBSTITUTE(PROPERTIES[[#This Row],[PURCHASECOST_VALUE]], "PURCHASECOST_", ""), "_VALUE", "")</f>
        <v>DIESELENGINE</v>
      </c>
      <c r="AE266" s="9" t="str" cm="1">
        <f t="array" ref="AE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6" s="2" t="b">
        <v>0</v>
      </c>
      <c r="AX266"/>
      <c r="AY266"/>
      <c r="AZ266"/>
    </row>
    <row r="267" spans="1:52">
      <c r="A267" s="2" t="s">
        <v>289</v>
      </c>
      <c r="B267">
        <v>2011</v>
      </c>
      <c r="C267">
        <v>0</v>
      </c>
      <c r="D267" t="s">
        <v>1860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 s="2" t="s">
        <v>19</v>
      </c>
      <c r="K267" s="39">
        <f>_xlfn.XLOOKUP("LOADINGSPEEDDEF_"&amp;PROPERTIES[[#This Row],[LOADINGSPEED]],LOADINGSPEEDDEF[TYPE],LOADINGSPEEDDEF[SPEED])</f>
        <v>0</v>
      </c>
      <c r="L267" t="s">
        <v>20</v>
      </c>
      <c r="M267">
        <v>1</v>
      </c>
      <c r="N267" s="33">
        <v>76</v>
      </c>
      <c r="O267">
        <v>2500</v>
      </c>
      <c r="P267">
        <v>120</v>
      </c>
      <c r="Q267" s="30">
        <v>270</v>
      </c>
      <c r="R267" s="29">
        <f>IFERROR(PROPERTIES[[#This Row],[TE_STARTING_KN]]/(PROPERTIES[[#This Row],[WEIGHT]]*9.81),0)</f>
        <v>0.36214389183969092</v>
      </c>
      <c r="S267" s="29">
        <v>0.3</v>
      </c>
      <c r="T267" s="26">
        <f>ROUND(IF(IFERROR(PROPERTIES[[#This Row],[TE_COEFFICIENT_CALC]],0)=0,PROPERTIES[[#This Row],[TE_COEFFICIENT_MANUAL]],PROPERTIES[[#This Row],[TE_COEFFICIENT_CALC]]),3)</f>
        <v>0.36199999999999999</v>
      </c>
      <c r="U267" s="11">
        <v>40</v>
      </c>
      <c r="V267" s="9">
        <v>0</v>
      </c>
      <c r="W267" s="9">
        <v>0</v>
      </c>
      <c r="X267" s="10">
        <v>0</v>
      </c>
      <c r="Y267" t="s">
        <v>906</v>
      </c>
      <c r="Z267" t="s">
        <v>903</v>
      </c>
      <c r="AA267" s="2" t="s">
        <v>921</v>
      </c>
      <c r="AB267" s="9" t="s">
        <v>991</v>
      </c>
      <c r="AC267" s="9" t="s">
        <v>992</v>
      </c>
      <c r="AD267" s="10" t="str">
        <f>SUBSTITUTE(SUBSTITUTE(PROPERTIES[[#This Row],[PURCHASECOST_VALUE]], "PURCHASECOST_", ""), "_VALUE", "")</f>
        <v>DIESELENGINE</v>
      </c>
      <c r="AE267" s="9" t="str" cm="1">
        <f t="array" ref="AE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7" s="2" t="b">
        <v>0</v>
      </c>
      <c r="AX267"/>
      <c r="AY267"/>
      <c r="AZ267"/>
    </row>
    <row r="268" spans="1:52">
      <c r="A268" s="2" t="s">
        <v>290</v>
      </c>
      <c r="B268">
        <v>1930</v>
      </c>
      <c r="C268">
        <v>0</v>
      </c>
      <c r="D268" t="s">
        <v>1770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 s="2" t="s">
        <v>19</v>
      </c>
      <c r="K268" s="39">
        <f>_xlfn.XLOOKUP("LOADINGSPEEDDEF_"&amp;PROPERTIES[[#This Row],[LOADINGSPEED]],LOADINGSPEEDDEF[TYPE],LOADINGSPEEDDEF[SPEED])</f>
        <v>0</v>
      </c>
      <c r="L268">
        <v>45</v>
      </c>
      <c r="M268">
        <v>1</v>
      </c>
      <c r="N268" s="33">
        <v>148</v>
      </c>
      <c r="O268">
        <v>1200</v>
      </c>
      <c r="P268">
        <v>85</v>
      </c>
      <c r="Q268" s="30">
        <v>200</v>
      </c>
      <c r="R268" s="29">
        <f>IFERROR(PROPERTIES[[#This Row],[TE_STARTING_KN]]/(PROPERTIES[[#This Row],[WEIGHT]]*9.81),0)</f>
        <v>0.13775243133041298</v>
      </c>
      <c r="S268" s="29">
        <v>0.15</v>
      </c>
      <c r="T268" s="26">
        <f>ROUND(IF(IFERROR(PROPERTIES[[#This Row],[TE_COEFFICIENT_CALC]],0)=0,PROPERTIES[[#This Row],[TE_COEFFICIENT_MANUAL]],PROPERTIES[[#This Row],[TE_COEFFICIENT_CALC]]),3)</f>
        <v>0.13800000000000001</v>
      </c>
      <c r="U268" s="11">
        <v>40</v>
      </c>
      <c r="V268" s="9">
        <v>0</v>
      </c>
      <c r="W268" s="9">
        <v>0</v>
      </c>
      <c r="X268" s="10">
        <v>0</v>
      </c>
      <c r="Y268" t="s">
        <v>911</v>
      </c>
      <c r="Z268" t="s">
        <v>903</v>
      </c>
      <c r="AA268" s="2" t="s">
        <v>921</v>
      </c>
      <c r="AB268" s="9" t="s">
        <v>991</v>
      </c>
      <c r="AC268" s="9" t="s">
        <v>992</v>
      </c>
      <c r="AD268" s="10" t="str">
        <f>SUBSTITUTE(SUBSTITUTE(PROPERTIES[[#This Row],[PURCHASECOST_VALUE]], "PURCHASECOST_", ""), "_VALUE", "")</f>
        <v>DIESELENGINE</v>
      </c>
      <c r="AE268" s="9" t="str" cm="1">
        <f t="array" ref="AE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8" s="2" t="b">
        <v>0</v>
      </c>
      <c r="AX268"/>
      <c r="AY268"/>
      <c r="AZ268"/>
    </row>
    <row r="269" spans="1:52">
      <c r="A269" s="2" t="s">
        <v>291</v>
      </c>
      <c r="B269">
        <v>1938</v>
      </c>
      <c r="C269">
        <v>0</v>
      </c>
      <c r="D269" t="s">
        <v>1791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 s="2" t="s">
        <v>19</v>
      </c>
      <c r="K269" s="39">
        <f>_xlfn.XLOOKUP("LOADINGSPEEDDEF_"&amp;PROPERTIES[[#This Row],[LOADINGSPEED]],LOADINGSPEEDDEF[TYPE],LOADINGSPEEDDEF[SPEED])</f>
        <v>0</v>
      </c>
      <c r="L269">
        <v>45</v>
      </c>
      <c r="M269">
        <v>1</v>
      </c>
      <c r="N269" s="33">
        <v>52</v>
      </c>
      <c r="O269">
        <v>450</v>
      </c>
      <c r="P269">
        <v>76</v>
      </c>
      <c r="Q269" s="30">
        <v>0</v>
      </c>
      <c r="R269" s="29">
        <f>IFERROR(PROPERTIES[[#This Row],[TE_STARTING_KN]]/(PROPERTIES[[#This Row],[WEIGHT]]*9.81),0)</f>
        <v>0</v>
      </c>
      <c r="S269" s="29">
        <v>0.22</v>
      </c>
      <c r="T269" s="26">
        <f>ROUND(IF(IFERROR(PROPERTIES[[#This Row],[TE_COEFFICIENT_CALC]],0)=0,PROPERTIES[[#This Row],[TE_COEFFICIENT_MANUAL]],PROPERTIES[[#This Row],[TE_COEFFICIENT_CALC]]),3)</f>
        <v>0.22</v>
      </c>
      <c r="U269" s="11">
        <v>40</v>
      </c>
      <c r="V269" s="9">
        <v>0</v>
      </c>
      <c r="W269" s="9">
        <v>0</v>
      </c>
      <c r="X269" s="10">
        <v>0</v>
      </c>
      <c r="Y269" t="s">
        <v>911</v>
      </c>
      <c r="Z269" t="s">
        <v>903</v>
      </c>
      <c r="AA269" s="2" t="s">
        <v>921</v>
      </c>
      <c r="AB269" s="9" t="s">
        <v>991</v>
      </c>
      <c r="AC269" s="9" t="s">
        <v>992</v>
      </c>
      <c r="AD269" s="10" t="str">
        <f>SUBSTITUTE(SUBSTITUTE(PROPERTIES[[#This Row],[PURCHASECOST_VALUE]], "PURCHASECOST_", ""), "_VALUE", "")</f>
        <v>DIESELENGINE</v>
      </c>
      <c r="AE269" s="9" t="str" cm="1">
        <f t="array" ref="AE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9" s="2" t="b">
        <v>0</v>
      </c>
      <c r="AX269"/>
      <c r="AY269"/>
      <c r="AZ269"/>
    </row>
    <row r="270" spans="1:52">
      <c r="A270" s="2" t="s">
        <v>292</v>
      </c>
      <c r="B270">
        <v>1961</v>
      </c>
      <c r="C270">
        <v>0</v>
      </c>
      <c r="D270" t="s">
        <v>1806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 s="2" t="s">
        <v>19</v>
      </c>
      <c r="K270" s="39">
        <f>_xlfn.XLOOKUP("LOADINGSPEEDDEF_"&amp;PROPERTIES[[#This Row],[LOADINGSPEED]],LOADINGSPEEDDEF[TYPE],LOADINGSPEEDDEF[SPEED])</f>
        <v>0</v>
      </c>
      <c r="L270">
        <v>45</v>
      </c>
      <c r="M270">
        <v>1</v>
      </c>
      <c r="N270" s="33">
        <v>54</v>
      </c>
      <c r="O270">
        <v>600</v>
      </c>
      <c r="P270">
        <v>64</v>
      </c>
      <c r="Q270" s="30">
        <v>138</v>
      </c>
      <c r="R270" s="29">
        <f>IFERROR(PROPERTIES[[#This Row],[TE_STARTING_KN]]/(PROPERTIES[[#This Row],[WEIGHT]]*9.81),0)</f>
        <v>0.26050515347151432</v>
      </c>
      <c r="S270" s="29">
        <v>0.18</v>
      </c>
      <c r="T270" s="26">
        <f>ROUND(IF(IFERROR(PROPERTIES[[#This Row],[TE_COEFFICIENT_CALC]],0)=0,PROPERTIES[[#This Row],[TE_COEFFICIENT_MANUAL]],PROPERTIES[[#This Row],[TE_COEFFICIENT_CALC]]),3)</f>
        <v>0.26100000000000001</v>
      </c>
      <c r="U270" s="11">
        <v>40</v>
      </c>
      <c r="V270" s="9">
        <v>0</v>
      </c>
      <c r="W270" s="9">
        <v>0</v>
      </c>
      <c r="X270" s="10">
        <v>0</v>
      </c>
      <c r="Y270" t="s">
        <v>911</v>
      </c>
      <c r="Z270" t="s">
        <v>903</v>
      </c>
      <c r="AA270" s="2" t="s">
        <v>921</v>
      </c>
      <c r="AB270" s="9" t="s">
        <v>991</v>
      </c>
      <c r="AC270" s="9" t="s">
        <v>992</v>
      </c>
      <c r="AD270" s="10" t="str">
        <f>SUBSTITUTE(SUBSTITUTE(PROPERTIES[[#This Row],[PURCHASECOST_VALUE]], "PURCHASECOST_", ""), "_VALUE", "")</f>
        <v>DIESELENGINE</v>
      </c>
      <c r="AE270" s="9" t="str" cm="1">
        <f t="array" ref="AE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0" s="2" t="b">
        <v>0</v>
      </c>
      <c r="AX270"/>
      <c r="AY270"/>
      <c r="AZ270"/>
    </row>
    <row r="271" spans="1:52">
      <c r="A271" s="2" t="s">
        <v>293</v>
      </c>
      <c r="B271">
        <v>1965</v>
      </c>
      <c r="C271">
        <v>0</v>
      </c>
      <c r="D271" t="s">
        <v>1933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 s="2" t="s">
        <v>19</v>
      </c>
      <c r="K271" s="39">
        <f>_xlfn.XLOOKUP("LOADINGSPEEDDEF_"&amp;PROPERTIES[[#This Row],[LOADINGSPEED]],LOADINGSPEEDDEF[TYPE],LOADINGSPEEDDEF[SPEED])</f>
        <v>0</v>
      </c>
      <c r="L271">
        <v>45</v>
      </c>
      <c r="M271">
        <v>1</v>
      </c>
      <c r="N271" s="33">
        <v>83</v>
      </c>
      <c r="O271">
        <v>1350</v>
      </c>
      <c r="P271">
        <v>120</v>
      </c>
      <c r="Q271" s="30">
        <v>0</v>
      </c>
      <c r="R271" s="29">
        <f>IFERROR(PROPERTIES[[#This Row],[TE_STARTING_KN]]/(PROPERTIES[[#This Row],[WEIGHT]]*9.81),0)</f>
        <v>0</v>
      </c>
      <c r="S271" s="29">
        <v>0.17</v>
      </c>
      <c r="T271" s="26">
        <f>ROUND(IF(IFERROR(PROPERTIES[[#This Row],[TE_COEFFICIENT_CALC]],0)=0,PROPERTIES[[#This Row],[TE_COEFFICIENT_MANUAL]],PROPERTIES[[#This Row],[TE_COEFFICIENT_CALC]]),3)</f>
        <v>0.17</v>
      </c>
      <c r="U271" s="11">
        <v>40</v>
      </c>
      <c r="V271" s="9">
        <v>0</v>
      </c>
      <c r="W271" s="9">
        <v>0</v>
      </c>
      <c r="X271" s="10">
        <v>0</v>
      </c>
      <c r="Y271" t="s">
        <v>911</v>
      </c>
      <c r="Z271" t="s">
        <v>903</v>
      </c>
      <c r="AA271" s="2" t="s">
        <v>921</v>
      </c>
      <c r="AB271" s="9" t="s">
        <v>991</v>
      </c>
      <c r="AC271" s="9" t="s">
        <v>992</v>
      </c>
      <c r="AD271" s="10" t="str">
        <f>SUBSTITUTE(SUBSTITUTE(PROPERTIES[[#This Row],[PURCHASECOST_VALUE]], "PURCHASECOST_", ""), "_VALUE", "")</f>
        <v>DIESELENGINE</v>
      </c>
      <c r="AE271" s="9" t="str" cm="1">
        <f t="array" ref="AE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1" s="2" t="b">
        <v>0</v>
      </c>
      <c r="AX271"/>
      <c r="AY271"/>
      <c r="AZ271"/>
    </row>
    <row r="272" spans="1:52">
      <c r="A272" s="2" t="s">
        <v>294</v>
      </c>
      <c r="B272">
        <v>1970</v>
      </c>
      <c r="C272">
        <v>0</v>
      </c>
      <c r="D272" t="s">
        <v>1791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 s="2" t="s">
        <v>19</v>
      </c>
      <c r="K272" s="39">
        <f>_xlfn.XLOOKUP("LOADINGSPEEDDEF_"&amp;PROPERTIES[[#This Row],[LOADINGSPEED]],LOADINGSPEEDDEF[TYPE],LOADINGSPEEDDEF[SPEED])</f>
        <v>0</v>
      </c>
      <c r="L272">
        <v>45</v>
      </c>
      <c r="M272">
        <v>1</v>
      </c>
      <c r="N272" s="33">
        <v>162</v>
      </c>
      <c r="O272">
        <v>3600</v>
      </c>
      <c r="P272">
        <v>85</v>
      </c>
      <c r="Q272" s="30">
        <v>388.9</v>
      </c>
      <c r="R272" s="29">
        <f>IFERROR(PROPERTIES[[#This Row],[TE_STARTING_KN]]/(PROPERTIES[[#This Row],[WEIGHT]]*9.81),0)</f>
        <v>0.24471124199292732</v>
      </c>
      <c r="S272" s="29">
        <v>0.24</v>
      </c>
      <c r="T272" s="26">
        <f>ROUND(IF(IFERROR(PROPERTIES[[#This Row],[TE_COEFFICIENT_CALC]],0)=0,PROPERTIES[[#This Row],[TE_COEFFICIENT_MANUAL]],PROPERTIES[[#This Row],[TE_COEFFICIENT_CALC]]),3)</f>
        <v>0.245</v>
      </c>
      <c r="U272" s="11">
        <v>40</v>
      </c>
      <c r="V272" s="9">
        <v>0</v>
      </c>
      <c r="W272" s="9">
        <v>0</v>
      </c>
      <c r="X272" s="10">
        <v>0</v>
      </c>
      <c r="Y272" t="s">
        <v>911</v>
      </c>
      <c r="Z272" t="s">
        <v>903</v>
      </c>
      <c r="AA272" s="2" t="s">
        <v>921</v>
      </c>
      <c r="AB272" s="9" t="s">
        <v>991</v>
      </c>
      <c r="AC272" s="9" t="s">
        <v>992</v>
      </c>
      <c r="AD272" s="10" t="str">
        <f>SUBSTITUTE(SUBSTITUTE(PROPERTIES[[#This Row],[PURCHASECOST_VALUE]], "PURCHASECOST_", ""), "_VALUE", "")</f>
        <v>DIESELENGINE</v>
      </c>
      <c r="AE272" s="9" t="str" cm="1">
        <f t="array" ref="AE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2" s="2" t="b">
        <v>0</v>
      </c>
      <c r="AX272"/>
      <c r="AY272"/>
      <c r="AZ272"/>
    </row>
    <row r="273" spans="1:52">
      <c r="A273" s="2" t="s">
        <v>295</v>
      </c>
      <c r="B273">
        <v>1984</v>
      </c>
      <c r="C273">
        <v>0</v>
      </c>
      <c r="D273" t="s">
        <v>1933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 s="2" t="s">
        <v>19</v>
      </c>
      <c r="K273" s="39">
        <f>_xlfn.XLOOKUP("LOADINGSPEEDDEF_"&amp;PROPERTIES[[#This Row],[LOADINGSPEED]],LOADINGSPEEDDEF[TYPE],LOADINGSPEEDDEF[SPEED])</f>
        <v>0</v>
      </c>
      <c r="L273">
        <v>45</v>
      </c>
      <c r="M273">
        <v>1</v>
      </c>
      <c r="N273" s="33">
        <v>166</v>
      </c>
      <c r="O273">
        <v>3900</v>
      </c>
      <c r="P273">
        <v>110</v>
      </c>
      <c r="Q273" s="30">
        <v>0</v>
      </c>
      <c r="R273" s="29">
        <f>IFERROR(PROPERTIES[[#This Row],[TE_STARTING_KN]]/(PROPERTIES[[#This Row],[WEIGHT]]*9.81),0)</f>
        <v>0</v>
      </c>
      <c r="S273" s="29">
        <v>0.28999999999999998</v>
      </c>
      <c r="T273" s="26">
        <f>ROUND(IF(IFERROR(PROPERTIES[[#This Row],[TE_COEFFICIENT_CALC]],0)=0,PROPERTIES[[#This Row],[TE_COEFFICIENT_MANUAL]],PROPERTIES[[#This Row],[TE_COEFFICIENT_CALC]]),3)</f>
        <v>0.28999999999999998</v>
      </c>
      <c r="U273" s="11">
        <v>40</v>
      </c>
      <c r="V273" s="9">
        <v>0</v>
      </c>
      <c r="W273" s="9">
        <v>0</v>
      </c>
      <c r="X273" s="10">
        <v>0</v>
      </c>
      <c r="Y273" t="s">
        <v>911</v>
      </c>
      <c r="Z273" t="s">
        <v>903</v>
      </c>
      <c r="AA273" s="2" t="s">
        <v>921</v>
      </c>
      <c r="AB273" s="9" t="s">
        <v>991</v>
      </c>
      <c r="AC273" s="9" t="s">
        <v>992</v>
      </c>
      <c r="AD273" s="10" t="str">
        <f>SUBSTITUTE(SUBSTITUTE(PROPERTIES[[#This Row],[PURCHASECOST_VALUE]], "PURCHASECOST_", ""), "_VALUE", "")</f>
        <v>DIESELENGINE</v>
      </c>
      <c r="AE273" s="9" t="str" cm="1">
        <f t="array" ref="AE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3" s="2" t="b">
        <v>0</v>
      </c>
      <c r="AX273"/>
      <c r="AY273"/>
      <c r="AZ273"/>
    </row>
    <row r="274" spans="1:52">
      <c r="A274" s="2" t="s">
        <v>296</v>
      </c>
      <c r="B274">
        <v>1991</v>
      </c>
      <c r="C274">
        <v>0</v>
      </c>
      <c r="D274" t="s">
        <v>1770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 s="2" t="s">
        <v>19</v>
      </c>
      <c r="K274" s="39">
        <f>_xlfn.XLOOKUP("LOADINGSPEEDDEF_"&amp;PROPERTIES[[#This Row],[LOADINGSPEED]],LOADINGSPEEDDEF[TYPE],LOADINGSPEEDDEF[SPEED])</f>
        <v>0</v>
      </c>
      <c r="L274">
        <v>45</v>
      </c>
      <c r="M274">
        <v>1</v>
      </c>
      <c r="N274" s="33">
        <v>117</v>
      </c>
      <c r="O274">
        <v>1876</v>
      </c>
      <c r="P274">
        <v>140</v>
      </c>
      <c r="Q274" s="30">
        <v>302</v>
      </c>
      <c r="R274" s="29">
        <f>IFERROR(PROPERTIES[[#This Row],[TE_STARTING_KN]]/(PROPERTIES[[#This Row],[WEIGHT]]*9.81),0)</f>
        <v>0.2631189175531683</v>
      </c>
      <c r="S274" s="29">
        <v>0.18</v>
      </c>
      <c r="T274" s="26">
        <f>ROUND(IF(IFERROR(PROPERTIES[[#This Row],[TE_COEFFICIENT_CALC]],0)=0,PROPERTIES[[#This Row],[TE_COEFFICIENT_MANUAL]],PROPERTIES[[#This Row],[TE_COEFFICIENT_CALC]]),3)</f>
        <v>0.26300000000000001</v>
      </c>
      <c r="U274" s="11">
        <v>40</v>
      </c>
      <c r="V274" s="9">
        <v>0</v>
      </c>
      <c r="W274" s="9">
        <v>0</v>
      </c>
      <c r="X274" s="10">
        <v>0</v>
      </c>
      <c r="Y274" t="s">
        <v>911</v>
      </c>
      <c r="Z274" t="s">
        <v>903</v>
      </c>
      <c r="AA274" s="2" t="s">
        <v>921</v>
      </c>
      <c r="AB274" s="9" t="s">
        <v>991</v>
      </c>
      <c r="AC274" s="9" t="s">
        <v>992</v>
      </c>
      <c r="AD274" s="10" t="str">
        <f>SUBSTITUTE(SUBSTITUTE(PROPERTIES[[#This Row],[PURCHASECOST_VALUE]], "PURCHASECOST_", ""), "_VALUE", "")</f>
        <v>DIESELENGINE</v>
      </c>
      <c r="AE274" s="9" t="str" cm="1">
        <f t="array" ref="AE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4" s="2" t="b">
        <v>0</v>
      </c>
      <c r="AX274"/>
      <c r="AY274"/>
      <c r="AZ274"/>
    </row>
    <row r="275" spans="1:52">
      <c r="A275" s="2" t="s">
        <v>297</v>
      </c>
      <c r="B275">
        <v>2013</v>
      </c>
      <c r="C275">
        <v>0</v>
      </c>
      <c r="D275" t="s">
        <v>1770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 s="2" t="s">
        <v>19</v>
      </c>
      <c r="K275" s="39">
        <f>_xlfn.XLOOKUP("LOADINGSPEEDDEF_"&amp;PROPERTIES[[#This Row],[LOADINGSPEED]],LOADINGSPEEDDEF[TYPE],LOADINGSPEEDDEF[SPEED])</f>
        <v>0</v>
      </c>
      <c r="L275" t="s">
        <v>20</v>
      </c>
      <c r="M275">
        <v>1</v>
      </c>
      <c r="N275" s="33">
        <v>120</v>
      </c>
      <c r="O275">
        <v>2950</v>
      </c>
      <c r="P275">
        <v>120</v>
      </c>
      <c r="Q275" s="30">
        <v>384</v>
      </c>
      <c r="R275" s="29">
        <f>IFERROR(PROPERTIES[[#This Row],[TE_STARTING_KN]]/(PROPERTIES[[#This Row],[WEIGHT]]*9.81),0)</f>
        <v>0.32619775739041795</v>
      </c>
      <c r="S275" s="29">
        <v>0.32</v>
      </c>
      <c r="T275" s="26">
        <f>ROUND(IF(IFERROR(PROPERTIES[[#This Row],[TE_COEFFICIENT_CALC]],0)=0,PROPERTIES[[#This Row],[TE_COEFFICIENT_MANUAL]],PROPERTIES[[#This Row],[TE_COEFFICIENT_CALC]]),3)</f>
        <v>0.32600000000000001</v>
      </c>
      <c r="U275" s="11">
        <v>40</v>
      </c>
      <c r="V275" s="9">
        <v>0</v>
      </c>
      <c r="W275" s="9">
        <v>0</v>
      </c>
      <c r="X275" s="10">
        <v>0</v>
      </c>
      <c r="Y275" t="s">
        <v>911</v>
      </c>
      <c r="Z275" t="s">
        <v>903</v>
      </c>
      <c r="AA275" s="2" t="s">
        <v>921</v>
      </c>
      <c r="AB275" s="9" t="s">
        <v>991</v>
      </c>
      <c r="AC275" s="9" t="s">
        <v>992</v>
      </c>
      <c r="AD275" s="10" t="str">
        <f>SUBSTITUTE(SUBSTITUTE(PROPERTIES[[#This Row],[PURCHASECOST_VALUE]], "PURCHASECOST_", ""), "_VALUE", "")</f>
        <v>DIESELENGINE</v>
      </c>
      <c r="AE275" s="9" t="str" cm="1">
        <f t="array" ref="AE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5" s="2" t="b">
        <v>0</v>
      </c>
      <c r="AX275"/>
      <c r="AY275"/>
      <c r="AZ275"/>
    </row>
    <row r="276" spans="1:52">
      <c r="A276" s="2" t="s">
        <v>298</v>
      </c>
      <c r="B276">
        <v>1939</v>
      </c>
      <c r="C276">
        <v>0</v>
      </c>
      <c r="D276" t="s">
        <v>2006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 s="2" t="s">
        <v>19</v>
      </c>
      <c r="K276" s="39">
        <f>_xlfn.XLOOKUP("LOADINGSPEEDDEF_"&amp;PROPERTIES[[#This Row],[LOADINGSPEED]],LOADINGSPEEDDEF[TYPE],LOADINGSPEEDDEF[SPEED])</f>
        <v>0</v>
      </c>
      <c r="L276">
        <v>45</v>
      </c>
      <c r="M276">
        <v>1</v>
      </c>
      <c r="N276" s="33">
        <v>68</v>
      </c>
      <c r="O276">
        <v>410</v>
      </c>
      <c r="P276">
        <v>60</v>
      </c>
      <c r="Q276" s="30">
        <v>157</v>
      </c>
      <c r="R276" s="29">
        <f>IFERROR(PROPERTIES[[#This Row],[TE_STARTING_KN]]/(PROPERTIES[[#This Row],[WEIGHT]]*9.81),0)</f>
        <v>0.23535408047010853</v>
      </c>
      <c r="S276" s="29">
        <v>0.23</v>
      </c>
      <c r="T276" s="26">
        <f>ROUND(IF(IFERROR(PROPERTIES[[#This Row],[TE_COEFFICIENT_CALC]],0)=0,PROPERTIES[[#This Row],[TE_COEFFICIENT_MANUAL]],PROPERTIES[[#This Row],[TE_COEFFICIENT_CALC]]),3)</f>
        <v>0.23499999999999999</v>
      </c>
      <c r="U276" s="11">
        <v>40</v>
      </c>
      <c r="V276" s="9">
        <v>0</v>
      </c>
      <c r="W276" s="9">
        <v>0</v>
      </c>
      <c r="X276" s="10">
        <v>0</v>
      </c>
      <c r="Y276" t="s">
        <v>907</v>
      </c>
      <c r="Z276" t="s">
        <v>903</v>
      </c>
      <c r="AA276" s="2" t="s">
        <v>921</v>
      </c>
      <c r="AB276" s="9" t="s">
        <v>991</v>
      </c>
      <c r="AC276" s="9" t="s">
        <v>992</v>
      </c>
      <c r="AD276" s="10" t="str">
        <f>SUBSTITUTE(SUBSTITUTE(PROPERTIES[[#This Row],[PURCHASECOST_VALUE]], "PURCHASECOST_", ""), "_VALUE", "")</f>
        <v>DIESELENGINE</v>
      </c>
      <c r="AE276" s="9" t="str" cm="1">
        <f t="array" ref="AE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76" s="2" t="b">
        <v>0</v>
      </c>
      <c r="AX276"/>
      <c r="AY276"/>
      <c r="AZ276"/>
    </row>
    <row r="277" spans="1:52">
      <c r="A277" s="2" t="s">
        <v>299</v>
      </c>
      <c r="B277">
        <v>1950</v>
      </c>
      <c r="C277">
        <v>0</v>
      </c>
      <c r="D277" t="s">
        <v>1822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 s="2" t="s">
        <v>19</v>
      </c>
      <c r="K277" s="39">
        <f>_xlfn.XLOOKUP("LOADINGSPEEDDEF_"&amp;PROPERTIES[[#This Row],[LOADINGSPEED]],LOADINGSPEEDDEF[TYPE],LOADINGSPEEDDEF[SPEED])</f>
        <v>0</v>
      </c>
      <c r="L277">
        <v>45</v>
      </c>
      <c r="M277">
        <v>1</v>
      </c>
      <c r="N277" s="33">
        <v>115</v>
      </c>
      <c r="O277">
        <v>800</v>
      </c>
      <c r="P277">
        <v>80</v>
      </c>
      <c r="Q277" s="30">
        <v>0</v>
      </c>
      <c r="R277" s="29">
        <f>IFERROR(PROPERTIES[[#This Row],[TE_STARTING_KN]]/(PROPERTIES[[#This Row],[WEIGHT]]*9.81),0)</f>
        <v>0</v>
      </c>
      <c r="S277" s="29">
        <v>0.16</v>
      </c>
      <c r="T277" s="26">
        <f>ROUND(IF(IFERROR(PROPERTIES[[#This Row],[TE_COEFFICIENT_CALC]],0)=0,PROPERTIES[[#This Row],[TE_COEFFICIENT_MANUAL]],PROPERTIES[[#This Row],[TE_COEFFICIENT_CALC]]),3)</f>
        <v>0.16</v>
      </c>
      <c r="U277" s="11">
        <v>40</v>
      </c>
      <c r="V277" s="9">
        <v>0</v>
      </c>
      <c r="W277" s="9">
        <v>0</v>
      </c>
      <c r="X277" s="10">
        <v>0</v>
      </c>
      <c r="Y277" t="s">
        <v>907</v>
      </c>
      <c r="Z277" t="s">
        <v>903</v>
      </c>
      <c r="AA277" s="2" t="s">
        <v>921</v>
      </c>
      <c r="AB277" s="9" t="s">
        <v>991</v>
      </c>
      <c r="AC277" s="9" t="s">
        <v>992</v>
      </c>
      <c r="AD277" s="10" t="str">
        <f>SUBSTITUTE(SUBSTITUTE(PROPERTIES[[#This Row],[PURCHASECOST_VALUE]], "PURCHASECOST_", ""), "_VALUE", "")</f>
        <v>DIESELENGINE</v>
      </c>
      <c r="AE277" s="9" t="str" cm="1">
        <f t="array" ref="AE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7" s="2" t="b">
        <v>0</v>
      </c>
      <c r="AX277"/>
      <c r="AY277"/>
      <c r="AZ277"/>
    </row>
    <row r="278" spans="1:52">
      <c r="A278" s="2" t="s">
        <v>300</v>
      </c>
      <c r="B278">
        <v>1960</v>
      </c>
      <c r="C278">
        <v>0</v>
      </c>
      <c r="D278" t="s">
        <v>1982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 s="2" t="s">
        <v>19</v>
      </c>
      <c r="K278" s="39">
        <f>_xlfn.XLOOKUP("LOADINGSPEEDDEF_"&amp;PROPERTIES[[#This Row],[LOADINGSPEED]],LOADINGSPEEDDEF[TYPE],LOADINGSPEEDDEF[SPEED])</f>
        <v>0</v>
      </c>
      <c r="L278">
        <v>45</v>
      </c>
      <c r="M278">
        <v>1</v>
      </c>
      <c r="N278" s="33">
        <v>59</v>
      </c>
      <c r="O278">
        <v>875</v>
      </c>
      <c r="P278">
        <v>100</v>
      </c>
      <c r="Q278" s="30">
        <v>0</v>
      </c>
      <c r="R278" s="29">
        <f>IFERROR(PROPERTIES[[#This Row],[TE_STARTING_KN]]/(PROPERTIES[[#This Row],[WEIGHT]]*9.81),0)</f>
        <v>0</v>
      </c>
      <c r="S278" s="29">
        <v>0.25</v>
      </c>
      <c r="T278" s="26">
        <f>ROUND(IF(IFERROR(PROPERTIES[[#This Row],[TE_COEFFICIENT_CALC]],0)=0,PROPERTIES[[#This Row],[TE_COEFFICIENT_MANUAL]],PROPERTIES[[#This Row],[TE_COEFFICIENT_CALC]]),3)</f>
        <v>0.25</v>
      </c>
      <c r="U278" s="11">
        <v>40</v>
      </c>
      <c r="V278" s="9">
        <v>0</v>
      </c>
      <c r="W278" s="9">
        <v>0</v>
      </c>
      <c r="X278" s="10">
        <v>0</v>
      </c>
      <c r="Y278" t="s">
        <v>907</v>
      </c>
      <c r="Z278" t="s">
        <v>903</v>
      </c>
      <c r="AA278" s="2" t="s">
        <v>921</v>
      </c>
      <c r="AB278" s="9" t="s">
        <v>991</v>
      </c>
      <c r="AC278" s="9" t="s">
        <v>992</v>
      </c>
      <c r="AD278" s="10" t="str">
        <f>SUBSTITUTE(SUBSTITUTE(PROPERTIES[[#This Row],[PURCHASECOST_VALUE]], "PURCHASECOST_", ""), "_VALUE", "")</f>
        <v>DIESELENGINE</v>
      </c>
      <c r="AE278" s="9" t="str" cm="1">
        <f t="array" ref="AE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8" s="2" t="b">
        <v>0</v>
      </c>
      <c r="AX278"/>
      <c r="AY278"/>
      <c r="AZ278"/>
    </row>
    <row r="279" spans="1:52">
      <c r="A279" s="2" t="s">
        <v>301</v>
      </c>
      <c r="B279">
        <v>1974</v>
      </c>
      <c r="C279">
        <v>0</v>
      </c>
      <c r="D279" t="s">
        <v>1825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 s="2" t="s">
        <v>19</v>
      </c>
      <c r="K279" s="39">
        <f>_xlfn.XLOOKUP("LOADINGSPEEDDEF_"&amp;PROPERTIES[[#This Row],[LOADINGSPEED]],LOADINGSPEEDDEF[TYPE],LOADINGSPEEDDEF[SPEED])</f>
        <v>0</v>
      </c>
      <c r="L279">
        <v>45</v>
      </c>
      <c r="M279">
        <v>1</v>
      </c>
      <c r="N279" s="33">
        <v>120</v>
      </c>
      <c r="O279">
        <v>2800</v>
      </c>
      <c r="P279">
        <v>120</v>
      </c>
      <c r="Q279" s="30">
        <v>365</v>
      </c>
      <c r="R279" s="29">
        <f>IFERROR(PROPERTIES[[#This Row],[TE_STARTING_KN]]/(PROPERTIES[[#This Row],[WEIGHT]]*9.81),0)</f>
        <v>0.31005776418620457</v>
      </c>
      <c r="S279" s="29">
        <v>0.17</v>
      </c>
      <c r="T279" s="26">
        <f>ROUND(IF(IFERROR(PROPERTIES[[#This Row],[TE_COEFFICIENT_CALC]],0)=0,PROPERTIES[[#This Row],[TE_COEFFICIENT_MANUAL]],PROPERTIES[[#This Row],[TE_COEFFICIENT_CALC]]),3)</f>
        <v>0.31</v>
      </c>
      <c r="U279" s="11">
        <v>40</v>
      </c>
      <c r="V279" s="9">
        <v>0</v>
      </c>
      <c r="W279" s="9">
        <v>0</v>
      </c>
      <c r="X279" s="10">
        <v>0</v>
      </c>
      <c r="Y279" t="s">
        <v>907</v>
      </c>
      <c r="Z279" t="s">
        <v>903</v>
      </c>
      <c r="AA279" s="2" t="s">
        <v>921</v>
      </c>
      <c r="AB279" s="9" t="s">
        <v>991</v>
      </c>
      <c r="AC279" s="9" t="s">
        <v>992</v>
      </c>
      <c r="AD279" s="10" t="str">
        <f>SUBSTITUTE(SUBSTITUTE(PROPERTIES[[#This Row],[PURCHASECOST_VALUE]], "PURCHASECOST_", ""), "_VALUE", "")</f>
        <v>DIESELENGINE</v>
      </c>
      <c r="AE279" s="9" t="str" cm="1">
        <f t="array" ref="AE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9" s="2" t="b">
        <v>0</v>
      </c>
      <c r="AX279"/>
      <c r="AY279"/>
      <c r="AZ279"/>
    </row>
    <row r="280" spans="1:52">
      <c r="A280" s="2" t="s">
        <v>302</v>
      </c>
      <c r="B280">
        <v>1977</v>
      </c>
      <c r="C280">
        <v>0</v>
      </c>
      <c r="D280" t="s">
        <v>1982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 s="2" t="s">
        <v>19</v>
      </c>
      <c r="K280" s="39">
        <f>_xlfn.XLOOKUP("LOADINGSPEEDDEF_"&amp;PROPERTIES[[#This Row],[LOADINGSPEED]],LOADINGSPEEDDEF[TYPE],LOADINGSPEEDDEF[SPEED])</f>
        <v>0</v>
      </c>
      <c r="L280">
        <v>45</v>
      </c>
      <c r="M280">
        <v>1</v>
      </c>
      <c r="N280" s="33">
        <v>53</v>
      </c>
      <c r="O280">
        <v>700</v>
      </c>
      <c r="P280">
        <v>75</v>
      </c>
      <c r="Q280" s="30">
        <v>128</v>
      </c>
      <c r="R280" s="29">
        <f>IFERROR(PROPERTIES[[#This Row],[TE_STARTING_KN]]/(PROPERTIES[[#This Row],[WEIGHT]]*9.81),0)</f>
        <v>0.24618698670974937</v>
      </c>
      <c r="S280" s="29">
        <v>0.28000000000000003</v>
      </c>
      <c r="T280" s="26">
        <f>ROUND(IF(IFERROR(PROPERTIES[[#This Row],[TE_COEFFICIENT_CALC]],0)=0,PROPERTIES[[#This Row],[TE_COEFFICIENT_MANUAL]],PROPERTIES[[#This Row],[TE_COEFFICIENT_CALC]]),3)</f>
        <v>0.246</v>
      </c>
      <c r="U280" s="11">
        <v>40</v>
      </c>
      <c r="V280" s="9">
        <v>0</v>
      </c>
      <c r="W280" s="9">
        <v>0</v>
      </c>
      <c r="X280" s="10">
        <v>0</v>
      </c>
      <c r="Y280" t="s">
        <v>907</v>
      </c>
      <c r="Z280" t="s">
        <v>903</v>
      </c>
      <c r="AA280" s="2" t="s">
        <v>921</v>
      </c>
      <c r="AB280" s="9" t="s">
        <v>991</v>
      </c>
      <c r="AC280" s="9" t="s">
        <v>992</v>
      </c>
      <c r="AD280" s="10" t="str">
        <f>SUBSTITUTE(SUBSTITUTE(PROPERTIES[[#This Row],[PURCHASECOST_VALUE]], "PURCHASECOST_", ""), "_VALUE", "")</f>
        <v>DIESELENGINE</v>
      </c>
      <c r="AE280" s="9" t="str" cm="1">
        <f t="array" ref="AE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0" s="2" t="b">
        <v>0</v>
      </c>
      <c r="AX280"/>
      <c r="AY280"/>
      <c r="AZ280"/>
    </row>
    <row r="281" spans="1:52">
      <c r="A281" s="2" t="s">
        <v>303</v>
      </c>
      <c r="B281">
        <v>1989</v>
      </c>
      <c r="C281">
        <v>0</v>
      </c>
      <c r="D281" t="s">
        <v>1896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 s="2" t="s">
        <v>19</v>
      </c>
      <c r="K281" s="39">
        <f>_xlfn.XLOOKUP("LOADINGSPEEDDEF_"&amp;PROPERTIES[[#This Row],[LOADINGSPEED]],LOADINGSPEEDDEF[TYPE],LOADINGSPEEDDEF[SPEED])</f>
        <v>0</v>
      </c>
      <c r="L281">
        <v>45</v>
      </c>
      <c r="M281">
        <v>1</v>
      </c>
      <c r="N281" s="33">
        <v>108</v>
      </c>
      <c r="O281">
        <v>3400</v>
      </c>
      <c r="P281">
        <v>135</v>
      </c>
      <c r="Q281" s="30">
        <v>360</v>
      </c>
      <c r="R281" s="29">
        <f>IFERROR(PROPERTIES[[#This Row],[TE_STARTING_KN]]/(PROPERTIES[[#This Row],[WEIGHT]]*9.81),0)</f>
        <v>0.3397893306150187</v>
      </c>
      <c r="S281" s="29">
        <v>0.33</v>
      </c>
      <c r="T281" s="26">
        <f>ROUND(IF(IFERROR(PROPERTIES[[#This Row],[TE_COEFFICIENT_CALC]],0)=0,PROPERTIES[[#This Row],[TE_COEFFICIENT_MANUAL]],PROPERTIES[[#This Row],[TE_COEFFICIENT_CALC]]),3)</f>
        <v>0.34</v>
      </c>
      <c r="U281" s="11">
        <v>40</v>
      </c>
      <c r="V281" s="9">
        <v>0</v>
      </c>
      <c r="W281" s="9">
        <v>0</v>
      </c>
      <c r="X281" s="10">
        <v>0</v>
      </c>
      <c r="Y281" t="s">
        <v>907</v>
      </c>
      <c r="Z281" t="s">
        <v>903</v>
      </c>
      <c r="AA281" s="2" t="s">
        <v>921</v>
      </c>
      <c r="AB281" s="9" t="s">
        <v>991</v>
      </c>
      <c r="AC281" s="9" t="s">
        <v>992</v>
      </c>
      <c r="AD281" s="10" t="str">
        <f>SUBSTITUTE(SUBSTITUTE(PROPERTIES[[#This Row],[PURCHASECOST_VALUE]], "PURCHASECOST_", ""), "_VALUE", "")</f>
        <v>DIESELENGINE</v>
      </c>
      <c r="AE281" s="9" t="str" cm="1">
        <f t="array" ref="AE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1" s="2" t="b">
        <v>0</v>
      </c>
      <c r="AX281"/>
      <c r="AY281"/>
      <c r="AZ281"/>
    </row>
    <row r="282" spans="1:52">
      <c r="A282" s="2" t="s">
        <v>304</v>
      </c>
      <c r="B282">
        <v>1964</v>
      </c>
      <c r="C282">
        <v>0</v>
      </c>
      <c r="D282" t="s">
        <v>1989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 s="2" t="s">
        <v>19</v>
      </c>
      <c r="K282" s="39">
        <f>_xlfn.XLOOKUP("LOADINGSPEEDDEF_"&amp;PROPERTIES[[#This Row],[LOADINGSPEED]],LOADINGSPEEDDEF[TYPE],LOADINGSPEEDDEF[SPEED])</f>
        <v>0</v>
      </c>
      <c r="L282">
        <v>45</v>
      </c>
      <c r="M282">
        <v>1</v>
      </c>
      <c r="N282" s="33">
        <v>129</v>
      </c>
      <c r="O282">
        <v>2290</v>
      </c>
      <c r="P282">
        <v>140</v>
      </c>
      <c r="Q282" s="30">
        <v>245</v>
      </c>
      <c r="R282" s="29">
        <f>IFERROR(PROPERTIES[[#This Row],[TE_STARTING_KN]]/(PROPERTIES[[#This Row],[WEIGHT]]*9.81),0)</f>
        <v>0.19360089767599903</v>
      </c>
      <c r="S282" s="29">
        <v>0.13</v>
      </c>
      <c r="T282" s="26">
        <f>ROUND(IF(IFERROR(PROPERTIES[[#This Row],[TE_COEFFICIENT_CALC]],0)=0,PROPERTIES[[#This Row],[TE_COEFFICIENT_MANUAL]],PROPERTIES[[#This Row],[TE_COEFFICIENT_CALC]]),3)</f>
        <v>0.19400000000000001</v>
      </c>
      <c r="U282" s="11">
        <v>40</v>
      </c>
      <c r="V282" s="9">
        <v>0</v>
      </c>
      <c r="W282" s="9">
        <v>0</v>
      </c>
      <c r="X282" s="10">
        <v>0</v>
      </c>
      <c r="Y282" t="s">
        <v>910</v>
      </c>
      <c r="Z282" t="s">
        <v>903</v>
      </c>
      <c r="AA282" s="2" t="s">
        <v>921</v>
      </c>
      <c r="AB282" s="9" t="s">
        <v>991</v>
      </c>
      <c r="AC282" s="9" t="s">
        <v>992</v>
      </c>
      <c r="AD282" s="10" t="str">
        <f>SUBSTITUTE(SUBSTITUTE(PROPERTIES[[#This Row],[PURCHASECOST_VALUE]], "PURCHASECOST_", ""), "_VALUE", "")</f>
        <v>DIESELENGINE</v>
      </c>
      <c r="AE282" s="9" t="str" cm="1">
        <f t="array" ref="AE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2" s="2" t="b">
        <v>0</v>
      </c>
      <c r="AX282"/>
      <c r="AY282"/>
      <c r="AZ282"/>
    </row>
    <row r="283" spans="1:52">
      <c r="A283" s="2" t="s">
        <v>305</v>
      </c>
      <c r="B283">
        <v>1981</v>
      </c>
      <c r="C283">
        <v>0</v>
      </c>
      <c r="D283" t="s">
        <v>1950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 s="2" t="s">
        <v>19</v>
      </c>
      <c r="K283" s="39">
        <f>_xlfn.XLOOKUP("LOADINGSPEEDDEF_"&amp;PROPERTIES[[#This Row],[LOADINGSPEED]],LOADINGSPEEDDEF[TYPE],LOADINGSPEEDDEF[SPEED])</f>
        <v>0</v>
      </c>
      <c r="L283">
        <v>45</v>
      </c>
      <c r="M283">
        <v>0</v>
      </c>
      <c r="N283" s="33">
        <v>276</v>
      </c>
      <c r="O283">
        <v>6160</v>
      </c>
      <c r="P283">
        <v>100</v>
      </c>
      <c r="Q283" s="30">
        <v>784</v>
      </c>
      <c r="R283" s="29">
        <f>IFERROR(PROPERTIES[[#This Row],[TE_STARTING_KN]]/(PROPERTIES[[#This Row],[WEIGHT]]*9.81),0)</f>
        <v>0.28955960348062465</v>
      </c>
      <c r="S283" s="29">
        <v>0.18</v>
      </c>
      <c r="T283" s="26">
        <f>ROUND(IF(IFERROR(PROPERTIES[[#This Row],[TE_COEFFICIENT_CALC]],0)=0,PROPERTIES[[#This Row],[TE_COEFFICIENT_MANUAL]],PROPERTIES[[#This Row],[TE_COEFFICIENT_CALC]]),3)</f>
        <v>0.28999999999999998</v>
      </c>
      <c r="U283" s="11">
        <v>40</v>
      </c>
      <c r="V283" s="9">
        <v>0</v>
      </c>
      <c r="W283" s="9">
        <v>0</v>
      </c>
      <c r="X283" s="10">
        <v>0</v>
      </c>
      <c r="Y283" t="s">
        <v>910</v>
      </c>
      <c r="Z283" t="s">
        <v>903</v>
      </c>
      <c r="AA283" s="2" t="s">
        <v>921</v>
      </c>
      <c r="AB283" s="9" t="s">
        <v>991</v>
      </c>
      <c r="AC283" s="9" t="s">
        <v>992</v>
      </c>
      <c r="AD283" s="10" t="str">
        <f>SUBSTITUTE(SUBSTITUTE(PROPERTIES[[#This Row],[PURCHASECOST_VALUE]], "PURCHASECOST_", ""), "_VALUE", "")</f>
        <v>DIESELENGINE</v>
      </c>
      <c r="AE283" s="9" t="str" cm="1">
        <f t="array" ref="AE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3" s="2" t="b">
        <v>0</v>
      </c>
      <c r="AX283"/>
      <c r="AY283"/>
      <c r="AZ283"/>
    </row>
    <row r="284" spans="1:52">
      <c r="A284" s="2" t="s">
        <v>306</v>
      </c>
      <c r="B284">
        <v>1985</v>
      </c>
      <c r="C284">
        <v>0</v>
      </c>
      <c r="D284" t="s">
        <v>1938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 s="2" t="s">
        <v>19</v>
      </c>
      <c r="K284" s="39">
        <f>_xlfn.XLOOKUP("LOADINGSPEEDDEF_"&amp;PROPERTIES[[#This Row],[LOADINGSPEED]],LOADINGSPEEDDEF[TYPE],LOADINGSPEEDDEF[SPEED])</f>
        <v>0</v>
      </c>
      <c r="L284">
        <v>45</v>
      </c>
      <c r="M284">
        <v>1</v>
      </c>
      <c r="N284" s="33">
        <v>74</v>
      </c>
      <c r="O284">
        <v>1015</v>
      </c>
      <c r="P284">
        <v>100</v>
      </c>
      <c r="Q284" s="30">
        <v>181.42</v>
      </c>
      <c r="R284" s="29">
        <f>IFERROR(PROPERTIES[[#This Row],[TE_STARTING_KN]]/(PROPERTIES[[#This Row],[WEIGHT]]*9.81),0)</f>
        <v>0.2499104609196352</v>
      </c>
      <c r="S284" s="29">
        <v>0.25</v>
      </c>
      <c r="T284" s="26">
        <f>ROUND(IF(IFERROR(PROPERTIES[[#This Row],[TE_COEFFICIENT_CALC]],0)=0,PROPERTIES[[#This Row],[TE_COEFFICIENT_MANUAL]],PROPERTIES[[#This Row],[TE_COEFFICIENT_CALC]]),3)</f>
        <v>0.25</v>
      </c>
      <c r="U284" s="11">
        <v>40</v>
      </c>
      <c r="V284" s="9">
        <v>0</v>
      </c>
      <c r="W284" s="9">
        <v>0</v>
      </c>
      <c r="X284" s="10">
        <v>0</v>
      </c>
      <c r="Y284" t="s">
        <v>910</v>
      </c>
      <c r="Z284" t="s">
        <v>903</v>
      </c>
      <c r="AA284" s="2" t="s">
        <v>921</v>
      </c>
      <c r="AB284" s="9" t="s">
        <v>991</v>
      </c>
      <c r="AC284" s="9" t="s">
        <v>992</v>
      </c>
      <c r="AD284" s="10" t="str">
        <f>SUBSTITUTE(SUBSTITUTE(PROPERTIES[[#This Row],[PURCHASECOST_VALUE]], "PURCHASECOST_", ""), "_VALUE", "")</f>
        <v>DIESELENGINE</v>
      </c>
      <c r="AE284" s="9" t="str" cm="1">
        <f t="array" ref="AE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4" s="2" t="b">
        <v>0</v>
      </c>
      <c r="AX284"/>
      <c r="AY284"/>
      <c r="AZ284"/>
    </row>
    <row r="285" spans="1:52">
      <c r="A285" s="2" t="s">
        <v>307</v>
      </c>
      <c r="B285">
        <v>1987</v>
      </c>
      <c r="C285">
        <v>0</v>
      </c>
      <c r="D285" t="s">
        <v>1989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 s="2" t="s">
        <v>19</v>
      </c>
      <c r="K285" s="39">
        <f>_xlfn.XLOOKUP("LOADINGSPEEDDEF_"&amp;PROPERTIES[[#This Row],[LOADINGSPEED]],LOADINGSPEEDDEF[TYPE],LOADINGSPEEDDEF[SPEED])</f>
        <v>0</v>
      </c>
      <c r="L285">
        <v>45</v>
      </c>
      <c r="M285">
        <v>0</v>
      </c>
      <c r="N285" s="33">
        <v>272</v>
      </c>
      <c r="O285">
        <v>6035</v>
      </c>
      <c r="P285">
        <v>100</v>
      </c>
      <c r="Q285" s="30">
        <f>2*255</f>
        <v>510</v>
      </c>
      <c r="R285" s="29">
        <f>IFERROR(PROPERTIES[[#This Row],[TE_STARTING_KN]]/(PROPERTIES[[#This Row],[WEIGHT]]*9.81),0)</f>
        <v>0.19113149847094801</v>
      </c>
      <c r="S285" s="29">
        <v>0.2</v>
      </c>
      <c r="T285" s="26">
        <f>ROUND(IF(IFERROR(PROPERTIES[[#This Row],[TE_COEFFICIENT_CALC]],0)=0,PROPERTIES[[#This Row],[TE_COEFFICIENT_MANUAL]],PROPERTIES[[#This Row],[TE_COEFFICIENT_CALC]]),3)</f>
        <v>0.191</v>
      </c>
      <c r="U285" s="11">
        <v>40</v>
      </c>
      <c r="V285" s="9">
        <v>0</v>
      </c>
      <c r="W285" s="9">
        <v>0</v>
      </c>
      <c r="X285" s="10">
        <v>0</v>
      </c>
      <c r="Y285" t="s">
        <v>910</v>
      </c>
      <c r="Z285" t="s">
        <v>903</v>
      </c>
      <c r="AA285" s="2" t="s">
        <v>921</v>
      </c>
      <c r="AB285" s="9" t="s">
        <v>991</v>
      </c>
      <c r="AC285" s="9" t="s">
        <v>992</v>
      </c>
      <c r="AD285" s="10" t="str">
        <f>SUBSTITUTE(SUBSTITUTE(PROPERTIES[[#This Row],[PURCHASECOST_VALUE]], "PURCHASECOST_", ""), "_VALUE", "")</f>
        <v>DIESELENGINE</v>
      </c>
      <c r="AE285" s="9" t="str" cm="1">
        <f t="array" ref="AE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5" s="2" t="b">
        <v>0</v>
      </c>
      <c r="AX285"/>
      <c r="AY285"/>
      <c r="AZ285"/>
    </row>
    <row r="286" spans="1:52">
      <c r="A286" s="2" t="s">
        <v>308</v>
      </c>
      <c r="B286">
        <v>1989</v>
      </c>
      <c r="C286">
        <v>0</v>
      </c>
      <c r="D286" t="s">
        <v>1989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 s="2" t="s">
        <v>19</v>
      </c>
      <c r="K286" s="39">
        <f>_xlfn.XLOOKUP("LOADINGSPEEDDEF_"&amp;PROPERTIES[[#This Row],[LOADINGSPEED]],LOADINGSPEEDDEF[TYPE],LOADINGSPEEDDEF[SPEED])</f>
        <v>0</v>
      </c>
      <c r="L286">
        <v>45</v>
      </c>
      <c r="M286">
        <v>0</v>
      </c>
      <c r="N286" s="33">
        <v>276</v>
      </c>
      <c r="O286">
        <v>4560</v>
      </c>
      <c r="P286">
        <v>120</v>
      </c>
      <c r="Q286" s="30">
        <v>0</v>
      </c>
      <c r="R286" s="29">
        <f>IFERROR(PROPERTIES[[#This Row],[TE_STARTING_KN]]/(PROPERTIES[[#This Row],[WEIGHT]]*9.81),0)</f>
        <v>0</v>
      </c>
      <c r="S286" s="29">
        <v>0.15</v>
      </c>
      <c r="T286" s="26">
        <f>ROUND(IF(IFERROR(PROPERTIES[[#This Row],[TE_COEFFICIENT_CALC]],0)=0,PROPERTIES[[#This Row],[TE_COEFFICIENT_MANUAL]],PROPERTIES[[#This Row],[TE_COEFFICIENT_CALC]]),3)</f>
        <v>0.15</v>
      </c>
      <c r="U286" s="11">
        <v>40</v>
      </c>
      <c r="V286" s="9">
        <v>0</v>
      </c>
      <c r="W286" s="9">
        <v>0</v>
      </c>
      <c r="X286" s="10">
        <v>0</v>
      </c>
      <c r="Y286" t="s">
        <v>910</v>
      </c>
      <c r="Z286" t="s">
        <v>903</v>
      </c>
      <c r="AA286" s="2" t="s">
        <v>921</v>
      </c>
      <c r="AB286" s="9" t="s">
        <v>991</v>
      </c>
      <c r="AC286" s="9" t="s">
        <v>992</v>
      </c>
      <c r="AD286" s="10" t="str">
        <f>SUBSTITUTE(SUBSTITUTE(PROPERTIES[[#This Row],[PURCHASECOST_VALUE]], "PURCHASECOST_", ""), "_VALUE", "")</f>
        <v>DIESELENGINE</v>
      </c>
      <c r="AE286" s="9" t="str" cm="1">
        <f t="array" ref="AE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6" s="2" t="b">
        <v>0</v>
      </c>
      <c r="AX286"/>
      <c r="AY286"/>
      <c r="AZ286"/>
    </row>
    <row r="287" spans="1:52">
      <c r="A287" s="2" t="s">
        <v>309</v>
      </c>
      <c r="B287">
        <v>1992</v>
      </c>
      <c r="C287">
        <v>0</v>
      </c>
      <c r="D287" t="s">
        <v>1949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 s="2" t="s">
        <v>19</v>
      </c>
      <c r="K287" s="39">
        <f>_xlfn.XLOOKUP("LOADINGSPEEDDEF_"&amp;PROPERTIES[[#This Row],[LOADINGSPEED]],LOADINGSPEEDDEF[TYPE],LOADINGSPEEDDEF[SPEED])</f>
        <v>0</v>
      </c>
      <c r="L287">
        <v>45</v>
      </c>
      <c r="M287">
        <v>0</v>
      </c>
      <c r="N287" s="33">
        <v>36</v>
      </c>
      <c r="O287">
        <v>530</v>
      </c>
      <c r="P287">
        <v>80</v>
      </c>
      <c r="Q287" s="30">
        <v>108</v>
      </c>
      <c r="R287" s="29">
        <f>IFERROR(PROPERTIES[[#This Row],[TE_STARTING_KN]]/(PROPERTIES[[#This Row],[WEIGHT]]*9.81),0)</f>
        <v>0.3058103975535168</v>
      </c>
      <c r="S287" s="29">
        <v>0.3</v>
      </c>
      <c r="T287" s="26">
        <f>ROUND(IF(IFERROR(PROPERTIES[[#This Row],[TE_COEFFICIENT_CALC]],0)=0,PROPERTIES[[#This Row],[TE_COEFFICIENT_MANUAL]],PROPERTIES[[#This Row],[TE_COEFFICIENT_CALC]]),3)</f>
        <v>0.30599999999999999</v>
      </c>
      <c r="U287" s="11">
        <v>40</v>
      </c>
      <c r="V287" s="9">
        <v>0</v>
      </c>
      <c r="W287" s="9">
        <v>0</v>
      </c>
      <c r="X287" s="10">
        <v>0</v>
      </c>
      <c r="Y287" t="s">
        <v>910</v>
      </c>
      <c r="Z287" t="s">
        <v>903</v>
      </c>
      <c r="AA287" s="2" t="s">
        <v>921</v>
      </c>
      <c r="AB287" s="9" t="s">
        <v>991</v>
      </c>
      <c r="AC287" s="9" t="s">
        <v>992</v>
      </c>
      <c r="AD287" s="10" t="str">
        <f>SUBSTITUTE(SUBSTITUTE(PROPERTIES[[#This Row],[PURCHASECOST_VALUE]], "PURCHASECOST_", ""), "_VALUE", "")</f>
        <v>DIESELENGINE</v>
      </c>
      <c r="AE287" s="9" t="str" cm="1">
        <f t="array" ref="AE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7" s="2" t="b">
        <v>0</v>
      </c>
      <c r="AX287"/>
      <c r="AY287"/>
      <c r="AZ287"/>
    </row>
    <row r="288" spans="1:52">
      <c r="A288" s="2" t="s">
        <v>310</v>
      </c>
      <c r="B288">
        <v>1931</v>
      </c>
      <c r="C288">
        <v>0</v>
      </c>
      <c r="D288" t="s">
        <v>1869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 s="2" t="s">
        <v>19</v>
      </c>
      <c r="K288" s="39">
        <f>_xlfn.XLOOKUP("LOADINGSPEEDDEF_"&amp;PROPERTIES[[#This Row],[LOADINGSPEED]],LOADINGSPEEDDEF[TYPE],LOADINGSPEEDDEF[SPEED])</f>
        <v>0</v>
      </c>
      <c r="L288">
        <v>45</v>
      </c>
      <c r="M288">
        <v>1</v>
      </c>
      <c r="N288" s="33">
        <v>6</v>
      </c>
      <c r="O288">
        <v>75</v>
      </c>
      <c r="P288">
        <v>30</v>
      </c>
      <c r="Q288" s="30">
        <v>13</v>
      </c>
      <c r="R288" s="29">
        <f>IFERROR(PROPERTIES[[#This Row],[TE_STARTING_KN]]/(PROPERTIES[[#This Row],[WEIGHT]]*9.81),0)</f>
        <v>0.22086306489976215</v>
      </c>
      <c r="S288" s="29">
        <v>0.27</v>
      </c>
      <c r="T288" s="26">
        <f>ROUND(IF(IFERROR(PROPERTIES[[#This Row],[TE_COEFFICIENT_CALC]],0)=0,PROPERTIES[[#This Row],[TE_COEFFICIENT_MANUAL]],PROPERTIES[[#This Row],[TE_COEFFICIENT_CALC]]),3)</f>
        <v>0.221</v>
      </c>
      <c r="U288" s="11">
        <v>40</v>
      </c>
      <c r="V288" s="9">
        <v>0</v>
      </c>
      <c r="W288" s="9">
        <v>0</v>
      </c>
      <c r="X288" s="10">
        <v>0</v>
      </c>
      <c r="Y288" t="s">
        <v>905</v>
      </c>
      <c r="Z288" t="s">
        <v>903</v>
      </c>
      <c r="AA288" s="2" t="s">
        <v>921</v>
      </c>
      <c r="AB288" s="9" t="s">
        <v>991</v>
      </c>
      <c r="AC288" s="9" t="s">
        <v>992</v>
      </c>
      <c r="AD288" s="10" t="str">
        <f>SUBSTITUTE(SUBSTITUTE(PROPERTIES[[#This Row],[PURCHASECOST_VALUE]], "PURCHASECOST_", ""), "_VALUE", "")</f>
        <v>DIESELENGINE</v>
      </c>
      <c r="AE288" s="9" t="str" cm="1">
        <f t="array" ref="AE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88" s="2" t="b">
        <v>0</v>
      </c>
      <c r="AX288"/>
      <c r="AY288"/>
      <c r="AZ288"/>
    </row>
    <row r="289" spans="1:52">
      <c r="A289" s="2" t="s">
        <v>311</v>
      </c>
      <c r="B289">
        <v>1945</v>
      </c>
      <c r="C289">
        <v>0</v>
      </c>
      <c r="D289" t="s">
        <v>1950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 s="2" t="s">
        <v>19</v>
      </c>
      <c r="K289" s="39">
        <f>_xlfn.XLOOKUP("LOADINGSPEEDDEF_"&amp;PROPERTIES[[#This Row],[LOADINGSPEED]],LOADINGSPEEDDEF[TYPE],LOADINGSPEEDDEF[SPEED])</f>
        <v>0</v>
      </c>
      <c r="L289">
        <v>45</v>
      </c>
      <c r="M289">
        <v>1</v>
      </c>
      <c r="N289" s="33">
        <v>122</v>
      </c>
      <c r="O289">
        <v>1000</v>
      </c>
      <c r="P289">
        <v>97</v>
      </c>
      <c r="Q289" s="30">
        <v>310</v>
      </c>
      <c r="R289" s="29">
        <f>IFERROR(PROPERTIES[[#This Row],[TE_STARTING_KN]]/(PROPERTIES[[#This Row],[WEIGHT]]*9.81),0)</f>
        <v>0.2590197356327601</v>
      </c>
      <c r="S289" s="29">
        <v>0.15</v>
      </c>
      <c r="T289" s="26">
        <f>ROUND(IF(IFERROR(PROPERTIES[[#This Row],[TE_COEFFICIENT_CALC]],0)=0,PROPERTIES[[#This Row],[TE_COEFFICIENT_MANUAL]],PROPERTIES[[#This Row],[TE_COEFFICIENT_CALC]]),3)</f>
        <v>0.25900000000000001</v>
      </c>
      <c r="U289" s="11">
        <v>40</v>
      </c>
      <c r="V289" s="9">
        <v>0</v>
      </c>
      <c r="W289" s="9">
        <v>0</v>
      </c>
      <c r="X289" s="10">
        <v>0</v>
      </c>
      <c r="Y289" t="s">
        <v>912</v>
      </c>
      <c r="Z289" t="s">
        <v>903</v>
      </c>
      <c r="AA289" s="2" t="s">
        <v>921</v>
      </c>
      <c r="AB289" s="9" t="s">
        <v>991</v>
      </c>
      <c r="AC289" s="9" t="s">
        <v>992</v>
      </c>
      <c r="AD289" s="10" t="str">
        <f>SUBSTITUTE(SUBSTITUTE(PROPERTIES[[#This Row],[PURCHASECOST_VALUE]], "PURCHASECOST_", ""), "_VALUE", "")</f>
        <v>DIESELENGINE</v>
      </c>
      <c r="AE289" s="9" t="str" cm="1">
        <f t="array" ref="AE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9" s="2" t="b">
        <v>0</v>
      </c>
      <c r="AX289"/>
      <c r="AY289"/>
      <c r="AZ289"/>
    </row>
    <row r="290" spans="1:52">
      <c r="A290" s="2" t="s">
        <v>312</v>
      </c>
      <c r="B290">
        <v>1948</v>
      </c>
      <c r="C290">
        <v>0</v>
      </c>
      <c r="D290" t="s">
        <v>1943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 s="2" t="s">
        <v>19</v>
      </c>
      <c r="K290" s="39">
        <f>_xlfn.XLOOKUP("LOADINGSPEEDDEF_"&amp;PROPERTIES[[#This Row],[LOADINGSPEED]],LOADINGSPEEDDEF[TYPE],LOADINGSPEEDDEF[SPEED])</f>
        <v>0</v>
      </c>
      <c r="L290">
        <v>45</v>
      </c>
      <c r="M290">
        <v>1</v>
      </c>
      <c r="N290" s="33">
        <v>111</v>
      </c>
      <c r="O290">
        <v>1500</v>
      </c>
      <c r="P290">
        <v>120</v>
      </c>
      <c r="Q290" s="30">
        <v>0</v>
      </c>
      <c r="R290" s="29">
        <f>IFERROR(PROPERTIES[[#This Row],[TE_STARTING_KN]]/(PROPERTIES[[#This Row],[WEIGHT]]*9.81),0)</f>
        <v>0</v>
      </c>
      <c r="S290" s="29">
        <v>0.15</v>
      </c>
      <c r="T290" s="26">
        <f>ROUND(IF(IFERROR(PROPERTIES[[#This Row],[TE_COEFFICIENT_CALC]],0)=0,PROPERTIES[[#This Row],[TE_COEFFICIENT_MANUAL]],PROPERTIES[[#This Row],[TE_COEFFICIENT_CALC]]),3)</f>
        <v>0.15</v>
      </c>
      <c r="U290" s="11">
        <v>40</v>
      </c>
      <c r="V290" s="9">
        <v>0</v>
      </c>
      <c r="W290" s="9">
        <v>0</v>
      </c>
      <c r="X290" s="10">
        <v>0</v>
      </c>
      <c r="Y290" t="s">
        <v>905</v>
      </c>
      <c r="Z290" t="s">
        <v>903</v>
      </c>
      <c r="AA290" s="2" t="s">
        <v>921</v>
      </c>
      <c r="AB290" s="9" t="s">
        <v>991</v>
      </c>
      <c r="AC290" s="9" t="s">
        <v>992</v>
      </c>
      <c r="AD290" s="10" t="str">
        <f>SUBSTITUTE(SUBSTITUTE(PROPERTIES[[#This Row],[PURCHASECOST_VALUE]], "PURCHASECOST_", ""), "_VALUE", "")</f>
        <v>DIESELENGINE</v>
      </c>
      <c r="AE290" s="9" t="str" cm="1">
        <f t="array" ref="AE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0" s="2" t="b">
        <v>0</v>
      </c>
      <c r="AX290"/>
      <c r="AY290"/>
      <c r="AZ290"/>
    </row>
    <row r="291" spans="1:52">
      <c r="A291" s="2" t="s">
        <v>313</v>
      </c>
      <c r="B291">
        <v>1969</v>
      </c>
      <c r="C291">
        <v>0</v>
      </c>
      <c r="D291" t="s">
        <v>1835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 s="2" t="s">
        <v>19</v>
      </c>
      <c r="K291" s="39">
        <f>_xlfn.XLOOKUP("LOADINGSPEEDDEF_"&amp;PROPERTIES[[#This Row],[LOADINGSPEED]],LOADINGSPEEDDEF[TYPE],LOADINGSPEEDDEF[SPEED])</f>
        <v>0</v>
      </c>
      <c r="L291">
        <v>45</v>
      </c>
      <c r="M291">
        <v>1</v>
      </c>
      <c r="N291" s="33">
        <v>83</v>
      </c>
      <c r="O291">
        <v>2367</v>
      </c>
      <c r="P291">
        <v>140</v>
      </c>
      <c r="Q291" s="30">
        <v>250</v>
      </c>
      <c r="R291" s="29">
        <f>IFERROR(PROPERTIES[[#This Row],[TE_STARTING_KN]]/(PROPERTIES[[#This Row],[WEIGHT]]*9.81),0)</f>
        <v>0.30703855176055905</v>
      </c>
      <c r="S291" s="29">
        <v>0.34</v>
      </c>
      <c r="T291" s="26">
        <f>ROUND(IF(IFERROR(PROPERTIES[[#This Row],[TE_COEFFICIENT_CALC]],0)=0,PROPERTIES[[#This Row],[TE_COEFFICIENT_MANUAL]],PROPERTIES[[#This Row],[TE_COEFFICIENT_CALC]]),3)</f>
        <v>0.307</v>
      </c>
      <c r="U291" s="11">
        <v>40</v>
      </c>
      <c r="V291" s="9">
        <v>0</v>
      </c>
      <c r="W291" s="9">
        <v>0</v>
      </c>
      <c r="X291" s="10">
        <v>0</v>
      </c>
      <c r="Y291" t="s">
        <v>904</v>
      </c>
      <c r="Z291" t="s">
        <v>903</v>
      </c>
      <c r="AA291" s="2" t="s">
        <v>921</v>
      </c>
      <c r="AB291" s="9" t="s">
        <v>991</v>
      </c>
      <c r="AC291" s="9" t="s">
        <v>992</v>
      </c>
      <c r="AD291" s="10" t="str">
        <f>SUBSTITUTE(SUBSTITUTE(PROPERTIES[[#This Row],[PURCHASECOST_VALUE]], "PURCHASECOST_", ""), "_VALUE", "")</f>
        <v>DIESELENGINE</v>
      </c>
      <c r="AE291" s="9" t="str" cm="1">
        <f t="array" ref="AE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1" s="2" t="b">
        <v>0</v>
      </c>
      <c r="AX291"/>
      <c r="AY291"/>
      <c r="AZ291"/>
    </row>
    <row r="292" spans="1:52">
      <c r="A292" s="2" t="s">
        <v>314</v>
      </c>
      <c r="B292">
        <v>1988</v>
      </c>
      <c r="C292">
        <v>0</v>
      </c>
      <c r="D292" t="s">
        <v>1925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 s="2" t="s">
        <v>19</v>
      </c>
      <c r="K292" s="39">
        <f>_xlfn.XLOOKUP("LOADINGSPEEDDEF_"&amp;PROPERTIES[[#This Row],[LOADINGSPEED]],LOADINGSPEEDDEF[TYPE],LOADINGSPEEDDEF[SPEED])</f>
        <v>0</v>
      </c>
      <c r="L292">
        <v>45</v>
      </c>
      <c r="M292">
        <v>1</v>
      </c>
      <c r="N292" s="33">
        <v>80</v>
      </c>
      <c r="O292">
        <v>1580</v>
      </c>
      <c r="P292">
        <v>120</v>
      </c>
      <c r="Q292" s="30">
        <v>290</v>
      </c>
      <c r="R292" s="29">
        <f>IFERROR(PROPERTIES[[#This Row],[TE_STARTING_KN]]/(PROPERTIES[[#This Row],[WEIGHT]]*9.81),0)</f>
        <v>0.36952089704383279</v>
      </c>
      <c r="S292" s="29">
        <v>0.38</v>
      </c>
      <c r="T292" s="26">
        <f>ROUND(IF(IFERROR(PROPERTIES[[#This Row],[TE_COEFFICIENT_CALC]],0)=0,PROPERTIES[[#This Row],[TE_COEFFICIENT_MANUAL]],PROPERTIES[[#This Row],[TE_COEFFICIENT_CALC]]),3)</f>
        <v>0.37</v>
      </c>
      <c r="U292" s="11">
        <v>40</v>
      </c>
      <c r="V292" s="9">
        <v>0</v>
      </c>
      <c r="W292" s="9">
        <v>0</v>
      </c>
      <c r="X292" s="10">
        <v>0</v>
      </c>
      <c r="Y292" t="s">
        <v>904</v>
      </c>
      <c r="Z292" t="s">
        <v>903</v>
      </c>
      <c r="AA292" s="2" t="s">
        <v>921</v>
      </c>
      <c r="AB292" s="9" t="s">
        <v>991</v>
      </c>
      <c r="AC292" s="9" t="s">
        <v>992</v>
      </c>
      <c r="AD292" s="10" t="str">
        <f>SUBSTITUTE(SUBSTITUTE(PROPERTIES[[#This Row],[PURCHASECOST_VALUE]], "PURCHASECOST_", ""), "_VALUE", "")</f>
        <v>DIESELENGINE</v>
      </c>
      <c r="AE292" s="9" t="str" cm="1">
        <f t="array" ref="AE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2" s="2" t="b">
        <v>0</v>
      </c>
      <c r="AX292"/>
      <c r="AY292"/>
      <c r="AZ292"/>
    </row>
    <row r="293" spans="1:52">
      <c r="A293" s="2" t="s">
        <v>315</v>
      </c>
      <c r="B293">
        <v>2009</v>
      </c>
      <c r="C293">
        <v>0</v>
      </c>
      <c r="D293" t="s">
        <v>1825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 s="2" t="s">
        <v>19</v>
      </c>
      <c r="K293" s="39">
        <f>_xlfn.XLOOKUP("LOADINGSPEEDDEF_"&amp;PROPERTIES[[#This Row],[LOADINGSPEED]],LOADINGSPEEDDEF[TYPE],LOADINGSPEEDDEF[SPEED])</f>
        <v>0</v>
      </c>
      <c r="L293">
        <v>45</v>
      </c>
      <c r="M293">
        <v>1</v>
      </c>
      <c r="N293" s="33">
        <v>140</v>
      </c>
      <c r="O293">
        <v>4250</v>
      </c>
      <c r="P293">
        <v>121</v>
      </c>
      <c r="Q293" s="30">
        <v>810</v>
      </c>
      <c r="R293" s="29">
        <f>IFERROR(PROPERTIES[[#This Row],[TE_STARTING_KN]]/(PROPERTIES[[#This Row],[WEIGHT]]*9.81),0)</f>
        <v>0.58977719528178241</v>
      </c>
      <c r="S293" s="29">
        <v>0.53</v>
      </c>
      <c r="T293" s="26">
        <f>ROUND(IF(IFERROR(PROPERTIES[[#This Row],[TE_COEFFICIENT_CALC]],0)=0,PROPERTIES[[#This Row],[TE_COEFFICIENT_MANUAL]],PROPERTIES[[#This Row],[TE_COEFFICIENT_CALC]]),3)</f>
        <v>0.59</v>
      </c>
      <c r="U293" s="11">
        <v>40</v>
      </c>
      <c r="V293" s="9">
        <v>0</v>
      </c>
      <c r="W293" s="9">
        <v>0</v>
      </c>
      <c r="X293" s="10">
        <v>0</v>
      </c>
      <c r="Y293" t="s">
        <v>907</v>
      </c>
      <c r="Z293" t="s">
        <v>903</v>
      </c>
      <c r="AA293" s="2" t="s">
        <v>921</v>
      </c>
      <c r="AB293" s="9" t="s">
        <v>991</v>
      </c>
      <c r="AC293" s="9" t="s">
        <v>992</v>
      </c>
      <c r="AD293" s="10" t="str">
        <f>SUBSTITUTE(SUBSTITUTE(PROPERTIES[[#This Row],[PURCHASECOST_VALUE]], "PURCHASECOST_", ""), "_VALUE", "")</f>
        <v>DIESELENGINE</v>
      </c>
      <c r="AE293" s="9" t="str" cm="1">
        <f t="array" ref="AE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3" s="2" t="b">
        <v>0</v>
      </c>
      <c r="AX293"/>
      <c r="AY293"/>
      <c r="AZ293"/>
    </row>
    <row r="294" spans="1:52">
      <c r="A294" s="2" t="s">
        <v>316</v>
      </c>
      <c r="B294">
        <v>2014</v>
      </c>
      <c r="C294">
        <v>0</v>
      </c>
      <c r="D294" t="s">
        <v>2006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 s="2" t="s">
        <v>19</v>
      </c>
      <c r="K294" s="39">
        <f>_xlfn.XLOOKUP("LOADINGSPEEDDEF_"&amp;PROPERTIES[[#This Row],[LOADINGSPEED]],LOADINGSPEEDDEF[TYPE],LOADINGSPEEDDEF[SPEED])</f>
        <v>0</v>
      </c>
      <c r="L294" t="s">
        <v>20</v>
      </c>
      <c r="M294">
        <v>1</v>
      </c>
      <c r="N294" s="33">
        <v>123</v>
      </c>
      <c r="O294">
        <v>4262</v>
      </c>
      <c r="P294">
        <v>130</v>
      </c>
      <c r="Q294" s="30">
        <v>0</v>
      </c>
      <c r="R294" s="29">
        <f>IFERROR(PROPERTIES[[#This Row],[TE_STARTING_KN]]/(PROPERTIES[[#This Row],[WEIGHT]]*9.81),0)</f>
        <v>0</v>
      </c>
      <c r="S294" s="29">
        <v>0.26</v>
      </c>
      <c r="T294" s="26">
        <f>ROUND(IF(IFERROR(PROPERTIES[[#This Row],[TE_COEFFICIENT_CALC]],0)=0,PROPERTIES[[#This Row],[TE_COEFFICIENT_MANUAL]],PROPERTIES[[#This Row],[TE_COEFFICIENT_CALC]]),3)</f>
        <v>0.26</v>
      </c>
      <c r="U294" s="11">
        <v>40</v>
      </c>
      <c r="V294" s="9">
        <v>0</v>
      </c>
      <c r="W294" s="9">
        <v>0</v>
      </c>
      <c r="X294" s="10">
        <v>0</v>
      </c>
      <c r="Y294" t="s">
        <v>907</v>
      </c>
      <c r="Z294" t="s">
        <v>903</v>
      </c>
      <c r="AA294" s="2" t="s">
        <v>921</v>
      </c>
      <c r="AB294" s="9" t="s">
        <v>991</v>
      </c>
      <c r="AC294" s="9" t="s">
        <v>992</v>
      </c>
      <c r="AD294" s="10" t="str">
        <f>SUBSTITUTE(SUBSTITUTE(PROPERTIES[[#This Row],[PURCHASECOST_VALUE]], "PURCHASECOST_", ""), "_VALUE", "")</f>
        <v>DIESELENGINE</v>
      </c>
      <c r="AE294" s="9" t="str" cm="1">
        <f t="array" ref="AE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4" s="2" t="b">
        <v>0</v>
      </c>
      <c r="AX294"/>
      <c r="AY294"/>
      <c r="AZ294"/>
    </row>
    <row r="295" spans="1:52">
      <c r="A295" s="2" t="s">
        <v>317</v>
      </c>
      <c r="B295">
        <v>1966</v>
      </c>
      <c r="C295">
        <v>0</v>
      </c>
      <c r="D295" t="s">
        <v>1828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 s="2" t="s">
        <v>19</v>
      </c>
      <c r="K295" s="39">
        <f>_xlfn.XLOOKUP("LOADINGSPEEDDEF_"&amp;PROPERTIES[[#This Row],[LOADINGSPEED]],LOADINGSPEEDDEF[TYPE],LOADINGSPEEDDEF[SPEED])</f>
        <v>0</v>
      </c>
      <c r="L295">
        <v>45</v>
      </c>
      <c r="M295">
        <v>1</v>
      </c>
      <c r="N295" s="33">
        <v>64</v>
      </c>
      <c r="O295">
        <v>710</v>
      </c>
      <c r="P295">
        <v>120</v>
      </c>
      <c r="Q295" s="30">
        <v>126</v>
      </c>
      <c r="R295" s="29">
        <f>IFERROR(PROPERTIES[[#This Row],[TE_STARTING_KN]]/(PROPERTIES[[#This Row],[WEIGHT]]*9.81),0)</f>
        <v>0.2006880733944954</v>
      </c>
      <c r="S295" s="29">
        <v>0.2</v>
      </c>
      <c r="T295" s="26">
        <f>ROUND(IF(IFERROR(PROPERTIES[[#This Row],[TE_COEFFICIENT_CALC]],0)=0,PROPERTIES[[#This Row],[TE_COEFFICIENT_MANUAL]],PROPERTIES[[#This Row],[TE_COEFFICIENT_CALC]]),3)</f>
        <v>0.20100000000000001</v>
      </c>
      <c r="U295" s="11">
        <v>40</v>
      </c>
      <c r="V295" s="9">
        <v>0</v>
      </c>
      <c r="W295" s="9">
        <v>0</v>
      </c>
      <c r="X295" s="10">
        <v>0</v>
      </c>
      <c r="Y295" t="s">
        <v>905</v>
      </c>
      <c r="Z295" t="s">
        <v>903</v>
      </c>
      <c r="AA295" s="2" t="s">
        <v>921</v>
      </c>
      <c r="AB295" s="9" t="s">
        <v>991</v>
      </c>
      <c r="AC295" s="9" t="s">
        <v>992</v>
      </c>
      <c r="AD295" s="10" t="str">
        <f>SUBSTITUTE(SUBSTITUTE(PROPERTIES[[#This Row],[PURCHASECOST_VALUE]], "PURCHASECOST_", ""), "_VALUE", "")</f>
        <v>DIESELENGINE</v>
      </c>
      <c r="AE295" s="9" t="str" cm="1">
        <f t="array" ref="AE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5" s="2" t="b">
        <v>0</v>
      </c>
      <c r="AX295"/>
      <c r="AY295"/>
      <c r="AZ295"/>
    </row>
    <row r="296" spans="1:52">
      <c r="A296" s="2" t="s">
        <v>318</v>
      </c>
      <c r="B296">
        <v>2002</v>
      </c>
      <c r="C296">
        <v>0</v>
      </c>
      <c r="D296" t="s">
        <v>1773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 s="2" t="s">
        <v>23</v>
      </c>
      <c r="K296" s="39">
        <f>_xlfn.XLOOKUP("LOADINGSPEEDDEF_"&amp;PROPERTIES[[#This Row],[LOADINGSPEED]],LOADINGSPEEDDEF[TYPE],LOADINGSPEEDDEF[SPEED])</f>
        <v>40</v>
      </c>
      <c r="L296">
        <v>45</v>
      </c>
      <c r="M296">
        <v>1</v>
      </c>
      <c r="N296" s="33">
        <v>124</v>
      </c>
      <c r="O296">
        <v>3300</v>
      </c>
      <c r="P296">
        <v>115</v>
      </c>
      <c r="Q296" s="30">
        <v>385</v>
      </c>
      <c r="R296" s="29">
        <f>IFERROR(PROPERTIES[[#This Row],[TE_STARTING_KN]]/(PROPERTIES[[#This Row],[WEIGHT]]*9.81),0)</f>
        <v>0.3164973200486666</v>
      </c>
      <c r="S296" s="29">
        <v>0.34</v>
      </c>
      <c r="T296" s="26">
        <f>ROUND(IF(IFERROR(PROPERTIES[[#This Row],[TE_COEFFICIENT_CALC]],0)=0,PROPERTIES[[#This Row],[TE_COEFFICIENT_MANUAL]],PROPERTIES[[#This Row],[TE_COEFFICIENT_CALC]]),3)</f>
        <v>0.316</v>
      </c>
      <c r="U296" s="11">
        <v>40</v>
      </c>
      <c r="V296" s="9">
        <v>0</v>
      </c>
      <c r="W296" s="9">
        <v>0</v>
      </c>
      <c r="X296" s="10">
        <v>0</v>
      </c>
      <c r="Y296" t="s">
        <v>906</v>
      </c>
      <c r="Z296" t="s">
        <v>903</v>
      </c>
      <c r="AA296" s="2" t="s">
        <v>921</v>
      </c>
      <c r="AB296" s="9" t="s">
        <v>991</v>
      </c>
      <c r="AC296" s="9" t="s">
        <v>992</v>
      </c>
      <c r="AD296" s="10" t="str">
        <f>SUBSTITUTE(SUBSTITUTE(PROPERTIES[[#This Row],[PURCHASECOST_VALUE]], "PURCHASECOST_", ""), "_VALUE", "")</f>
        <v>DIESELENGINE</v>
      </c>
      <c r="AE296" s="9" t="str" cm="1">
        <f t="array" ref="AE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6" s="2" t="b">
        <v>0</v>
      </c>
      <c r="AX296"/>
      <c r="AY296"/>
      <c r="AZ296"/>
    </row>
    <row r="297" spans="1:52">
      <c r="A297" s="2" t="s">
        <v>319</v>
      </c>
      <c r="B297">
        <v>2006</v>
      </c>
      <c r="C297">
        <v>0</v>
      </c>
      <c r="D297" t="s">
        <v>1926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 s="2" t="s">
        <v>19</v>
      </c>
      <c r="K297" s="39">
        <f>_xlfn.XLOOKUP("LOADINGSPEEDDEF_"&amp;PROPERTIES[[#This Row],[LOADINGSPEED]],LOADINGSPEEDDEF[TYPE],LOADINGSPEEDDEF[SPEED])</f>
        <v>0</v>
      </c>
      <c r="L297">
        <v>45</v>
      </c>
      <c r="M297">
        <v>0</v>
      </c>
      <c r="N297" s="33">
        <v>123</v>
      </c>
      <c r="O297">
        <v>4262</v>
      </c>
      <c r="P297">
        <v>120</v>
      </c>
      <c r="Q297" s="30">
        <v>400</v>
      </c>
      <c r="R297" s="29">
        <f>IFERROR(PROPERTIES[[#This Row],[TE_STARTING_KN]]/(PROPERTIES[[#This Row],[WEIGHT]]*9.81),0)</f>
        <v>0.33150178596587188</v>
      </c>
      <c r="S297" s="29">
        <v>0.33</v>
      </c>
      <c r="T297" s="26">
        <f>ROUND(IF(IFERROR(PROPERTIES[[#This Row],[TE_COEFFICIENT_CALC]],0)=0,PROPERTIES[[#This Row],[TE_COEFFICIENT_MANUAL]],PROPERTIES[[#This Row],[TE_COEFFICIENT_CALC]]),3)</f>
        <v>0.33200000000000002</v>
      </c>
      <c r="U297" s="11">
        <v>40</v>
      </c>
      <c r="V297" s="9">
        <v>0</v>
      </c>
      <c r="W297" s="9">
        <v>0</v>
      </c>
      <c r="X297" s="10">
        <v>0</v>
      </c>
      <c r="Y297" t="s">
        <v>908</v>
      </c>
      <c r="Z297" t="s">
        <v>903</v>
      </c>
      <c r="AA297" s="2" t="s">
        <v>921</v>
      </c>
      <c r="AB297" s="9" t="s">
        <v>991</v>
      </c>
      <c r="AC297" s="9" t="s">
        <v>992</v>
      </c>
      <c r="AD297" s="10" t="str">
        <f>SUBSTITUTE(SUBSTITUTE(PROPERTIES[[#This Row],[PURCHASECOST_VALUE]], "PURCHASECOST_", ""), "_VALUE", "")</f>
        <v>DIESELENGINE</v>
      </c>
      <c r="AE297" s="9" t="str" cm="1">
        <f t="array" ref="AE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7" s="2" t="b">
        <v>0</v>
      </c>
      <c r="AX297"/>
      <c r="AY297"/>
      <c r="AZ297"/>
    </row>
    <row r="298" spans="1:52">
      <c r="A298" s="2" t="s">
        <v>320</v>
      </c>
      <c r="B298">
        <v>2008</v>
      </c>
      <c r="C298">
        <v>0</v>
      </c>
      <c r="D298" t="s">
        <v>1773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 s="2" t="s">
        <v>23</v>
      </c>
      <c r="K298" s="39">
        <f>_xlfn.XLOOKUP("LOADINGSPEEDDEF_"&amp;PROPERTIES[[#This Row],[LOADINGSPEED]],LOADINGSPEEDDEF[TYPE],LOADINGSPEEDDEF[SPEED])</f>
        <v>40</v>
      </c>
      <c r="L298" t="s">
        <v>20</v>
      </c>
      <c r="M298">
        <v>1</v>
      </c>
      <c r="N298" s="33">
        <v>140</v>
      </c>
      <c r="O298">
        <v>4520</v>
      </c>
      <c r="P298">
        <v>115</v>
      </c>
      <c r="Q298" s="30">
        <v>535</v>
      </c>
      <c r="R298" s="29">
        <f>IFERROR(PROPERTIES[[#This Row],[TE_STARTING_KN]]/(PROPERTIES[[#This Row],[WEIGHT]]*9.81),0)</f>
        <v>0.38954419688364639</v>
      </c>
      <c r="S298" s="29">
        <v>0.38</v>
      </c>
      <c r="T298" s="26">
        <f>ROUND(IF(IFERROR(PROPERTIES[[#This Row],[TE_COEFFICIENT_CALC]],0)=0,PROPERTIES[[#This Row],[TE_COEFFICIENT_MANUAL]],PROPERTIES[[#This Row],[TE_COEFFICIENT_CALC]]),3)</f>
        <v>0.39</v>
      </c>
      <c r="U298" s="11">
        <v>40</v>
      </c>
      <c r="V298" s="9">
        <v>0</v>
      </c>
      <c r="W298" s="9">
        <v>0</v>
      </c>
      <c r="X298" s="10">
        <v>0</v>
      </c>
      <c r="Y298" t="s">
        <v>906</v>
      </c>
      <c r="Z298" t="s">
        <v>903</v>
      </c>
      <c r="AA298" s="2" t="s">
        <v>921</v>
      </c>
      <c r="AB298" s="9" t="s">
        <v>991</v>
      </c>
      <c r="AC298" s="9" t="s">
        <v>992</v>
      </c>
      <c r="AD298" s="10" t="str">
        <f>SUBSTITUTE(SUBSTITUTE(PROPERTIES[[#This Row],[PURCHASECOST_VALUE]], "PURCHASECOST_", ""), "_VALUE", "")</f>
        <v>DIESELENGINE</v>
      </c>
      <c r="AE298" s="9" t="str" cm="1">
        <f t="array" ref="AE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8" s="2" t="b">
        <v>0</v>
      </c>
      <c r="AX298"/>
      <c r="AY298"/>
      <c r="AZ298"/>
    </row>
    <row r="299" spans="1:52">
      <c r="A299" s="2" t="s">
        <v>321</v>
      </c>
      <c r="B299">
        <v>2014</v>
      </c>
      <c r="C299">
        <v>0</v>
      </c>
      <c r="D299" t="s">
        <v>1836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 s="2" t="s">
        <v>19</v>
      </c>
      <c r="K299" s="39">
        <f>_xlfn.XLOOKUP("LOADINGSPEEDDEF_"&amp;PROPERTIES[[#This Row],[LOADINGSPEED]],LOADINGSPEEDDEF[TYPE],LOADINGSPEEDDEF[SPEED])</f>
        <v>0</v>
      </c>
      <c r="L299" t="s">
        <v>20</v>
      </c>
      <c r="M299">
        <v>1</v>
      </c>
      <c r="N299" s="33">
        <v>85</v>
      </c>
      <c r="O299">
        <v>3800</v>
      </c>
      <c r="P299">
        <v>160</v>
      </c>
      <c r="Q299" s="30">
        <v>317</v>
      </c>
      <c r="R299" s="29">
        <f>IFERROR(PROPERTIES[[#This Row],[TE_STARTING_KN]]/(PROPERTIES[[#This Row],[WEIGHT]]*9.81),0)</f>
        <v>0.38016429813515618</v>
      </c>
      <c r="S299" s="29">
        <v>0.37</v>
      </c>
      <c r="T299" s="26">
        <f>ROUND(IF(IFERROR(PROPERTIES[[#This Row],[TE_COEFFICIENT_CALC]],0)=0,PROPERTIES[[#This Row],[TE_COEFFICIENT_MANUAL]],PROPERTIES[[#This Row],[TE_COEFFICIENT_CALC]]),3)</f>
        <v>0.38</v>
      </c>
      <c r="U299" s="11">
        <v>40</v>
      </c>
      <c r="V299" s="9">
        <v>0</v>
      </c>
      <c r="W299" s="9">
        <v>0</v>
      </c>
      <c r="X299" s="10">
        <v>0</v>
      </c>
      <c r="Y299" t="s">
        <v>908</v>
      </c>
      <c r="Z299" t="s">
        <v>903</v>
      </c>
      <c r="AA299" s="2" t="s">
        <v>921</v>
      </c>
      <c r="AB299" s="9" t="s">
        <v>991</v>
      </c>
      <c r="AC299" s="9" t="s">
        <v>992</v>
      </c>
      <c r="AD299" s="10" t="str">
        <f>SUBSTITUTE(SUBSTITUTE(PROPERTIES[[#This Row],[PURCHASECOST_VALUE]], "PURCHASECOST_", ""), "_VALUE", "")</f>
        <v>DIESELENGINE</v>
      </c>
      <c r="AE299" s="9" t="str" cm="1">
        <f t="array" ref="AE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99" s="2" t="b">
        <v>0</v>
      </c>
      <c r="AX299"/>
      <c r="AY299"/>
      <c r="AZ299"/>
    </row>
    <row r="300" spans="1:52">
      <c r="A300" s="2" t="s">
        <v>322</v>
      </c>
      <c r="B300">
        <v>2015</v>
      </c>
      <c r="C300">
        <v>0</v>
      </c>
      <c r="D300" t="s">
        <v>1992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 s="2" t="s">
        <v>19</v>
      </c>
      <c r="K300" s="39">
        <f>_xlfn.XLOOKUP("LOADINGSPEEDDEF_"&amp;PROPERTIES[[#This Row],[LOADINGSPEED]],LOADINGSPEEDDEF[TYPE],LOADINGSPEEDDEF[SPEED])</f>
        <v>0</v>
      </c>
      <c r="L300" t="s">
        <v>20</v>
      </c>
      <c r="M300">
        <v>1</v>
      </c>
      <c r="N300" s="33">
        <v>120</v>
      </c>
      <c r="O300">
        <v>4200</v>
      </c>
      <c r="P300">
        <v>201</v>
      </c>
      <c r="Q300" s="30">
        <v>290</v>
      </c>
      <c r="R300" s="29">
        <f>IFERROR(PROPERTIES[[#This Row],[TE_STARTING_KN]]/(PROPERTIES[[#This Row],[WEIGHT]]*9.81),0)</f>
        <v>0.24634726469588855</v>
      </c>
      <c r="S300" s="29">
        <v>0.24</v>
      </c>
      <c r="T300" s="26">
        <f>ROUND(IF(IFERROR(PROPERTIES[[#This Row],[TE_COEFFICIENT_CALC]],0)=0,PROPERTIES[[#This Row],[TE_COEFFICIENT_MANUAL]],PROPERTIES[[#This Row],[TE_COEFFICIENT_CALC]]),3)</f>
        <v>0.246</v>
      </c>
      <c r="U300" s="11">
        <v>40</v>
      </c>
      <c r="V300" s="9">
        <v>0</v>
      </c>
      <c r="W300" s="9">
        <v>0</v>
      </c>
      <c r="X300" s="10">
        <v>0</v>
      </c>
      <c r="Y300" t="s">
        <v>909</v>
      </c>
      <c r="Z300" t="s">
        <v>903</v>
      </c>
      <c r="AA300" s="2" t="s">
        <v>921</v>
      </c>
      <c r="AB300" s="9" t="s">
        <v>991</v>
      </c>
      <c r="AC300" s="9" t="s">
        <v>992</v>
      </c>
      <c r="AD300" s="10" t="str">
        <f>SUBSTITUTE(SUBSTITUTE(PROPERTIES[[#This Row],[PURCHASECOST_VALUE]], "PURCHASECOST_", ""), "_VALUE", "")</f>
        <v>DIESELENGINE</v>
      </c>
      <c r="AE300" s="9" t="str" cm="1">
        <f t="array" ref="AE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00" s="2" t="b">
        <v>0</v>
      </c>
      <c r="AX300"/>
      <c r="AY300"/>
      <c r="AZ300"/>
    </row>
    <row r="301" spans="1:52">
      <c r="A301" s="2" t="s">
        <v>323</v>
      </c>
      <c r="B301">
        <v>1911</v>
      </c>
      <c r="C301">
        <v>1</v>
      </c>
      <c r="D301" t="s">
        <v>1770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 s="2" t="s">
        <v>325</v>
      </c>
      <c r="K301" s="39">
        <f>_xlfn.XLOOKUP("LOADINGSPEEDDEF_"&amp;PROPERTIES[[#This Row],[LOADINGSPEED]],LOADINGSPEEDDEF[TYPE],LOADINGSPEEDDEF[SPEED])</f>
        <v>120</v>
      </c>
      <c r="L301">
        <v>75</v>
      </c>
      <c r="M301">
        <v>1</v>
      </c>
      <c r="N301" s="33">
        <v>13.5</v>
      </c>
      <c r="O301">
        <v>310</v>
      </c>
      <c r="P301">
        <v>50</v>
      </c>
      <c r="Q301" s="30">
        <v>0</v>
      </c>
      <c r="R301" s="29">
        <f>IFERROR(PROPERTIES[[#This Row],[TE_STARTING_KN]]/(PROPERTIES[[#This Row],[WEIGHT]]*9.81),0)</f>
        <v>0</v>
      </c>
      <c r="S301" s="29">
        <v>0.2</v>
      </c>
      <c r="T301" s="26">
        <f>ROUND(IF(IFERROR(PROPERTIES[[#This Row],[TE_COEFFICIENT_CALC]],0)=0,PROPERTIES[[#This Row],[TE_COEFFICIENT_MANUAL]],PROPERTIES[[#This Row],[TE_COEFFICIENT_CALC]]),3)</f>
        <v>0.2</v>
      </c>
      <c r="U301" s="11">
        <v>60</v>
      </c>
      <c r="V301" s="9">
        <v>142</v>
      </c>
      <c r="W301" s="9">
        <v>7</v>
      </c>
      <c r="X301" s="10">
        <v>0</v>
      </c>
      <c r="Y301" t="s">
        <v>911</v>
      </c>
      <c r="Z301" t="s">
        <v>903</v>
      </c>
      <c r="AA301" s="2" t="s">
        <v>921</v>
      </c>
      <c r="AB301" s="9" t="s">
        <v>993</v>
      </c>
      <c r="AC301" s="9" t="s">
        <v>994</v>
      </c>
      <c r="AD301" s="10" t="str">
        <f>SUBSTITUTE(SUBSTITUTE(PROPERTIES[[#This Row],[PURCHASECOST_VALUE]], "PURCHASECOST_", ""), "_VALUE", "")</f>
        <v>METRO</v>
      </c>
      <c r="AE301" s="9" t="str" cm="1">
        <f t="array" ref="AE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1" s="2" t="b">
        <v>0</v>
      </c>
      <c r="AX301"/>
      <c r="AY301"/>
      <c r="AZ301"/>
    </row>
    <row r="302" spans="1:52">
      <c r="A302" s="2" t="s">
        <v>326</v>
      </c>
      <c r="B302">
        <v>1930</v>
      </c>
      <c r="C302">
        <v>1</v>
      </c>
      <c r="D302" t="s">
        <v>1992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 s="2" t="s">
        <v>325</v>
      </c>
      <c r="K302" s="39">
        <f>_xlfn.XLOOKUP("LOADINGSPEEDDEF_"&amp;PROPERTIES[[#This Row],[LOADINGSPEED]],LOADINGSPEEDDEF[TYPE],LOADINGSPEEDDEF[SPEED])</f>
        <v>120</v>
      </c>
      <c r="L302">
        <v>45</v>
      </c>
      <c r="M302">
        <v>1</v>
      </c>
      <c r="N302" s="33">
        <v>42</v>
      </c>
      <c r="O302">
        <v>760</v>
      </c>
      <c r="P302">
        <v>90</v>
      </c>
      <c r="Q302" s="30">
        <v>0</v>
      </c>
      <c r="R302" s="29">
        <f>IFERROR(PROPERTIES[[#This Row],[TE_STARTING_KN]]/(PROPERTIES[[#This Row],[WEIGHT]]*9.81),0)</f>
        <v>0</v>
      </c>
      <c r="S302" s="29">
        <v>0.24</v>
      </c>
      <c r="T302" s="26">
        <f>ROUND(IF(IFERROR(PROPERTIES[[#This Row],[TE_COEFFICIENT_CALC]],0)=0,PROPERTIES[[#This Row],[TE_COEFFICIENT_MANUAL]],PROPERTIES[[#This Row],[TE_COEFFICIENT_CALC]]),3)</f>
        <v>0.24</v>
      </c>
      <c r="U302" s="11">
        <v>60</v>
      </c>
      <c r="V302" s="9">
        <v>156</v>
      </c>
      <c r="W302" s="9">
        <v>8</v>
      </c>
      <c r="X302" s="10">
        <v>0</v>
      </c>
      <c r="Y302" t="s">
        <v>909</v>
      </c>
      <c r="Z302" t="s">
        <v>903</v>
      </c>
      <c r="AA302" s="2" t="s">
        <v>921</v>
      </c>
      <c r="AB302" s="9" t="s">
        <v>993</v>
      </c>
      <c r="AC302" s="9" t="s">
        <v>994</v>
      </c>
      <c r="AD302" s="10" t="str">
        <f>SUBSTITUTE(SUBSTITUTE(PROPERTIES[[#This Row],[PURCHASECOST_VALUE]], "PURCHASECOST_", ""), "_VALUE", "")</f>
        <v>METRO</v>
      </c>
      <c r="AE302" s="9" t="str" cm="1">
        <f t="array" ref="AE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2" s="2" t="b">
        <v>0</v>
      </c>
      <c r="AX302"/>
      <c r="AY302"/>
      <c r="AZ302"/>
    </row>
    <row r="303" spans="1:52">
      <c r="A303" s="2" t="s">
        <v>327</v>
      </c>
      <c r="B303">
        <v>1942</v>
      </c>
      <c r="C303">
        <v>1</v>
      </c>
      <c r="D303" t="s">
        <v>1817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 s="2" t="s">
        <v>325</v>
      </c>
      <c r="K303" s="39">
        <f>_xlfn.XLOOKUP("LOADINGSPEEDDEF_"&amp;PROPERTIES[[#This Row],[LOADINGSPEED]],LOADINGSPEEDDEF[TYPE],LOADINGSPEEDDEF[SPEED])</f>
        <v>120</v>
      </c>
      <c r="L303">
        <v>45</v>
      </c>
      <c r="M303">
        <v>1</v>
      </c>
      <c r="N303" s="33">
        <v>48</v>
      </c>
      <c r="O303">
        <v>800</v>
      </c>
      <c r="P303">
        <v>80</v>
      </c>
      <c r="Q303" s="30">
        <v>0</v>
      </c>
      <c r="R303" s="29">
        <f>IFERROR(PROPERTIES[[#This Row],[TE_STARTING_KN]]/(PROPERTIES[[#This Row],[WEIGHT]]*9.81),0)</f>
        <v>0</v>
      </c>
      <c r="S303" s="29">
        <v>0.22</v>
      </c>
      <c r="T303" s="26">
        <f>ROUND(IF(IFERROR(PROPERTIES[[#This Row],[TE_COEFFICIENT_CALC]],0)=0,PROPERTIES[[#This Row],[TE_COEFFICIENT_MANUAL]],PROPERTIES[[#This Row],[TE_COEFFICIENT_CALC]]),3)</f>
        <v>0.22</v>
      </c>
      <c r="U303" s="11">
        <v>60</v>
      </c>
      <c r="V303" s="9">
        <v>160</v>
      </c>
      <c r="W303" s="9">
        <v>8</v>
      </c>
      <c r="X303" s="10">
        <v>0</v>
      </c>
      <c r="Y303" t="s">
        <v>904</v>
      </c>
      <c r="Z303" t="s">
        <v>903</v>
      </c>
      <c r="AA303" s="2" t="s">
        <v>921</v>
      </c>
      <c r="AB303" s="9" t="s">
        <v>993</v>
      </c>
      <c r="AC303" s="9" t="s">
        <v>994</v>
      </c>
      <c r="AD303" s="10" t="str">
        <f>SUBSTITUTE(SUBSTITUTE(PROPERTIES[[#This Row],[PURCHASECOST_VALUE]], "PURCHASECOST_", ""), "_VALUE", "")</f>
        <v>METRO</v>
      </c>
      <c r="AE303" s="9" t="str" cm="1">
        <f t="array" ref="AE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3" s="2" t="b">
        <v>0</v>
      </c>
      <c r="AX303"/>
      <c r="AY303"/>
      <c r="AZ303"/>
    </row>
    <row r="304" spans="1:52">
      <c r="A304" s="2" t="s">
        <v>328</v>
      </c>
      <c r="B304">
        <v>1957</v>
      </c>
      <c r="C304">
        <v>1</v>
      </c>
      <c r="D304" t="s">
        <v>1835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 s="2" t="s">
        <v>325</v>
      </c>
      <c r="K304" s="39">
        <f>_xlfn.XLOOKUP("LOADINGSPEEDDEF_"&amp;PROPERTIES[[#This Row],[LOADINGSPEED]],LOADINGSPEEDDEF[TYPE],LOADINGSPEEDDEF[SPEED])</f>
        <v>120</v>
      </c>
      <c r="L304">
        <v>45</v>
      </c>
      <c r="M304">
        <v>1</v>
      </c>
      <c r="N304" s="33">
        <v>10</v>
      </c>
      <c r="O304">
        <v>140</v>
      </c>
      <c r="P304">
        <v>45</v>
      </c>
      <c r="Q304" s="30">
        <v>0</v>
      </c>
      <c r="R304" s="29">
        <f>IFERROR(PROPERTIES[[#This Row],[TE_STARTING_KN]]/(PROPERTIES[[#This Row],[WEIGHT]]*9.81),0)</f>
        <v>0</v>
      </c>
      <c r="S304" s="29">
        <v>0.18</v>
      </c>
      <c r="T304" s="26">
        <f>ROUND(IF(IFERROR(PROPERTIES[[#This Row],[TE_COEFFICIENT_CALC]],0)=0,PROPERTIES[[#This Row],[TE_COEFFICIENT_MANUAL]],PROPERTIES[[#This Row],[TE_COEFFICIENT_CALC]]),3)</f>
        <v>0.18</v>
      </c>
      <c r="U304" s="11">
        <v>60</v>
      </c>
      <c r="V304" s="9">
        <v>140</v>
      </c>
      <c r="W304" s="9">
        <v>7</v>
      </c>
      <c r="X304" s="10">
        <v>0</v>
      </c>
      <c r="Y304" t="s">
        <v>904</v>
      </c>
      <c r="Z304" t="s">
        <v>903</v>
      </c>
      <c r="AA304" s="2" t="s">
        <v>921</v>
      </c>
      <c r="AB304" s="9" t="s">
        <v>993</v>
      </c>
      <c r="AC304" s="9" t="s">
        <v>994</v>
      </c>
      <c r="AD304" s="10" t="str">
        <f>SUBSTITUTE(SUBSTITUTE(PROPERTIES[[#This Row],[PURCHASECOST_VALUE]], "PURCHASECOST_", ""), "_VALUE", "")</f>
        <v>METRO</v>
      </c>
      <c r="AE304" s="9" t="str" cm="1">
        <f t="array" ref="AE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4" s="2" t="b">
        <v>0</v>
      </c>
      <c r="AX304"/>
      <c r="AY304"/>
      <c r="AZ304"/>
    </row>
    <row r="305" spans="1:52">
      <c r="A305" s="2" t="s">
        <v>329</v>
      </c>
      <c r="B305">
        <v>1959</v>
      </c>
      <c r="C305">
        <v>1</v>
      </c>
      <c r="D305" t="s">
        <v>1943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 s="2" t="s">
        <v>325</v>
      </c>
      <c r="K305" s="39">
        <f>_xlfn.XLOOKUP("LOADINGSPEEDDEF_"&amp;PROPERTIES[[#This Row],[LOADINGSPEED]],LOADINGSPEEDDEF[TYPE],LOADINGSPEEDDEF[SPEED])</f>
        <v>120</v>
      </c>
      <c r="L305">
        <v>45</v>
      </c>
      <c r="M305">
        <v>1</v>
      </c>
      <c r="N305" s="33">
        <v>19</v>
      </c>
      <c r="O305">
        <v>430</v>
      </c>
      <c r="P305">
        <v>60</v>
      </c>
      <c r="Q305" s="30">
        <v>0</v>
      </c>
      <c r="R305" s="29">
        <f>IFERROR(PROPERTIES[[#This Row],[TE_STARTING_KN]]/(PROPERTIES[[#This Row],[WEIGHT]]*9.81),0)</f>
        <v>0</v>
      </c>
      <c r="S305" s="29">
        <v>0.24</v>
      </c>
      <c r="T305" s="26">
        <f>ROUND(IF(IFERROR(PROPERTIES[[#This Row],[TE_COEFFICIENT_CALC]],0)=0,PROPERTIES[[#This Row],[TE_COEFFICIENT_MANUAL]],PROPERTIES[[#This Row],[TE_COEFFICIENT_CALC]]),3)</f>
        <v>0.24</v>
      </c>
      <c r="U305" s="11">
        <v>60</v>
      </c>
      <c r="V305" s="9">
        <v>160</v>
      </c>
      <c r="W305" s="9">
        <v>8</v>
      </c>
      <c r="X305" s="10">
        <v>0</v>
      </c>
      <c r="Y305" t="s">
        <v>905</v>
      </c>
      <c r="Z305" t="s">
        <v>903</v>
      </c>
      <c r="AA305" s="2" t="s">
        <v>921</v>
      </c>
      <c r="AB305" s="9" t="s">
        <v>993</v>
      </c>
      <c r="AC305" s="9" t="s">
        <v>994</v>
      </c>
      <c r="AD305" s="10" t="str">
        <f>SUBSTITUTE(SUBSTITUTE(PROPERTIES[[#This Row],[PURCHASECOST_VALUE]], "PURCHASECOST_", ""), "_VALUE", "")</f>
        <v>METRO</v>
      </c>
      <c r="AE305" s="9" t="str" cm="1">
        <f t="array" ref="AE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5" s="2" t="b">
        <v>0</v>
      </c>
      <c r="AX305"/>
      <c r="AY305"/>
      <c r="AZ305"/>
    </row>
    <row r="306" spans="1:52">
      <c r="A306" s="2" t="s">
        <v>330</v>
      </c>
      <c r="B306">
        <v>1975</v>
      </c>
      <c r="C306">
        <v>1</v>
      </c>
      <c r="D306" t="s">
        <v>1859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 s="2" t="s">
        <v>325</v>
      </c>
      <c r="K306" s="39">
        <f>_xlfn.XLOOKUP("LOADINGSPEEDDEF_"&amp;PROPERTIES[[#This Row],[LOADINGSPEED]],LOADINGSPEEDDEF[TYPE],LOADINGSPEEDDEF[SPEED])</f>
        <v>120</v>
      </c>
      <c r="L306">
        <v>45</v>
      </c>
      <c r="M306">
        <v>1</v>
      </c>
      <c r="N306" s="33">
        <v>32.5</v>
      </c>
      <c r="O306">
        <v>770</v>
      </c>
      <c r="P306">
        <v>90</v>
      </c>
      <c r="Q306" s="30">
        <v>0</v>
      </c>
      <c r="R306" s="29">
        <f>IFERROR(PROPERTIES[[#This Row],[TE_STARTING_KN]]/(PROPERTIES[[#This Row],[WEIGHT]]*9.81),0)</f>
        <v>0</v>
      </c>
      <c r="S306" s="29">
        <v>0.25</v>
      </c>
      <c r="T306" s="26">
        <f>ROUND(IF(IFERROR(PROPERTIES[[#This Row],[TE_COEFFICIENT_CALC]],0)=0,PROPERTIES[[#This Row],[TE_COEFFICIENT_MANUAL]],PROPERTIES[[#This Row],[TE_COEFFICIENT_CALC]]),3)</f>
        <v>0.25</v>
      </c>
      <c r="U306" s="11">
        <v>60</v>
      </c>
      <c r="V306" s="9">
        <v>150</v>
      </c>
      <c r="W306" s="9">
        <v>8</v>
      </c>
      <c r="X306" s="10">
        <v>0</v>
      </c>
      <c r="Y306" t="s">
        <v>910</v>
      </c>
      <c r="Z306" t="s">
        <v>903</v>
      </c>
      <c r="AA306" s="2" t="s">
        <v>921</v>
      </c>
      <c r="AB306" s="9" t="s">
        <v>993</v>
      </c>
      <c r="AC306" s="9" t="s">
        <v>994</v>
      </c>
      <c r="AD306" s="10" t="str">
        <f>SUBSTITUTE(SUBSTITUTE(PROPERTIES[[#This Row],[PURCHASECOST_VALUE]], "PURCHASECOST_", ""), "_VALUE", "")</f>
        <v>METRO</v>
      </c>
      <c r="AE306" s="9" t="str" cm="1">
        <f t="array" ref="AE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6" s="2" t="b">
        <v>0</v>
      </c>
      <c r="AX306"/>
      <c r="AY306"/>
      <c r="AZ306"/>
    </row>
    <row r="307" spans="1:52">
      <c r="A307" s="2" t="s">
        <v>331</v>
      </c>
      <c r="B307">
        <v>1964</v>
      </c>
      <c r="C307">
        <v>1</v>
      </c>
      <c r="D307" t="s">
        <v>1926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 s="2" t="s">
        <v>325</v>
      </c>
      <c r="K307" s="39">
        <f>_xlfn.XLOOKUP("LOADINGSPEEDDEF_"&amp;PROPERTIES[[#This Row],[LOADINGSPEED]],LOADINGSPEEDDEF[TYPE],LOADINGSPEEDDEF[SPEED])</f>
        <v>120</v>
      </c>
      <c r="L307">
        <v>45</v>
      </c>
      <c r="M307">
        <v>1</v>
      </c>
      <c r="N307" s="33">
        <v>29.7</v>
      </c>
      <c r="O307">
        <v>1050</v>
      </c>
      <c r="P307">
        <v>70</v>
      </c>
      <c r="Q307" s="30">
        <v>0</v>
      </c>
      <c r="R307" s="29">
        <f>IFERROR(PROPERTIES[[#This Row],[TE_STARTING_KN]]/(PROPERTIES[[#This Row],[WEIGHT]]*9.81),0)</f>
        <v>0</v>
      </c>
      <c r="S307" s="29">
        <v>0.25</v>
      </c>
      <c r="T307" s="26">
        <f>ROUND(IF(IFERROR(PROPERTIES[[#This Row],[TE_COEFFICIENT_CALC]],0)=0,PROPERTIES[[#This Row],[TE_COEFFICIENT_MANUAL]],PROPERTIES[[#This Row],[TE_COEFFICIENT_CALC]]),3)</f>
        <v>0.25</v>
      </c>
      <c r="U307" s="11">
        <v>60</v>
      </c>
      <c r="V307" s="9">
        <v>180</v>
      </c>
      <c r="W307" s="9">
        <v>7</v>
      </c>
      <c r="X307" s="10">
        <v>0</v>
      </c>
      <c r="Y307" t="s">
        <v>908</v>
      </c>
      <c r="Z307" t="s">
        <v>903</v>
      </c>
      <c r="AA307" s="2" t="s">
        <v>921</v>
      </c>
      <c r="AB307" s="9" t="s">
        <v>993</v>
      </c>
      <c r="AC307" s="9" t="s">
        <v>994</v>
      </c>
      <c r="AD307" s="10" t="str">
        <f>SUBSTITUTE(SUBSTITUTE(PROPERTIES[[#This Row],[PURCHASECOST_VALUE]], "PURCHASECOST_", ""), "_VALUE", "")</f>
        <v>METRO</v>
      </c>
      <c r="AE307" s="9" t="str" cm="1">
        <f t="array" ref="AE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7" s="2" t="b">
        <v>0</v>
      </c>
      <c r="AX307"/>
      <c r="AY307"/>
      <c r="AZ307"/>
    </row>
    <row r="308" spans="1:52">
      <c r="A308" s="2" t="s">
        <v>332</v>
      </c>
      <c r="B308">
        <v>1965</v>
      </c>
      <c r="C308">
        <v>1</v>
      </c>
      <c r="D308" t="s">
        <v>1798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 s="2" t="s">
        <v>325</v>
      </c>
      <c r="K308" s="39">
        <f>_xlfn.XLOOKUP("LOADINGSPEEDDEF_"&amp;PROPERTIES[[#This Row],[LOADINGSPEED]],LOADINGSPEEDDEF[TYPE],LOADINGSPEEDDEF[SPEED])</f>
        <v>120</v>
      </c>
      <c r="L308">
        <v>45</v>
      </c>
      <c r="M308">
        <v>1</v>
      </c>
      <c r="N308" s="33">
        <v>27.5</v>
      </c>
      <c r="O308">
        <v>960</v>
      </c>
      <c r="P308">
        <v>80</v>
      </c>
      <c r="Q308" s="30">
        <v>0</v>
      </c>
      <c r="R308" s="29">
        <f>IFERROR(PROPERTIES[[#This Row],[TE_STARTING_KN]]/(PROPERTIES[[#This Row],[WEIGHT]]*9.81),0)</f>
        <v>0</v>
      </c>
      <c r="S308" s="29">
        <v>0.25</v>
      </c>
      <c r="T308" s="26">
        <f>ROUND(IF(IFERROR(PROPERTIES[[#This Row],[TE_COEFFICIENT_CALC]],0)=0,PROPERTIES[[#This Row],[TE_COEFFICIENT_MANUAL]],PROPERTIES[[#This Row],[TE_COEFFICIENT_CALC]]),3)</f>
        <v>0.25</v>
      </c>
      <c r="U308" s="11">
        <v>60</v>
      </c>
      <c r="V308" s="9">
        <v>210</v>
      </c>
      <c r="W308" s="9">
        <v>8</v>
      </c>
      <c r="X308" s="10">
        <v>0</v>
      </c>
      <c r="Y308" t="s">
        <v>909</v>
      </c>
      <c r="Z308" t="s">
        <v>903</v>
      </c>
      <c r="AA308" s="2" t="s">
        <v>921</v>
      </c>
      <c r="AB308" s="9" t="s">
        <v>993</v>
      </c>
      <c r="AC308" s="9" t="s">
        <v>994</v>
      </c>
      <c r="AD308" s="10" t="str">
        <f>SUBSTITUTE(SUBSTITUTE(PROPERTIES[[#This Row],[PURCHASECOST_VALUE]], "PURCHASECOST_", ""), "_VALUE", "")</f>
        <v>METRO</v>
      </c>
      <c r="AE308" s="9" t="str" cm="1">
        <f t="array" ref="AE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8" s="2" t="b">
        <v>0</v>
      </c>
      <c r="AX308"/>
      <c r="AY308"/>
      <c r="AZ308"/>
    </row>
    <row r="309" spans="1:52">
      <c r="A309" s="2" t="s">
        <v>333</v>
      </c>
      <c r="B309">
        <v>1971</v>
      </c>
      <c r="C309">
        <v>1</v>
      </c>
      <c r="D309" t="s">
        <v>1817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324</v>
      </c>
      <c r="H309">
        <v>145</v>
      </c>
      <c r="I309">
        <v>8</v>
      </c>
      <c r="J309" s="2" t="s">
        <v>325</v>
      </c>
      <c r="K309" s="39">
        <f>_xlfn.XLOOKUP("LOADINGSPEEDDEF_"&amp;PROPERTIES[[#This Row],[LOADINGSPEED]],LOADINGSPEEDDEF[TYPE],LOADINGSPEEDDEF[SPEED])</f>
        <v>120</v>
      </c>
      <c r="L309">
        <v>45</v>
      </c>
      <c r="M309">
        <v>1</v>
      </c>
      <c r="N309" s="33">
        <v>25.8</v>
      </c>
      <c r="O309">
        <v>965</v>
      </c>
      <c r="P309">
        <v>80</v>
      </c>
      <c r="Q309" s="30">
        <v>0</v>
      </c>
      <c r="R309" s="29">
        <f>IFERROR(PROPERTIES[[#This Row],[TE_STARTING_KN]]/(PROPERTIES[[#This Row],[WEIGHT]]*9.81),0)</f>
        <v>0</v>
      </c>
      <c r="S309" s="29">
        <v>0.26</v>
      </c>
      <c r="T309" s="26">
        <f>ROUND(IF(IFERROR(PROPERTIES[[#This Row],[TE_COEFFICIENT_CALC]],0)=0,PROPERTIES[[#This Row],[TE_COEFFICIENT_MANUAL]],PROPERTIES[[#This Row],[TE_COEFFICIENT_CALC]]),3)</f>
        <v>0.26</v>
      </c>
      <c r="U309" s="11">
        <v>60</v>
      </c>
      <c r="V309" s="9">
        <v>195</v>
      </c>
      <c r="W309" s="9">
        <v>8</v>
      </c>
      <c r="X309" s="10">
        <v>0</v>
      </c>
      <c r="Y309" t="s">
        <v>904</v>
      </c>
      <c r="Z309" t="s">
        <v>903</v>
      </c>
      <c r="AA309" s="2" t="s">
        <v>921</v>
      </c>
      <c r="AB309" s="9" t="s">
        <v>993</v>
      </c>
      <c r="AC309" s="9" t="s">
        <v>994</v>
      </c>
      <c r="AD309" s="10" t="str">
        <f>SUBSTITUTE(SUBSTITUTE(PROPERTIES[[#This Row],[PURCHASECOST_VALUE]], "PURCHASECOST_", ""), "_VALUE", "")</f>
        <v>METRO</v>
      </c>
      <c r="AE309" s="9" t="str" cm="1">
        <f t="array" ref="AE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9" s="2" t="b">
        <v>0</v>
      </c>
      <c r="AX309"/>
      <c r="AY309"/>
      <c r="AZ309"/>
    </row>
    <row r="310" spans="1:52">
      <c r="A310" s="2" t="s">
        <v>334</v>
      </c>
      <c r="B310">
        <v>1971</v>
      </c>
      <c r="C310">
        <v>1</v>
      </c>
      <c r="D310" t="s">
        <v>1992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 s="2" t="s">
        <v>325</v>
      </c>
      <c r="K310" s="39">
        <f>_xlfn.XLOOKUP("LOADINGSPEEDDEF_"&amp;PROPERTIES[[#This Row],[LOADINGSPEED]],LOADINGSPEEDDEF[TYPE],LOADINGSPEEDDEF[SPEED])</f>
        <v>120</v>
      </c>
      <c r="L310">
        <v>45</v>
      </c>
      <c r="M310">
        <v>1</v>
      </c>
      <c r="N310" s="33">
        <v>37</v>
      </c>
      <c r="O310">
        <v>920</v>
      </c>
      <c r="P310">
        <v>110</v>
      </c>
      <c r="Q310" s="30">
        <v>0</v>
      </c>
      <c r="R310" s="29">
        <f>IFERROR(PROPERTIES[[#This Row],[TE_STARTING_KN]]/(PROPERTIES[[#This Row],[WEIGHT]]*9.81),0)</f>
        <v>0</v>
      </c>
      <c r="S310" s="29">
        <v>0.26</v>
      </c>
      <c r="T310" s="26">
        <f>ROUND(IF(IFERROR(PROPERTIES[[#This Row],[TE_COEFFICIENT_CALC]],0)=0,PROPERTIES[[#This Row],[TE_COEFFICIENT_MANUAL]],PROPERTIES[[#This Row],[TE_COEFFICIENT_CALC]]),3)</f>
        <v>0.26</v>
      </c>
      <c r="U310" s="11">
        <v>60</v>
      </c>
      <c r="V310" s="9">
        <v>162</v>
      </c>
      <c r="W310" s="9">
        <v>8</v>
      </c>
      <c r="X310" s="10">
        <v>0</v>
      </c>
      <c r="Y310" t="s">
        <v>909</v>
      </c>
      <c r="Z310" t="s">
        <v>903</v>
      </c>
      <c r="AA310" s="2" t="s">
        <v>921</v>
      </c>
      <c r="AB310" s="9" t="s">
        <v>993</v>
      </c>
      <c r="AC310" s="9" t="s">
        <v>994</v>
      </c>
      <c r="AD310" s="10" t="str">
        <f>SUBSTITUTE(SUBSTITUTE(PROPERTIES[[#This Row],[PURCHASECOST_VALUE]], "PURCHASECOST_", ""), "_VALUE", "")</f>
        <v>METRO</v>
      </c>
      <c r="AE310" s="9" t="str" cm="1">
        <f t="array" ref="AE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0" s="2" t="b">
        <v>0</v>
      </c>
      <c r="AX310"/>
      <c r="AY310"/>
      <c r="AZ310"/>
    </row>
    <row r="311" spans="1:52">
      <c r="A311" s="2" t="s">
        <v>335</v>
      </c>
      <c r="B311">
        <v>1973</v>
      </c>
      <c r="C311">
        <v>1</v>
      </c>
      <c r="D311" t="s">
        <v>1925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 s="2" t="s">
        <v>325</v>
      </c>
      <c r="K311" s="39">
        <f>_xlfn.XLOOKUP("LOADINGSPEEDDEF_"&amp;PROPERTIES[[#This Row],[LOADINGSPEED]],LOADINGSPEEDDEF[TYPE],LOADINGSPEEDDEF[SPEED])</f>
        <v>120</v>
      </c>
      <c r="L311">
        <v>45</v>
      </c>
      <c r="M311">
        <v>1</v>
      </c>
      <c r="N311" s="33">
        <v>27</v>
      </c>
      <c r="O311">
        <v>1050</v>
      </c>
      <c r="P311">
        <v>80</v>
      </c>
      <c r="Q311" s="30">
        <v>0</v>
      </c>
      <c r="R311" s="29">
        <f>IFERROR(PROPERTIES[[#This Row],[TE_STARTING_KN]]/(PROPERTIES[[#This Row],[WEIGHT]]*9.81),0)</f>
        <v>0</v>
      </c>
      <c r="S311" s="29">
        <v>0.26</v>
      </c>
      <c r="T311" s="26">
        <f>ROUND(IF(IFERROR(PROPERTIES[[#This Row],[TE_COEFFICIENT_CALC]],0)=0,PROPERTIES[[#This Row],[TE_COEFFICIENT_MANUAL]],PROPERTIES[[#This Row],[TE_COEFFICIENT_CALC]]),3)</f>
        <v>0.26</v>
      </c>
      <c r="U311" s="11">
        <v>60</v>
      </c>
      <c r="V311" s="9">
        <v>174</v>
      </c>
      <c r="W311" s="9">
        <v>7</v>
      </c>
      <c r="X311" s="10">
        <v>0</v>
      </c>
      <c r="Y311" t="s">
        <v>904</v>
      </c>
      <c r="Z311" t="s">
        <v>903</v>
      </c>
      <c r="AA311" s="2" t="s">
        <v>921</v>
      </c>
      <c r="AB311" s="9" t="s">
        <v>993</v>
      </c>
      <c r="AC311" s="9" t="s">
        <v>994</v>
      </c>
      <c r="AD311" s="10" t="str">
        <f>SUBSTITUTE(SUBSTITUTE(PROPERTIES[[#This Row],[PURCHASECOST_VALUE]], "PURCHASECOST_", ""), "_VALUE", "")</f>
        <v>METRO</v>
      </c>
      <c r="AE311" s="9" t="str" cm="1">
        <f t="array" ref="AE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1" s="2" t="b">
        <v>0</v>
      </c>
      <c r="AX311"/>
      <c r="AY311"/>
      <c r="AZ311"/>
    </row>
    <row r="312" spans="1:52">
      <c r="A312" s="2" t="s">
        <v>336</v>
      </c>
      <c r="B312">
        <v>1974</v>
      </c>
      <c r="C312">
        <v>1</v>
      </c>
      <c r="D312" t="s">
        <v>1956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 s="2" t="s">
        <v>325</v>
      </c>
      <c r="K312" s="39">
        <f>_xlfn.XLOOKUP("LOADINGSPEEDDEF_"&amp;PROPERTIES[[#This Row],[LOADINGSPEED]],LOADINGSPEEDDEF[TYPE],LOADINGSPEEDDEF[SPEED])</f>
        <v>120</v>
      </c>
      <c r="L312">
        <v>45</v>
      </c>
      <c r="M312">
        <v>1</v>
      </c>
      <c r="N312" s="33">
        <v>23.5</v>
      </c>
      <c r="O312">
        <v>860</v>
      </c>
      <c r="P312">
        <v>90</v>
      </c>
      <c r="Q312" s="30">
        <v>0</v>
      </c>
      <c r="R312" s="29">
        <f>IFERROR(PROPERTIES[[#This Row],[TE_STARTING_KN]]/(PROPERTIES[[#This Row],[WEIGHT]]*9.81),0)</f>
        <v>0</v>
      </c>
      <c r="S312" s="29">
        <v>0.27</v>
      </c>
      <c r="T312" s="26">
        <f>ROUND(IF(IFERROR(PROPERTIES[[#This Row],[TE_COEFFICIENT_CALC]],0)=0,PROPERTIES[[#This Row],[TE_COEFFICIENT_MANUAL]],PROPERTIES[[#This Row],[TE_COEFFICIENT_CALC]]),3)</f>
        <v>0.27</v>
      </c>
      <c r="U312" s="11">
        <v>60</v>
      </c>
      <c r="V312" s="9">
        <v>158</v>
      </c>
      <c r="W312" s="9">
        <v>8</v>
      </c>
      <c r="X312" s="10">
        <v>0</v>
      </c>
      <c r="Y312" t="s">
        <v>908</v>
      </c>
      <c r="Z312" t="s">
        <v>903</v>
      </c>
      <c r="AA312" s="2" t="s">
        <v>921</v>
      </c>
      <c r="AB312" s="9" t="s">
        <v>993</v>
      </c>
      <c r="AC312" s="9" t="s">
        <v>994</v>
      </c>
      <c r="AD312" s="10" t="str">
        <f>SUBSTITUTE(SUBSTITUTE(PROPERTIES[[#This Row],[PURCHASECOST_VALUE]], "PURCHASECOST_", ""), "_VALUE", "")</f>
        <v>METRO</v>
      </c>
      <c r="AE312" s="9" t="str" cm="1">
        <f t="array" ref="AE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2" s="2" t="b">
        <v>0</v>
      </c>
      <c r="AX312"/>
      <c r="AY312"/>
      <c r="AZ312"/>
    </row>
    <row r="313" spans="1:52">
      <c r="A313" s="2" t="s">
        <v>337</v>
      </c>
      <c r="B313">
        <v>1999</v>
      </c>
      <c r="C313">
        <v>1</v>
      </c>
      <c r="D313" t="s">
        <v>1880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 s="2" t="s">
        <v>325</v>
      </c>
      <c r="K313" s="39">
        <f>_xlfn.XLOOKUP("LOADINGSPEEDDEF_"&amp;PROPERTIES[[#This Row],[LOADINGSPEED]],LOADINGSPEEDDEF[TYPE],LOADINGSPEEDDEF[SPEED])</f>
        <v>120</v>
      </c>
      <c r="L313">
        <v>45</v>
      </c>
      <c r="M313">
        <v>1</v>
      </c>
      <c r="N313" s="33">
        <v>28.5</v>
      </c>
      <c r="O313">
        <v>800</v>
      </c>
      <c r="P313">
        <v>70</v>
      </c>
      <c r="Q313" s="30">
        <v>0</v>
      </c>
      <c r="R313" s="29">
        <f>IFERROR(PROPERTIES[[#This Row],[TE_STARTING_KN]]/(PROPERTIES[[#This Row],[WEIGHT]]*9.81),0)</f>
        <v>0</v>
      </c>
      <c r="S313" s="29">
        <v>0.23</v>
      </c>
      <c r="T313" s="26">
        <f>ROUND(IF(IFERROR(PROPERTIES[[#This Row],[TE_COEFFICIENT_CALC]],0)=0,PROPERTIES[[#This Row],[TE_COEFFICIENT_MANUAL]],PROPERTIES[[#This Row],[TE_COEFFICIENT_CALC]]),3)</f>
        <v>0.23</v>
      </c>
      <c r="U313" s="11">
        <v>60</v>
      </c>
      <c r="V313" s="9">
        <v>180</v>
      </c>
      <c r="W313" s="9">
        <v>8</v>
      </c>
      <c r="X313" s="10">
        <v>0</v>
      </c>
      <c r="Y313" t="s">
        <v>912</v>
      </c>
      <c r="Z313" t="s">
        <v>903</v>
      </c>
      <c r="AA313" s="2" t="s">
        <v>921</v>
      </c>
      <c r="AB313" s="9" t="s">
        <v>993</v>
      </c>
      <c r="AC313" s="9" t="s">
        <v>994</v>
      </c>
      <c r="AD313" s="10" t="str">
        <f>SUBSTITUTE(SUBSTITUTE(PROPERTIES[[#This Row],[PURCHASECOST_VALUE]], "PURCHASECOST_", ""), "_VALUE", "")</f>
        <v>METRO</v>
      </c>
      <c r="AE313" s="9" t="str" cm="1">
        <f t="array" ref="AE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3" s="2" t="b">
        <v>0</v>
      </c>
      <c r="AX313"/>
      <c r="AY313"/>
      <c r="AZ313"/>
    </row>
    <row r="314" spans="1:52">
      <c r="A314" s="2" t="s">
        <v>338</v>
      </c>
      <c r="B314">
        <v>1977</v>
      </c>
      <c r="C314">
        <v>1</v>
      </c>
      <c r="D314" t="s">
        <v>1830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 s="2" t="s">
        <v>325</v>
      </c>
      <c r="K314" s="39">
        <f>_xlfn.XLOOKUP("LOADINGSPEEDDEF_"&amp;PROPERTIES[[#This Row],[LOADINGSPEED]],LOADINGSPEEDDEF[TYPE],LOADINGSPEEDDEF[SPEED])</f>
        <v>120</v>
      </c>
      <c r="L314">
        <v>45</v>
      </c>
      <c r="M314">
        <v>1</v>
      </c>
      <c r="N314" s="33">
        <v>30.8</v>
      </c>
      <c r="O314">
        <v>1340</v>
      </c>
      <c r="P314">
        <v>90</v>
      </c>
      <c r="Q314" s="30">
        <v>0</v>
      </c>
      <c r="R314" s="29">
        <f>IFERROR(PROPERTIES[[#This Row],[TE_STARTING_KN]]/(PROPERTIES[[#This Row],[WEIGHT]]*9.81),0)</f>
        <v>0</v>
      </c>
      <c r="S314" s="29">
        <v>0.3</v>
      </c>
      <c r="T314" s="26">
        <f>ROUND(IF(IFERROR(PROPERTIES[[#This Row],[TE_COEFFICIENT_CALC]],0)=0,PROPERTIES[[#This Row],[TE_COEFFICIENT_MANUAL]],PROPERTIES[[#This Row],[TE_COEFFICIENT_CALC]]),3)</f>
        <v>0.3</v>
      </c>
      <c r="U314" s="11">
        <v>60</v>
      </c>
      <c r="V314" s="9">
        <v>165</v>
      </c>
      <c r="W314" s="9">
        <v>8</v>
      </c>
      <c r="X314" s="10">
        <v>0</v>
      </c>
      <c r="Y314" t="s">
        <v>908</v>
      </c>
      <c r="Z314" t="s">
        <v>903</v>
      </c>
      <c r="AA314" s="2" t="s">
        <v>921</v>
      </c>
      <c r="AB314" s="9" t="s">
        <v>993</v>
      </c>
      <c r="AC314" s="9" t="s">
        <v>994</v>
      </c>
      <c r="AD314" s="10" t="str">
        <f>SUBSTITUTE(SUBSTITUTE(PROPERTIES[[#This Row],[PURCHASECOST_VALUE]], "PURCHASECOST_", ""), "_VALUE", "")</f>
        <v>METRO</v>
      </c>
      <c r="AE314" s="9" t="str" cm="1">
        <f t="array" ref="AE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4" s="2" t="b">
        <v>0</v>
      </c>
      <c r="AX314"/>
      <c r="AY314"/>
      <c r="AZ314"/>
    </row>
    <row r="315" spans="1:52">
      <c r="A315" s="2" t="s">
        <v>339</v>
      </c>
      <c r="B315">
        <v>1979</v>
      </c>
      <c r="C315">
        <v>1</v>
      </c>
      <c r="D315" t="s">
        <v>1791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 s="2" t="s">
        <v>325</v>
      </c>
      <c r="K315" s="39">
        <f>_xlfn.XLOOKUP("LOADINGSPEEDDEF_"&amp;PROPERTIES[[#This Row],[LOADINGSPEED]],LOADINGSPEEDDEF[TYPE],LOADINGSPEEDDEF[SPEED])</f>
        <v>120</v>
      </c>
      <c r="L315">
        <v>45</v>
      </c>
      <c r="M315">
        <v>1</v>
      </c>
      <c r="N315" s="33">
        <v>52</v>
      </c>
      <c r="O315">
        <v>1530</v>
      </c>
      <c r="P315">
        <v>100</v>
      </c>
      <c r="Q315" s="30">
        <v>0</v>
      </c>
      <c r="R315" s="29">
        <f>IFERROR(PROPERTIES[[#This Row],[TE_STARTING_KN]]/(PROPERTIES[[#This Row],[WEIGHT]]*9.81),0)</f>
        <v>0</v>
      </c>
      <c r="S315" s="29">
        <v>0.25</v>
      </c>
      <c r="T315" s="26">
        <f>ROUND(IF(IFERROR(PROPERTIES[[#This Row],[TE_COEFFICIENT_CALC]],0)=0,PROPERTIES[[#This Row],[TE_COEFFICIENT_MANUAL]],PROPERTIES[[#This Row],[TE_COEFFICIENT_CALC]]),3)</f>
        <v>0.25</v>
      </c>
      <c r="U315" s="11">
        <v>60</v>
      </c>
      <c r="V315" s="9">
        <v>230</v>
      </c>
      <c r="W315" s="9">
        <v>8</v>
      </c>
      <c r="X315" s="10">
        <v>0</v>
      </c>
      <c r="Y315" t="s">
        <v>911</v>
      </c>
      <c r="Z315" t="s">
        <v>903</v>
      </c>
      <c r="AA315" s="2" t="s">
        <v>921</v>
      </c>
      <c r="AB315" s="9" t="s">
        <v>993</v>
      </c>
      <c r="AC315" s="9" t="s">
        <v>994</v>
      </c>
      <c r="AD315" s="10" t="str">
        <f>SUBSTITUTE(SUBSTITUTE(PROPERTIES[[#This Row],[PURCHASECOST_VALUE]], "PURCHASECOST_", ""), "_VALUE", "")</f>
        <v>METRO</v>
      </c>
      <c r="AE315" s="9" t="str" cm="1">
        <f t="array" ref="AE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5" s="2" t="b">
        <v>0</v>
      </c>
      <c r="AX315"/>
      <c r="AY315"/>
      <c r="AZ315"/>
    </row>
    <row r="316" spans="1:52">
      <c r="A316" s="2" t="s">
        <v>340</v>
      </c>
      <c r="B316">
        <v>1981</v>
      </c>
      <c r="C316">
        <v>1</v>
      </c>
      <c r="D316" t="s">
        <v>1950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324</v>
      </c>
      <c r="H316">
        <v>144</v>
      </c>
      <c r="I316">
        <v>8</v>
      </c>
      <c r="J316" s="2" t="s">
        <v>325</v>
      </c>
      <c r="K316" s="39">
        <f>_xlfn.XLOOKUP("LOADINGSPEEDDEF_"&amp;PROPERTIES[[#This Row],[LOADINGSPEED]],LOADINGSPEEDDEF[TYPE],LOADINGSPEEDDEF[SPEED])</f>
        <v>120</v>
      </c>
      <c r="L316">
        <v>45</v>
      </c>
      <c r="M316">
        <v>1</v>
      </c>
      <c r="N316" s="33">
        <v>36</v>
      </c>
      <c r="O316">
        <v>1115</v>
      </c>
      <c r="P316">
        <v>100</v>
      </c>
      <c r="Q316" s="30">
        <v>0</v>
      </c>
      <c r="R316" s="29">
        <f>IFERROR(PROPERTIES[[#This Row],[TE_STARTING_KN]]/(PROPERTIES[[#This Row],[WEIGHT]]*9.81),0)</f>
        <v>0</v>
      </c>
      <c r="S316" s="29">
        <v>0.3</v>
      </c>
      <c r="T316" s="26">
        <f>ROUND(IF(IFERROR(PROPERTIES[[#This Row],[TE_COEFFICIENT_CALC]],0)=0,PROPERTIES[[#This Row],[TE_COEFFICIENT_MANUAL]],PROPERTIES[[#This Row],[TE_COEFFICIENT_CALC]]),3)</f>
        <v>0.3</v>
      </c>
      <c r="U316" s="11">
        <v>60</v>
      </c>
      <c r="V316" s="9">
        <v>144</v>
      </c>
      <c r="W316" s="9">
        <v>8</v>
      </c>
      <c r="X316" s="10">
        <v>0</v>
      </c>
      <c r="Y316" t="s">
        <v>912</v>
      </c>
      <c r="Z316" t="s">
        <v>903</v>
      </c>
      <c r="AA316" s="2" t="s">
        <v>921</v>
      </c>
      <c r="AB316" s="9" t="s">
        <v>993</v>
      </c>
      <c r="AC316" s="9" t="s">
        <v>994</v>
      </c>
      <c r="AD316" s="10" t="str">
        <f>SUBSTITUTE(SUBSTITUTE(PROPERTIES[[#This Row],[PURCHASECOST_VALUE]], "PURCHASECOST_", ""), "_VALUE", "")</f>
        <v>METRO</v>
      </c>
      <c r="AE316" s="9" t="str" cm="1">
        <f t="array" ref="AE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6" s="2" t="b">
        <v>0</v>
      </c>
      <c r="AX316"/>
      <c r="AY316"/>
      <c r="AZ316"/>
    </row>
    <row r="317" spans="1:52">
      <c r="A317" s="2" t="s">
        <v>341</v>
      </c>
      <c r="B317">
        <v>1985</v>
      </c>
      <c r="C317">
        <v>1</v>
      </c>
      <c r="D317" t="s">
        <v>1873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 s="2" t="s">
        <v>325</v>
      </c>
      <c r="K317" s="39">
        <f>_xlfn.XLOOKUP("LOADINGSPEEDDEF_"&amp;PROPERTIES[[#This Row],[LOADINGSPEED]],LOADINGSPEEDDEF[TYPE],LOADINGSPEEDDEF[SPEED])</f>
        <v>120</v>
      </c>
      <c r="L317">
        <v>45</v>
      </c>
      <c r="M317">
        <v>1</v>
      </c>
      <c r="N317" s="33">
        <v>23.5</v>
      </c>
      <c r="O317">
        <v>640</v>
      </c>
      <c r="P317">
        <v>80</v>
      </c>
      <c r="Q317" s="30">
        <v>0</v>
      </c>
      <c r="R317" s="29">
        <f>IFERROR(PROPERTIES[[#This Row],[TE_STARTING_KN]]/(PROPERTIES[[#This Row],[WEIGHT]]*9.81),0)</f>
        <v>0</v>
      </c>
      <c r="S317" s="29">
        <v>0.28000000000000003</v>
      </c>
      <c r="T317" s="26">
        <f>ROUND(IF(IFERROR(PROPERTIES[[#This Row],[TE_COEFFICIENT_CALC]],0)=0,PROPERTIES[[#This Row],[TE_COEFFICIENT_MANUAL]],PROPERTIES[[#This Row],[TE_COEFFICIENT_CALC]]),3)</f>
        <v>0.28000000000000003</v>
      </c>
      <c r="U317" s="11">
        <v>60</v>
      </c>
      <c r="V317" s="9">
        <v>120</v>
      </c>
      <c r="W317" s="9">
        <v>8</v>
      </c>
      <c r="X317" s="10">
        <v>0</v>
      </c>
      <c r="Y317" t="s">
        <v>912</v>
      </c>
      <c r="Z317" t="s">
        <v>903</v>
      </c>
      <c r="AA317" s="2" t="s">
        <v>921</v>
      </c>
      <c r="AB317" s="9" t="s">
        <v>993</v>
      </c>
      <c r="AC317" s="9" t="s">
        <v>994</v>
      </c>
      <c r="AD317" s="10" t="str">
        <f>SUBSTITUTE(SUBSTITUTE(PROPERTIES[[#This Row],[PURCHASECOST_VALUE]], "PURCHASECOST_", ""), "_VALUE", "")</f>
        <v>METRO</v>
      </c>
      <c r="AE317" s="9" t="str" cm="1">
        <f t="array" ref="AE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7" s="2" t="b">
        <v>0</v>
      </c>
      <c r="AX317"/>
      <c r="AY317"/>
      <c r="AZ317"/>
    </row>
    <row r="318" spans="1:52">
      <c r="A318" s="2" t="s">
        <v>342</v>
      </c>
      <c r="B318">
        <v>1987</v>
      </c>
      <c r="C318">
        <v>1</v>
      </c>
      <c r="D318" t="s">
        <v>1825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 s="2" t="s">
        <v>325</v>
      </c>
      <c r="K318" s="39">
        <f>_xlfn.XLOOKUP("LOADINGSPEEDDEF_"&amp;PROPERTIES[[#This Row],[LOADINGSPEED]],LOADINGSPEEDDEF[TYPE],LOADINGSPEEDDEF[SPEED])</f>
        <v>120</v>
      </c>
      <c r="L318">
        <v>45</v>
      </c>
      <c r="M318">
        <v>1</v>
      </c>
      <c r="N318" s="33">
        <v>37.5</v>
      </c>
      <c r="O318">
        <v>1450</v>
      </c>
      <c r="P318">
        <v>100</v>
      </c>
      <c r="Q318" s="30">
        <v>0</v>
      </c>
      <c r="R318" s="29">
        <f>IFERROR(PROPERTIES[[#This Row],[TE_STARTING_KN]]/(PROPERTIES[[#This Row],[WEIGHT]]*9.81),0)</f>
        <v>0</v>
      </c>
      <c r="S318" s="29">
        <v>0.26</v>
      </c>
      <c r="T318" s="26">
        <f>ROUND(IF(IFERROR(PROPERTIES[[#This Row],[TE_COEFFICIENT_CALC]],0)=0,PROPERTIES[[#This Row],[TE_COEFFICIENT_MANUAL]],PROPERTIES[[#This Row],[TE_COEFFICIENT_CALC]]),3)</f>
        <v>0.26</v>
      </c>
      <c r="U318" s="11">
        <v>60</v>
      </c>
      <c r="V318" s="9">
        <v>250</v>
      </c>
      <c r="W318" s="9">
        <v>8</v>
      </c>
      <c r="X318" s="10">
        <v>0</v>
      </c>
      <c r="Y318" t="s">
        <v>907</v>
      </c>
      <c r="Z318" t="s">
        <v>903</v>
      </c>
      <c r="AA318" s="2" t="s">
        <v>921</v>
      </c>
      <c r="AB318" s="9" t="s">
        <v>993</v>
      </c>
      <c r="AC318" s="9" t="s">
        <v>994</v>
      </c>
      <c r="AD318" s="10" t="str">
        <f>SUBSTITUTE(SUBSTITUTE(PROPERTIES[[#This Row],[PURCHASECOST_VALUE]], "PURCHASECOST_", ""), "_VALUE", "")</f>
        <v>METRO</v>
      </c>
      <c r="AE318" s="9" t="str" cm="1">
        <f t="array" ref="AE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8" s="2" t="b">
        <v>0</v>
      </c>
      <c r="AX318"/>
      <c r="AY318"/>
      <c r="AZ318"/>
    </row>
    <row r="319" spans="1:52">
      <c r="A319" s="2" t="s">
        <v>343</v>
      </c>
      <c r="B319">
        <v>1986</v>
      </c>
      <c r="C319">
        <v>1</v>
      </c>
      <c r="D319" t="s">
        <v>1836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 s="2" t="s">
        <v>325</v>
      </c>
      <c r="K319" s="39">
        <f>_xlfn.XLOOKUP("LOADINGSPEEDDEF_"&amp;PROPERTIES[[#This Row],[LOADINGSPEED]],LOADINGSPEEDDEF[TYPE],LOADINGSPEEDDEF[SPEED])</f>
        <v>120</v>
      </c>
      <c r="L319">
        <v>45</v>
      </c>
      <c r="M319">
        <v>1</v>
      </c>
      <c r="N319" s="33">
        <v>33</v>
      </c>
      <c r="O319">
        <v>640</v>
      </c>
      <c r="P319">
        <v>80</v>
      </c>
      <c r="Q319" s="30">
        <v>0</v>
      </c>
      <c r="R319" s="29">
        <f>IFERROR(PROPERTIES[[#This Row],[TE_STARTING_KN]]/(PROPERTIES[[#This Row],[WEIGHT]]*9.81),0)</f>
        <v>0</v>
      </c>
      <c r="S319" s="29">
        <v>0.25</v>
      </c>
      <c r="T319" s="26">
        <f>ROUND(IF(IFERROR(PROPERTIES[[#This Row],[TE_COEFFICIENT_CALC]],0)=0,PROPERTIES[[#This Row],[TE_COEFFICIENT_MANUAL]],PROPERTIES[[#This Row],[TE_COEFFICIENT_CALC]]),3)</f>
        <v>0.25</v>
      </c>
      <c r="U319" s="11">
        <v>60</v>
      </c>
      <c r="V319" s="9">
        <v>200</v>
      </c>
      <c r="W319" s="9">
        <v>6</v>
      </c>
      <c r="X319" s="10">
        <v>0</v>
      </c>
      <c r="Y319" t="s">
        <v>908</v>
      </c>
      <c r="Z319" t="s">
        <v>903</v>
      </c>
      <c r="AA319" s="2" t="s">
        <v>921</v>
      </c>
      <c r="AB319" s="9" t="s">
        <v>993</v>
      </c>
      <c r="AC319" s="9" t="s">
        <v>994</v>
      </c>
      <c r="AD319" s="10" t="str">
        <f>SUBSTITUTE(SUBSTITUTE(PROPERTIES[[#This Row],[PURCHASECOST_VALUE]], "PURCHASECOST_", ""), "_VALUE", "")</f>
        <v>METRO</v>
      </c>
      <c r="AE319" s="9" t="str" cm="1">
        <f t="array" ref="AE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9" s="2" t="b">
        <v>0</v>
      </c>
      <c r="AX319"/>
      <c r="AY319"/>
      <c r="AZ319"/>
    </row>
    <row r="320" spans="1:52">
      <c r="A320" s="2" t="s">
        <v>344</v>
      </c>
      <c r="B320">
        <v>1993</v>
      </c>
      <c r="C320">
        <v>1</v>
      </c>
      <c r="D320" t="s">
        <v>1950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 s="2" t="s">
        <v>325</v>
      </c>
      <c r="K320" s="39">
        <f>_xlfn.XLOOKUP("LOADINGSPEEDDEF_"&amp;PROPERTIES[[#This Row],[LOADINGSPEED]],LOADINGSPEEDDEF[TYPE],LOADINGSPEEDDEF[SPEED])</f>
        <v>120</v>
      </c>
      <c r="L320">
        <v>45</v>
      </c>
      <c r="M320">
        <v>1</v>
      </c>
      <c r="N320" s="33">
        <v>34</v>
      </c>
      <c r="O320">
        <v>1180</v>
      </c>
      <c r="P320">
        <v>90</v>
      </c>
      <c r="Q320" s="30">
        <v>0</v>
      </c>
      <c r="R320" s="29">
        <f>IFERROR(PROPERTIES[[#This Row],[TE_STARTING_KN]]/(PROPERTIES[[#This Row],[WEIGHT]]*9.81),0)</f>
        <v>0</v>
      </c>
      <c r="S320" s="29">
        <v>0.27</v>
      </c>
      <c r="T320" s="26">
        <f>ROUND(IF(IFERROR(PROPERTIES[[#This Row],[TE_COEFFICIENT_CALC]],0)=0,PROPERTIES[[#This Row],[TE_COEFFICIENT_MANUAL]],PROPERTIES[[#This Row],[TE_COEFFICIENT_CALC]]),3)</f>
        <v>0.27</v>
      </c>
      <c r="U320" s="11">
        <v>60</v>
      </c>
      <c r="V320" s="9">
        <v>147</v>
      </c>
      <c r="W320" s="9">
        <v>8</v>
      </c>
      <c r="X320" s="10">
        <v>0</v>
      </c>
      <c r="Y320" t="s">
        <v>912</v>
      </c>
      <c r="Z320" t="s">
        <v>903</v>
      </c>
      <c r="AA320" s="2" t="s">
        <v>921</v>
      </c>
      <c r="AB320" s="9" t="s">
        <v>993</v>
      </c>
      <c r="AC320" s="9" t="s">
        <v>994</v>
      </c>
      <c r="AD320" s="10" t="str">
        <f>SUBSTITUTE(SUBSTITUTE(PROPERTIES[[#This Row],[PURCHASECOST_VALUE]], "PURCHASECOST_", ""), "_VALUE", "")</f>
        <v>METRO</v>
      </c>
      <c r="AE320" s="9" t="str" cm="1">
        <f t="array" ref="AE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0" s="2" t="b">
        <v>0</v>
      </c>
      <c r="AX320"/>
      <c r="AY320"/>
      <c r="AZ320"/>
    </row>
    <row r="321" spans="1:52">
      <c r="A321" s="2" t="s">
        <v>345</v>
      </c>
      <c r="B321">
        <v>1993</v>
      </c>
      <c r="C321">
        <v>1</v>
      </c>
      <c r="D321" t="s">
        <v>1992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 s="2" t="s">
        <v>325</v>
      </c>
      <c r="K321" s="39">
        <f>_xlfn.XLOOKUP("LOADINGSPEEDDEF_"&amp;PROPERTIES[[#This Row],[LOADINGSPEED]],LOADINGSPEEDDEF[TYPE],LOADINGSPEEDDEF[SPEED])</f>
        <v>120</v>
      </c>
      <c r="L321">
        <v>45</v>
      </c>
      <c r="M321">
        <v>1</v>
      </c>
      <c r="N321" s="33">
        <v>36.5</v>
      </c>
      <c r="O321">
        <v>910</v>
      </c>
      <c r="P321">
        <v>80</v>
      </c>
      <c r="Q321" s="30">
        <v>0</v>
      </c>
      <c r="R321" s="29">
        <f>IFERROR(PROPERTIES[[#This Row],[TE_STARTING_KN]]/(PROPERTIES[[#This Row],[WEIGHT]]*9.81),0)</f>
        <v>0</v>
      </c>
      <c r="S321" s="29">
        <v>0.26</v>
      </c>
      <c r="T321" s="26">
        <f>ROUND(IF(IFERROR(PROPERTIES[[#This Row],[TE_COEFFICIENT_CALC]],0)=0,PROPERTIES[[#This Row],[TE_COEFFICIENT_MANUAL]],PROPERTIES[[#This Row],[TE_COEFFICIENT_CALC]]),3)</f>
        <v>0.26</v>
      </c>
      <c r="U321" s="11">
        <v>60</v>
      </c>
      <c r="V321" s="9">
        <v>150</v>
      </c>
      <c r="W321" s="9">
        <v>8</v>
      </c>
      <c r="X321" s="10">
        <v>0</v>
      </c>
      <c r="Y321" t="s">
        <v>909</v>
      </c>
      <c r="Z321" t="s">
        <v>903</v>
      </c>
      <c r="AA321" s="2" t="s">
        <v>921</v>
      </c>
      <c r="AB321" s="9" t="s">
        <v>993</v>
      </c>
      <c r="AC321" s="9" t="s">
        <v>994</v>
      </c>
      <c r="AD321" s="10" t="str">
        <f>SUBSTITUTE(SUBSTITUTE(PROPERTIES[[#This Row],[PURCHASECOST_VALUE]], "PURCHASECOST_", ""), "_VALUE", "")</f>
        <v>METRO</v>
      </c>
      <c r="AE321" s="9" t="str" cm="1">
        <f t="array" ref="AE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1" s="2" t="b">
        <v>0</v>
      </c>
      <c r="AX321"/>
      <c r="AY321"/>
      <c r="AZ321"/>
    </row>
    <row r="322" spans="1:52">
      <c r="A322" s="2" t="s">
        <v>346</v>
      </c>
      <c r="B322">
        <v>1993</v>
      </c>
      <c r="C322">
        <v>1</v>
      </c>
      <c r="D322" t="s">
        <v>1992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 s="2" t="s">
        <v>325</v>
      </c>
      <c r="K322" s="39">
        <f>_xlfn.XLOOKUP("LOADINGSPEEDDEF_"&amp;PROPERTIES[[#This Row],[LOADINGSPEED]],LOADINGSPEEDDEF[TYPE],LOADINGSPEEDDEF[SPEED])</f>
        <v>120</v>
      </c>
      <c r="L322" t="s">
        <v>20</v>
      </c>
      <c r="M322">
        <v>1</v>
      </c>
      <c r="N322" s="33">
        <v>36.5</v>
      </c>
      <c r="O322">
        <v>1250</v>
      </c>
      <c r="P322">
        <v>70</v>
      </c>
      <c r="Q322" s="30">
        <v>0</v>
      </c>
      <c r="R322" s="29">
        <f>IFERROR(PROPERTIES[[#This Row],[TE_STARTING_KN]]/(PROPERTIES[[#This Row],[WEIGHT]]*9.81),0)</f>
        <v>0</v>
      </c>
      <c r="S322" s="29">
        <v>0.28000000000000003</v>
      </c>
      <c r="T322" s="26">
        <f>ROUND(IF(IFERROR(PROPERTIES[[#This Row],[TE_COEFFICIENT_CALC]],0)=0,PROPERTIES[[#This Row],[TE_COEFFICIENT_MANUAL]],PROPERTIES[[#This Row],[TE_COEFFICIENT_CALC]]),3)</f>
        <v>0.28000000000000003</v>
      </c>
      <c r="U322" s="11">
        <v>60</v>
      </c>
      <c r="V322" s="9">
        <v>170</v>
      </c>
      <c r="W322" s="9">
        <v>8</v>
      </c>
      <c r="X322" s="10">
        <v>0</v>
      </c>
      <c r="Y322" t="s">
        <v>909</v>
      </c>
      <c r="Z322" t="s">
        <v>903</v>
      </c>
      <c r="AA322" s="2" t="s">
        <v>921</v>
      </c>
      <c r="AB322" s="9" t="s">
        <v>993</v>
      </c>
      <c r="AC322" s="9" t="s">
        <v>994</v>
      </c>
      <c r="AD322" s="10" t="str">
        <f>SUBSTITUTE(SUBSTITUTE(PROPERTIES[[#This Row],[PURCHASECOST_VALUE]], "PURCHASECOST_", ""), "_VALUE", "")</f>
        <v>METRO</v>
      </c>
      <c r="AE322" s="9" t="str" cm="1">
        <f t="array" ref="AE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2" s="2" t="b">
        <v>0</v>
      </c>
      <c r="AX322"/>
      <c r="AY322"/>
      <c r="AZ322"/>
    </row>
    <row r="323" spans="1:52">
      <c r="A323" s="2" t="s">
        <v>347</v>
      </c>
      <c r="B323">
        <v>1992</v>
      </c>
      <c r="C323">
        <v>1</v>
      </c>
      <c r="D323" t="s">
        <v>1987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 s="2" t="s">
        <v>325</v>
      </c>
      <c r="K323" s="39">
        <f>_xlfn.XLOOKUP("LOADINGSPEEDDEF_"&amp;PROPERTIES[[#This Row],[LOADINGSPEED]],LOADINGSPEEDDEF[TYPE],LOADINGSPEEDDEF[SPEED])</f>
        <v>120</v>
      </c>
      <c r="L323" t="s">
        <v>20</v>
      </c>
      <c r="M323">
        <v>1</v>
      </c>
      <c r="N323" s="33">
        <v>39.5</v>
      </c>
      <c r="O323">
        <v>1550</v>
      </c>
      <c r="P323">
        <v>80</v>
      </c>
      <c r="Q323" s="30">
        <v>0</v>
      </c>
      <c r="R323" s="29">
        <f>IFERROR(PROPERTIES[[#This Row],[TE_STARTING_KN]]/(PROPERTIES[[#This Row],[WEIGHT]]*9.81),0)</f>
        <v>0</v>
      </c>
      <c r="S323" s="29">
        <v>0.3</v>
      </c>
      <c r="T323" s="26">
        <f>ROUND(IF(IFERROR(PROPERTIES[[#This Row],[TE_COEFFICIENT_CALC]],0)=0,PROPERTIES[[#This Row],[TE_COEFFICIENT_MANUAL]],PROPERTIES[[#This Row],[TE_COEFFICIENT_CALC]]),3)</f>
        <v>0.3</v>
      </c>
      <c r="U323" s="11">
        <v>60</v>
      </c>
      <c r="V323" s="9">
        <v>250</v>
      </c>
      <c r="W323" s="9">
        <v>8</v>
      </c>
      <c r="X323" s="10">
        <v>0</v>
      </c>
      <c r="Y323" t="s">
        <v>912</v>
      </c>
      <c r="Z323" t="s">
        <v>903</v>
      </c>
      <c r="AA323" s="2" t="s">
        <v>921</v>
      </c>
      <c r="AB323" s="9" t="s">
        <v>993</v>
      </c>
      <c r="AC323" s="9" t="s">
        <v>994</v>
      </c>
      <c r="AD323" s="10" t="str">
        <f>SUBSTITUTE(SUBSTITUTE(PROPERTIES[[#This Row],[PURCHASECOST_VALUE]], "PURCHASECOST_", ""), "_VALUE", "")</f>
        <v>METRO</v>
      </c>
      <c r="AE323" s="9" t="str" cm="1">
        <f t="array" ref="AE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3" s="2" t="b">
        <v>0</v>
      </c>
      <c r="AX323"/>
      <c r="AY323"/>
      <c r="AZ323"/>
    </row>
    <row r="324" spans="1:52">
      <c r="A324" s="2" t="s">
        <v>348</v>
      </c>
      <c r="B324">
        <v>1997</v>
      </c>
      <c r="C324">
        <v>1</v>
      </c>
      <c r="D324" t="s">
        <v>1925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 s="2" t="s">
        <v>325</v>
      </c>
      <c r="K324" s="39">
        <f>_xlfn.XLOOKUP("LOADINGSPEEDDEF_"&amp;PROPERTIES[[#This Row],[LOADINGSPEED]],LOADINGSPEEDDEF[TYPE],LOADINGSPEEDDEF[SPEED])</f>
        <v>120</v>
      </c>
      <c r="L324" t="s">
        <v>20</v>
      </c>
      <c r="M324">
        <v>1</v>
      </c>
      <c r="N324" s="33">
        <v>24</v>
      </c>
      <c r="O324">
        <v>1020</v>
      </c>
      <c r="P324">
        <v>70</v>
      </c>
      <c r="Q324" s="30">
        <v>0</v>
      </c>
      <c r="R324" s="29">
        <f>IFERROR(PROPERTIES[[#This Row],[TE_STARTING_KN]]/(PROPERTIES[[#This Row],[WEIGHT]]*9.81),0)</f>
        <v>0</v>
      </c>
      <c r="S324" s="29">
        <v>0.28000000000000003</v>
      </c>
      <c r="T324" s="26">
        <f>ROUND(IF(IFERROR(PROPERTIES[[#This Row],[TE_COEFFICIENT_CALC]],0)=0,PROPERTIES[[#This Row],[TE_COEFFICIENT_MANUAL]],PROPERTIES[[#This Row],[TE_COEFFICIENT_CALC]]),3)</f>
        <v>0.28000000000000003</v>
      </c>
      <c r="U324" s="11">
        <v>60</v>
      </c>
      <c r="V324" s="9">
        <v>250</v>
      </c>
      <c r="W324" s="9">
        <v>8</v>
      </c>
      <c r="X324" s="10">
        <v>0</v>
      </c>
      <c r="Y324" t="s">
        <v>904</v>
      </c>
      <c r="Z324" t="s">
        <v>903</v>
      </c>
      <c r="AA324" s="2" t="s">
        <v>921</v>
      </c>
      <c r="AB324" s="9" t="s">
        <v>993</v>
      </c>
      <c r="AC324" s="9" t="s">
        <v>994</v>
      </c>
      <c r="AD324" s="10" t="str">
        <f>SUBSTITUTE(SUBSTITUTE(PROPERTIES[[#This Row],[PURCHASECOST_VALUE]], "PURCHASECOST_", ""), "_VALUE", "")</f>
        <v>METRO</v>
      </c>
      <c r="AE324" s="9" t="str" cm="1">
        <f t="array" ref="AE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4" s="2" t="b">
        <v>0</v>
      </c>
      <c r="AX324"/>
      <c r="AY324"/>
      <c r="AZ324"/>
    </row>
    <row r="325" spans="1:52">
      <c r="A325" s="2" t="s">
        <v>349</v>
      </c>
      <c r="B325">
        <v>1997</v>
      </c>
      <c r="C325">
        <v>1</v>
      </c>
      <c r="D325" t="s">
        <v>1835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 s="2" t="s">
        <v>325</v>
      </c>
      <c r="K325" s="39">
        <f>_xlfn.XLOOKUP("LOADINGSPEEDDEF_"&amp;PROPERTIES[[#This Row],[LOADINGSPEED]],LOADINGSPEEDDEF[TYPE],LOADINGSPEEDDEF[SPEED])</f>
        <v>120</v>
      </c>
      <c r="L325" t="s">
        <v>20</v>
      </c>
      <c r="M325">
        <v>1</v>
      </c>
      <c r="N325" s="33">
        <v>24</v>
      </c>
      <c r="O325">
        <v>2680</v>
      </c>
      <c r="P325">
        <v>80</v>
      </c>
      <c r="Q325" s="30">
        <v>0</v>
      </c>
      <c r="R325" s="29">
        <f>IFERROR(PROPERTIES[[#This Row],[TE_STARTING_KN]]/(PROPERTIES[[#This Row],[WEIGHT]]*9.81),0)</f>
        <v>0</v>
      </c>
      <c r="S325" s="29">
        <v>0.35</v>
      </c>
      <c r="T325" s="26">
        <f>ROUND(IF(IFERROR(PROPERTIES[[#This Row],[TE_COEFFICIENT_CALC]],0)=0,PROPERTIES[[#This Row],[TE_COEFFICIENT_MANUAL]],PROPERTIES[[#This Row],[TE_COEFFICIENT_CALC]]),3)</f>
        <v>0.35</v>
      </c>
      <c r="U325" s="11">
        <v>60</v>
      </c>
      <c r="V325" s="9">
        <v>120</v>
      </c>
      <c r="W325" s="9">
        <v>7</v>
      </c>
      <c r="X325" s="10">
        <v>0</v>
      </c>
      <c r="Y325" t="s">
        <v>904</v>
      </c>
      <c r="Z325" t="s">
        <v>903</v>
      </c>
      <c r="AA325" s="2" t="s">
        <v>921</v>
      </c>
      <c r="AB325" s="9" t="s">
        <v>993</v>
      </c>
      <c r="AC325" s="9" t="s">
        <v>994</v>
      </c>
      <c r="AD325" s="10" t="str">
        <f>SUBSTITUTE(SUBSTITUTE(PROPERTIES[[#This Row],[PURCHASECOST_VALUE]], "PURCHASECOST_", ""), "_VALUE", "")</f>
        <v>METRO</v>
      </c>
      <c r="AE325" s="9" t="str" cm="1">
        <f t="array" ref="AE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5" s="2" t="b">
        <v>0</v>
      </c>
      <c r="AX325"/>
      <c r="AY325"/>
      <c r="AZ325"/>
    </row>
    <row r="326" spans="1:52">
      <c r="A326" s="2" t="s">
        <v>350</v>
      </c>
      <c r="B326">
        <v>2003</v>
      </c>
      <c r="C326">
        <v>1</v>
      </c>
      <c r="D326" t="s">
        <v>1950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 s="2" t="s">
        <v>325</v>
      </c>
      <c r="K326" s="39">
        <f>_xlfn.XLOOKUP("LOADINGSPEEDDEF_"&amp;PROPERTIES[[#This Row],[LOADINGSPEED]],LOADINGSPEEDDEF[TYPE],LOADINGSPEEDDEF[SPEED])</f>
        <v>120</v>
      </c>
      <c r="L326" t="s">
        <v>20</v>
      </c>
      <c r="M326">
        <v>1</v>
      </c>
      <c r="N326" s="33">
        <v>47</v>
      </c>
      <c r="O326">
        <v>1400</v>
      </c>
      <c r="P326">
        <v>90</v>
      </c>
      <c r="Q326" s="30">
        <v>0</v>
      </c>
      <c r="R326" s="29">
        <f>IFERROR(PROPERTIES[[#This Row],[TE_STARTING_KN]]/(PROPERTIES[[#This Row],[WEIGHT]]*9.81),0)</f>
        <v>0</v>
      </c>
      <c r="S326" s="29">
        <v>0.3</v>
      </c>
      <c r="T326" s="26">
        <f>ROUND(IF(IFERROR(PROPERTIES[[#This Row],[TE_COEFFICIENT_CALC]],0)=0,PROPERTIES[[#This Row],[TE_COEFFICIENT_MANUAL]],PROPERTIES[[#This Row],[TE_COEFFICIENT_CALC]]),3)</f>
        <v>0.3</v>
      </c>
      <c r="U326" s="11">
        <v>60</v>
      </c>
      <c r="V326" s="9">
        <v>120</v>
      </c>
      <c r="W326" s="9">
        <v>6</v>
      </c>
      <c r="X326" s="10">
        <v>0</v>
      </c>
      <c r="Y326" t="s">
        <v>912</v>
      </c>
      <c r="Z326" t="s">
        <v>903</v>
      </c>
      <c r="AA326" s="2" t="s">
        <v>921</v>
      </c>
      <c r="AB326" s="9" t="s">
        <v>993</v>
      </c>
      <c r="AC326" s="9" t="s">
        <v>994</v>
      </c>
      <c r="AD326" s="10" t="str">
        <f>SUBSTITUTE(SUBSTITUTE(PROPERTIES[[#This Row],[PURCHASECOST_VALUE]], "PURCHASECOST_", ""), "_VALUE", "")</f>
        <v>METRO</v>
      </c>
      <c r="AE326" s="9" t="str" cm="1">
        <f t="array" ref="AE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6" s="2" t="b">
        <v>0</v>
      </c>
      <c r="AX326"/>
      <c r="AY326"/>
      <c r="AZ326"/>
    </row>
    <row r="327" spans="1:52">
      <c r="A327" s="2" t="s">
        <v>351</v>
      </c>
      <c r="B327">
        <v>2003</v>
      </c>
      <c r="C327">
        <v>1</v>
      </c>
      <c r="D327" t="s">
        <v>1957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 s="2" t="s">
        <v>325</v>
      </c>
      <c r="K327" s="39">
        <f>_xlfn.XLOOKUP("LOADINGSPEEDDEF_"&amp;PROPERTIES[[#This Row],[LOADINGSPEED]],LOADINGSPEEDDEF[TYPE],LOADINGSPEEDDEF[SPEED])</f>
        <v>120</v>
      </c>
      <c r="L327" t="s">
        <v>20</v>
      </c>
      <c r="M327">
        <v>1</v>
      </c>
      <c r="N327" s="33">
        <v>35</v>
      </c>
      <c r="O327">
        <v>1500</v>
      </c>
      <c r="P327">
        <v>90</v>
      </c>
      <c r="Q327" s="30">
        <v>0</v>
      </c>
      <c r="R327" s="29">
        <f>IFERROR(PROPERTIES[[#This Row],[TE_STARTING_KN]]/(PROPERTIES[[#This Row],[WEIGHT]]*9.81),0)</f>
        <v>0</v>
      </c>
      <c r="S327" s="29">
        <v>0.3</v>
      </c>
      <c r="T327" s="26">
        <f>ROUND(IF(IFERROR(PROPERTIES[[#This Row],[TE_COEFFICIENT_CALC]],0)=0,PROPERTIES[[#This Row],[TE_COEFFICIENT_MANUAL]],PROPERTIES[[#This Row],[TE_COEFFICIENT_CALC]]),3)</f>
        <v>0.3</v>
      </c>
      <c r="U327" s="11">
        <v>60</v>
      </c>
      <c r="V327" s="9">
        <v>250</v>
      </c>
      <c r="W327" s="9">
        <v>8</v>
      </c>
      <c r="X327" s="10">
        <v>0</v>
      </c>
      <c r="Y327" t="s">
        <v>912</v>
      </c>
      <c r="Z327" t="s">
        <v>903</v>
      </c>
      <c r="AA327" s="2" t="s">
        <v>921</v>
      </c>
      <c r="AB327" s="9" t="s">
        <v>993</v>
      </c>
      <c r="AC327" s="9" t="s">
        <v>994</v>
      </c>
      <c r="AD327" s="10" t="str">
        <f>SUBSTITUTE(SUBSTITUTE(PROPERTIES[[#This Row],[PURCHASECOST_VALUE]], "PURCHASECOST_", ""), "_VALUE", "")</f>
        <v>METRO</v>
      </c>
      <c r="AE327" s="9" t="str" cm="1">
        <f t="array" ref="AE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7" s="2" t="b">
        <v>0</v>
      </c>
      <c r="AX327"/>
      <c r="AY327"/>
      <c r="AZ327"/>
    </row>
    <row r="328" spans="1:52">
      <c r="A328" s="2" t="s">
        <v>352</v>
      </c>
      <c r="B328">
        <v>2007</v>
      </c>
      <c r="C328">
        <v>1</v>
      </c>
      <c r="D328" t="s">
        <v>1926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 s="2" t="s">
        <v>325</v>
      </c>
      <c r="K328" s="39">
        <f>_xlfn.XLOOKUP("LOADINGSPEEDDEF_"&amp;PROPERTIES[[#This Row],[LOADINGSPEED]],LOADINGSPEEDDEF[TYPE],LOADINGSPEEDDEF[SPEED])</f>
        <v>120</v>
      </c>
      <c r="L328" t="s">
        <v>20</v>
      </c>
      <c r="M328">
        <v>1</v>
      </c>
      <c r="N328" s="33">
        <v>31.3</v>
      </c>
      <c r="O328">
        <v>1500</v>
      </c>
      <c r="P328">
        <v>80</v>
      </c>
      <c r="Q328" s="30">
        <v>0</v>
      </c>
      <c r="R328" s="29">
        <f>IFERROR(PROPERTIES[[#This Row],[TE_STARTING_KN]]/(PROPERTIES[[#This Row],[WEIGHT]]*9.81),0)</f>
        <v>0</v>
      </c>
      <c r="S328" s="29">
        <v>0.32</v>
      </c>
      <c r="T328" s="26">
        <f>ROUND(IF(IFERROR(PROPERTIES[[#This Row],[TE_COEFFICIENT_CALC]],0)=0,PROPERTIES[[#This Row],[TE_COEFFICIENT_MANUAL]],PROPERTIES[[#This Row],[TE_COEFFICIENT_CALC]]),3)</f>
        <v>0.32</v>
      </c>
      <c r="U328" s="11">
        <v>60</v>
      </c>
      <c r="V328" s="9">
        <v>164</v>
      </c>
      <c r="W328" s="9">
        <v>7</v>
      </c>
      <c r="X328" s="10">
        <v>0</v>
      </c>
      <c r="Y328" t="s">
        <v>908</v>
      </c>
      <c r="Z328" t="s">
        <v>903</v>
      </c>
      <c r="AA328" s="2" t="s">
        <v>921</v>
      </c>
      <c r="AB328" s="9" t="s">
        <v>993</v>
      </c>
      <c r="AC328" s="9" t="s">
        <v>994</v>
      </c>
      <c r="AD328" s="10" t="str">
        <f>SUBSTITUTE(SUBSTITUTE(PROPERTIES[[#This Row],[PURCHASECOST_VALUE]], "PURCHASECOST_", ""), "_VALUE", "")</f>
        <v>METRO</v>
      </c>
      <c r="AE328" s="9" t="str" cm="1">
        <f t="array" ref="AE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8" s="2" t="b">
        <v>0</v>
      </c>
      <c r="AX328"/>
      <c r="AY328"/>
      <c r="AZ328"/>
    </row>
    <row r="329" spans="1:52">
      <c r="A329" s="2" t="s">
        <v>353</v>
      </c>
      <c r="B329">
        <v>2009</v>
      </c>
      <c r="C329">
        <v>1</v>
      </c>
      <c r="D329" t="s">
        <v>1873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 s="2" t="s">
        <v>325</v>
      </c>
      <c r="K329" s="39">
        <f>_xlfn.XLOOKUP("LOADINGSPEEDDEF_"&amp;PROPERTIES[[#This Row],[LOADINGSPEED]],LOADINGSPEEDDEF[TYPE],LOADINGSPEEDDEF[SPEED])</f>
        <v>120</v>
      </c>
      <c r="L329" t="s">
        <v>20</v>
      </c>
      <c r="M329">
        <v>1</v>
      </c>
      <c r="N329" s="33">
        <v>31.5</v>
      </c>
      <c r="O329">
        <v>1820</v>
      </c>
      <c r="P329">
        <v>70</v>
      </c>
      <c r="Q329" s="30">
        <v>0</v>
      </c>
      <c r="R329" s="29">
        <f>IFERROR(PROPERTIES[[#This Row],[TE_STARTING_KN]]/(PROPERTIES[[#This Row],[WEIGHT]]*9.81),0)</f>
        <v>0</v>
      </c>
      <c r="S329" s="29">
        <v>0.3</v>
      </c>
      <c r="T329" s="26">
        <f>ROUND(IF(IFERROR(PROPERTIES[[#This Row],[TE_COEFFICIENT_CALC]],0)=0,PROPERTIES[[#This Row],[TE_COEFFICIENT_MANUAL]],PROPERTIES[[#This Row],[TE_COEFFICIENT_CALC]]),3)</f>
        <v>0.3</v>
      </c>
      <c r="U329" s="11">
        <v>60</v>
      </c>
      <c r="V329" s="9">
        <v>140</v>
      </c>
      <c r="W329" s="9">
        <v>8</v>
      </c>
      <c r="X329" s="10">
        <v>0</v>
      </c>
      <c r="Y329" t="s">
        <v>912</v>
      </c>
      <c r="Z329" t="s">
        <v>903</v>
      </c>
      <c r="AA329" s="2" t="s">
        <v>921</v>
      </c>
      <c r="AB329" s="9" t="s">
        <v>993</v>
      </c>
      <c r="AC329" s="9" t="s">
        <v>994</v>
      </c>
      <c r="AD329" s="10" t="str">
        <f>SUBSTITUTE(SUBSTITUTE(PROPERTIES[[#This Row],[PURCHASECOST_VALUE]], "PURCHASECOST_", ""), "_VALUE", "")</f>
        <v>METRO</v>
      </c>
      <c r="AE329" s="9" t="str" cm="1">
        <f t="array" ref="AE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9" s="2" t="b">
        <v>0</v>
      </c>
      <c r="AX329"/>
      <c r="AY329"/>
      <c r="AZ329"/>
    </row>
    <row r="330" spans="1:52">
      <c r="A330" s="2" t="s">
        <v>354</v>
      </c>
      <c r="B330">
        <v>2012</v>
      </c>
      <c r="C330">
        <v>1</v>
      </c>
      <c r="D330" t="s">
        <v>1957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 s="2" t="s">
        <v>325</v>
      </c>
      <c r="K330" s="39">
        <f>_xlfn.XLOOKUP("LOADINGSPEEDDEF_"&amp;PROPERTIES[[#This Row],[LOADINGSPEED]],LOADINGSPEEDDEF[TYPE],LOADINGSPEEDDEF[SPEED])</f>
        <v>120</v>
      </c>
      <c r="L330" t="s">
        <v>20</v>
      </c>
      <c r="M330">
        <v>1</v>
      </c>
      <c r="N330" s="33">
        <v>35</v>
      </c>
      <c r="O330">
        <v>1580</v>
      </c>
      <c r="P330">
        <v>90</v>
      </c>
      <c r="Q330" s="30">
        <v>0</v>
      </c>
      <c r="R330" s="29">
        <f>IFERROR(PROPERTIES[[#This Row],[TE_STARTING_KN]]/(PROPERTIES[[#This Row],[WEIGHT]]*9.81),0)</f>
        <v>0</v>
      </c>
      <c r="S330" s="29">
        <v>0.3</v>
      </c>
      <c r="T330" s="26">
        <f>ROUND(IF(IFERROR(PROPERTIES[[#This Row],[TE_COEFFICIENT_CALC]],0)=0,PROPERTIES[[#This Row],[TE_COEFFICIENT_MANUAL]],PROPERTIES[[#This Row],[TE_COEFFICIENT_CALC]]),3)</f>
        <v>0.3</v>
      </c>
      <c r="U330" s="11">
        <v>60</v>
      </c>
      <c r="V330" s="9">
        <v>250</v>
      </c>
      <c r="W330" s="9">
        <v>8</v>
      </c>
      <c r="X330" s="10">
        <v>0</v>
      </c>
      <c r="Y330" t="s">
        <v>912</v>
      </c>
      <c r="Z330" t="s">
        <v>903</v>
      </c>
      <c r="AA330" s="2" t="s">
        <v>921</v>
      </c>
      <c r="AB330" s="9" t="s">
        <v>993</v>
      </c>
      <c r="AC330" s="9" t="s">
        <v>994</v>
      </c>
      <c r="AD330" s="10" t="str">
        <f>SUBSTITUTE(SUBSTITUTE(PROPERTIES[[#This Row],[PURCHASECOST_VALUE]], "PURCHASECOST_", ""), "_VALUE", "")</f>
        <v>METRO</v>
      </c>
      <c r="AE330" s="9" t="str" cm="1">
        <f t="array" ref="AE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0" s="2" t="b">
        <v>0</v>
      </c>
      <c r="AX330"/>
      <c r="AY330"/>
      <c r="AZ330"/>
    </row>
    <row r="331" spans="1:52">
      <c r="A331" s="2" t="s">
        <v>355</v>
      </c>
      <c r="B331">
        <v>2013</v>
      </c>
      <c r="C331">
        <v>1</v>
      </c>
      <c r="D331" t="s">
        <v>1992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 s="2" t="s">
        <v>325</v>
      </c>
      <c r="K331" s="39">
        <f>_xlfn.XLOOKUP("LOADINGSPEEDDEF_"&amp;PROPERTIES[[#This Row],[LOADINGSPEED]],LOADINGSPEEDDEF[TYPE],LOADINGSPEEDDEF[SPEED])</f>
        <v>120</v>
      </c>
      <c r="L331" t="s">
        <v>20</v>
      </c>
      <c r="M331">
        <v>1</v>
      </c>
      <c r="N331" s="33">
        <v>36.5</v>
      </c>
      <c r="O331">
        <v>1520</v>
      </c>
      <c r="P331">
        <v>90</v>
      </c>
      <c r="Q331" s="30">
        <v>0</v>
      </c>
      <c r="R331" s="29">
        <f>IFERROR(PROPERTIES[[#This Row],[TE_STARTING_KN]]/(PROPERTIES[[#This Row],[WEIGHT]]*9.81),0)</f>
        <v>0</v>
      </c>
      <c r="S331" s="29">
        <v>0.3</v>
      </c>
      <c r="T331" s="26">
        <f>ROUND(IF(IFERROR(PROPERTIES[[#This Row],[TE_COEFFICIENT_CALC]],0)=0,PROPERTIES[[#This Row],[TE_COEFFICIENT_MANUAL]],PROPERTIES[[#This Row],[TE_COEFFICIENT_CALC]]),3)</f>
        <v>0.3</v>
      </c>
      <c r="U331" s="11">
        <v>60</v>
      </c>
      <c r="V331" s="9">
        <v>184</v>
      </c>
      <c r="W331" s="9">
        <v>8</v>
      </c>
      <c r="X331" s="10">
        <v>0</v>
      </c>
      <c r="Y331" t="s">
        <v>909</v>
      </c>
      <c r="Z331" t="s">
        <v>903</v>
      </c>
      <c r="AA331" s="2" t="s">
        <v>921</v>
      </c>
      <c r="AB331" s="9" t="s">
        <v>993</v>
      </c>
      <c r="AC331" s="9" t="s">
        <v>994</v>
      </c>
      <c r="AD331" s="10" t="str">
        <f>SUBSTITUTE(SUBSTITUTE(PROPERTIES[[#This Row],[PURCHASECOST_VALUE]], "PURCHASECOST_", ""), "_VALUE", "")</f>
        <v>METRO</v>
      </c>
      <c r="AE331" s="9" t="str" cm="1">
        <f t="array" ref="AE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1" s="2" t="b">
        <v>0</v>
      </c>
      <c r="AX331"/>
      <c r="AY331"/>
      <c r="AZ331"/>
    </row>
    <row r="332" spans="1:52">
      <c r="A332" s="2" t="s">
        <v>356</v>
      </c>
      <c r="B332">
        <v>2024</v>
      </c>
      <c r="C332">
        <v>1</v>
      </c>
      <c r="D332" t="s">
        <v>1848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 s="2" t="s">
        <v>325</v>
      </c>
      <c r="K332" s="39">
        <f>_xlfn.XLOOKUP("LOADINGSPEEDDEF_"&amp;PROPERTIES[[#This Row],[LOADINGSPEED]],LOADINGSPEEDDEF[TYPE],LOADINGSPEEDDEF[SPEED])</f>
        <v>120</v>
      </c>
      <c r="L332" t="s">
        <v>20</v>
      </c>
      <c r="M332">
        <v>1</v>
      </c>
      <c r="N332" s="33">
        <v>27.5</v>
      </c>
      <c r="O332">
        <v>1360</v>
      </c>
      <c r="P332">
        <v>80</v>
      </c>
      <c r="Q332" s="30">
        <v>0</v>
      </c>
      <c r="R332" s="29">
        <f>IFERROR(PROPERTIES[[#This Row],[TE_STARTING_KN]]/(PROPERTIES[[#This Row],[WEIGHT]]*9.81),0)</f>
        <v>0</v>
      </c>
      <c r="S332" s="29">
        <v>0.3</v>
      </c>
      <c r="T332" s="26">
        <f>ROUND(IF(IFERROR(PROPERTIES[[#This Row],[TE_COEFFICIENT_CALC]],0)=0,PROPERTIES[[#This Row],[TE_COEFFICIENT_MANUAL]],PROPERTIES[[#This Row],[TE_COEFFICIENT_CALC]]),3)</f>
        <v>0.3</v>
      </c>
      <c r="U332" s="11">
        <v>60</v>
      </c>
      <c r="V332" s="9">
        <v>110</v>
      </c>
      <c r="W332" s="9">
        <v>6</v>
      </c>
      <c r="X332" s="10">
        <v>0</v>
      </c>
      <c r="Y332" t="s">
        <v>905</v>
      </c>
      <c r="Z332" t="s">
        <v>903</v>
      </c>
      <c r="AA332" s="2" t="s">
        <v>921</v>
      </c>
      <c r="AB332" s="9" t="s">
        <v>993</v>
      </c>
      <c r="AC332" s="9" t="s">
        <v>994</v>
      </c>
      <c r="AD332" s="10" t="str">
        <f>SUBSTITUTE(SUBSTITUTE(PROPERTIES[[#This Row],[PURCHASECOST_VALUE]], "PURCHASECOST_", ""), "_VALUE", "")</f>
        <v>METRO</v>
      </c>
      <c r="AE332" s="9" t="str" cm="1">
        <f t="array" ref="AE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2" s="2" t="b">
        <v>0</v>
      </c>
      <c r="AX332"/>
      <c r="AY332"/>
      <c r="AZ332"/>
    </row>
    <row r="333" spans="1:52">
      <c r="A333" s="2" t="s">
        <v>357</v>
      </c>
      <c r="B333">
        <v>1901</v>
      </c>
      <c r="C333">
        <v>1</v>
      </c>
      <c r="D333" t="s">
        <v>1817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 s="2" t="s">
        <v>325</v>
      </c>
      <c r="K333" s="39">
        <f>_xlfn.XLOOKUP("LOADINGSPEEDDEF_"&amp;PROPERTIES[[#This Row],[LOADINGSPEED]],LOADINGSPEEDDEF[TYPE],LOADINGSPEEDDEF[SPEED])</f>
        <v>120</v>
      </c>
      <c r="L333">
        <v>45</v>
      </c>
      <c r="M333">
        <v>1</v>
      </c>
      <c r="N333" s="33">
        <v>18.5</v>
      </c>
      <c r="O333">
        <v>320</v>
      </c>
      <c r="P333">
        <v>50</v>
      </c>
      <c r="Q333" s="30">
        <v>0</v>
      </c>
      <c r="R333" s="29">
        <f>IFERROR(PROPERTIES[[#This Row],[TE_STARTING_KN]]/(PROPERTIES[[#This Row],[WEIGHT]]*9.81),0)</f>
        <v>0</v>
      </c>
      <c r="S333" s="29">
        <v>0.18</v>
      </c>
      <c r="T333" s="26">
        <f>ROUND(IF(IFERROR(PROPERTIES[[#This Row],[TE_COEFFICIENT_CALC]],0)=0,PROPERTIES[[#This Row],[TE_COEFFICIENT_MANUAL]],PROPERTIES[[#This Row],[TE_COEFFICIENT_CALC]]),3)</f>
        <v>0.18</v>
      </c>
      <c r="U333" s="11">
        <v>60</v>
      </c>
      <c r="V333" s="9">
        <v>88</v>
      </c>
      <c r="W333" s="9">
        <v>5</v>
      </c>
      <c r="X333" s="10">
        <v>0</v>
      </c>
      <c r="Y333" t="s">
        <v>904</v>
      </c>
      <c r="Z333" t="s">
        <v>903</v>
      </c>
      <c r="AA333" s="2" t="s">
        <v>921</v>
      </c>
      <c r="AB333" s="9" t="s">
        <v>993</v>
      </c>
      <c r="AC333" s="9" t="s">
        <v>994</v>
      </c>
      <c r="AD333" s="10" t="str">
        <f>SUBSTITUTE(SUBSTITUTE(PROPERTIES[[#This Row],[PURCHASECOST_VALUE]], "PURCHASECOST_", ""), "_VALUE", "")</f>
        <v>METRO</v>
      </c>
      <c r="AE333" s="9" t="str" cm="1">
        <f t="array" ref="AE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3" s="2" t="b">
        <v>0</v>
      </c>
      <c r="AX333"/>
      <c r="AY333"/>
      <c r="AZ333"/>
    </row>
    <row r="334" spans="1:52">
      <c r="A334" s="2" t="s">
        <v>358</v>
      </c>
      <c r="B334">
        <v>1910</v>
      </c>
      <c r="C334">
        <v>1</v>
      </c>
      <c r="D334" t="s">
        <v>1992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 s="2" t="s">
        <v>325</v>
      </c>
      <c r="K334" s="39">
        <f>_xlfn.XLOOKUP("LOADINGSPEEDDEF_"&amp;PROPERTIES[[#This Row],[LOADINGSPEED]],LOADINGSPEEDDEF[TYPE],LOADINGSPEEDDEF[SPEED])</f>
        <v>120</v>
      </c>
      <c r="L334">
        <v>45</v>
      </c>
      <c r="M334">
        <v>1</v>
      </c>
      <c r="N334" s="33">
        <v>38.5</v>
      </c>
      <c r="O334">
        <v>400</v>
      </c>
      <c r="P334">
        <v>72</v>
      </c>
      <c r="Q334" s="30">
        <v>0</v>
      </c>
      <c r="R334" s="29">
        <f>IFERROR(PROPERTIES[[#This Row],[TE_STARTING_KN]]/(PROPERTIES[[#This Row],[WEIGHT]]*9.81),0)</f>
        <v>0</v>
      </c>
      <c r="S334" s="29">
        <v>0.18</v>
      </c>
      <c r="T334" s="26">
        <f>ROUND(IF(IFERROR(PROPERTIES[[#This Row],[TE_COEFFICIENT_CALC]],0)=0,PROPERTIES[[#This Row],[TE_COEFFICIENT_MANUAL]],PROPERTIES[[#This Row],[TE_COEFFICIENT_CALC]]),3)</f>
        <v>0.18</v>
      </c>
      <c r="U334" s="11">
        <v>60</v>
      </c>
      <c r="V334" s="9">
        <v>128</v>
      </c>
      <c r="W334" s="9">
        <v>8</v>
      </c>
      <c r="X334" s="10">
        <v>0</v>
      </c>
      <c r="Y334" t="s">
        <v>909</v>
      </c>
      <c r="Z334" t="s">
        <v>903</v>
      </c>
      <c r="AA334" s="2" t="s">
        <v>921</v>
      </c>
      <c r="AB334" s="9" t="s">
        <v>993</v>
      </c>
      <c r="AC334" s="9" t="s">
        <v>994</v>
      </c>
      <c r="AD334" s="10" t="str">
        <f>SUBSTITUTE(SUBSTITUTE(PROPERTIES[[#This Row],[PURCHASECOST_VALUE]], "PURCHASECOST_", ""), "_VALUE", "")</f>
        <v>METRO</v>
      </c>
      <c r="AE334" s="9" t="str" cm="1">
        <f t="array" ref="AE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4" s="2" t="b">
        <v>0</v>
      </c>
      <c r="AX334"/>
      <c r="AY334"/>
      <c r="AZ334"/>
    </row>
    <row r="335" spans="1:52">
      <c r="A335" s="2" t="s">
        <v>359</v>
      </c>
      <c r="B335">
        <v>1933</v>
      </c>
      <c r="C335">
        <v>1</v>
      </c>
      <c r="D335" t="s">
        <v>1873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 s="2" t="s">
        <v>325</v>
      </c>
      <c r="K335" s="39">
        <f>_xlfn.XLOOKUP("LOADINGSPEEDDEF_"&amp;PROPERTIES[[#This Row],[LOADINGSPEED]],LOADINGSPEEDDEF[TYPE],LOADINGSPEEDDEF[SPEED])</f>
        <v>120</v>
      </c>
      <c r="L335">
        <v>45</v>
      </c>
      <c r="M335">
        <v>1</v>
      </c>
      <c r="N335" s="33">
        <v>40</v>
      </c>
      <c r="O335">
        <v>615</v>
      </c>
      <c r="P335">
        <v>65</v>
      </c>
      <c r="Q335" s="30">
        <v>0</v>
      </c>
      <c r="R335" s="29">
        <f>IFERROR(PROPERTIES[[#This Row],[TE_STARTING_KN]]/(PROPERTIES[[#This Row],[WEIGHT]]*9.81),0)</f>
        <v>0</v>
      </c>
      <c r="S335" s="29">
        <v>0.2</v>
      </c>
      <c r="T335" s="26">
        <f>ROUND(IF(IFERROR(PROPERTIES[[#This Row],[TE_COEFFICIENT_CALC]],0)=0,PROPERTIES[[#This Row],[TE_COEFFICIENT_MANUAL]],PROPERTIES[[#This Row],[TE_COEFFICIENT_CALC]]),3)</f>
        <v>0.2</v>
      </c>
      <c r="U335" s="11">
        <v>60</v>
      </c>
      <c r="V335" s="9">
        <v>145</v>
      </c>
      <c r="W335" s="9">
        <v>7</v>
      </c>
      <c r="X335" s="10">
        <v>0</v>
      </c>
      <c r="Y335" t="s">
        <v>912</v>
      </c>
      <c r="Z335" t="s">
        <v>903</v>
      </c>
      <c r="AA335" s="2" t="s">
        <v>921</v>
      </c>
      <c r="AB335" s="9" t="s">
        <v>993</v>
      </c>
      <c r="AC335" s="9" t="s">
        <v>994</v>
      </c>
      <c r="AD335" s="10" t="str">
        <f>SUBSTITUTE(SUBSTITUTE(PROPERTIES[[#This Row],[PURCHASECOST_VALUE]], "PURCHASECOST_", ""), "_VALUE", "")</f>
        <v>METRO</v>
      </c>
      <c r="AE335" s="9" t="str" cm="1">
        <f t="array" ref="AE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5" s="2" t="b">
        <v>0</v>
      </c>
      <c r="AX335"/>
      <c r="AY335"/>
      <c r="AZ335"/>
    </row>
    <row r="336" spans="1:52">
      <c r="A336" s="2" t="s">
        <v>360</v>
      </c>
      <c r="B336">
        <v>1934</v>
      </c>
      <c r="C336">
        <v>1</v>
      </c>
      <c r="D336" t="s">
        <v>1950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324</v>
      </c>
      <c r="H336">
        <v>135</v>
      </c>
      <c r="I336">
        <v>7</v>
      </c>
      <c r="J336" s="2" t="s">
        <v>325</v>
      </c>
      <c r="K336" s="39">
        <f>_xlfn.XLOOKUP("LOADINGSPEEDDEF_"&amp;PROPERTIES[[#This Row],[LOADINGSPEED]],LOADINGSPEEDDEF[TYPE],LOADINGSPEEDDEF[SPEED])</f>
        <v>120</v>
      </c>
      <c r="L336">
        <v>45</v>
      </c>
      <c r="M336">
        <v>1</v>
      </c>
      <c r="N336" s="33">
        <v>41</v>
      </c>
      <c r="O336">
        <v>535</v>
      </c>
      <c r="P336">
        <v>65</v>
      </c>
      <c r="Q336" s="30">
        <v>0</v>
      </c>
      <c r="R336" s="29">
        <f>IFERROR(PROPERTIES[[#This Row],[TE_STARTING_KN]]/(PROPERTIES[[#This Row],[WEIGHT]]*9.81),0)</f>
        <v>0</v>
      </c>
      <c r="S336" s="29">
        <v>0.19</v>
      </c>
      <c r="T336" s="26">
        <f>ROUND(IF(IFERROR(PROPERTIES[[#This Row],[TE_COEFFICIENT_CALC]],0)=0,PROPERTIES[[#This Row],[TE_COEFFICIENT_MANUAL]],PROPERTIES[[#This Row],[TE_COEFFICIENT_CALC]]),3)</f>
        <v>0.19</v>
      </c>
      <c r="U336" s="11">
        <v>60</v>
      </c>
      <c r="V336" s="9">
        <v>131</v>
      </c>
      <c r="W336" s="9">
        <v>7</v>
      </c>
      <c r="X336" s="10">
        <v>0</v>
      </c>
      <c r="Y336" t="s">
        <v>912</v>
      </c>
      <c r="Z336" t="s">
        <v>903</v>
      </c>
      <c r="AA336" s="2" t="s">
        <v>921</v>
      </c>
      <c r="AB336" s="9" t="s">
        <v>993</v>
      </c>
      <c r="AC336" s="9" t="s">
        <v>994</v>
      </c>
      <c r="AD336" s="10" t="str">
        <f>SUBSTITUTE(SUBSTITUTE(PROPERTIES[[#This Row],[PURCHASECOST_VALUE]], "PURCHASECOST_", ""), "_VALUE", "")</f>
        <v>METRO</v>
      </c>
      <c r="AE336" s="9" t="str" cm="1">
        <f t="array" ref="AE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6" s="2" t="b">
        <v>0</v>
      </c>
      <c r="AX336"/>
      <c r="AY336"/>
      <c r="AZ336"/>
    </row>
    <row r="337" spans="1:52">
      <c r="A337" s="2" t="s">
        <v>361</v>
      </c>
      <c r="B337">
        <v>1948</v>
      </c>
      <c r="C337">
        <v>1</v>
      </c>
      <c r="D337" t="s">
        <v>1992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 s="2" t="s">
        <v>325</v>
      </c>
      <c r="K337" s="39">
        <f>_xlfn.XLOOKUP("LOADINGSPEEDDEF_"&amp;PROPERTIES[[#This Row],[LOADINGSPEED]],LOADINGSPEEDDEF[TYPE],LOADINGSPEEDDEF[SPEED])</f>
        <v>120</v>
      </c>
      <c r="L337">
        <v>45</v>
      </c>
      <c r="M337">
        <v>1</v>
      </c>
      <c r="N337" s="33">
        <v>36.5</v>
      </c>
      <c r="O337">
        <v>800</v>
      </c>
      <c r="P337">
        <v>88</v>
      </c>
      <c r="Q337" s="30">
        <v>0</v>
      </c>
      <c r="R337" s="29">
        <f>IFERROR(PROPERTIES[[#This Row],[TE_STARTING_KN]]/(PROPERTIES[[#This Row],[WEIGHT]]*9.81),0)</f>
        <v>0</v>
      </c>
      <c r="S337" s="29">
        <v>0.21</v>
      </c>
      <c r="T337" s="26">
        <f>ROUND(IF(IFERROR(PROPERTIES[[#This Row],[TE_COEFFICIENT_CALC]],0)=0,PROPERTIES[[#This Row],[TE_COEFFICIENT_MANUAL]],PROPERTIES[[#This Row],[TE_COEFFICIENT_CALC]]),3)</f>
        <v>0.21</v>
      </c>
      <c r="U337" s="11">
        <v>60</v>
      </c>
      <c r="V337" s="9">
        <v>160</v>
      </c>
      <c r="W337" s="9">
        <v>8</v>
      </c>
      <c r="X337" s="10">
        <v>0</v>
      </c>
      <c r="Y337" t="s">
        <v>909</v>
      </c>
      <c r="Z337" t="s">
        <v>903</v>
      </c>
      <c r="AA337" s="2" t="s">
        <v>921</v>
      </c>
      <c r="AB337" s="9" t="s">
        <v>993</v>
      </c>
      <c r="AC337" s="9" t="s">
        <v>994</v>
      </c>
      <c r="AD337" s="10" t="str">
        <f>SUBSTITUTE(SUBSTITUTE(PROPERTIES[[#This Row],[PURCHASECOST_VALUE]], "PURCHASECOST_", ""), "_VALUE", "")</f>
        <v>METRO</v>
      </c>
      <c r="AE337" s="9" t="str" cm="1">
        <f t="array" ref="AE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7" s="2" t="b">
        <v>0</v>
      </c>
      <c r="AX337"/>
      <c r="AY337"/>
      <c r="AZ337"/>
    </row>
    <row r="338" spans="1:52">
      <c r="A338" s="2" t="s">
        <v>362</v>
      </c>
      <c r="B338">
        <v>1954</v>
      </c>
      <c r="C338">
        <v>1</v>
      </c>
      <c r="D338" t="s">
        <v>1869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 s="2" t="s">
        <v>325</v>
      </c>
      <c r="K338" s="39">
        <f>_xlfn.XLOOKUP("LOADINGSPEEDDEF_"&amp;PROPERTIES[[#This Row],[LOADINGSPEED]],LOADINGSPEEDDEF[TYPE],LOADINGSPEEDDEF[SPEED])</f>
        <v>120</v>
      </c>
      <c r="L338">
        <v>45</v>
      </c>
      <c r="M338">
        <v>1</v>
      </c>
      <c r="N338" s="33">
        <v>40</v>
      </c>
      <c r="O338">
        <v>830</v>
      </c>
      <c r="P338">
        <v>100</v>
      </c>
      <c r="Q338" s="30">
        <v>0</v>
      </c>
      <c r="R338" s="29">
        <f>IFERROR(PROPERTIES[[#This Row],[TE_STARTING_KN]]/(PROPERTIES[[#This Row],[WEIGHT]]*9.81),0)</f>
        <v>0</v>
      </c>
      <c r="S338" s="29">
        <v>0.21</v>
      </c>
      <c r="T338" s="26">
        <f>ROUND(IF(IFERROR(PROPERTIES[[#This Row],[TE_COEFFICIENT_CALC]],0)=0,PROPERTIES[[#This Row],[TE_COEFFICIENT_MANUAL]],PROPERTIES[[#This Row],[TE_COEFFICIENT_CALC]]),3)</f>
        <v>0.21</v>
      </c>
      <c r="U338" s="11">
        <v>60</v>
      </c>
      <c r="V338" s="9">
        <v>156</v>
      </c>
      <c r="W338" s="9">
        <v>7</v>
      </c>
      <c r="X338" s="10">
        <v>0</v>
      </c>
      <c r="Y338" t="s">
        <v>905</v>
      </c>
      <c r="Z338" t="s">
        <v>903</v>
      </c>
      <c r="AA338" s="2" t="s">
        <v>921</v>
      </c>
      <c r="AB338" s="9" t="s">
        <v>993</v>
      </c>
      <c r="AC338" s="9" t="s">
        <v>994</v>
      </c>
      <c r="AD338" s="10" t="str">
        <f>SUBSTITUTE(SUBSTITUTE(PROPERTIES[[#This Row],[PURCHASECOST_VALUE]], "PURCHASECOST_", ""), "_VALUE", "")</f>
        <v>METRO</v>
      </c>
      <c r="AE338" s="9" t="str" cm="1">
        <f t="array" ref="AE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8" s="2" t="b">
        <v>0</v>
      </c>
      <c r="AX338"/>
      <c r="AY338"/>
      <c r="AZ338"/>
    </row>
    <row r="339" spans="1:52">
      <c r="A339" s="2" t="s">
        <v>363</v>
      </c>
      <c r="B339">
        <v>1955</v>
      </c>
      <c r="C339">
        <v>1</v>
      </c>
      <c r="D339" t="s">
        <v>1950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324</v>
      </c>
      <c r="H339">
        <v>140</v>
      </c>
      <c r="I339">
        <v>8</v>
      </c>
      <c r="J339" s="2" t="s">
        <v>325</v>
      </c>
      <c r="K339" s="39">
        <f>_xlfn.XLOOKUP("LOADINGSPEEDDEF_"&amp;PROPERTIES[[#This Row],[LOADINGSPEED]],LOADINGSPEEDDEF[TYPE],LOADINGSPEEDDEF[SPEED])</f>
        <v>120</v>
      </c>
      <c r="L339">
        <v>45</v>
      </c>
      <c r="M339">
        <v>1</v>
      </c>
      <c r="N339" s="33">
        <v>36.200000000000003</v>
      </c>
      <c r="O339">
        <v>760</v>
      </c>
      <c r="P339">
        <v>75</v>
      </c>
      <c r="Q339" s="30">
        <v>0</v>
      </c>
      <c r="R339" s="29">
        <f>IFERROR(PROPERTIES[[#This Row],[TE_STARTING_KN]]/(PROPERTIES[[#This Row],[WEIGHT]]*9.81),0)</f>
        <v>0</v>
      </c>
      <c r="S339" s="29">
        <v>0.21</v>
      </c>
      <c r="T339" s="26">
        <f>ROUND(IF(IFERROR(PROPERTIES[[#This Row],[TE_COEFFICIENT_CALC]],0)=0,PROPERTIES[[#This Row],[TE_COEFFICIENT_MANUAL]],PROPERTIES[[#This Row],[TE_COEFFICIENT_CALC]]),3)</f>
        <v>0.21</v>
      </c>
      <c r="U339" s="11">
        <v>60</v>
      </c>
      <c r="V339" s="9">
        <v>132</v>
      </c>
      <c r="W339" s="9">
        <v>8</v>
      </c>
      <c r="X339" s="10">
        <v>0</v>
      </c>
      <c r="Y339" t="s">
        <v>912</v>
      </c>
      <c r="Z339" t="s">
        <v>903</v>
      </c>
      <c r="AA339" s="2" t="s">
        <v>921</v>
      </c>
      <c r="AB339" s="9" t="s">
        <v>993</v>
      </c>
      <c r="AC339" s="9" t="s">
        <v>994</v>
      </c>
      <c r="AD339" s="10" t="str">
        <f>SUBSTITUTE(SUBSTITUTE(PROPERTIES[[#This Row],[PURCHASECOST_VALUE]], "PURCHASECOST_", ""), "_VALUE", "")</f>
        <v>METRO</v>
      </c>
      <c r="AE339" s="9" t="str" cm="1">
        <f t="array" ref="AE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9" s="2" t="b">
        <v>0</v>
      </c>
      <c r="AX339"/>
      <c r="AY339"/>
      <c r="AZ339"/>
    </row>
    <row r="340" spans="1:52">
      <c r="A340" s="2" t="s">
        <v>364</v>
      </c>
      <c r="B340">
        <v>1968</v>
      </c>
      <c r="C340">
        <v>1</v>
      </c>
      <c r="D340" t="s">
        <v>1925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 s="2" t="s">
        <v>325</v>
      </c>
      <c r="K340" s="39">
        <f>_xlfn.XLOOKUP("LOADINGSPEEDDEF_"&amp;PROPERTIES[[#This Row],[LOADINGSPEED]],LOADINGSPEEDDEF[TYPE],LOADINGSPEEDDEF[SPEED])</f>
        <v>120</v>
      </c>
      <c r="L340">
        <v>45</v>
      </c>
      <c r="M340">
        <v>1</v>
      </c>
      <c r="N340" s="33">
        <v>25</v>
      </c>
      <c r="O340">
        <v>630</v>
      </c>
      <c r="P340">
        <v>80</v>
      </c>
      <c r="Q340" s="30">
        <v>0</v>
      </c>
      <c r="R340" s="29">
        <f>IFERROR(PROPERTIES[[#This Row],[TE_STARTING_KN]]/(PROPERTIES[[#This Row],[WEIGHT]]*9.81),0)</f>
        <v>0</v>
      </c>
      <c r="S340" s="29">
        <v>0.23</v>
      </c>
      <c r="T340" s="26">
        <f>ROUND(IF(IFERROR(PROPERTIES[[#This Row],[TE_COEFFICIENT_CALC]],0)=0,PROPERTIES[[#This Row],[TE_COEFFICIENT_MANUAL]],PROPERTIES[[#This Row],[TE_COEFFICIENT_CALC]]),3)</f>
        <v>0.23</v>
      </c>
      <c r="U340" s="11">
        <v>60</v>
      </c>
      <c r="V340" s="9">
        <v>235</v>
      </c>
      <c r="W340" s="9">
        <v>7</v>
      </c>
      <c r="X340" s="10">
        <v>0</v>
      </c>
      <c r="Y340" t="s">
        <v>904</v>
      </c>
      <c r="Z340" t="s">
        <v>903</v>
      </c>
      <c r="AA340" s="2" t="s">
        <v>921</v>
      </c>
      <c r="AB340" s="9" t="s">
        <v>993</v>
      </c>
      <c r="AC340" s="9" t="s">
        <v>994</v>
      </c>
      <c r="AD340" s="10" t="str">
        <f>SUBSTITUTE(SUBSTITUTE(PROPERTIES[[#This Row],[PURCHASECOST_VALUE]], "PURCHASECOST_", ""), "_VALUE", "")</f>
        <v>METRO</v>
      </c>
      <c r="AE340" s="9" t="str" cm="1">
        <f t="array" ref="AE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0" s="2" t="b">
        <v>0</v>
      </c>
      <c r="AX340"/>
      <c r="AY340"/>
      <c r="AZ340"/>
    </row>
    <row r="341" spans="1:52">
      <c r="A341" s="2" t="s">
        <v>365</v>
      </c>
      <c r="B341">
        <v>1972</v>
      </c>
      <c r="C341">
        <v>1</v>
      </c>
      <c r="D341" t="s">
        <v>1816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 s="2" t="s">
        <v>325</v>
      </c>
      <c r="K341" s="39">
        <f>_xlfn.XLOOKUP("LOADINGSPEEDDEF_"&amp;PROPERTIES[[#This Row],[LOADINGSPEED]],LOADINGSPEEDDEF[TYPE],LOADINGSPEEDDEF[SPEED])</f>
        <v>120</v>
      </c>
      <c r="L341">
        <v>45</v>
      </c>
      <c r="M341">
        <v>1</v>
      </c>
      <c r="N341" s="33">
        <v>32.5</v>
      </c>
      <c r="O341">
        <v>910</v>
      </c>
      <c r="P341">
        <v>80</v>
      </c>
      <c r="Q341" s="30">
        <v>0</v>
      </c>
      <c r="R341" s="29">
        <f>IFERROR(PROPERTIES[[#This Row],[TE_STARTING_KN]]/(PROPERTIES[[#This Row],[WEIGHT]]*9.81),0)</f>
        <v>0</v>
      </c>
      <c r="S341" s="29">
        <v>0.25</v>
      </c>
      <c r="T341" s="26">
        <f>ROUND(IF(IFERROR(PROPERTIES[[#This Row],[TE_COEFFICIENT_CALC]],0)=0,PROPERTIES[[#This Row],[TE_COEFFICIENT_MANUAL]],PROPERTIES[[#This Row],[TE_COEFFICIENT_CALC]]),3)</f>
        <v>0.25</v>
      </c>
      <c r="U341" s="11">
        <v>60</v>
      </c>
      <c r="V341" s="9">
        <v>150</v>
      </c>
      <c r="W341" s="9">
        <v>8</v>
      </c>
      <c r="X341" s="10">
        <v>0</v>
      </c>
      <c r="Y341" t="s">
        <v>910</v>
      </c>
      <c r="Z341" t="s">
        <v>903</v>
      </c>
      <c r="AA341" s="2" t="s">
        <v>921</v>
      </c>
      <c r="AB341" s="9" t="s">
        <v>993</v>
      </c>
      <c r="AC341" s="9" t="s">
        <v>994</v>
      </c>
      <c r="AD341" s="10" t="str">
        <f>SUBSTITUTE(SUBSTITUTE(PROPERTIES[[#This Row],[PURCHASECOST_VALUE]], "PURCHASECOST_", ""), "_VALUE", "")</f>
        <v>METRO</v>
      </c>
      <c r="AE341" s="9" t="str" cm="1">
        <f t="array" ref="AE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1" s="2" t="b">
        <v>0</v>
      </c>
      <c r="AX341"/>
      <c r="AY341"/>
      <c r="AZ341"/>
    </row>
    <row r="342" spans="1:52">
      <c r="A342" s="2" t="s">
        <v>366</v>
      </c>
      <c r="B342">
        <v>1999</v>
      </c>
      <c r="C342">
        <v>1</v>
      </c>
      <c r="D342" t="s">
        <v>1770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 s="2" t="s">
        <v>325</v>
      </c>
      <c r="K342" s="39">
        <f>_xlfn.XLOOKUP("LOADINGSPEEDDEF_"&amp;PROPERTIES[[#This Row],[LOADINGSPEED]],LOADINGSPEEDDEF[TYPE],LOADINGSPEEDDEF[SPEED])</f>
        <v>120</v>
      </c>
      <c r="L342">
        <v>45</v>
      </c>
      <c r="M342">
        <v>1</v>
      </c>
      <c r="N342" s="33">
        <v>23.5</v>
      </c>
      <c r="O342">
        <v>640</v>
      </c>
      <c r="P342">
        <v>75</v>
      </c>
      <c r="Q342" s="30">
        <v>0</v>
      </c>
      <c r="R342" s="29">
        <f>IFERROR(PROPERTIES[[#This Row],[TE_STARTING_KN]]/(PROPERTIES[[#This Row],[WEIGHT]]*9.81),0)</f>
        <v>0</v>
      </c>
      <c r="S342" s="29">
        <v>0.23</v>
      </c>
      <c r="T342" s="26">
        <f>ROUND(IF(IFERROR(PROPERTIES[[#This Row],[TE_COEFFICIENT_CALC]],0)=0,PROPERTIES[[#This Row],[TE_COEFFICIENT_MANUAL]],PROPERTIES[[#This Row],[TE_COEFFICIENT_CALC]]),3)</f>
        <v>0.23</v>
      </c>
      <c r="U342" s="11">
        <v>40</v>
      </c>
      <c r="V342" s="9">
        <v>162</v>
      </c>
      <c r="W342" s="9">
        <v>7</v>
      </c>
      <c r="X342" s="10">
        <v>0</v>
      </c>
      <c r="Y342" t="s">
        <v>911</v>
      </c>
      <c r="Z342" t="s">
        <v>903</v>
      </c>
      <c r="AA342" s="2" t="s">
        <v>921</v>
      </c>
      <c r="AB342" s="9" t="s">
        <v>993</v>
      </c>
      <c r="AC342" s="9" t="s">
        <v>994</v>
      </c>
      <c r="AD342" s="10" t="str">
        <f>SUBSTITUTE(SUBSTITUTE(PROPERTIES[[#This Row],[PURCHASECOST_VALUE]], "PURCHASECOST_", ""), "_VALUE", "")</f>
        <v>METRO</v>
      </c>
      <c r="AE342" s="9" t="str" cm="1">
        <f t="array" ref="AE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2" s="2" t="b">
        <v>0</v>
      </c>
      <c r="AX342"/>
      <c r="AY342"/>
      <c r="AZ342"/>
    </row>
    <row r="343" spans="1:52">
      <c r="A343" s="2" t="s">
        <v>367</v>
      </c>
      <c r="B343">
        <v>1996</v>
      </c>
      <c r="C343">
        <v>1</v>
      </c>
      <c r="D343" t="s">
        <v>1806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 s="2" t="s">
        <v>325</v>
      </c>
      <c r="K343" s="39">
        <f>_xlfn.XLOOKUP("LOADINGSPEEDDEF_"&amp;PROPERTIES[[#This Row],[LOADINGSPEED]],LOADINGSPEEDDEF[TYPE],LOADINGSPEEDDEF[SPEED])</f>
        <v>120</v>
      </c>
      <c r="L343">
        <v>45</v>
      </c>
      <c r="M343">
        <v>1</v>
      </c>
      <c r="N343" s="33">
        <v>24.5</v>
      </c>
      <c r="O343">
        <v>2400</v>
      </c>
      <c r="P343">
        <v>100</v>
      </c>
      <c r="Q343" s="30">
        <v>0</v>
      </c>
      <c r="R343" s="29">
        <f>IFERROR(PROPERTIES[[#This Row],[TE_STARTING_KN]]/(PROPERTIES[[#This Row],[WEIGHT]]*9.81),0)</f>
        <v>0</v>
      </c>
      <c r="S343" s="29">
        <v>0.35</v>
      </c>
      <c r="T343" s="26">
        <f>ROUND(IF(IFERROR(PROPERTIES[[#This Row],[TE_COEFFICIENT_CALC]],0)=0,PROPERTIES[[#This Row],[TE_COEFFICIENT_MANUAL]],PROPERTIES[[#This Row],[TE_COEFFICIENT_CALC]]),3)</f>
        <v>0.35</v>
      </c>
      <c r="U343" s="11">
        <v>40</v>
      </c>
      <c r="V343" s="9">
        <v>116</v>
      </c>
      <c r="W343" s="9">
        <v>7</v>
      </c>
      <c r="X343" s="10">
        <v>0</v>
      </c>
      <c r="Y343" t="s">
        <v>911</v>
      </c>
      <c r="Z343" t="s">
        <v>903</v>
      </c>
      <c r="AA343" s="2" t="s">
        <v>921</v>
      </c>
      <c r="AB343" s="9" t="s">
        <v>993</v>
      </c>
      <c r="AC343" s="9" t="s">
        <v>994</v>
      </c>
      <c r="AD343" s="10" t="str">
        <f>SUBSTITUTE(SUBSTITUTE(PROPERTIES[[#This Row],[PURCHASECOST_VALUE]], "PURCHASECOST_", ""), "_VALUE", "")</f>
        <v>METRO</v>
      </c>
      <c r="AE343" s="9" t="str" cm="1">
        <f t="array" ref="AE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3" s="2" t="b">
        <v>0</v>
      </c>
      <c r="AX343"/>
      <c r="AY343"/>
      <c r="AZ343"/>
    </row>
    <row r="344" spans="1:52">
      <c r="A344" s="2" t="s">
        <v>368</v>
      </c>
      <c r="B344">
        <v>2004</v>
      </c>
      <c r="C344">
        <v>1</v>
      </c>
      <c r="D344" t="s">
        <v>1806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 s="2" t="s">
        <v>325</v>
      </c>
      <c r="K344" s="39">
        <f>_xlfn.XLOOKUP("LOADINGSPEEDDEF_"&amp;PROPERTIES[[#This Row],[LOADINGSPEED]],LOADINGSPEEDDEF[TYPE],LOADINGSPEEDDEF[SPEED])</f>
        <v>120</v>
      </c>
      <c r="L344" t="s">
        <v>20</v>
      </c>
      <c r="M344">
        <v>1</v>
      </c>
      <c r="N344" s="33">
        <v>32</v>
      </c>
      <c r="O344">
        <v>1550</v>
      </c>
      <c r="P344">
        <v>100</v>
      </c>
      <c r="Q344" s="30">
        <v>0</v>
      </c>
      <c r="R344" s="29">
        <f>IFERROR(PROPERTIES[[#This Row],[TE_STARTING_KN]]/(PROPERTIES[[#This Row],[WEIGHT]]*9.81),0)</f>
        <v>0</v>
      </c>
      <c r="S344" s="29">
        <v>0.28000000000000003</v>
      </c>
      <c r="T344" s="26">
        <f>ROUND(IF(IFERROR(PROPERTIES[[#This Row],[TE_COEFFICIENT_CALC]],0)=0,PROPERTIES[[#This Row],[TE_COEFFICIENT_MANUAL]],PROPERTIES[[#This Row],[TE_COEFFICIENT_CALC]]),3)</f>
        <v>0.28000000000000003</v>
      </c>
      <c r="U344" s="11">
        <v>40</v>
      </c>
      <c r="V344" s="9">
        <v>196</v>
      </c>
      <c r="W344" s="9">
        <v>8</v>
      </c>
      <c r="X344" s="10">
        <v>0</v>
      </c>
      <c r="Y344" t="s">
        <v>911</v>
      </c>
      <c r="Z344" t="s">
        <v>903</v>
      </c>
      <c r="AA344" s="2" t="s">
        <v>921</v>
      </c>
      <c r="AB344" s="9" t="s">
        <v>993</v>
      </c>
      <c r="AC344" s="9" t="s">
        <v>994</v>
      </c>
      <c r="AD344" s="10" t="str">
        <f>SUBSTITUTE(SUBSTITUTE(PROPERTIES[[#This Row],[PURCHASECOST_VALUE]], "PURCHASECOST_", ""), "_VALUE", "")</f>
        <v>METRO</v>
      </c>
      <c r="AE344" s="9" t="str" cm="1">
        <f t="array" ref="AE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4" s="2" t="b">
        <v>0</v>
      </c>
      <c r="AX344"/>
      <c r="AY344"/>
      <c r="AZ344"/>
    </row>
    <row r="345" spans="1:52">
      <c r="A345" s="2" t="s">
        <v>369</v>
      </c>
      <c r="B345">
        <v>2008</v>
      </c>
      <c r="C345">
        <v>1</v>
      </c>
      <c r="D345" t="s">
        <v>1791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 s="2" t="s">
        <v>325</v>
      </c>
      <c r="K345" s="39">
        <f>_xlfn.XLOOKUP("LOADINGSPEEDDEF_"&amp;PROPERTIES[[#This Row],[LOADINGSPEED]],LOADINGSPEEDDEF[TYPE],LOADINGSPEEDDEF[SPEED])</f>
        <v>120</v>
      </c>
      <c r="L345" t="s">
        <v>20</v>
      </c>
      <c r="M345">
        <v>1</v>
      </c>
      <c r="N345" s="33">
        <v>28</v>
      </c>
      <c r="O345">
        <v>1000</v>
      </c>
      <c r="P345">
        <v>80</v>
      </c>
      <c r="Q345" s="30">
        <v>0</v>
      </c>
      <c r="R345" s="29">
        <f>IFERROR(PROPERTIES[[#This Row],[TE_STARTING_KN]]/(PROPERTIES[[#This Row],[WEIGHT]]*9.81),0)</f>
        <v>0</v>
      </c>
      <c r="S345" s="29">
        <v>0.24</v>
      </c>
      <c r="T345" s="26">
        <f>ROUND(IF(IFERROR(PROPERTIES[[#This Row],[TE_COEFFICIENT_CALC]],0)=0,PROPERTIES[[#This Row],[TE_COEFFICIENT_MANUAL]],PROPERTIES[[#This Row],[TE_COEFFICIENT_CALC]]),3)</f>
        <v>0.24</v>
      </c>
      <c r="U345" s="11">
        <v>40</v>
      </c>
      <c r="V345" s="9">
        <v>182</v>
      </c>
      <c r="W345" s="9">
        <v>8</v>
      </c>
      <c r="X345" s="10">
        <v>0</v>
      </c>
      <c r="Y345" t="s">
        <v>911</v>
      </c>
      <c r="Z345" t="s">
        <v>903</v>
      </c>
      <c r="AA345" s="2" t="s">
        <v>921</v>
      </c>
      <c r="AB345" s="9" t="s">
        <v>993</v>
      </c>
      <c r="AC345" s="9" t="s">
        <v>994</v>
      </c>
      <c r="AD345" s="10" t="str">
        <f>SUBSTITUTE(SUBSTITUTE(PROPERTIES[[#This Row],[PURCHASECOST_VALUE]], "PURCHASECOST_", ""), "_VALUE", "")</f>
        <v>METRO</v>
      </c>
      <c r="AE345" s="9" t="str" cm="1">
        <f t="array" ref="AE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5" s="2" t="b">
        <v>0</v>
      </c>
      <c r="AX345"/>
      <c r="AY345"/>
      <c r="AZ345"/>
    </row>
    <row r="346" spans="1:52">
      <c r="A346" s="2" t="s">
        <v>370</v>
      </c>
      <c r="B346">
        <v>1974</v>
      </c>
      <c r="C346">
        <v>1</v>
      </c>
      <c r="D346" t="s">
        <v>1828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 s="2" t="s">
        <v>23</v>
      </c>
      <c r="K346" s="39">
        <f>_xlfn.XLOOKUP("LOADINGSPEEDDEF_"&amp;PROPERTIES[[#This Row],[LOADINGSPEED]],LOADINGSPEEDDEF[TYPE],LOADINGSPEEDDEF[SPEED])</f>
        <v>40</v>
      </c>
      <c r="L346">
        <v>45</v>
      </c>
      <c r="M346">
        <v>1</v>
      </c>
      <c r="N346" s="33">
        <v>32</v>
      </c>
      <c r="O346">
        <v>1100</v>
      </c>
      <c r="P346">
        <v>80</v>
      </c>
      <c r="Q346" s="30">
        <v>0</v>
      </c>
      <c r="R346" s="29">
        <f>IFERROR(PROPERTIES[[#This Row],[TE_STARTING_KN]]/(PROPERTIES[[#This Row],[WEIGHT]]*9.81),0)</f>
        <v>0</v>
      </c>
      <c r="S346" s="29">
        <v>0.24</v>
      </c>
      <c r="T346" s="26">
        <f>ROUND(IF(IFERROR(PROPERTIES[[#This Row],[TE_COEFFICIENT_CALC]],0)=0,PROPERTIES[[#This Row],[TE_COEFFICIENT_MANUAL]],PROPERTIES[[#This Row],[TE_COEFFICIENT_CALC]]),3)</f>
        <v>0.24</v>
      </c>
      <c r="U346" s="11">
        <v>40</v>
      </c>
      <c r="V346" s="9">
        <v>192</v>
      </c>
      <c r="W346" s="9">
        <v>8</v>
      </c>
      <c r="X346" s="10">
        <v>0</v>
      </c>
      <c r="Y346" t="s">
        <v>905</v>
      </c>
      <c r="Z346" t="s">
        <v>903</v>
      </c>
      <c r="AA346" s="2" t="s">
        <v>921</v>
      </c>
      <c r="AB346" s="9" t="s">
        <v>993</v>
      </c>
      <c r="AC346" s="9" t="s">
        <v>994</v>
      </c>
      <c r="AD346" s="10" t="str">
        <f>SUBSTITUTE(SUBSTITUTE(PROPERTIES[[#This Row],[PURCHASECOST_VALUE]], "PURCHASECOST_", ""), "_VALUE", "")</f>
        <v>METRO</v>
      </c>
      <c r="AE346" s="9" t="str" cm="1">
        <f t="array" ref="AE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6" s="2" t="b">
        <v>0</v>
      </c>
      <c r="AX346"/>
      <c r="AY346"/>
      <c r="AZ346"/>
    </row>
    <row r="347" spans="1:52">
      <c r="A347" s="2" t="s">
        <v>371</v>
      </c>
      <c r="B347">
        <v>1999</v>
      </c>
      <c r="C347">
        <v>1</v>
      </c>
      <c r="D347" t="s">
        <v>1869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 s="2" t="s">
        <v>23</v>
      </c>
      <c r="K347" s="39">
        <f>_xlfn.XLOOKUP("LOADINGSPEEDDEF_"&amp;PROPERTIES[[#This Row],[LOADINGSPEED]],LOADINGSPEEDDEF[TYPE],LOADINGSPEEDDEF[SPEED])</f>
        <v>40</v>
      </c>
      <c r="L347">
        <v>45</v>
      </c>
      <c r="M347">
        <v>1</v>
      </c>
      <c r="N347" s="33">
        <v>31.5</v>
      </c>
      <c r="O347">
        <v>1650</v>
      </c>
      <c r="P347">
        <v>80</v>
      </c>
      <c r="Q347" s="30">
        <v>0</v>
      </c>
      <c r="R347" s="29">
        <f>IFERROR(PROPERTIES[[#This Row],[TE_STARTING_KN]]/(PROPERTIES[[#This Row],[WEIGHT]]*9.81),0)</f>
        <v>0</v>
      </c>
      <c r="S347" s="29">
        <v>0.3</v>
      </c>
      <c r="T347" s="26">
        <f>ROUND(IF(IFERROR(PROPERTIES[[#This Row],[TE_COEFFICIENT_CALC]],0)=0,PROPERTIES[[#This Row],[TE_COEFFICIENT_MANUAL]],PROPERTIES[[#This Row],[TE_COEFFICIENT_CALC]]),3)</f>
        <v>0.3</v>
      </c>
      <c r="U347" s="11">
        <v>40</v>
      </c>
      <c r="V347" s="9">
        <v>194</v>
      </c>
      <c r="W347" s="9">
        <v>8</v>
      </c>
      <c r="X347" s="10">
        <v>0</v>
      </c>
      <c r="Y347" t="s">
        <v>905</v>
      </c>
      <c r="Z347" t="s">
        <v>903</v>
      </c>
      <c r="AA347" s="2" t="s">
        <v>921</v>
      </c>
      <c r="AB347" s="9" t="s">
        <v>993</v>
      </c>
      <c r="AC347" s="9" t="s">
        <v>994</v>
      </c>
      <c r="AD347" s="10" t="str">
        <f>SUBSTITUTE(SUBSTITUTE(PROPERTIES[[#This Row],[PURCHASECOST_VALUE]], "PURCHASECOST_", ""), "_VALUE", "")</f>
        <v>METRO</v>
      </c>
      <c r="AE347" s="9" t="str" cm="1">
        <f t="array" ref="AE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7" s="2" t="b">
        <v>0</v>
      </c>
      <c r="AX347"/>
      <c r="AY347"/>
      <c r="AZ347"/>
    </row>
    <row r="348" spans="1:52">
      <c r="A348" s="2" t="s">
        <v>372</v>
      </c>
      <c r="B348">
        <v>2011</v>
      </c>
      <c r="C348">
        <v>1</v>
      </c>
      <c r="D348" t="s">
        <v>1822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 s="2" t="s">
        <v>23</v>
      </c>
      <c r="K348" s="39">
        <f>_xlfn.XLOOKUP("LOADINGSPEEDDEF_"&amp;PROPERTIES[[#This Row],[LOADINGSPEED]],LOADINGSPEEDDEF[TYPE],LOADINGSPEEDDEF[SPEED])</f>
        <v>40</v>
      </c>
      <c r="L348" t="s">
        <v>20</v>
      </c>
      <c r="M348">
        <v>1</v>
      </c>
      <c r="N348" s="33">
        <v>25.5</v>
      </c>
      <c r="O348">
        <v>1450</v>
      </c>
      <c r="P348">
        <v>80</v>
      </c>
      <c r="Q348" s="30">
        <v>0</v>
      </c>
      <c r="R348" s="29">
        <f>IFERROR(PROPERTIES[[#This Row],[TE_STARTING_KN]]/(PROPERTIES[[#This Row],[WEIGHT]]*9.81),0)</f>
        <v>0</v>
      </c>
      <c r="S348" s="29">
        <v>0.3</v>
      </c>
      <c r="T348" s="26">
        <f>ROUND(IF(IFERROR(PROPERTIES[[#This Row],[TE_COEFFICIENT_CALC]],0)=0,PROPERTIES[[#This Row],[TE_COEFFICIENT_MANUAL]],PROPERTIES[[#This Row],[TE_COEFFICIENT_CALC]]),3)</f>
        <v>0.3</v>
      </c>
      <c r="U348" s="11">
        <v>40</v>
      </c>
      <c r="V348" s="9">
        <v>215</v>
      </c>
      <c r="W348" s="9">
        <v>7</v>
      </c>
      <c r="X348" s="10">
        <v>0</v>
      </c>
      <c r="Y348" t="s">
        <v>907</v>
      </c>
      <c r="Z348" t="s">
        <v>903</v>
      </c>
      <c r="AA348" s="2" t="s">
        <v>921</v>
      </c>
      <c r="AB348" s="9" t="s">
        <v>993</v>
      </c>
      <c r="AC348" s="9" t="s">
        <v>994</v>
      </c>
      <c r="AD348" s="10" t="str">
        <f>SUBSTITUTE(SUBSTITUTE(PROPERTIES[[#This Row],[PURCHASECOST_VALUE]], "PURCHASECOST_", ""), "_VALUE", "")</f>
        <v>METRO</v>
      </c>
      <c r="AE348" s="9" t="str" cm="1">
        <f t="array" ref="AE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8" s="2" t="b">
        <v>0</v>
      </c>
      <c r="AX348"/>
      <c r="AY348"/>
      <c r="AZ348"/>
    </row>
    <row r="349" spans="1:52">
      <c r="A349" s="2" t="s">
        <v>373</v>
      </c>
      <c r="B349">
        <v>2015</v>
      </c>
      <c r="C349">
        <v>1</v>
      </c>
      <c r="D349" t="s">
        <v>1817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 s="2" t="s">
        <v>23</v>
      </c>
      <c r="K349" s="39">
        <f>_xlfn.XLOOKUP("LOADINGSPEEDDEF_"&amp;PROPERTIES[[#This Row],[LOADINGSPEED]],LOADINGSPEEDDEF[TYPE],LOADINGSPEEDDEF[SPEED])</f>
        <v>40</v>
      </c>
      <c r="L349" t="s">
        <v>20</v>
      </c>
      <c r="M349">
        <v>1</v>
      </c>
      <c r="N349" s="33">
        <v>21.5</v>
      </c>
      <c r="O349">
        <v>440</v>
      </c>
      <c r="P349">
        <v>80</v>
      </c>
      <c r="Q349" s="30">
        <v>0</v>
      </c>
      <c r="R349" s="29">
        <f>IFERROR(PROPERTIES[[#This Row],[TE_STARTING_KN]]/(PROPERTIES[[#This Row],[WEIGHT]]*9.81),0)</f>
        <v>0</v>
      </c>
      <c r="S349" s="29">
        <v>0.22</v>
      </c>
      <c r="T349" s="26">
        <f>ROUND(IF(IFERROR(PROPERTIES[[#This Row],[TE_COEFFICIENT_CALC]],0)=0,PROPERTIES[[#This Row],[TE_COEFFICIENT_MANUAL]],PROPERTIES[[#This Row],[TE_COEFFICIENT_CALC]]),3)</f>
        <v>0.22</v>
      </c>
      <c r="U349" s="11">
        <v>40</v>
      </c>
      <c r="V349" s="9">
        <v>145</v>
      </c>
      <c r="W349" s="9">
        <v>8</v>
      </c>
      <c r="X349" s="10">
        <v>0</v>
      </c>
      <c r="Y349" t="s">
        <v>904</v>
      </c>
      <c r="Z349" t="s">
        <v>903</v>
      </c>
      <c r="AA349" s="2" t="s">
        <v>921</v>
      </c>
      <c r="AB349" s="9" t="s">
        <v>993</v>
      </c>
      <c r="AC349" s="9" t="s">
        <v>994</v>
      </c>
      <c r="AD349" s="10" t="str">
        <f>SUBSTITUTE(SUBSTITUTE(PROPERTIES[[#This Row],[PURCHASECOST_VALUE]], "PURCHASECOST_", ""), "_VALUE", "")</f>
        <v>METRO</v>
      </c>
      <c r="AE349" s="9" t="str" cm="1">
        <f t="array" ref="AE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9" s="2" t="b">
        <v>0</v>
      </c>
      <c r="AX349"/>
      <c r="AY349"/>
      <c r="AZ349"/>
    </row>
    <row r="350" spans="1:52">
      <c r="A350" s="2" t="s">
        <v>374</v>
      </c>
      <c r="B350">
        <v>1950</v>
      </c>
      <c r="C350">
        <v>1</v>
      </c>
      <c r="D350" t="s">
        <v>1992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 s="2" t="s">
        <v>325</v>
      </c>
      <c r="K350" s="39">
        <f>_xlfn.XLOOKUP("LOADINGSPEEDDEF_"&amp;PROPERTIES[[#This Row],[LOADINGSPEED]],LOADINGSPEEDDEF[TYPE],LOADINGSPEEDDEF[SPEED])</f>
        <v>120</v>
      </c>
      <c r="L350">
        <v>45</v>
      </c>
      <c r="M350">
        <v>1</v>
      </c>
      <c r="N350" s="33">
        <v>21.5</v>
      </c>
      <c r="O350">
        <v>440</v>
      </c>
      <c r="P350">
        <v>80</v>
      </c>
      <c r="Q350" s="30">
        <v>0</v>
      </c>
      <c r="R350" s="29">
        <f>IFERROR(PROPERTIES[[#This Row],[TE_STARTING_KN]]/(PROPERTIES[[#This Row],[WEIGHT]]*9.81),0)</f>
        <v>0</v>
      </c>
      <c r="S350" s="29">
        <v>0.22</v>
      </c>
      <c r="T350" s="26">
        <f>ROUND(IF(IFERROR(PROPERTIES[[#This Row],[TE_COEFFICIENT_CALC]],0)=0,PROPERTIES[[#This Row],[TE_COEFFICIENT_MANUAL]],PROPERTIES[[#This Row],[TE_COEFFICIENT_CALC]]),3)</f>
        <v>0.22</v>
      </c>
      <c r="U350" s="11">
        <v>60</v>
      </c>
      <c r="V350" s="9">
        <v>130</v>
      </c>
      <c r="W350" s="9">
        <v>7</v>
      </c>
      <c r="X350" s="10">
        <v>0</v>
      </c>
      <c r="Y350" t="s">
        <v>909</v>
      </c>
      <c r="Z350" t="s">
        <v>903</v>
      </c>
      <c r="AA350" s="2" t="s">
        <v>921</v>
      </c>
      <c r="AB350" s="9" t="s">
        <v>993</v>
      </c>
      <c r="AC350" s="9" t="s">
        <v>994</v>
      </c>
      <c r="AD350" s="10" t="str">
        <f>SUBSTITUTE(SUBSTITUTE(PROPERTIES[[#This Row],[PURCHASECOST_VALUE]], "PURCHASECOST_", ""), "_VALUE", "")</f>
        <v>METRO</v>
      </c>
      <c r="AE350" s="9" t="str" cm="1">
        <f t="array" ref="AE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0" s="2" t="b">
        <v>0</v>
      </c>
      <c r="AX350"/>
      <c r="AY350"/>
      <c r="AZ350"/>
    </row>
    <row r="351" spans="1:52">
      <c r="A351" s="2" t="s">
        <v>375</v>
      </c>
      <c r="B351">
        <v>1903</v>
      </c>
      <c r="C351">
        <v>1</v>
      </c>
      <c r="D351" t="s">
        <v>1836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 s="2" t="s">
        <v>325</v>
      </c>
      <c r="K351" s="39">
        <f>_xlfn.XLOOKUP("LOADINGSPEEDDEF_"&amp;PROPERTIES[[#This Row],[LOADINGSPEED]],LOADINGSPEEDDEF[TYPE],LOADINGSPEEDDEF[SPEED])</f>
        <v>120</v>
      </c>
      <c r="L351">
        <v>45</v>
      </c>
      <c r="M351">
        <v>1</v>
      </c>
      <c r="N351" s="33">
        <v>29.5</v>
      </c>
      <c r="O351">
        <v>400</v>
      </c>
      <c r="P351">
        <v>55</v>
      </c>
      <c r="Q351" s="30">
        <v>0</v>
      </c>
      <c r="R351" s="29">
        <f>IFERROR(PROPERTIES[[#This Row],[TE_STARTING_KN]]/(PROPERTIES[[#This Row],[WEIGHT]]*9.81),0)</f>
        <v>0</v>
      </c>
      <c r="S351" s="29">
        <v>0.18</v>
      </c>
      <c r="T351" s="26">
        <f>ROUND(IF(IFERROR(PROPERTIES[[#This Row],[TE_COEFFICIENT_CALC]],0)=0,PROPERTIES[[#This Row],[TE_COEFFICIENT_MANUAL]],PROPERTIES[[#This Row],[TE_COEFFICIENT_CALC]]),3)</f>
        <v>0.18</v>
      </c>
      <c r="U351" s="11">
        <v>60</v>
      </c>
      <c r="V351" s="9">
        <v>125</v>
      </c>
      <c r="W351" s="9">
        <v>8</v>
      </c>
      <c r="X351" s="10">
        <v>0</v>
      </c>
      <c r="Y351" t="s">
        <v>908</v>
      </c>
      <c r="Z351" t="s">
        <v>903</v>
      </c>
      <c r="AA351" s="2" t="s">
        <v>921</v>
      </c>
      <c r="AB351" s="9" t="s">
        <v>993</v>
      </c>
      <c r="AC351" s="9" t="s">
        <v>994</v>
      </c>
      <c r="AD351" s="10" t="str">
        <f>SUBSTITUTE(SUBSTITUTE(PROPERTIES[[#This Row],[PURCHASECOST_VALUE]], "PURCHASECOST_", ""), "_VALUE", "")</f>
        <v>METRO</v>
      </c>
      <c r="AE351" s="9" t="str" cm="1">
        <f t="array" ref="AE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1" s="2" t="b">
        <v>0</v>
      </c>
      <c r="AX351"/>
      <c r="AY351"/>
      <c r="AZ351"/>
    </row>
    <row r="352" spans="1:52">
      <c r="A352" s="2" t="s">
        <v>376</v>
      </c>
      <c r="B352">
        <v>1938</v>
      </c>
      <c r="C352">
        <v>1</v>
      </c>
      <c r="D352" t="s">
        <v>1836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 s="2" t="s">
        <v>325</v>
      </c>
      <c r="K352" s="39">
        <f>_xlfn.XLOOKUP("LOADINGSPEEDDEF_"&amp;PROPERTIES[[#This Row],[LOADINGSPEED]],LOADINGSPEEDDEF[TYPE],LOADINGSPEEDDEF[SPEED])</f>
        <v>120</v>
      </c>
      <c r="L352">
        <v>45</v>
      </c>
      <c r="M352">
        <v>1</v>
      </c>
      <c r="N352" s="33">
        <v>25.5</v>
      </c>
      <c r="O352">
        <v>600</v>
      </c>
      <c r="P352">
        <v>72</v>
      </c>
      <c r="Q352" s="30">
        <v>0</v>
      </c>
      <c r="R352" s="29">
        <f>IFERROR(PROPERTIES[[#This Row],[TE_STARTING_KN]]/(PROPERTIES[[#This Row],[WEIGHT]]*9.81),0)</f>
        <v>0</v>
      </c>
      <c r="S352" s="29">
        <v>0.2</v>
      </c>
      <c r="T352" s="26">
        <f>ROUND(IF(IFERROR(PROPERTIES[[#This Row],[TE_COEFFICIENT_CALC]],0)=0,PROPERTIES[[#This Row],[TE_COEFFICIENT_MANUAL]],PROPERTIES[[#This Row],[TE_COEFFICIENT_CALC]]),3)</f>
        <v>0.2</v>
      </c>
      <c r="U352" s="11">
        <v>60</v>
      </c>
      <c r="V352" s="9">
        <v>120</v>
      </c>
      <c r="W352" s="9">
        <v>7</v>
      </c>
      <c r="X352" s="10">
        <v>0</v>
      </c>
      <c r="Y352" t="s">
        <v>908</v>
      </c>
      <c r="Z352" t="s">
        <v>903</v>
      </c>
      <c r="AA352" s="2" t="s">
        <v>921</v>
      </c>
      <c r="AB352" s="9" t="s">
        <v>993</v>
      </c>
      <c r="AC352" s="9" t="s">
        <v>994</v>
      </c>
      <c r="AD352" s="10" t="str">
        <f>SUBSTITUTE(SUBSTITUTE(PROPERTIES[[#This Row],[PURCHASECOST_VALUE]], "PURCHASECOST_", ""), "_VALUE", "")</f>
        <v>METRO</v>
      </c>
      <c r="AE352" s="9" t="str" cm="1">
        <f t="array" ref="AE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2" s="2" t="b">
        <v>0</v>
      </c>
      <c r="AX352"/>
      <c r="AY352"/>
      <c r="AZ352"/>
    </row>
    <row r="353" spans="1:52">
      <c r="A353" s="2" t="s">
        <v>377</v>
      </c>
      <c r="B353">
        <v>1914</v>
      </c>
      <c r="C353">
        <v>0</v>
      </c>
      <c r="D353" t="s">
        <v>1836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 s="2" t="s">
        <v>19</v>
      </c>
      <c r="K353" s="39">
        <f>_xlfn.XLOOKUP("LOADINGSPEEDDEF_"&amp;PROPERTIES[[#This Row],[LOADINGSPEED]],LOADINGSPEEDDEF[TYPE],LOADINGSPEEDDEF[SPEED])</f>
        <v>0</v>
      </c>
      <c r="L353">
        <v>45</v>
      </c>
      <c r="M353">
        <v>0</v>
      </c>
      <c r="N353" s="33">
        <v>74</v>
      </c>
      <c r="O353">
        <v>1100</v>
      </c>
      <c r="P353">
        <v>40</v>
      </c>
      <c r="Q353" s="30">
        <v>125</v>
      </c>
      <c r="R353" s="29">
        <f>IFERROR(PROPERTIES[[#This Row],[TE_STARTING_KN]]/(PROPERTIES[[#This Row],[WEIGHT]]*9.81),0)</f>
        <v>0.17219053916301622</v>
      </c>
      <c r="S353" s="29">
        <v>0.18</v>
      </c>
      <c r="T353" s="26">
        <f>ROUND(IF(IFERROR(PROPERTIES[[#This Row],[TE_COEFFICIENT_CALC]],0)=0,PROPERTIES[[#This Row],[TE_COEFFICIENT_MANUAL]],PROPERTIES[[#This Row],[TE_COEFFICIENT_CALC]]),3)</f>
        <v>0.17199999999999999</v>
      </c>
      <c r="U353" s="11">
        <v>40</v>
      </c>
      <c r="V353" s="9">
        <v>0</v>
      </c>
      <c r="W353" s="9">
        <v>0</v>
      </c>
      <c r="X353" s="10">
        <v>0</v>
      </c>
      <c r="Y353" t="s">
        <v>908</v>
      </c>
      <c r="Z353" t="s">
        <v>903</v>
      </c>
      <c r="AA353" s="2" t="s">
        <v>921</v>
      </c>
      <c r="AB353" s="9" t="s">
        <v>995</v>
      </c>
      <c r="AC353" s="9" t="s">
        <v>996</v>
      </c>
      <c r="AD353" s="10" t="str">
        <f>SUBSTITUTE(SUBSTITUTE(PROPERTIES[[#This Row],[PURCHASECOST_VALUE]], "PURCHASECOST_", ""), "_VALUE", "")</f>
        <v>ELECTRICENGINE</v>
      </c>
      <c r="AE353" s="9" t="str" cm="1">
        <f t="array" ref="AE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3" s="2" t="b">
        <v>0</v>
      </c>
      <c r="AX353"/>
      <c r="AY353"/>
      <c r="AZ353"/>
    </row>
    <row r="354" spans="1:52">
      <c r="A354" s="2" t="s">
        <v>378</v>
      </c>
      <c r="B354">
        <v>1931</v>
      </c>
      <c r="C354">
        <v>0</v>
      </c>
      <c r="D354" t="s">
        <v>1873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 s="2" t="s">
        <v>19</v>
      </c>
      <c r="K354" s="39">
        <f>_xlfn.XLOOKUP("LOADINGSPEEDDEF_"&amp;PROPERTIES[[#This Row],[LOADINGSPEED]],LOADINGSPEEDDEF[TYPE],LOADINGSPEEDDEF[SPEED])</f>
        <v>0</v>
      </c>
      <c r="L354">
        <v>45</v>
      </c>
      <c r="M354">
        <v>1</v>
      </c>
      <c r="N354" s="33">
        <v>22.64</v>
      </c>
      <c r="O354">
        <v>360</v>
      </c>
      <c r="P354">
        <v>19</v>
      </c>
      <c r="Q354" s="30">
        <v>38</v>
      </c>
      <c r="R354" s="29">
        <f>IFERROR(PROPERTIES[[#This Row],[TE_STARTING_KN]]/(PROPERTIES[[#This Row],[WEIGHT]]*9.81),0)</f>
        <v>0.17109533432028323</v>
      </c>
      <c r="S354" s="29">
        <v>0.3</v>
      </c>
      <c r="T354" s="26">
        <f>ROUND(IF(IFERROR(PROPERTIES[[#This Row],[TE_COEFFICIENT_CALC]],0)=0,PROPERTIES[[#This Row],[TE_COEFFICIENT_MANUAL]],PROPERTIES[[#This Row],[TE_COEFFICIENT_CALC]]),3)</f>
        <v>0.17100000000000001</v>
      </c>
      <c r="U354" s="11">
        <v>40</v>
      </c>
      <c r="V354" s="9">
        <v>0</v>
      </c>
      <c r="W354" s="9">
        <v>0</v>
      </c>
      <c r="X354" s="10">
        <v>0</v>
      </c>
      <c r="Y354" t="s">
        <v>912</v>
      </c>
      <c r="Z354" t="s">
        <v>903</v>
      </c>
      <c r="AA354" s="2" t="s">
        <v>921</v>
      </c>
      <c r="AB354" s="9" t="s">
        <v>995</v>
      </c>
      <c r="AC354" s="9" t="s">
        <v>996</v>
      </c>
      <c r="AD354" s="10" t="str">
        <f>SUBSTITUTE(SUBSTITUTE(PROPERTIES[[#This Row],[PURCHASECOST_VALUE]], "PURCHASECOST_", ""), "_VALUE", "")</f>
        <v>ELECTRICENGINE</v>
      </c>
      <c r="AE354" s="9" t="str" cm="1">
        <f t="array" ref="AE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4" s="2" t="b">
        <v>0</v>
      </c>
      <c r="AX354"/>
      <c r="AY354"/>
      <c r="AZ354"/>
    </row>
    <row r="355" spans="1:52">
      <c r="A355" s="2" t="s">
        <v>379</v>
      </c>
      <c r="B355">
        <v>1936</v>
      </c>
      <c r="C355">
        <v>0</v>
      </c>
      <c r="D355" t="s">
        <v>1873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 s="2" t="s">
        <v>19</v>
      </c>
      <c r="K355" s="39">
        <f>_xlfn.XLOOKUP("LOADINGSPEEDDEF_"&amp;PROPERTIES[[#This Row],[LOADINGSPEED]],LOADINGSPEEDDEF[TYPE],LOADINGSPEEDDEF[SPEED])</f>
        <v>0</v>
      </c>
      <c r="L355">
        <v>45</v>
      </c>
      <c r="M355">
        <v>1</v>
      </c>
      <c r="N355" s="33">
        <v>100</v>
      </c>
      <c r="O355">
        <v>1810</v>
      </c>
      <c r="P355">
        <v>75</v>
      </c>
      <c r="Q355" s="30">
        <v>61.7</v>
      </c>
      <c r="R355" s="29">
        <f>IFERROR(PROPERTIES[[#This Row],[TE_STARTING_KN]]/(PROPERTIES[[#This Row],[WEIGHT]]*9.81),0)</f>
        <v>6.2895005096839957E-2</v>
      </c>
      <c r="S355" s="29">
        <v>0.06</v>
      </c>
      <c r="T355" s="26">
        <f>ROUND(IF(IFERROR(PROPERTIES[[#This Row],[TE_COEFFICIENT_CALC]],0)=0,PROPERTIES[[#This Row],[TE_COEFFICIENT_MANUAL]],PROPERTIES[[#This Row],[TE_COEFFICIENT_CALC]]),3)</f>
        <v>6.3E-2</v>
      </c>
      <c r="U355" s="11">
        <v>40</v>
      </c>
      <c r="V355" s="9">
        <v>0</v>
      </c>
      <c r="W355" s="9">
        <v>0</v>
      </c>
      <c r="X355" s="10">
        <v>0</v>
      </c>
      <c r="Y355" t="s">
        <v>912</v>
      </c>
      <c r="Z355" t="s">
        <v>903</v>
      </c>
      <c r="AA355" s="2" t="s">
        <v>921</v>
      </c>
      <c r="AB355" s="9" t="s">
        <v>995</v>
      </c>
      <c r="AC355" s="9" t="s">
        <v>996</v>
      </c>
      <c r="AD355" s="10" t="str">
        <f>SUBSTITUTE(SUBSTITUTE(PROPERTIES[[#This Row],[PURCHASECOST_VALUE]], "PURCHASECOST_", ""), "_VALUE", "")</f>
        <v>ELECTRICENGINE</v>
      </c>
      <c r="AE355" s="9" t="str" cm="1">
        <f t="array" ref="AE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5" s="2" t="b">
        <v>0</v>
      </c>
      <c r="AX355"/>
      <c r="AY355"/>
      <c r="AZ355"/>
    </row>
    <row r="356" spans="1:52">
      <c r="A356" s="2" t="s">
        <v>380</v>
      </c>
      <c r="B356">
        <v>1948</v>
      </c>
      <c r="C356">
        <v>0</v>
      </c>
      <c r="D356" t="s">
        <v>1925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 s="2" t="s">
        <v>19</v>
      </c>
      <c r="K356" s="39">
        <f>_xlfn.XLOOKUP("LOADINGSPEEDDEF_"&amp;PROPERTIES[[#This Row],[LOADINGSPEED]],LOADINGSPEEDDEF[TYPE],LOADINGSPEEDDEF[SPEED])</f>
        <v>0</v>
      </c>
      <c r="L356">
        <v>45</v>
      </c>
      <c r="M356">
        <v>1</v>
      </c>
      <c r="N356" s="33">
        <v>100</v>
      </c>
      <c r="O356">
        <v>3749</v>
      </c>
      <c r="P356">
        <v>100</v>
      </c>
      <c r="Q356" s="30">
        <v>177</v>
      </c>
      <c r="R356" s="29">
        <f>IFERROR(PROPERTIES[[#This Row],[TE_STARTING_KN]]/(PROPERTIES[[#This Row],[WEIGHT]]*9.81),0)</f>
        <v>0.18042813455657492</v>
      </c>
      <c r="S356" s="29">
        <v>0.18</v>
      </c>
      <c r="T356" s="26">
        <f>ROUND(IF(IFERROR(PROPERTIES[[#This Row],[TE_COEFFICIENT_CALC]],0)=0,PROPERTIES[[#This Row],[TE_COEFFICIENT_MANUAL]],PROPERTIES[[#This Row],[TE_COEFFICIENT_CALC]]),3)</f>
        <v>0.18</v>
      </c>
      <c r="U356" s="11">
        <v>40</v>
      </c>
      <c r="V356" s="9">
        <v>0</v>
      </c>
      <c r="W356" s="9">
        <v>0</v>
      </c>
      <c r="X356" s="10">
        <v>0</v>
      </c>
      <c r="Y356" t="s">
        <v>904</v>
      </c>
      <c r="Z356" t="s">
        <v>903</v>
      </c>
      <c r="AA356" s="2" t="s">
        <v>921</v>
      </c>
      <c r="AB356" s="9" t="s">
        <v>995</v>
      </c>
      <c r="AC356" s="9" t="s">
        <v>996</v>
      </c>
      <c r="AD356" s="10" t="str">
        <f>SUBSTITUTE(SUBSTITUTE(PROPERTIES[[#This Row],[PURCHASECOST_VALUE]], "PURCHASECOST_", ""), "_VALUE", "")</f>
        <v>ELECTRICENGINE</v>
      </c>
      <c r="AE356" s="9" t="str" cm="1">
        <f t="array" ref="AE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6" s="2" t="b">
        <v>0</v>
      </c>
      <c r="AX356"/>
      <c r="AY356"/>
      <c r="AZ356"/>
    </row>
    <row r="357" spans="1:52">
      <c r="A357" s="2" t="s">
        <v>381</v>
      </c>
      <c r="B357">
        <v>1980</v>
      </c>
      <c r="C357">
        <v>0</v>
      </c>
      <c r="D357" t="s">
        <v>1925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 s="2" t="s">
        <v>19</v>
      </c>
      <c r="K357" s="39">
        <f>_xlfn.XLOOKUP("LOADINGSPEEDDEF_"&amp;PROPERTIES[[#This Row],[LOADINGSPEED]],LOADINGSPEEDDEF[TYPE],LOADINGSPEEDDEF[SPEED])</f>
        <v>0</v>
      </c>
      <c r="L357">
        <v>45</v>
      </c>
      <c r="M357">
        <v>1</v>
      </c>
      <c r="N357" s="33">
        <v>83</v>
      </c>
      <c r="O357">
        <v>6200</v>
      </c>
      <c r="P357">
        <v>160</v>
      </c>
      <c r="Q357" s="30">
        <v>294</v>
      </c>
      <c r="R357" s="29">
        <f>IFERROR(PROPERTIES[[#This Row],[TE_STARTING_KN]]/(PROPERTIES[[#This Row],[WEIGHT]]*9.81),0)</f>
        <v>0.36107733687041743</v>
      </c>
      <c r="S357" s="29">
        <v>0.31</v>
      </c>
      <c r="T357" s="26">
        <f>ROUND(IF(IFERROR(PROPERTIES[[#This Row],[TE_COEFFICIENT_CALC]],0)=0,PROPERTIES[[#This Row],[TE_COEFFICIENT_MANUAL]],PROPERTIES[[#This Row],[TE_COEFFICIENT_CALC]]),3)</f>
        <v>0.36099999999999999</v>
      </c>
      <c r="U357" s="11">
        <v>40</v>
      </c>
      <c r="V357" s="9">
        <v>0</v>
      </c>
      <c r="W357" s="9">
        <v>0</v>
      </c>
      <c r="X357" s="10">
        <v>0</v>
      </c>
      <c r="Y357" t="s">
        <v>904</v>
      </c>
      <c r="Z357" t="s">
        <v>903</v>
      </c>
      <c r="AA357" s="2" t="s">
        <v>921</v>
      </c>
      <c r="AB357" s="9" t="s">
        <v>995</v>
      </c>
      <c r="AC357" s="9" t="s">
        <v>996</v>
      </c>
      <c r="AD357" s="10" t="str">
        <f>SUBSTITUTE(SUBSTITUTE(PROPERTIES[[#This Row],[PURCHASECOST_VALUE]], "PURCHASECOST_", ""), "_VALUE", "")</f>
        <v>ELECTRICENGINE</v>
      </c>
      <c r="AE357" s="9" t="str" cm="1">
        <f t="array" ref="AE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57" s="2" t="b">
        <v>0</v>
      </c>
      <c r="AX357"/>
      <c r="AY357"/>
      <c r="AZ357"/>
    </row>
    <row r="358" spans="1:52">
      <c r="A358" s="2" t="s">
        <v>382</v>
      </c>
      <c r="B358">
        <v>1923</v>
      </c>
      <c r="C358">
        <v>0</v>
      </c>
      <c r="D358" t="s">
        <v>1773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 s="2" t="s">
        <v>19</v>
      </c>
      <c r="K358" s="39">
        <f>_xlfn.XLOOKUP("LOADINGSPEEDDEF_"&amp;PROPERTIES[[#This Row],[LOADINGSPEED]],LOADINGSPEEDDEF[TYPE],LOADINGSPEEDDEF[SPEED])</f>
        <v>0</v>
      </c>
      <c r="L358">
        <v>45</v>
      </c>
      <c r="M358">
        <v>1</v>
      </c>
      <c r="N358" s="33">
        <v>56</v>
      </c>
      <c r="O358">
        <v>620</v>
      </c>
      <c r="P358">
        <v>65</v>
      </c>
      <c r="Q358" s="30">
        <v>109</v>
      </c>
      <c r="R358" s="29">
        <f>IFERROR(PROPERTIES[[#This Row],[TE_STARTING_KN]]/(PROPERTIES[[#This Row],[WEIGHT]]*9.81),0)</f>
        <v>0.1984126984126984</v>
      </c>
      <c r="S358" s="29">
        <v>0.11</v>
      </c>
      <c r="T358" s="26">
        <f>ROUND(IF(IFERROR(PROPERTIES[[#This Row],[TE_COEFFICIENT_CALC]],0)=0,PROPERTIES[[#This Row],[TE_COEFFICIENT_MANUAL]],PROPERTIES[[#This Row],[TE_COEFFICIENT_CALC]]),3)</f>
        <v>0.19800000000000001</v>
      </c>
      <c r="U358" s="11">
        <v>40</v>
      </c>
      <c r="V358" s="9">
        <v>0</v>
      </c>
      <c r="W358" s="9">
        <v>0</v>
      </c>
      <c r="X358" s="10">
        <v>0</v>
      </c>
      <c r="Y358" t="s">
        <v>906</v>
      </c>
      <c r="Z358" t="s">
        <v>903</v>
      </c>
      <c r="AA358" s="2" t="s">
        <v>921</v>
      </c>
      <c r="AB358" s="9" t="s">
        <v>995</v>
      </c>
      <c r="AC358" s="9" t="s">
        <v>996</v>
      </c>
      <c r="AD358" s="10" t="str">
        <f>SUBSTITUTE(SUBSTITUTE(PROPERTIES[[#This Row],[PURCHASECOST_VALUE]], "PURCHASECOST_", ""), "_VALUE", "")</f>
        <v>ELECTRICENGINE</v>
      </c>
      <c r="AE358" s="9" t="str" cm="1">
        <f t="array" ref="AE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8" s="2" t="b">
        <v>0</v>
      </c>
      <c r="AX358"/>
      <c r="AY358"/>
      <c r="AZ358"/>
    </row>
    <row r="359" spans="1:52">
      <c r="A359" s="2" t="s">
        <v>383</v>
      </c>
      <c r="B359">
        <v>1903</v>
      </c>
      <c r="C359">
        <v>0</v>
      </c>
      <c r="D359" t="s">
        <v>1836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 s="2" t="s">
        <v>19</v>
      </c>
      <c r="K359" s="39">
        <f>_xlfn.XLOOKUP("LOADINGSPEEDDEF_"&amp;PROPERTIES[[#This Row],[LOADINGSPEED]],LOADINGSPEEDDEF[TYPE],LOADINGSPEEDDEF[SPEED])</f>
        <v>0</v>
      </c>
      <c r="L359">
        <v>45</v>
      </c>
      <c r="M359">
        <v>0</v>
      </c>
      <c r="N359" s="33">
        <v>57</v>
      </c>
      <c r="O359">
        <v>640</v>
      </c>
      <c r="P359">
        <v>43</v>
      </c>
      <c r="Q359" s="30">
        <v>111.2</v>
      </c>
      <c r="R359" s="29">
        <f>IFERROR(PROPERTIES[[#This Row],[TE_STARTING_KN]]/(PROPERTIES[[#This Row],[WEIGHT]]*9.81),0)</f>
        <v>0.19886617665468459</v>
      </c>
      <c r="S359" s="29">
        <v>0.19</v>
      </c>
      <c r="T359" s="26">
        <f>ROUND(IF(IFERROR(PROPERTIES[[#This Row],[TE_COEFFICIENT_CALC]],0)=0,PROPERTIES[[#This Row],[TE_COEFFICIENT_MANUAL]],PROPERTIES[[#This Row],[TE_COEFFICIENT_CALC]]),3)</f>
        <v>0.19900000000000001</v>
      </c>
      <c r="U359" s="11">
        <v>40</v>
      </c>
      <c r="V359" s="9">
        <v>0</v>
      </c>
      <c r="W359" s="9">
        <v>0</v>
      </c>
      <c r="X359" s="10">
        <v>0</v>
      </c>
      <c r="Y359" t="s">
        <v>908</v>
      </c>
      <c r="Z359" t="s">
        <v>903</v>
      </c>
      <c r="AA359" s="2" t="s">
        <v>921</v>
      </c>
      <c r="AB359" s="9" t="s">
        <v>995</v>
      </c>
      <c r="AC359" s="9" t="s">
        <v>996</v>
      </c>
      <c r="AD359" s="10" t="str">
        <f>SUBSTITUTE(SUBSTITUTE(PROPERTIES[[#This Row],[PURCHASECOST_VALUE]], "PURCHASECOST_", ""), "_VALUE", "")</f>
        <v>ELECTRICENGINE</v>
      </c>
      <c r="AE359" s="9" t="str" cm="1">
        <f t="array" ref="AE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9" s="2" t="b">
        <v>0</v>
      </c>
      <c r="AX359"/>
      <c r="AY359"/>
      <c r="AZ359"/>
    </row>
    <row r="360" spans="1:52">
      <c r="A360" s="2" t="s">
        <v>384</v>
      </c>
      <c r="B360">
        <v>1903</v>
      </c>
      <c r="C360">
        <v>0</v>
      </c>
      <c r="D360" t="s">
        <v>1992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 s="2" t="s">
        <v>19</v>
      </c>
      <c r="K360" s="39">
        <f>_xlfn.XLOOKUP("LOADINGSPEEDDEF_"&amp;PROPERTIES[[#This Row],[LOADINGSPEED]],LOADINGSPEEDDEF[TYPE],LOADINGSPEEDDEF[SPEED])</f>
        <v>0</v>
      </c>
      <c r="L360">
        <v>45</v>
      </c>
      <c r="M360">
        <v>1</v>
      </c>
      <c r="N360" s="33">
        <v>103</v>
      </c>
      <c r="O360">
        <v>2200</v>
      </c>
      <c r="P360">
        <v>97</v>
      </c>
      <c r="Q360" s="30">
        <v>160</v>
      </c>
      <c r="R360" s="29">
        <f>IFERROR(PROPERTIES[[#This Row],[TE_STARTING_KN]]/(PROPERTIES[[#This Row],[WEIGHT]]*9.81),0)</f>
        <v>0.15834842591767861</v>
      </c>
      <c r="S360" s="29">
        <v>0.16</v>
      </c>
      <c r="T360" s="26">
        <f>ROUND(IF(IFERROR(PROPERTIES[[#This Row],[TE_COEFFICIENT_CALC]],0)=0,PROPERTIES[[#This Row],[TE_COEFFICIENT_MANUAL]],PROPERTIES[[#This Row],[TE_COEFFICIENT_CALC]]),3)</f>
        <v>0.158</v>
      </c>
      <c r="U360" s="11">
        <v>40</v>
      </c>
      <c r="V360" s="9">
        <v>0</v>
      </c>
      <c r="W360" s="9">
        <v>0</v>
      </c>
      <c r="X360" s="10">
        <v>0</v>
      </c>
      <c r="Y360" t="s">
        <v>909</v>
      </c>
      <c r="Z360" t="s">
        <v>903</v>
      </c>
      <c r="AA360" s="2" t="s">
        <v>921</v>
      </c>
      <c r="AB360" s="9" t="s">
        <v>995</v>
      </c>
      <c r="AC360" s="9" t="s">
        <v>996</v>
      </c>
      <c r="AD360" s="10" t="str">
        <f>SUBSTITUTE(SUBSTITUTE(PROPERTIES[[#This Row],[PURCHASECOST_VALUE]], "PURCHASECOST_", ""), "_VALUE", "")</f>
        <v>ELECTRICENGINE</v>
      </c>
      <c r="AE360" s="9" t="str" cm="1">
        <f t="array" ref="AE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0" s="2" t="b">
        <v>0</v>
      </c>
      <c r="AX360"/>
      <c r="AY360"/>
      <c r="AZ360"/>
    </row>
    <row r="361" spans="1:52">
      <c r="A361" s="2" t="s">
        <v>385</v>
      </c>
      <c r="B361">
        <v>1930</v>
      </c>
      <c r="C361">
        <v>0</v>
      </c>
      <c r="D361" t="s">
        <v>1873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 s="2" t="s">
        <v>19</v>
      </c>
      <c r="K361" s="39">
        <f>_xlfn.XLOOKUP("LOADINGSPEEDDEF_"&amp;PROPERTIES[[#This Row],[LOADINGSPEED]],LOADINGSPEEDDEF[TYPE],LOADINGSPEEDDEF[SPEED])</f>
        <v>0</v>
      </c>
      <c r="L361">
        <v>45</v>
      </c>
      <c r="M361">
        <v>1</v>
      </c>
      <c r="N361" s="33">
        <v>40</v>
      </c>
      <c r="O361">
        <v>482</v>
      </c>
      <c r="P361">
        <v>28</v>
      </c>
      <c r="Q361" s="30">
        <v>78</v>
      </c>
      <c r="R361" s="29">
        <f>IFERROR(PROPERTIES[[#This Row],[TE_STARTING_KN]]/(PROPERTIES[[#This Row],[WEIGHT]]*9.81),0)</f>
        <v>0.19877675840978593</v>
      </c>
      <c r="S361" s="29">
        <v>0.12</v>
      </c>
      <c r="T361" s="26">
        <f>ROUND(IF(IFERROR(PROPERTIES[[#This Row],[TE_COEFFICIENT_CALC]],0)=0,PROPERTIES[[#This Row],[TE_COEFFICIENT_MANUAL]],PROPERTIES[[#This Row],[TE_COEFFICIENT_CALC]]),3)</f>
        <v>0.19900000000000001</v>
      </c>
      <c r="U361" s="11">
        <v>40</v>
      </c>
      <c r="V361" s="9">
        <v>0</v>
      </c>
      <c r="W361" s="9">
        <v>0</v>
      </c>
      <c r="X361" s="10">
        <v>0</v>
      </c>
      <c r="Y361" t="s">
        <v>912</v>
      </c>
      <c r="Z361" t="s">
        <v>903</v>
      </c>
      <c r="AA361" s="2" t="s">
        <v>921</v>
      </c>
      <c r="AB361" s="9" t="s">
        <v>995</v>
      </c>
      <c r="AC361" s="9" t="s">
        <v>996</v>
      </c>
      <c r="AD361" s="10" t="str">
        <f>SUBSTITUTE(SUBSTITUTE(PROPERTIES[[#This Row],[PURCHASECOST_VALUE]], "PURCHASECOST_", ""), "_VALUE", "")</f>
        <v>ELECTRICENGINE</v>
      </c>
      <c r="AE361" s="9" t="str" cm="1">
        <f t="array" ref="AE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61" s="2" t="b">
        <v>0</v>
      </c>
      <c r="AX361"/>
      <c r="AY361"/>
      <c r="AZ361"/>
    </row>
    <row r="362" spans="1:52">
      <c r="A362" s="2" t="s">
        <v>386</v>
      </c>
      <c r="B362">
        <v>1928</v>
      </c>
      <c r="C362">
        <v>0</v>
      </c>
      <c r="D362" t="s">
        <v>1864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 s="2" t="s">
        <v>19</v>
      </c>
      <c r="K362" s="39">
        <f>_xlfn.XLOOKUP("LOADINGSPEEDDEF_"&amp;PROPERTIES[[#This Row],[LOADINGSPEED]],LOADINGSPEEDDEF[TYPE],LOADINGSPEEDDEF[SPEED])</f>
        <v>0</v>
      </c>
      <c r="L362">
        <v>45</v>
      </c>
      <c r="M362">
        <v>1</v>
      </c>
      <c r="N362" s="33">
        <v>123</v>
      </c>
      <c r="O362">
        <v>2600</v>
      </c>
      <c r="P362">
        <v>80</v>
      </c>
      <c r="Q362" s="30">
        <v>300</v>
      </c>
      <c r="R362" s="29">
        <f>IFERROR(PROPERTIES[[#This Row],[TE_STARTING_KN]]/(PROPERTIES[[#This Row],[WEIGHT]]*9.81),0)</f>
        <v>0.24862633947440391</v>
      </c>
      <c r="S362" s="29">
        <v>0.6</v>
      </c>
      <c r="T362" s="26">
        <f>ROUND(IF(IFERROR(PROPERTIES[[#This Row],[TE_COEFFICIENT_CALC]],0)=0,PROPERTIES[[#This Row],[TE_COEFFICIENT_MANUAL]],PROPERTIES[[#This Row],[TE_COEFFICIENT_CALC]]),3)</f>
        <v>0.249</v>
      </c>
      <c r="U362" s="11">
        <v>40</v>
      </c>
      <c r="V362" s="9">
        <v>0</v>
      </c>
      <c r="W362" s="9">
        <v>0</v>
      </c>
      <c r="X362" s="10">
        <v>0</v>
      </c>
      <c r="Y362" t="s">
        <v>912</v>
      </c>
      <c r="Z362" t="s">
        <v>903</v>
      </c>
      <c r="AA362" s="2" t="s">
        <v>921</v>
      </c>
      <c r="AB362" s="9" t="s">
        <v>995</v>
      </c>
      <c r="AC362" s="9" t="s">
        <v>996</v>
      </c>
      <c r="AD362" s="10" t="str">
        <f>SUBSTITUTE(SUBSTITUTE(PROPERTIES[[#This Row],[PURCHASECOST_VALUE]], "PURCHASECOST_", ""), "_VALUE", "")</f>
        <v>ELECTRICENGINE</v>
      </c>
      <c r="AE362" s="9" t="str" cm="1">
        <f t="array" ref="AE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2" s="2" t="b">
        <v>0</v>
      </c>
      <c r="AX362"/>
      <c r="AY362"/>
      <c r="AZ362"/>
    </row>
    <row r="363" spans="1:52">
      <c r="A363" s="2" t="s">
        <v>387</v>
      </c>
      <c r="B363">
        <v>1954</v>
      </c>
      <c r="C363">
        <v>0</v>
      </c>
      <c r="D363" t="s">
        <v>1835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 s="2" t="s">
        <v>19</v>
      </c>
      <c r="K363" s="39">
        <f>_xlfn.XLOOKUP("LOADINGSPEEDDEF_"&amp;PROPERTIES[[#This Row],[LOADINGSPEED]],LOADINGSPEEDDEF[TYPE],LOADINGSPEEDDEF[SPEED])</f>
        <v>0</v>
      </c>
      <c r="L363">
        <v>45</v>
      </c>
      <c r="M363">
        <v>1</v>
      </c>
      <c r="N363" s="33">
        <v>83</v>
      </c>
      <c r="O363">
        <v>4260</v>
      </c>
      <c r="P363">
        <v>140</v>
      </c>
      <c r="Q363" s="30">
        <v>235</v>
      </c>
      <c r="R363" s="29">
        <f>IFERROR(PROPERTIES[[#This Row],[TE_STARTING_KN]]/(PROPERTIES[[#This Row],[WEIGHT]]*9.81),0)</f>
        <v>0.28861623865492553</v>
      </c>
      <c r="S363" s="29">
        <v>0.25</v>
      </c>
      <c r="T363" s="26">
        <f>ROUND(IF(IFERROR(PROPERTIES[[#This Row],[TE_COEFFICIENT_CALC]],0)=0,PROPERTIES[[#This Row],[TE_COEFFICIENT_MANUAL]],PROPERTIES[[#This Row],[TE_COEFFICIENT_CALC]]),3)</f>
        <v>0.28899999999999998</v>
      </c>
      <c r="U363" s="11">
        <v>40</v>
      </c>
      <c r="V363" s="9">
        <v>0</v>
      </c>
      <c r="W363" s="9">
        <v>0</v>
      </c>
      <c r="X363" s="10">
        <v>0</v>
      </c>
      <c r="Y363" t="s">
        <v>904</v>
      </c>
      <c r="Z363" t="s">
        <v>903</v>
      </c>
      <c r="AA363" s="2" t="s">
        <v>921</v>
      </c>
      <c r="AB363" s="9" t="s">
        <v>995</v>
      </c>
      <c r="AC363" s="9" t="s">
        <v>996</v>
      </c>
      <c r="AD363" s="10" t="str">
        <f>SUBSTITUTE(SUBSTITUTE(PROPERTIES[[#This Row],[PURCHASECOST_VALUE]], "PURCHASECOST_", ""), "_VALUE", "")</f>
        <v>ELECTRICENGINE</v>
      </c>
      <c r="AE363" s="9" t="str" cm="1">
        <f t="array" ref="AE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3" s="2" t="b">
        <v>0</v>
      </c>
      <c r="AX363"/>
      <c r="AY363"/>
      <c r="AZ363"/>
    </row>
    <row r="364" spans="1:52">
      <c r="A364" s="2" t="s">
        <v>388</v>
      </c>
      <c r="B364">
        <v>1925</v>
      </c>
      <c r="C364">
        <v>0</v>
      </c>
      <c r="D364" t="s">
        <v>1860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 s="2" t="s">
        <v>19</v>
      </c>
      <c r="K364" s="39">
        <f>_xlfn.XLOOKUP("LOADINGSPEEDDEF_"&amp;PROPERTIES[[#This Row],[LOADINGSPEED]],LOADINGSPEEDDEF[TYPE],LOADINGSPEEDDEF[SPEED])</f>
        <v>0</v>
      </c>
      <c r="L364">
        <v>45</v>
      </c>
      <c r="M364">
        <v>1</v>
      </c>
      <c r="N364" s="33">
        <v>69</v>
      </c>
      <c r="O364">
        <v>1026</v>
      </c>
      <c r="P364">
        <v>120</v>
      </c>
      <c r="Q364" s="30">
        <v>0</v>
      </c>
      <c r="R364" s="29">
        <f>IFERROR(PROPERTIES[[#This Row],[TE_STARTING_KN]]/(PROPERTIES[[#This Row],[WEIGHT]]*9.81),0)</f>
        <v>0</v>
      </c>
      <c r="S364" s="29">
        <v>0.23</v>
      </c>
      <c r="T364" s="26">
        <f>ROUND(IF(IFERROR(PROPERTIES[[#This Row],[TE_COEFFICIENT_CALC]],0)=0,PROPERTIES[[#This Row],[TE_COEFFICIENT_MANUAL]],PROPERTIES[[#This Row],[TE_COEFFICIENT_CALC]]),3)</f>
        <v>0.23</v>
      </c>
      <c r="U364" s="11">
        <v>40</v>
      </c>
      <c r="V364" s="9">
        <v>0</v>
      </c>
      <c r="W364" s="9">
        <v>0</v>
      </c>
      <c r="X364" s="10">
        <v>0</v>
      </c>
      <c r="Y364" t="s">
        <v>906</v>
      </c>
      <c r="Z364" t="s">
        <v>903</v>
      </c>
      <c r="AA364" s="2" t="s">
        <v>921</v>
      </c>
      <c r="AB364" s="9" t="s">
        <v>995</v>
      </c>
      <c r="AC364" s="9" t="s">
        <v>996</v>
      </c>
      <c r="AD364" s="10" t="str">
        <f>SUBSTITUTE(SUBSTITUTE(PROPERTIES[[#This Row],[PURCHASECOST_VALUE]], "PURCHASECOST_", ""), "_VALUE", "")</f>
        <v>ELECTRICENGINE</v>
      </c>
      <c r="AE364" s="9" t="str" cm="1">
        <f t="array" ref="AE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4" s="2" t="b">
        <v>0</v>
      </c>
      <c r="AX364"/>
      <c r="AY364"/>
      <c r="AZ364"/>
    </row>
    <row r="365" spans="1:52">
      <c r="A365" s="2" t="s">
        <v>389</v>
      </c>
      <c r="B365">
        <v>1953</v>
      </c>
      <c r="C365">
        <v>0</v>
      </c>
      <c r="D365" t="s">
        <v>1836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 s="2" t="s">
        <v>19</v>
      </c>
      <c r="K365" s="39">
        <f>_xlfn.XLOOKUP("LOADINGSPEEDDEF_"&amp;PROPERTIES[[#This Row],[LOADINGSPEED]],LOADINGSPEEDDEF[TYPE],LOADINGSPEEDDEF[SPEED])</f>
        <v>0</v>
      </c>
      <c r="L365">
        <v>45</v>
      </c>
      <c r="M365">
        <v>1</v>
      </c>
      <c r="N365" s="33">
        <v>104</v>
      </c>
      <c r="O365">
        <v>2490</v>
      </c>
      <c r="P365">
        <v>145</v>
      </c>
      <c r="Q365" s="30">
        <v>200</v>
      </c>
      <c r="R365" s="29">
        <f>IFERROR(PROPERTIES[[#This Row],[TE_STARTING_KN]]/(PROPERTIES[[#This Row],[WEIGHT]]*9.81),0)</f>
        <v>0.19603230612404923</v>
      </c>
      <c r="S365" s="29">
        <v>0.2</v>
      </c>
      <c r="T365" s="26">
        <f>ROUND(IF(IFERROR(PROPERTIES[[#This Row],[TE_COEFFICIENT_CALC]],0)=0,PROPERTIES[[#This Row],[TE_COEFFICIENT_MANUAL]],PROPERTIES[[#This Row],[TE_COEFFICIENT_CALC]]),3)</f>
        <v>0.19600000000000001</v>
      </c>
      <c r="U365" s="11">
        <v>40</v>
      </c>
      <c r="V365" s="9">
        <v>0</v>
      </c>
      <c r="W365" s="9">
        <v>0</v>
      </c>
      <c r="X365" s="10">
        <v>0</v>
      </c>
      <c r="Y365" t="s">
        <v>908</v>
      </c>
      <c r="Z365" t="s">
        <v>903</v>
      </c>
      <c r="AA365" s="2" t="s">
        <v>921</v>
      </c>
      <c r="AB365" s="9" t="s">
        <v>995</v>
      </c>
      <c r="AC365" s="9" t="s">
        <v>996</v>
      </c>
      <c r="AD365" s="10" t="str">
        <f>SUBSTITUTE(SUBSTITUTE(PROPERTIES[[#This Row],[PURCHASECOST_VALUE]], "PURCHASECOST_", ""), "_VALUE", "")</f>
        <v>ELECTRICENGINE</v>
      </c>
      <c r="AE365" s="9" t="str" cm="1">
        <f t="array" ref="AE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5" s="2" t="b">
        <v>0</v>
      </c>
      <c r="AX365"/>
      <c r="AY365"/>
      <c r="AZ365"/>
    </row>
    <row r="366" spans="1:52">
      <c r="A366" s="2" t="s">
        <v>390</v>
      </c>
      <c r="B366">
        <v>1922</v>
      </c>
      <c r="C366">
        <v>0</v>
      </c>
      <c r="D366" t="s">
        <v>1836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 s="2" t="s">
        <v>19</v>
      </c>
      <c r="K366" s="39">
        <f>_xlfn.XLOOKUP("LOADINGSPEEDDEF_"&amp;PROPERTIES[[#This Row],[LOADINGSPEED]],LOADINGSPEEDDEF[TYPE],LOADINGSPEEDDEF[SPEED])</f>
        <v>0</v>
      </c>
      <c r="L366">
        <v>45</v>
      </c>
      <c r="M366">
        <v>1</v>
      </c>
      <c r="N366" s="33">
        <v>111</v>
      </c>
      <c r="O366">
        <v>1800</v>
      </c>
      <c r="P366">
        <v>105</v>
      </c>
      <c r="Q366" s="30">
        <v>126.4</v>
      </c>
      <c r="R366" s="29">
        <f>IFERROR(PROPERTIES[[#This Row],[TE_STARTING_KN]]/(PROPERTIES[[#This Row],[WEIGHT]]*9.81),0)</f>
        <v>0.11607938213442801</v>
      </c>
      <c r="S366" s="29">
        <v>0.11</v>
      </c>
      <c r="T366" s="26">
        <f>ROUND(IF(IFERROR(PROPERTIES[[#This Row],[TE_COEFFICIENT_CALC]],0)=0,PROPERTIES[[#This Row],[TE_COEFFICIENT_MANUAL]],PROPERTIES[[#This Row],[TE_COEFFICIENT_CALC]]),3)</f>
        <v>0.11600000000000001</v>
      </c>
      <c r="U366" s="11">
        <v>40</v>
      </c>
      <c r="V366" s="9">
        <v>0</v>
      </c>
      <c r="W366" s="9">
        <v>0</v>
      </c>
      <c r="X366" s="10">
        <v>0</v>
      </c>
      <c r="Y366" t="s">
        <v>908</v>
      </c>
      <c r="Z366" t="s">
        <v>903</v>
      </c>
      <c r="AA366" s="2" t="s">
        <v>921</v>
      </c>
      <c r="AB366" s="9" t="s">
        <v>995</v>
      </c>
      <c r="AC366" s="9" t="s">
        <v>996</v>
      </c>
      <c r="AD366" s="10" t="str">
        <f>SUBSTITUTE(SUBSTITUTE(PROPERTIES[[#This Row],[PURCHASECOST_VALUE]], "PURCHASECOST_", ""), "_VALUE", "")</f>
        <v>ELECTRICENGINE</v>
      </c>
      <c r="AE366" s="9" t="str" cm="1">
        <f t="array" ref="AE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6" s="2" t="b">
        <v>0</v>
      </c>
      <c r="AX366"/>
      <c r="AY366"/>
      <c r="AZ366"/>
    </row>
    <row r="367" spans="1:52">
      <c r="A367" s="2" t="s">
        <v>391</v>
      </c>
      <c r="B367">
        <v>1916</v>
      </c>
      <c r="C367">
        <v>0</v>
      </c>
      <c r="D367" t="s">
        <v>1992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 s="2" t="s">
        <v>19</v>
      </c>
      <c r="K367" s="39">
        <f>_xlfn.XLOOKUP("LOADINGSPEEDDEF_"&amp;PROPERTIES[[#This Row],[LOADINGSPEED]],LOADINGSPEEDDEF[TYPE],LOADINGSPEEDDEF[SPEED])</f>
        <v>0</v>
      </c>
      <c r="L367">
        <v>45</v>
      </c>
      <c r="M367">
        <v>1</v>
      </c>
      <c r="N367" s="33">
        <v>74</v>
      </c>
      <c r="O367">
        <v>670</v>
      </c>
      <c r="P367">
        <v>72</v>
      </c>
      <c r="Q367" s="30">
        <v>0</v>
      </c>
      <c r="R367" s="29">
        <f>IFERROR(PROPERTIES[[#This Row],[TE_STARTING_KN]]/(PROPERTIES[[#This Row],[WEIGHT]]*9.81),0)</f>
        <v>0</v>
      </c>
      <c r="S367" s="29">
        <v>0.18</v>
      </c>
      <c r="T367" s="26">
        <f>ROUND(IF(IFERROR(PROPERTIES[[#This Row],[TE_COEFFICIENT_CALC]],0)=0,PROPERTIES[[#This Row],[TE_COEFFICIENT_MANUAL]],PROPERTIES[[#This Row],[TE_COEFFICIENT_CALC]]),3)</f>
        <v>0.18</v>
      </c>
      <c r="U367" s="11">
        <v>40</v>
      </c>
      <c r="V367" s="9">
        <v>0</v>
      </c>
      <c r="W367" s="9">
        <v>0</v>
      </c>
      <c r="X367" s="10">
        <v>0</v>
      </c>
      <c r="Y367" t="s">
        <v>909</v>
      </c>
      <c r="Z367" t="s">
        <v>903</v>
      </c>
      <c r="AA367" s="2" t="s">
        <v>921</v>
      </c>
      <c r="AB367" s="9" t="s">
        <v>995</v>
      </c>
      <c r="AC367" s="9" t="s">
        <v>996</v>
      </c>
      <c r="AD367" s="10" t="str">
        <f>SUBSTITUTE(SUBSTITUTE(PROPERTIES[[#This Row],[PURCHASECOST_VALUE]], "PURCHASECOST_", ""), "_VALUE", "")</f>
        <v>ELECTRICENGINE</v>
      </c>
      <c r="AE367" s="9" t="str" cm="1">
        <f t="array" ref="AE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7" s="2" t="b">
        <v>0</v>
      </c>
      <c r="AX367"/>
      <c r="AY367"/>
      <c r="AZ367"/>
    </row>
    <row r="368" spans="1:52">
      <c r="A368" s="2" t="s">
        <v>392</v>
      </c>
      <c r="B368">
        <v>1919</v>
      </c>
      <c r="C368">
        <v>0</v>
      </c>
      <c r="D368" t="s">
        <v>1992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 s="2" t="s">
        <v>19</v>
      </c>
      <c r="K368" s="39">
        <f>_xlfn.XLOOKUP("LOADINGSPEEDDEF_"&amp;PROPERTIES[[#This Row],[LOADINGSPEED]],LOADINGSPEEDDEF[TYPE],LOADINGSPEEDDEF[SPEED])</f>
        <v>0</v>
      </c>
      <c r="L368">
        <v>45</v>
      </c>
      <c r="M368">
        <v>1</v>
      </c>
      <c r="N368" s="33">
        <v>240</v>
      </c>
      <c r="O368">
        <v>4440</v>
      </c>
      <c r="P368">
        <v>113</v>
      </c>
      <c r="Q368" s="30">
        <v>516</v>
      </c>
      <c r="R368" s="29">
        <f>IFERROR(PROPERTIES[[#This Row],[TE_STARTING_KN]]/(PROPERTIES[[#This Row],[WEIGHT]]*9.81),0)</f>
        <v>0.21916411824668705</v>
      </c>
      <c r="S368" s="29">
        <v>0.17</v>
      </c>
      <c r="T368" s="26">
        <f>ROUND(IF(IFERROR(PROPERTIES[[#This Row],[TE_COEFFICIENT_CALC]],0)=0,PROPERTIES[[#This Row],[TE_COEFFICIENT_MANUAL]],PROPERTIES[[#This Row],[TE_COEFFICIENT_CALC]]),3)</f>
        <v>0.219</v>
      </c>
      <c r="U368" s="11">
        <v>40</v>
      </c>
      <c r="V368" s="9">
        <v>0</v>
      </c>
      <c r="W368" s="9">
        <v>2</v>
      </c>
      <c r="X368" s="10">
        <v>0</v>
      </c>
      <c r="Y368" t="s">
        <v>909</v>
      </c>
      <c r="Z368" t="s">
        <v>903</v>
      </c>
      <c r="AA368" s="2" t="s">
        <v>921</v>
      </c>
      <c r="AB368" s="9" t="s">
        <v>995</v>
      </c>
      <c r="AC368" s="9" t="s">
        <v>996</v>
      </c>
      <c r="AD368" s="10" t="str">
        <f>SUBSTITUTE(SUBSTITUTE(PROPERTIES[[#This Row],[PURCHASECOST_VALUE]], "PURCHASECOST_", ""), "_VALUE", "")</f>
        <v>ELECTRICENGINE</v>
      </c>
      <c r="AE368" s="9" t="str" cm="1">
        <f t="array" ref="AE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68" s="2" t="b">
        <v>0</v>
      </c>
      <c r="AX368"/>
      <c r="AY368"/>
      <c r="AZ368"/>
    </row>
    <row r="369" spans="1:52">
      <c r="A369" s="2" t="s">
        <v>393</v>
      </c>
      <c r="B369">
        <v>1922</v>
      </c>
      <c r="C369">
        <v>0</v>
      </c>
      <c r="D369" t="s">
        <v>1806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 s="2" t="s">
        <v>19</v>
      </c>
      <c r="K369" s="39">
        <f>_xlfn.XLOOKUP("LOADINGSPEEDDEF_"&amp;PROPERTIES[[#This Row],[LOADINGSPEED]],LOADINGSPEEDDEF[TYPE],LOADINGSPEEDDEF[SPEED])</f>
        <v>0</v>
      </c>
      <c r="L369">
        <v>45</v>
      </c>
      <c r="M369">
        <v>1</v>
      </c>
      <c r="N369" s="33">
        <v>80</v>
      </c>
      <c r="O369">
        <v>2450</v>
      </c>
      <c r="P369">
        <v>80</v>
      </c>
      <c r="Q369" s="30">
        <v>200</v>
      </c>
      <c r="R369" s="29">
        <f>IFERROR(PROPERTIES[[#This Row],[TE_STARTING_KN]]/(PROPERTIES[[#This Row],[WEIGHT]]*9.81),0)</f>
        <v>0.254841997961264</v>
      </c>
      <c r="S369" s="29">
        <v>0.19</v>
      </c>
      <c r="T369" s="26">
        <f>ROUND(IF(IFERROR(PROPERTIES[[#This Row],[TE_COEFFICIENT_CALC]],0)=0,PROPERTIES[[#This Row],[TE_COEFFICIENT_MANUAL]],PROPERTIES[[#This Row],[TE_COEFFICIENT_CALC]]),3)</f>
        <v>0.255</v>
      </c>
      <c r="U369" s="11">
        <v>40</v>
      </c>
      <c r="V369" s="9">
        <v>0</v>
      </c>
      <c r="W369" s="9">
        <v>0</v>
      </c>
      <c r="X369" s="10">
        <v>0</v>
      </c>
      <c r="Y369" t="s">
        <v>911</v>
      </c>
      <c r="Z369" t="s">
        <v>903</v>
      </c>
      <c r="AA369" s="2" t="s">
        <v>921</v>
      </c>
      <c r="AB369" s="9" t="s">
        <v>995</v>
      </c>
      <c r="AC369" s="9" t="s">
        <v>996</v>
      </c>
      <c r="AD369" s="10" t="str">
        <f>SUBSTITUTE(SUBSTITUTE(PROPERTIES[[#This Row],[PURCHASECOST_VALUE]], "PURCHASECOST_", ""), "_VALUE", "")</f>
        <v>ELECTRICENGINE</v>
      </c>
      <c r="AE369" s="9" t="str" cm="1">
        <f t="array" ref="AE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9" s="2" t="b">
        <v>0</v>
      </c>
      <c r="AX369"/>
      <c r="AY369"/>
      <c r="AZ369"/>
    </row>
    <row r="370" spans="1:52">
      <c r="A370" s="2" t="s">
        <v>394</v>
      </c>
      <c r="B370">
        <v>1934</v>
      </c>
      <c r="C370">
        <v>0</v>
      </c>
      <c r="D370" t="s">
        <v>1869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 s="2" t="s">
        <v>19</v>
      </c>
      <c r="K370" s="39">
        <f>_xlfn.XLOOKUP("LOADINGSPEEDDEF_"&amp;PROPERTIES[[#This Row],[LOADINGSPEED]],LOADINGSPEEDDEF[TYPE],LOADINGSPEEDDEF[SPEED])</f>
        <v>0</v>
      </c>
      <c r="L370">
        <v>45</v>
      </c>
      <c r="M370">
        <v>1</v>
      </c>
      <c r="N370" s="33">
        <v>130</v>
      </c>
      <c r="O370">
        <v>3800</v>
      </c>
      <c r="P370">
        <v>130</v>
      </c>
      <c r="Q370" s="30">
        <v>180</v>
      </c>
      <c r="R370" s="29">
        <f>IFERROR(PROPERTIES[[#This Row],[TE_STARTING_KN]]/(PROPERTIES[[#This Row],[WEIGHT]]*9.81),0)</f>
        <v>0.14114326040931546</v>
      </c>
      <c r="S370" s="29">
        <v>0.1</v>
      </c>
      <c r="T370" s="26">
        <f>ROUND(IF(IFERROR(PROPERTIES[[#This Row],[TE_COEFFICIENT_CALC]],0)=0,PROPERTIES[[#This Row],[TE_COEFFICIENT_MANUAL]],PROPERTIES[[#This Row],[TE_COEFFICIENT_CALC]]),3)</f>
        <v>0.14099999999999999</v>
      </c>
      <c r="U370" s="11">
        <v>40</v>
      </c>
      <c r="V370" s="9">
        <v>0</v>
      </c>
      <c r="W370" s="9">
        <v>0</v>
      </c>
      <c r="X370" s="10">
        <v>0</v>
      </c>
      <c r="Y370" t="s">
        <v>905</v>
      </c>
      <c r="Z370" t="s">
        <v>903</v>
      </c>
      <c r="AA370" s="2" t="s">
        <v>921</v>
      </c>
      <c r="AB370" s="9" t="s">
        <v>995</v>
      </c>
      <c r="AC370" s="9" t="s">
        <v>996</v>
      </c>
      <c r="AD370" s="10" t="str">
        <f>SUBSTITUTE(SUBSTITUTE(PROPERTIES[[#This Row],[PURCHASECOST_VALUE]], "PURCHASECOST_", ""), "_VALUE", "")</f>
        <v>ELECTRICENGINE</v>
      </c>
      <c r="AE370" s="9" t="str" cm="1">
        <f t="array" ref="AE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0" s="2" t="b">
        <v>0</v>
      </c>
      <c r="AX370"/>
      <c r="AY370"/>
      <c r="AZ370"/>
    </row>
    <row r="371" spans="1:52">
      <c r="A371" s="2" t="s">
        <v>395</v>
      </c>
      <c r="B371">
        <v>1936</v>
      </c>
      <c r="C371">
        <v>0</v>
      </c>
      <c r="D371" t="s">
        <v>2006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 s="2" t="s">
        <v>19</v>
      </c>
      <c r="K371" s="39">
        <f>_xlfn.XLOOKUP("LOADINGSPEEDDEF_"&amp;PROPERTIES[[#This Row],[LOADINGSPEED]],LOADINGSPEEDDEF[TYPE],LOADINGSPEEDDEF[SPEED])</f>
        <v>0</v>
      </c>
      <c r="L371">
        <v>45</v>
      </c>
      <c r="M371">
        <v>1</v>
      </c>
      <c r="N371" s="33">
        <v>68</v>
      </c>
      <c r="O371">
        <v>1202</v>
      </c>
      <c r="P371">
        <v>40</v>
      </c>
      <c r="Q371" s="30">
        <v>176</v>
      </c>
      <c r="R371" s="29">
        <f>IFERROR(PROPERTIES[[#This Row],[TE_STARTING_KN]]/(PROPERTIES[[#This Row],[WEIGHT]]*9.81),0)</f>
        <v>0.26383642141872038</v>
      </c>
      <c r="S371" s="29">
        <v>0.11</v>
      </c>
      <c r="T371" s="26">
        <f>ROUND(IF(IFERROR(PROPERTIES[[#This Row],[TE_COEFFICIENT_CALC]],0)=0,PROPERTIES[[#This Row],[TE_COEFFICIENT_MANUAL]],PROPERTIES[[#This Row],[TE_COEFFICIENT_CALC]]),3)</f>
        <v>0.26400000000000001</v>
      </c>
      <c r="U371" s="11">
        <v>40</v>
      </c>
      <c r="V371" s="9">
        <v>0</v>
      </c>
      <c r="W371" s="9">
        <v>0</v>
      </c>
      <c r="X371" s="10">
        <v>0</v>
      </c>
      <c r="Y371" t="s">
        <v>907</v>
      </c>
      <c r="Z371" t="s">
        <v>903</v>
      </c>
      <c r="AA371" s="2" t="s">
        <v>921</v>
      </c>
      <c r="AB371" s="9" t="s">
        <v>995</v>
      </c>
      <c r="AC371" s="9" t="s">
        <v>996</v>
      </c>
      <c r="AD371" s="10" t="str">
        <f>SUBSTITUTE(SUBSTITUTE(PROPERTIES[[#This Row],[PURCHASECOST_VALUE]], "PURCHASECOST_", ""), "_VALUE", "")</f>
        <v>ELECTRICENGINE</v>
      </c>
      <c r="AE371" s="9" t="str" cm="1">
        <f t="array" ref="AE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1" s="2" t="b">
        <v>0</v>
      </c>
      <c r="AX371"/>
      <c r="AY371"/>
      <c r="AZ371"/>
    </row>
    <row r="372" spans="1:52">
      <c r="A372" s="2" t="s">
        <v>396</v>
      </c>
      <c r="B372">
        <v>1962</v>
      </c>
      <c r="C372">
        <v>0</v>
      </c>
      <c r="D372" t="s">
        <v>1938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 s="2" t="s">
        <v>19</v>
      </c>
      <c r="K372" s="39">
        <f>_xlfn.XLOOKUP("LOADINGSPEEDDEF_"&amp;PROPERTIES[[#This Row],[LOADINGSPEED]],LOADINGSPEEDDEF[TYPE],LOADINGSPEEDDEF[SPEED])</f>
        <v>0</v>
      </c>
      <c r="L372">
        <v>45</v>
      </c>
      <c r="M372">
        <v>1</v>
      </c>
      <c r="N372" s="33">
        <v>81</v>
      </c>
      <c r="O372">
        <v>1500</v>
      </c>
      <c r="P372">
        <v>126</v>
      </c>
      <c r="Q372" s="30">
        <v>280</v>
      </c>
      <c r="R372" s="29">
        <f>IFERROR(PROPERTIES[[#This Row],[TE_STARTING_KN]]/(PROPERTIES[[#This Row],[WEIGHT]]*9.81),0)</f>
        <v>0.35237412063779716</v>
      </c>
      <c r="S372" s="29">
        <v>0.35</v>
      </c>
      <c r="T372" s="26">
        <f>ROUND(IF(IFERROR(PROPERTIES[[#This Row],[TE_COEFFICIENT_CALC]],0)=0,PROPERTIES[[#This Row],[TE_COEFFICIENT_MANUAL]],PROPERTIES[[#This Row],[TE_COEFFICIENT_CALC]]),3)</f>
        <v>0.35199999999999998</v>
      </c>
      <c r="U372" s="11">
        <v>40</v>
      </c>
      <c r="V372" s="9">
        <v>0</v>
      </c>
      <c r="W372" s="9">
        <v>0</v>
      </c>
      <c r="X372" s="10">
        <v>0</v>
      </c>
      <c r="Y372" t="s">
        <v>910</v>
      </c>
      <c r="Z372" t="s">
        <v>903</v>
      </c>
      <c r="AA372" s="2" t="s">
        <v>921</v>
      </c>
      <c r="AB372" s="9" t="s">
        <v>995</v>
      </c>
      <c r="AC372" s="9" t="s">
        <v>996</v>
      </c>
      <c r="AD372" s="10" t="str">
        <f>SUBSTITUTE(SUBSTITUTE(PROPERTIES[[#This Row],[PURCHASECOST_VALUE]], "PURCHASECOST_", ""), "_VALUE", "")</f>
        <v>ELECTRICENGINE</v>
      </c>
      <c r="AE372" s="9" t="str" cm="1">
        <f t="array" ref="AE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2" s="2" t="b">
        <v>0</v>
      </c>
      <c r="AX372"/>
      <c r="AY372"/>
      <c r="AZ372"/>
    </row>
    <row r="373" spans="1:52">
      <c r="A373" s="2" t="s">
        <v>397</v>
      </c>
      <c r="B373">
        <v>1977</v>
      </c>
      <c r="C373">
        <v>0</v>
      </c>
      <c r="D373" t="s">
        <v>1938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 s="2" t="s">
        <v>19</v>
      </c>
      <c r="K373" s="39">
        <f>_xlfn.XLOOKUP("LOADINGSPEEDDEF_"&amp;PROPERTIES[[#This Row],[LOADINGSPEED]],LOADINGSPEEDDEF[TYPE],LOADINGSPEEDDEF[SPEED])</f>
        <v>0</v>
      </c>
      <c r="L373">
        <v>45</v>
      </c>
      <c r="M373">
        <v>0</v>
      </c>
      <c r="N373" s="33">
        <v>167</v>
      </c>
      <c r="O373">
        <v>5400</v>
      </c>
      <c r="P373">
        <v>125</v>
      </c>
      <c r="Q373" s="30">
        <v>500</v>
      </c>
      <c r="R373" s="29">
        <f>IFERROR(PROPERTIES[[#This Row],[TE_STARTING_KN]]/(PROPERTIES[[#This Row],[WEIGHT]]*9.81),0)</f>
        <v>0.30519999755840005</v>
      </c>
      <c r="S373" s="29">
        <v>0.6</v>
      </c>
      <c r="T373" s="26">
        <f>ROUND(IF(IFERROR(PROPERTIES[[#This Row],[TE_COEFFICIENT_CALC]],0)=0,PROPERTIES[[#This Row],[TE_COEFFICIENT_MANUAL]],PROPERTIES[[#This Row],[TE_COEFFICIENT_CALC]]),3)</f>
        <v>0.30499999999999999</v>
      </c>
      <c r="U373" s="11">
        <v>40</v>
      </c>
      <c r="V373" s="9">
        <v>0</v>
      </c>
      <c r="W373" s="9">
        <v>7</v>
      </c>
      <c r="X373" s="10">
        <v>0</v>
      </c>
      <c r="Y373" t="s">
        <v>910</v>
      </c>
      <c r="Z373" t="s">
        <v>903</v>
      </c>
      <c r="AA373" s="2" t="s">
        <v>921</v>
      </c>
      <c r="AB373" s="9" t="s">
        <v>995</v>
      </c>
      <c r="AC373" s="9" t="s">
        <v>996</v>
      </c>
      <c r="AD373" s="10" t="str">
        <f>SUBSTITUTE(SUBSTITUTE(PROPERTIES[[#This Row],[PURCHASECOST_VALUE]], "PURCHASECOST_", ""), "_VALUE", "")</f>
        <v>ELECTRICENGINE</v>
      </c>
      <c r="AE373" s="9" t="str" cm="1">
        <f t="array" ref="AE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73" s="2" t="b">
        <v>0</v>
      </c>
      <c r="AX373"/>
      <c r="AY373"/>
      <c r="AZ373"/>
    </row>
    <row r="374" spans="1:52">
      <c r="A374" s="2" t="s">
        <v>398</v>
      </c>
      <c r="B374">
        <v>1986</v>
      </c>
      <c r="C374">
        <v>0</v>
      </c>
      <c r="D374" t="s">
        <v>1938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 s="2" t="s">
        <v>19</v>
      </c>
      <c r="K374" s="39">
        <f>_xlfn.XLOOKUP("LOADINGSPEEDDEF_"&amp;PROPERTIES[[#This Row],[LOADINGSPEED]],LOADINGSPEEDDEF[TYPE],LOADINGSPEEDDEF[SPEED])</f>
        <v>0</v>
      </c>
      <c r="L374">
        <v>45</v>
      </c>
      <c r="M374">
        <v>1</v>
      </c>
      <c r="N374" s="33">
        <v>83.5</v>
      </c>
      <c r="O374">
        <v>3916</v>
      </c>
      <c r="P374">
        <v>160</v>
      </c>
      <c r="Q374" s="30">
        <v>195</v>
      </c>
      <c r="R374" s="29">
        <f>IFERROR(PROPERTIES[[#This Row],[TE_STARTING_KN]]/(PROPERTIES[[#This Row],[WEIGHT]]*9.81),0)</f>
        <v>0.23805599809555203</v>
      </c>
      <c r="S374" s="29">
        <v>0.23</v>
      </c>
      <c r="T374" s="26">
        <f>ROUND(IF(IFERROR(PROPERTIES[[#This Row],[TE_COEFFICIENT_CALC]],0)=0,PROPERTIES[[#This Row],[TE_COEFFICIENT_MANUAL]],PROPERTIES[[#This Row],[TE_COEFFICIENT_CALC]]),3)</f>
        <v>0.23799999999999999</v>
      </c>
      <c r="U374" s="11">
        <v>40</v>
      </c>
      <c r="V374" s="9">
        <v>0</v>
      </c>
      <c r="W374" s="9">
        <v>0</v>
      </c>
      <c r="X374" s="10">
        <v>0</v>
      </c>
      <c r="Y374" t="s">
        <v>910</v>
      </c>
      <c r="Z374" t="s">
        <v>903</v>
      </c>
      <c r="AA374" s="2" t="s">
        <v>921</v>
      </c>
      <c r="AB374" s="9" t="s">
        <v>995</v>
      </c>
      <c r="AC374" s="9" t="s">
        <v>996</v>
      </c>
      <c r="AD374" s="10" t="str">
        <f>SUBSTITUTE(SUBSTITUTE(PROPERTIES[[#This Row],[PURCHASECOST_VALUE]], "PURCHASECOST_", ""), "_VALUE", "")</f>
        <v>ELECTRICENGINE</v>
      </c>
      <c r="AE374" s="9" t="str" cm="1">
        <f t="array" ref="AE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4" s="2" t="b">
        <v>0</v>
      </c>
      <c r="AX374"/>
      <c r="AY374"/>
      <c r="AZ374"/>
    </row>
    <row r="375" spans="1:52">
      <c r="A375" s="2" t="s">
        <v>399</v>
      </c>
      <c r="B375">
        <v>1991</v>
      </c>
      <c r="C375">
        <v>0</v>
      </c>
      <c r="D375" t="s">
        <v>1961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 s="2" t="s">
        <v>19</v>
      </c>
      <c r="K375" s="39">
        <f>_xlfn.XLOOKUP("LOADINGSPEEDDEF_"&amp;PROPERTIES[[#This Row],[LOADINGSPEED]],LOADINGSPEEDDEF[TYPE],LOADINGSPEEDDEF[SPEED])</f>
        <v>0</v>
      </c>
      <c r="L375">
        <v>45</v>
      </c>
      <c r="M375">
        <v>1</v>
      </c>
      <c r="N375" s="33">
        <v>85</v>
      </c>
      <c r="O375">
        <v>4872</v>
      </c>
      <c r="P375">
        <v>140</v>
      </c>
      <c r="Q375" s="30">
        <v>258</v>
      </c>
      <c r="R375" s="29">
        <f>IFERROR(PROPERTIES[[#This Row],[TE_STARTING_KN]]/(PROPERTIES[[#This Row],[WEIGHT]]*9.81),0)</f>
        <v>0.30940816693649936</v>
      </c>
      <c r="S375" s="29">
        <v>0.3</v>
      </c>
      <c r="T375" s="26">
        <f>ROUND(IF(IFERROR(PROPERTIES[[#This Row],[TE_COEFFICIENT_CALC]],0)=0,PROPERTIES[[#This Row],[TE_COEFFICIENT_MANUAL]],PROPERTIES[[#This Row],[TE_COEFFICIENT_CALC]]),3)</f>
        <v>0.309</v>
      </c>
      <c r="U375" s="11">
        <v>40</v>
      </c>
      <c r="V375" s="9">
        <v>0</v>
      </c>
      <c r="W375" s="9">
        <v>0</v>
      </c>
      <c r="X375" s="10">
        <v>0</v>
      </c>
      <c r="Y375" t="s">
        <v>910</v>
      </c>
      <c r="Z375" t="s">
        <v>903</v>
      </c>
      <c r="AA375" s="2" t="s">
        <v>921</v>
      </c>
      <c r="AB375" s="9" t="s">
        <v>995</v>
      </c>
      <c r="AC375" s="9" t="s">
        <v>996</v>
      </c>
      <c r="AD375" s="10" t="str">
        <f>SUBSTITUTE(SUBSTITUTE(PROPERTIES[[#This Row],[PURCHASECOST_VALUE]], "PURCHASECOST_", ""), "_VALUE", "")</f>
        <v>ELECTRICENGINE</v>
      </c>
      <c r="AE375" s="9" t="str" cm="1">
        <f t="array" ref="AE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5" s="2" t="b">
        <v>0</v>
      </c>
      <c r="AX375"/>
      <c r="AY375"/>
      <c r="AZ375"/>
    </row>
    <row r="376" spans="1:52">
      <c r="A376" s="2" t="s">
        <v>400</v>
      </c>
      <c r="B376">
        <v>1961</v>
      </c>
      <c r="C376">
        <v>0</v>
      </c>
      <c r="D376" t="s">
        <v>1869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 s="2" t="s">
        <v>19</v>
      </c>
      <c r="K376" s="39">
        <f>_xlfn.XLOOKUP("LOADINGSPEEDDEF_"&amp;PROPERTIES[[#This Row],[LOADINGSPEED]],LOADINGSPEEDDEF[TYPE],LOADINGSPEEDDEF[SPEED])</f>
        <v>0</v>
      </c>
      <c r="L376">
        <v>45</v>
      </c>
      <c r="M376">
        <v>1</v>
      </c>
      <c r="N376" s="33">
        <v>110</v>
      </c>
      <c r="O376">
        <v>5070</v>
      </c>
      <c r="P376">
        <v>140</v>
      </c>
      <c r="Q376" s="30">
        <v>233</v>
      </c>
      <c r="R376" s="29">
        <f>IFERROR(PROPERTIES[[#This Row],[TE_STARTING_KN]]/(PROPERTIES[[#This Row],[WEIGHT]]*9.81),0)</f>
        <v>0.21592067463627093</v>
      </c>
      <c r="S376" s="29">
        <v>0.21</v>
      </c>
      <c r="T376" s="26">
        <f>ROUND(IF(IFERROR(PROPERTIES[[#This Row],[TE_COEFFICIENT_CALC]],0)=0,PROPERTIES[[#This Row],[TE_COEFFICIENT_MANUAL]],PROPERTIES[[#This Row],[TE_COEFFICIENT_CALC]]),3)</f>
        <v>0.216</v>
      </c>
      <c r="U376" s="11">
        <v>40</v>
      </c>
      <c r="V376" s="9">
        <v>0</v>
      </c>
      <c r="W376" s="9">
        <v>5</v>
      </c>
      <c r="X376" s="10">
        <v>0</v>
      </c>
      <c r="Y376" t="s">
        <v>905</v>
      </c>
      <c r="Z376" t="s">
        <v>903</v>
      </c>
      <c r="AA376" s="2" t="s">
        <v>921</v>
      </c>
      <c r="AB376" s="9" t="s">
        <v>995</v>
      </c>
      <c r="AC376" s="9" t="s">
        <v>996</v>
      </c>
      <c r="AD376" s="10" t="str">
        <f>SUBSTITUTE(SUBSTITUTE(PROPERTIES[[#This Row],[PURCHASECOST_VALUE]], "PURCHASECOST_", ""), "_VALUE", "")</f>
        <v>ELECTRICENGINE</v>
      </c>
      <c r="AE376" s="9" t="str" cm="1">
        <f t="array" ref="AE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6" s="2" t="b">
        <v>0</v>
      </c>
      <c r="AX376"/>
      <c r="AY376"/>
      <c r="AZ376"/>
    </row>
    <row r="377" spans="1:52">
      <c r="A377" s="2" t="s">
        <v>401</v>
      </c>
      <c r="B377">
        <v>1943</v>
      </c>
      <c r="C377">
        <v>0</v>
      </c>
      <c r="D377" t="s">
        <v>1869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 s="2" t="s">
        <v>19</v>
      </c>
      <c r="K377" s="39">
        <f>_xlfn.XLOOKUP("LOADINGSPEEDDEF_"&amp;PROPERTIES[[#This Row],[LOADINGSPEED]],LOADINGSPEEDDEF[TYPE],LOADINGSPEEDDEF[SPEED])</f>
        <v>0</v>
      </c>
      <c r="L377">
        <v>45</v>
      </c>
      <c r="M377">
        <v>1</v>
      </c>
      <c r="N377" s="33">
        <v>65</v>
      </c>
      <c r="O377">
        <v>2000</v>
      </c>
      <c r="P377">
        <v>120</v>
      </c>
      <c r="Q377" s="30">
        <v>168</v>
      </c>
      <c r="R377" s="29">
        <f>IFERROR(PROPERTIES[[#This Row],[TE_STARTING_KN]]/(PROPERTIES[[#This Row],[WEIGHT]]*9.81),0)</f>
        <v>0.26346741943072222</v>
      </c>
      <c r="S377" s="29">
        <v>0.26</v>
      </c>
      <c r="T377" s="26">
        <f>ROUND(IF(IFERROR(PROPERTIES[[#This Row],[TE_COEFFICIENT_CALC]],0)=0,PROPERTIES[[#This Row],[TE_COEFFICIENT_MANUAL]],PROPERTIES[[#This Row],[TE_COEFFICIENT_CALC]]),3)</f>
        <v>0.26300000000000001</v>
      </c>
      <c r="U377" s="11">
        <v>40</v>
      </c>
      <c r="V377" s="9">
        <v>0</v>
      </c>
      <c r="W377" s="9">
        <v>0</v>
      </c>
      <c r="X377" s="10">
        <v>0</v>
      </c>
      <c r="Y377" t="s">
        <v>905</v>
      </c>
      <c r="Z377" t="s">
        <v>903</v>
      </c>
      <c r="AA377" s="2" t="s">
        <v>921</v>
      </c>
      <c r="AB377" s="9" t="s">
        <v>995</v>
      </c>
      <c r="AC377" s="9" t="s">
        <v>996</v>
      </c>
      <c r="AD377" s="10" t="str">
        <f>SUBSTITUTE(SUBSTITUTE(PROPERTIES[[#This Row],[PURCHASECOST_VALUE]], "PURCHASECOST_", ""), "_VALUE", "")</f>
        <v>ELECTRICENGINE</v>
      </c>
      <c r="AE377" s="9" t="str" cm="1">
        <f t="array" ref="AE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7" s="2" t="b">
        <v>0</v>
      </c>
      <c r="AX377"/>
      <c r="AY377"/>
      <c r="AZ377"/>
    </row>
    <row r="378" spans="1:52">
      <c r="A378" s="2" t="s">
        <v>402</v>
      </c>
      <c r="B378">
        <v>1967</v>
      </c>
      <c r="C378">
        <v>0</v>
      </c>
      <c r="D378" t="s">
        <v>1869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 s="2" t="s">
        <v>19</v>
      </c>
      <c r="K378" s="39">
        <f>_xlfn.XLOOKUP("LOADINGSPEEDDEF_"&amp;PROPERTIES[[#This Row],[LOADINGSPEED]],LOADINGSPEEDDEF[TYPE],LOADINGSPEEDDEF[SPEED])</f>
        <v>0</v>
      </c>
      <c r="L378">
        <v>45</v>
      </c>
      <c r="M378">
        <v>1</v>
      </c>
      <c r="N378" s="33">
        <v>83</v>
      </c>
      <c r="O378">
        <v>5729</v>
      </c>
      <c r="P378">
        <v>200</v>
      </c>
      <c r="Q378" s="30">
        <v>201</v>
      </c>
      <c r="R378" s="29">
        <f>IFERROR(PROPERTIES[[#This Row],[TE_STARTING_KN]]/(PROPERTIES[[#This Row],[WEIGHT]]*9.81),0)</f>
        <v>0.24685899561548946</v>
      </c>
      <c r="S378" s="29">
        <v>0.24</v>
      </c>
      <c r="T378" s="26">
        <f>ROUND(IF(IFERROR(PROPERTIES[[#This Row],[TE_COEFFICIENT_CALC]],0)=0,PROPERTIES[[#This Row],[TE_COEFFICIENT_MANUAL]],PROPERTIES[[#This Row],[TE_COEFFICIENT_CALC]]),3)</f>
        <v>0.247</v>
      </c>
      <c r="U378" s="11">
        <v>40</v>
      </c>
      <c r="V378" s="9">
        <v>0</v>
      </c>
      <c r="W378" s="9">
        <v>0</v>
      </c>
      <c r="X378" s="10">
        <v>0</v>
      </c>
      <c r="Y378" t="s">
        <v>905</v>
      </c>
      <c r="Z378" t="s">
        <v>903</v>
      </c>
      <c r="AA378" s="2" t="s">
        <v>921</v>
      </c>
      <c r="AB378" s="9" t="s">
        <v>995</v>
      </c>
      <c r="AC378" s="9" t="s">
        <v>996</v>
      </c>
      <c r="AD378" s="10" t="str">
        <f>SUBSTITUTE(SUBSTITUTE(PROPERTIES[[#This Row],[PURCHASECOST_VALUE]], "PURCHASECOST_", ""), "_VALUE", "")</f>
        <v>ELECTRICENGINE</v>
      </c>
      <c r="AE378" s="9" t="str" cm="1">
        <f t="array" ref="AE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8" s="2" t="b">
        <v>0</v>
      </c>
      <c r="AX378"/>
      <c r="AY378"/>
      <c r="AZ378"/>
    </row>
    <row r="379" spans="1:52">
      <c r="A379" s="2" t="s">
        <v>403</v>
      </c>
      <c r="B379">
        <v>1979</v>
      </c>
      <c r="C379">
        <v>0</v>
      </c>
      <c r="D379" t="s">
        <v>1869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 s="2" t="s">
        <v>19</v>
      </c>
      <c r="K379" s="39">
        <f>_xlfn.XLOOKUP("LOADINGSPEEDDEF_"&amp;PROPERTIES[[#This Row],[LOADINGSPEED]],LOADINGSPEEDDEF[TYPE],LOADINGSPEEDDEF[SPEED])</f>
        <v>0</v>
      </c>
      <c r="L379">
        <v>45</v>
      </c>
      <c r="M379">
        <v>1</v>
      </c>
      <c r="N379" s="33">
        <v>103</v>
      </c>
      <c r="O379">
        <v>5600</v>
      </c>
      <c r="P379">
        <v>130</v>
      </c>
      <c r="Q379" s="30">
        <v>308</v>
      </c>
      <c r="R379" s="29">
        <f>IFERROR(PROPERTIES[[#This Row],[TE_STARTING_KN]]/(PROPERTIES[[#This Row],[WEIGHT]]*9.81),0)</f>
        <v>0.30482071989153131</v>
      </c>
      <c r="S379" s="29">
        <v>0.27</v>
      </c>
      <c r="T379" s="26">
        <f>ROUND(IF(IFERROR(PROPERTIES[[#This Row],[TE_COEFFICIENT_CALC]],0)=0,PROPERTIES[[#This Row],[TE_COEFFICIENT_MANUAL]],PROPERTIES[[#This Row],[TE_COEFFICIENT_CALC]]),3)</f>
        <v>0.30499999999999999</v>
      </c>
      <c r="U379" s="11">
        <v>40</v>
      </c>
      <c r="V379" s="9">
        <v>0</v>
      </c>
      <c r="W379" s="9">
        <v>0</v>
      </c>
      <c r="X379" s="10">
        <v>0</v>
      </c>
      <c r="Y379" t="s">
        <v>905</v>
      </c>
      <c r="Z379" t="s">
        <v>903</v>
      </c>
      <c r="AA379" s="2" t="s">
        <v>921</v>
      </c>
      <c r="AB379" s="9" t="s">
        <v>995</v>
      </c>
      <c r="AC379" s="9" t="s">
        <v>996</v>
      </c>
      <c r="AD379" s="10" t="str">
        <f>SUBSTITUTE(SUBSTITUTE(PROPERTIES[[#This Row],[PURCHASECOST_VALUE]], "PURCHASECOST_", ""), "_VALUE", "")</f>
        <v>ELECTRICENGINE</v>
      </c>
      <c r="AE379" s="9" t="str" cm="1">
        <f t="array" ref="AE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9" s="2" t="b">
        <v>0</v>
      </c>
      <c r="AX379"/>
      <c r="AY379"/>
      <c r="AZ379"/>
    </row>
    <row r="380" spans="1:52">
      <c r="A380" s="2" t="s">
        <v>404</v>
      </c>
      <c r="B380">
        <v>1960</v>
      </c>
      <c r="C380">
        <v>0</v>
      </c>
      <c r="D380" t="s">
        <v>1780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 s="2" t="s">
        <v>19</v>
      </c>
      <c r="K380" s="39">
        <f>_xlfn.XLOOKUP("LOADINGSPEEDDEF_"&amp;PROPERTIES[[#This Row],[LOADINGSPEED]],LOADINGSPEEDDEF[TYPE],LOADINGSPEEDDEF[SPEED])</f>
        <v>0</v>
      </c>
      <c r="L380">
        <v>45</v>
      </c>
      <c r="M380">
        <v>1</v>
      </c>
      <c r="N380" s="33">
        <v>85</v>
      </c>
      <c r="O380">
        <v>2520</v>
      </c>
      <c r="P380">
        <v>130</v>
      </c>
      <c r="Q380" s="30">
        <v>196</v>
      </c>
      <c r="R380" s="29">
        <f>IFERROR(PROPERTIES[[#This Row],[TE_STARTING_KN]]/(PROPERTIES[[#This Row],[WEIGHT]]*9.81),0)</f>
        <v>0.23505426635485999</v>
      </c>
      <c r="S380" s="29">
        <v>0.23</v>
      </c>
      <c r="T380" s="26">
        <f>ROUND(IF(IFERROR(PROPERTIES[[#This Row],[TE_COEFFICIENT_CALC]],0)=0,PROPERTIES[[#This Row],[TE_COEFFICIENT_MANUAL]],PROPERTIES[[#This Row],[TE_COEFFICIENT_CALC]]),3)</f>
        <v>0.23499999999999999</v>
      </c>
      <c r="U380" s="11">
        <v>40</v>
      </c>
      <c r="V380" s="9">
        <v>0</v>
      </c>
      <c r="W380" s="9">
        <v>0</v>
      </c>
      <c r="X380" s="10">
        <v>0</v>
      </c>
      <c r="Y380" t="s">
        <v>904</v>
      </c>
      <c r="Z380" t="s">
        <v>903</v>
      </c>
      <c r="AA380" s="2" t="s">
        <v>921</v>
      </c>
      <c r="AB380" s="9" t="s">
        <v>995</v>
      </c>
      <c r="AC380" s="9" t="s">
        <v>996</v>
      </c>
      <c r="AD380" s="10" t="str">
        <f>SUBSTITUTE(SUBSTITUTE(PROPERTIES[[#This Row],[PURCHASECOST_VALUE]], "PURCHASECOST_", ""), "_VALUE", "")</f>
        <v>ELECTRICENGINE</v>
      </c>
      <c r="AE380" s="9" t="str" cm="1">
        <f t="array" ref="AE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0" s="2" t="b">
        <v>0</v>
      </c>
      <c r="AX380"/>
      <c r="AY380"/>
      <c r="AZ380"/>
    </row>
    <row r="381" spans="1:52">
      <c r="A381" s="2" t="s">
        <v>405</v>
      </c>
      <c r="B381">
        <v>1982</v>
      </c>
      <c r="C381">
        <v>0</v>
      </c>
      <c r="D381" t="s">
        <v>1828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 s="2" t="s">
        <v>19</v>
      </c>
      <c r="K381" s="39">
        <f>_xlfn.XLOOKUP("LOADINGSPEEDDEF_"&amp;PROPERTIES[[#This Row],[LOADINGSPEED]],LOADINGSPEEDDEF[TYPE],LOADINGSPEEDDEF[SPEED])</f>
        <v>0</v>
      </c>
      <c r="L381">
        <v>45</v>
      </c>
      <c r="M381">
        <v>1</v>
      </c>
      <c r="N381" s="33">
        <v>124</v>
      </c>
      <c r="O381">
        <v>6440</v>
      </c>
      <c r="P381">
        <v>160</v>
      </c>
      <c r="Q381" s="30">
        <v>410</v>
      </c>
      <c r="R381" s="29">
        <f>IFERROR(PROPERTIES[[#This Row],[TE_STARTING_KN]]/(PROPERTIES[[#This Row],[WEIGHT]]*9.81),0)</f>
        <v>0.33704909407780076</v>
      </c>
      <c r="S381" s="29">
        <v>0.16</v>
      </c>
      <c r="T381" s="26">
        <f>ROUND(IF(IFERROR(PROPERTIES[[#This Row],[TE_COEFFICIENT_CALC]],0)=0,PROPERTIES[[#This Row],[TE_COEFFICIENT_MANUAL]],PROPERTIES[[#This Row],[TE_COEFFICIENT_CALC]]),3)</f>
        <v>0.33700000000000002</v>
      </c>
      <c r="U381" s="11">
        <v>40</v>
      </c>
      <c r="V381" s="9">
        <v>0</v>
      </c>
      <c r="W381" s="9">
        <v>0</v>
      </c>
      <c r="X381" s="10">
        <v>0</v>
      </c>
      <c r="Y381" t="s">
        <v>905</v>
      </c>
      <c r="Z381" t="s">
        <v>903</v>
      </c>
      <c r="AA381" s="2" t="s">
        <v>921</v>
      </c>
      <c r="AB381" s="9" t="s">
        <v>995</v>
      </c>
      <c r="AC381" s="9" t="s">
        <v>996</v>
      </c>
      <c r="AD381" s="10" t="str">
        <f>SUBSTITUTE(SUBSTITUTE(PROPERTIES[[#This Row],[PURCHASECOST_VALUE]], "PURCHASECOST_", ""), "_VALUE", "")</f>
        <v>ELECTRICENGINE</v>
      </c>
      <c r="AE381" s="9" t="str" cm="1">
        <f t="array" ref="AE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1" s="2" t="b">
        <v>0</v>
      </c>
      <c r="AX381"/>
      <c r="AY381"/>
      <c r="AZ381"/>
    </row>
    <row r="382" spans="1:52">
      <c r="A382" s="2" t="s">
        <v>406</v>
      </c>
      <c r="B382">
        <v>1949</v>
      </c>
      <c r="C382">
        <v>0</v>
      </c>
      <c r="D382" t="s">
        <v>1806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 s="2" t="s">
        <v>19</v>
      </c>
      <c r="K382" s="39">
        <f>_xlfn.XLOOKUP("LOADINGSPEEDDEF_"&amp;PROPERTIES[[#This Row],[LOADINGSPEED]],LOADINGSPEEDDEF[TYPE],LOADINGSPEEDDEF[SPEED])</f>
        <v>0</v>
      </c>
      <c r="L382">
        <v>45</v>
      </c>
      <c r="M382">
        <v>1</v>
      </c>
      <c r="N382" s="33">
        <v>116</v>
      </c>
      <c r="O382">
        <v>3100</v>
      </c>
      <c r="P382">
        <v>100</v>
      </c>
      <c r="Q382" s="30">
        <v>315</v>
      </c>
      <c r="R382" s="29">
        <f>IFERROR(PROPERTIES[[#This Row],[TE_STARTING_KN]]/(PROPERTIES[[#This Row],[WEIGHT]]*9.81),0)</f>
        <v>0.27681113571654536</v>
      </c>
      <c r="S382" s="29">
        <v>0.2</v>
      </c>
      <c r="T382" s="26">
        <f>ROUND(IF(IFERROR(PROPERTIES[[#This Row],[TE_COEFFICIENT_CALC]],0)=0,PROPERTIES[[#This Row],[TE_COEFFICIENT_MANUAL]],PROPERTIES[[#This Row],[TE_COEFFICIENT_CALC]]),3)</f>
        <v>0.27700000000000002</v>
      </c>
      <c r="U382" s="11">
        <v>40</v>
      </c>
      <c r="V382" s="9">
        <v>0</v>
      </c>
      <c r="W382" s="9">
        <v>1</v>
      </c>
      <c r="X382" s="10">
        <v>0</v>
      </c>
      <c r="Y382" t="s">
        <v>911</v>
      </c>
      <c r="Z382" t="s">
        <v>903</v>
      </c>
      <c r="AA382" s="2" t="s">
        <v>921</v>
      </c>
      <c r="AB382" s="9" t="s">
        <v>995</v>
      </c>
      <c r="AC382" s="9" t="s">
        <v>996</v>
      </c>
      <c r="AD382" s="10" t="str">
        <f>SUBSTITUTE(SUBSTITUTE(PROPERTIES[[#This Row],[PURCHASECOST_VALUE]], "PURCHASECOST_", ""), "_VALUE", "")</f>
        <v>ELECTRICENGINE</v>
      </c>
      <c r="AE382" s="9" t="str" cm="1">
        <f t="array" ref="AE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2" s="2" t="b">
        <v>0</v>
      </c>
      <c r="AX382"/>
      <c r="AY382"/>
      <c r="AZ382"/>
    </row>
    <row r="383" spans="1:52">
      <c r="A383" s="2" t="s">
        <v>407</v>
      </c>
      <c r="B383">
        <v>1974</v>
      </c>
      <c r="C383">
        <v>0</v>
      </c>
      <c r="D383" t="s">
        <v>1806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 s="2" t="s">
        <v>23</v>
      </c>
      <c r="K383" s="39">
        <f>_xlfn.XLOOKUP("LOADINGSPEEDDEF_"&amp;PROPERTIES[[#This Row],[LOADINGSPEED]],LOADINGSPEEDDEF[TYPE],LOADINGSPEEDDEF[SPEED])</f>
        <v>40</v>
      </c>
      <c r="L383">
        <v>45</v>
      </c>
      <c r="M383">
        <v>1</v>
      </c>
      <c r="N383" s="33">
        <v>79</v>
      </c>
      <c r="O383">
        <v>1640</v>
      </c>
      <c r="P383">
        <v>90</v>
      </c>
      <c r="Q383" s="30">
        <v>0</v>
      </c>
      <c r="R383" s="29">
        <f>IFERROR(PROPERTIES[[#This Row],[TE_STARTING_KN]]/(PROPERTIES[[#This Row],[WEIGHT]]*9.81),0)</f>
        <v>0</v>
      </c>
      <c r="S383" s="29">
        <v>0.24</v>
      </c>
      <c r="T383" s="26">
        <f>ROUND(IF(IFERROR(PROPERTIES[[#This Row],[TE_COEFFICIENT_CALC]],0)=0,PROPERTIES[[#This Row],[TE_COEFFICIENT_MANUAL]],PROPERTIES[[#This Row],[TE_COEFFICIENT_CALC]]),3)</f>
        <v>0.24</v>
      </c>
      <c r="U383" s="11">
        <v>40</v>
      </c>
      <c r="V383" s="9">
        <v>0</v>
      </c>
      <c r="W383" s="9">
        <v>0</v>
      </c>
      <c r="X383" s="10">
        <v>0</v>
      </c>
      <c r="Y383" t="s">
        <v>911</v>
      </c>
      <c r="Z383" t="s">
        <v>903</v>
      </c>
      <c r="AA383" s="2" t="s">
        <v>921</v>
      </c>
      <c r="AB383" s="9" t="s">
        <v>995</v>
      </c>
      <c r="AC383" s="9" t="s">
        <v>996</v>
      </c>
      <c r="AD383" s="10" t="str">
        <f>SUBSTITUTE(SUBSTITUTE(PROPERTIES[[#This Row],[PURCHASECOST_VALUE]], "PURCHASECOST_", ""), "_VALUE", "")</f>
        <v>ELECTRICENGINE</v>
      </c>
      <c r="AE383" s="9" t="str" cm="1">
        <f t="array" ref="AE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3" s="2" t="b">
        <v>0</v>
      </c>
      <c r="AX383"/>
      <c r="AY383"/>
      <c r="AZ383"/>
    </row>
    <row r="384" spans="1:52">
      <c r="A384" s="2" t="s">
        <v>408</v>
      </c>
      <c r="B384">
        <v>1948</v>
      </c>
      <c r="C384">
        <v>0</v>
      </c>
      <c r="D384" t="s">
        <v>1896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 s="2" t="s">
        <v>19</v>
      </c>
      <c r="K384" s="39">
        <f>_xlfn.XLOOKUP("LOADINGSPEEDDEF_"&amp;PROPERTIES[[#This Row],[LOADINGSPEED]],LOADINGSPEEDDEF[TYPE],LOADINGSPEEDDEF[SPEED])</f>
        <v>0</v>
      </c>
      <c r="L384">
        <v>45</v>
      </c>
      <c r="M384">
        <v>1</v>
      </c>
      <c r="N384" s="33">
        <v>88</v>
      </c>
      <c r="O384">
        <v>1710</v>
      </c>
      <c r="P384">
        <v>80</v>
      </c>
      <c r="Q384" s="30">
        <v>0</v>
      </c>
      <c r="R384" s="29">
        <f>IFERROR(PROPERTIES[[#This Row],[TE_STARTING_KN]]/(PROPERTIES[[#This Row],[WEIGHT]]*9.81),0)</f>
        <v>0</v>
      </c>
      <c r="S384" s="29">
        <v>0.17</v>
      </c>
      <c r="T384" s="26">
        <f>ROUND(IF(IFERROR(PROPERTIES[[#This Row],[TE_COEFFICIENT_CALC]],0)=0,PROPERTIES[[#This Row],[TE_COEFFICIENT_MANUAL]],PROPERTIES[[#This Row],[TE_COEFFICIENT_CALC]]),3)</f>
        <v>0.17</v>
      </c>
      <c r="U384" s="11">
        <v>40</v>
      </c>
      <c r="V384" s="9">
        <v>0</v>
      </c>
      <c r="W384" s="9">
        <v>0</v>
      </c>
      <c r="X384" s="10">
        <v>0</v>
      </c>
      <c r="Y384" t="s">
        <v>907</v>
      </c>
      <c r="Z384" t="s">
        <v>903</v>
      </c>
      <c r="AA384" s="2" t="s">
        <v>921</v>
      </c>
      <c r="AB384" s="9" t="s">
        <v>995</v>
      </c>
      <c r="AC384" s="9" t="s">
        <v>996</v>
      </c>
      <c r="AD384" s="10" t="str">
        <f>SUBSTITUTE(SUBSTITUTE(PROPERTIES[[#This Row],[PURCHASECOST_VALUE]], "PURCHASECOST_", ""), "_VALUE", "")</f>
        <v>ELECTRICENGINE</v>
      </c>
      <c r="AE384" s="9" t="str" cm="1">
        <f t="array" ref="AE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4" s="2" t="b">
        <v>0</v>
      </c>
      <c r="AX384"/>
      <c r="AY384"/>
      <c r="AZ384"/>
    </row>
    <row r="385" spans="1:52">
      <c r="A385" s="2" t="s">
        <v>409</v>
      </c>
      <c r="B385">
        <v>1958</v>
      </c>
      <c r="C385">
        <v>0</v>
      </c>
      <c r="D385" t="s">
        <v>1864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 s="2" t="s">
        <v>19</v>
      </c>
      <c r="K385" s="39">
        <f>_xlfn.XLOOKUP("LOADINGSPEEDDEF_"&amp;PROPERTIES[[#This Row],[LOADINGSPEED]],LOADINGSPEEDDEF[TYPE],LOADINGSPEEDDEF[SPEED])</f>
        <v>0</v>
      </c>
      <c r="L385">
        <v>45</v>
      </c>
      <c r="M385">
        <v>1</v>
      </c>
      <c r="N385" s="33">
        <v>124</v>
      </c>
      <c r="O385">
        <v>3700</v>
      </c>
      <c r="P385">
        <v>104</v>
      </c>
      <c r="Q385" s="30">
        <v>300</v>
      </c>
      <c r="R385" s="29">
        <f>IFERROR(PROPERTIES[[#This Row],[TE_STARTING_KN]]/(PROPERTIES[[#This Row],[WEIGHT]]*9.81),0)</f>
        <v>0.24662128834961033</v>
      </c>
      <c r="S385" s="29">
        <v>0.25</v>
      </c>
      <c r="T385" s="26">
        <f>ROUND(IF(IFERROR(PROPERTIES[[#This Row],[TE_COEFFICIENT_CALC]],0)=0,PROPERTIES[[#This Row],[TE_COEFFICIENT_MANUAL]],PROPERTIES[[#This Row],[TE_COEFFICIENT_CALC]]),3)</f>
        <v>0.247</v>
      </c>
      <c r="U385" s="11">
        <v>40</v>
      </c>
      <c r="V385" s="9">
        <v>0</v>
      </c>
      <c r="W385" s="9">
        <v>0</v>
      </c>
      <c r="X385" s="10">
        <v>0</v>
      </c>
      <c r="Y385" t="s">
        <v>912</v>
      </c>
      <c r="Z385" t="s">
        <v>903</v>
      </c>
      <c r="AA385" s="2" t="s">
        <v>921</v>
      </c>
      <c r="AB385" s="9" t="s">
        <v>995</v>
      </c>
      <c r="AC385" s="9" t="s">
        <v>996</v>
      </c>
      <c r="AD385" s="10" t="str">
        <f>SUBSTITUTE(SUBSTITUTE(PROPERTIES[[#This Row],[PURCHASECOST_VALUE]], "PURCHASECOST_", ""), "_VALUE", "")</f>
        <v>ELECTRICENGINE</v>
      </c>
      <c r="AE385" s="9" t="str" cm="1">
        <f t="array" ref="AE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5" s="2" t="b">
        <v>0</v>
      </c>
      <c r="AX385"/>
      <c r="AY385"/>
      <c r="AZ385"/>
    </row>
    <row r="386" spans="1:52">
      <c r="A386" s="2" t="s">
        <v>410</v>
      </c>
      <c r="B386">
        <v>1992</v>
      </c>
      <c r="C386">
        <v>0</v>
      </c>
      <c r="D386" t="s">
        <v>2006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 s="2" t="s">
        <v>23</v>
      </c>
      <c r="K386" s="39">
        <f>_xlfn.XLOOKUP("LOADINGSPEEDDEF_"&amp;PROPERTIES[[#This Row],[LOADINGSPEED]],LOADINGSPEEDDEF[TYPE],LOADINGSPEEDDEF[SPEED])</f>
        <v>40</v>
      </c>
      <c r="L386">
        <v>45</v>
      </c>
      <c r="M386">
        <v>1</v>
      </c>
      <c r="N386" s="33">
        <v>74</v>
      </c>
      <c r="O386">
        <v>2000</v>
      </c>
      <c r="P386">
        <v>100</v>
      </c>
      <c r="Q386" s="30">
        <v>260</v>
      </c>
      <c r="R386" s="29">
        <f>IFERROR(PROPERTIES[[#This Row],[TE_STARTING_KN]]/(PROPERTIES[[#This Row],[WEIGHT]]*9.81),0)</f>
        <v>0.35815632145907372</v>
      </c>
      <c r="S386" s="29">
        <v>0.24</v>
      </c>
      <c r="T386" s="26">
        <f>ROUND(IF(IFERROR(PROPERTIES[[#This Row],[TE_COEFFICIENT_CALC]],0)=0,PROPERTIES[[#This Row],[TE_COEFFICIENT_MANUAL]],PROPERTIES[[#This Row],[TE_COEFFICIENT_CALC]]),3)</f>
        <v>0.35799999999999998</v>
      </c>
      <c r="U386" s="11">
        <v>40</v>
      </c>
      <c r="V386" s="9">
        <v>0</v>
      </c>
      <c r="W386" s="9">
        <v>0</v>
      </c>
      <c r="X386" s="10">
        <v>0</v>
      </c>
      <c r="Y386" t="s">
        <v>907</v>
      </c>
      <c r="Z386" t="s">
        <v>903</v>
      </c>
      <c r="AA386" s="2" t="s">
        <v>921</v>
      </c>
      <c r="AB386" s="9" t="s">
        <v>995</v>
      </c>
      <c r="AC386" s="9" t="s">
        <v>996</v>
      </c>
      <c r="AD386" s="10" t="str">
        <f>SUBSTITUTE(SUBSTITUTE(PROPERTIES[[#This Row],[PURCHASECOST_VALUE]], "PURCHASECOST_", ""), "_VALUE", "")</f>
        <v>ELECTRICENGINE</v>
      </c>
      <c r="AE386" s="9" t="str" cm="1">
        <f t="array" ref="AE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6" s="2" t="b">
        <v>0</v>
      </c>
      <c r="AX386"/>
      <c r="AY386"/>
      <c r="AZ386"/>
    </row>
    <row r="387" spans="1:52">
      <c r="A387" s="2" t="s">
        <v>411</v>
      </c>
      <c r="B387">
        <v>1980</v>
      </c>
      <c r="C387">
        <v>0</v>
      </c>
      <c r="D387" t="s">
        <v>1806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 s="2" t="s">
        <v>19</v>
      </c>
      <c r="K387" s="39">
        <f>_xlfn.XLOOKUP("LOADINGSPEEDDEF_"&amp;PROPERTIES[[#This Row],[LOADINGSPEED]],LOADINGSPEEDDEF[TYPE],LOADINGSPEEDDEF[SPEED])</f>
        <v>0</v>
      </c>
      <c r="L387">
        <v>45</v>
      </c>
      <c r="M387">
        <v>1</v>
      </c>
      <c r="N387" s="33">
        <v>88</v>
      </c>
      <c r="O387">
        <v>4340</v>
      </c>
      <c r="P387">
        <v>160</v>
      </c>
      <c r="Q387" s="30">
        <v>0</v>
      </c>
      <c r="R387" s="29">
        <f>IFERROR(PROPERTIES[[#This Row],[TE_STARTING_KN]]/(PROPERTIES[[#This Row],[WEIGHT]]*9.81),0)</f>
        <v>0</v>
      </c>
      <c r="S387" s="29">
        <v>0.16</v>
      </c>
      <c r="T387" s="26">
        <f>ROUND(IF(IFERROR(PROPERTIES[[#This Row],[TE_COEFFICIENT_CALC]],0)=0,PROPERTIES[[#This Row],[TE_COEFFICIENT_MANUAL]],PROPERTIES[[#This Row],[TE_COEFFICIENT_CALC]]),3)</f>
        <v>0.16</v>
      </c>
      <c r="U387" s="11">
        <v>40</v>
      </c>
      <c r="V387" s="9">
        <v>0</v>
      </c>
      <c r="W387" s="9">
        <v>0</v>
      </c>
      <c r="X387" s="10">
        <v>0</v>
      </c>
      <c r="Y387" t="s">
        <v>911</v>
      </c>
      <c r="Z387" t="s">
        <v>903</v>
      </c>
      <c r="AA387" s="2" t="s">
        <v>921</v>
      </c>
      <c r="AB387" s="9" t="s">
        <v>995</v>
      </c>
      <c r="AC387" s="9" t="s">
        <v>996</v>
      </c>
      <c r="AD387" s="10" t="str">
        <f>SUBSTITUTE(SUBSTITUTE(PROPERTIES[[#This Row],[PURCHASECOST_VALUE]], "PURCHASECOST_", ""), "_VALUE", "")</f>
        <v>ELECTRICENGINE</v>
      </c>
      <c r="AE387" s="9" t="str" cm="1">
        <f t="array" ref="AE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7" s="2" t="b">
        <v>0</v>
      </c>
      <c r="AX387"/>
      <c r="AY387"/>
      <c r="AZ387"/>
    </row>
    <row r="388" spans="1:52">
      <c r="A388" s="2" t="s">
        <v>412</v>
      </c>
      <c r="B388">
        <v>1980</v>
      </c>
      <c r="C388">
        <v>0</v>
      </c>
      <c r="D388" t="s">
        <v>1816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 s="2" t="s">
        <v>19</v>
      </c>
      <c r="K388" s="39">
        <f>_xlfn.XLOOKUP("LOADINGSPEEDDEF_"&amp;PROPERTIES[[#This Row],[LOADINGSPEED]],LOADINGSPEEDDEF[TYPE],LOADINGSPEEDDEF[SPEED])</f>
        <v>0</v>
      </c>
      <c r="L388">
        <v>45</v>
      </c>
      <c r="M388">
        <v>1</v>
      </c>
      <c r="N388" s="33">
        <v>87</v>
      </c>
      <c r="O388">
        <v>4667</v>
      </c>
      <c r="P388">
        <v>120</v>
      </c>
      <c r="Q388" s="30">
        <v>260</v>
      </c>
      <c r="R388" s="29">
        <f>IFERROR(PROPERTIES[[#This Row],[TE_STARTING_KN]]/(PROPERTIES[[#This Row],[WEIGHT]]*9.81),0)</f>
        <v>0.30463871020656846</v>
      </c>
      <c r="S388" s="29">
        <v>0.3</v>
      </c>
      <c r="T388" s="26">
        <f>ROUND(IF(IFERROR(PROPERTIES[[#This Row],[TE_COEFFICIENT_CALC]],0)=0,PROPERTIES[[#This Row],[TE_COEFFICIENT_MANUAL]],PROPERTIES[[#This Row],[TE_COEFFICIENT_CALC]]),3)</f>
        <v>0.30499999999999999</v>
      </c>
      <c r="U388" s="11">
        <v>40</v>
      </c>
      <c r="V388" s="9">
        <v>0</v>
      </c>
      <c r="W388" s="9">
        <v>0</v>
      </c>
      <c r="X388" s="10">
        <v>0</v>
      </c>
      <c r="Y388" t="s">
        <v>910</v>
      </c>
      <c r="Z388" t="s">
        <v>903</v>
      </c>
      <c r="AA388" s="2" t="s">
        <v>921</v>
      </c>
      <c r="AB388" s="9" t="s">
        <v>995</v>
      </c>
      <c r="AC388" s="9" t="s">
        <v>996</v>
      </c>
      <c r="AD388" s="10" t="str">
        <f>SUBSTITUTE(SUBSTITUTE(PROPERTIES[[#This Row],[PURCHASECOST_VALUE]], "PURCHASECOST_", ""), "_VALUE", "")</f>
        <v>ELECTRICENGINE</v>
      </c>
      <c r="AE388" s="9" t="str" cm="1">
        <f t="array" ref="AE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8" s="2" t="b">
        <v>0</v>
      </c>
      <c r="AX388"/>
      <c r="AY388"/>
      <c r="AZ388"/>
    </row>
    <row r="389" spans="1:52">
      <c r="A389" s="2" t="s">
        <v>413</v>
      </c>
      <c r="B389">
        <v>1911</v>
      </c>
      <c r="C389">
        <v>0</v>
      </c>
      <c r="D389" t="s">
        <v>1926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 s="2" t="s">
        <v>19</v>
      </c>
      <c r="K389" s="39">
        <f>_xlfn.XLOOKUP("LOADINGSPEEDDEF_"&amp;PROPERTIES[[#This Row],[LOADINGSPEED]],LOADINGSPEEDDEF[TYPE],LOADINGSPEEDDEF[SPEED])</f>
        <v>0</v>
      </c>
      <c r="L389">
        <v>45</v>
      </c>
      <c r="M389">
        <v>0</v>
      </c>
      <c r="N389" s="33">
        <v>48</v>
      </c>
      <c r="O389">
        <v>490</v>
      </c>
      <c r="P389">
        <v>45</v>
      </c>
      <c r="Q389" s="30">
        <v>0</v>
      </c>
      <c r="R389" s="29">
        <f>IFERROR(PROPERTIES[[#This Row],[TE_STARTING_KN]]/(PROPERTIES[[#This Row],[WEIGHT]]*9.81),0)</f>
        <v>0</v>
      </c>
      <c r="S389" s="29">
        <v>0.22</v>
      </c>
      <c r="T389" s="26">
        <f>ROUND(IF(IFERROR(PROPERTIES[[#This Row],[TE_COEFFICIENT_CALC]],0)=0,PROPERTIES[[#This Row],[TE_COEFFICIENT_MANUAL]],PROPERTIES[[#This Row],[TE_COEFFICIENT_CALC]]),3)</f>
        <v>0.22</v>
      </c>
      <c r="U389" s="11">
        <v>40</v>
      </c>
      <c r="V389" s="9">
        <v>0</v>
      </c>
      <c r="W389" s="9">
        <v>0</v>
      </c>
      <c r="X389" s="10">
        <v>0</v>
      </c>
      <c r="Y389" t="s">
        <v>908</v>
      </c>
      <c r="Z389" t="s">
        <v>903</v>
      </c>
      <c r="AA389" s="2" t="s">
        <v>921</v>
      </c>
      <c r="AB389" s="9" t="s">
        <v>995</v>
      </c>
      <c r="AC389" s="9" t="s">
        <v>996</v>
      </c>
      <c r="AD389" s="10" t="str">
        <f>SUBSTITUTE(SUBSTITUTE(PROPERTIES[[#This Row],[PURCHASECOST_VALUE]], "PURCHASECOST_", ""), "_VALUE", "")</f>
        <v>ELECTRICENGINE</v>
      </c>
      <c r="AE389" s="9" t="str" cm="1">
        <f t="array" ref="AE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89" s="2" t="b">
        <v>0</v>
      </c>
      <c r="AX389"/>
      <c r="AY389"/>
      <c r="AZ389"/>
    </row>
    <row r="390" spans="1:52">
      <c r="A390" s="2" t="s">
        <v>414</v>
      </c>
      <c r="B390">
        <v>1916</v>
      </c>
      <c r="C390">
        <v>0</v>
      </c>
      <c r="D390" t="s">
        <v>1992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 s="2" t="s">
        <v>19</v>
      </c>
      <c r="K390" s="39">
        <f>_xlfn.XLOOKUP("LOADINGSPEEDDEF_"&amp;PROPERTIES[[#This Row],[LOADINGSPEED]],LOADINGSPEEDDEF[TYPE],LOADINGSPEEDDEF[SPEED])</f>
        <v>0</v>
      </c>
      <c r="L390">
        <v>45</v>
      </c>
      <c r="M390">
        <v>1</v>
      </c>
      <c r="N390" s="33">
        <v>234</v>
      </c>
      <c r="O390">
        <v>4600</v>
      </c>
      <c r="P390">
        <v>33</v>
      </c>
      <c r="Q390" s="30">
        <v>620</v>
      </c>
      <c r="R390" s="29">
        <f>IFERROR(PROPERTIES[[#This Row],[TE_STARTING_KN]]/(PROPERTIES[[#This Row],[WEIGHT]]*9.81),0)</f>
        <v>0.27008895510424563</v>
      </c>
      <c r="S390" s="29">
        <v>0.17</v>
      </c>
      <c r="T390" s="26">
        <f>ROUND(IF(IFERROR(PROPERTIES[[#This Row],[TE_COEFFICIENT_CALC]],0)=0,PROPERTIES[[#This Row],[TE_COEFFICIENT_MANUAL]],PROPERTIES[[#This Row],[TE_COEFFICIENT_CALC]]),3)</f>
        <v>0.27</v>
      </c>
      <c r="U390" s="11">
        <v>40</v>
      </c>
      <c r="V390" s="9">
        <v>0</v>
      </c>
      <c r="W390" s="9">
        <v>2</v>
      </c>
      <c r="X390" s="10">
        <v>0</v>
      </c>
      <c r="Y390" t="s">
        <v>909</v>
      </c>
      <c r="Z390" t="s">
        <v>903</v>
      </c>
      <c r="AA390" s="2" t="s">
        <v>921</v>
      </c>
      <c r="AB390" s="9" t="s">
        <v>995</v>
      </c>
      <c r="AC390" s="9" t="s">
        <v>996</v>
      </c>
      <c r="AD390" s="10" t="str">
        <f>SUBSTITUTE(SUBSTITUTE(PROPERTIES[[#This Row],[PURCHASECOST_VALUE]], "PURCHASECOST_", ""), "_VALUE", "")</f>
        <v>ELECTRICENGINE</v>
      </c>
      <c r="AE390" s="9" t="str" cm="1">
        <f t="array" ref="AE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90" s="2" t="b">
        <v>0</v>
      </c>
      <c r="AX390"/>
      <c r="AY390"/>
      <c r="AZ390"/>
    </row>
    <row r="391" spans="1:52">
      <c r="A391" s="2" t="s">
        <v>415</v>
      </c>
      <c r="B391">
        <v>1928</v>
      </c>
      <c r="C391">
        <v>0</v>
      </c>
      <c r="D391" t="s">
        <v>1772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 s="2" t="s">
        <v>19</v>
      </c>
      <c r="K391" s="39">
        <f>_xlfn.XLOOKUP("LOADINGSPEEDDEF_"&amp;PROPERTIES[[#This Row],[LOADINGSPEED]],LOADINGSPEEDDEF[TYPE],LOADINGSPEEDDEF[SPEED])</f>
        <v>0</v>
      </c>
      <c r="L391">
        <v>45</v>
      </c>
      <c r="M391">
        <v>1</v>
      </c>
      <c r="N391" s="33">
        <v>55</v>
      </c>
      <c r="O391">
        <v>1000</v>
      </c>
      <c r="P391">
        <v>40</v>
      </c>
      <c r="Q391" s="30">
        <v>140</v>
      </c>
      <c r="R391" s="29">
        <f>IFERROR(PROPERTIES[[#This Row],[TE_STARTING_KN]]/(PROPERTIES[[#This Row],[WEIGHT]]*9.81),0)</f>
        <v>0.25947548883328697</v>
      </c>
      <c r="S391" s="29">
        <v>0.25</v>
      </c>
      <c r="T391" s="26">
        <f>ROUND(IF(IFERROR(PROPERTIES[[#This Row],[TE_COEFFICIENT_CALC]],0)=0,PROPERTIES[[#This Row],[TE_COEFFICIENT_MANUAL]],PROPERTIES[[#This Row],[TE_COEFFICIENT_CALC]]),3)</f>
        <v>0.25900000000000001</v>
      </c>
      <c r="U391" s="11">
        <v>40</v>
      </c>
      <c r="V391" s="9">
        <v>0</v>
      </c>
      <c r="W391" s="9">
        <v>0</v>
      </c>
      <c r="X391" s="10">
        <v>0</v>
      </c>
      <c r="Y391" t="s">
        <v>904</v>
      </c>
      <c r="Z391" t="s">
        <v>903</v>
      </c>
      <c r="AA391" s="2" t="s">
        <v>921</v>
      </c>
      <c r="AB391" s="9" t="s">
        <v>995</v>
      </c>
      <c r="AC391" s="9" t="s">
        <v>996</v>
      </c>
      <c r="AD391" s="10" t="str">
        <f>SUBSTITUTE(SUBSTITUTE(PROPERTIES[[#This Row],[PURCHASECOST_VALUE]], "PURCHASECOST_", ""), "_VALUE", "")</f>
        <v>ELECTRICENGINE</v>
      </c>
      <c r="AE391" s="9" t="str" cm="1">
        <f t="array" ref="AE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1" s="2" t="b">
        <v>0</v>
      </c>
      <c r="AX391"/>
      <c r="AY391"/>
      <c r="AZ391"/>
    </row>
    <row r="392" spans="1:52">
      <c r="A392" s="2" t="s">
        <v>416</v>
      </c>
      <c r="B392">
        <v>1930</v>
      </c>
      <c r="C392">
        <v>0</v>
      </c>
      <c r="D392" t="s">
        <v>1817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 s="2" t="s">
        <v>19</v>
      </c>
      <c r="K392" s="39">
        <f>_xlfn.XLOOKUP("LOADINGSPEEDDEF_"&amp;PROPERTIES[[#This Row],[LOADINGSPEED]],LOADINGSPEEDDEF[TYPE],LOADINGSPEEDDEF[SPEED])</f>
        <v>0</v>
      </c>
      <c r="L392">
        <v>45</v>
      </c>
      <c r="M392">
        <v>1</v>
      </c>
      <c r="N392" s="33">
        <v>32</v>
      </c>
      <c r="O392">
        <v>810</v>
      </c>
      <c r="P392">
        <v>50</v>
      </c>
      <c r="Q392" s="30">
        <v>93</v>
      </c>
      <c r="R392" s="29">
        <f>IFERROR(PROPERTIES[[#This Row],[TE_STARTING_KN]]/(PROPERTIES[[#This Row],[WEIGHT]]*9.81),0)</f>
        <v>0.29625382262996941</v>
      </c>
      <c r="S392" s="29">
        <v>0.28999999999999998</v>
      </c>
      <c r="T392" s="26">
        <f>ROUND(IF(IFERROR(PROPERTIES[[#This Row],[TE_COEFFICIENT_CALC]],0)=0,PROPERTIES[[#This Row],[TE_COEFFICIENT_MANUAL]],PROPERTIES[[#This Row],[TE_COEFFICIENT_CALC]]),3)</f>
        <v>0.29599999999999999</v>
      </c>
      <c r="U392" s="11">
        <v>40</v>
      </c>
      <c r="V392" s="9">
        <v>0</v>
      </c>
      <c r="W392" s="9">
        <v>0</v>
      </c>
      <c r="X392" s="10">
        <v>0</v>
      </c>
      <c r="Y392" t="s">
        <v>904</v>
      </c>
      <c r="Z392" t="s">
        <v>903</v>
      </c>
      <c r="AA392" s="2" t="s">
        <v>921</v>
      </c>
      <c r="AB392" s="9" t="s">
        <v>995</v>
      </c>
      <c r="AC392" s="9" t="s">
        <v>996</v>
      </c>
      <c r="AD392" s="10" t="str">
        <f>SUBSTITUTE(SUBSTITUTE(PROPERTIES[[#This Row],[PURCHASECOST_VALUE]], "PURCHASECOST_", ""), "_VALUE", "")</f>
        <v>ELECTRICENGINE</v>
      </c>
      <c r="AE392" s="9" t="str" cm="1">
        <f t="array" ref="AE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2" s="2" t="b">
        <v>0</v>
      </c>
      <c r="AX392"/>
      <c r="AY392"/>
      <c r="AZ392"/>
    </row>
    <row r="393" spans="1:52">
      <c r="A393" s="2" t="s">
        <v>417</v>
      </c>
      <c r="B393">
        <v>1931</v>
      </c>
      <c r="C393">
        <v>0</v>
      </c>
      <c r="D393" t="s">
        <v>1926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 s="2" t="s">
        <v>19</v>
      </c>
      <c r="K393" s="39">
        <f>_xlfn.XLOOKUP("LOADINGSPEEDDEF_"&amp;PROPERTIES[[#This Row],[LOADINGSPEED]],LOADINGSPEEDDEF[TYPE],LOADINGSPEEDDEF[SPEED])</f>
        <v>0</v>
      </c>
      <c r="L393">
        <v>45</v>
      </c>
      <c r="M393">
        <v>0</v>
      </c>
      <c r="N393" s="33">
        <v>47.3</v>
      </c>
      <c r="O393">
        <v>700</v>
      </c>
      <c r="P393">
        <v>45</v>
      </c>
      <c r="Q393" s="30">
        <v>110</v>
      </c>
      <c r="R393" s="29">
        <f>IFERROR(PROPERTIES[[#This Row],[TE_STARTING_KN]]/(PROPERTIES[[#This Row],[WEIGHT]]*9.81),0)</f>
        <v>0.23706232368489677</v>
      </c>
      <c r="S393" s="29">
        <v>0.3</v>
      </c>
      <c r="T393" s="26">
        <f>ROUND(IF(IFERROR(PROPERTIES[[#This Row],[TE_COEFFICIENT_CALC]],0)=0,PROPERTIES[[#This Row],[TE_COEFFICIENT_MANUAL]],PROPERTIES[[#This Row],[TE_COEFFICIENT_CALC]]),3)</f>
        <v>0.23699999999999999</v>
      </c>
      <c r="U393" s="11">
        <v>40</v>
      </c>
      <c r="V393" s="9">
        <v>0</v>
      </c>
      <c r="W393" s="9">
        <v>0</v>
      </c>
      <c r="X393" s="10">
        <v>0</v>
      </c>
      <c r="Y393" t="s">
        <v>908</v>
      </c>
      <c r="Z393" t="s">
        <v>903</v>
      </c>
      <c r="AA393" s="2" t="s">
        <v>921</v>
      </c>
      <c r="AB393" s="9" t="s">
        <v>995</v>
      </c>
      <c r="AC393" s="9" t="s">
        <v>996</v>
      </c>
      <c r="AD393" s="10" t="str">
        <f>SUBSTITUTE(SUBSTITUTE(PROPERTIES[[#This Row],[PURCHASECOST_VALUE]], "PURCHASECOST_", ""), "_VALUE", "")</f>
        <v>ELECTRICENGINE</v>
      </c>
      <c r="AE393" s="9" t="str" cm="1">
        <f t="array" ref="AE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3" s="2" t="b">
        <v>0</v>
      </c>
      <c r="AX393"/>
      <c r="AY393"/>
      <c r="AZ393"/>
    </row>
    <row r="394" spans="1:52">
      <c r="A394" s="2" t="s">
        <v>418</v>
      </c>
      <c r="B394">
        <v>1933</v>
      </c>
      <c r="C394">
        <v>0</v>
      </c>
      <c r="D394" t="s">
        <v>1817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 s="2" t="s">
        <v>19</v>
      </c>
      <c r="K394" s="39">
        <f>_xlfn.XLOOKUP("LOADINGSPEEDDEF_"&amp;PROPERTIES[[#This Row],[LOADINGSPEED]],LOADINGSPEEDDEF[TYPE],LOADINGSPEEDDEF[SPEED])</f>
        <v>0</v>
      </c>
      <c r="L394">
        <v>45</v>
      </c>
      <c r="M394">
        <v>1</v>
      </c>
      <c r="N394" s="33">
        <v>92</v>
      </c>
      <c r="O394">
        <v>2935</v>
      </c>
      <c r="P394">
        <v>110</v>
      </c>
      <c r="Q394" s="30">
        <v>177</v>
      </c>
      <c r="R394" s="29">
        <f>IFERROR(PROPERTIES[[#This Row],[TE_STARTING_KN]]/(PROPERTIES[[#This Row],[WEIGHT]]*9.81),0)</f>
        <v>0.19611753756149447</v>
      </c>
      <c r="S394" s="29">
        <v>0.3</v>
      </c>
      <c r="T394" s="26">
        <f>ROUND(IF(IFERROR(PROPERTIES[[#This Row],[TE_COEFFICIENT_CALC]],0)=0,PROPERTIES[[#This Row],[TE_COEFFICIENT_MANUAL]],PROPERTIES[[#This Row],[TE_COEFFICIENT_CALC]]),3)</f>
        <v>0.19600000000000001</v>
      </c>
      <c r="U394" s="11">
        <v>40</v>
      </c>
      <c r="V394" s="9">
        <v>0</v>
      </c>
      <c r="W394" s="9">
        <v>0</v>
      </c>
      <c r="X394" s="10">
        <v>0</v>
      </c>
      <c r="Y394" t="s">
        <v>904</v>
      </c>
      <c r="Z394" t="s">
        <v>903</v>
      </c>
      <c r="AA394" s="2" t="s">
        <v>921</v>
      </c>
      <c r="AB394" s="9" t="s">
        <v>995</v>
      </c>
      <c r="AC394" s="9" t="s">
        <v>996</v>
      </c>
      <c r="AD394" s="10" t="str">
        <f>SUBSTITUTE(SUBSTITUTE(PROPERTIES[[#This Row],[PURCHASECOST_VALUE]], "PURCHASECOST_", ""), "_VALUE", "")</f>
        <v>ELECTRICENGINE</v>
      </c>
      <c r="AE394" s="9" t="str" cm="1">
        <f t="array" ref="AE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4" s="2" t="b">
        <v>0</v>
      </c>
      <c r="AX394"/>
      <c r="AY394"/>
      <c r="AZ394"/>
    </row>
    <row r="395" spans="1:52">
      <c r="A395" s="2" t="s">
        <v>419</v>
      </c>
      <c r="B395">
        <v>1935</v>
      </c>
      <c r="C395">
        <v>0</v>
      </c>
      <c r="D395" t="s">
        <v>1992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 s="2" t="s">
        <v>19</v>
      </c>
      <c r="K395" s="39">
        <f>_xlfn.XLOOKUP("LOADINGSPEEDDEF_"&amp;PROPERTIES[[#This Row],[LOADINGSPEED]],LOADINGSPEEDDEF[TYPE],LOADINGSPEEDDEF[SPEED])</f>
        <v>0</v>
      </c>
      <c r="L395">
        <v>45</v>
      </c>
      <c r="M395">
        <v>1</v>
      </c>
      <c r="N395" s="33">
        <v>215</v>
      </c>
      <c r="O395">
        <v>4620</v>
      </c>
      <c r="P395">
        <v>160</v>
      </c>
      <c r="Q395" s="30">
        <v>291</v>
      </c>
      <c r="R395" s="29">
        <f>IFERROR(PROPERTIES[[#This Row],[TE_STARTING_KN]]/(PROPERTIES[[#This Row],[WEIGHT]]*9.81),0)</f>
        <v>0.1379702723846099</v>
      </c>
      <c r="S395" s="29">
        <v>0.15</v>
      </c>
      <c r="T395" s="26">
        <f>ROUND(IF(IFERROR(PROPERTIES[[#This Row],[TE_COEFFICIENT_CALC]],0)=0,PROPERTIES[[#This Row],[TE_COEFFICIENT_MANUAL]],PROPERTIES[[#This Row],[TE_COEFFICIENT_CALC]]),3)</f>
        <v>0.13800000000000001</v>
      </c>
      <c r="U395" s="11">
        <v>40</v>
      </c>
      <c r="V395" s="9">
        <v>0</v>
      </c>
      <c r="W395" s="9">
        <v>2</v>
      </c>
      <c r="X395" s="10">
        <v>0</v>
      </c>
      <c r="Y395" t="s">
        <v>909</v>
      </c>
      <c r="Z395" t="s">
        <v>903</v>
      </c>
      <c r="AA395" s="2" t="s">
        <v>921</v>
      </c>
      <c r="AB395" s="9" t="s">
        <v>995</v>
      </c>
      <c r="AC395" s="9" t="s">
        <v>996</v>
      </c>
      <c r="AD395" s="10" t="str">
        <f>SUBSTITUTE(SUBSTITUTE(PROPERTIES[[#This Row],[PURCHASECOST_VALUE]], "PURCHASECOST_", ""), "_VALUE", "")</f>
        <v>ELECTRICENGINE</v>
      </c>
      <c r="AE395" s="9" t="str" cm="1">
        <f t="array" ref="AE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5" s="2" t="b">
        <v>0</v>
      </c>
      <c r="AX395"/>
      <c r="AY395"/>
      <c r="AZ395"/>
    </row>
    <row r="396" spans="1:52">
      <c r="A396" s="2" t="s">
        <v>420</v>
      </c>
      <c r="B396">
        <v>1940</v>
      </c>
      <c r="C396">
        <v>0</v>
      </c>
      <c r="D396" t="s">
        <v>1772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 s="2" t="s">
        <v>19</v>
      </c>
      <c r="K396" s="39">
        <f>_xlfn.XLOOKUP("LOADINGSPEEDDEF_"&amp;PROPERTIES[[#This Row],[LOADINGSPEED]],LOADINGSPEEDDEF[TYPE],LOADINGSPEEDDEF[SPEED])</f>
        <v>0</v>
      </c>
      <c r="L396">
        <v>45</v>
      </c>
      <c r="M396">
        <v>1</v>
      </c>
      <c r="N396" s="33">
        <v>128</v>
      </c>
      <c r="O396">
        <v>3648</v>
      </c>
      <c r="P396">
        <v>75</v>
      </c>
      <c r="Q396" s="30">
        <v>300</v>
      </c>
      <c r="R396" s="29">
        <f>IFERROR(PROPERTIES[[#This Row],[TE_STARTING_KN]]/(PROPERTIES[[#This Row],[WEIGHT]]*9.81),0)</f>
        <v>0.23891437308868502</v>
      </c>
      <c r="S396" s="29">
        <v>0.31</v>
      </c>
      <c r="T396" s="26">
        <f>ROUND(IF(IFERROR(PROPERTIES[[#This Row],[TE_COEFFICIENT_CALC]],0)=0,PROPERTIES[[#This Row],[TE_COEFFICIENT_MANUAL]],PROPERTIES[[#This Row],[TE_COEFFICIENT_CALC]]),3)</f>
        <v>0.23899999999999999</v>
      </c>
      <c r="U396" s="11">
        <v>40</v>
      </c>
      <c r="V396" s="9">
        <v>0</v>
      </c>
      <c r="W396" s="9">
        <v>0</v>
      </c>
      <c r="X396" s="10">
        <v>0</v>
      </c>
      <c r="Y396" t="s">
        <v>904</v>
      </c>
      <c r="Z396" t="s">
        <v>903</v>
      </c>
      <c r="AA396" s="2" t="s">
        <v>921</v>
      </c>
      <c r="AB396" s="9" t="s">
        <v>995</v>
      </c>
      <c r="AC396" s="9" t="s">
        <v>996</v>
      </c>
      <c r="AD396" s="10" t="str">
        <f>SUBSTITUTE(SUBSTITUTE(PROPERTIES[[#This Row],[PURCHASECOST_VALUE]], "PURCHASECOST_", ""), "_VALUE", "")</f>
        <v>ELECTRICENGINE</v>
      </c>
      <c r="AE396" s="9" t="str" cm="1">
        <f t="array" ref="AE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6" s="2" t="b">
        <v>0</v>
      </c>
      <c r="AX396"/>
      <c r="AY396"/>
      <c r="AZ396"/>
    </row>
    <row r="397" spans="1:52">
      <c r="A397" s="2" t="s">
        <v>421</v>
      </c>
      <c r="B397">
        <v>1970</v>
      </c>
      <c r="C397">
        <v>0</v>
      </c>
      <c r="D397" t="s">
        <v>1817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 s="2" t="s">
        <v>19</v>
      </c>
      <c r="K397" s="39">
        <f>_xlfn.XLOOKUP("LOADINGSPEEDDEF_"&amp;PROPERTIES[[#This Row],[LOADINGSPEED]],LOADINGSPEEDDEF[TYPE],LOADINGSPEEDDEF[SPEED])</f>
        <v>0</v>
      </c>
      <c r="L397">
        <v>45</v>
      </c>
      <c r="M397">
        <v>1</v>
      </c>
      <c r="N397" s="33">
        <v>114</v>
      </c>
      <c r="O397">
        <v>9980</v>
      </c>
      <c r="P397">
        <v>200</v>
      </c>
      <c r="Q397" s="30">
        <v>312</v>
      </c>
      <c r="R397" s="29">
        <f>IFERROR(PROPERTIES[[#This Row],[TE_STARTING_KN]]/(PROPERTIES[[#This Row],[WEIGHT]]*9.81),0)</f>
        <v>0.27898492408391007</v>
      </c>
      <c r="S397" s="29">
        <v>0.27</v>
      </c>
      <c r="T397" s="26">
        <f>ROUND(IF(IFERROR(PROPERTIES[[#This Row],[TE_COEFFICIENT_CALC]],0)=0,PROPERTIES[[#This Row],[TE_COEFFICIENT_MANUAL]],PROPERTIES[[#This Row],[TE_COEFFICIENT_CALC]]),3)</f>
        <v>0.27900000000000003</v>
      </c>
      <c r="U397" s="11">
        <v>40</v>
      </c>
      <c r="V397" s="9">
        <v>0</v>
      </c>
      <c r="W397" s="9">
        <v>0</v>
      </c>
      <c r="X397" s="10">
        <v>0</v>
      </c>
      <c r="Y397" t="s">
        <v>904</v>
      </c>
      <c r="Z397" t="s">
        <v>903</v>
      </c>
      <c r="AA397" s="2" t="s">
        <v>921</v>
      </c>
      <c r="AB397" s="9" t="s">
        <v>995</v>
      </c>
      <c r="AC397" s="9" t="s">
        <v>996</v>
      </c>
      <c r="AD397" s="10" t="str">
        <f>SUBSTITUTE(SUBSTITUTE(PROPERTIES[[#This Row],[PURCHASECOST_VALUE]], "PURCHASECOST_", ""), "_VALUE", "")</f>
        <v>ELECTRICENGINE</v>
      </c>
      <c r="AE397" s="9" t="str" cm="1">
        <f t="array" ref="AE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7" s="2" t="b">
        <v>0</v>
      </c>
      <c r="AX397"/>
      <c r="AY397"/>
      <c r="AZ397"/>
    </row>
    <row r="398" spans="1:52">
      <c r="A398" s="2" t="s">
        <v>422</v>
      </c>
      <c r="B398">
        <v>1925</v>
      </c>
      <c r="C398">
        <v>0</v>
      </c>
      <c r="D398" t="s">
        <v>1817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 s="2" t="s">
        <v>19</v>
      </c>
      <c r="K398" s="39">
        <f>_xlfn.XLOOKUP("LOADINGSPEEDDEF_"&amp;PROPERTIES[[#This Row],[LOADINGSPEED]],LOADINGSPEEDDEF[TYPE],LOADINGSPEEDDEF[SPEED])</f>
        <v>0</v>
      </c>
      <c r="L398">
        <v>45</v>
      </c>
      <c r="M398">
        <v>1</v>
      </c>
      <c r="N398" s="33">
        <v>124</v>
      </c>
      <c r="O398">
        <v>2230</v>
      </c>
      <c r="P398">
        <v>55</v>
      </c>
      <c r="Q398" s="30">
        <v>294</v>
      </c>
      <c r="R398" s="29">
        <f>IFERROR(PROPERTIES[[#This Row],[TE_STARTING_KN]]/(PROPERTIES[[#This Row],[WEIGHT]]*9.81),0)</f>
        <v>0.24168886258261812</v>
      </c>
      <c r="S398" s="29">
        <v>0.24</v>
      </c>
      <c r="T398" s="26">
        <f>ROUND(IF(IFERROR(PROPERTIES[[#This Row],[TE_COEFFICIENT_CALC]],0)=0,PROPERTIES[[#This Row],[TE_COEFFICIENT_MANUAL]],PROPERTIES[[#This Row],[TE_COEFFICIENT_CALC]]),3)</f>
        <v>0.24199999999999999</v>
      </c>
      <c r="U398" s="11">
        <v>40</v>
      </c>
      <c r="V398" s="9">
        <v>0</v>
      </c>
      <c r="W398" s="9">
        <v>0</v>
      </c>
      <c r="X398" s="10">
        <v>0</v>
      </c>
      <c r="Y398" t="s">
        <v>904</v>
      </c>
      <c r="Z398" t="s">
        <v>903</v>
      </c>
      <c r="AA398" s="2" t="s">
        <v>921</v>
      </c>
      <c r="AB398" s="9" t="s">
        <v>995</v>
      </c>
      <c r="AC398" s="9" t="s">
        <v>996</v>
      </c>
      <c r="AD398" s="10" t="str">
        <f>SUBSTITUTE(SUBSTITUTE(PROPERTIES[[#This Row],[PURCHASECOST_VALUE]], "PURCHASECOST_", ""), "_VALUE", "")</f>
        <v>ELECTRICENGINE</v>
      </c>
      <c r="AE398" s="9" t="str" cm="1">
        <f t="array" ref="AE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8" s="2" t="b">
        <v>0</v>
      </c>
      <c r="AX398"/>
      <c r="AY398"/>
      <c r="AZ398"/>
    </row>
    <row r="399" spans="1:52">
      <c r="A399" s="2" t="s">
        <v>423</v>
      </c>
      <c r="B399">
        <v>1954</v>
      </c>
      <c r="C399">
        <v>0</v>
      </c>
      <c r="D399" t="s">
        <v>1803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 s="2" t="s">
        <v>19</v>
      </c>
      <c r="K399" s="39">
        <f>_xlfn.XLOOKUP("LOADINGSPEEDDEF_"&amp;PROPERTIES[[#This Row],[LOADINGSPEED]],LOADINGSPEEDDEF[TYPE],LOADINGSPEEDDEF[SPEED])</f>
        <v>0</v>
      </c>
      <c r="L399">
        <v>45</v>
      </c>
      <c r="M399">
        <v>1</v>
      </c>
      <c r="N399" s="33">
        <v>70</v>
      </c>
      <c r="O399">
        <v>1000</v>
      </c>
      <c r="P399">
        <v>65</v>
      </c>
      <c r="Q399" s="30">
        <v>74</v>
      </c>
      <c r="R399" s="29">
        <f>IFERROR(PROPERTIES[[#This Row],[TE_STARTING_KN]]/(PROPERTIES[[#This Row],[WEIGHT]]*9.81),0)</f>
        <v>0.10776175913790592</v>
      </c>
      <c r="S399" s="29">
        <v>0.17</v>
      </c>
      <c r="T399" s="26">
        <f>ROUND(IF(IFERROR(PROPERTIES[[#This Row],[TE_COEFFICIENT_CALC]],0)=0,PROPERTIES[[#This Row],[TE_COEFFICIENT_MANUAL]],PROPERTIES[[#This Row],[TE_COEFFICIENT_CALC]]),3)</f>
        <v>0.108</v>
      </c>
      <c r="U399" s="11">
        <v>40</v>
      </c>
      <c r="V399" s="9">
        <v>0</v>
      </c>
      <c r="W399" s="9">
        <v>0</v>
      </c>
      <c r="X399" s="10">
        <v>0</v>
      </c>
      <c r="Y399" t="s">
        <v>904</v>
      </c>
      <c r="Z399" t="s">
        <v>903</v>
      </c>
      <c r="AA399" s="2" t="s">
        <v>921</v>
      </c>
      <c r="AB399" s="9" t="s">
        <v>995</v>
      </c>
      <c r="AC399" s="9" t="s">
        <v>996</v>
      </c>
      <c r="AD399" s="10" t="str">
        <f>SUBSTITUTE(SUBSTITUTE(PROPERTIES[[#This Row],[PURCHASECOST_VALUE]], "PURCHASECOST_", ""), "_VALUE", "")</f>
        <v>ELECTRICENGINE</v>
      </c>
      <c r="AE399" s="9" t="str" cm="1">
        <f t="array" ref="AE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9" s="2" t="b">
        <v>0</v>
      </c>
      <c r="AX399"/>
      <c r="AY399"/>
      <c r="AZ399"/>
    </row>
    <row r="400" spans="1:52">
      <c r="A400" s="2" t="s">
        <v>424</v>
      </c>
      <c r="B400">
        <v>1955</v>
      </c>
      <c r="C400">
        <v>0</v>
      </c>
      <c r="D400" t="s">
        <v>1803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 s="2" t="s">
        <v>19</v>
      </c>
      <c r="K400" s="39">
        <f>_xlfn.XLOOKUP("LOADINGSPEEDDEF_"&amp;PROPERTIES[[#This Row],[LOADINGSPEED]],LOADINGSPEEDDEF[TYPE],LOADINGSPEEDDEF[SPEED])</f>
        <v>0</v>
      </c>
      <c r="L400">
        <v>45</v>
      </c>
      <c r="M400">
        <v>1</v>
      </c>
      <c r="N400" s="33">
        <v>120</v>
      </c>
      <c r="O400">
        <v>5770</v>
      </c>
      <c r="P400">
        <v>120</v>
      </c>
      <c r="Q400" s="30">
        <v>392</v>
      </c>
      <c r="R400" s="29">
        <f>IFERROR(PROPERTIES[[#This Row],[TE_STARTING_KN]]/(PROPERTIES[[#This Row],[WEIGHT]]*9.81),0)</f>
        <v>0.3329935440027183</v>
      </c>
      <c r="S400" s="29">
        <v>0.33</v>
      </c>
      <c r="T400" s="26">
        <f>ROUND(IF(IFERROR(PROPERTIES[[#This Row],[TE_COEFFICIENT_CALC]],0)=0,PROPERTIES[[#This Row],[TE_COEFFICIENT_MANUAL]],PROPERTIES[[#This Row],[TE_COEFFICIENT_CALC]]),3)</f>
        <v>0.33300000000000002</v>
      </c>
      <c r="U400" s="11">
        <v>40</v>
      </c>
      <c r="V400" s="9">
        <v>0</v>
      </c>
      <c r="W400" s="9">
        <v>0</v>
      </c>
      <c r="X400" s="10">
        <v>0</v>
      </c>
      <c r="Y400" t="s">
        <v>904</v>
      </c>
      <c r="Z400" t="s">
        <v>903</v>
      </c>
      <c r="AA400" s="2" t="s">
        <v>921</v>
      </c>
      <c r="AB400" s="9" t="s">
        <v>995</v>
      </c>
      <c r="AC400" s="9" t="s">
        <v>996</v>
      </c>
      <c r="AD400" s="10" t="str">
        <f>SUBSTITUTE(SUBSTITUTE(PROPERTIES[[#This Row],[PURCHASECOST_VALUE]], "PURCHASECOST_", ""), "_VALUE", "")</f>
        <v>ELECTRICENGINE</v>
      </c>
      <c r="AE400" s="9" t="str" cm="1">
        <f t="array" ref="AE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0" s="2" t="b">
        <v>0</v>
      </c>
      <c r="AX400"/>
      <c r="AY400"/>
      <c r="AZ400"/>
    </row>
    <row r="401" spans="1:52">
      <c r="A401" s="2" t="s">
        <v>425</v>
      </c>
      <c r="B401">
        <v>1991</v>
      </c>
      <c r="C401">
        <v>0</v>
      </c>
      <c r="D401" t="s">
        <v>1803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 s="2" t="s">
        <v>19</v>
      </c>
      <c r="K401" s="39">
        <f>_xlfn.XLOOKUP("LOADINGSPEEDDEF_"&amp;PROPERTIES[[#This Row],[LOADINGSPEED]],LOADINGSPEEDDEF[TYPE],LOADINGSPEEDDEF[SPEED])</f>
        <v>0</v>
      </c>
      <c r="L401" t="s">
        <v>20</v>
      </c>
      <c r="M401">
        <v>1</v>
      </c>
      <c r="N401" s="33">
        <v>84</v>
      </c>
      <c r="O401">
        <v>7510</v>
      </c>
      <c r="P401">
        <v>230</v>
      </c>
      <c r="Q401" s="30">
        <v>300</v>
      </c>
      <c r="R401" s="29">
        <f>IFERROR(PROPERTIES[[#This Row],[TE_STARTING_KN]]/(PROPERTIES[[#This Row],[WEIGHT]]*9.81),0)</f>
        <v>0.36405999708752002</v>
      </c>
      <c r="S401" s="29">
        <v>0.36</v>
      </c>
      <c r="T401" s="26">
        <f>ROUND(IF(IFERROR(PROPERTIES[[#This Row],[TE_COEFFICIENT_CALC]],0)=0,PROPERTIES[[#This Row],[TE_COEFFICIENT_MANUAL]],PROPERTIES[[#This Row],[TE_COEFFICIENT_CALC]]),3)</f>
        <v>0.36399999999999999</v>
      </c>
      <c r="U401" s="11">
        <v>40</v>
      </c>
      <c r="V401" s="9">
        <v>0</v>
      </c>
      <c r="W401" s="9">
        <v>0</v>
      </c>
      <c r="X401" s="10">
        <v>0</v>
      </c>
      <c r="Y401" t="s">
        <v>904</v>
      </c>
      <c r="Z401" t="s">
        <v>903</v>
      </c>
      <c r="AA401" s="2" t="s">
        <v>921</v>
      </c>
      <c r="AB401" s="9" t="s">
        <v>995</v>
      </c>
      <c r="AC401" s="9" t="s">
        <v>996</v>
      </c>
      <c r="AD401" s="10" t="str">
        <f>SUBSTITUTE(SUBSTITUTE(PROPERTIES[[#This Row],[PURCHASECOST_VALUE]], "PURCHASECOST_", ""), "_VALUE", "")</f>
        <v>ELECTRICENGINE</v>
      </c>
      <c r="AE401" s="9" t="str" cm="1">
        <f t="array" ref="AE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01" s="2" t="b">
        <v>0</v>
      </c>
      <c r="AX401"/>
      <c r="AY401"/>
      <c r="AZ401"/>
    </row>
    <row r="402" spans="1:52">
      <c r="A402" s="2" t="s">
        <v>426</v>
      </c>
      <c r="B402">
        <v>2012</v>
      </c>
      <c r="C402">
        <v>0</v>
      </c>
      <c r="D402" t="s">
        <v>1803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 s="2" t="s">
        <v>19</v>
      </c>
      <c r="K402" s="39">
        <f>_xlfn.XLOOKUP("LOADINGSPEEDDEF_"&amp;PROPERTIES[[#This Row],[LOADINGSPEED]],LOADINGSPEEDDEF[TYPE],LOADINGSPEEDDEF[SPEED])</f>
        <v>0</v>
      </c>
      <c r="L402" t="s">
        <v>20</v>
      </c>
      <c r="M402">
        <v>1</v>
      </c>
      <c r="N402" s="33">
        <v>45</v>
      </c>
      <c r="O402">
        <v>2012</v>
      </c>
      <c r="P402">
        <v>120</v>
      </c>
      <c r="Q402" s="30">
        <v>150</v>
      </c>
      <c r="R402" s="29">
        <f>IFERROR(PROPERTIES[[#This Row],[TE_STARTING_KN]]/(PROPERTIES[[#This Row],[WEIGHT]]*9.81),0)</f>
        <v>0.33978933061501865</v>
      </c>
      <c r="S402" s="29">
        <v>0.27</v>
      </c>
      <c r="T402" s="26">
        <f>ROUND(IF(IFERROR(PROPERTIES[[#This Row],[TE_COEFFICIENT_CALC]],0)=0,PROPERTIES[[#This Row],[TE_COEFFICIENT_MANUAL]],PROPERTIES[[#This Row],[TE_COEFFICIENT_CALC]]),3)</f>
        <v>0.34</v>
      </c>
      <c r="U402" s="11">
        <v>40</v>
      </c>
      <c r="V402" s="9">
        <v>0</v>
      </c>
      <c r="W402" s="9">
        <v>0</v>
      </c>
      <c r="X402" s="10">
        <v>0</v>
      </c>
      <c r="Y402" t="s">
        <v>904</v>
      </c>
      <c r="Z402" t="s">
        <v>903</v>
      </c>
      <c r="AA402" s="2" t="s">
        <v>921</v>
      </c>
      <c r="AB402" s="9" t="s">
        <v>995</v>
      </c>
      <c r="AC402" s="9" t="s">
        <v>996</v>
      </c>
      <c r="AD402" s="10" t="str">
        <f>SUBSTITUTE(SUBSTITUTE(PROPERTIES[[#This Row],[PURCHASECOST_VALUE]], "PURCHASECOST_", ""), "_VALUE", "")</f>
        <v>ELECTRICENGINE</v>
      </c>
      <c r="AE402" s="9" t="str" cm="1">
        <f t="array" ref="AE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2" s="2" t="b">
        <v>0</v>
      </c>
      <c r="AX402"/>
      <c r="AY402"/>
      <c r="AZ402"/>
    </row>
    <row r="403" spans="1:52">
      <c r="A403" s="2" t="s">
        <v>427</v>
      </c>
      <c r="B403">
        <v>1974</v>
      </c>
      <c r="C403">
        <v>0</v>
      </c>
      <c r="D403" t="s">
        <v>1772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 s="2" t="s">
        <v>19</v>
      </c>
      <c r="K403" s="39">
        <f>_xlfn.XLOOKUP("LOADINGSPEEDDEF_"&amp;PROPERTIES[[#This Row],[LOADINGSPEED]],LOADINGSPEEDDEF[TYPE],LOADINGSPEEDDEF[SPEED])</f>
        <v>0</v>
      </c>
      <c r="L403">
        <v>45</v>
      </c>
      <c r="M403">
        <v>1</v>
      </c>
      <c r="N403" s="33">
        <v>84</v>
      </c>
      <c r="O403">
        <v>6970</v>
      </c>
      <c r="P403">
        <v>160</v>
      </c>
      <c r="Q403" s="30">
        <v>341</v>
      </c>
      <c r="R403" s="29">
        <f>IFERROR(PROPERTIES[[#This Row],[TE_STARTING_KN]]/(PROPERTIES[[#This Row],[WEIGHT]]*9.81),0)</f>
        <v>0.4138148633561477</v>
      </c>
      <c r="S403" s="29">
        <v>0.39</v>
      </c>
      <c r="T403" s="26">
        <f>ROUND(IF(IFERROR(PROPERTIES[[#This Row],[TE_COEFFICIENT_CALC]],0)=0,PROPERTIES[[#This Row],[TE_COEFFICIENT_MANUAL]],PROPERTIES[[#This Row],[TE_COEFFICIENT_CALC]]),3)</f>
        <v>0.41399999999999998</v>
      </c>
      <c r="U403" s="11">
        <v>40</v>
      </c>
      <c r="V403" s="9">
        <v>0</v>
      </c>
      <c r="W403" s="9">
        <v>0</v>
      </c>
      <c r="X403" s="10">
        <v>0</v>
      </c>
      <c r="Y403" t="s">
        <v>904</v>
      </c>
      <c r="Z403" t="s">
        <v>903</v>
      </c>
      <c r="AA403" s="2" t="s">
        <v>921</v>
      </c>
      <c r="AB403" s="9" t="s">
        <v>995</v>
      </c>
      <c r="AC403" s="9" t="s">
        <v>996</v>
      </c>
      <c r="AD403" s="10" t="str">
        <f>SUBSTITUTE(SUBSTITUTE(PROPERTIES[[#This Row],[PURCHASECOST_VALUE]], "PURCHASECOST_", ""), "_VALUE", "")</f>
        <v>ELECTRICENGINE</v>
      </c>
      <c r="AE403" s="9" t="str" cm="1">
        <f t="array" ref="AE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03" s="2" t="b">
        <v>0</v>
      </c>
      <c r="AX403"/>
      <c r="AY403"/>
      <c r="AZ403"/>
    </row>
    <row r="404" spans="1:52">
      <c r="A404" s="2" t="s">
        <v>428</v>
      </c>
      <c r="B404">
        <v>1982</v>
      </c>
      <c r="C404">
        <v>0</v>
      </c>
      <c r="D404" t="s">
        <v>1772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 s="2" t="s">
        <v>19</v>
      </c>
      <c r="K404" s="39">
        <f>_xlfn.XLOOKUP("LOADINGSPEEDDEF_"&amp;PROPERTIES[[#This Row],[LOADINGSPEED]],LOADINGSPEEDDEF[TYPE],LOADINGSPEEDDEF[SPEED])</f>
        <v>0</v>
      </c>
      <c r="L404">
        <v>45</v>
      </c>
      <c r="M404">
        <v>1</v>
      </c>
      <c r="N404" s="33">
        <v>82</v>
      </c>
      <c r="O404">
        <v>2680</v>
      </c>
      <c r="P404">
        <v>100</v>
      </c>
      <c r="Q404" s="30">
        <v>260</v>
      </c>
      <c r="R404" s="29">
        <f>IFERROR(PROPERTIES[[#This Row],[TE_STARTING_KN]]/(PROPERTIES[[#This Row],[WEIGHT]]*9.81),0)</f>
        <v>0.32321424131672505</v>
      </c>
      <c r="S404" s="29">
        <v>0.32</v>
      </c>
      <c r="T404" s="26">
        <f>ROUND(IF(IFERROR(PROPERTIES[[#This Row],[TE_COEFFICIENT_CALC]],0)=0,PROPERTIES[[#This Row],[TE_COEFFICIENT_MANUAL]],PROPERTIES[[#This Row],[TE_COEFFICIENT_CALC]]),3)</f>
        <v>0.32300000000000001</v>
      </c>
      <c r="U404" s="11">
        <v>40</v>
      </c>
      <c r="V404" s="9">
        <v>0</v>
      </c>
      <c r="W404" s="9">
        <v>0</v>
      </c>
      <c r="X404" s="10">
        <v>0</v>
      </c>
      <c r="Y404" t="s">
        <v>904</v>
      </c>
      <c r="Z404" t="s">
        <v>903</v>
      </c>
      <c r="AA404" s="2" t="s">
        <v>921</v>
      </c>
      <c r="AB404" s="9" t="s">
        <v>995</v>
      </c>
      <c r="AC404" s="9" t="s">
        <v>996</v>
      </c>
      <c r="AD404" s="10" t="str">
        <f>SUBSTITUTE(SUBSTITUTE(PROPERTIES[[#This Row],[PURCHASECOST_VALUE]], "PURCHASECOST_", ""), "_VALUE", "")</f>
        <v>ELECTRICENGINE</v>
      </c>
      <c r="AE404" s="9" t="str" cm="1">
        <f t="array" ref="AE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4" s="2" t="b">
        <v>0</v>
      </c>
      <c r="AX404"/>
      <c r="AY404"/>
      <c r="AZ404"/>
    </row>
    <row r="405" spans="1:52">
      <c r="A405" s="2" t="s">
        <v>429</v>
      </c>
      <c r="B405">
        <v>1953</v>
      </c>
      <c r="C405">
        <v>0</v>
      </c>
      <c r="D405" t="s">
        <v>1956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 s="2" t="s">
        <v>19</v>
      </c>
      <c r="K405" s="39">
        <f>_xlfn.XLOOKUP("LOADINGSPEEDDEF_"&amp;PROPERTIES[[#This Row],[LOADINGSPEED]],LOADINGSPEEDDEF[TYPE],LOADINGSPEEDDEF[SPEED])</f>
        <v>0</v>
      </c>
      <c r="L405">
        <v>45</v>
      </c>
      <c r="M405">
        <v>0</v>
      </c>
      <c r="N405" s="33">
        <v>273</v>
      </c>
      <c r="O405">
        <v>9700</v>
      </c>
      <c r="P405">
        <v>75</v>
      </c>
      <c r="Q405" s="30">
        <v>940</v>
      </c>
      <c r="R405" s="29">
        <f>IFERROR(PROPERTIES[[#This Row],[TE_STARTING_KN]]/(PROPERTIES[[#This Row],[WEIGHT]]*9.81),0)</f>
        <v>0.35099117667925006</v>
      </c>
      <c r="S405" s="29">
        <v>0.34</v>
      </c>
      <c r="T405" s="26">
        <f>ROUND(IF(IFERROR(PROPERTIES[[#This Row],[TE_COEFFICIENT_CALC]],0)=0,PROPERTIES[[#This Row],[TE_COEFFICIENT_MANUAL]],PROPERTIES[[#This Row],[TE_COEFFICIENT_CALC]]),3)</f>
        <v>0.35099999999999998</v>
      </c>
      <c r="U405" s="11">
        <v>40</v>
      </c>
      <c r="V405" s="9">
        <v>0</v>
      </c>
      <c r="W405" s="9">
        <v>0</v>
      </c>
      <c r="X405" s="10">
        <v>0</v>
      </c>
      <c r="Y405" t="s">
        <v>908</v>
      </c>
      <c r="Z405" t="s">
        <v>903</v>
      </c>
      <c r="AA405" s="2" t="s">
        <v>921</v>
      </c>
      <c r="AB405" s="9" t="s">
        <v>995</v>
      </c>
      <c r="AC405" s="9" t="s">
        <v>996</v>
      </c>
      <c r="AD405" s="10" t="str">
        <f>SUBSTITUTE(SUBSTITUTE(PROPERTIES[[#This Row],[PURCHASECOST_VALUE]], "PURCHASECOST_", ""), "_VALUE", "")</f>
        <v>ELECTRICENGINE</v>
      </c>
      <c r="AE405" s="9" t="str" cm="1">
        <f t="array" ref="AE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5" s="2" t="b">
        <v>0</v>
      </c>
      <c r="AX405"/>
      <c r="AY405"/>
      <c r="AZ405"/>
    </row>
    <row r="406" spans="1:52">
      <c r="A406" s="2" t="s">
        <v>430</v>
      </c>
      <c r="B406">
        <v>2000</v>
      </c>
      <c r="C406">
        <v>0</v>
      </c>
      <c r="D406" t="s">
        <v>1956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 s="2" t="s">
        <v>19</v>
      </c>
      <c r="K406" s="39">
        <f>_xlfn.XLOOKUP("LOADINGSPEEDDEF_"&amp;PROPERTIES[[#This Row],[LOADINGSPEED]],LOADINGSPEEDDEF[TYPE],LOADINGSPEEDDEF[SPEED])</f>
        <v>0</v>
      </c>
      <c r="L406" t="s">
        <v>20</v>
      </c>
      <c r="M406">
        <v>0</v>
      </c>
      <c r="N406" s="33">
        <f>180*2</f>
        <v>360</v>
      </c>
      <c r="O406">
        <f>7200*2</f>
        <v>14400</v>
      </c>
      <c r="P406">
        <v>80</v>
      </c>
      <c r="Q406" s="30">
        <f>600*2</f>
        <v>1200</v>
      </c>
      <c r="R406" s="29">
        <f>IFERROR(PROPERTIES[[#This Row],[TE_STARTING_KN]]/(PROPERTIES[[#This Row],[WEIGHT]]*9.81),0)</f>
        <v>0.33978933061501865</v>
      </c>
      <c r="S406" s="29">
        <v>0.39</v>
      </c>
      <c r="T406" s="26">
        <f>ROUND(IF(IFERROR(PROPERTIES[[#This Row],[TE_COEFFICIENT_CALC]],0)=0,PROPERTIES[[#This Row],[TE_COEFFICIENT_MANUAL]],PROPERTIES[[#This Row],[TE_COEFFICIENT_CALC]]),3)</f>
        <v>0.34</v>
      </c>
      <c r="U406" s="11">
        <v>40</v>
      </c>
      <c r="V406" s="9">
        <v>0</v>
      </c>
      <c r="W406" s="9">
        <v>8</v>
      </c>
      <c r="X406" s="10">
        <v>0</v>
      </c>
      <c r="Y406" t="s">
        <v>908</v>
      </c>
      <c r="Z406" t="s">
        <v>903</v>
      </c>
      <c r="AA406" s="2" t="s">
        <v>921</v>
      </c>
      <c r="AB406" s="9" t="s">
        <v>995</v>
      </c>
      <c r="AC406" s="9" t="s">
        <v>996</v>
      </c>
      <c r="AD406" s="10" t="str">
        <f>SUBSTITUTE(SUBSTITUTE(PROPERTIES[[#This Row],[PURCHASECOST_VALUE]], "PURCHASECOST_", ""), "_VALUE", "")</f>
        <v>ELECTRICENGINE</v>
      </c>
      <c r="AE406" s="9" t="str" cm="1">
        <f t="array" ref="AE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6" s="2" t="b">
        <v>0</v>
      </c>
      <c r="AX406"/>
      <c r="AY406"/>
      <c r="AZ406"/>
    </row>
    <row r="407" spans="1:52">
      <c r="A407" s="2" t="s">
        <v>431</v>
      </c>
      <c r="B407">
        <v>1914</v>
      </c>
      <c r="C407">
        <v>0</v>
      </c>
      <c r="D407" t="s">
        <v>1956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 s="2" t="s">
        <v>19</v>
      </c>
      <c r="K407" s="39">
        <f>_xlfn.XLOOKUP("LOADINGSPEEDDEF_"&amp;PROPERTIES[[#This Row],[LOADINGSPEED]],LOADINGSPEEDDEF[TYPE],LOADINGSPEEDDEF[SPEED])</f>
        <v>0</v>
      </c>
      <c r="L407">
        <v>45</v>
      </c>
      <c r="M407">
        <v>0</v>
      </c>
      <c r="N407" s="33">
        <v>125</v>
      </c>
      <c r="O407">
        <v>1600</v>
      </c>
      <c r="P407">
        <v>60</v>
      </c>
      <c r="Q407" s="30">
        <v>248</v>
      </c>
      <c r="R407" s="29">
        <f>IFERROR(PROPERTIES[[#This Row],[TE_STARTING_KN]]/(PROPERTIES[[#This Row],[WEIGHT]]*9.81),0)</f>
        <v>0.20224260958205911</v>
      </c>
      <c r="S407" s="29">
        <v>0.2</v>
      </c>
      <c r="T407" s="26">
        <f>ROUND(IF(IFERROR(PROPERTIES[[#This Row],[TE_COEFFICIENT_CALC]],0)=0,PROPERTIES[[#This Row],[TE_COEFFICIENT_MANUAL]],PROPERTIES[[#This Row],[TE_COEFFICIENT_CALC]]),3)</f>
        <v>0.20200000000000001</v>
      </c>
      <c r="U407" s="11">
        <v>40</v>
      </c>
      <c r="V407" s="9">
        <v>0</v>
      </c>
      <c r="W407" s="9">
        <v>6</v>
      </c>
      <c r="X407" s="10">
        <v>0</v>
      </c>
      <c r="Y407" t="s">
        <v>908</v>
      </c>
      <c r="Z407" t="s">
        <v>903</v>
      </c>
      <c r="AA407" s="2" t="s">
        <v>921</v>
      </c>
      <c r="AB407" s="9" t="s">
        <v>995</v>
      </c>
      <c r="AC407" s="9" t="s">
        <v>996</v>
      </c>
      <c r="AD407" s="10" t="str">
        <f>SUBSTITUTE(SUBSTITUTE(PROPERTIES[[#This Row],[PURCHASECOST_VALUE]], "PURCHASECOST_", ""), "_VALUE", "")</f>
        <v>ELECTRICENGINE</v>
      </c>
      <c r="AE407" s="9" t="str" cm="1">
        <f t="array" ref="AE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7" s="2" t="b">
        <v>0</v>
      </c>
      <c r="AX407"/>
      <c r="AY407"/>
      <c r="AZ407"/>
    </row>
    <row r="408" spans="1:52">
      <c r="A408" s="2" t="s">
        <v>432</v>
      </c>
      <c r="B408">
        <v>1942</v>
      </c>
      <c r="C408">
        <v>0</v>
      </c>
      <c r="D408" t="s">
        <v>1956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 s="2" t="s">
        <v>19</v>
      </c>
      <c r="K408" s="39">
        <f>_xlfn.XLOOKUP("LOADINGSPEEDDEF_"&amp;PROPERTIES[[#This Row],[LOADINGSPEED]],LOADINGSPEEDDEF[TYPE],LOADINGSPEEDDEF[SPEED])</f>
        <v>0</v>
      </c>
      <c r="L408">
        <v>45</v>
      </c>
      <c r="M408">
        <v>1</v>
      </c>
      <c r="N408" s="33">
        <v>102</v>
      </c>
      <c r="O408">
        <v>3460</v>
      </c>
      <c r="P408">
        <v>135</v>
      </c>
      <c r="Q408" s="30">
        <v>203</v>
      </c>
      <c r="R408" s="29">
        <f>IFERROR(PROPERTIES[[#This Row],[TE_STARTING_KN]]/(PROPERTIES[[#This Row],[WEIGHT]]*9.81),0)</f>
        <v>0.20287421798484939</v>
      </c>
      <c r="S408" s="29">
        <v>0.2</v>
      </c>
      <c r="T408" s="26">
        <f>ROUND(IF(IFERROR(PROPERTIES[[#This Row],[TE_COEFFICIENT_CALC]],0)=0,PROPERTIES[[#This Row],[TE_COEFFICIENT_MANUAL]],PROPERTIES[[#This Row],[TE_COEFFICIENT_CALC]]),3)</f>
        <v>0.20300000000000001</v>
      </c>
      <c r="U408" s="11">
        <v>40</v>
      </c>
      <c r="V408" s="9">
        <v>0</v>
      </c>
      <c r="W408" s="9">
        <v>0</v>
      </c>
      <c r="X408" s="10">
        <v>0</v>
      </c>
      <c r="Y408" t="s">
        <v>908</v>
      </c>
      <c r="Z408" t="s">
        <v>903</v>
      </c>
      <c r="AA408" s="2" t="s">
        <v>921</v>
      </c>
      <c r="AB408" s="9" t="s">
        <v>995</v>
      </c>
      <c r="AC408" s="9" t="s">
        <v>996</v>
      </c>
      <c r="AD408" s="10" t="str">
        <f>SUBSTITUTE(SUBSTITUTE(PROPERTIES[[#This Row],[PURCHASECOST_VALUE]], "PURCHASECOST_", ""), "_VALUE", "")</f>
        <v>ELECTRICENGINE</v>
      </c>
      <c r="AE408" s="9" t="str" cm="1">
        <f t="array" ref="AE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8" s="2" t="b">
        <v>0</v>
      </c>
      <c r="AX408"/>
      <c r="AY408"/>
      <c r="AZ408"/>
    </row>
    <row r="409" spans="1:52">
      <c r="A409" s="2" t="s">
        <v>433</v>
      </c>
      <c r="B409">
        <v>1982</v>
      </c>
      <c r="C409">
        <v>0</v>
      </c>
      <c r="D409" t="s">
        <v>1926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 s="2" t="s">
        <v>23</v>
      </c>
      <c r="K409" s="39">
        <f>_xlfn.XLOOKUP("LOADINGSPEEDDEF_"&amp;PROPERTIES[[#This Row],[LOADINGSPEED]],LOADINGSPEEDDEF[TYPE],LOADINGSPEEDDEF[SPEED])</f>
        <v>40</v>
      </c>
      <c r="L409">
        <v>45</v>
      </c>
      <c r="M409">
        <v>1</v>
      </c>
      <c r="N409" s="33">
        <v>64</v>
      </c>
      <c r="O409">
        <v>4000</v>
      </c>
      <c r="P409">
        <v>150</v>
      </c>
      <c r="Q409" s="30">
        <v>240</v>
      </c>
      <c r="R409" s="29">
        <f>IFERROR(PROPERTIES[[#This Row],[TE_STARTING_KN]]/(PROPERTIES[[#This Row],[WEIGHT]]*9.81),0)</f>
        <v>0.38226299694189603</v>
      </c>
      <c r="S409" s="29">
        <v>0.38</v>
      </c>
      <c r="T409" s="26">
        <f>ROUND(IF(IFERROR(PROPERTIES[[#This Row],[TE_COEFFICIENT_CALC]],0)=0,PROPERTIES[[#This Row],[TE_COEFFICIENT_MANUAL]],PROPERTIES[[#This Row],[TE_COEFFICIENT_CALC]]),3)</f>
        <v>0.38200000000000001</v>
      </c>
      <c r="U409" s="11">
        <v>40</v>
      </c>
      <c r="V409" s="9">
        <v>0</v>
      </c>
      <c r="W409" s="9">
        <v>0</v>
      </c>
      <c r="X409" s="10">
        <v>0</v>
      </c>
      <c r="Y409" t="s">
        <v>908</v>
      </c>
      <c r="Z409" t="s">
        <v>903</v>
      </c>
      <c r="AA409" s="2" t="s">
        <v>921</v>
      </c>
      <c r="AB409" s="9" t="s">
        <v>995</v>
      </c>
      <c r="AC409" s="9" t="s">
        <v>996</v>
      </c>
      <c r="AD409" s="10" t="str">
        <f>SUBSTITUTE(SUBSTITUTE(PROPERTIES[[#This Row],[PURCHASECOST_VALUE]], "PURCHASECOST_", ""), "_VALUE", "")</f>
        <v>ELECTRICENGINE</v>
      </c>
      <c r="AE409" s="9" t="str" cm="1">
        <f t="array" ref="AE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09" s="2" t="b">
        <v>0</v>
      </c>
      <c r="AX409"/>
      <c r="AY409"/>
      <c r="AZ409"/>
    </row>
    <row r="410" spans="1:52">
      <c r="A410" s="2" t="s">
        <v>434</v>
      </c>
      <c r="B410">
        <v>1914</v>
      </c>
      <c r="C410">
        <v>0</v>
      </c>
      <c r="D410" t="s">
        <v>1817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 s="2" t="s">
        <v>19</v>
      </c>
      <c r="K410" s="39">
        <f>_xlfn.XLOOKUP("LOADINGSPEEDDEF_"&amp;PROPERTIES[[#This Row],[LOADINGSPEED]],LOADINGSPEEDDEF[TYPE],LOADINGSPEEDDEF[SPEED])</f>
        <v>0</v>
      </c>
      <c r="L410">
        <v>45</v>
      </c>
      <c r="M410">
        <v>1</v>
      </c>
      <c r="N410" s="33">
        <v>81</v>
      </c>
      <c r="O410">
        <v>1186</v>
      </c>
      <c r="P410">
        <v>100</v>
      </c>
      <c r="Q410" s="30">
        <v>81</v>
      </c>
      <c r="R410" s="29">
        <f>IFERROR(PROPERTIES[[#This Row],[TE_STARTING_KN]]/(PROPERTIES[[#This Row],[WEIGHT]]*9.81),0)</f>
        <v>0.1019367991845056</v>
      </c>
      <c r="S410" s="29">
        <v>0.1</v>
      </c>
      <c r="T410" s="26">
        <f>ROUND(IF(IFERROR(PROPERTIES[[#This Row],[TE_COEFFICIENT_CALC]],0)=0,PROPERTIES[[#This Row],[TE_COEFFICIENT_MANUAL]],PROPERTIES[[#This Row],[TE_COEFFICIENT_CALC]]),3)</f>
        <v>0.10199999999999999</v>
      </c>
      <c r="U410" s="11">
        <v>40</v>
      </c>
      <c r="V410" s="9">
        <v>0</v>
      </c>
      <c r="W410" s="9">
        <v>0</v>
      </c>
      <c r="X410" s="10">
        <v>0</v>
      </c>
      <c r="Y410" t="s">
        <v>904</v>
      </c>
      <c r="Z410" t="s">
        <v>903</v>
      </c>
      <c r="AA410" s="2" t="s">
        <v>921</v>
      </c>
      <c r="AB410" s="9" t="s">
        <v>995</v>
      </c>
      <c r="AC410" s="9" t="s">
        <v>996</v>
      </c>
      <c r="AD410" s="10" t="str">
        <f>SUBSTITUTE(SUBSTITUTE(PROPERTIES[[#This Row],[PURCHASECOST_VALUE]], "PURCHASECOST_", ""), "_VALUE", "")</f>
        <v>ELECTRICENGINE</v>
      </c>
      <c r="AE410" s="9" t="str" cm="1">
        <f t="array" ref="AE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0" s="2" t="b">
        <v>0</v>
      </c>
      <c r="AX410"/>
      <c r="AY410"/>
      <c r="AZ410"/>
    </row>
    <row r="411" spans="1:52">
      <c r="A411" s="2" t="s">
        <v>435</v>
      </c>
      <c r="B411">
        <v>1948</v>
      </c>
      <c r="C411">
        <v>0</v>
      </c>
      <c r="D411" t="s">
        <v>1992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 s="2" t="s">
        <v>19</v>
      </c>
      <c r="K411" s="39">
        <f>_xlfn.XLOOKUP("LOADINGSPEEDDEF_"&amp;PROPERTIES[[#This Row],[LOADINGSPEED]],LOADINGSPEEDDEF[TYPE],LOADINGSPEEDDEF[SPEED])</f>
        <v>0</v>
      </c>
      <c r="L411">
        <v>45</v>
      </c>
      <c r="M411">
        <v>1</v>
      </c>
      <c r="N411" s="33">
        <v>450</v>
      </c>
      <c r="O411">
        <v>6800</v>
      </c>
      <c r="P411">
        <v>80</v>
      </c>
      <c r="Q411" s="30">
        <v>1200</v>
      </c>
      <c r="R411" s="29">
        <f>IFERROR(PROPERTIES[[#This Row],[TE_STARTING_KN]]/(PROPERTIES[[#This Row],[WEIGHT]]*9.81),0)</f>
        <v>0.27183146449201495</v>
      </c>
      <c r="S411" s="29">
        <v>0.16</v>
      </c>
      <c r="T411" s="26">
        <f>ROUND(IF(IFERROR(PROPERTIES[[#This Row],[TE_COEFFICIENT_CALC]],0)=0,PROPERTIES[[#This Row],[TE_COEFFICIENT_MANUAL]],PROPERTIES[[#This Row],[TE_COEFFICIENT_CALC]]),3)</f>
        <v>0.27200000000000002</v>
      </c>
      <c r="U411" s="11">
        <v>40</v>
      </c>
      <c r="V411" s="9">
        <v>0</v>
      </c>
      <c r="W411" s="9">
        <v>0</v>
      </c>
      <c r="X411" s="10">
        <v>0</v>
      </c>
      <c r="Y411" t="s">
        <v>909</v>
      </c>
      <c r="Z411" t="s">
        <v>903</v>
      </c>
      <c r="AA411" s="2" t="s">
        <v>921</v>
      </c>
      <c r="AB411" s="9" t="s">
        <v>995</v>
      </c>
      <c r="AC411" s="9" t="s">
        <v>996</v>
      </c>
      <c r="AD411" s="10" t="str">
        <f>SUBSTITUTE(SUBSTITUTE(PROPERTIES[[#This Row],[PURCHASECOST_VALUE]], "PURCHASECOST_", ""), "_VALUE", "")</f>
        <v>ELECTRICENGINE</v>
      </c>
      <c r="AE411" s="9" t="str" cm="1">
        <f t="array" ref="AE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1" s="2" t="b">
        <v>0</v>
      </c>
      <c r="AX411"/>
      <c r="AY411"/>
      <c r="AZ411"/>
    </row>
    <row r="412" spans="1:52">
      <c r="A412" s="2" t="s">
        <v>436</v>
      </c>
      <c r="B412">
        <v>1947</v>
      </c>
      <c r="C412">
        <v>0</v>
      </c>
      <c r="D412" t="s">
        <v>1992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 s="2" t="s">
        <v>19</v>
      </c>
      <c r="K412" s="39">
        <f>_xlfn.XLOOKUP("LOADINGSPEEDDEF_"&amp;PROPERTIES[[#This Row],[LOADINGSPEED]],LOADINGSPEEDDEF[TYPE],LOADINGSPEEDDEF[SPEED])</f>
        <v>0</v>
      </c>
      <c r="L412">
        <v>45</v>
      </c>
      <c r="M412">
        <v>1</v>
      </c>
      <c r="N412" s="33">
        <v>330</v>
      </c>
      <c r="O412">
        <v>5000</v>
      </c>
      <c r="P412">
        <v>105</v>
      </c>
      <c r="Q412" s="30">
        <v>530</v>
      </c>
      <c r="R412" s="29">
        <f>IFERROR(PROPERTIES[[#This Row],[TE_STARTING_KN]]/(PROPERTIES[[#This Row],[WEIGHT]]*9.81),0)</f>
        <v>0.16371667747814536</v>
      </c>
      <c r="S412" s="29">
        <v>0.16</v>
      </c>
      <c r="T412" s="26">
        <f>ROUND(IF(IFERROR(PROPERTIES[[#This Row],[TE_COEFFICIENT_CALC]],0)=0,PROPERTIES[[#This Row],[TE_COEFFICIENT_MANUAL]],PROPERTIES[[#This Row],[TE_COEFFICIENT_CALC]]),3)</f>
        <v>0.16400000000000001</v>
      </c>
      <c r="U412" s="11">
        <v>40</v>
      </c>
      <c r="V412" s="9">
        <v>0</v>
      </c>
      <c r="W412" s="9">
        <v>4</v>
      </c>
      <c r="X412" s="10">
        <v>0</v>
      </c>
      <c r="Y412" t="s">
        <v>909</v>
      </c>
      <c r="Z412" t="s">
        <v>903</v>
      </c>
      <c r="AA412" s="2" t="s">
        <v>921</v>
      </c>
      <c r="AB412" s="9" t="s">
        <v>995</v>
      </c>
      <c r="AC412" s="9" t="s">
        <v>996</v>
      </c>
      <c r="AD412" s="10" t="str">
        <f>SUBSTITUTE(SUBSTITUTE(PROPERTIES[[#This Row],[PURCHASECOST_VALUE]], "PURCHASECOST_", ""), "_VALUE", "")</f>
        <v>ELECTRICENGINE</v>
      </c>
      <c r="AE412" s="9" t="str" cm="1">
        <f t="array" ref="AE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2" s="2" t="b">
        <v>0</v>
      </c>
      <c r="AX412"/>
      <c r="AY412"/>
      <c r="AZ412"/>
    </row>
    <row r="413" spans="1:52">
      <c r="A413" s="2" t="s">
        <v>437</v>
      </c>
      <c r="B413">
        <v>1926</v>
      </c>
      <c r="C413">
        <v>0</v>
      </c>
      <c r="D413" t="s">
        <v>1992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 s="2" t="s">
        <v>23</v>
      </c>
      <c r="K413" s="39">
        <f>_xlfn.XLOOKUP("LOADINGSPEEDDEF_"&amp;PROPERTIES[[#This Row],[LOADINGSPEED]],LOADINGSPEEDDEF[TYPE],LOADINGSPEEDDEF[SPEED])</f>
        <v>40</v>
      </c>
      <c r="L413">
        <v>45</v>
      </c>
      <c r="M413">
        <v>1</v>
      </c>
      <c r="N413" s="33">
        <v>71</v>
      </c>
      <c r="O413">
        <v>700</v>
      </c>
      <c r="P413">
        <v>40</v>
      </c>
      <c r="Q413" s="30">
        <v>174.6</v>
      </c>
      <c r="R413" s="29">
        <f>IFERROR(PROPERTIES[[#This Row],[TE_STARTING_KN]]/(PROPERTIES[[#This Row],[WEIGHT]]*9.81),0)</f>
        <v>0.25067838221992506</v>
      </c>
      <c r="S413" s="29">
        <v>0.25</v>
      </c>
      <c r="T413" s="26">
        <f>ROUND(IF(IFERROR(PROPERTIES[[#This Row],[TE_COEFFICIENT_CALC]],0)=0,PROPERTIES[[#This Row],[TE_COEFFICIENT_MANUAL]],PROPERTIES[[#This Row],[TE_COEFFICIENT_CALC]]),3)</f>
        <v>0.251</v>
      </c>
      <c r="U413" s="11">
        <v>40</v>
      </c>
      <c r="V413" s="9">
        <v>0</v>
      </c>
      <c r="W413" s="9">
        <v>0</v>
      </c>
      <c r="X413" s="10">
        <v>0</v>
      </c>
      <c r="Y413" t="s">
        <v>909</v>
      </c>
      <c r="Z413" t="s">
        <v>903</v>
      </c>
      <c r="AA413" s="2" t="s">
        <v>921</v>
      </c>
      <c r="AB413" s="9" t="s">
        <v>995</v>
      </c>
      <c r="AC413" s="9" t="s">
        <v>996</v>
      </c>
      <c r="AD413" s="10" t="str">
        <f>SUBSTITUTE(SUBSTITUTE(PROPERTIES[[#This Row],[PURCHASECOST_VALUE]], "PURCHASECOST_", ""), "_VALUE", "")</f>
        <v>ELECTRICENGINE</v>
      </c>
      <c r="AE413" s="9" t="str" cm="1">
        <f t="array" ref="AE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413" s="2" t="b">
        <v>0</v>
      </c>
      <c r="AX413"/>
      <c r="AY413"/>
      <c r="AZ413"/>
    </row>
    <row r="414" spans="1:52">
      <c r="A414" s="2" t="s">
        <v>438</v>
      </c>
      <c r="B414">
        <v>2008</v>
      </c>
      <c r="C414">
        <v>0</v>
      </c>
      <c r="D414" t="s">
        <v>1773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 s="2" t="s">
        <v>19</v>
      </c>
      <c r="K414" s="39">
        <f>_xlfn.XLOOKUP("LOADINGSPEEDDEF_"&amp;PROPERTIES[[#This Row],[LOADINGSPEED]],LOADINGSPEEDDEF[TYPE],LOADINGSPEEDDEF[SPEED])</f>
        <v>0</v>
      </c>
      <c r="L414" t="s">
        <v>20</v>
      </c>
      <c r="M414">
        <v>1</v>
      </c>
      <c r="N414" s="33">
        <v>109</v>
      </c>
      <c r="O414">
        <v>5360</v>
      </c>
      <c r="P414">
        <v>80</v>
      </c>
      <c r="Q414" s="30">
        <v>450</v>
      </c>
      <c r="R414" s="29">
        <f>IFERROR(PROPERTIES[[#This Row],[TE_STARTING_KN]]/(PROPERTIES[[#This Row],[WEIGHT]]*9.81),0)</f>
        <v>0.42083999663328003</v>
      </c>
      <c r="S414" s="29">
        <v>0.41</v>
      </c>
      <c r="T414" s="26">
        <f>ROUND(IF(IFERROR(PROPERTIES[[#This Row],[TE_COEFFICIENT_CALC]],0)=0,PROPERTIES[[#This Row],[TE_COEFFICIENT_MANUAL]],PROPERTIES[[#This Row],[TE_COEFFICIENT_CALC]]),3)</f>
        <v>0.42099999999999999</v>
      </c>
      <c r="U414" s="11">
        <v>40</v>
      </c>
      <c r="V414" s="9">
        <v>0</v>
      </c>
      <c r="W414" s="9">
        <v>0</v>
      </c>
      <c r="X414" s="10">
        <v>0</v>
      </c>
      <c r="Y414" t="s">
        <v>906</v>
      </c>
      <c r="Z414" t="s">
        <v>903</v>
      </c>
      <c r="AA414" s="2" t="s">
        <v>921</v>
      </c>
      <c r="AB414" s="9" t="s">
        <v>995</v>
      </c>
      <c r="AC414" s="9" t="s">
        <v>996</v>
      </c>
      <c r="AD414" s="10" t="str">
        <f>SUBSTITUTE(SUBSTITUTE(PROPERTIES[[#This Row],[PURCHASECOST_VALUE]], "PURCHASECOST_", ""), "_VALUE", "")</f>
        <v>ELECTRICENGINE</v>
      </c>
      <c r="AE414" s="9" t="str" cm="1">
        <f t="array" ref="AE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4" s="2" t="b">
        <v>0</v>
      </c>
      <c r="AX414"/>
      <c r="AY414"/>
      <c r="AZ414"/>
    </row>
    <row r="415" spans="1:52">
      <c r="A415" s="2" t="s">
        <v>439</v>
      </c>
      <c r="B415">
        <v>1991</v>
      </c>
      <c r="C415">
        <v>0</v>
      </c>
      <c r="D415" t="s">
        <v>1808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 s="2" t="s">
        <v>19</v>
      </c>
      <c r="K415" s="39">
        <f>_xlfn.XLOOKUP("LOADINGSPEEDDEF_"&amp;PROPERTIES[[#This Row],[LOADINGSPEED]],LOADINGSPEEDDEF[TYPE],LOADINGSPEEDDEF[SPEED])</f>
        <v>0</v>
      </c>
      <c r="L415" t="s">
        <v>20</v>
      </c>
      <c r="M415">
        <v>1</v>
      </c>
      <c r="N415" s="33">
        <v>138</v>
      </c>
      <c r="O415">
        <v>6400</v>
      </c>
      <c r="P415">
        <v>100</v>
      </c>
      <c r="Q415" s="30">
        <v>485</v>
      </c>
      <c r="R415" s="29">
        <f>IFERROR(PROPERTIES[[#This Row],[TE_STARTING_KN]]/(PROPERTIES[[#This Row],[WEIGHT]]*9.81),0)</f>
        <v>0.35825614206148709</v>
      </c>
      <c r="S415" s="29">
        <v>0.35</v>
      </c>
      <c r="T415" s="26">
        <f>ROUND(IF(IFERROR(PROPERTIES[[#This Row],[TE_COEFFICIENT_CALC]],0)=0,PROPERTIES[[#This Row],[TE_COEFFICIENT_MANUAL]],PROPERTIES[[#This Row],[TE_COEFFICIENT_CALC]]),3)</f>
        <v>0.35799999999999998</v>
      </c>
      <c r="U415" s="11">
        <v>40</v>
      </c>
      <c r="V415" s="9">
        <v>0</v>
      </c>
      <c r="W415" s="9">
        <v>0</v>
      </c>
      <c r="X415" s="10">
        <v>0</v>
      </c>
      <c r="Y415" t="s">
        <v>912</v>
      </c>
      <c r="Z415" t="s">
        <v>903</v>
      </c>
      <c r="AA415" s="2" t="s">
        <v>921</v>
      </c>
      <c r="AB415" s="9" t="s">
        <v>995</v>
      </c>
      <c r="AC415" s="9" t="s">
        <v>996</v>
      </c>
      <c r="AD415" s="10" t="str">
        <f>SUBSTITUTE(SUBSTITUTE(PROPERTIES[[#This Row],[PURCHASECOST_VALUE]], "PURCHASECOST_", ""), "_VALUE", "")</f>
        <v>ELECTRICENGINE</v>
      </c>
      <c r="AE415" s="9" t="str" cm="1">
        <f t="array" ref="AE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5" s="2" t="b">
        <v>0</v>
      </c>
      <c r="AX415"/>
      <c r="AY415"/>
      <c r="AZ415"/>
    </row>
    <row r="416" spans="1:52">
      <c r="A416" s="2" t="s">
        <v>440</v>
      </c>
      <c r="B416">
        <v>1978</v>
      </c>
      <c r="C416">
        <v>0</v>
      </c>
      <c r="D416" t="s">
        <v>1808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 s="2" t="s">
        <v>23</v>
      </c>
      <c r="K416" s="39">
        <f>_xlfn.XLOOKUP("LOADINGSPEEDDEF_"&amp;PROPERTIES[[#This Row],[LOADINGSPEED]],LOADINGSPEEDDEF[TYPE],LOADINGSPEEDDEF[SPEED])</f>
        <v>40</v>
      </c>
      <c r="L416">
        <v>45</v>
      </c>
      <c r="M416">
        <v>1</v>
      </c>
      <c r="N416" s="33">
        <v>138</v>
      </c>
      <c r="O416">
        <v>5793</v>
      </c>
      <c r="P416">
        <v>100</v>
      </c>
      <c r="Q416" s="30">
        <v>470</v>
      </c>
      <c r="R416" s="29">
        <f>IFERROR(PROPERTIES[[#This Row],[TE_STARTING_KN]]/(PROPERTIES[[#This Row],[WEIGHT]]*9.81),0)</f>
        <v>0.34717605519360606</v>
      </c>
      <c r="S416" s="29">
        <v>0.34</v>
      </c>
      <c r="T416" s="26">
        <f>ROUND(IF(IFERROR(PROPERTIES[[#This Row],[TE_COEFFICIENT_CALC]],0)=0,PROPERTIES[[#This Row],[TE_COEFFICIENT_MANUAL]],PROPERTIES[[#This Row],[TE_COEFFICIENT_CALC]]),3)</f>
        <v>0.34699999999999998</v>
      </c>
      <c r="U416" s="11">
        <v>40</v>
      </c>
      <c r="V416" s="9">
        <v>0</v>
      </c>
      <c r="W416" s="9">
        <v>0</v>
      </c>
      <c r="X416" s="10">
        <v>0</v>
      </c>
      <c r="Y416" t="s">
        <v>912</v>
      </c>
      <c r="Z416" t="s">
        <v>903</v>
      </c>
      <c r="AA416" s="2" t="s">
        <v>921</v>
      </c>
      <c r="AB416" s="9" t="s">
        <v>995</v>
      </c>
      <c r="AC416" s="9" t="s">
        <v>996</v>
      </c>
      <c r="AD416" s="10" t="str">
        <f>SUBSTITUTE(SUBSTITUTE(PROPERTIES[[#This Row],[PURCHASECOST_VALUE]], "PURCHASECOST_", ""), "_VALUE", "")</f>
        <v>ELECTRICENGINE</v>
      </c>
      <c r="AE416" s="9" t="str" cm="1">
        <f t="array" ref="AE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16" s="2" t="b">
        <v>0</v>
      </c>
      <c r="AX416"/>
      <c r="AY416"/>
      <c r="AZ416"/>
    </row>
    <row r="417" spans="1:52">
      <c r="A417" s="2" t="s">
        <v>441</v>
      </c>
      <c r="B417">
        <v>2006</v>
      </c>
      <c r="C417">
        <v>0</v>
      </c>
      <c r="D417" t="s">
        <v>1808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 s="2" t="s">
        <v>19</v>
      </c>
      <c r="K417" s="39">
        <f>_xlfn.XLOOKUP("LOADINGSPEEDDEF_"&amp;PROPERTIES[[#This Row],[LOADINGSPEED]],LOADINGSPEEDDEF[TYPE],LOADINGSPEEDDEF[SPEED])</f>
        <v>0</v>
      </c>
      <c r="L417" t="s">
        <v>20</v>
      </c>
      <c r="M417">
        <v>1</v>
      </c>
      <c r="N417" s="33">
        <v>150</v>
      </c>
      <c r="O417">
        <v>9700</v>
      </c>
      <c r="P417">
        <v>120</v>
      </c>
      <c r="Q417" s="30">
        <v>520</v>
      </c>
      <c r="R417" s="29">
        <f>IFERROR(PROPERTIES[[#This Row],[TE_STARTING_KN]]/(PROPERTIES[[#This Row],[WEIGHT]]*9.81),0)</f>
        <v>0.35338090383961945</v>
      </c>
      <c r="S417" s="29">
        <v>0.27</v>
      </c>
      <c r="T417" s="26">
        <f>ROUND(IF(IFERROR(PROPERTIES[[#This Row],[TE_COEFFICIENT_CALC]],0)=0,PROPERTIES[[#This Row],[TE_COEFFICIENT_MANUAL]],PROPERTIES[[#This Row],[TE_COEFFICIENT_CALC]]),3)</f>
        <v>0.35299999999999998</v>
      </c>
      <c r="U417" s="11">
        <v>40</v>
      </c>
      <c r="V417" s="9">
        <v>0</v>
      </c>
      <c r="W417" s="9">
        <v>0</v>
      </c>
      <c r="X417" s="10">
        <v>0</v>
      </c>
      <c r="Y417" t="s">
        <v>912</v>
      </c>
      <c r="Z417" t="s">
        <v>903</v>
      </c>
      <c r="AA417" s="2" t="s">
        <v>921</v>
      </c>
      <c r="AB417" s="9" t="s">
        <v>995</v>
      </c>
      <c r="AC417" s="9" t="s">
        <v>996</v>
      </c>
      <c r="AD417" s="10" t="str">
        <f>SUBSTITUTE(SUBSTITUTE(PROPERTIES[[#This Row],[PURCHASECOST_VALUE]], "PURCHASECOST_", ""), "_VALUE", "")</f>
        <v>ELECTRICENGINE</v>
      </c>
      <c r="AE417" s="9" t="str" cm="1">
        <f t="array" ref="AE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7" s="2" t="b">
        <v>0</v>
      </c>
      <c r="AX417"/>
      <c r="AY417"/>
      <c r="AZ417"/>
    </row>
    <row r="418" spans="1:52">
      <c r="A418" s="2" t="s">
        <v>442</v>
      </c>
      <c r="B418">
        <v>2012</v>
      </c>
      <c r="C418">
        <v>0</v>
      </c>
      <c r="D418" t="s">
        <v>1808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 s="2" t="s">
        <v>19</v>
      </c>
      <c r="K418" s="39">
        <f>_xlfn.XLOOKUP("LOADINGSPEEDDEF_"&amp;PROPERTIES[[#This Row],[LOADINGSPEED]],LOADINGSPEEDDEF[TYPE],LOADINGSPEEDDEF[SPEED])</f>
        <v>0</v>
      </c>
      <c r="L418" t="s">
        <v>20</v>
      </c>
      <c r="M418">
        <v>1</v>
      </c>
      <c r="N418" s="33">
        <v>126</v>
      </c>
      <c r="O418">
        <v>9700</v>
      </c>
      <c r="P418">
        <v>160</v>
      </c>
      <c r="Q418" s="30">
        <v>420</v>
      </c>
      <c r="R418" s="29">
        <f>IFERROR(PROPERTIES[[#This Row],[TE_STARTING_KN]]/(PROPERTIES[[#This Row],[WEIGHT]]*9.81),0)</f>
        <v>0.33978933061501865</v>
      </c>
      <c r="S418" s="29">
        <v>0.33</v>
      </c>
      <c r="T418" s="26">
        <f>ROUND(IF(IFERROR(PROPERTIES[[#This Row],[TE_COEFFICIENT_CALC]],0)=0,PROPERTIES[[#This Row],[TE_COEFFICIENT_MANUAL]],PROPERTIES[[#This Row],[TE_COEFFICIENT_CALC]]),3)</f>
        <v>0.34</v>
      </c>
      <c r="U418" s="11">
        <v>40</v>
      </c>
      <c r="V418" s="9">
        <v>0</v>
      </c>
      <c r="W418" s="9">
        <v>0</v>
      </c>
      <c r="X418" s="10">
        <v>0</v>
      </c>
      <c r="Y418" t="s">
        <v>912</v>
      </c>
      <c r="Z418" t="s">
        <v>903</v>
      </c>
      <c r="AA418" s="2" t="s">
        <v>921</v>
      </c>
      <c r="AB418" s="9" t="s">
        <v>995</v>
      </c>
      <c r="AC418" s="9" t="s">
        <v>996</v>
      </c>
      <c r="AD418" s="10" t="str">
        <f>SUBSTITUTE(SUBSTITUTE(PROPERTIES[[#This Row],[PURCHASECOST_VALUE]], "PURCHASECOST_", ""), "_VALUE", "")</f>
        <v>ELECTRICENGINE</v>
      </c>
      <c r="AE418" s="9" t="str" cm="1">
        <f t="array" ref="AE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18" s="2" t="b">
        <v>0</v>
      </c>
      <c r="AX418"/>
      <c r="AY418"/>
      <c r="AZ418"/>
    </row>
    <row r="419" spans="1:52">
      <c r="A419" s="2" t="s">
        <v>443</v>
      </c>
      <c r="B419">
        <v>1986</v>
      </c>
      <c r="C419">
        <v>0</v>
      </c>
      <c r="D419" t="s">
        <v>1808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 s="2" t="s">
        <v>19</v>
      </c>
      <c r="K419" s="39">
        <f>_xlfn.XLOOKUP("LOADINGSPEEDDEF_"&amp;PROPERTIES[[#This Row],[LOADINGSPEED]],LOADINGSPEEDDEF[TYPE],LOADINGSPEEDDEF[SPEED])</f>
        <v>0</v>
      </c>
      <c r="L419">
        <v>45</v>
      </c>
      <c r="M419">
        <v>1</v>
      </c>
      <c r="N419" s="33">
        <v>138</v>
      </c>
      <c r="O419">
        <v>6400</v>
      </c>
      <c r="P419">
        <v>100</v>
      </c>
      <c r="Q419" s="30">
        <v>485</v>
      </c>
      <c r="R419" s="29">
        <f>IFERROR(PROPERTIES[[#This Row],[TE_STARTING_KN]]/(PROPERTIES[[#This Row],[WEIGHT]]*9.81),0)</f>
        <v>0.35825614206148709</v>
      </c>
      <c r="S419" s="29">
        <v>0.35</v>
      </c>
      <c r="T419" s="26">
        <f>ROUND(IF(IFERROR(PROPERTIES[[#This Row],[TE_COEFFICIENT_CALC]],0)=0,PROPERTIES[[#This Row],[TE_COEFFICIENT_MANUAL]],PROPERTIES[[#This Row],[TE_COEFFICIENT_CALC]]),3)</f>
        <v>0.35799999999999998</v>
      </c>
      <c r="U419" s="11">
        <v>40</v>
      </c>
      <c r="V419" s="9">
        <v>0</v>
      </c>
      <c r="W419" s="9">
        <v>0</v>
      </c>
      <c r="X419" s="10">
        <v>0</v>
      </c>
      <c r="Y419" t="s">
        <v>912</v>
      </c>
      <c r="Z419" t="s">
        <v>903</v>
      </c>
      <c r="AA419" s="2" t="s">
        <v>921</v>
      </c>
      <c r="AB419" s="9" t="s">
        <v>995</v>
      </c>
      <c r="AC419" s="9" t="s">
        <v>996</v>
      </c>
      <c r="AD419" s="10" t="str">
        <f>SUBSTITUTE(SUBSTITUTE(PROPERTIES[[#This Row],[PURCHASECOST_VALUE]], "PURCHASECOST_", ""), "_VALUE", "")</f>
        <v>ELECTRICENGINE</v>
      </c>
      <c r="AE419" s="9" t="str" cm="1">
        <f t="array" ref="AE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9" s="2" t="b">
        <v>0</v>
      </c>
      <c r="AX419"/>
      <c r="AY419"/>
      <c r="AZ419"/>
    </row>
    <row r="420" spans="1:52">
      <c r="A420" s="2" t="s">
        <v>444</v>
      </c>
      <c r="B420">
        <v>1960</v>
      </c>
      <c r="C420">
        <v>0</v>
      </c>
      <c r="D420" t="s">
        <v>1992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 s="2" t="s">
        <v>19</v>
      </c>
      <c r="K420" s="39">
        <f>_xlfn.XLOOKUP("LOADINGSPEEDDEF_"&amp;PROPERTIES[[#This Row],[LOADINGSPEED]],LOADINGSPEEDDEF[TYPE],LOADINGSPEEDDEF[SPEED])</f>
        <v>0</v>
      </c>
      <c r="L420">
        <v>45</v>
      </c>
      <c r="M420">
        <v>1</v>
      </c>
      <c r="N420" s="33">
        <v>175</v>
      </c>
      <c r="O420">
        <v>4400</v>
      </c>
      <c r="P420">
        <v>113</v>
      </c>
      <c r="Q420" s="30">
        <v>427.7</v>
      </c>
      <c r="R420" s="29">
        <f>IFERROR(PROPERTIES[[#This Row],[TE_STARTING_KN]]/(PROPERTIES[[#This Row],[WEIGHT]]*9.81),0)</f>
        <v>0.24913353720693168</v>
      </c>
      <c r="S420" s="29">
        <v>0.24</v>
      </c>
      <c r="T420" s="26">
        <f>ROUND(IF(IFERROR(PROPERTIES[[#This Row],[TE_COEFFICIENT_CALC]],0)=0,PROPERTIES[[#This Row],[TE_COEFFICIENT_MANUAL]],PROPERTIES[[#This Row],[TE_COEFFICIENT_CALC]]),3)</f>
        <v>0.249</v>
      </c>
      <c r="U420" s="11">
        <v>40</v>
      </c>
      <c r="V420" s="9">
        <v>0</v>
      </c>
      <c r="W420" s="9">
        <v>0</v>
      </c>
      <c r="X420" s="10">
        <v>0</v>
      </c>
      <c r="Y420" t="s">
        <v>909</v>
      </c>
      <c r="Z420" t="s">
        <v>903</v>
      </c>
      <c r="AA420" s="2" t="s">
        <v>921</v>
      </c>
      <c r="AB420" s="9" t="s">
        <v>995</v>
      </c>
      <c r="AC420" s="9" t="s">
        <v>996</v>
      </c>
      <c r="AD420" s="10" t="str">
        <f>SUBSTITUTE(SUBSTITUTE(PROPERTIES[[#This Row],[PURCHASECOST_VALUE]], "PURCHASECOST_", ""), "_VALUE", "")</f>
        <v>ELECTRICENGINE</v>
      </c>
      <c r="AE420" s="9" t="str" cm="1">
        <f t="array" ref="AE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20" s="2" t="b">
        <v>0</v>
      </c>
      <c r="AX420"/>
      <c r="AY420"/>
      <c r="AZ420"/>
    </row>
    <row r="421" spans="1:52">
      <c r="A421" s="2" t="s">
        <v>445</v>
      </c>
      <c r="B421">
        <v>1967</v>
      </c>
      <c r="C421">
        <v>0</v>
      </c>
      <c r="D421" t="s">
        <v>1857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 s="2" t="s">
        <v>19</v>
      </c>
      <c r="K421" s="39">
        <f>_xlfn.XLOOKUP("LOADINGSPEEDDEF_"&amp;PROPERTIES[[#This Row],[LOADINGSPEED]],LOADINGSPEEDDEF[TYPE],LOADINGSPEEDDEF[SPEED])</f>
        <v>0</v>
      </c>
      <c r="L421">
        <v>45</v>
      </c>
      <c r="M421">
        <v>1</v>
      </c>
      <c r="N421" s="33">
        <v>80</v>
      </c>
      <c r="O421">
        <v>4624</v>
      </c>
      <c r="P421">
        <v>120</v>
      </c>
      <c r="Q421" s="30">
        <v>275</v>
      </c>
      <c r="R421" s="29">
        <f>IFERROR(PROPERTIES[[#This Row],[TE_STARTING_KN]]/(PROPERTIES[[#This Row],[WEIGHT]]*9.81),0)</f>
        <v>0.35040774719673801</v>
      </c>
      <c r="S421" s="29">
        <v>0.25</v>
      </c>
      <c r="T421" s="26">
        <f>ROUND(IF(IFERROR(PROPERTIES[[#This Row],[TE_COEFFICIENT_CALC]],0)=0,PROPERTIES[[#This Row],[TE_COEFFICIENT_MANUAL]],PROPERTIES[[#This Row],[TE_COEFFICIENT_CALC]]),3)</f>
        <v>0.35</v>
      </c>
      <c r="U421" s="11">
        <v>40</v>
      </c>
      <c r="V421" s="9">
        <v>0</v>
      </c>
      <c r="W421" s="9">
        <v>0</v>
      </c>
      <c r="X421" s="10">
        <v>0</v>
      </c>
      <c r="Y421" t="s">
        <v>910</v>
      </c>
      <c r="Z421" t="s">
        <v>903</v>
      </c>
      <c r="AA421" s="2" t="s">
        <v>921</v>
      </c>
      <c r="AB421" s="9" t="s">
        <v>995</v>
      </c>
      <c r="AC421" s="9" t="s">
        <v>996</v>
      </c>
      <c r="AD421" s="10" t="str">
        <f>SUBSTITUTE(SUBSTITUTE(PROPERTIES[[#This Row],[PURCHASECOST_VALUE]], "PURCHASECOST_", ""), "_VALUE", "")</f>
        <v>ELECTRICENGINE</v>
      </c>
      <c r="AE421" s="9" t="str" cm="1">
        <f t="array" ref="AE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1" s="2" t="b">
        <v>0</v>
      </c>
      <c r="AX421"/>
      <c r="AY421"/>
      <c r="AZ421"/>
    </row>
    <row r="422" spans="1:52">
      <c r="A422" s="2" t="s">
        <v>446</v>
      </c>
      <c r="B422">
        <v>1963</v>
      </c>
      <c r="C422">
        <v>0</v>
      </c>
      <c r="D422" t="s">
        <v>1859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 s="2" t="s">
        <v>19</v>
      </c>
      <c r="K422" s="39">
        <f>_xlfn.XLOOKUP("LOADINGSPEEDDEF_"&amp;PROPERTIES[[#This Row],[LOADINGSPEED]],LOADINGSPEEDDEF[TYPE],LOADINGSPEEDDEF[SPEED])</f>
        <v>0</v>
      </c>
      <c r="L422">
        <v>45</v>
      </c>
      <c r="M422">
        <v>0</v>
      </c>
      <c r="N422" s="33">
        <v>80</v>
      </c>
      <c r="O422">
        <v>3000</v>
      </c>
      <c r="P422">
        <v>120</v>
      </c>
      <c r="Q422" s="30">
        <v>270</v>
      </c>
      <c r="R422" s="29">
        <f>IFERROR(PROPERTIES[[#This Row],[TE_STARTING_KN]]/(PROPERTIES[[#This Row],[WEIGHT]]*9.81),0)</f>
        <v>0.34403669724770641</v>
      </c>
      <c r="S422" s="29">
        <v>0.34</v>
      </c>
      <c r="T422" s="26">
        <f>ROUND(IF(IFERROR(PROPERTIES[[#This Row],[TE_COEFFICIENT_CALC]],0)=0,PROPERTIES[[#This Row],[TE_COEFFICIENT_MANUAL]],PROPERTIES[[#This Row],[TE_COEFFICIENT_CALC]]),3)</f>
        <v>0.34399999999999997</v>
      </c>
      <c r="U422" s="11">
        <v>40</v>
      </c>
      <c r="V422" s="9">
        <v>0</v>
      </c>
      <c r="W422" s="9">
        <v>0</v>
      </c>
      <c r="X422" s="10">
        <v>0</v>
      </c>
      <c r="Y422" t="s">
        <v>910</v>
      </c>
      <c r="Z422" t="s">
        <v>903</v>
      </c>
      <c r="AA422" s="2" t="s">
        <v>921</v>
      </c>
      <c r="AB422" s="9" t="s">
        <v>995</v>
      </c>
      <c r="AC422" s="9" t="s">
        <v>996</v>
      </c>
      <c r="AD422" s="10" t="str">
        <f>SUBSTITUTE(SUBSTITUTE(PROPERTIES[[#This Row],[PURCHASECOST_VALUE]], "PURCHASECOST_", ""), "_VALUE", "")</f>
        <v>ELECTRICENGINE</v>
      </c>
      <c r="AE422" s="9" t="str" cm="1">
        <f t="array" ref="AE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2" s="2" t="b">
        <v>0</v>
      </c>
      <c r="AX422"/>
      <c r="AY422"/>
      <c r="AZ422"/>
    </row>
    <row r="423" spans="1:52">
      <c r="A423" s="2" t="s">
        <v>447</v>
      </c>
      <c r="B423">
        <v>1956</v>
      </c>
      <c r="C423">
        <v>0</v>
      </c>
      <c r="D423" t="s">
        <v>1943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 s="2" t="s">
        <v>19</v>
      </c>
      <c r="K423" s="39">
        <f>_xlfn.XLOOKUP("LOADINGSPEEDDEF_"&amp;PROPERTIES[[#This Row],[LOADINGSPEED]],LOADINGSPEEDDEF[TYPE],LOADINGSPEEDDEF[SPEED])</f>
        <v>0</v>
      </c>
      <c r="L423">
        <v>45</v>
      </c>
      <c r="M423">
        <v>1</v>
      </c>
      <c r="N423" s="33">
        <v>72</v>
      </c>
      <c r="O423">
        <v>2790</v>
      </c>
      <c r="P423">
        <v>120</v>
      </c>
      <c r="Q423" s="30">
        <v>191</v>
      </c>
      <c r="R423" s="29">
        <f>IFERROR(PROPERTIES[[#This Row],[TE_STARTING_KN]]/(PROPERTIES[[#This Row],[WEIGHT]]*9.81),0)</f>
        <v>0.27041567561445234</v>
      </c>
      <c r="S423" s="29">
        <v>0.27</v>
      </c>
      <c r="T423" s="26">
        <f>ROUND(IF(IFERROR(PROPERTIES[[#This Row],[TE_COEFFICIENT_CALC]],0)=0,PROPERTIES[[#This Row],[TE_COEFFICIENT_MANUAL]],PROPERTIES[[#This Row],[TE_COEFFICIENT_CALC]]),3)</f>
        <v>0.27</v>
      </c>
      <c r="U423" s="11">
        <v>40</v>
      </c>
      <c r="V423" s="9">
        <v>0</v>
      </c>
      <c r="W423" s="9">
        <v>0</v>
      </c>
      <c r="X423" s="10">
        <v>0</v>
      </c>
      <c r="Y423" t="s">
        <v>905</v>
      </c>
      <c r="Z423" t="s">
        <v>903</v>
      </c>
      <c r="AA423" s="2" t="s">
        <v>921</v>
      </c>
      <c r="AB423" s="9" t="s">
        <v>995</v>
      </c>
      <c r="AC423" s="9" t="s">
        <v>996</v>
      </c>
      <c r="AD423" s="10" t="str">
        <f>SUBSTITUTE(SUBSTITUTE(PROPERTIES[[#This Row],[PURCHASECOST_VALUE]], "PURCHASECOST_", ""), "_VALUE", "")</f>
        <v>ELECTRICENGINE</v>
      </c>
      <c r="AE423" s="9" t="str" cm="1">
        <f t="array" ref="AE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3" s="2" t="b">
        <v>0</v>
      </c>
      <c r="AX423"/>
      <c r="AY423"/>
      <c r="AZ423"/>
    </row>
    <row r="424" spans="1:52">
      <c r="A424" s="2" t="s">
        <v>448</v>
      </c>
      <c r="B424">
        <v>1974</v>
      </c>
      <c r="C424">
        <v>0</v>
      </c>
      <c r="D424" t="s">
        <v>1943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 s="2" t="s">
        <v>19</v>
      </c>
      <c r="K424" s="39">
        <f>_xlfn.XLOOKUP("LOADINGSPEEDDEF_"&amp;PROPERTIES[[#This Row],[LOADINGSPEED]],LOADINGSPEEDDEF[TYPE],LOADINGSPEEDDEF[SPEED])</f>
        <v>0</v>
      </c>
      <c r="L424">
        <v>45</v>
      </c>
      <c r="M424">
        <v>1</v>
      </c>
      <c r="N424" s="33">
        <v>78</v>
      </c>
      <c r="O424">
        <v>4020</v>
      </c>
      <c r="P424">
        <v>100</v>
      </c>
      <c r="Q424" s="30">
        <v>245</v>
      </c>
      <c r="R424" s="29">
        <f>IFERROR(PROPERTIES[[#This Row],[TE_STARTING_KN]]/(PROPERTIES[[#This Row],[WEIGHT]]*9.81),0)</f>
        <v>0.32018610000261372</v>
      </c>
      <c r="S424" s="29">
        <v>0.32</v>
      </c>
      <c r="T424" s="26">
        <f>ROUND(IF(IFERROR(PROPERTIES[[#This Row],[TE_COEFFICIENT_CALC]],0)=0,PROPERTIES[[#This Row],[TE_COEFFICIENT_MANUAL]],PROPERTIES[[#This Row],[TE_COEFFICIENT_CALC]]),3)</f>
        <v>0.32</v>
      </c>
      <c r="U424" s="11">
        <v>40</v>
      </c>
      <c r="V424" s="9">
        <v>0</v>
      </c>
      <c r="W424" s="9">
        <v>0</v>
      </c>
      <c r="X424" s="10">
        <v>0</v>
      </c>
      <c r="Y424" t="s">
        <v>905</v>
      </c>
      <c r="Z424" t="s">
        <v>903</v>
      </c>
      <c r="AA424" s="2" t="s">
        <v>921</v>
      </c>
      <c r="AB424" s="9" t="s">
        <v>995</v>
      </c>
      <c r="AC424" s="9" t="s">
        <v>996</v>
      </c>
      <c r="AD424" s="10" t="str">
        <f>SUBSTITUTE(SUBSTITUTE(PROPERTIES[[#This Row],[PURCHASECOST_VALUE]], "PURCHASECOST_", ""), "_VALUE", "")</f>
        <v>ELECTRICENGINE</v>
      </c>
      <c r="AE424" s="9" t="str" cm="1">
        <f t="array" ref="AE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4" s="2" t="b">
        <v>0</v>
      </c>
      <c r="AX424"/>
      <c r="AY424"/>
      <c r="AZ424"/>
    </row>
    <row r="425" spans="1:52">
      <c r="A425" s="2" t="s">
        <v>449</v>
      </c>
      <c r="B425">
        <v>2013</v>
      </c>
      <c r="C425">
        <v>0</v>
      </c>
      <c r="D425" t="s">
        <v>2006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 s="2" t="s">
        <v>19</v>
      </c>
      <c r="K425" s="39">
        <f>_xlfn.XLOOKUP("LOADINGSPEEDDEF_"&amp;PROPERTIES[[#This Row],[LOADINGSPEED]],LOADINGSPEEDDEF[TYPE],LOADINGSPEEDDEF[SPEED])</f>
        <v>0</v>
      </c>
      <c r="L425" t="s">
        <v>20</v>
      </c>
      <c r="M425">
        <v>1</v>
      </c>
      <c r="N425" s="33">
        <v>86</v>
      </c>
      <c r="O425">
        <v>4000</v>
      </c>
      <c r="P425">
        <v>100</v>
      </c>
      <c r="Q425" s="30">
        <v>320</v>
      </c>
      <c r="R425" s="29">
        <f>IFERROR(PROPERTIES[[#This Row],[TE_STARTING_KN]]/(PROPERTIES[[#This Row],[WEIGHT]]*9.81),0)</f>
        <v>0.37929971789583478</v>
      </c>
      <c r="S425" s="29">
        <v>0.45</v>
      </c>
      <c r="T425" s="26">
        <f>ROUND(IF(IFERROR(PROPERTIES[[#This Row],[TE_COEFFICIENT_CALC]],0)=0,PROPERTIES[[#This Row],[TE_COEFFICIENT_MANUAL]],PROPERTIES[[#This Row],[TE_COEFFICIENT_CALC]]),3)</f>
        <v>0.379</v>
      </c>
      <c r="U425" s="11">
        <v>40</v>
      </c>
      <c r="V425" s="9">
        <v>0</v>
      </c>
      <c r="W425" s="9">
        <v>0</v>
      </c>
      <c r="X425" s="10">
        <v>0</v>
      </c>
      <c r="Y425" t="s">
        <v>907</v>
      </c>
      <c r="Z425" t="s">
        <v>903</v>
      </c>
      <c r="AA425" s="2" t="s">
        <v>921</v>
      </c>
      <c r="AB425" s="9" t="s">
        <v>995</v>
      </c>
      <c r="AC425" s="9" t="s">
        <v>996</v>
      </c>
      <c r="AD425" s="10" t="str">
        <f>SUBSTITUTE(SUBSTITUTE(PROPERTIES[[#This Row],[PURCHASECOST_VALUE]], "PURCHASECOST_", ""), "_VALUE", "")</f>
        <v>ELECTRICENGINE</v>
      </c>
      <c r="AE425" s="9" t="str" cm="1">
        <f t="array" ref="AE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5" s="2" t="b">
        <v>0</v>
      </c>
      <c r="AX425"/>
      <c r="AY425"/>
      <c r="AZ425"/>
    </row>
    <row r="426" spans="1:52">
      <c r="A426" s="2" t="s">
        <v>450</v>
      </c>
      <c r="B426">
        <v>2003</v>
      </c>
      <c r="C426">
        <v>0</v>
      </c>
      <c r="D426" t="s">
        <v>1881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 s="2" t="s">
        <v>19</v>
      </c>
      <c r="K426" s="39">
        <f>_xlfn.XLOOKUP("LOADINGSPEEDDEF_"&amp;PROPERTIES[[#This Row],[LOADINGSPEED]],LOADINGSPEEDDEF[TYPE],LOADINGSPEEDDEF[SPEED])</f>
        <v>0</v>
      </c>
      <c r="L426" t="s">
        <v>20</v>
      </c>
      <c r="M426">
        <v>1</v>
      </c>
      <c r="N426" s="33">
        <v>80</v>
      </c>
      <c r="O426">
        <v>7000</v>
      </c>
      <c r="P426">
        <v>150</v>
      </c>
      <c r="Q426" s="30">
        <v>330</v>
      </c>
      <c r="R426" s="29">
        <f>IFERROR(PROPERTIES[[#This Row],[TE_STARTING_KN]]/(PROPERTIES[[#This Row],[WEIGHT]]*9.81),0)</f>
        <v>0.42048929663608559</v>
      </c>
      <c r="S426" s="29">
        <v>0.38</v>
      </c>
      <c r="T426" s="26">
        <f>ROUND(IF(IFERROR(PROPERTIES[[#This Row],[TE_COEFFICIENT_CALC]],0)=0,PROPERTIES[[#This Row],[TE_COEFFICIENT_MANUAL]],PROPERTIES[[#This Row],[TE_COEFFICIENT_CALC]]),3)</f>
        <v>0.42</v>
      </c>
      <c r="U426" s="11">
        <v>40</v>
      </c>
      <c r="V426" s="9">
        <v>0</v>
      </c>
      <c r="W426" s="9">
        <v>0</v>
      </c>
      <c r="X426" s="10">
        <v>0</v>
      </c>
      <c r="Y426" t="s">
        <v>912</v>
      </c>
      <c r="Z426" t="s">
        <v>903</v>
      </c>
      <c r="AA426" s="2" t="s">
        <v>921</v>
      </c>
      <c r="AB426" s="9" t="s">
        <v>995</v>
      </c>
      <c r="AC426" s="9" t="s">
        <v>996</v>
      </c>
      <c r="AD426" s="10" t="str">
        <f>SUBSTITUTE(SUBSTITUTE(PROPERTIES[[#This Row],[PURCHASECOST_VALUE]], "PURCHASECOST_", ""), "_VALUE", "")</f>
        <v>ELECTRICENGINE</v>
      </c>
      <c r="AE426" s="9" t="str" cm="1">
        <f t="array" ref="AE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6" s="2" t="b">
        <v>0</v>
      </c>
      <c r="AX426"/>
      <c r="AY426"/>
      <c r="AZ426"/>
    </row>
    <row r="427" spans="1:52">
      <c r="A427" s="2" t="s">
        <v>451</v>
      </c>
      <c r="B427">
        <v>2003</v>
      </c>
      <c r="C427">
        <v>0</v>
      </c>
      <c r="D427" t="s">
        <v>1989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 s="2" t="s">
        <v>19</v>
      </c>
      <c r="K427" s="39">
        <f>_xlfn.XLOOKUP("LOADINGSPEEDDEF_"&amp;PROPERTIES[[#This Row],[LOADINGSPEED]],LOADINGSPEEDDEF[TYPE],LOADINGSPEEDDEF[SPEED])</f>
        <v>0</v>
      </c>
      <c r="L427" t="s">
        <v>20</v>
      </c>
      <c r="M427">
        <v>1</v>
      </c>
      <c r="N427" s="33">
        <v>90</v>
      </c>
      <c r="O427">
        <v>6450</v>
      </c>
      <c r="P427">
        <v>160</v>
      </c>
      <c r="Q427" s="30">
        <v>310</v>
      </c>
      <c r="R427" s="29">
        <f>IFERROR(PROPERTIES[[#This Row],[TE_STARTING_KN]]/(PROPERTIES[[#This Row],[WEIGHT]]*9.81),0)</f>
        <v>0.35111564163551928</v>
      </c>
      <c r="S427" s="29">
        <v>0.32</v>
      </c>
      <c r="T427" s="26">
        <f>ROUND(IF(IFERROR(PROPERTIES[[#This Row],[TE_COEFFICIENT_CALC]],0)=0,PROPERTIES[[#This Row],[TE_COEFFICIENT_MANUAL]],PROPERTIES[[#This Row],[TE_COEFFICIENT_CALC]]),3)</f>
        <v>0.35099999999999998</v>
      </c>
      <c r="U427" s="11">
        <v>40</v>
      </c>
      <c r="V427" s="9">
        <v>0</v>
      </c>
      <c r="W427" s="9">
        <v>0</v>
      </c>
      <c r="X427" s="10">
        <v>0</v>
      </c>
      <c r="Y427" t="s">
        <v>910</v>
      </c>
      <c r="Z427" t="s">
        <v>903</v>
      </c>
      <c r="AA427" s="2" t="s">
        <v>921</v>
      </c>
      <c r="AB427" s="9" t="s">
        <v>995</v>
      </c>
      <c r="AC427" s="9" t="s">
        <v>996</v>
      </c>
      <c r="AD427" s="10" t="str">
        <f>SUBSTITUTE(SUBSTITUTE(PROPERTIES[[#This Row],[PURCHASECOST_VALUE]], "PURCHASECOST_", ""), "_VALUE", "")</f>
        <v>ELECTRICENGINE</v>
      </c>
      <c r="AE427" s="9" t="str" cm="1">
        <f t="array" ref="AE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27" s="2" t="b">
        <v>0</v>
      </c>
      <c r="AX427"/>
      <c r="AY427"/>
      <c r="AZ427"/>
    </row>
    <row r="428" spans="1:52">
      <c r="A428" s="2" t="s">
        <v>452</v>
      </c>
      <c r="B428">
        <v>1966</v>
      </c>
      <c r="C428">
        <v>0</v>
      </c>
      <c r="D428" t="s">
        <v>1816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 s="2" t="s">
        <v>19</v>
      </c>
      <c r="K428" s="39">
        <f>_xlfn.XLOOKUP("LOADINGSPEEDDEF_"&amp;PROPERTIES[[#This Row],[LOADINGSPEED]],LOADINGSPEEDDEF[TYPE],LOADINGSPEEDDEF[SPEED])</f>
        <v>0</v>
      </c>
      <c r="L428">
        <v>45</v>
      </c>
      <c r="M428">
        <v>1</v>
      </c>
      <c r="N428" s="33">
        <v>85</v>
      </c>
      <c r="O428">
        <v>4600</v>
      </c>
      <c r="P428">
        <v>120</v>
      </c>
      <c r="Q428" s="30">
        <v>210</v>
      </c>
      <c r="R428" s="29">
        <f>IFERROR(PROPERTIES[[#This Row],[TE_STARTING_KN]]/(PROPERTIES[[#This Row],[WEIGHT]]*9.81),0)</f>
        <v>0.25184385680877858</v>
      </c>
      <c r="S428" s="29">
        <v>0.28000000000000003</v>
      </c>
      <c r="T428" s="26">
        <f>ROUND(IF(IFERROR(PROPERTIES[[#This Row],[TE_COEFFICIENT_CALC]],0)=0,PROPERTIES[[#This Row],[TE_COEFFICIENT_MANUAL]],PROPERTIES[[#This Row],[TE_COEFFICIENT_CALC]]),3)</f>
        <v>0.252</v>
      </c>
      <c r="U428" s="11">
        <v>40</v>
      </c>
      <c r="V428" s="9">
        <v>0</v>
      </c>
      <c r="W428" s="9">
        <v>0</v>
      </c>
      <c r="X428" s="10">
        <v>0</v>
      </c>
      <c r="Y428" t="s">
        <v>910</v>
      </c>
      <c r="Z428" t="s">
        <v>903</v>
      </c>
      <c r="AA428" s="2" t="s">
        <v>921</v>
      </c>
      <c r="AB428" s="9" t="s">
        <v>995</v>
      </c>
      <c r="AC428" s="9" t="s">
        <v>996</v>
      </c>
      <c r="AD428" s="10" t="str">
        <f>SUBSTITUTE(SUBSTITUTE(PROPERTIES[[#This Row],[PURCHASECOST_VALUE]], "PURCHASECOST_", ""), "_VALUE", "")</f>
        <v>ELECTRICENGINE</v>
      </c>
      <c r="AE428" s="9" t="str" cm="1">
        <f t="array" ref="AE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8" s="2" t="b">
        <v>0</v>
      </c>
      <c r="AX428"/>
      <c r="AY428"/>
      <c r="AZ428"/>
    </row>
    <row r="429" spans="1:52">
      <c r="A429" s="2" t="s">
        <v>453</v>
      </c>
      <c r="B429">
        <v>1988</v>
      </c>
      <c r="C429">
        <v>0</v>
      </c>
      <c r="D429" t="s">
        <v>1869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 s="2" t="s">
        <v>19</v>
      </c>
      <c r="K429" s="39">
        <f>_xlfn.XLOOKUP("LOADINGSPEEDDEF_"&amp;PROPERTIES[[#This Row],[LOADINGSPEED]],LOADINGSPEEDDEF[TYPE],LOADINGSPEEDDEF[SPEED])</f>
        <v>0</v>
      </c>
      <c r="L429">
        <v>45</v>
      </c>
      <c r="M429">
        <v>1</v>
      </c>
      <c r="N429" s="33">
        <v>77</v>
      </c>
      <c r="O429">
        <v>4600</v>
      </c>
      <c r="P429">
        <v>140</v>
      </c>
      <c r="Q429" s="30">
        <v>228</v>
      </c>
      <c r="R429" s="29">
        <f>IFERROR(PROPERTIES[[#This Row],[TE_STARTING_KN]]/(PROPERTIES[[#This Row],[WEIGHT]]*9.81),0)</f>
        <v>0.30183883394892569</v>
      </c>
      <c r="S429" s="29">
        <v>0.3</v>
      </c>
      <c r="T429" s="26">
        <f>ROUND(IF(IFERROR(PROPERTIES[[#This Row],[TE_COEFFICIENT_CALC]],0)=0,PROPERTIES[[#This Row],[TE_COEFFICIENT_MANUAL]],PROPERTIES[[#This Row],[TE_COEFFICIENT_CALC]]),3)</f>
        <v>0.30199999999999999</v>
      </c>
      <c r="U429" s="11">
        <v>40</v>
      </c>
      <c r="V429" s="9">
        <v>0</v>
      </c>
      <c r="W429" s="9">
        <v>0</v>
      </c>
      <c r="X429" s="10">
        <v>0</v>
      </c>
      <c r="Y429" t="s">
        <v>905</v>
      </c>
      <c r="Z429" t="s">
        <v>903</v>
      </c>
      <c r="AA429" s="2" t="s">
        <v>921</v>
      </c>
      <c r="AB429" s="9" t="s">
        <v>995</v>
      </c>
      <c r="AC429" s="9" t="s">
        <v>996</v>
      </c>
      <c r="AD429" s="10" t="str">
        <f>SUBSTITUTE(SUBSTITUTE(PROPERTIES[[#This Row],[PURCHASECOST_VALUE]], "PURCHASECOST_", ""), "_VALUE", "")</f>
        <v>ELECTRICENGINE</v>
      </c>
      <c r="AE429" s="9" t="str" cm="1">
        <f t="array" ref="AE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9" s="2" t="b">
        <v>0</v>
      </c>
      <c r="AX429"/>
      <c r="AY429"/>
      <c r="AZ429"/>
    </row>
    <row r="430" spans="1:52">
      <c r="A430" s="2" t="s">
        <v>454</v>
      </c>
      <c r="B430">
        <v>1978</v>
      </c>
      <c r="C430">
        <v>0</v>
      </c>
      <c r="D430" t="s">
        <v>1903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 s="2" t="s">
        <v>19</v>
      </c>
      <c r="K430" s="39">
        <f>_xlfn.XLOOKUP("LOADINGSPEEDDEF_"&amp;PROPERTIES[[#This Row],[LOADINGSPEED]],LOADINGSPEEDDEF[TYPE],LOADINGSPEEDDEF[SPEED])</f>
        <v>0</v>
      </c>
      <c r="L430">
        <v>45</v>
      </c>
      <c r="M430">
        <v>1</v>
      </c>
      <c r="N430" s="33">
        <v>120</v>
      </c>
      <c r="O430">
        <v>6834</v>
      </c>
      <c r="P430">
        <v>120</v>
      </c>
      <c r="Q430" s="30">
        <v>392</v>
      </c>
      <c r="R430" s="29">
        <f>IFERROR(PROPERTIES[[#This Row],[TE_STARTING_KN]]/(PROPERTIES[[#This Row],[WEIGHT]]*9.81),0)</f>
        <v>0.3329935440027183</v>
      </c>
      <c r="S430" s="29">
        <v>0.33</v>
      </c>
      <c r="T430" s="26">
        <f>ROUND(IF(IFERROR(PROPERTIES[[#This Row],[TE_COEFFICIENT_CALC]],0)=0,PROPERTIES[[#This Row],[TE_COEFFICIENT_MANUAL]],PROPERTIES[[#This Row],[TE_COEFFICIENT_CALC]]),3)</f>
        <v>0.33300000000000002</v>
      </c>
      <c r="U430" s="11">
        <v>40</v>
      </c>
      <c r="V430" s="9">
        <v>0</v>
      </c>
      <c r="W430" s="9">
        <v>0</v>
      </c>
      <c r="X430" s="10">
        <v>0</v>
      </c>
      <c r="Y430" t="s">
        <v>905</v>
      </c>
      <c r="Z430" t="s">
        <v>903</v>
      </c>
      <c r="AA430" s="2" t="s">
        <v>921</v>
      </c>
      <c r="AB430" s="9" t="s">
        <v>995</v>
      </c>
      <c r="AC430" s="9" t="s">
        <v>996</v>
      </c>
      <c r="AD430" s="10" t="str">
        <f>SUBSTITUTE(SUBSTITUTE(PROPERTIES[[#This Row],[PURCHASECOST_VALUE]], "PURCHASECOST_", ""), "_VALUE", "")</f>
        <v>ELECTRICENGINE</v>
      </c>
      <c r="AE430" s="9" t="str" cm="1">
        <f t="array" ref="AE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0" s="2" t="b">
        <v>0</v>
      </c>
      <c r="AX430"/>
      <c r="AY430"/>
      <c r="AZ430"/>
    </row>
    <row r="431" spans="1:52">
      <c r="A431" s="2" t="s">
        <v>455</v>
      </c>
      <c r="B431">
        <v>1926</v>
      </c>
      <c r="C431">
        <v>0</v>
      </c>
      <c r="D431" t="s">
        <v>1896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 s="2" t="s">
        <v>23</v>
      </c>
      <c r="K431" s="39">
        <f>_xlfn.XLOOKUP("LOADINGSPEEDDEF_"&amp;PROPERTIES[[#This Row],[LOADINGSPEED]],LOADINGSPEEDDEF[TYPE],LOADINGSPEEDDEF[SPEED])</f>
        <v>40</v>
      </c>
      <c r="L431">
        <v>45</v>
      </c>
      <c r="M431">
        <v>1</v>
      </c>
      <c r="N431" s="33">
        <v>76</v>
      </c>
      <c r="O431">
        <v>986</v>
      </c>
      <c r="P431">
        <v>90</v>
      </c>
      <c r="Q431" s="30">
        <v>0</v>
      </c>
      <c r="R431" s="29">
        <f>IFERROR(PROPERTIES[[#This Row],[TE_STARTING_KN]]/(PROPERTIES[[#This Row],[WEIGHT]]*9.81),0)</f>
        <v>0</v>
      </c>
      <c r="S431" s="29">
        <v>0.21</v>
      </c>
      <c r="T431" s="26">
        <f>ROUND(IF(IFERROR(PROPERTIES[[#This Row],[TE_COEFFICIENT_CALC]],0)=0,PROPERTIES[[#This Row],[TE_COEFFICIENT_MANUAL]],PROPERTIES[[#This Row],[TE_COEFFICIENT_CALC]]),3)</f>
        <v>0.21</v>
      </c>
      <c r="U431" s="11">
        <v>40</v>
      </c>
      <c r="V431" s="9">
        <v>0</v>
      </c>
      <c r="W431" s="9">
        <v>0</v>
      </c>
      <c r="X431" s="10">
        <v>0</v>
      </c>
      <c r="Y431" t="s">
        <v>907</v>
      </c>
      <c r="Z431" t="s">
        <v>903</v>
      </c>
      <c r="AA431" s="2" t="s">
        <v>921</v>
      </c>
      <c r="AB431" s="9" t="s">
        <v>995</v>
      </c>
      <c r="AC431" s="9" t="s">
        <v>996</v>
      </c>
      <c r="AD431" s="10" t="str">
        <f>SUBSTITUTE(SUBSTITUTE(PROPERTIES[[#This Row],[PURCHASECOST_VALUE]], "PURCHASECOST_", ""), "_VALUE", "")</f>
        <v>ELECTRICENGINE</v>
      </c>
      <c r="AE431" s="9" t="str" cm="1">
        <f t="array" ref="AE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31" s="2" t="b">
        <v>0</v>
      </c>
      <c r="AX431"/>
      <c r="AY431"/>
      <c r="AZ431"/>
    </row>
    <row r="432" spans="1:52">
      <c r="A432" s="2" t="s">
        <v>456</v>
      </c>
      <c r="B432">
        <v>1961</v>
      </c>
      <c r="C432">
        <v>0</v>
      </c>
      <c r="D432" t="s">
        <v>1836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 s="2" t="s">
        <v>23</v>
      </c>
      <c r="K432" s="39">
        <f>_xlfn.XLOOKUP("LOADINGSPEEDDEF_"&amp;PROPERTIES[[#This Row],[LOADINGSPEED]],LOADINGSPEEDDEF[TYPE],LOADINGSPEEDDEF[SPEED])</f>
        <v>40</v>
      </c>
      <c r="L432">
        <v>45</v>
      </c>
      <c r="M432">
        <v>1</v>
      </c>
      <c r="N432" s="33">
        <v>81</v>
      </c>
      <c r="O432">
        <v>3200</v>
      </c>
      <c r="P432">
        <v>160</v>
      </c>
      <c r="Q432" s="30">
        <v>220</v>
      </c>
      <c r="R432" s="29">
        <f>IFERROR(PROPERTIES[[#This Row],[TE_STARTING_KN]]/(PROPERTIES[[#This Row],[WEIGHT]]*9.81),0)</f>
        <v>0.27686538050112636</v>
      </c>
      <c r="S432" s="29">
        <v>0.27</v>
      </c>
      <c r="T432" s="26">
        <f>ROUND(IF(IFERROR(PROPERTIES[[#This Row],[TE_COEFFICIENT_CALC]],0)=0,PROPERTIES[[#This Row],[TE_COEFFICIENT_MANUAL]],PROPERTIES[[#This Row],[TE_COEFFICIENT_CALC]]),3)</f>
        <v>0.27700000000000002</v>
      </c>
      <c r="U432" s="11">
        <v>40</v>
      </c>
      <c r="V432" s="9">
        <v>0</v>
      </c>
      <c r="W432" s="9">
        <v>0</v>
      </c>
      <c r="X432" s="10">
        <v>0</v>
      </c>
      <c r="Y432" t="s">
        <v>908</v>
      </c>
      <c r="Z432" t="s">
        <v>903</v>
      </c>
      <c r="AA432" s="2" t="s">
        <v>921</v>
      </c>
      <c r="AB432" s="9" t="s">
        <v>995</v>
      </c>
      <c r="AC432" s="9" t="s">
        <v>996</v>
      </c>
      <c r="AD432" s="10" t="str">
        <f>SUBSTITUTE(SUBSTITUTE(PROPERTIES[[#This Row],[PURCHASECOST_VALUE]], "PURCHASECOST_", ""), "_VALUE", "")</f>
        <v>ELECTRICENGINE</v>
      </c>
      <c r="AE432" s="9" t="str" cm="1">
        <f t="array" ref="AE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2" s="2" t="b">
        <v>0</v>
      </c>
      <c r="AX432"/>
      <c r="AY432"/>
      <c r="AZ432"/>
    </row>
    <row r="433" spans="1:52">
      <c r="A433" s="2" t="s">
        <v>457</v>
      </c>
      <c r="B433">
        <v>1982</v>
      </c>
      <c r="C433">
        <v>0</v>
      </c>
      <c r="D433" t="s">
        <v>1916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 s="2" t="s">
        <v>19</v>
      </c>
      <c r="K433" s="39">
        <f>_xlfn.XLOOKUP("LOADINGSPEEDDEF_"&amp;PROPERTIES[[#This Row],[LOADINGSPEED]],LOADINGSPEEDDEF[TYPE],LOADINGSPEEDDEF[SPEED])</f>
        <v>0</v>
      </c>
      <c r="L433">
        <v>45</v>
      </c>
      <c r="M433">
        <v>1</v>
      </c>
      <c r="N433" s="33">
        <v>167.8</v>
      </c>
      <c r="O433">
        <v>6000</v>
      </c>
      <c r="P433">
        <v>110</v>
      </c>
      <c r="Q433" s="30">
        <v>520</v>
      </c>
      <c r="R433" s="29">
        <f>IFERROR(PROPERTIES[[#This Row],[TE_STARTING_KN]]/(PROPERTIES[[#This Row],[WEIGHT]]*9.81),0)</f>
        <v>0.31589472929644163</v>
      </c>
      <c r="S433" s="29">
        <v>0.19</v>
      </c>
      <c r="T433" s="26">
        <f>ROUND(IF(IFERROR(PROPERTIES[[#This Row],[TE_COEFFICIENT_CALC]],0)=0,PROPERTIES[[#This Row],[TE_COEFFICIENT_MANUAL]],PROPERTIES[[#This Row],[TE_COEFFICIENT_CALC]]),3)</f>
        <v>0.316</v>
      </c>
      <c r="U433" s="11">
        <v>40</v>
      </c>
      <c r="V433" s="9">
        <v>0</v>
      </c>
      <c r="W433" s="9">
        <v>0</v>
      </c>
      <c r="X433" s="10">
        <v>0</v>
      </c>
      <c r="Y433" t="s">
        <v>909</v>
      </c>
      <c r="Z433" t="s">
        <v>903</v>
      </c>
      <c r="AA433" s="2" t="s">
        <v>921</v>
      </c>
      <c r="AB433" s="9" t="s">
        <v>995</v>
      </c>
      <c r="AC433" s="9" t="s">
        <v>996</v>
      </c>
      <c r="AD433" s="10" t="str">
        <f>SUBSTITUTE(SUBSTITUTE(PROPERTIES[[#This Row],[PURCHASECOST_VALUE]], "PURCHASECOST_", ""), "_VALUE", "")</f>
        <v>ELECTRICENGINE</v>
      </c>
      <c r="AE433" s="9" t="str" cm="1">
        <f t="array" ref="AE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3" s="2" t="b">
        <v>0</v>
      </c>
      <c r="AX433"/>
      <c r="AY433"/>
      <c r="AZ433"/>
    </row>
    <row r="434" spans="1:52">
      <c r="A434" s="2" t="s">
        <v>458</v>
      </c>
      <c r="B434">
        <v>2010</v>
      </c>
      <c r="C434">
        <v>0</v>
      </c>
      <c r="D434" t="s">
        <v>1896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 s="2" t="s">
        <v>19</v>
      </c>
      <c r="K434" s="39">
        <f>_xlfn.XLOOKUP("LOADINGSPEEDDEF_"&amp;PROPERTIES[[#This Row],[LOADINGSPEED]],LOADINGSPEEDDEF[TYPE],LOADINGSPEEDDEF[SPEED])</f>
        <v>0</v>
      </c>
      <c r="L434" t="s">
        <v>20</v>
      </c>
      <c r="M434">
        <v>1</v>
      </c>
      <c r="N434" s="33">
        <v>91</v>
      </c>
      <c r="O434">
        <v>8600</v>
      </c>
      <c r="P434">
        <v>160</v>
      </c>
      <c r="Q434" s="30">
        <v>0</v>
      </c>
      <c r="R434" s="29">
        <f>IFERROR(PROPERTIES[[#This Row],[TE_STARTING_KN]]/(PROPERTIES[[#This Row],[WEIGHT]]*9.81),0)</f>
        <v>0</v>
      </c>
      <c r="S434" s="29">
        <v>0.35</v>
      </c>
      <c r="T434" s="26">
        <f>ROUND(IF(IFERROR(PROPERTIES[[#This Row],[TE_COEFFICIENT_CALC]],0)=0,PROPERTIES[[#This Row],[TE_COEFFICIENT_MANUAL]],PROPERTIES[[#This Row],[TE_COEFFICIENT_CALC]]),3)</f>
        <v>0.35</v>
      </c>
      <c r="U434" s="11">
        <v>40</v>
      </c>
      <c r="V434" s="9">
        <v>0</v>
      </c>
      <c r="W434" s="9">
        <v>0</v>
      </c>
      <c r="X434" s="10">
        <v>0</v>
      </c>
      <c r="Y434" t="s">
        <v>907</v>
      </c>
      <c r="Z434" t="s">
        <v>903</v>
      </c>
      <c r="AA434" s="2" t="s">
        <v>921</v>
      </c>
      <c r="AB434" s="9" t="s">
        <v>995</v>
      </c>
      <c r="AC434" s="9" t="s">
        <v>996</v>
      </c>
      <c r="AD434" s="10" t="str">
        <f>SUBSTITUTE(SUBSTITUTE(PROPERTIES[[#This Row],[PURCHASECOST_VALUE]], "PURCHASECOST_", ""), "_VALUE", "")</f>
        <v>ELECTRICENGINE</v>
      </c>
      <c r="AE434" s="9" t="str" cm="1">
        <f t="array" ref="AE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4" s="2" t="b">
        <v>0</v>
      </c>
      <c r="AX434"/>
      <c r="AY434"/>
      <c r="AZ434"/>
    </row>
    <row r="435" spans="1:52">
      <c r="A435" s="2" t="s">
        <v>459</v>
      </c>
      <c r="B435">
        <v>1968</v>
      </c>
      <c r="C435">
        <v>0</v>
      </c>
      <c r="D435" t="s">
        <v>1930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 s="2" t="s">
        <v>19</v>
      </c>
      <c r="K435" s="39">
        <f>_xlfn.XLOOKUP("LOADINGSPEEDDEF_"&amp;PROPERTIES[[#This Row],[LOADINGSPEED]],LOADINGSPEEDDEF[TYPE],LOADINGSPEEDDEF[SPEED])</f>
        <v>0</v>
      </c>
      <c r="L435">
        <v>45</v>
      </c>
      <c r="M435">
        <v>1</v>
      </c>
      <c r="N435" s="33">
        <v>55</v>
      </c>
      <c r="O435">
        <v>1290</v>
      </c>
      <c r="P435">
        <v>72</v>
      </c>
      <c r="Q435" s="30">
        <v>0</v>
      </c>
      <c r="R435" s="29">
        <f>IFERROR(PROPERTIES[[#This Row],[TE_STARTING_KN]]/(PROPERTIES[[#This Row],[WEIGHT]]*9.81),0)</f>
        <v>0</v>
      </c>
      <c r="S435" s="29">
        <v>0.32</v>
      </c>
      <c r="T435" s="26">
        <f>ROUND(IF(IFERROR(PROPERTIES[[#This Row],[TE_COEFFICIENT_CALC]],0)=0,PROPERTIES[[#This Row],[TE_COEFFICIENT_MANUAL]],PROPERTIES[[#This Row],[TE_COEFFICIENT_CALC]]),3)</f>
        <v>0.32</v>
      </c>
      <c r="U435" s="11">
        <v>40</v>
      </c>
      <c r="V435" s="9">
        <v>0</v>
      </c>
      <c r="W435" s="9">
        <v>0</v>
      </c>
      <c r="X435" s="10">
        <v>0</v>
      </c>
      <c r="Y435" t="s">
        <v>906</v>
      </c>
      <c r="Z435" t="s">
        <v>903</v>
      </c>
      <c r="AA435" s="2" t="s">
        <v>921</v>
      </c>
      <c r="AB435" s="9" t="s">
        <v>995</v>
      </c>
      <c r="AC435" s="9" t="s">
        <v>996</v>
      </c>
      <c r="AD435" s="10" t="str">
        <f>SUBSTITUTE(SUBSTITUTE(PROPERTIES[[#This Row],[PURCHASECOST_VALUE]], "PURCHASECOST_", ""), "_VALUE", "")</f>
        <v>ELECTRICENGINE</v>
      </c>
      <c r="AE435" s="9" t="str" cm="1">
        <f t="array" ref="AE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5" s="2" t="b">
        <v>0</v>
      </c>
      <c r="AX435"/>
      <c r="AY435"/>
      <c r="AZ435"/>
    </row>
    <row r="436" spans="1:52">
      <c r="A436" s="2" t="s">
        <v>460</v>
      </c>
      <c r="B436">
        <v>1983</v>
      </c>
      <c r="C436">
        <v>0</v>
      </c>
      <c r="D436" t="s">
        <v>1798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 s="2" t="s">
        <v>19</v>
      </c>
      <c r="K436" s="39">
        <f>_xlfn.XLOOKUP("LOADINGSPEEDDEF_"&amp;PROPERTIES[[#This Row],[LOADINGSPEED]],LOADINGSPEEDDEF[TYPE],LOADINGSPEEDDEF[SPEED])</f>
        <v>0</v>
      </c>
      <c r="L436">
        <v>45</v>
      </c>
      <c r="M436">
        <v>1</v>
      </c>
      <c r="N436" s="33">
        <v>180</v>
      </c>
      <c r="O436">
        <v>6000</v>
      </c>
      <c r="P436">
        <v>90</v>
      </c>
      <c r="Q436" s="30">
        <v>605</v>
      </c>
      <c r="R436" s="29">
        <f>IFERROR(PROPERTIES[[#This Row],[TE_STARTING_KN]]/(PROPERTIES[[#This Row],[WEIGHT]]*9.81),0)</f>
        <v>0.34262090837014381</v>
      </c>
      <c r="S436" s="29">
        <v>0.22</v>
      </c>
      <c r="T436" s="26">
        <f>ROUND(IF(IFERROR(PROPERTIES[[#This Row],[TE_COEFFICIENT_CALC]],0)=0,PROPERTIES[[#This Row],[TE_COEFFICIENT_MANUAL]],PROPERTIES[[#This Row],[TE_COEFFICIENT_CALC]]),3)</f>
        <v>0.34300000000000003</v>
      </c>
      <c r="U436" s="11">
        <v>40</v>
      </c>
      <c r="V436" s="9">
        <v>0</v>
      </c>
      <c r="W436" s="9">
        <v>0</v>
      </c>
      <c r="X436" s="10">
        <v>0</v>
      </c>
      <c r="Y436" t="s">
        <v>909</v>
      </c>
      <c r="Z436" t="s">
        <v>903</v>
      </c>
      <c r="AA436" s="2" t="s">
        <v>921</v>
      </c>
      <c r="AB436" s="9" t="s">
        <v>995</v>
      </c>
      <c r="AC436" s="9" t="s">
        <v>996</v>
      </c>
      <c r="AD436" s="10" t="str">
        <f>SUBSTITUTE(SUBSTITUTE(PROPERTIES[[#This Row],[PURCHASECOST_VALUE]], "PURCHASECOST_", ""), "_VALUE", "")</f>
        <v>ELECTRICENGINE</v>
      </c>
      <c r="AE436" s="9" t="str" cm="1">
        <f t="array" ref="AE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6" s="2" t="b">
        <v>0</v>
      </c>
      <c r="AX436"/>
      <c r="AY436"/>
      <c r="AZ436"/>
    </row>
    <row r="437" spans="1:52">
      <c r="A437" s="2" t="s">
        <v>461</v>
      </c>
      <c r="B437">
        <v>1976</v>
      </c>
      <c r="C437">
        <v>0</v>
      </c>
      <c r="D437" t="s">
        <v>1835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 s="2" t="s">
        <v>19</v>
      </c>
      <c r="K437" s="39">
        <f>_xlfn.XLOOKUP("LOADINGSPEEDDEF_"&amp;PROPERTIES[[#This Row],[LOADINGSPEED]],LOADINGSPEEDDEF[TYPE],LOADINGSPEEDDEF[SPEED])</f>
        <v>0</v>
      </c>
      <c r="L437">
        <v>45</v>
      </c>
      <c r="M437">
        <v>1</v>
      </c>
      <c r="N437" s="33">
        <v>90</v>
      </c>
      <c r="O437">
        <v>5850</v>
      </c>
      <c r="P437">
        <v>160</v>
      </c>
      <c r="Q437" s="30">
        <v>294</v>
      </c>
      <c r="R437" s="29">
        <f>IFERROR(PROPERTIES[[#This Row],[TE_STARTING_KN]]/(PROPERTIES[[#This Row],[WEIGHT]]*9.81),0)</f>
        <v>0.3329935440027183</v>
      </c>
      <c r="S437" s="29">
        <v>0.33</v>
      </c>
      <c r="T437" s="26">
        <f>ROUND(IF(IFERROR(PROPERTIES[[#This Row],[TE_COEFFICIENT_CALC]],0)=0,PROPERTIES[[#This Row],[TE_COEFFICIENT_MANUAL]],PROPERTIES[[#This Row],[TE_COEFFICIENT_CALC]]),3)</f>
        <v>0.33300000000000002</v>
      </c>
      <c r="U437" s="11">
        <v>40</v>
      </c>
      <c r="V437" s="9">
        <v>0</v>
      </c>
      <c r="W437" s="9">
        <v>0</v>
      </c>
      <c r="X437" s="10">
        <v>0</v>
      </c>
      <c r="Y437" t="s">
        <v>904</v>
      </c>
      <c r="Z437" t="s">
        <v>903</v>
      </c>
      <c r="AA437" s="2" t="s">
        <v>921</v>
      </c>
      <c r="AB437" s="9" t="s">
        <v>995</v>
      </c>
      <c r="AC437" s="9" t="s">
        <v>996</v>
      </c>
      <c r="AD437" s="10" t="str">
        <f>SUBSTITUTE(SUBSTITUTE(PROPERTIES[[#This Row],[PURCHASECOST_VALUE]], "PURCHASECOST_", ""), "_VALUE", "")</f>
        <v>ELECTRICENGINE</v>
      </c>
      <c r="AE437" s="9" t="str" cm="1">
        <f t="array" ref="AE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7" s="2" t="b">
        <v>0</v>
      </c>
      <c r="AX437"/>
      <c r="AY437"/>
      <c r="AZ437"/>
    </row>
    <row r="438" spans="1:52">
      <c r="A438" s="2" t="s">
        <v>462</v>
      </c>
      <c r="B438">
        <v>1989</v>
      </c>
      <c r="C438">
        <v>0</v>
      </c>
      <c r="D438" t="s">
        <v>1835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 s="2" t="s">
        <v>19</v>
      </c>
      <c r="K438" s="39">
        <f>_xlfn.XLOOKUP("LOADINGSPEEDDEF_"&amp;PROPERTIES[[#This Row],[LOADINGSPEED]],LOADINGSPEEDDEF[TYPE],LOADINGSPEEDDEF[SPEED])</f>
        <v>0</v>
      </c>
      <c r="L438" t="s">
        <v>20</v>
      </c>
      <c r="M438">
        <v>1</v>
      </c>
      <c r="N438" s="33">
        <v>90</v>
      </c>
      <c r="O438">
        <v>7504</v>
      </c>
      <c r="P438">
        <v>200</v>
      </c>
      <c r="Q438" s="30">
        <v>320</v>
      </c>
      <c r="R438" s="29">
        <f>IFERROR(PROPERTIES[[#This Row],[TE_STARTING_KN]]/(PROPERTIES[[#This Row],[WEIGHT]]*9.81),0)</f>
        <v>0.36244195265601992</v>
      </c>
      <c r="S438" s="29">
        <v>0.36</v>
      </c>
      <c r="T438" s="26">
        <f>ROUND(IF(IFERROR(PROPERTIES[[#This Row],[TE_COEFFICIENT_CALC]],0)=0,PROPERTIES[[#This Row],[TE_COEFFICIENT_MANUAL]],PROPERTIES[[#This Row],[TE_COEFFICIENT_CALC]]),3)</f>
        <v>0.36199999999999999</v>
      </c>
      <c r="U438" s="11">
        <v>40</v>
      </c>
      <c r="V438" s="9">
        <v>0</v>
      </c>
      <c r="W438" s="9">
        <v>0</v>
      </c>
      <c r="X438" s="10">
        <v>0</v>
      </c>
      <c r="Y438" t="s">
        <v>904</v>
      </c>
      <c r="Z438" t="s">
        <v>903</v>
      </c>
      <c r="AA438" s="2" t="s">
        <v>921</v>
      </c>
      <c r="AB438" s="9" t="s">
        <v>995</v>
      </c>
      <c r="AC438" s="9" t="s">
        <v>996</v>
      </c>
      <c r="AD438" s="10" t="str">
        <f>SUBSTITUTE(SUBSTITUTE(PROPERTIES[[#This Row],[PURCHASECOST_VALUE]], "PURCHASECOST_", ""), "_VALUE", "")</f>
        <v>ELECTRICENGINE</v>
      </c>
      <c r="AE438" s="9" t="str" cm="1">
        <f t="array" ref="AE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8" s="2" t="b">
        <v>0</v>
      </c>
      <c r="AX438"/>
      <c r="AY438"/>
      <c r="AZ438"/>
    </row>
    <row r="439" spans="1:52">
      <c r="A439" s="2" t="s">
        <v>463</v>
      </c>
      <c r="B439">
        <v>1964</v>
      </c>
      <c r="C439">
        <v>0</v>
      </c>
      <c r="D439" t="s">
        <v>1835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 s="2" t="s">
        <v>19</v>
      </c>
      <c r="K439" s="39">
        <f>_xlfn.XLOOKUP("LOADINGSPEEDDEF_"&amp;PROPERTIES[[#This Row],[LOADINGSPEED]],LOADINGSPEEDDEF[TYPE],LOADINGSPEEDDEF[SPEED])</f>
        <v>0</v>
      </c>
      <c r="L439">
        <v>45</v>
      </c>
      <c r="M439">
        <v>1</v>
      </c>
      <c r="N439" s="33">
        <v>79</v>
      </c>
      <c r="O439">
        <v>3940</v>
      </c>
      <c r="P439">
        <v>100</v>
      </c>
      <c r="Q439" s="30">
        <v>330</v>
      </c>
      <c r="R439" s="29">
        <f>IFERROR(PROPERTIES[[#This Row],[TE_STARTING_KN]]/(PROPERTIES[[#This Row],[WEIGHT]]*9.81),0)</f>
        <v>0.42581194596059302</v>
      </c>
      <c r="S439" s="29">
        <v>0.42</v>
      </c>
      <c r="T439" s="26">
        <f>ROUND(IF(IFERROR(PROPERTIES[[#This Row],[TE_COEFFICIENT_CALC]],0)=0,PROPERTIES[[#This Row],[TE_COEFFICIENT_MANUAL]],PROPERTIES[[#This Row],[TE_COEFFICIENT_CALC]]),3)</f>
        <v>0.42599999999999999</v>
      </c>
      <c r="U439" s="11">
        <v>40</v>
      </c>
      <c r="V439" s="9">
        <v>0</v>
      </c>
      <c r="W439" s="9">
        <v>0</v>
      </c>
      <c r="X439" s="10">
        <v>0</v>
      </c>
      <c r="Y439" t="s">
        <v>904</v>
      </c>
      <c r="Z439" t="s">
        <v>903</v>
      </c>
      <c r="AA439" s="2" t="s">
        <v>921</v>
      </c>
      <c r="AB439" s="9" t="s">
        <v>995</v>
      </c>
      <c r="AC439" s="9" t="s">
        <v>996</v>
      </c>
      <c r="AD439" s="10" t="str">
        <f>SUBSTITUTE(SUBSTITUTE(PROPERTIES[[#This Row],[PURCHASECOST_VALUE]], "PURCHASECOST_", ""), "_VALUE", "")</f>
        <v>ELECTRICENGINE</v>
      </c>
      <c r="AE439" s="9" t="str" cm="1">
        <f t="array" ref="AE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9" s="2" t="b">
        <v>0</v>
      </c>
      <c r="AX439"/>
      <c r="AY439"/>
      <c r="AZ439"/>
    </row>
    <row r="440" spans="1:52">
      <c r="A440" s="2" t="s">
        <v>464</v>
      </c>
      <c r="B440">
        <v>2000</v>
      </c>
      <c r="C440">
        <v>0</v>
      </c>
      <c r="D440" t="s">
        <v>1817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 s="2" t="s">
        <v>19</v>
      </c>
      <c r="K440" s="39">
        <f>_xlfn.XLOOKUP("LOADINGSPEEDDEF_"&amp;PROPERTIES[[#This Row],[LOADINGSPEED]],LOADINGSPEEDDEF[TYPE],LOADINGSPEEDDEF[SPEED])</f>
        <v>0</v>
      </c>
      <c r="L440" t="s">
        <v>20</v>
      </c>
      <c r="M440">
        <v>1</v>
      </c>
      <c r="N440" s="33">
        <v>86</v>
      </c>
      <c r="O440">
        <v>11266</v>
      </c>
      <c r="P440">
        <v>230</v>
      </c>
      <c r="Q440" s="30">
        <v>300</v>
      </c>
      <c r="R440" s="29">
        <f>IFERROR(PROPERTIES[[#This Row],[TE_STARTING_KN]]/(PROPERTIES[[#This Row],[WEIGHT]]*9.81),0)</f>
        <v>0.3555934855273451</v>
      </c>
      <c r="S440" s="29">
        <v>0.35</v>
      </c>
      <c r="T440" s="26">
        <f>ROUND(IF(IFERROR(PROPERTIES[[#This Row],[TE_COEFFICIENT_CALC]],0)=0,PROPERTIES[[#This Row],[TE_COEFFICIENT_MANUAL]],PROPERTIES[[#This Row],[TE_COEFFICIENT_CALC]]),3)</f>
        <v>0.35599999999999998</v>
      </c>
      <c r="U440" s="11">
        <v>40</v>
      </c>
      <c r="V440" s="9">
        <v>0</v>
      </c>
      <c r="W440" s="9">
        <v>0</v>
      </c>
      <c r="X440" s="10">
        <v>0</v>
      </c>
      <c r="Y440" t="s">
        <v>904</v>
      </c>
      <c r="Z440" t="s">
        <v>903</v>
      </c>
      <c r="AA440" s="2" t="s">
        <v>921</v>
      </c>
      <c r="AB440" s="9" t="s">
        <v>995</v>
      </c>
      <c r="AC440" s="9" t="s">
        <v>996</v>
      </c>
      <c r="AD440" s="10" t="str">
        <f>SUBSTITUTE(SUBSTITUTE(PROPERTIES[[#This Row],[PURCHASECOST_VALUE]], "PURCHASECOST_", ""), "_VALUE", "")</f>
        <v>ELECTRICENGINE</v>
      </c>
      <c r="AE440" s="9" t="str" cm="1">
        <f t="array" ref="AE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40" s="2" t="b">
        <v>0</v>
      </c>
      <c r="AX440"/>
      <c r="AY440"/>
      <c r="AZ440"/>
    </row>
    <row r="441" spans="1:52">
      <c r="A441" s="2" t="s">
        <v>465</v>
      </c>
      <c r="B441">
        <v>1997</v>
      </c>
      <c r="C441">
        <v>0</v>
      </c>
      <c r="D441" t="s">
        <v>1873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 s="2" t="s">
        <v>19</v>
      </c>
      <c r="K441" s="39">
        <f>_xlfn.XLOOKUP("LOADINGSPEEDDEF_"&amp;PROPERTIES[[#This Row],[LOADINGSPEED]],LOADINGSPEEDDEF[TYPE],LOADINGSPEEDDEF[SPEED])</f>
        <v>0</v>
      </c>
      <c r="L441" t="s">
        <v>20</v>
      </c>
      <c r="M441">
        <v>1</v>
      </c>
      <c r="N441" s="33">
        <v>134.19999999999999</v>
      </c>
      <c r="O441">
        <v>5400</v>
      </c>
      <c r="P441">
        <v>110</v>
      </c>
      <c r="Q441" s="30">
        <v>240.76</v>
      </c>
      <c r="R441" s="29">
        <f>IFERROR(PROPERTIES[[#This Row],[TE_STARTING_KN]]/(PROPERTIES[[#This Row],[WEIGHT]]*9.81),0)</f>
        <v>0.1828785675980743</v>
      </c>
      <c r="S441" s="29">
        <v>0.18</v>
      </c>
      <c r="T441" s="26">
        <f>ROUND(IF(IFERROR(PROPERTIES[[#This Row],[TE_COEFFICIENT_CALC]],0)=0,PROPERTIES[[#This Row],[TE_COEFFICIENT_MANUAL]],PROPERTIES[[#This Row],[TE_COEFFICIENT_CALC]]),3)</f>
        <v>0.183</v>
      </c>
      <c r="U441" s="11">
        <v>40</v>
      </c>
      <c r="V441" s="9">
        <v>0</v>
      </c>
      <c r="W441" s="9">
        <v>8</v>
      </c>
      <c r="X441" s="10">
        <v>0</v>
      </c>
      <c r="Y441" t="s">
        <v>912</v>
      </c>
      <c r="Z441" t="s">
        <v>903</v>
      </c>
      <c r="AA441" s="2" t="s">
        <v>921</v>
      </c>
      <c r="AB441" s="9" t="s">
        <v>995</v>
      </c>
      <c r="AC441" s="9" t="s">
        <v>996</v>
      </c>
      <c r="AD441" s="10" t="str">
        <f>SUBSTITUTE(SUBSTITUTE(PROPERTIES[[#This Row],[PURCHASECOST_VALUE]], "PURCHASECOST_", ""), "_VALUE", "")</f>
        <v>ELECTRICENGINE</v>
      </c>
      <c r="AE441" s="9" t="str" cm="1">
        <f t="array" ref="AE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1" s="2" t="b">
        <v>0</v>
      </c>
      <c r="AX441"/>
      <c r="AY441"/>
      <c r="AZ441"/>
    </row>
    <row r="442" spans="1:52">
      <c r="A442" s="2" t="s">
        <v>466</v>
      </c>
      <c r="B442">
        <v>1978</v>
      </c>
      <c r="C442">
        <v>0</v>
      </c>
      <c r="D442" t="s">
        <v>1992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 s="2" t="s">
        <v>19</v>
      </c>
      <c r="K442" s="39">
        <f>_xlfn.XLOOKUP("LOADINGSPEEDDEF_"&amp;PROPERTIES[[#This Row],[LOADINGSPEED]],LOADINGSPEEDDEF[TYPE],LOADINGSPEEDDEF[SPEED])</f>
        <v>0</v>
      </c>
      <c r="L442">
        <v>45</v>
      </c>
      <c r="M442">
        <v>1</v>
      </c>
      <c r="N442" s="33">
        <v>92</v>
      </c>
      <c r="O442">
        <v>7000</v>
      </c>
      <c r="P442">
        <v>201</v>
      </c>
      <c r="Q442" s="30">
        <v>230</v>
      </c>
      <c r="R442" s="29">
        <f>IFERROR(PROPERTIES[[#This Row],[TE_STARTING_KN]]/(PROPERTIES[[#This Row],[WEIGHT]]*9.81),0)</f>
        <v>0.254841997961264</v>
      </c>
      <c r="S442" s="29">
        <v>0.26</v>
      </c>
      <c r="T442" s="26">
        <f>ROUND(IF(IFERROR(PROPERTIES[[#This Row],[TE_COEFFICIENT_CALC]],0)=0,PROPERTIES[[#This Row],[TE_COEFFICIENT_MANUAL]],PROPERTIES[[#This Row],[TE_COEFFICIENT_CALC]]),3)</f>
        <v>0.255</v>
      </c>
      <c r="U442" s="11">
        <v>40</v>
      </c>
      <c r="V442" s="9">
        <v>0</v>
      </c>
      <c r="W442" s="9">
        <v>0</v>
      </c>
      <c r="X442" s="10">
        <v>0</v>
      </c>
      <c r="Y442" t="s">
        <v>909</v>
      </c>
      <c r="Z442" t="s">
        <v>903</v>
      </c>
      <c r="AA442" s="2" t="s">
        <v>921</v>
      </c>
      <c r="AB442" s="9" t="s">
        <v>995</v>
      </c>
      <c r="AC442" s="9" t="s">
        <v>996</v>
      </c>
      <c r="AD442" s="10" t="str">
        <f>SUBSTITUTE(SUBSTITUTE(PROPERTIES[[#This Row],[PURCHASECOST_VALUE]], "PURCHASECOST_", ""), "_VALUE", "")</f>
        <v>ELECTRICENGINE</v>
      </c>
      <c r="AE442" s="9" t="str" cm="1">
        <f t="array" ref="AE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2" s="2" t="b">
        <v>0</v>
      </c>
      <c r="AX442"/>
      <c r="AY442"/>
      <c r="AZ442"/>
    </row>
    <row r="443" spans="1:52">
      <c r="A443" s="2" t="s">
        <v>467</v>
      </c>
      <c r="B443">
        <v>1999</v>
      </c>
      <c r="C443">
        <v>0</v>
      </c>
      <c r="D443" t="s">
        <v>1992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 s="2" t="s">
        <v>23</v>
      </c>
      <c r="K443" s="39">
        <f>_xlfn.XLOOKUP("LOADINGSPEEDDEF_"&amp;PROPERTIES[[#This Row],[LOADINGSPEED]],LOADINGSPEEDDEF[TYPE],LOADINGSPEEDDEF[SPEED])</f>
        <v>40</v>
      </c>
      <c r="L443">
        <v>45</v>
      </c>
      <c r="M443">
        <v>1</v>
      </c>
      <c r="N443" s="33">
        <v>101</v>
      </c>
      <c r="O443">
        <v>8000</v>
      </c>
      <c r="P443">
        <v>217</v>
      </c>
      <c r="Q443" s="30">
        <v>316.89999999999998</v>
      </c>
      <c r="R443" s="29">
        <f>IFERROR(PROPERTIES[[#This Row],[TE_STARTING_KN]]/(PROPERTIES[[#This Row],[WEIGHT]]*9.81),0)</f>
        <v>0.31983932338187943</v>
      </c>
      <c r="S443" s="29">
        <v>0.25</v>
      </c>
      <c r="T443" s="26">
        <f>ROUND(IF(IFERROR(PROPERTIES[[#This Row],[TE_COEFFICIENT_CALC]],0)=0,PROPERTIES[[#This Row],[TE_COEFFICIENT_MANUAL]],PROPERTIES[[#This Row],[TE_COEFFICIENT_CALC]]),3)</f>
        <v>0.32</v>
      </c>
      <c r="U443" s="11">
        <v>40</v>
      </c>
      <c r="V443" s="9">
        <v>0</v>
      </c>
      <c r="W443" s="9">
        <v>0</v>
      </c>
      <c r="X443" s="10">
        <v>0</v>
      </c>
      <c r="Y443" t="s">
        <v>909</v>
      </c>
      <c r="Z443" t="s">
        <v>903</v>
      </c>
      <c r="AA443" s="2" t="s">
        <v>921</v>
      </c>
      <c r="AB443" s="9" t="s">
        <v>995</v>
      </c>
      <c r="AC443" s="9" t="s">
        <v>996</v>
      </c>
      <c r="AD443" s="10" t="str">
        <f>SUBSTITUTE(SUBSTITUTE(PROPERTIES[[#This Row],[PURCHASECOST_VALUE]], "PURCHASECOST_", ""), "_VALUE", "")</f>
        <v>ELECTRICENGINE</v>
      </c>
      <c r="AE443" s="9" t="str" cm="1">
        <f t="array" ref="AE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3" s="2" t="b">
        <v>0</v>
      </c>
      <c r="AX443"/>
      <c r="AY443"/>
      <c r="AZ443"/>
    </row>
    <row r="444" spans="1:52">
      <c r="A444" s="2" t="s">
        <v>468</v>
      </c>
      <c r="B444">
        <v>2008</v>
      </c>
      <c r="C444">
        <v>0</v>
      </c>
      <c r="D444" t="s">
        <v>1816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 s="2" t="s">
        <v>19</v>
      </c>
      <c r="K444" s="39">
        <f>_xlfn.XLOOKUP("LOADINGSPEEDDEF_"&amp;PROPERTIES[[#This Row],[LOADINGSPEED]],LOADINGSPEEDDEF[TYPE],LOADINGSPEEDDEF[SPEED])</f>
        <v>0</v>
      </c>
      <c r="L444" t="s">
        <v>20</v>
      </c>
      <c r="M444">
        <v>1</v>
      </c>
      <c r="N444" s="33">
        <v>88</v>
      </c>
      <c r="O444">
        <v>8583</v>
      </c>
      <c r="P444">
        <v>200</v>
      </c>
      <c r="Q444" s="30">
        <v>300</v>
      </c>
      <c r="R444" s="29">
        <f>IFERROR(PROPERTIES[[#This Row],[TE_STARTING_KN]]/(PROPERTIES[[#This Row],[WEIGHT]]*9.81),0)</f>
        <v>0.3475118154017236</v>
      </c>
      <c r="S444" s="29">
        <v>0.34</v>
      </c>
      <c r="T444" s="26">
        <f>ROUND(IF(IFERROR(PROPERTIES[[#This Row],[TE_COEFFICIENT_CALC]],0)=0,PROPERTIES[[#This Row],[TE_COEFFICIENT_MANUAL]],PROPERTIES[[#This Row],[TE_COEFFICIENT_CALC]]),3)</f>
        <v>0.34799999999999998</v>
      </c>
      <c r="U444" s="11">
        <v>40</v>
      </c>
      <c r="V444" s="9">
        <v>0</v>
      </c>
      <c r="W444" s="9">
        <v>0</v>
      </c>
      <c r="X444" s="10">
        <v>0</v>
      </c>
      <c r="Y444" t="s">
        <v>910</v>
      </c>
      <c r="Z444" t="s">
        <v>903</v>
      </c>
      <c r="AA444" s="2" t="s">
        <v>921</v>
      </c>
      <c r="AB444" s="9" t="s">
        <v>995</v>
      </c>
      <c r="AC444" s="9" t="s">
        <v>996</v>
      </c>
      <c r="AD444" s="10" t="str">
        <f>SUBSTITUTE(SUBSTITUTE(PROPERTIES[[#This Row],[PURCHASECOST_VALUE]], "PURCHASECOST_", ""), "_VALUE", "")</f>
        <v>ELECTRICENGINE</v>
      </c>
      <c r="AE444" s="9" t="str" cm="1">
        <f t="array" ref="AE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4" s="2" t="b">
        <v>0</v>
      </c>
      <c r="AX444"/>
      <c r="AY444"/>
      <c r="AZ444"/>
    </row>
    <row r="445" spans="1:52">
      <c r="A445" s="2" t="s">
        <v>469</v>
      </c>
      <c r="B445">
        <v>1992</v>
      </c>
      <c r="C445">
        <v>0</v>
      </c>
      <c r="D445" t="s">
        <v>1828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 s="2" t="s">
        <v>19</v>
      </c>
      <c r="K445" s="39">
        <f>_xlfn.XLOOKUP("LOADINGSPEEDDEF_"&amp;PROPERTIES[[#This Row],[LOADINGSPEED]],LOADINGSPEEDDEF[TYPE],LOADINGSPEEDDEF[SPEED])</f>
        <v>0</v>
      </c>
      <c r="L445">
        <v>45</v>
      </c>
      <c r="M445">
        <v>1</v>
      </c>
      <c r="N445" s="33">
        <v>90</v>
      </c>
      <c r="O445">
        <v>7500</v>
      </c>
      <c r="P445">
        <v>200</v>
      </c>
      <c r="Q445" s="30">
        <v>300</v>
      </c>
      <c r="R445" s="29">
        <f>IFERROR(PROPERTIES[[#This Row],[TE_STARTING_KN]]/(PROPERTIES[[#This Row],[WEIGHT]]*9.81),0)</f>
        <v>0.33978933061501865</v>
      </c>
      <c r="S445" s="29">
        <v>0.33</v>
      </c>
      <c r="T445" s="26">
        <f>ROUND(IF(IFERROR(PROPERTIES[[#This Row],[TE_COEFFICIENT_CALC]],0)=0,PROPERTIES[[#This Row],[TE_COEFFICIENT_MANUAL]],PROPERTIES[[#This Row],[TE_COEFFICIENT_CALC]]),3)</f>
        <v>0.34</v>
      </c>
      <c r="U445" s="11">
        <v>40</v>
      </c>
      <c r="V445" s="9">
        <v>0</v>
      </c>
      <c r="W445" s="9">
        <v>0</v>
      </c>
      <c r="X445" s="10">
        <v>0</v>
      </c>
      <c r="Y445" t="s">
        <v>905</v>
      </c>
      <c r="Z445" t="s">
        <v>903</v>
      </c>
      <c r="AA445" s="2" t="s">
        <v>921</v>
      </c>
      <c r="AB445" s="9" t="s">
        <v>995</v>
      </c>
      <c r="AC445" s="9" t="s">
        <v>996</v>
      </c>
      <c r="AD445" s="10" t="str">
        <f>SUBSTITUTE(SUBSTITUTE(PROPERTIES[[#This Row],[PURCHASECOST_VALUE]], "PURCHASECOST_", ""), "_VALUE", "")</f>
        <v>ELECTRICENGINE</v>
      </c>
      <c r="AE445" s="9" t="str" cm="1">
        <f t="array" ref="AE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5" s="2" t="b">
        <v>0</v>
      </c>
      <c r="AX445"/>
      <c r="AY445"/>
      <c r="AZ445"/>
    </row>
    <row r="446" spans="1:52">
      <c r="A446" s="2" t="s">
        <v>470</v>
      </c>
      <c r="B446">
        <v>2000</v>
      </c>
      <c r="C446">
        <v>0</v>
      </c>
      <c r="D446" t="s">
        <v>1817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 s="2" t="s">
        <v>19</v>
      </c>
      <c r="K446" s="39">
        <f>_xlfn.XLOOKUP("LOADINGSPEEDDEF_"&amp;PROPERTIES[[#This Row],[LOADINGSPEED]],LOADINGSPEEDDEF[TYPE],LOADINGSPEEDDEF[SPEED])</f>
        <v>0</v>
      </c>
      <c r="L446" t="s">
        <v>20</v>
      </c>
      <c r="M446">
        <v>1</v>
      </c>
      <c r="N446" s="33">
        <v>84</v>
      </c>
      <c r="O446">
        <v>5600</v>
      </c>
      <c r="P446">
        <v>140</v>
      </c>
      <c r="Q446" s="30">
        <v>0</v>
      </c>
      <c r="R446" s="29">
        <f>IFERROR(PROPERTIES[[#This Row],[TE_STARTING_KN]]/(PROPERTIES[[#This Row],[WEIGHT]]*9.81),0)</f>
        <v>0</v>
      </c>
      <c r="S446" s="29">
        <v>0.35</v>
      </c>
      <c r="T446" s="26">
        <f>ROUND(IF(IFERROR(PROPERTIES[[#This Row],[TE_COEFFICIENT_CALC]],0)=0,PROPERTIES[[#This Row],[TE_COEFFICIENT_MANUAL]],PROPERTIES[[#This Row],[TE_COEFFICIENT_CALC]]),3)</f>
        <v>0.35</v>
      </c>
      <c r="U446" s="11">
        <v>40</v>
      </c>
      <c r="V446" s="9">
        <v>0</v>
      </c>
      <c r="W446" s="9">
        <v>0</v>
      </c>
      <c r="X446" s="10">
        <v>0</v>
      </c>
      <c r="Y446" t="s">
        <v>904</v>
      </c>
      <c r="Z446" t="s">
        <v>903</v>
      </c>
      <c r="AA446" s="2" t="s">
        <v>921</v>
      </c>
      <c r="AB446" s="9" t="s">
        <v>995</v>
      </c>
      <c r="AC446" s="9" t="s">
        <v>996</v>
      </c>
      <c r="AD446" s="10" t="str">
        <f>SUBSTITUTE(SUBSTITUTE(PROPERTIES[[#This Row],[PURCHASECOST_VALUE]], "PURCHASECOST_", ""), "_VALUE", "")</f>
        <v>ELECTRICENGINE</v>
      </c>
      <c r="AE446" s="9" t="str" cm="1">
        <f t="array" ref="AE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6" s="2" t="b">
        <v>0</v>
      </c>
      <c r="AX446"/>
      <c r="AY446"/>
      <c r="AZ446"/>
    </row>
    <row r="447" spans="1:52">
      <c r="A447" s="2" t="s">
        <v>471</v>
      </c>
      <c r="B447">
        <v>1908</v>
      </c>
      <c r="C447">
        <v>0</v>
      </c>
      <c r="D447" t="s">
        <v>1869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 s="2" t="s">
        <v>19</v>
      </c>
      <c r="K447" s="39">
        <f>_xlfn.XLOOKUP("LOADINGSPEEDDEF_"&amp;PROPERTIES[[#This Row],[LOADINGSPEED]],LOADINGSPEEDDEF[TYPE],LOADINGSPEEDDEF[SPEED])</f>
        <v>0</v>
      </c>
      <c r="L447">
        <v>45</v>
      </c>
      <c r="M447">
        <v>1</v>
      </c>
      <c r="N447" s="33">
        <v>64</v>
      </c>
      <c r="O447">
        <v>2000</v>
      </c>
      <c r="P447">
        <v>50</v>
      </c>
      <c r="Q447" s="30">
        <v>100</v>
      </c>
      <c r="R447" s="29">
        <f>IFERROR(PROPERTIES[[#This Row],[TE_STARTING_KN]]/(PROPERTIES[[#This Row],[WEIGHT]]*9.81),0)</f>
        <v>0.15927624872578999</v>
      </c>
      <c r="S447" s="29">
        <v>0.16</v>
      </c>
      <c r="T447" s="26">
        <f>ROUND(IF(IFERROR(PROPERTIES[[#This Row],[TE_COEFFICIENT_CALC]],0)=0,PROPERTIES[[#This Row],[TE_COEFFICIENT_MANUAL]],PROPERTIES[[#This Row],[TE_COEFFICIENT_CALC]]),3)</f>
        <v>0.159</v>
      </c>
      <c r="U447" s="11">
        <v>40</v>
      </c>
      <c r="V447" s="9">
        <v>0</v>
      </c>
      <c r="W447" s="9">
        <v>0</v>
      </c>
      <c r="X447" s="10">
        <v>0</v>
      </c>
      <c r="Y447" t="s">
        <v>905</v>
      </c>
      <c r="Z447" t="s">
        <v>903</v>
      </c>
      <c r="AA447" s="2" t="s">
        <v>921</v>
      </c>
      <c r="AB447" s="9" t="s">
        <v>995</v>
      </c>
      <c r="AC447" s="9" t="s">
        <v>996</v>
      </c>
      <c r="AD447" s="10" t="str">
        <f>SUBSTITUTE(SUBSTITUTE(PROPERTIES[[#This Row],[PURCHASECOST_VALUE]], "PURCHASECOST_", ""), "_VALUE", "")</f>
        <v>ELECTRICENGINE</v>
      </c>
      <c r="AE447" s="9" t="str" cm="1">
        <f t="array" ref="AE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7" s="2" t="b">
        <v>0</v>
      </c>
      <c r="AX447"/>
      <c r="AY447"/>
      <c r="AZ447"/>
    </row>
    <row r="448" spans="1:52">
      <c r="A448" s="2" t="s">
        <v>472</v>
      </c>
      <c r="B448">
        <v>1967</v>
      </c>
      <c r="C448">
        <v>0</v>
      </c>
      <c r="D448" t="s">
        <v>1873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 s="2" t="s">
        <v>23</v>
      </c>
      <c r="K448" s="39">
        <f>_xlfn.XLOOKUP("LOADINGSPEEDDEF_"&amp;PROPERTIES[[#This Row],[LOADINGSPEED]],LOADINGSPEEDDEF[TYPE],LOADINGSPEEDDEF[SPEED])</f>
        <v>40</v>
      </c>
      <c r="L448">
        <v>45</v>
      </c>
      <c r="M448">
        <v>1</v>
      </c>
      <c r="N448" s="33">
        <v>101</v>
      </c>
      <c r="O448">
        <v>3420</v>
      </c>
      <c r="P448">
        <v>110</v>
      </c>
      <c r="Q448" s="30">
        <v>0</v>
      </c>
      <c r="R448" s="29">
        <f>IFERROR(PROPERTIES[[#This Row],[TE_STARTING_KN]]/(PROPERTIES[[#This Row],[WEIGHT]]*9.81),0)</f>
        <v>0</v>
      </c>
      <c r="S448" s="29">
        <v>0.28999999999999998</v>
      </c>
      <c r="T448" s="26">
        <f>ROUND(IF(IFERROR(PROPERTIES[[#This Row],[TE_COEFFICIENT_CALC]],0)=0,PROPERTIES[[#This Row],[TE_COEFFICIENT_MANUAL]],PROPERTIES[[#This Row],[TE_COEFFICIENT_CALC]]),3)</f>
        <v>0.28999999999999998</v>
      </c>
      <c r="U448" s="11">
        <v>40</v>
      </c>
      <c r="V448" s="9">
        <v>0</v>
      </c>
      <c r="W448" s="9">
        <v>0</v>
      </c>
      <c r="X448" s="10">
        <v>0</v>
      </c>
      <c r="Y448" t="s">
        <v>912</v>
      </c>
      <c r="Z448" t="s">
        <v>903</v>
      </c>
      <c r="AA448" s="2" t="s">
        <v>921</v>
      </c>
      <c r="AB448" s="9" t="s">
        <v>995</v>
      </c>
      <c r="AC448" s="9" t="s">
        <v>996</v>
      </c>
      <c r="AD448" s="10" t="str">
        <f>SUBSTITUTE(SUBSTITUTE(PROPERTIES[[#This Row],[PURCHASECOST_VALUE]], "PURCHASECOST_", ""), "_VALUE", "")</f>
        <v>ELECTRICENGINE</v>
      </c>
      <c r="AE448" s="9" t="str" cm="1">
        <f t="array" ref="AE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48" s="2" t="b">
        <v>0</v>
      </c>
      <c r="AX448"/>
      <c r="AY448"/>
      <c r="AZ448"/>
    </row>
    <row r="449" spans="1:52">
      <c r="A449" s="2" t="s">
        <v>473</v>
      </c>
      <c r="B449">
        <v>1993</v>
      </c>
      <c r="C449">
        <v>0</v>
      </c>
      <c r="D449" t="s">
        <v>1836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 s="2" t="s">
        <v>19</v>
      </c>
      <c r="K449" s="39">
        <f>_xlfn.XLOOKUP("LOADINGSPEEDDEF_"&amp;PROPERTIES[[#This Row],[LOADINGSPEED]],LOADINGSPEEDDEF[TYPE],LOADINGSPEEDDEF[SPEED])</f>
        <v>0</v>
      </c>
      <c r="L449">
        <v>45</v>
      </c>
      <c r="M449">
        <v>0</v>
      </c>
      <c r="N449" s="33">
        <v>126</v>
      </c>
      <c r="O449">
        <v>6760</v>
      </c>
      <c r="P449">
        <v>140</v>
      </c>
      <c r="Q449" s="30">
        <v>360</v>
      </c>
      <c r="R449" s="29">
        <f>IFERROR(PROPERTIES[[#This Row],[TE_STARTING_KN]]/(PROPERTIES[[#This Row],[WEIGHT]]*9.81),0)</f>
        <v>0.29124799767001597</v>
      </c>
      <c r="S449" s="29">
        <v>0.28999999999999998</v>
      </c>
      <c r="T449" s="26">
        <f>ROUND(IF(IFERROR(PROPERTIES[[#This Row],[TE_COEFFICIENT_CALC]],0)=0,PROPERTIES[[#This Row],[TE_COEFFICIENT_MANUAL]],PROPERTIES[[#This Row],[TE_COEFFICIENT_CALC]]),3)</f>
        <v>0.29099999999999998</v>
      </c>
      <c r="U449" s="11">
        <v>40</v>
      </c>
      <c r="V449" s="9">
        <v>0</v>
      </c>
      <c r="W449" s="9">
        <v>0</v>
      </c>
      <c r="X449" s="10">
        <v>0</v>
      </c>
      <c r="Y449" t="s">
        <v>908</v>
      </c>
      <c r="Z449" t="s">
        <v>903</v>
      </c>
      <c r="AA449" s="2" t="s">
        <v>921</v>
      </c>
      <c r="AB449" s="9" t="s">
        <v>995</v>
      </c>
      <c r="AC449" s="9" t="s">
        <v>996</v>
      </c>
      <c r="AD449" s="10" t="str">
        <f>SUBSTITUTE(SUBSTITUTE(PROPERTIES[[#This Row],[PURCHASECOST_VALUE]], "PURCHASECOST_", ""), "_VALUE", "")</f>
        <v>ELECTRICENGINE</v>
      </c>
      <c r="AE449" s="9" t="str" cm="1">
        <f t="array" ref="AE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9" s="2" t="b">
        <v>0</v>
      </c>
      <c r="AX449"/>
      <c r="AY449"/>
      <c r="AZ449"/>
    </row>
    <row r="450" spans="1:52">
      <c r="A450" s="2" t="s">
        <v>474</v>
      </c>
      <c r="B450">
        <v>2012</v>
      </c>
      <c r="C450">
        <v>0</v>
      </c>
      <c r="D450" t="s">
        <v>1992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 s="2" t="s">
        <v>19</v>
      </c>
      <c r="K450" s="39">
        <f>_xlfn.XLOOKUP("LOADINGSPEEDDEF_"&amp;PROPERTIES[[#This Row],[LOADINGSPEED]],LOADINGSPEEDDEF[TYPE],LOADINGSPEEDDEF[SPEED])</f>
        <v>0</v>
      </c>
      <c r="L450" t="s">
        <v>20</v>
      </c>
      <c r="M450">
        <v>1</v>
      </c>
      <c r="N450" s="33">
        <v>98</v>
      </c>
      <c r="O450">
        <v>6700</v>
      </c>
      <c r="P450">
        <v>201</v>
      </c>
      <c r="Q450" s="30">
        <v>320</v>
      </c>
      <c r="R450" s="29">
        <f>IFERROR(PROPERTIES[[#This Row],[TE_STARTING_KN]]/(PROPERTIES[[#This Row],[WEIGHT]]*9.81),0)</f>
        <v>0.33285485448001834</v>
      </c>
      <c r="S450" s="29">
        <v>0.33</v>
      </c>
      <c r="T450" s="26">
        <f>ROUND(IF(IFERROR(PROPERTIES[[#This Row],[TE_COEFFICIENT_CALC]],0)=0,PROPERTIES[[#This Row],[TE_COEFFICIENT_MANUAL]],PROPERTIES[[#This Row],[TE_COEFFICIENT_CALC]]),3)</f>
        <v>0.33300000000000002</v>
      </c>
      <c r="U450" s="11">
        <v>40</v>
      </c>
      <c r="V450" s="9">
        <v>0</v>
      </c>
      <c r="W450" s="9">
        <v>0</v>
      </c>
      <c r="X450" s="10">
        <v>0</v>
      </c>
      <c r="Y450" t="s">
        <v>909</v>
      </c>
      <c r="Z450" t="s">
        <v>903</v>
      </c>
      <c r="AA450" s="2" t="s">
        <v>921</v>
      </c>
      <c r="AB450" s="9" t="s">
        <v>995</v>
      </c>
      <c r="AC450" s="9" t="s">
        <v>996</v>
      </c>
      <c r="AD450" s="10" t="str">
        <f>SUBSTITUTE(SUBSTITUTE(PROPERTIES[[#This Row],[PURCHASECOST_VALUE]], "PURCHASECOST_", ""), "_VALUE", "")</f>
        <v>ELECTRICENGINE</v>
      </c>
      <c r="AE450" s="9" t="str" cm="1">
        <f t="array" ref="AE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0" s="2" t="b">
        <v>0</v>
      </c>
      <c r="AX450"/>
      <c r="AY450"/>
      <c r="AZ450"/>
    </row>
    <row r="451" spans="1:52">
      <c r="A451" s="2" t="s">
        <v>475</v>
      </c>
      <c r="B451">
        <v>1964</v>
      </c>
      <c r="C451">
        <v>0</v>
      </c>
      <c r="D451" t="s">
        <v>1835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 s="2" t="s">
        <v>19</v>
      </c>
      <c r="K451" s="39">
        <f>_xlfn.XLOOKUP("LOADINGSPEEDDEF_"&amp;PROPERTIES[[#This Row],[LOADINGSPEED]],LOADINGSPEEDDEF[TYPE],LOADINGSPEEDDEF[SPEED])</f>
        <v>0</v>
      </c>
      <c r="L451">
        <v>45</v>
      </c>
      <c r="M451">
        <v>1</v>
      </c>
      <c r="N451" s="33">
        <v>97</v>
      </c>
      <c r="O451">
        <v>4920</v>
      </c>
      <c r="P451">
        <v>240</v>
      </c>
      <c r="Q451" s="30">
        <v>210</v>
      </c>
      <c r="R451" s="29">
        <f>IFERROR(PROPERTIES[[#This Row],[TE_STARTING_KN]]/(PROPERTIES[[#This Row],[WEIGHT]]*9.81),0)</f>
        <v>0.22068791576026986</v>
      </c>
      <c r="S451" s="29">
        <v>0.21</v>
      </c>
      <c r="T451" s="26">
        <f>ROUND(IF(IFERROR(PROPERTIES[[#This Row],[TE_COEFFICIENT_CALC]],0)=0,PROPERTIES[[#This Row],[TE_COEFFICIENT_MANUAL]],PROPERTIES[[#This Row],[TE_COEFFICIENT_CALC]]),3)</f>
        <v>0.221</v>
      </c>
      <c r="U451" s="11">
        <v>40</v>
      </c>
      <c r="V451" s="9">
        <v>0</v>
      </c>
      <c r="W451" s="9">
        <v>0</v>
      </c>
      <c r="X451" s="10">
        <v>0</v>
      </c>
      <c r="Y451" t="s">
        <v>904</v>
      </c>
      <c r="Z451" t="s">
        <v>903</v>
      </c>
      <c r="AA451" s="2" t="s">
        <v>921</v>
      </c>
      <c r="AB451" s="9" t="s">
        <v>995</v>
      </c>
      <c r="AC451" s="9" t="s">
        <v>996</v>
      </c>
      <c r="AD451" s="10" t="str">
        <f>SUBSTITUTE(SUBSTITUTE(PROPERTIES[[#This Row],[PURCHASECOST_VALUE]], "PURCHASECOST_", ""), "_VALUE", "")</f>
        <v>ELECTRICENGINE</v>
      </c>
      <c r="AE451" s="9" t="str" cm="1">
        <f t="array" ref="AE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51" s="2" t="b">
        <v>0</v>
      </c>
      <c r="AX451"/>
      <c r="AY451"/>
      <c r="AZ451"/>
    </row>
    <row r="452" spans="1:52">
      <c r="A452" s="2" t="s">
        <v>476</v>
      </c>
      <c r="B452">
        <v>1997</v>
      </c>
      <c r="C452">
        <v>0</v>
      </c>
      <c r="D452" t="s">
        <v>1780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 s="2" t="s">
        <v>19</v>
      </c>
      <c r="K452" s="39">
        <f>_xlfn.XLOOKUP("LOADINGSPEEDDEF_"&amp;PROPERTIES[[#This Row],[LOADINGSPEED]],LOADINGSPEEDDEF[TYPE],LOADINGSPEEDDEF[SPEED])</f>
        <v>0</v>
      </c>
      <c r="L452" t="s">
        <v>20</v>
      </c>
      <c r="M452">
        <v>1</v>
      </c>
      <c r="N452" s="33">
        <v>90</v>
      </c>
      <c r="O452">
        <v>6968</v>
      </c>
      <c r="P452">
        <v>200</v>
      </c>
      <c r="Q452" s="30">
        <v>288</v>
      </c>
      <c r="R452" s="29">
        <f>IFERROR(PROPERTIES[[#This Row],[TE_STARTING_KN]]/(PROPERTIES[[#This Row],[WEIGHT]]*9.81),0)</f>
        <v>0.3261977573904179</v>
      </c>
      <c r="S452" s="29">
        <v>0.32</v>
      </c>
      <c r="T452" s="26">
        <f>ROUND(IF(IFERROR(PROPERTIES[[#This Row],[TE_COEFFICIENT_CALC]],0)=0,PROPERTIES[[#This Row],[TE_COEFFICIENT_MANUAL]],PROPERTIES[[#This Row],[TE_COEFFICIENT_CALC]]),3)</f>
        <v>0.32600000000000001</v>
      </c>
      <c r="U452" s="11">
        <v>40</v>
      </c>
      <c r="V452" s="9">
        <v>0</v>
      </c>
      <c r="W452" s="9">
        <v>0</v>
      </c>
      <c r="X452" s="10">
        <v>0</v>
      </c>
      <c r="Y452" t="s">
        <v>904</v>
      </c>
      <c r="Z452" t="s">
        <v>903</v>
      </c>
      <c r="AA452" s="2" t="s">
        <v>921</v>
      </c>
      <c r="AB452" s="9" t="s">
        <v>995</v>
      </c>
      <c r="AC452" s="9" t="s">
        <v>996</v>
      </c>
      <c r="AD452" s="10" t="str">
        <f>SUBSTITUTE(SUBSTITUTE(PROPERTIES[[#This Row],[PURCHASECOST_VALUE]], "PURCHASECOST_", ""), "_VALUE", "")</f>
        <v>ELECTRICENGINE</v>
      </c>
      <c r="AE452" s="9" t="str" cm="1">
        <f t="array" ref="AE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2" s="2" t="b">
        <v>0</v>
      </c>
      <c r="AX452"/>
      <c r="AY452"/>
      <c r="AZ452"/>
    </row>
    <row r="453" spans="1:52">
      <c r="A453" s="2" t="s">
        <v>477</v>
      </c>
      <c r="B453">
        <v>1932</v>
      </c>
      <c r="C453">
        <v>1</v>
      </c>
      <c r="D453" t="s">
        <v>1817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 s="2" t="s">
        <v>478</v>
      </c>
      <c r="K453" s="39">
        <f>_xlfn.XLOOKUP("LOADINGSPEEDDEF_"&amp;PROPERTIES[[#This Row],[LOADINGSPEED]],LOADINGSPEEDDEF[TYPE],LOADINGSPEEDDEF[SPEED])</f>
        <v>16</v>
      </c>
      <c r="L453">
        <v>45</v>
      </c>
      <c r="M453">
        <v>1</v>
      </c>
      <c r="N453" s="33">
        <f>85/2</f>
        <v>42.5</v>
      </c>
      <c r="O453">
        <v>810</v>
      </c>
      <c r="P453">
        <v>160</v>
      </c>
      <c r="Q453" s="30">
        <f>53/2</f>
        <v>26.5</v>
      </c>
      <c r="R453" s="29">
        <f>IFERROR(PROPERTIES[[#This Row],[TE_STARTING_KN]]/(PROPERTIES[[#This Row],[WEIGHT]]*9.81),0)</f>
        <v>6.3560592432691729E-2</v>
      </c>
      <c r="S453" s="29">
        <v>0.19</v>
      </c>
      <c r="T453" s="26">
        <f>ROUND(IF(IFERROR(PROPERTIES[[#This Row],[TE_COEFFICIENT_CALC]],0)=0,PROPERTIES[[#This Row],[TE_COEFFICIENT_MANUAL]],PROPERTIES[[#This Row],[TE_COEFFICIENT_CALC]]),3)</f>
        <v>6.4000000000000001E-2</v>
      </c>
      <c r="U453" s="11">
        <v>25</v>
      </c>
      <c r="V453" s="9">
        <f>INT(139/2)</f>
        <v>69</v>
      </c>
      <c r="W453" s="9">
        <v>8</v>
      </c>
      <c r="X453" s="10">
        <v>0</v>
      </c>
      <c r="Y453" t="s">
        <v>904</v>
      </c>
      <c r="Z453" t="s">
        <v>903</v>
      </c>
      <c r="AA453" s="2" t="s">
        <v>921</v>
      </c>
      <c r="AB453" s="9" t="s">
        <v>997</v>
      </c>
      <c r="AC453" s="9" t="s">
        <v>998</v>
      </c>
      <c r="AD453" s="10" t="str">
        <f>SUBSTITUTE(SUBSTITUTE(PROPERTIES[[#This Row],[PURCHASECOST_VALUE]], "PURCHASECOST_", ""), "_VALUE", "")</f>
        <v>DMU</v>
      </c>
      <c r="AE453" s="9" t="str" cm="1">
        <f t="array" ref="AE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3" s="2" t="b">
        <v>0</v>
      </c>
      <c r="AX453"/>
      <c r="AY453"/>
      <c r="AZ453"/>
    </row>
    <row r="454" spans="1:52">
      <c r="A454" s="2" t="s">
        <v>479</v>
      </c>
      <c r="B454">
        <v>1937</v>
      </c>
      <c r="C454">
        <v>1</v>
      </c>
      <c r="D454" t="s">
        <v>1773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 s="2" t="s">
        <v>478</v>
      </c>
      <c r="K454" s="39">
        <f>_xlfn.XLOOKUP("LOADINGSPEEDDEF_"&amp;PROPERTIES[[#This Row],[LOADINGSPEED]],LOADINGSPEEDDEF[TYPE],LOADINGSPEEDDEF[SPEED])</f>
        <v>16</v>
      </c>
      <c r="L454">
        <v>45</v>
      </c>
      <c r="M454">
        <v>1</v>
      </c>
      <c r="N454" s="33">
        <f>64/2</f>
        <v>32</v>
      </c>
      <c r="O454">
        <v>660</v>
      </c>
      <c r="P454">
        <v>160</v>
      </c>
      <c r="Q454" s="30">
        <f>85/2</f>
        <v>42.5</v>
      </c>
      <c r="R454" s="29">
        <f>IFERROR(PROPERTIES[[#This Row],[TE_STARTING_KN]]/(PROPERTIES[[#This Row],[WEIGHT]]*9.81),0)</f>
        <v>0.13538481141692149</v>
      </c>
      <c r="S454" s="29">
        <v>0.2</v>
      </c>
      <c r="T454" s="26">
        <f>ROUND(IF(IFERROR(PROPERTIES[[#This Row],[TE_COEFFICIENT_CALC]],0)=0,PROPERTIES[[#This Row],[TE_COEFFICIENT_MANUAL]],PROPERTIES[[#This Row],[TE_COEFFICIENT_CALC]]),3)</f>
        <v>0.13500000000000001</v>
      </c>
      <c r="U454" s="11">
        <v>25</v>
      </c>
      <c r="V454" s="9">
        <v>60</v>
      </c>
      <c r="W454" s="9">
        <v>7</v>
      </c>
      <c r="X454" s="10">
        <v>45</v>
      </c>
      <c r="Y454" t="s">
        <v>906</v>
      </c>
      <c r="Z454" t="s">
        <v>903</v>
      </c>
      <c r="AA454" s="2" t="s">
        <v>921</v>
      </c>
      <c r="AB454" s="9" t="s">
        <v>997</v>
      </c>
      <c r="AC454" s="9" t="s">
        <v>998</v>
      </c>
      <c r="AD454" s="10" t="str">
        <f>SUBSTITUTE(SUBSTITUTE(PROPERTIES[[#This Row],[PURCHASECOST_VALUE]], "PURCHASECOST_", ""), "_VALUE", "")</f>
        <v>DMU</v>
      </c>
      <c r="AE454" s="9" t="str" cm="1">
        <f t="array" ref="AE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4" s="2" t="b">
        <v>0</v>
      </c>
      <c r="AX454"/>
      <c r="AY454"/>
      <c r="AZ454"/>
    </row>
    <row r="455" spans="1:52">
      <c r="A455" s="2" t="s">
        <v>480</v>
      </c>
      <c r="B455">
        <v>1948</v>
      </c>
      <c r="C455">
        <v>1</v>
      </c>
      <c r="D455" t="s">
        <v>1816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 s="2" t="s">
        <v>478</v>
      </c>
      <c r="K455" s="39">
        <f>_xlfn.XLOOKUP("LOADINGSPEEDDEF_"&amp;PROPERTIES[[#This Row],[LOADINGSPEED]],LOADINGSPEEDDEF[TYPE],LOADINGSPEEDDEF[SPEED])</f>
        <v>16</v>
      </c>
      <c r="L455">
        <v>45</v>
      </c>
      <c r="M455">
        <v>1</v>
      </c>
      <c r="N455" s="33">
        <f>16.6/2</f>
        <v>8.3000000000000007</v>
      </c>
      <c r="O455">
        <v>152</v>
      </c>
      <c r="P455">
        <v>60</v>
      </c>
      <c r="Q455" s="30">
        <f>29/2</f>
        <v>14.5</v>
      </c>
      <c r="R455" s="29">
        <f>IFERROR(PROPERTIES[[#This Row],[TE_STARTING_KN]]/(PROPERTIES[[#This Row],[WEIGHT]]*9.81),0)</f>
        <v>0.17808236002112421</v>
      </c>
      <c r="S455" s="29">
        <v>0.21</v>
      </c>
      <c r="T455" s="26">
        <f>ROUND(IF(IFERROR(PROPERTIES[[#This Row],[TE_COEFFICIENT_CALC]],0)=0,PROPERTIES[[#This Row],[TE_COEFFICIENT_MANUAL]],PROPERTIES[[#This Row],[TE_COEFFICIENT_CALC]]),3)</f>
        <v>0.17799999999999999</v>
      </c>
      <c r="U455" s="11">
        <v>25</v>
      </c>
      <c r="V455" s="9">
        <v>69</v>
      </c>
      <c r="W455" s="9">
        <v>6</v>
      </c>
      <c r="X455" s="10">
        <v>0</v>
      </c>
      <c r="Y455" t="s">
        <v>910</v>
      </c>
      <c r="Z455" t="s">
        <v>903</v>
      </c>
      <c r="AA455" s="2" t="s">
        <v>921</v>
      </c>
      <c r="AB455" s="9" t="s">
        <v>997</v>
      </c>
      <c r="AC455" s="9" t="s">
        <v>998</v>
      </c>
      <c r="AD455" s="10" t="str">
        <f>SUBSTITUTE(SUBSTITUTE(PROPERTIES[[#This Row],[PURCHASECOST_VALUE]], "PURCHASECOST_", ""), "_VALUE", "")</f>
        <v>DMU</v>
      </c>
      <c r="AE455" s="9" t="str" cm="1">
        <f t="array" ref="AE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5" s="2" t="b">
        <v>0</v>
      </c>
      <c r="AX455"/>
      <c r="AY455"/>
      <c r="AZ455"/>
    </row>
    <row r="456" spans="1:52">
      <c r="A456" s="2" t="s">
        <v>481</v>
      </c>
      <c r="B456">
        <v>1952</v>
      </c>
      <c r="C456">
        <v>1</v>
      </c>
      <c r="D456" t="s">
        <v>1817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 s="2" t="s">
        <v>478</v>
      </c>
      <c r="K456" s="39">
        <f>_xlfn.XLOOKUP("LOADINGSPEEDDEF_"&amp;PROPERTIES[[#This Row],[LOADINGSPEED]],LOADINGSPEEDDEF[TYPE],LOADINGSPEEDDEF[SPEED])</f>
        <v>16</v>
      </c>
      <c r="L456">
        <v>45</v>
      </c>
      <c r="M456">
        <v>1</v>
      </c>
      <c r="N456" s="33">
        <f>121/3</f>
        <v>40.333333333333336</v>
      </c>
      <c r="O456">
        <v>986</v>
      </c>
      <c r="P456">
        <v>140</v>
      </c>
      <c r="Q456" s="30">
        <f>105/2</f>
        <v>52.5</v>
      </c>
      <c r="R456" s="29">
        <f>IFERROR(PROPERTIES[[#This Row],[TE_STARTING_KN]]/(PROPERTIES[[#This Row],[WEIGHT]]*9.81),0)</f>
        <v>0.13268632951702175</v>
      </c>
      <c r="S456" s="29">
        <v>0.2</v>
      </c>
      <c r="T456" s="26">
        <f>ROUND(IF(IFERROR(PROPERTIES[[#This Row],[TE_COEFFICIENT_CALC]],0)=0,PROPERTIES[[#This Row],[TE_COEFFICIENT_MANUAL]],PROPERTIES[[#This Row],[TE_COEFFICIENT_CALC]]),3)</f>
        <v>0.13300000000000001</v>
      </c>
      <c r="U456" s="11">
        <v>25</v>
      </c>
      <c r="V456" s="9">
        <f>INT(108/3)</f>
        <v>36</v>
      </c>
      <c r="W456" s="9">
        <v>8</v>
      </c>
      <c r="X456" s="10">
        <v>0</v>
      </c>
      <c r="Y456" t="s">
        <v>904</v>
      </c>
      <c r="Z456" t="s">
        <v>903</v>
      </c>
      <c r="AA456" s="2" t="s">
        <v>921</v>
      </c>
      <c r="AB456" s="9" t="s">
        <v>997</v>
      </c>
      <c r="AC456" s="9" t="s">
        <v>998</v>
      </c>
      <c r="AD456" s="10" t="str">
        <f>SUBSTITUTE(SUBSTITUTE(PROPERTIES[[#This Row],[PURCHASECOST_VALUE]], "PURCHASECOST_", ""), "_VALUE", "")</f>
        <v>DMU</v>
      </c>
      <c r="AE456" s="9" t="str" cm="1">
        <f t="array" ref="AE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F456" s="2" t="b">
        <v>0</v>
      </c>
      <c r="AX456"/>
      <c r="AY456"/>
      <c r="AZ456"/>
    </row>
    <row r="457" spans="1:52">
      <c r="A457" s="2" t="s">
        <v>482</v>
      </c>
      <c r="B457">
        <v>1955</v>
      </c>
      <c r="C457">
        <v>1</v>
      </c>
      <c r="D457" t="s">
        <v>1773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 s="2" t="s">
        <v>478</v>
      </c>
      <c r="K457" s="39">
        <f>_xlfn.XLOOKUP("LOADINGSPEEDDEF_"&amp;PROPERTIES[[#This Row],[LOADINGSPEED]],LOADINGSPEEDDEF[TYPE],LOADINGSPEEDDEF[SPEED])</f>
        <v>16</v>
      </c>
      <c r="L457">
        <v>45</v>
      </c>
      <c r="M457">
        <v>1</v>
      </c>
      <c r="N457" s="33">
        <f>40.7/2</f>
        <v>20.350000000000001</v>
      </c>
      <c r="O457">
        <v>220</v>
      </c>
      <c r="P457">
        <v>88</v>
      </c>
      <c r="Q457" s="30">
        <f>58/2</f>
        <v>29</v>
      </c>
      <c r="R457" s="29">
        <f>IFERROR(PROPERTIES[[#This Row],[TE_STARTING_KN]]/(PROPERTIES[[#This Row],[WEIGHT]]*9.81),0)</f>
        <v>0.14526620031207185</v>
      </c>
      <c r="S457" s="29">
        <v>0.18</v>
      </c>
      <c r="T457" s="26">
        <f>ROUND(IF(IFERROR(PROPERTIES[[#This Row],[TE_COEFFICIENT_CALC]],0)=0,PROPERTIES[[#This Row],[TE_COEFFICIENT_MANUAL]],PROPERTIES[[#This Row],[TE_COEFFICIENT_CALC]]),3)</f>
        <v>0.14499999999999999</v>
      </c>
      <c r="U457" s="11">
        <v>25</v>
      </c>
      <c r="V457" s="9">
        <v>80</v>
      </c>
      <c r="W457" s="9">
        <v>8</v>
      </c>
      <c r="X457" s="10">
        <v>0</v>
      </c>
      <c r="Y457" t="s">
        <v>906</v>
      </c>
      <c r="Z457" t="s">
        <v>903</v>
      </c>
      <c r="AA457" s="2" t="s">
        <v>921</v>
      </c>
      <c r="AB457" s="9" t="s">
        <v>997</v>
      </c>
      <c r="AC457" s="9" t="s">
        <v>998</v>
      </c>
      <c r="AD457" s="10" t="str">
        <f>SUBSTITUTE(SUBSTITUTE(PROPERTIES[[#This Row],[PURCHASECOST_VALUE]], "PURCHASECOST_", ""), "_VALUE", "")</f>
        <v>DMU</v>
      </c>
      <c r="AE457" s="9" t="str" cm="1">
        <f t="array" ref="AE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7" s="2" t="b">
        <v>0</v>
      </c>
      <c r="AX457"/>
      <c r="AY457"/>
      <c r="AZ457"/>
    </row>
    <row r="458" spans="1:52">
      <c r="A458" s="2" t="s">
        <v>483</v>
      </c>
      <c r="B458">
        <v>1957</v>
      </c>
      <c r="C458">
        <v>1</v>
      </c>
      <c r="D458" t="s">
        <v>1817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 s="2" t="s">
        <v>478</v>
      </c>
      <c r="K458" s="39">
        <f>_xlfn.XLOOKUP("LOADINGSPEEDDEF_"&amp;PROPERTIES[[#This Row],[LOADINGSPEED]],LOADINGSPEEDDEF[TYPE],LOADINGSPEEDDEF[SPEED])</f>
        <v>16</v>
      </c>
      <c r="L458">
        <v>45</v>
      </c>
      <c r="M458">
        <v>1</v>
      </c>
      <c r="N458" s="33">
        <f>44.2/2</f>
        <v>22.1</v>
      </c>
      <c r="O458">
        <v>2200</v>
      </c>
      <c r="P458">
        <v>160</v>
      </c>
      <c r="Q458" s="30">
        <f>110/2</f>
        <v>55</v>
      </c>
      <c r="R458" s="29">
        <f>IFERROR(PROPERTIES[[#This Row],[TE_STARTING_KN]]/(PROPERTIES[[#This Row],[WEIGHT]]*9.81),0)</f>
        <v>0.25368886674876961</v>
      </c>
      <c r="S458" s="29">
        <v>0.18</v>
      </c>
      <c r="T458" s="26">
        <f>ROUND(IF(IFERROR(PROPERTIES[[#This Row],[TE_COEFFICIENT_CALC]],0)=0,PROPERTIES[[#This Row],[TE_COEFFICIENT_MANUAL]],PROPERTIES[[#This Row],[TE_COEFFICIENT_CALC]]),3)</f>
        <v>0.254</v>
      </c>
      <c r="U458" s="11">
        <v>25</v>
      </c>
      <c r="V458" s="9">
        <v>34</v>
      </c>
      <c r="W458" s="9">
        <v>8</v>
      </c>
      <c r="X458" s="10">
        <v>0</v>
      </c>
      <c r="Y458" t="s">
        <v>904</v>
      </c>
      <c r="Z458" t="s">
        <v>903</v>
      </c>
      <c r="AA458" s="2" t="s">
        <v>921</v>
      </c>
      <c r="AB458" s="9" t="s">
        <v>997</v>
      </c>
      <c r="AC458" s="9" t="s">
        <v>998</v>
      </c>
      <c r="AD458" s="10" t="str">
        <f>SUBSTITUTE(SUBSTITUTE(PROPERTIES[[#This Row],[PURCHASECOST_VALUE]], "PURCHASECOST_", ""), "_VALUE", "")</f>
        <v>DMU</v>
      </c>
      <c r="AE458" s="9" t="str" cm="1">
        <f t="array" ref="AE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8" s="2" t="b">
        <v>0</v>
      </c>
      <c r="AX458"/>
      <c r="AY458"/>
      <c r="AZ458"/>
    </row>
    <row r="459" spans="1:52">
      <c r="A459" s="2" t="s">
        <v>484</v>
      </c>
      <c r="B459">
        <v>1960</v>
      </c>
      <c r="C459">
        <v>1</v>
      </c>
      <c r="D459" t="s">
        <v>1925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 s="2" t="s">
        <v>23</v>
      </c>
      <c r="K459" s="39">
        <f>_xlfn.XLOOKUP("LOADINGSPEEDDEF_"&amp;PROPERTIES[[#This Row],[LOADINGSPEED]],LOADINGSPEEDDEF[TYPE],LOADINGSPEEDDEF[SPEED])</f>
        <v>40</v>
      </c>
      <c r="L459">
        <v>45</v>
      </c>
      <c r="M459">
        <v>1</v>
      </c>
      <c r="N459" s="33">
        <f>136/3</f>
        <v>45.333333333333336</v>
      </c>
      <c r="O459">
        <v>987</v>
      </c>
      <c r="P459">
        <v>125</v>
      </c>
      <c r="Q459" s="30">
        <f>125/2</f>
        <v>62.5</v>
      </c>
      <c r="R459" s="29">
        <f>IFERROR(PROPERTIES[[#This Row],[TE_STARTING_KN]]/(PROPERTIES[[#This Row],[WEIGHT]]*9.81),0)</f>
        <v>0.14053786652275588</v>
      </c>
      <c r="S459" s="29">
        <v>0.21</v>
      </c>
      <c r="T459" s="26">
        <f>ROUND(IF(IFERROR(PROPERTIES[[#This Row],[TE_COEFFICIENT_CALC]],0)=0,PROPERTIES[[#This Row],[TE_COEFFICIENT_MANUAL]],PROPERTIES[[#This Row],[TE_COEFFICIENT_CALC]]),3)</f>
        <v>0.14099999999999999</v>
      </c>
      <c r="U459" s="11">
        <v>25</v>
      </c>
      <c r="V459" s="9">
        <f>INT((168+24)/2)</f>
        <v>96</v>
      </c>
      <c r="W459" s="9">
        <v>8</v>
      </c>
      <c r="X459" s="10">
        <v>0</v>
      </c>
      <c r="Y459" t="s">
        <v>904</v>
      </c>
      <c r="Z459" t="s">
        <v>903</v>
      </c>
      <c r="AA459" s="2" t="s">
        <v>921</v>
      </c>
      <c r="AB459" s="9" t="s">
        <v>997</v>
      </c>
      <c r="AC459" s="9" t="s">
        <v>998</v>
      </c>
      <c r="AD459" s="10" t="str">
        <f>SUBSTITUTE(SUBSTITUTE(PROPERTIES[[#This Row],[PURCHASECOST_VALUE]], "PURCHASECOST_", ""), "_VALUE", "")</f>
        <v>DMU</v>
      </c>
      <c r="AE459" s="9" t="str" cm="1">
        <f t="array" ref="AE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9" s="2" t="b">
        <v>0</v>
      </c>
      <c r="AX459"/>
      <c r="AY459"/>
      <c r="AZ459"/>
    </row>
    <row r="460" spans="1:52">
      <c r="A460" s="2" t="s">
        <v>485</v>
      </c>
      <c r="B460">
        <v>1967</v>
      </c>
      <c r="C460">
        <v>1</v>
      </c>
      <c r="D460" t="s">
        <v>1798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 s="2" t="s">
        <v>478</v>
      </c>
      <c r="K460" s="39">
        <f>_xlfn.XLOOKUP("LOADINGSPEEDDEF_"&amp;PROPERTIES[[#This Row],[LOADINGSPEED]],LOADINGSPEEDDEF[TYPE],LOADINGSPEEDDEF[SPEED])</f>
        <v>16</v>
      </c>
      <c r="L460">
        <v>45</v>
      </c>
      <c r="M460">
        <v>1</v>
      </c>
      <c r="N460" s="33">
        <f>INT(165/7)</f>
        <v>23</v>
      </c>
      <c r="O460">
        <v>2000</v>
      </c>
      <c r="P460">
        <v>193</v>
      </c>
      <c r="Q460" s="30">
        <f>80/2</f>
        <v>40</v>
      </c>
      <c r="R460" s="29">
        <f>IFERROR(PROPERTIES[[#This Row],[TE_STARTING_KN]]/(PROPERTIES[[#This Row],[WEIGHT]]*9.81),0)</f>
        <v>0.17728138988609668</v>
      </c>
      <c r="S460" s="29">
        <v>0.45</v>
      </c>
      <c r="T460" s="26">
        <f>ROUND(IF(IFERROR(PROPERTIES[[#This Row],[TE_COEFFICIENT_CALC]],0)=0,PROPERTIES[[#This Row],[TE_COEFFICIENT_MANUAL]],PROPERTIES[[#This Row],[TE_COEFFICIENT_CALC]]),3)</f>
        <v>0.17699999999999999</v>
      </c>
      <c r="U460" s="11">
        <v>25</v>
      </c>
      <c r="V460" s="9">
        <f>INT((322-(PROPERTIES[[#This Row],[HEAD_CAPACITY]]*2))/5)</f>
        <v>46</v>
      </c>
      <c r="W460" s="9">
        <v>8</v>
      </c>
      <c r="X460" s="10">
        <v>50</v>
      </c>
      <c r="Y460" t="s">
        <v>909</v>
      </c>
      <c r="Z460" t="s">
        <v>903</v>
      </c>
      <c r="AA460" s="2" t="s">
        <v>921</v>
      </c>
      <c r="AB460" s="9" t="s">
        <v>997</v>
      </c>
      <c r="AC460" s="9" t="s">
        <v>998</v>
      </c>
      <c r="AD460" s="10" t="str">
        <f>SUBSTITUTE(SUBSTITUTE(PROPERTIES[[#This Row],[PURCHASECOST_VALUE]], "PURCHASECOST_", ""), "_VALUE", "")</f>
        <v>DMU</v>
      </c>
      <c r="AE460" s="9" t="str" cm="1">
        <f t="array" ref="AE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0" s="2" t="b">
        <v>1</v>
      </c>
      <c r="AX460"/>
      <c r="AY460"/>
      <c r="AZ460"/>
    </row>
    <row r="461" spans="1:52">
      <c r="A461" s="2" t="s">
        <v>486</v>
      </c>
      <c r="B461">
        <v>1974</v>
      </c>
      <c r="C461">
        <v>1</v>
      </c>
      <c r="D461" t="s">
        <v>1949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 s="2" t="s">
        <v>23</v>
      </c>
      <c r="K461" s="39">
        <f>_xlfn.XLOOKUP("LOADINGSPEEDDEF_"&amp;PROPERTIES[[#This Row],[LOADINGSPEED]],LOADINGSPEEDDEF[TYPE],LOADINGSPEEDDEF[SPEED])</f>
        <v>40</v>
      </c>
      <c r="L461">
        <v>45</v>
      </c>
      <c r="M461">
        <v>1</v>
      </c>
      <c r="N461" s="33">
        <f>42/2</f>
        <v>21</v>
      </c>
      <c r="O461">
        <v>620</v>
      </c>
      <c r="P461">
        <v>118</v>
      </c>
      <c r="Q461" s="30">
        <f>95/2</f>
        <v>47.5</v>
      </c>
      <c r="R461" s="29">
        <f>IFERROR(PROPERTIES[[#This Row],[TE_STARTING_KN]]/(PROPERTIES[[#This Row],[WEIGHT]]*9.81),0)</f>
        <v>0.23057133148876266</v>
      </c>
      <c r="S461" s="29">
        <v>0.2</v>
      </c>
      <c r="T461" s="26">
        <f>ROUND(IF(IFERROR(PROPERTIES[[#This Row],[TE_COEFFICIENT_CALC]],0)=0,PROPERTIES[[#This Row],[TE_COEFFICIENT_MANUAL]],PROPERTIES[[#This Row],[TE_COEFFICIENT_CALC]]),3)</f>
        <v>0.23100000000000001</v>
      </c>
      <c r="U461" s="11">
        <v>20</v>
      </c>
      <c r="V461" s="9">
        <v>38</v>
      </c>
      <c r="W461" s="9">
        <v>8</v>
      </c>
      <c r="X461" s="10">
        <v>0</v>
      </c>
      <c r="Y461" t="s">
        <v>910</v>
      </c>
      <c r="Z461" t="s">
        <v>903</v>
      </c>
      <c r="AA461" s="2" t="s">
        <v>921</v>
      </c>
      <c r="AB461" s="9" t="s">
        <v>997</v>
      </c>
      <c r="AC461" s="9" t="s">
        <v>998</v>
      </c>
      <c r="AD461" s="10" t="str">
        <f>SUBSTITUTE(SUBSTITUTE(PROPERTIES[[#This Row],[PURCHASECOST_VALUE]], "PURCHASECOST_", ""), "_VALUE", "")</f>
        <v>DMU</v>
      </c>
      <c r="AE461" s="9" t="str" cm="1">
        <f t="array" ref="AE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1" s="2" t="b">
        <v>0</v>
      </c>
      <c r="AX461"/>
      <c r="AY461"/>
      <c r="AZ461"/>
    </row>
    <row r="462" spans="1:52">
      <c r="A462" s="2" t="s">
        <v>487</v>
      </c>
      <c r="B462">
        <v>1976</v>
      </c>
      <c r="C462">
        <v>1</v>
      </c>
      <c r="D462" t="s">
        <v>1836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 s="2" t="s">
        <v>478</v>
      </c>
      <c r="K462" s="39">
        <f>_xlfn.XLOOKUP("LOADINGSPEEDDEF_"&amp;PROPERTIES[[#This Row],[LOADINGSPEED]],LOADINGSPEEDDEF[TYPE],LOADINGSPEEDDEF[SPEED])</f>
        <v>16</v>
      </c>
      <c r="L462">
        <v>45</v>
      </c>
      <c r="M462">
        <v>1</v>
      </c>
      <c r="N462" s="33">
        <v>35</v>
      </c>
      <c r="O462">
        <f>2250*2</f>
        <v>4500</v>
      </c>
      <c r="P462">
        <v>201</v>
      </c>
      <c r="Q462" s="30">
        <f>178/2</f>
        <v>89</v>
      </c>
      <c r="R462" s="29">
        <f>IFERROR(PROPERTIES[[#This Row],[TE_STARTING_KN]]/(PROPERTIES[[#This Row],[WEIGHT]]*9.81),0)</f>
        <v>0.25921071792631423</v>
      </c>
      <c r="S462" s="29">
        <v>0.57999999999999996</v>
      </c>
      <c r="T462" s="26">
        <f>ROUND(IF(IFERROR(PROPERTIES[[#This Row],[TE_COEFFICIENT_CALC]],0)=0,PROPERTIES[[#This Row],[TE_COEFFICIENT_MANUAL]],PROPERTIES[[#This Row],[TE_COEFFICIENT_CALC]]),3)</f>
        <v>0.25900000000000001</v>
      </c>
      <c r="U462" s="11">
        <v>25</v>
      </c>
      <c r="V462" s="9">
        <v>74</v>
      </c>
      <c r="W462" s="9">
        <v>8</v>
      </c>
      <c r="X462" s="10">
        <v>0</v>
      </c>
      <c r="Y462" t="s">
        <v>908</v>
      </c>
      <c r="Z462" t="s">
        <v>903</v>
      </c>
      <c r="AA462" s="2" t="s">
        <v>921</v>
      </c>
      <c r="AB462" s="9" t="s">
        <v>997</v>
      </c>
      <c r="AC462" s="9" t="s">
        <v>998</v>
      </c>
      <c r="AD462" s="10" t="str">
        <f>SUBSTITUTE(SUBSTITUTE(PROPERTIES[[#This Row],[PURCHASECOST_VALUE]], "PURCHASECOST_", ""), "_VALUE", "")</f>
        <v>DMU</v>
      </c>
      <c r="AE462" s="9" t="str" cm="1">
        <f t="array" ref="AE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62" s="2" t="b">
        <v>0</v>
      </c>
      <c r="AX462"/>
      <c r="AY462"/>
      <c r="AZ462"/>
    </row>
    <row r="463" spans="1:52">
      <c r="A463" s="2" t="s">
        <v>488</v>
      </c>
      <c r="B463">
        <v>1980</v>
      </c>
      <c r="C463">
        <v>1</v>
      </c>
      <c r="D463" t="s">
        <v>1798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 s="2" t="s">
        <v>478</v>
      </c>
      <c r="K463" s="39">
        <f>_xlfn.XLOOKUP("LOADINGSPEEDDEF_"&amp;PROPERTIES[[#This Row],[LOADINGSPEED]],LOADINGSPEEDDEF[TYPE],LOADINGSPEEDDEF[SPEED])</f>
        <v>16</v>
      </c>
      <c r="L463">
        <v>45</v>
      </c>
      <c r="M463">
        <v>1</v>
      </c>
      <c r="N463" s="33">
        <f>113/2</f>
        <v>56.5</v>
      </c>
      <c r="O463">
        <f>2700*2</f>
        <v>5400</v>
      </c>
      <c r="P463">
        <v>153</v>
      </c>
      <c r="Q463" s="30">
        <f>245/2</f>
        <v>122.5</v>
      </c>
      <c r="R463" s="29">
        <f>IFERROR(PROPERTIES[[#This Row],[TE_STARTING_KN]]/(PROPERTIES[[#This Row],[WEIGHT]]*9.81),0)</f>
        <v>0.22101341416109624</v>
      </c>
      <c r="S463" s="29">
        <v>0.2</v>
      </c>
      <c r="T463" s="26">
        <f>ROUND(IF(IFERROR(PROPERTIES[[#This Row],[TE_COEFFICIENT_CALC]],0)=0,PROPERTIES[[#This Row],[TE_COEFFICIENT_MANUAL]],PROPERTIES[[#This Row],[TE_COEFFICIENT_CALC]]),3)</f>
        <v>0.221</v>
      </c>
      <c r="U463" s="11">
        <v>25</v>
      </c>
      <c r="V463" s="9">
        <v>68</v>
      </c>
      <c r="W463" s="9">
        <v>8</v>
      </c>
      <c r="X463" s="10">
        <v>55</v>
      </c>
      <c r="Y463" t="s">
        <v>909</v>
      </c>
      <c r="Z463" t="s">
        <v>903</v>
      </c>
      <c r="AA463" s="2" t="s">
        <v>921</v>
      </c>
      <c r="AB463" s="9" t="s">
        <v>997</v>
      </c>
      <c r="AC463" s="9" t="s">
        <v>998</v>
      </c>
      <c r="AD463" s="10" t="str">
        <f>SUBSTITUTE(SUBSTITUTE(PROPERTIES[[#This Row],[PURCHASECOST_VALUE]], "PURCHASECOST_", ""), "_VALUE", "")</f>
        <v>DMU</v>
      </c>
      <c r="AE463" s="9" t="str" cm="1">
        <f t="array" ref="AE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63" s="2" t="b">
        <v>0</v>
      </c>
      <c r="AX463"/>
      <c r="AY463"/>
      <c r="AZ463"/>
    </row>
    <row r="464" spans="1:52">
      <c r="A464" s="2" t="s">
        <v>489</v>
      </c>
      <c r="B464">
        <v>1990</v>
      </c>
      <c r="C464">
        <v>1</v>
      </c>
      <c r="D464" t="s">
        <v>1956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 s="2" t="s">
        <v>478</v>
      </c>
      <c r="K464" s="39">
        <f>_xlfn.XLOOKUP("LOADINGSPEEDDEF_"&amp;PROPERTIES[[#This Row],[LOADINGSPEED]],LOADINGSPEEDDEF[TYPE],LOADINGSPEEDDEF[SPEED])</f>
        <v>16</v>
      </c>
      <c r="L464" t="s">
        <v>20</v>
      </c>
      <c r="M464">
        <v>1</v>
      </c>
      <c r="N464" s="33">
        <f>INT(97/2)</f>
        <v>48</v>
      </c>
      <c r="O464">
        <f>1600*2</f>
        <v>3200</v>
      </c>
      <c r="P464">
        <v>180</v>
      </c>
      <c r="Q464" s="30">
        <f>115/2</f>
        <v>57.5</v>
      </c>
      <c r="R464" s="29">
        <f>IFERROR(PROPERTIES[[#This Row],[TE_STARTING_KN]]/(PROPERTIES[[#This Row],[WEIGHT]]*9.81),0)</f>
        <v>0.12211179068977235</v>
      </c>
      <c r="S464" s="29">
        <v>0.25</v>
      </c>
      <c r="T464" s="26">
        <f>ROUND(IF(IFERROR(PROPERTIES[[#This Row],[TE_COEFFICIENT_CALC]],0)=0,PROPERTIES[[#This Row],[TE_COEFFICIENT_MANUAL]],PROPERTIES[[#This Row],[TE_COEFFICIENT_CALC]]),3)</f>
        <v>0.122</v>
      </c>
      <c r="U464" s="11">
        <v>25</v>
      </c>
      <c r="V464" s="9">
        <v>48</v>
      </c>
      <c r="W464" s="9">
        <v>8</v>
      </c>
      <c r="X464" s="10">
        <v>0</v>
      </c>
      <c r="Y464" t="s">
        <v>908</v>
      </c>
      <c r="Z464" t="s">
        <v>903</v>
      </c>
      <c r="AA464" s="2" t="s">
        <v>921</v>
      </c>
      <c r="AB464" s="9" t="s">
        <v>997</v>
      </c>
      <c r="AC464" s="9" t="s">
        <v>998</v>
      </c>
      <c r="AD464" s="10" t="str">
        <f>SUBSTITUTE(SUBSTITUTE(PROPERTIES[[#This Row],[PURCHASECOST_VALUE]], "PURCHASECOST_", ""), "_VALUE", "")</f>
        <v>DMU</v>
      </c>
      <c r="AE464" s="9" t="str" cm="1">
        <f t="array" ref="AE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4" s="2" t="b">
        <v>0</v>
      </c>
      <c r="AX464"/>
      <c r="AY464"/>
      <c r="AZ464"/>
    </row>
    <row r="465" spans="1:52">
      <c r="A465" s="2" t="s">
        <v>490</v>
      </c>
      <c r="B465">
        <v>1997</v>
      </c>
      <c r="C465">
        <v>1</v>
      </c>
      <c r="D465" t="s">
        <v>1828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 s="2" t="s">
        <v>23</v>
      </c>
      <c r="K465" s="39">
        <f>_xlfn.XLOOKUP("LOADINGSPEEDDEF_"&amp;PROPERTIES[[#This Row],[LOADINGSPEED]],LOADINGSPEEDDEF[TYPE],LOADINGSPEEDDEF[SPEED])</f>
        <v>40</v>
      </c>
      <c r="L465">
        <v>45</v>
      </c>
      <c r="M465">
        <v>1</v>
      </c>
      <c r="N465" s="33">
        <v>49</v>
      </c>
      <c r="O465">
        <v>3200</v>
      </c>
      <c r="P465">
        <v>160</v>
      </c>
      <c r="Q465" s="30">
        <f>120/2</f>
        <v>60</v>
      </c>
      <c r="R465" s="29">
        <f>IFERROR(PROPERTIES[[#This Row],[TE_STARTING_KN]]/(PROPERTIES[[#This Row],[WEIGHT]]*9.81),0)</f>
        <v>0.12482057043000687</v>
      </c>
      <c r="S465" s="29">
        <v>0.24</v>
      </c>
      <c r="T465" s="26">
        <f>ROUND(IF(IFERROR(PROPERTIES[[#This Row],[TE_COEFFICIENT_CALC]],0)=0,PROPERTIES[[#This Row],[TE_COEFFICIENT_MANUAL]],PROPERTIES[[#This Row],[TE_COEFFICIENT_CALC]]),3)</f>
        <v>0.125</v>
      </c>
      <c r="U465" s="11">
        <v>20</v>
      </c>
      <c r="V465" s="9">
        <f>126/3</f>
        <v>42</v>
      </c>
      <c r="W465" s="9">
        <v>8</v>
      </c>
      <c r="X465" s="10">
        <v>0</v>
      </c>
      <c r="Y465" t="s">
        <v>905</v>
      </c>
      <c r="Z465" t="s">
        <v>903</v>
      </c>
      <c r="AA465" s="2" t="s">
        <v>921</v>
      </c>
      <c r="AB465" s="9" t="s">
        <v>997</v>
      </c>
      <c r="AC465" s="9" t="s">
        <v>998</v>
      </c>
      <c r="AD465" s="10" t="str">
        <f>SUBSTITUTE(SUBSTITUTE(PROPERTIES[[#This Row],[PURCHASECOST_VALUE]], "PURCHASECOST_", ""), "_VALUE", "")</f>
        <v>DMU</v>
      </c>
      <c r="AE465" s="9" t="str" cm="1">
        <f t="array" ref="AE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5" s="2" t="b">
        <v>0</v>
      </c>
      <c r="AX465"/>
      <c r="AY465"/>
      <c r="AZ465"/>
    </row>
    <row r="466" spans="1:52">
      <c r="A466" s="2" t="s">
        <v>491</v>
      </c>
      <c r="B466">
        <v>1997</v>
      </c>
      <c r="C466">
        <v>1</v>
      </c>
      <c r="D466" t="s">
        <v>1836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 s="2" t="s">
        <v>23</v>
      </c>
      <c r="K466" s="39">
        <f>_xlfn.XLOOKUP("LOADINGSPEEDDEF_"&amp;PROPERTIES[[#This Row],[LOADINGSPEED]],LOADINGSPEEDDEF[TYPE],LOADINGSPEEDDEF[SPEED])</f>
        <v>40</v>
      </c>
      <c r="L466">
        <v>45</v>
      </c>
      <c r="M466">
        <v>1</v>
      </c>
      <c r="N466" s="33">
        <v>50</v>
      </c>
      <c r="O466">
        <f>422*2</f>
        <v>844</v>
      </c>
      <c r="P466">
        <v>160</v>
      </c>
      <c r="Q466" s="30">
        <f>112/2</f>
        <v>56</v>
      </c>
      <c r="R466" s="29">
        <f>IFERROR(PROPERTIES[[#This Row],[TE_STARTING_KN]]/(PROPERTIES[[#This Row],[WEIGHT]]*9.81),0)</f>
        <v>0.11416921508664628</v>
      </c>
      <c r="S466" s="29">
        <v>0.39</v>
      </c>
      <c r="T466" s="26">
        <f>ROUND(IF(IFERROR(PROPERTIES[[#This Row],[TE_COEFFICIENT_CALC]],0)=0,PROPERTIES[[#This Row],[TE_COEFFICIENT_MANUAL]],PROPERTIES[[#This Row],[TE_COEFFICIENT_CALC]]),3)</f>
        <v>0.114</v>
      </c>
      <c r="U466" s="11">
        <v>20</v>
      </c>
      <c r="V466" s="9">
        <f>INT(204/3)</f>
        <v>68</v>
      </c>
      <c r="W466" s="9">
        <v>8</v>
      </c>
      <c r="X466" s="10">
        <v>52</v>
      </c>
      <c r="Y466" t="s">
        <v>908</v>
      </c>
      <c r="Z466" t="s">
        <v>903</v>
      </c>
      <c r="AA466" s="2" t="s">
        <v>921</v>
      </c>
      <c r="AB466" s="9" t="s">
        <v>997</v>
      </c>
      <c r="AC466" s="9" t="s">
        <v>998</v>
      </c>
      <c r="AD466" s="10" t="str">
        <f>SUBSTITUTE(SUBSTITUTE(PROPERTIES[[#This Row],[PURCHASECOST_VALUE]], "PURCHASECOST_", ""), "_VALUE", "")</f>
        <v>DMU</v>
      </c>
      <c r="AE466" s="9" t="str" cm="1">
        <f t="array" ref="AE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6" s="2" t="b">
        <v>0</v>
      </c>
      <c r="AX466"/>
      <c r="AY466"/>
      <c r="AZ466"/>
    </row>
    <row r="467" spans="1:52">
      <c r="A467" s="2" t="s">
        <v>492</v>
      </c>
      <c r="B467">
        <v>1998</v>
      </c>
      <c r="C467">
        <v>1</v>
      </c>
      <c r="D467" t="s">
        <v>1817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 s="2" t="s">
        <v>23</v>
      </c>
      <c r="K467" s="39">
        <f>_xlfn.XLOOKUP("LOADINGSPEEDDEF_"&amp;PROPERTIES[[#This Row],[LOADINGSPEED]],LOADINGSPEEDDEF[TYPE],LOADINGSPEEDDEF[SPEED])</f>
        <v>40</v>
      </c>
      <c r="L467">
        <v>45</v>
      </c>
      <c r="M467">
        <v>1</v>
      </c>
      <c r="N467" s="33">
        <v>58</v>
      </c>
      <c r="O467">
        <v>1520</v>
      </c>
      <c r="P467">
        <v>160</v>
      </c>
      <c r="Q467" s="30">
        <f>145/2</f>
        <v>72.5</v>
      </c>
      <c r="R467" s="29">
        <f>IFERROR(PROPERTIES[[#This Row],[TE_STARTING_KN]]/(PROPERTIES[[#This Row],[WEIGHT]]*9.81),0)</f>
        <v>0.127420998980632</v>
      </c>
      <c r="S467" s="29">
        <v>0.38</v>
      </c>
      <c r="T467" s="26">
        <f>ROUND(IF(IFERROR(PROPERTIES[[#This Row],[TE_COEFFICIENT_CALC]],0)=0,PROPERTIES[[#This Row],[TE_COEFFICIENT_MANUAL]],PROPERTIES[[#This Row],[TE_COEFFICIENT_CALC]]),3)</f>
        <v>0.127</v>
      </c>
      <c r="U467" s="11">
        <v>20</v>
      </c>
      <c r="V467" s="9">
        <v>73</v>
      </c>
      <c r="W467" s="9">
        <v>8</v>
      </c>
      <c r="X467" s="10">
        <v>0</v>
      </c>
      <c r="Y467" t="s">
        <v>904</v>
      </c>
      <c r="Z467" t="s">
        <v>903</v>
      </c>
      <c r="AA467" s="2" t="s">
        <v>921</v>
      </c>
      <c r="AB467" s="9" t="s">
        <v>997</v>
      </c>
      <c r="AC467" s="9" t="s">
        <v>998</v>
      </c>
      <c r="AD467" s="10" t="str">
        <f>SUBSTITUTE(SUBSTITUTE(PROPERTIES[[#This Row],[PURCHASECOST_VALUE]], "PURCHASECOST_", ""), "_VALUE", "")</f>
        <v>DMU</v>
      </c>
      <c r="AE467" s="9" t="str" cm="1">
        <f t="array" ref="AE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7" s="2" t="b">
        <v>0</v>
      </c>
      <c r="AX467"/>
      <c r="AY467"/>
      <c r="AZ467"/>
    </row>
    <row r="468" spans="1:52">
      <c r="A468" s="2" t="s">
        <v>493</v>
      </c>
      <c r="B468">
        <v>2000</v>
      </c>
      <c r="C468">
        <v>1</v>
      </c>
      <c r="D468" t="s">
        <v>1817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 s="2" t="s">
        <v>23</v>
      </c>
      <c r="K468" s="39">
        <f>_xlfn.XLOOKUP("LOADINGSPEEDDEF_"&amp;PROPERTIES[[#This Row],[LOADINGSPEED]],LOADINGSPEEDDEF[TYPE],LOADINGSPEEDDEF[SPEED])</f>
        <v>40</v>
      </c>
      <c r="L468" t="s">
        <v>20</v>
      </c>
      <c r="M468">
        <v>1</v>
      </c>
      <c r="N468" s="33">
        <f>88/2</f>
        <v>44</v>
      </c>
      <c r="O468">
        <f>490*2</f>
        <v>980</v>
      </c>
      <c r="P468">
        <v>120</v>
      </c>
      <c r="Q468" s="30">
        <f>85/2</f>
        <v>42.5</v>
      </c>
      <c r="R468" s="29">
        <f>IFERROR(PROPERTIES[[#This Row],[TE_STARTING_KN]]/(PROPERTIES[[#This Row],[WEIGHT]]*9.81),0)</f>
        <v>9.8461681030488357E-2</v>
      </c>
      <c r="S468" s="29">
        <v>0.18</v>
      </c>
      <c r="T468" s="26">
        <f>ROUND(IF(IFERROR(PROPERTIES[[#This Row],[TE_COEFFICIENT_CALC]],0)=0,PROPERTIES[[#This Row],[TE_COEFFICIENT_MANUAL]],PROPERTIES[[#This Row],[TE_COEFFICIENT_CALC]]),3)</f>
        <v>9.8000000000000004E-2</v>
      </c>
      <c r="U468" s="11">
        <v>25</v>
      </c>
      <c r="V468" s="9">
        <f>PROPERTIES[[#This Row],[HEAD_CAPACITY]]</f>
        <v>104</v>
      </c>
      <c r="W468" s="9">
        <v>8</v>
      </c>
      <c r="X468" s="10">
        <v>0</v>
      </c>
      <c r="Y468" t="s">
        <v>904</v>
      </c>
      <c r="Z468" t="s">
        <v>903</v>
      </c>
      <c r="AA468" s="2" t="s">
        <v>921</v>
      </c>
      <c r="AB468" s="9" t="s">
        <v>997</v>
      </c>
      <c r="AC468" s="9" t="s">
        <v>998</v>
      </c>
      <c r="AD468" s="10" t="str">
        <f>SUBSTITUTE(SUBSTITUTE(PROPERTIES[[#This Row],[PURCHASECOST_VALUE]], "PURCHASECOST_", ""), "_VALUE", "")</f>
        <v>DMU</v>
      </c>
      <c r="AE468" s="9" t="str" cm="1">
        <f t="array" ref="AE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8" s="2" t="b">
        <v>0</v>
      </c>
      <c r="AX468"/>
      <c r="AY468"/>
      <c r="AZ468"/>
    </row>
    <row r="469" spans="1:52">
      <c r="A469" s="2" t="s">
        <v>494</v>
      </c>
      <c r="B469">
        <v>2001</v>
      </c>
      <c r="C469">
        <v>1</v>
      </c>
      <c r="D469" t="s">
        <v>1819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 s="2" t="s">
        <v>23</v>
      </c>
      <c r="K469" s="39">
        <f>_xlfn.XLOOKUP("LOADINGSPEEDDEF_"&amp;PROPERTIES[[#This Row],[LOADINGSPEED]],LOADINGSPEEDDEF[TYPE],LOADINGSPEEDDEF[SPEED])</f>
        <v>40</v>
      </c>
      <c r="L469" t="s">
        <v>20</v>
      </c>
      <c r="M469">
        <v>1</v>
      </c>
      <c r="N469" s="33">
        <v>31</v>
      </c>
      <c r="O469">
        <v>422</v>
      </c>
      <c r="P469">
        <v>120</v>
      </c>
      <c r="Q469" s="30">
        <f>75/2</f>
        <v>37.5</v>
      </c>
      <c r="R469" s="29">
        <f>IFERROR(PROPERTIES[[#This Row],[TE_STARTING_KN]]/(PROPERTIES[[#This Row],[WEIGHT]]*9.81),0)</f>
        <v>0.12331064417480517</v>
      </c>
      <c r="S469" s="29">
        <v>0.39</v>
      </c>
      <c r="T469" s="26">
        <f>ROUND(IF(IFERROR(PROPERTIES[[#This Row],[TE_COEFFICIENT_CALC]],0)=0,PROPERTIES[[#This Row],[TE_COEFFICIENT_MANUAL]],PROPERTIES[[#This Row],[TE_COEFFICIENT_CALC]]),3)</f>
        <v>0.123</v>
      </c>
      <c r="U469" s="11">
        <v>20</v>
      </c>
      <c r="V469" s="9">
        <f>PROPERTIES[[#This Row],[HEAD_CAPACITY]]</f>
        <v>137</v>
      </c>
      <c r="W469" s="9">
        <v>8</v>
      </c>
      <c r="X469" s="10">
        <v>0</v>
      </c>
      <c r="Y469" t="s">
        <v>908</v>
      </c>
      <c r="Z469" t="s">
        <v>903</v>
      </c>
      <c r="AA469" s="2" t="s">
        <v>921</v>
      </c>
      <c r="AB469" s="9" t="s">
        <v>997</v>
      </c>
      <c r="AC469" s="9" t="s">
        <v>998</v>
      </c>
      <c r="AD469" s="10" t="str">
        <f>SUBSTITUTE(SUBSTITUTE(PROPERTIES[[#This Row],[PURCHASECOST_VALUE]], "PURCHASECOST_", ""), "_VALUE", "")</f>
        <v>DMU</v>
      </c>
      <c r="AE469" s="9" t="str" cm="1">
        <f t="array" ref="AE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9" s="2" t="b">
        <v>0</v>
      </c>
      <c r="AX469"/>
      <c r="AY469"/>
      <c r="AZ469"/>
    </row>
    <row r="470" spans="1:52">
      <c r="A470" s="2" t="s">
        <v>495</v>
      </c>
      <c r="B470">
        <v>2001</v>
      </c>
      <c r="C470">
        <v>1</v>
      </c>
      <c r="D470" t="s">
        <v>1926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 s="2" t="s">
        <v>23</v>
      </c>
      <c r="K470" s="39">
        <f>_xlfn.XLOOKUP("LOADINGSPEEDDEF_"&amp;PROPERTIES[[#This Row],[LOADINGSPEED]],LOADINGSPEEDDEF[TYPE],LOADINGSPEEDDEF[SPEED])</f>
        <v>40</v>
      </c>
      <c r="L470">
        <v>45</v>
      </c>
      <c r="M470">
        <v>1</v>
      </c>
      <c r="N470" s="33">
        <f>77/2</f>
        <v>38.5</v>
      </c>
      <c r="O470">
        <v>810</v>
      </c>
      <c r="P470">
        <v>140</v>
      </c>
      <c r="Q470" s="30">
        <f>100/2</f>
        <v>50</v>
      </c>
      <c r="R470" s="29">
        <f>IFERROR(PROPERTIES[[#This Row],[TE_STARTING_KN]]/(PROPERTIES[[#This Row],[WEIGHT]]*9.81),0)</f>
        <v>0.13238545348637093</v>
      </c>
      <c r="S470" s="29">
        <v>0.21</v>
      </c>
      <c r="T470" s="26">
        <f>ROUND(IF(IFERROR(PROPERTIES[[#This Row],[TE_COEFFICIENT_CALC]],0)=0,PROPERTIES[[#This Row],[TE_COEFFICIENT_MANUAL]],PROPERTIES[[#This Row],[TE_COEFFICIENT_CALC]]),3)</f>
        <v>0.13200000000000001</v>
      </c>
      <c r="U470" s="11">
        <v>20</v>
      </c>
      <c r="V470" s="9">
        <f>76/2</f>
        <v>38</v>
      </c>
      <c r="W470" s="9">
        <v>8</v>
      </c>
      <c r="X470" s="10">
        <v>0</v>
      </c>
      <c r="Y470" t="s">
        <v>908</v>
      </c>
      <c r="Z470" t="s">
        <v>903</v>
      </c>
      <c r="AA470" s="2" t="s">
        <v>921</v>
      </c>
      <c r="AB470" s="9" t="s">
        <v>997</v>
      </c>
      <c r="AC470" s="9" t="s">
        <v>998</v>
      </c>
      <c r="AD470" s="10" t="str">
        <f>SUBSTITUTE(SUBSTITUTE(PROPERTIES[[#This Row],[PURCHASECOST_VALUE]], "PURCHASECOST_", ""), "_VALUE", "")</f>
        <v>DMU</v>
      </c>
      <c r="AE470" s="9" t="str" cm="1">
        <f t="array" ref="AE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0" s="2" t="b">
        <v>0</v>
      </c>
      <c r="AX470"/>
      <c r="AY470"/>
      <c r="AZ470"/>
    </row>
    <row r="471" spans="1:52">
      <c r="A471" s="2" t="s">
        <v>496</v>
      </c>
      <c r="B471">
        <v>2004</v>
      </c>
      <c r="C471">
        <v>1</v>
      </c>
      <c r="D471" t="s">
        <v>1773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 s="2" t="s">
        <v>478</v>
      </c>
      <c r="K471" s="39">
        <f>_xlfn.XLOOKUP("LOADINGSPEEDDEF_"&amp;PROPERTIES[[#This Row],[LOADINGSPEED]],LOADINGSPEEDDEF[TYPE],LOADINGSPEEDDEF[SPEED])</f>
        <v>16</v>
      </c>
      <c r="L471" t="s">
        <v>20</v>
      </c>
      <c r="M471">
        <v>1</v>
      </c>
      <c r="N471" s="33">
        <v>33</v>
      </c>
      <c r="O471">
        <f>520*2</f>
        <v>1040</v>
      </c>
      <c r="P471">
        <v>200</v>
      </c>
      <c r="Q471" s="30">
        <f>160/2</f>
        <v>80</v>
      </c>
      <c r="R471" s="29">
        <f>IFERROR(PROPERTIES[[#This Row],[TE_STARTING_KN]]/(PROPERTIES[[#This Row],[WEIGHT]]*9.81),0)</f>
        <v>0.24711951317455902</v>
      </c>
      <c r="S471" s="29">
        <v>0.33</v>
      </c>
      <c r="T471" s="26">
        <f>ROUND(IF(IFERROR(PROPERTIES[[#This Row],[TE_COEFFICIENT_CALC]],0)=0,PROPERTIES[[#This Row],[TE_COEFFICIENT_MANUAL]],PROPERTIES[[#This Row],[TE_COEFFICIENT_CALC]]),3)</f>
        <v>0.247</v>
      </c>
      <c r="U471" s="11">
        <v>25</v>
      </c>
      <c r="V471" s="9">
        <v>68</v>
      </c>
      <c r="W471" s="9">
        <v>8</v>
      </c>
      <c r="X471" s="10">
        <v>0</v>
      </c>
      <c r="Y471" t="s">
        <v>906</v>
      </c>
      <c r="Z471" t="s">
        <v>903</v>
      </c>
      <c r="AA471" s="2" t="s">
        <v>921</v>
      </c>
      <c r="AB471" s="9" t="s">
        <v>997</v>
      </c>
      <c r="AC471" s="9" t="s">
        <v>998</v>
      </c>
      <c r="AD471" s="10" t="str">
        <f>SUBSTITUTE(SUBSTITUTE(PROPERTIES[[#This Row],[PURCHASECOST_VALUE]], "PURCHASECOST_", ""), "_VALUE", "")</f>
        <v>DMU</v>
      </c>
      <c r="AE471" s="9" t="str" cm="1">
        <f t="array" ref="AE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1" s="2" t="b">
        <v>0</v>
      </c>
      <c r="AX471"/>
      <c r="AY471"/>
      <c r="AZ471"/>
    </row>
    <row r="472" spans="1:52">
      <c r="A472" s="2" t="s">
        <v>497</v>
      </c>
      <c r="B472">
        <v>2006</v>
      </c>
      <c r="C472">
        <v>1</v>
      </c>
      <c r="D472" t="s">
        <v>1773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 s="2" t="s">
        <v>23</v>
      </c>
      <c r="K472" s="39">
        <f>_xlfn.XLOOKUP("LOADINGSPEEDDEF_"&amp;PROPERTIES[[#This Row],[LOADINGSPEED]],LOADINGSPEEDDEF[TYPE],LOADINGSPEEDDEF[SPEED])</f>
        <v>40</v>
      </c>
      <c r="L472" t="s">
        <v>20</v>
      </c>
      <c r="M472">
        <v>1</v>
      </c>
      <c r="N472" s="33">
        <v>30</v>
      </c>
      <c r="O472">
        <v>750</v>
      </c>
      <c r="P472">
        <v>160</v>
      </c>
      <c r="Q472" s="30">
        <f>140/2</f>
        <v>70</v>
      </c>
      <c r="R472" s="29">
        <f>IFERROR(PROPERTIES[[#This Row],[TE_STARTING_KN]]/(PROPERTIES[[#This Row],[WEIGHT]]*9.81),0)</f>
        <v>0.23785253143051308</v>
      </c>
      <c r="S472" s="29">
        <v>0.33</v>
      </c>
      <c r="T472" s="26">
        <f>ROUND(IF(IFERROR(PROPERTIES[[#This Row],[TE_COEFFICIENT_CALC]],0)=0,PROPERTIES[[#This Row],[TE_COEFFICIENT_MANUAL]],PROPERTIES[[#This Row],[TE_COEFFICIENT_CALC]]),3)</f>
        <v>0.23799999999999999</v>
      </c>
      <c r="U472" s="11">
        <v>25</v>
      </c>
      <c r="V472" s="9">
        <v>70</v>
      </c>
      <c r="W472" s="9">
        <v>8</v>
      </c>
      <c r="X472" s="10">
        <v>0</v>
      </c>
      <c r="Y472" t="s">
        <v>906</v>
      </c>
      <c r="Z472" t="s">
        <v>903</v>
      </c>
      <c r="AA472" s="2" t="s">
        <v>921</v>
      </c>
      <c r="AB472" s="9" t="s">
        <v>997</v>
      </c>
      <c r="AC472" s="9" t="s">
        <v>998</v>
      </c>
      <c r="AD472" s="10" t="str">
        <f>SUBSTITUTE(SUBSTITUTE(PROPERTIES[[#This Row],[PURCHASECOST_VALUE]], "PURCHASECOST_", ""), "_VALUE", "")</f>
        <v>DMU</v>
      </c>
      <c r="AE472" s="9" t="str" cm="1">
        <f t="array" ref="AE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2" s="2" t="b">
        <v>0</v>
      </c>
      <c r="AX472"/>
      <c r="AY472"/>
      <c r="AZ472"/>
    </row>
    <row r="473" spans="1:52">
      <c r="A473" s="2" t="s">
        <v>498</v>
      </c>
      <c r="B473">
        <v>2006</v>
      </c>
      <c r="C473">
        <v>1</v>
      </c>
      <c r="D473" t="s">
        <v>1950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 s="2" t="s">
        <v>23</v>
      </c>
      <c r="K473" s="39">
        <f>_xlfn.XLOOKUP("LOADINGSPEEDDEF_"&amp;PROPERTIES[[#This Row],[LOADINGSPEED]],LOADINGSPEEDDEF[TYPE],LOADINGSPEEDDEF[SPEED])</f>
        <v>40</v>
      </c>
      <c r="L473" t="s">
        <v>20</v>
      </c>
      <c r="M473">
        <v>1</v>
      </c>
      <c r="N473" s="33">
        <v>44</v>
      </c>
      <c r="O473">
        <v>840</v>
      </c>
      <c r="P473">
        <v>100</v>
      </c>
      <c r="Q473" s="30">
        <f>105/2</f>
        <v>52.5</v>
      </c>
      <c r="R473" s="29">
        <f>IFERROR(PROPERTIES[[#This Row],[TE_STARTING_KN]]/(PROPERTIES[[#This Row],[WEIGHT]]*9.81),0)</f>
        <v>0.12162913539060327</v>
      </c>
      <c r="S473" s="29">
        <v>0.28000000000000003</v>
      </c>
      <c r="T473" s="26">
        <f>ROUND(IF(IFERROR(PROPERTIES[[#This Row],[TE_COEFFICIENT_CALC]],0)=0,PROPERTIES[[#This Row],[TE_COEFFICIENT_MANUAL]],PROPERTIES[[#This Row],[TE_COEFFICIENT_CALC]]),3)</f>
        <v>0.122</v>
      </c>
      <c r="U473" s="11">
        <v>25</v>
      </c>
      <c r="V473" s="9">
        <v>86</v>
      </c>
      <c r="W473" s="9">
        <v>8</v>
      </c>
      <c r="X473" s="10">
        <v>0</v>
      </c>
      <c r="Y473" t="s">
        <v>912</v>
      </c>
      <c r="Z473" t="s">
        <v>903</v>
      </c>
      <c r="AA473" s="2" t="s">
        <v>921</v>
      </c>
      <c r="AB473" s="9" t="s">
        <v>997</v>
      </c>
      <c r="AC473" s="9" t="s">
        <v>998</v>
      </c>
      <c r="AD473" s="10" t="str">
        <f>SUBSTITUTE(SUBSTITUTE(PROPERTIES[[#This Row],[PURCHASECOST_VALUE]], "PURCHASECOST_", ""), "_VALUE", "")</f>
        <v>DMU</v>
      </c>
      <c r="AE473" s="9" t="str" cm="1">
        <f t="array" ref="AE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3" s="2" t="b">
        <v>0</v>
      </c>
      <c r="AX473"/>
      <c r="AY473"/>
      <c r="AZ473"/>
    </row>
    <row r="474" spans="1:52">
      <c r="A474" s="2" t="s">
        <v>499</v>
      </c>
      <c r="B474">
        <v>2007</v>
      </c>
      <c r="C474">
        <v>1</v>
      </c>
      <c r="D474" t="s">
        <v>1819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 s="2" t="s">
        <v>478</v>
      </c>
      <c r="K474" s="39">
        <f>_xlfn.XLOOKUP("LOADINGSPEEDDEF_"&amp;PROPERTIES[[#This Row],[LOADINGSPEED]],LOADINGSPEEDDEF[TYPE],LOADINGSPEEDDEF[SPEED])</f>
        <v>16</v>
      </c>
      <c r="L474" t="s">
        <v>20</v>
      </c>
      <c r="M474">
        <v>1</v>
      </c>
      <c r="N474" s="33">
        <v>36</v>
      </c>
      <c r="O474">
        <v>750</v>
      </c>
      <c r="P474">
        <v>180</v>
      </c>
      <c r="Q474" s="30">
        <f>100/2</f>
        <v>50</v>
      </c>
      <c r="R474" s="29">
        <f>IFERROR(PROPERTIES[[#This Row],[TE_STARTING_KN]]/(PROPERTIES[[#This Row],[WEIGHT]]*9.81),0)</f>
        <v>0.14157888775625777</v>
      </c>
      <c r="S474" s="29">
        <v>0.62</v>
      </c>
      <c r="T474" s="26">
        <f>ROUND(IF(IFERROR(PROPERTIES[[#This Row],[TE_COEFFICIENT_CALC]],0)=0,PROPERTIES[[#This Row],[TE_COEFFICIENT_MANUAL]],PROPERTIES[[#This Row],[TE_COEFFICIENT_CALC]]),3)</f>
        <v>0.14199999999999999</v>
      </c>
      <c r="U474" s="11">
        <v>25</v>
      </c>
      <c r="V474" s="9">
        <v>52</v>
      </c>
      <c r="W474" s="9">
        <v>8</v>
      </c>
      <c r="X474" s="10">
        <v>0</v>
      </c>
      <c r="Y474" t="s">
        <v>908</v>
      </c>
      <c r="Z474" t="s">
        <v>903</v>
      </c>
      <c r="AA474" s="2" t="s">
        <v>921</v>
      </c>
      <c r="AB474" s="9" t="s">
        <v>997</v>
      </c>
      <c r="AC474" s="9" t="s">
        <v>998</v>
      </c>
      <c r="AD474" s="10" t="str">
        <f>SUBSTITUTE(SUBSTITUTE(PROPERTIES[[#This Row],[PURCHASECOST_VALUE]], "PURCHASECOST_", ""), "_VALUE", "")</f>
        <v>DMU</v>
      </c>
      <c r="AE474" s="9" t="str" cm="1">
        <f t="array" ref="AE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4" s="2" t="b">
        <v>0</v>
      </c>
      <c r="AX474"/>
      <c r="AY474"/>
      <c r="AZ474"/>
    </row>
    <row r="475" spans="1:52">
      <c r="A475" s="2" t="s">
        <v>500</v>
      </c>
      <c r="B475">
        <v>2011</v>
      </c>
      <c r="C475">
        <v>1</v>
      </c>
      <c r="D475" t="s">
        <v>1857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 s="2" t="s">
        <v>478</v>
      </c>
      <c r="K475" s="39">
        <f>_xlfn.XLOOKUP("LOADINGSPEEDDEF_"&amp;PROPERTIES[[#This Row],[LOADINGSPEED]],LOADINGSPEEDDEF[TYPE],LOADINGSPEEDDEF[SPEED])</f>
        <v>16</v>
      </c>
      <c r="L475" t="s">
        <v>20</v>
      </c>
      <c r="M475">
        <v>1</v>
      </c>
      <c r="N475" s="33">
        <v>45</v>
      </c>
      <c r="O475">
        <v>520</v>
      </c>
      <c r="P475">
        <v>160</v>
      </c>
      <c r="Q475" s="30">
        <f>125/2</f>
        <v>62.5</v>
      </c>
      <c r="R475" s="29">
        <f>IFERROR(PROPERTIES[[#This Row],[TE_STARTING_KN]]/(PROPERTIES[[#This Row],[WEIGHT]]*9.81),0)</f>
        <v>0.14157888775625777</v>
      </c>
      <c r="S475" s="29">
        <v>0.53</v>
      </c>
      <c r="T475" s="26">
        <f>ROUND(IF(IFERROR(PROPERTIES[[#This Row],[TE_COEFFICIENT_CALC]],0)=0,PROPERTIES[[#This Row],[TE_COEFFICIENT_MANUAL]],PROPERTIES[[#This Row],[TE_COEFFICIENT_CALC]]),3)</f>
        <v>0.14199999999999999</v>
      </c>
      <c r="U475" s="11">
        <v>25</v>
      </c>
      <c r="V475" s="9">
        <v>66</v>
      </c>
      <c r="W475" s="9">
        <v>8</v>
      </c>
      <c r="X475" s="10">
        <v>0</v>
      </c>
      <c r="Y475" t="s">
        <v>910</v>
      </c>
      <c r="Z475" t="s">
        <v>903</v>
      </c>
      <c r="AA475" s="2" t="s">
        <v>921</v>
      </c>
      <c r="AB475" s="9" t="s">
        <v>997</v>
      </c>
      <c r="AC475" s="9" t="s">
        <v>998</v>
      </c>
      <c r="AD475" s="10" t="str">
        <f>SUBSTITUTE(SUBSTITUTE(PROPERTIES[[#This Row],[PURCHASECOST_VALUE]], "PURCHASECOST_", ""), "_VALUE", "")</f>
        <v>DMU</v>
      </c>
      <c r="AE475" s="9" t="str" cm="1">
        <f t="array" ref="AE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5" s="2" t="b">
        <v>0</v>
      </c>
      <c r="AX475"/>
      <c r="AY475"/>
      <c r="AZ475"/>
    </row>
    <row r="476" spans="1:52">
      <c r="A476" s="2" t="s">
        <v>501</v>
      </c>
      <c r="B476">
        <v>1961</v>
      </c>
      <c r="C476">
        <v>1</v>
      </c>
      <c r="D476" t="s">
        <v>2263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 s="2" t="s">
        <v>23</v>
      </c>
      <c r="K476" s="39">
        <f>_xlfn.XLOOKUP("LOADINGSPEEDDEF_"&amp;PROPERTIES[[#This Row],[LOADINGSPEED]],LOADINGSPEEDDEF[TYPE],LOADINGSPEEDDEF[SPEED])</f>
        <v>40</v>
      </c>
      <c r="L476">
        <v>45</v>
      </c>
      <c r="M476">
        <v>1</v>
      </c>
      <c r="N476" s="33">
        <v>35</v>
      </c>
      <c r="O476">
        <v>800</v>
      </c>
      <c r="P476">
        <v>90</v>
      </c>
      <c r="Q476" s="30">
        <f>115/2</f>
        <v>57.5</v>
      </c>
      <c r="R476" s="29">
        <f>IFERROR(PROPERTIES[[#This Row],[TE_STARTING_KN]]/(PROPERTIES[[#This Row],[WEIGHT]]*9.81),0)</f>
        <v>0.1674675986602592</v>
      </c>
      <c r="S476" s="29">
        <v>0.23</v>
      </c>
      <c r="T476" s="26">
        <f>ROUND(IF(IFERROR(PROPERTIES[[#This Row],[TE_COEFFICIENT_CALC]],0)=0,PROPERTIES[[#This Row],[TE_COEFFICIENT_MANUAL]],PROPERTIES[[#This Row],[TE_COEFFICIENT_CALC]]),3)</f>
        <v>0.16700000000000001</v>
      </c>
      <c r="U476" s="11">
        <v>20</v>
      </c>
      <c r="V476" s="9">
        <v>66</v>
      </c>
      <c r="W476" s="9">
        <v>8</v>
      </c>
      <c r="X476" s="10">
        <v>0</v>
      </c>
      <c r="Y476" t="s">
        <v>912</v>
      </c>
      <c r="Z476" t="s">
        <v>903</v>
      </c>
      <c r="AA476" s="2" t="s">
        <v>921</v>
      </c>
      <c r="AB476" s="9" t="s">
        <v>997</v>
      </c>
      <c r="AC476" s="9" t="s">
        <v>998</v>
      </c>
      <c r="AD476" s="10" t="str">
        <f>SUBSTITUTE(SUBSTITUTE(PROPERTIES[[#This Row],[PURCHASECOST_VALUE]], "PURCHASECOST_", ""), "_VALUE", "")</f>
        <v>DMU</v>
      </c>
      <c r="AE476" s="9" t="str" cm="1">
        <f t="array" ref="AE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6" s="2" t="b">
        <v>0</v>
      </c>
      <c r="AX476"/>
      <c r="AY476"/>
      <c r="AZ476"/>
    </row>
    <row r="477" spans="1:52">
      <c r="A477" s="2" t="s">
        <v>502</v>
      </c>
      <c r="B477">
        <v>1968</v>
      </c>
      <c r="C477">
        <v>1</v>
      </c>
      <c r="D477" t="s">
        <v>1873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 s="2" t="s">
        <v>23</v>
      </c>
      <c r="K477" s="39">
        <f>_xlfn.XLOOKUP("LOADINGSPEEDDEF_"&amp;PROPERTIES[[#This Row],[LOADINGSPEED]],LOADINGSPEEDDEF[TYPE],LOADINGSPEEDDEF[SPEED])</f>
        <v>40</v>
      </c>
      <c r="L477">
        <v>45</v>
      </c>
      <c r="M477">
        <v>1</v>
      </c>
      <c r="N477" s="33">
        <v>44</v>
      </c>
      <c r="O477">
        <v>500</v>
      </c>
      <c r="P477">
        <v>120</v>
      </c>
      <c r="Q477" s="30">
        <f>108/2</f>
        <v>54</v>
      </c>
      <c r="R477" s="29">
        <f>IFERROR(PROPERTIES[[#This Row],[TE_STARTING_KN]]/(PROPERTIES[[#This Row],[WEIGHT]]*9.81),0)</f>
        <v>0.12510425354462051</v>
      </c>
      <c r="S477" s="29">
        <v>0.34</v>
      </c>
      <c r="T477" s="26">
        <f>ROUND(IF(IFERROR(PROPERTIES[[#This Row],[TE_COEFFICIENT_CALC]],0)=0,PROPERTIES[[#This Row],[TE_COEFFICIENT_MANUAL]],PROPERTIES[[#This Row],[TE_COEFFICIENT_CALC]]),3)</f>
        <v>0.125</v>
      </c>
      <c r="U477" s="11">
        <v>20</v>
      </c>
      <c r="V477" s="9">
        <v>76</v>
      </c>
      <c r="W477" s="9">
        <v>8</v>
      </c>
      <c r="X477" s="10">
        <v>0</v>
      </c>
      <c r="Y477" t="s">
        <v>912</v>
      </c>
      <c r="Z477" t="s">
        <v>903</v>
      </c>
      <c r="AA477" s="2" t="s">
        <v>921</v>
      </c>
      <c r="AB477" s="9" t="s">
        <v>997</v>
      </c>
      <c r="AC477" s="9" t="s">
        <v>998</v>
      </c>
      <c r="AD477" s="10" t="str">
        <f>SUBSTITUTE(SUBSTITUTE(PROPERTIES[[#This Row],[PURCHASECOST_VALUE]], "PURCHASECOST_", ""), "_VALUE", "")</f>
        <v>DMU</v>
      </c>
      <c r="AE477" s="9" t="str" cm="1">
        <f t="array" ref="AE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7" s="2" t="b">
        <v>0</v>
      </c>
      <c r="AX477"/>
      <c r="AY477"/>
      <c r="AZ477"/>
    </row>
    <row r="478" spans="1:52">
      <c r="A478" s="2" t="s">
        <v>503</v>
      </c>
      <c r="B478">
        <v>1973</v>
      </c>
      <c r="C478">
        <v>1</v>
      </c>
      <c r="D478" t="s">
        <v>1816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 s="2" t="s">
        <v>23</v>
      </c>
      <c r="K478" s="39">
        <f>_xlfn.XLOOKUP("LOADINGSPEEDDEF_"&amp;PROPERTIES[[#This Row],[LOADINGSPEED]],LOADINGSPEEDDEF[TYPE],LOADINGSPEEDDEF[SPEED])</f>
        <v>40</v>
      </c>
      <c r="L478">
        <v>45</v>
      </c>
      <c r="M478">
        <v>1</v>
      </c>
      <c r="N478" s="33">
        <v>22</v>
      </c>
      <c r="O478">
        <v>325</v>
      </c>
      <c r="P478">
        <v>80</v>
      </c>
      <c r="Q478" s="30">
        <f>54/2</f>
        <v>27</v>
      </c>
      <c r="R478" s="29">
        <f>IFERROR(PROPERTIES[[#This Row],[TE_STARTING_KN]]/(PROPERTIES[[#This Row],[WEIGHT]]*9.81),0)</f>
        <v>0.12510425354462051</v>
      </c>
      <c r="S478" s="29">
        <v>0.25</v>
      </c>
      <c r="T478" s="26">
        <f>ROUND(IF(IFERROR(PROPERTIES[[#This Row],[TE_COEFFICIENT_CALC]],0)=0,PROPERTIES[[#This Row],[TE_COEFFICIENT_MANUAL]],PROPERTIES[[#This Row],[TE_COEFFICIENT_CALC]]),3)</f>
        <v>0.125</v>
      </c>
      <c r="U478" s="11">
        <v>20</v>
      </c>
      <c r="V478" s="9">
        <f>INT((135+151)/3)</f>
        <v>95</v>
      </c>
      <c r="W478" s="9">
        <v>6</v>
      </c>
      <c r="X478" s="10">
        <v>0</v>
      </c>
      <c r="Y478" t="s">
        <v>910</v>
      </c>
      <c r="Z478" t="s">
        <v>903</v>
      </c>
      <c r="AA478" s="2" t="s">
        <v>921</v>
      </c>
      <c r="AB478" s="9" t="s">
        <v>997</v>
      </c>
      <c r="AC478" s="9" t="s">
        <v>998</v>
      </c>
      <c r="AD478" s="10" t="str">
        <f>SUBSTITUTE(SUBSTITUTE(PROPERTIES[[#This Row],[PURCHASECOST_VALUE]], "PURCHASECOST_", ""), "_VALUE", "")</f>
        <v>DMU</v>
      </c>
      <c r="AE478" s="9" t="str" cm="1">
        <f t="array" ref="AE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8" s="2" t="b">
        <v>0</v>
      </c>
      <c r="AX478"/>
      <c r="AY478"/>
      <c r="AZ478"/>
    </row>
    <row r="479" spans="1:52">
      <c r="A479" s="2" t="s">
        <v>504</v>
      </c>
      <c r="B479">
        <v>1984</v>
      </c>
      <c r="C479">
        <v>1</v>
      </c>
      <c r="D479" t="s">
        <v>1836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 s="2" t="s">
        <v>23</v>
      </c>
      <c r="K479" s="39">
        <f>_xlfn.XLOOKUP("LOADINGSPEEDDEF_"&amp;PROPERTIES[[#This Row],[LOADINGSPEED]],LOADINGSPEEDDEF[TYPE],LOADINGSPEEDDEF[SPEED])</f>
        <v>40</v>
      </c>
      <c r="L479">
        <v>45</v>
      </c>
      <c r="M479">
        <v>1</v>
      </c>
      <c r="N479" s="33">
        <v>36</v>
      </c>
      <c r="O479">
        <v>389</v>
      </c>
      <c r="P479">
        <v>121</v>
      </c>
      <c r="Q479" s="30">
        <f>65/2</f>
        <v>32.5</v>
      </c>
      <c r="R479" s="29">
        <f>IFERROR(PROPERTIES[[#This Row],[TE_STARTING_KN]]/(PROPERTIES[[#This Row],[WEIGHT]]*9.81),0)</f>
        <v>9.2026277041567559E-2</v>
      </c>
      <c r="S479" s="29">
        <v>0.26</v>
      </c>
      <c r="T479" s="26">
        <f>ROUND(IF(IFERROR(PROPERTIES[[#This Row],[TE_COEFFICIENT_CALC]],0)=0,PROPERTIES[[#This Row],[TE_COEFFICIENT_MANUAL]],PROPERTIES[[#This Row],[TE_COEFFICIENT_CALC]]),3)</f>
        <v>9.1999999999999998E-2</v>
      </c>
      <c r="U479" s="11">
        <v>20</v>
      </c>
      <c r="V479" s="9">
        <v>80</v>
      </c>
      <c r="W479" s="9">
        <v>7</v>
      </c>
      <c r="X479" s="10">
        <v>0</v>
      </c>
      <c r="Y479" t="s">
        <v>908</v>
      </c>
      <c r="Z479" t="s">
        <v>903</v>
      </c>
      <c r="AA479" s="2" t="s">
        <v>921</v>
      </c>
      <c r="AB479" s="9" t="s">
        <v>997</v>
      </c>
      <c r="AC479" s="9" t="s">
        <v>998</v>
      </c>
      <c r="AD479" s="10" t="str">
        <f>SUBSTITUTE(SUBSTITUTE(PROPERTIES[[#This Row],[PURCHASECOST_VALUE]], "PURCHASECOST_", ""), "_VALUE", "")</f>
        <v>DMU</v>
      </c>
      <c r="AE479" s="9" t="str" cm="1">
        <f t="array" ref="AE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9" s="2" t="b">
        <v>0</v>
      </c>
      <c r="AX479"/>
      <c r="AY479"/>
      <c r="AZ479"/>
    </row>
    <row r="480" spans="1:52">
      <c r="A480" s="2" t="s">
        <v>505</v>
      </c>
      <c r="B480">
        <v>1984</v>
      </c>
      <c r="C480">
        <v>1</v>
      </c>
      <c r="D480" t="s">
        <v>1867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 s="2" t="s">
        <v>23</v>
      </c>
      <c r="K480" s="39">
        <f>_xlfn.XLOOKUP("LOADINGSPEEDDEF_"&amp;PROPERTIES[[#This Row],[LOADINGSPEED]],LOADINGSPEEDDEF[TYPE],LOADINGSPEEDDEF[SPEED])</f>
        <v>40</v>
      </c>
      <c r="L480">
        <v>45</v>
      </c>
      <c r="M480">
        <v>1</v>
      </c>
      <c r="N480" s="33">
        <v>26</v>
      </c>
      <c r="O480">
        <v>200</v>
      </c>
      <c r="P480">
        <v>121</v>
      </c>
      <c r="Q480" s="30">
        <f>42/2</f>
        <v>21</v>
      </c>
      <c r="R480" s="29">
        <f>IFERROR(PROPERTIES[[#This Row],[TE_STARTING_KN]]/(PROPERTIES[[#This Row],[WEIGHT]]*9.81),0)</f>
        <v>8.2333568572100682E-2</v>
      </c>
      <c r="S480" s="29">
        <v>0.21</v>
      </c>
      <c r="T480" s="26">
        <f>ROUND(IF(IFERROR(PROPERTIES[[#This Row],[TE_COEFFICIENT_CALC]],0)=0,PROPERTIES[[#This Row],[TE_COEFFICIENT_MANUAL]],PROPERTIES[[#This Row],[TE_COEFFICIENT_CALC]]),3)</f>
        <v>8.2000000000000003E-2</v>
      </c>
      <c r="U480" s="11">
        <v>20</v>
      </c>
      <c r="V480" s="9">
        <v>47</v>
      </c>
      <c r="W480" s="9">
        <v>6</v>
      </c>
      <c r="X480" s="10">
        <v>0</v>
      </c>
      <c r="Y480" t="s">
        <v>912</v>
      </c>
      <c r="Z480" t="s">
        <v>903</v>
      </c>
      <c r="AA480" s="2" t="s">
        <v>921</v>
      </c>
      <c r="AB480" s="9" t="s">
        <v>997</v>
      </c>
      <c r="AC480" s="9" t="s">
        <v>998</v>
      </c>
      <c r="AD480" s="10" t="str">
        <f>SUBSTITUTE(SUBSTITUTE(PROPERTIES[[#This Row],[PURCHASECOST_VALUE]], "PURCHASECOST_", ""), "_VALUE", "")</f>
        <v>DMU</v>
      </c>
      <c r="AE480" s="9" t="str" cm="1">
        <f t="array" ref="AE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0" s="2" t="b">
        <v>0</v>
      </c>
      <c r="AX480"/>
      <c r="AY480"/>
      <c r="AZ480"/>
    </row>
    <row r="481" spans="1:52">
      <c r="A481" s="2" t="s">
        <v>506</v>
      </c>
      <c r="B481">
        <v>1986</v>
      </c>
      <c r="C481">
        <v>1</v>
      </c>
      <c r="D481" t="s">
        <v>1862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 s="2" t="s">
        <v>478</v>
      </c>
      <c r="K481" s="39">
        <f>_xlfn.XLOOKUP("LOADINGSPEEDDEF_"&amp;PROPERTIES[[#This Row],[LOADINGSPEED]],LOADINGSPEEDDEF[TYPE],LOADINGSPEEDDEF[SPEED])</f>
        <v>16</v>
      </c>
      <c r="L481" t="s">
        <v>20</v>
      </c>
      <c r="M481">
        <v>1</v>
      </c>
      <c r="N481" s="33">
        <f>INT(97/2)</f>
        <v>48</v>
      </c>
      <c r="O481">
        <f>1600*2</f>
        <v>3200</v>
      </c>
      <c r="P481">
        <v>180</v>
      </c>
      <c r="Q481" s="30">
        <f>115/2</f>
        <v>57.5</v>
      </c>
      <c r="R481" s="29">
        <f>IFERROR(PROPERTIES[[#This Row],[TE_STARTING_KN]]/(PROPERTIES[[#This Row],[WEIGHT]]*9.81),0)</f>
        <v>0.12211179068977235</v>
      </c>
      <c r="S481" s="29">
        <v>0.25</v>
      </c>
      <c r="T481" s="26">
        <f>ROUND(IF(IFERROR(PROPERTIES[[#This Row],[TE_COEFFICIENT_CALC]],0)=0,PROPERTIES[[#This Row],[TE_COEFFICIENT_MANUAL]],PROPERTIES[[#This Row],[TE_COEFFICIENT_CALC]]),3)</f>
        <v>0.122</v>
      </c>
      <c r="U481" s="11">
        <v>25</v>
      </c>
      <c r="V481" s="9">
        <v>48</v>
      </c>
      <c r="W481" s="9">
        <v>8</v>
      </c>
      <c r="X481" s="10">
        <v>0</v>
      </c>
      <c r="Y481" t="s">
        <v>912</v>
      </c>
      <c r="Z481" t="s">
        <v>903</v>
      </c>
      <c r="AA481" s="2" t="s">
        <v>921</v>
      </c>
      <c r="AB481" s="9" t="s">
        <v>997</v>
      </c>
      <c r="AC481" s="9" t="s">
        <v>998</v>
      </c>
      <c r="AD481" s="10" t="str">
        <f>SUBSTITUTE(SUBSTITUTE(PROPERTIES[[#This Row],[PURCHASECOST_VALUE]], "PURCHASECOST_", ""), "_VALUE", "")</f>
        <v>DMU</v>
      </c>
      <c r="AE481" s="9" t="str" cm="1">
        <f t="array" ref="AE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81" s="2" t="b">
        <v>0</v>
      </c>
      <c r="AX481"/>
      <c r="AY481"/>
      <c r="AZ481"/>
    </row>
    <row r="482" spans="1:52">
      <c r="A482" s="2" t="s">
        <v>507</v>
      </c>
      <c r="B482">
        <v>1987</v>
      </c>
      <c r="C482">
        <v>1</v>
      </c>
      <c r="D482" t="s">
        <v>1773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 s="2" t="s">
        <v>23</v>
      </c>
      <c r="K482" s="39">
        <f>_xlfn.XLOOKUP("LOADINGSPEEDDEF_"&amp;PROPERTIES[[#This Row],[LOADINGSPEED]],LOADINGSPEEDDEF[TYPE],LOADINGSPEEDDEF[SPEED])</f>
        <v>40</v>
      </c>
      <c r="L482">
        <v>45</v>
      </c>
      <c r="M482">
        <v>1</v>
      </c>
      <c r="N482" s="33">
        <v>48</v>
      </c>
      <c r="O482">
        <v>2092</v>
      </c>
      <c r="P482">
        <v>90</v>
      </c>
      <c r="Q482" s="30">
        <f>110/2</f>
        <v>55</v>
      </c>
      <c r="R482" s="29">
        <f>IFERROR(PROPERTIES[[#This Row],[TE_STARTING_KN]]/(PROPERTIES[[#This Row],[WEIGHT]]*9.81),0)</f>
        <v>0.11680258239891267</v>
      </c>
      <c r="S482" s="29">
        <v>0.22</v>
      </c>
      <c r="T482" s="26">
        <f>ROUND(IF(IFERROR(PROPERTIES[[#This Row],[TE_COEFFICIENT_CALC]],0)=0,PROPERTIES[[#This Row],[TE_COEFFICIENT_MANUAL]],PROPERTIES[[#This Row],[TE_COEFFICIENT_CALC]]),3)</f>
        <v>0.11700000000000001</v>
      </c>
      <c r="U482" s="11">
        <v>20</v>
      </c>
      <c r="V482" s="9">
        <v>53</v>
      </c>
      <c r="W482" s="9">
        <v>7</v>
      </c>
      <c r="X482" s="10">
        <v>0</v>
      </c>
      <c r="Y482" t="s">
        <v>906</v>
      </c>
      <c r="Z482" t="s">
        <v>903</v>
      </c>
      <c r="AA482" s="2" t="s">
        <v>921</v>
      </c>
      <c r="AB482" s="9" t="s">
        <v>997</v>
      </c>
      <c r="AC482" s="9" t="s">
        <v>998</v>
      </c>
      <c r="AD482" s="10" t="str">
        <f>SUBSTITUTE(SUBSTITUTE(PROPERTIES[[#This Row],[PURCHASECOST_VALUE]], "PURCHASECOST_", ""), "_VALUE", "")</f>
        <v>DMU</v>
      </c>
      <c r="AE482" s="9" t="str" cm="1">
        <f t="array" ref="AE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2" s="2" t="b">
        <v>0</v>
      </c>
      <c r="AX482"/>
      <c r="AY482"/>
      <c r="AZ482"/>
    </row>
    <row r="483" spans="1:52">
      <c r="A483" s="2" t="s">
        <v>508</v>
      </c>
      <c r="B483">
        <v>1993</v>
      </c>
      <c r="C483">
        <v>1</v>
      </c>
      <c r="D483" t="s">
        <v>1773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 s="2" t="s">
        <v>23</v>
      </c>
      <c r="K483" s="39">
        <f>_xlfn.XLOOKUP("LOADINGSPEEDDEF_"&amp;PROPERTIES[[#This Row],[LOADINGSPEED]],LOADINGSPEEDDEF[TYPE],LOADINGSPEEDDEF[SPEED])</f>
        <v>40</v>
      </c>
      <c r="L483">
        <v>45</v>
      </c>
      <c r="M483">
        <v>1</v>
      </c>
      <c r="N483" s="33">
        <v>57</v>
      </c>
      <c r="O483">
        <f>514*2</f>
        <v>1028</v>
      </c>
      <c r="P483">
        <v>145</v>
      </c>
      <c r="Q483" s="30">
        <f>125/2</f>
        <v>62.5</v>
      </c>
      <c r="R483" s="29">
        <f>IFERROR(PROPERTIES[[#This Row],[TE_STARTING_KN]]/(PROPERTIES[[#This Row],[WEIGHT]]*9.81),0)</f>
        <v>0.11177280612336139</v>
      </c>
      <c r="S483" s="29">
        <v>0.13</v>
      </c>
      <c r="T483" s="26">
        <f>ROUND(IF(IFERROR(PROPERTIES[[#This Row],[TE_COEFFICIENT_CALC]],0)=0,PROPERTIES[[#This Row],[TE_COEFFICIENT_MANUAL]],PROPERTIES[[#This Row],[TE_COEFFICIENT_CALC]]),3)</f>
        <v>0.112</v>
      </c>
      <c r="U483" s="11">
        <v>20</v>
      </c>
      <c r="V483" s="9">
        <v>66</v>
      </c>
      <c r="W483" s="9">
        <v>8</v>
      </c>
      <c r="X483" s="10">
        <v>0</v>
      </c>
      <c r="Y483" t="s">
        <v>906</v>
      </c>
      <c r="Z483" t="s">
        <v>903</v>
      </c>
      <c r="AA483" s="2" t="s">
        <v>921</v>
      </c>
      <c r="AB483" s="9" t="s">
        <v>997</v>
      </c>
      <c r="AC483" s="9" t="s">
        <v>998</v>
      </c>
      <c r="AD483" s="10" t="str">
        <f>SUBSTITUTE(SUBSTITUTE(PROPERTIES[[#This Row],[PURCHASECOST_VALUE]], "PURCHASECOST_", ""), "_VALUE", "")</f>
        <v>DMU</v>
      </c>
      <c r="AE483" s="9" t="str" cm="1">
        <f t="array" ref="AE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3" s="2" t="b">
        <v>0</v>
      </c>
      <c r="AX483"/>
      <c r="AY483"/>
      <c r="AZ483"/>
    </row>
    <row r="484" spans="1:52">
      <c r="A484" s="2" t="s">
        <v>509</v>
      </c>
      <c r="B484">
        <v>2010</v>
      </c>
      <c r="C484">
        <v>1</v>
      </c>
      <c r="D484" t="s">
        <v>1873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 s="2" t="s">
        <v>23</v>
      </c>
      <c r="K484" s="39">
        <f>_xlfn.XLOOKUP("LOADINGSPEEDDEF_"&amp;PROPERTIES[[#This Row],[LOADINGSPEED]],LOADINGSPEEDDEF[TYPE],LOADINGSPEEDDEF[SPEED])</f>
        <v>40</v>
      </c>
      <c r="L484" t="s">
        <v>20</v>
      </c>
      <c r="M484">
        <v>1</v>
      </c>
      <c r="N484" s="33">
        <v>49</v>
      </c>
      <c r="O484">
        <v>900</v>
      </c>
      <c r="P484">
        <v>130</v>
      </c>
      <c r="Q484" s="30">
        <f>110/2</f>
        <v>55</v>
      </c>
      <c r="R484" s="29">
        <f>IFERROR(PROPERTIES[[#This Row],[TE_STARTING_KN]]/(PROPERTIES[[#This Row],[WEIGHT]]*9.81),0)</f>
        <v>0.11441885622750629</v>
      </c>
      <c r="S484" s="29">
        <v>0.21</v>
      </c>
      <c r="T484" s="26">
        <f>ROUND(IF(IFERROR(PROPERTIES[[#This Row],[TE_COEFFICIENT_CALC]],0)=0,PROPERTIES[[#This Row],[TE_COEFFICIENT_MANUAL]],PROPERTIES[[#This Row],[TE_COEFFICIENT_CALC]]),3)</f>
        <v>0.114</v>
      </c>
      <c r="U484" s="11">
        <v>20</v>
      </c>
      <c r="V484" s="9">
        <v>56</v>
      </c>
      <c r="W484" s="9">
        <v>7</v>
      </c>
      <c r="X484" s="10">
        <v>0</v>
      </c>
      <c r="Y484" t="s">
        <v>912</v>
      </c>
      <c r="Z484" t="s">
        <v>903</v>
      </c>
      <c r="AA484" s="2" t="s">
        <v>921</v>
      </c>
      <c r="AB484" s="9" t="s">
        <v>997</v>
      </c>
      <c r="AC484" s="9" t="s">
        <v>998</v>
      </c>
      <c r="AD484" s="10" t="str">
        <f>SUBSTITUTE(SUBSTITUTE(PROPERTIES[[#This Row],[PURCHASECOST_VALUE]], "PURCHASECOST_", ""), "_VALUE", "")</f>
        <v>DMU</v>
      </c>
      <c r="AE484" s="9" t="str" cm="1">
        <f t="array" ref="AE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4" s="2" t="b">
        <v>0</v>
      </c>
      <c r="AX484"/>
      <c r="AY484"/>
      <c r="AZ484"/>
    </row>
    <row r="485" spans="1:52">
      <c r="A485" s="2" t="s">
        <v>510</v>
      </c>
      <c r="B485">
        <v>2011</v>
      </c>
      <c r="C485">
        <v>1</v>
      </c>
      <c r="D485" t="s">
        <v>1889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 s="2" t="s">
        <v>23</v>
      </c>
      <c r="K485" s="39">
        <f>_xlfn.XLOOKUP("LOADINGSPEEDDEF_"&amp;PROPERTIES[[#This Row],[LOADINGSPEED]],LOADINGSPEEDDEF[TYPE],LOADINGSPEEDDEF[SPEED])</f>
        <v>40</v>
      </c>
      <c r="L485" t="s">
        <v>20</v>
      </c>
      <c r="M485">
        <v>1</v>
      </c>
      <c r="N485" s="33">
        <v>20</v>
      </c>
      <c r="O485">
        <v>1360</v>
      </c>
      <c r="P485">
        <v>110</v>
      </c>
      <c r="Q485" s="30">
        <f>140/2</f>
        <v>70</v>
      </c>
      <c r="R485" s="29">
        <f>IFERROR(PROPERTIES[[#This Row],[TE_STARTING_KN]]/(PROPERTIES[[#This Row],[WEIGHT]]*9.81),0)</f>
        <v>0.3567787971457696</v>
      </c>
      <c r="S485" s="29">
        <v>0.57999999999999996</v>
      </c>
      <c r="T485" s="26">
        <f>ROUND(IF(IFERROR(PROPERTIES[[#This Row],[TE_COEFFICIENT_CALC]],0)=0,PROPERTIES[[#This Row],[TE_COEFFICIENT_MANUAL]],PROPERTIES[[#This Row],[TE_COEFFICIENT_CALC]]),3)</f>
        <v>0.35699999999999998</v>
      </c>
      <c r="U485" s="11">
        <v>20</v>
      </c>
      <c r="V485" s="9">
        <f>INT(429/6)</f>
        <v>71</v>
      </c>
      <c r="W485" s="9">
        <v>8</v>
      </c>
      <c r="X485" s="10">
        <v>0</v>
      </c>
      <c r="Y485" t="s">
        <v>912</v>
      </c>
      <c r="Z485" t="s">
        <v>903</v>
      </c>
      <c r="AA485" s="2" t="s">
        <v>921</v>
      </c>
      <c r="AB485" s="9" t="s">
        <v>997</v>
      </c>
      <c r="AC485" s="9" t="s">
        <v>998</v>
      </c>
      <c r="AD485" s="10" t="str">
        <f>SUBSTITUTE(SUBSTITUTE(PROPERTIES[[#This Row],[PURCHASECOST_VALUE]], "PURCHASECOST_", ""), "_VALUE", "")</f>
        <v>DMU</v>
      </c>
      <c r="AE485" s="9" t="str" cm="1">
        <f t="array" ref="AE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5" s="2" t="b">
        <v>0</v>
      </c>
      <c r="AX485"/>
      <c r="AY485"/>
      <c r="AZ485"/>
    </row>
    <row r="486" spans="1:52">
      <c r="A486" s="2" t="s">
        <v>511</v>
      </c>
      <c r="B486">
        <v>2011</v>
      </c>
      <c r="C486">
        <v>1</v>
      </c>
      <c r="D486" t="s">
        <v>1961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 s="2" t="s">
        <v>23</v>
      </c>
      <c r="K486" s="39">
        <f>_xlfn.XLOOKUP("LOADINGSPEEDDEF_"&amp;PROPERTIES[[#This Row],[LOADINGSPEED]],LOADINGSPEEDDEF[TYPE],LOADINGSPEEDDEF[SPEED])</f>
        <v>40</v>
      </c>
      <c r="L486" t="s">
        <v>20</v>
      </c>
      <c r="M486">
        <v>1</v>
      </c>
      <c r="N486" s="33">
        <v>60</v>
      </c>
      <c r="O486">
        <v>1580</v>
      </c>
      <c r="P486">
        <v>140</v>
      </c>
      <c r="Q486" s="30">
        <f>125/2</f>
        <v>62.5</v>
      </c>
      <c r="R486" s="29">
        <f>IFERROR(PROPERTIES[[#This Row],[TE_STARTING_KN]]/(PROPERTIES[[#This Row],[WEIGHT]]*9.81),0)</f>
        <v>0.10618416581719334</v>
      </c>
      <c r="S486" s="29">
        <v>0.34</v>
      </c>
      <c r="T486" s="26">
        <f>ROUND(IF(IFERROR(PROPERTIES[[#This Row],[TE_COEFFICIENT_CALC]],0)=0,PROPERTIES[[#This Row],[TE_COEFFICIENT_MANUAL]],PROPERTIES[[#This Row],[TE_COEFFICIENT_CALC]]),3)</f>
        <v>0.106</v>
      </c>
      <c r="U486" s="11">
        <v>20</v>
      </c>
      <c r="V486" s="9">
        <f>INT(195/2)</f>
        <v>97</v>
      </c>
      <c r="W486" s="9">
        <v>7</v>
      </c>
      <c r="X486" s="10">
        <v>0</v>
      </c>
      <c r="Y486" t="s">
        <v>910</v>
      </c>
      <c r="Z486" t="s">
        <v>903</v>
      </c>
      <c r="AA486" s="2" t="s">
        <v>921</v>
      </c>
      <c r="AB486" s="9" t="s">
        <v>997</v>
      </c>
      <c r="AC486" s="9" t="s">
        <v>998</v>
      </c>
      <c r="AD486" s="10" t="str">
        <f>SUBSTITUTE(SUBSTITUTE(PROPERTIES[[#This Row],[PURCHASECOST_VALUE]], "PURCHASECOST_", ""), "_VALUE", "")</f>
        <v>DMU</v>
      </c>
      <c r="AE486" s="9" t="str" cm="1">
        <f t="array" ref="AE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6" s="2" t="b">
        <v>0</v>
      </c>
      <c r="AX486"/>
      <c r="AY486"/>
      <c r="AZ486"/>
    </row>
    <row r="487" spans="1:52">
      <c r="A487" s="2" t="s">
        <v>512</v>
      </c>
      <c r="B487">
        <v>1982</v>
      </c>
      <c r="C487">
        <v>1</v>
      </c>
      <c r="D487" t="s">
        <v>1806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 s="2" t="s">
        <v>23</v>
      </c>
      <c r="K487" s="39">
        <f>_xlfn.XLOOKUP("LOADINGSPEEDDEF_"&amp;PROPERTIES[[#This Row],[LOADINGSPEED]],LOADINGSPEEDDEF[TYPE],LOADINGSPEEDDEF[SPEED])</f>
        <v>40</v>
      </c>
      <c r="L487">
        <v>45</v>
      </c>
      <c r="M487">
        <v>1</v>
      </c>
      <c r="N487" s="33">
        <v>68</v>
      </c>
      <c r="O487">
        <f>460*2</f>
        <v>920</v>
      </c>
      <c r="P487">
        <v>120</v>
      </c>
      <c r="Q487" s="30">
        <f>90/2</f>
        <v>45</v>
      </c>
      <c r="R487" s="29">
        <f>IFERROR(PROPERTIES[[#This Row],[TE_STARTING_KN]]/(PROPERTIES[[#This Row],[WEIGHT]]*9.81),0)</f>
        <v>6.745817593092282E-2</v>
      </c>
      <c r="S487" s="29">
        <v>0.13</v>
      </c>
      <c r="T487" s="26">
        <f>ROUND(IF(IFERROR(PROPERTIES[[#This Row],[TE_COEFFICIENT_CALC]],0)=0,PROPERTIES[[#This Row],[TE_COEFFICIENT_MANUAL]],PROPERTIES[[#This Row],[TE_COEFFICIENT_CALC]]),3)</f>
        <v>6.7000000000000004E-2</v>
      </c>
      <c r="U487" s="11">
        <v>40</v>
      </c>
      <c r="V487" s="9">
        <f>144/2</f>
        <v>72</v>
      </c>
      <c r="W487" s="9">
        <v>8</v>
      </c>
      <c r="X487" s="10">
        <v>0</v>
      </c>
      <c r="Y487" t="s">
        <v>911</v>
      </c>
      <c r="Z487" t="s">
        <v>903</v>
      </c>
      <c r="AA487" s="2" t="s">
        <v>921</v>
      </c>
      <c r="AB487" s="9" t="s">
        <v>997</v>
      </c>
      <c r="AC487" s="9" t="s">
        <v>998</v>
      </c>
      <c r="AD487" s="10" t="str">
        <f>SUBSTITUTE(SUBSTITUTE(PROPERTIES[[#This Row],[PURCHASECOST_VALUE]], "PURCHASECOST_", ""), "_VALUE", "")</f>
        <v>DMU</v>
      </c>
      <c r="AE487" s="9" t="str" cm="1">
        <f t="array" ref="AE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7" s="2" t="b">
        <v>0</v>
      </c>
      <c r="AX487"/>
      <c r="AY487"/>
      <c r="AZ487"/>
    </row>
    <row r="488" spans="1:52">
      <c r="A488" s="2" t="s">
        <v>513</v>
      </c>
      <c r="B488">
        <v>1976</v>
      </c>
      <c r="C488">
        <v>1</v>
      </c>
      <c r="D488" t="s">
        <v>1807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 s="2" t="s">
        <v>23</v>
      </c>
      <c r="K488" s="39">
        <f>_xlfn.XLOOKUP("LOADINGSPEEDDEF_"&amp;PROPERTIES[[#This Row],[LOADINGSPEED]],LOADINGSPEEDDEF[TYPE],LOADINGSPEEDDEF[SPEED])</f>
        <v>40</v>
      </c>
      <c r="L488">
        <v>45</v>
      </c>
      <c r="M488">
        <v>1</v>
      </c>
      <c r="N488" s="33">
        <v>38</v>
      </c>
      <c r="O488">
        <v>376</v>
      </c>
      <c r="P488">
        <v>90</v>
      </c>
      <c r="Q488" s="30">
        <f>95/2</f>
        <v>47.5</v>
      </c>
      <c r="R488" s="29">
        <f>IFERROR(PROPERTIES[[#This Row],[TE_STARTING_KN]]/(PROPERTIES[[#This Row],[WEIGHT]]*9.81),0)</f>
        <v>0.127420998980632</v>
      </c>
      <c r="S488" s="29">
        <v>0.12</v>
      </c>
      <c r="T488" s="26">
        <f>ROUND(IF(IFERROR(PROPERTIES[[#This Row],[TE_COEFFICIENT_CALC]],0)=0,PROPERTIES[[#This Row],[TE_COEFFICIENT_MANUAL]],PROPERTIES[[#This Row],[TE_COEFFICIENT_CALC]]),3)</f>
        <v>0.127</v>
      </c>
      <c r="U488" s="11">
        <v>40</v>
      </c>
      <c r="V488" s="9">
        <v>62</v>
      </c>
      <c r="W488" s="9">
        <v>8</v>
      </c>
      <c r="X488" s="10">
        <v>0</v>
      </c>
      <c r="Y488" t="s">
        <v>907</v>
      </c>
      <c r="Z488" t="s">
        <v>903</v>
      </c>
      <c r="AA488" s="2" t="s">
        <v>921</v>
      </c>
      <c r="AB488" s="9" t="s">
        <v>997</v>
      </c>
      <c r="AC488" s="9" t="s">
        <v>998</v>
      </c>
      <c r="AD488" s="10" t="str">
        <f>SUBSTITUTE(SUBSTITUTE(PROPERTIES[[#This Row],[PURCHASECOST_VALUE]], "PURCHASECOST_", ""), "_VALUE", "")</f>
        <v>DMU</v>
      </c>
      <c r="AE488" s="9" t="str" cm="1">
        <f t="array" ref="AE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8" s="2" t="b">
        <v>0</v>
      </c>
      <c r="AX488"/>
      <c r="AY488"/>
      <c r="AZ488"/>
    </row>
    <row r="489" spans="1:52">
      <c r="A489" s="2" t="s">
        <v>514</v>
      </c>
      <c r="B489">
        <v>1960</v>
      </c>
      <c r="C489">
        <v>1</v>
      </c>
      <c r="D489" t="s">
        <v>1836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 s="2" t="s">
        <v>23</v>
      </c>
      <c r="K489" s="39">
        <f>_xlfn.XLOOKUP("LOADINGSPEEDDEF_"&amp;PROPERTIES[[#This Row],[LOADINGSPEED]],LOADINGSPEEDDEF[TYPE],LOADINGSPEEDDEF[SPEED])</f>
        <v>40</v>
      </c>
      <c r="L489">
        <v>45</v>
      </c>
      <c r="M489">
        <v>1</v>
      </c>
      <c r="N489" s="33">
        <v>67</v>
      </c>
      <c r="O489">
        <v>2000</v>
      </c>
      <c r="P489">
        <v>145</v>
      </c>
      <c r="Q489" s="30">
        <f>125/2</f>
        <v>62.5</v>
      </c>
      <c r="R489" s="29">
        <f>IFERROR(PROPERTIES[[#This Row],[TE_STARTING_KN]]/(PROPERTIES[[#This Row],[WEIGHT]]*9.81),0)</f>
        <v>9.5090297746740313E-2</v>
      </c>
      <c r="S489" s="29">
        <v>0.24</v>
      </c>
      <c r="T489" s="26">
        <f>ROUND(IF(IFERROR(PROPERTIES[[#This Row],[TE_COEFFICIENT_CALC]],0)=0,PROPERTIES[[#This Row],[TE_COEFFICIENT_MANUAL]],PROPERTIES[[#This Row],[TE_COEFFICIENT_CALC]]),3)</f>
        <v>9.5000000000000001E-2</v>
      </c>
      <c r="U489" s="11">
        <v>40</v>
      </c>
      <c r="V489" s="9">
        <v>42</v>
      </c>
      <c r="W489" s="9">
        <v>7</v>
      </c>
      <c r="X489" s="10">
        <v>0</v>
      </c>
      <c r="Y489" t="s">
        <v>908</v>
      </c>
      <c r="Z489" t="s">
        <v>903</v>
      </c>
      <c r="AA489" s="2" t="s">
        <v>921</v>
      </c>
      <c r="AB489" s="9" t="s">
        <v>997</v>
      </c>
      <c r="AC489" s="9" t="s">
        <v>998</v>
      </c>
      <c r="AD489" s="10" t="str">
        <f>SUBSTITUTE(SUBSTITUTE(PROPERTIES[[#This Row],[PURCHASECOST_VALUE]], "PURCHASECOST_", ""), "_VALUE", "")</f>
        <v>DMU</v>
      </c>
      <c r="AE489" s="9" t="str" cm="1">
        <f t="array" ref="AE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9" s="2" t="b">
        <v>0</v>
      </c>
      <c r="AX489"/>
      <c r="AY489"/>
      <c r="AZ489"/>
    </row>
    <row r="490" spans="1:52">
      <c r="A490" s="2" t="s">
        <v>515</v>
      </c>
      <c r="B490">
        <v>1967</v>
      </c>
      <c r="C490">
        <v>1</v>
      </c>
      <c r="D490" t="s">
        <v>1773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 s="2" t="s">
        <v>23</v>
      </c>
      <c r="K490" s="39">
        <f>_xlfn.XLOOKUP("LOADINGSPEEDDEF_"&amp;PROPERTIES[[#This Row],[LOADINGSPEED]],LOADINGSPEEDDEF[TYPE],LOADINGSPEEDDEF[SPEED])</f>
        <v>40</v>
      </c>
      <c r="L490">
        <v>45</v>
      </c>
      <c r="M490">
        <v>1</v>
      </c>
      <c r="N490" s="33">
        <v>33</v>
      </c>
      <c r="O490">
        <v>416</v>
      </c>
      <c r="P490">
        <v>90</v>
      </c>
      <c r="Q490" s="30">
        <f>58/2</f>
        <v>29</v>
      </c>
      <c r="R490" s="29">
        <f>IFERROR(PROPERTIES[[#This Row],[TE_STARTING_KN]]/(PROPERTIES[[#This Row],[WEIGHT]]*9.81),0)</f>
        <v>8.9580823525777648E-2</v>
      </c>
      <c r="S490" s="29">
        <v>0.44</v>
      </c>
      <c r="T490" s="26">
        <f>ROUND(IF(IFERROR(PROPERTIES[[#This Row],[TE_COEFFICIENT_CALC]],0)=0,PROPERTIES[[#This Row],[TE_COEFFICIENT_MANUAL]],PROPERTIES[[#This Row],[TE_COEFFICIENT_CALC]]),3)</f>
        <v>0.09</v>
      </c>
      <c r="U490" s="11">
        <v>40</v>
      </c>
      <c r="V490" s="9">
        <v>74</v>
      </c>
      <c r="W490" s="9">
        <v>7</v>
      </c>
      <c r="X490" s="10">
        <v>0</v>
      </c>
      <c r="Y490" t="s">
        <v>906</v>
      </c>
      <c r="Z490" t="s">
        <v>903</v>
      </c>
      <c r="AA490" s="2" t="s">
        <v>921</v>
      </c>
      <c r="AB490" s="9" t="s">
        <v>997</v>
      </c>
      <c r="AC490" s="9" t="s">
        <v>998</v>
      </c>
      <c r="AD490" s="10" t="str">
        <f>SUBSTITUTE(SUBSTITUTE(PROPERTIES[[#This Row],[PURCHASECOST_VALUE]], "PURCHASECOST_", ""), "_VALUE", "")</f>
        <v>DMU</v>
      </c>
      <c r="AE490" s="9" t="str" cm="1">
        <f t="array" ref="AE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0" s="2" t="b">
        <v>0</v>
      </c>
      <c r="AX490"/>
      <c r="AY490"/>
      <c r="AZ490"/>
    </row>
    <row r="491" spans="1:52">
      <c r="A491" s="2" t="s">
        <v>516</v>
      </c>
      <c r="B491">
        <v>1971</v>
      </c>
      <c r="C491">
        <v>1</v>
      </c>
      <c r="D491" t="s">
        <v>1835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 s="2" t="s">
        <v>23</v>
      </c>
      <c r="K491" s="39">
        <f>_xlfn.XLOOKUP("LOADINGSPEEDDEF_"&amp;PROPERTIES[[#This Row],[LOADINGSPEED]],LOADINGSPEEDDEF[TYPE],LOADINGSPEEDDEF[SPEED])</f>
        <v>40</v>
      </c>
      <c r="L491">
        <v>45</v>
      </c>
      <c r="M491">
        <v>1</v>
      </c>
      <c r="N491" s="33">
        <v>31</v>
      </c>
      <c r="O491">
        <v>396</v>
      </c>
      <c r="P491">
        <v>120</v>
      </c>
      <c r="Q491" s="30">
        <f>85/2</f>
        <v>42.5</v>
      </c>
      <c r="R491" s="29">
        <f>IFERROR(PROPERTIES[[#This Row],[TE_STARTING_KN]]/(PROPERTIES[[#This Row],[WEIGHT]]*9.81),0)</f>
        <v>0.13975206339811252</v>
      </c>
      <c r="S491" s="29">
        <v>0.2</v>
      </c>
      <c r="T491" s="26">
        <f>ROUND(IF(IFERROR(PROPERTIES[[#This Row],[TE_COEFFICIENT_CALC]],0)=0,PROPERTIES[[#This Row],[TE_COEFFICIENT_MANUAL]],PROPERTIES[[#This Row],[TE_COEFFICIENT_CALC]]),3)</f>
        <v>0.14000000000000001</v>
      </c>
      <c r="U491" s="11">
        <v>40</v>
      </c>
      <c r="V491" s="9">
        <v>133</v>
      </c>
      <c r="W491" s="9">
        <v>8</v>
      </c>
      <c r="X491" s="10">
        <v>0</v>
      </c>
      <c r="Y491" t="s">
        <v>904</v>
      </c>
      <c r="Z491" t="s">
        <v>903</v>
      </c>
      <c r="AA491" s="2" t="s">
        <v>921</v>
      </c>
      <c r="AB491" s="9" t="s">
        <v>997</v>
      </c>
      <c r="AC491" s="9" t="s">
        <v>998</v>
      </c>
      <c r="AD491" s="10" t="str">
        <f>SUBSTITUTE(SUBSTITUTE(PROPERTIES[[#This Row],[PURCHASECOST_VALUE]], "PURCHASECOST_", ""), "_VALUE", "")</f>
        <v>DMU</v>
      </c>
      <c r="AE491" s="9" t="str" cm="1">
        <f t="array" ref="AE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1" s="2" t="b">
        <v>0</v>
      </c>
      <c r="AX491"/>
      <c r="AY491"/>
      <c r="AZ491"/>
    </row>
    <row r="492" spans="1:52">
      <c r="A492" s="2" t="s">
        <v>517</v>
      </c>
      <c r="B492">
        <v>1972</v>
      </c>
      <c r="C492">
        <v>1</v>
      </c>
      <c r="D492" t="s">
        <v>1835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 s="2" t="s">
        <v>23</v>
      </c>
      <c r="K492" s="39">
        <f>_xlfn.XLOOKUP("LOADINGSPEEDDEF_"&amp;PROPERTIES[[#This Row],[LOADINGSPEED]],LOADINGSPEEDDEF[TYPE],LOADINGSPEEDDEF[SPEED])</f>
        <v>40</v>
      </c>
      <c r="L492">
        <v>45</v>
      </c>
      <c r="M492">
        <v>1</v>
      </c>
      <c r="N492" s="33">
        <f>225/2</f>
        <v>112.5</v>
      </c>
      <c r="O492">
        <v>1036</v>
      </c>
      <c r="P492">
        <v>160</v>
      </c>
      <c r="Q492" s="30">
        <f>90/2</f>
        <v>45</v>
      </c>
      <c r="R492" s="29">
        <f>IFERROR(PROPERTIES[[#This Row],[TE_STARTING_KN]]/(PROPERTIES[[#This Row],[WEIGHT]]*9.81),0)</f>
        <v>4.0774719673802244E-2</v>
      </c>
      <c r="S492" s="29">
        <v>0.38</v>
      </c>
      <c r="T492" s="26">
        <f>ROUND(IF(IFERROR(PROPERTIES[[#This Row],[TE_COEFFICIENT_CALC]],0)=0,PROPERTIES[[#This Row],[TE_COEFFICIENT_MANUAL]],PROPERTIES[[#This Row],[TE_COEFFICIENT_CALC]]),3)</f>
        <v>4.1000000000000002E-2</v>
      </c>
      <c r="U492" s="11">
        <v>40</v>
      </c>
      <c r="V492" s="9">
        <f>400/5</f>
        <v>80</v>
      </c>
      <c r="W492" s="9">
        <v>8</v>
      </c>
      <c r="X492" s="10">
        <v>0</v>
      </c>
      <c r="Y492" t="s">
        <v>904</v>
      </c>
      <c r="Z492" t="s">
        <v>903</v>
      </c>
      <c r="AA492" s="2" t="s">
        <v>921</v>
      </c>
      <c r="AB492" s="9" t="s">
        <v>997</v>
      </c>
      <c r="AC492" s="9" t="s">
        <v>998</v>
      </c>
      <c r="AD492" s="10" t="str">
        <f>SUBSTITUTE(SUBSTITUTE(PROPERTIES[[#This Row],[PURCHASECOST_VALUE]], "PURCHASECOST_", ""), "_VALUE", "")</f>
        <v>DMU</v>
      </c>
      <c r="AE492" s="9" t="str" cm="1">
        <f t="array" ref="AE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2" s="2" t="b">
        <v>1</v>
      </c>
      <c r="AX492"/>
      <c r="AY492"/>
      <c r="AZ492"/>
    </row>
    <row r="493" spans="1:52">
      <c r="A493" s="2" t="s">
        <v>518</v>
      </c>
      <c r="B493">
        <v>1981</v>
      </c>
      <c r="C493">
        <v>1</v>
      </c>
      <c r="D493" t="s">
        <v>1925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 s="2" t="s">
        <v>23</v>
      </c>
      <c r="K493" s="39">
        <f>_xlfn.XLOOKUP("LOADINGSPEEDDEF_"&amp;PROPERTIES[[#This Row],[LOADINGSPEED]],LOADINGSPEEDDEF[TYPE],LOADINGSPEEDDEF[SPEED])</f>
        <v>40</v>
      </c>
      <c r="L493">
        <v>45</v>
      </c>
      <c r="M493">
        <v>1</v>
      </c>
      <c r="N493" s="33">
        <v>34</v>
      </c>
      <c r="O493">
        <v>562</v>
      </c>
      <c r="P493">
        <v>101</v>
      </c>
      <c r="Q493" s="30">
        <f>68/2</f>
        <v>34</v>
      </c>
      <c r="R493" s="29">
        <f>IFERROR(PROPERTIES[[#This Row],[TE_STARTING_KN]]/(PROPERTIES[[#This Row],[WEIGHT]]*9.81),0)</f>
        <v>0.1019367991845056</v>
      </c>
      <c r="S493" s="29">
        <v>0.3</v>
      </c>
      <c r="T493" s="26">
        <f>ROUND(IF(IFERROR(PROPERTIES[[#This Row],[TE_COEFFICIENT_CALC]],0)=0,PROPERTIES[[#This Row],[TE_COEFFICIENT_MANUAL]],PROPERTIES[[#This Row],[TE_COEFFICIENT_CALC]]),3)</f>
        <v>0.10199999999999999</v>
      </c>
      <c r="U493" s="11">
        <v>40</v>
      </c>
      <c r="V493" s="9">
        <v>80</v>
      </c>
      <c r="W493" s="9">
        <v>8</v>
      </c>
      <c r="X493" s="10">
        <v>0</v>
      </c>
      <c r="Y493" t="s">
        <v>904</v>
      </c>
      <c r="Z493" t="s">
        <v>903</v>
      </c>
      <c r="AA493" s="2" t="s">
        <v>921</v>
      </c>
      <c r="AB493" s="9" t="s">
        <v>997</v>
      </c>
      <c r="AC493" s="9" t="s">
        <v>998</v>
      </c>
      <c r="AD493" s="10" t="str">
        <f>SUBSTITUTE(SUBSTITUTE(PROPERTIES[[#This Row],[PURCHASECOST_VALUE]], "PURCHASECOST_", ""), "_VALUE", "")</f>
        <v>DMU</v>
      </c>
      <c r="AE493" s="9" t="str" cm="1">
        <f t="array" ref="AE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3" s="2" t="b">
        <v>0</v>
      </c>
      <c r="AX493"/>
      <c r="AY493"/>
      <c r="AZ493"/>
    </row>
    <row r="494" spans="1:52">
      <c r="A494" s="2" t="s">
        <v>519</v>
      </c>
      <c r="B494">
        <v>1986</v>
      </c>
      <c r="C494">
        <v>1</v>
      </c>
      <c r="D494" t="s">
        <v>1817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 s="2" t="s">
        <v>23</v>
      </c>
      <c r="K494" s="39">
        <f>_xlfn.XLOOKUP("LOADINGSPEEDDEF_"&amp;PROPERTIES[[#This Row],[LOADINGSPEED]],LOADINGSPEEDDEF[TYPE],LOADINGSPEEDDEF[SPEED])</f>
        <v>40</v>
      </c>
      <c r="L494">
        <v>45</v>
      </c>
      <c r="M494">
        <v>1</v>
      </c>
      <c r="N494" s="33">
        <v>42</v>
      </c>
      <c r="O494">
        <v>650</v>
      </c>
      <c r="P494">
        <v>120</v>
      </c>
      <c r="Q494" s="30">
        <f>95/2</f>
        <v>47.5</v>
      </c>
      <c r="R494" s="29">
        <f>IFERROR(PROPERTIES[[#This Row],[TE_STARTING_KN]]/(PROPERTIES[[#This Row],[WEIGHT]]*9.81),0)</f>
        <v>0.11528566574438133</v>
      </c>
      <c r="S494" s="29">
        <v>0.27</v>
      </c>
      <c r="T494" s="26">
        <f>ROUND(IF(IFERROR(PROPERTIES[[#This Row],[TE_COEFFICIENT_CALC]],0)=0,PROPERTIES[[#This Row],[TE_COEFFICIENT_MANUAL]],PROPERTIES[[#This Row],[TE_COEFFICIENT_CALC]]),3)</f>
        <v>0.115</v>
      </c>
      <c r="U494" s="11">
        <v>40</v>
      </c>
      <c r="V494" s="9">
        <f>INT(136/2)</f>
        <v>68</v>
      </c>
      <c r="W494" s="9">
        <v>8</v>
      </c>
      <c r="X494" s="10">
        <v>0</v>
      </c>
      <c r="Y494" t="s">
        <v>904</v>
      </c>
      <c r="Z494" t="s">
        <v>903</v>
      </c>
      <c r="AA494" s="2" t="s">
        <v>921</v>
      </c>
      <c r="AB494" s="9" t="s">
        <v>997</v>
      </c>
      <c r="AC494" s="9" t="s">
        <v>998</v>
      </c>
      <c r="AD494" s="10" t="str">
        <f>SUBSTITUTE(SUBSTITUTE(PROPERTIES[[#This Row],[PURCHASECOST_VALUE]], "PURCHASECOST_", ""), "_VALUE", "")</f>
        <v>DMU</v>
      </c>
      <c r="AE494" s="9" t="str" cm="1">
        <f t="array" ref="AE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4" s="2" t="b">
        <v>0</v>
      </c>
      <c r="AX494"/>
      <c r="AY494"/>
      <c r="AZ494"/>
    </row>
    <row r="495" spans="1:52">
      <c r="A495" s="2" t="s">
        <v>520</v>
      </c>
      <c r="B495">
        <v>2007</v>
      </c>
      <c r="C495">
        <v>1</v>
      </c>
      <c r="D495" t="s">
        <v>1822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 s="2" t="s">
        <v>23</v>
      </c>
      <c r="K495" s="39">
        <f>_xlfn.XLOOKUP("LOADINGSPEEDDEF_"&amp;PROPERTIES[[#This Row],[LOADINGSPEED]],LOADINGSPEEDDEF[TYPE],LOADINGSPEEDDEF[SPEED])</f>
        <v>40</v>
      </c>
      <c r="L495" t="s">
        <v>20</v>
      </c>
      <c r="M495">
        <v>1</v>
      </c>
      <c r="N495" s="33">
        <v>55</v>
      </c>
      <c r="O495">
        <v>1352</v>
      </c>
      <c r="P495">
        <v>160</v>
      </c>
      <c r="Q495" s="30">
        <f>140/2</f>
        <v>70</v>
      </c>
      <c r="R495" s="29">
        <f>IFERROR(PROPERTIES[[#This Row],[TE_STARTING_KN]]/(PROPERTIES[[#This Row],[WEIGHT]]*9.81),0)</f>
        <v>0.12973774441664349</v>
      </c>
      <c r="S495" s="29">
        <v>0.37</v>
      </c>
      <c r="T495" s="26">
        <f>ROUND(IF(IFERROR(PROPERTIES[[#This Row],[TE_COEFFICIENT_CALC]],0)=0,PROPERTIES[[#This Row],[TE_COEFFICIENT_MANUAL]],PROPERTIES[[#This Row],[TE_COEFFICIENT_CALC]]),3)</f>
        <v>0.13</v>
      </c>
      <c r="U495" s="11">
        <v>40</v>
      </c>
      <c r="V495" s="9">
        <f>INT(199/2)</f>
        <v>99</v>
      </c>
      <c r="W495" s="9">
        <v>8</v>
      </c>
      <c r="X495" s="10">
        <v>0</v>
      </c>
      <c r="Y495" t="s">
        <v>907</v>
      </c>
      <c r="Z495" t="s">
        <v>903</v>
      </c>
      <c r="AA495" s="2" t="s">
        <v>921</v>
      </c>
      <c r="AB495" s="9" t="s">
        <v>997</v>
      </c>
      <c r="AC495" s="9" t="s">
        <v>998</v>
      </c>
      <c r="AD495" s="10" t="str">
        <f>SUBSTITUTE(SUBSTITUTE(PROPERTIES[[#This Row],[PURCHASECOST_VALUE]], "PURCHASECOST_", ""), "_VALUE", "")</f>
        <v>DMU</v>
      </c>
      <c r="AE495" s="9" t="str" cm="1">
        <f t="array" ref="AE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5" s="2" t="b">
        <v>0</v>
      </c>
      <c r="AX495"/>
      <c r="AY495"/>
      <c r="AZ495"/>
    </row>
    <row r="496" spans="1:52">
      <c r="A496" s="2" t="s">
        <v>521</v>
      </c>
      <c r="B496">
        <v>2008</v>
      </c>
      <c r="C496">
        <v>1</v>
      </c>
      <c r="D496" t="s">
        <v>1982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 s="2" t="s">
        <v>23</v>
      </c>
      <c r="K496" s="39">
        <f>_xlfn.XLOOKUP("LOADINGSPEEDDEF_"&amp;PROPERTIES[[#This Row],[LOADINGSPEED]],LOADINGSPEEDDEF[TYPE],LOADINGSPEEDDEF[SPEED])</f>
        <v>40</v>
      </c>
      <c r="L496" t="s">
        <v>20</v>
      </c>
      <c r="M496">
        <v>1</v>
      </c>
      <c r="N496" s="33">
        <v>35</v>
      </c>
      <c r="O496">
        <v>1232</v>
      </c>
      <c r="P496">
        <v>100</v>
      </c>
      <c r="Q496" s="30">
        <f>135/2</f>
        <v>67.5</v>
      </c>
      <c r="R496" s="29">
        <f>IFERROR(PROPERTIES[[#This Row],[TE_STARTING_KN]]/(PROPERTIES[[#This Row],[WEIGHT]]*9.81),0)</f>
        <v>0.19659239842726081</v>
      </c>
      <c r="S496" s="29">
        <v>0.52</v>
      </c>
      <c r="T496" s="26">
        <f>ROUND(IF(IFERROR(PROPERTIES[[#This Row],[TE_COEFFICIENT_CALC]],0)=0,PROPERTIES[[#This Row],[TE_COEFFICIENT_MANUAL]],PROPERTIES[[#This Row],[TE_COEFFICIENT_CALC]]),3)</f>
        <v>0.19700000000000001</v>
      </c>
      <c r="U496" s="11">
        <v>40</v>
      </c>
      <c r="V496" s="9">
        <v>55</v>
      </c>
      <c r="W496" s="9">
        <v>8</v>
      </c>
      <c r="X496" s="10">
        <v>0</v>
      </c>
      <c r="Y496" t="s">
        <v>907</v>
      </c>
      <c r="Z496" t="s">
        <v>903</v>
      </c>
      <c r="AA496" s="2" t="s">
        <v>921</v>
      </c>
      <c r="AB496" s="9" t="s">
        <v>997</v>
      </c>
      <c r="AC496" s="9" t="s">
        <v>998</v>
      </c>
      <c r="AD496" s="10" t="str">
        <f>SUBSTITUTE(SUBSTITUTE(PROPERTIES[[#This Row],[PURCHASECOST_VALUE]], "PURCHASECOST_", ""), "_VALUE", "")</f>
        <v>DMU</v>
      </c>
      <c r="AE496" s="9" t="str" cm="1">
        <f t="array" ref="AE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6" s="2" t="b">
        <v>0</v>
      </c>
      <c r="AX496"/>
      <c r="AY496"/>
      <c r="AZ496"/>
    </row>
    <row r="497" spans="1:52">
      <c r="A497" s="2" t="s">
        <v>522</v>
      </c>
      <c r="B497">
        <v>2009</v>
      </c>
      <c r="C497">
        <v>1</v>
      </c>
      <c r="D497" t="s">
        <v>1841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 s="2" t="s">
        <v>23</v>
      </c>
      <c r="K497" s="39">
        <f>_xlfn.XLOOKUP("LOADINGSPEEDDEF_"&amp;PROPERTIES[[#This Row],[LOADINGSPEED]],LOADINGSPEEDDEF[TYPE],LOADINGSPEEDDEF[SPEED])</f>
        <v>40</v>
      </c>
      <c r="L497" t="s">
        <v>20</v>
      </c>
      <c r="M497">
        <v>1</v>
      </c>
      <c r="N497" s="33">
        <v>48</v>
      </c>
      <c r="O497">
        <v>1656</v>
      </c>
      <c r="P497">
        <v>90</v>
      </c>
      <c r="Q497" s="30">
        <f>145/2</f>
        <v>72.5</v>
      </c>
      <c r="R497" s="29">
        <f>IFERROR(PROPERTIES[[#This Row],[TE_STARTING_KN]]/(PROPERTIES[[#This Row],[WEIGHT]]*9.81),0)</f>
        <v>0.15396704043493034</v>
      </c>
      <c r="S497" s="29">
        <v>0.3</v>
      </c>
      <c r="T497" s="26">
        <f>ROUND(IF(IFERROR(PROPERTIES[[#This Row],[TE_COEFFICIENT_CALC]],0)=0,PROPERTIES[[#This Row],[TE_COEFFICIENT_MANUAL]],PROPERTIES[[#This Row],[TE_COEFFICIENT_CALC]]),3)</f>
        <v>0.154</v>
      </c>
      <c r="U497" s="11">
        <v>40</v>
      </c>
      <c r="V497" s="9">
        <v>102</v>
      </c>
      <c r="W497" s="9">
        <v>7</v>
      </c>
      <c r="X497" s="10">
        <v>0</v>
      </c>
      <c r="Y497" t="s">
        <v>907</v>
      </c>
      <c r="Z497" t="s">
        <v>903</v>
      </c>
      <c r="AA497" s="2" t="s">
        <v>921</v>
      </c>
      <c r="AB497" s="9" t="s">
        <v>997</v>
      </c>
      <c r="AC497" s="9" t="s">
        <v>998</v>
      </c>
      <c r="AD497" s="10" t="str">
        <f>SUBSTITUTE(SUBSTITUTE(PROPERTIES[[#This Row],[PURCHASECOST_VALUE]], "PURCHASECOST_", ""), "_VALUE", "")</f>
        <v>DMU</v>
      </c>
      <c r="AE497" s="9" t="str" cm="1">
        <f t="array" ref="AE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7" s="2" t="b">
        <v>0</v>
      </c>
      <c r="AX497"/>
      <c r="AY497"/>
      <c r="AZ497"/>
    </row>
    <row r="498" spans="1:52">
      <c r="A498" s="2" t="s">
        <v>523</v>
      </c>
      <c r="B498">
        <v>2003</v>
      </c>
      <c r="C498">
        <v>1</v>
      </c>
      <c r="D498" t="s">
        <v>1773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 s="2" t="s">
        <v>23</v>
      </c>
      <c r="K498" s="39">
        <f>_xlfn.XLOOKUP("LOADINGSPEEDDEF_"&amp;PROPERTIES[[#This Row],[LOADINGSPEED]],LOADINGSPEEDDEF[TYPE],LOADINGSPEEDDEF[SPEED])</f>
        <v>40</v>
      </c>
      <c r="L498" t="s">
        <v>20</v>
      </c>
      <c r="M498">
        <v>1</v>
      </c>
      <c r="N498" s="33">
        <v>60</v>
      </c>
      <c r="O498">
        <v>7240</v>
      </c>
      <c r="P498">
        <v>160</v>
      </c>
      <c r="Q498" s="30">
        <f>185/2</f>
        <v>92.5</v>
      </c>
      <c r="R498" s="29">
        <f>IFERROR(PROPERTIES[[#This Row],[TE_STARTING_KN]]/(PROPERTIES[[#This Row],[WEIGHT]]*9.81),0)</f>
        <v>0.15715256540944614</v>
      </c>
      <c r="S498" s="29">
        <v>0.21</v>
      </c>
      <c r="T498" s="26">
        <f>ROUND(IF(IFERROR(PROPERTIES[[#This Row],[TE_COEFFICIENT_CALC]],0)=0,PROPERTIES[[#This Row],[TE_COEFFICIENT_MANUAL]],PROPERTIES[[#This Row],[TE_COEFFICIENT_CALC]]),3)</f>
        <v>0.157</v>
      </c>
      <c r="U498" s="11">
        <v>40</v>
      </c>
      <c r="V498" s="9">
        <v>39</v>
      </c>
      <c r="W498" s="9">
        <v>8</v>
      </c>
      <c r="X498" s="10">
        <v>0</v>
      </c>
      <c r="Y498" t="s">
        <v>906</v>
      </c>
      <c r="Z498" t="s">
        <v>903</v>
      </c>
      <c r="AA498" s="2" t="s">
        <v>921</v>
      </c>
      <c r="AB498" s="9" t="s">
        <v>997</v>
      </c>
      <c r="AC498" s="9" t="s">
        <v>998</v>
      </c>
      <c r="AD498" s="10" t="str">
        <f>SUBSTITUTE(SUBSTITUTE(PROPERTIES[[#This Row],[PURCHASECOST_VALUE]], "PURCHASECOST_", ""), "_VALUE", "")</f>
        <v>DMU</v>
      </c>
      <c r="AE498" s="9" t="str" cm="1">
        <f t="array" ref="AE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98" s="2" t="b">
        <v>0</v>
      </c>
      <c r="AX498"/>
      <c r="AY498"/>
      <c r="AZ498"/>
    </row>
    <row r="499" spans="1:52">
      <c r="A499" s="2" t="s">
        <v>524</v>
      </c>
      <c r="B499">
        <v>2013</v>
      </c>
      <c r="C499">
        <v>1</v>
      </c>
      <c r="D499" t="s">
        <v>1798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 s="2" t="s">
        <v>23</v>
      </c>
      <c r="K499" s="39">
        <f>_xlfn.XLOOKUP("LOADINGSPEEDDEF_"&amp;PROPERTIES[[#This Row],[LOADINGSPEED]],LOADINGSPEEDDEF[TYPE],LOADINGSPEEDDEF[SPEED])</f>
        <v>40</v>
      </c>
      <c r="L499" t="s">
        <v>20</v>
      </c>
      <c r="M499">
        <v>1</v>
      </c>
      <c r="N499" s="33">
        <v>67.5</v>
      </c>
      <c r="O499">
        <v>1520</v>
      </c>
      <c r="P499">
        <v>128</v>
      </c>
      <c r="Q499" s="30">
        <f>130/2</f>
        <v>65</v>
      </c>
      <c r="R499" s="29">
        <f>IFERROR(PROPERTIES[[#This Row],[TE_STARTING_KN]]/(PROPERTIES[[#This Row],[WEIGHT]]*9.81),0)</f>
        <v>9.816136217767206E-2</v>
      </c>
      <c r="S499" s="29">
        <v>0.28999999999999998</v>
      </c>
      <c r="T499" s="26">
        <f>ROUND(IF(IFERROR(PROPERTIES[[#This Row],[TE_COEFFICIENT_CALC]],0)=0,PROPERTIES[[#This Row],[TE_COEFFICIENT_MANUAL]],PROPERTIES[[#This Row],[TE_COEFFICIENT_CALC]]),3)</f>
        <v>9.8000000000000004E-2</v>
      </c>
      <c r="U499" s="11">
        <v>40</v>
      </c>
      <c r="V499" s="9">
        <v>80</v>
      </c>
      <c r="W499" s="9">
        <v>8</v>
      </c>
      <c r="X499" s="10">
        <v>0</v>
      </c>
      <c r="Y499" t="s">
        <v>909</v>
      </c>
      <c r="Z499" t="s">
        <v>903</v>
      </c>
      <c r="AA499" s="2" t="s">
        <v>921</v>
      </c>
      <c r="AB499" s="9" t="s">
        <v>997</v>
      </c>
      <c r="AC499" s="9" t="s">
        <v>998</v>
      </c>
      <c r="AD499" s="10" t="str">
        <f>SUBSTITUTE(SUBSTITUTE(PROPERTIES[[#This Row],[PURCHASECOST_VALUE]], "PURCHASECOST_", ""), "_VALUE", "")</f>
        <v>DMU</v>
      </c>
      <c r="AE499" s="9" t="str" cm="1">
        <f t="array" ref="AE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9" s="2" t="b">
        <v>0</v>
      </c>
      <c r="AX499"/>
      <c r="AY499"/>
      <c r="AZ499"/>
    </row>
    <row r="500" spans="1:52">
      <c r="A500" s="2" t="s">
        <v>525</v>
      </c>
      <c r="B500">
        <v>2015</v>
      </c>
      <c r="C500">
        <v>1</v>
      </c>
      <c r="D500" t="s">
        <v>1770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 s="2" t="s">
        <v>23</v>
      </c>
      <c r="K500" s="39">
        <f>_xlfn.XLOOKUP("LOADINGSPEEDDEF_"&amp;PROPERTIES[[#This Row],[LOADINGSPEED]],LOADINGSPEEDDEF[TYPE],LOADINGSPEEDDEF[SPEED])</f>
        <v>40</v>
      </c>
      <c r="L500" t="s">
        <v>20</v>
      </c>
      <c r="M500">
        <v>1</v>
      </c>
      <c r="N500" s="33">
        <v>48</v>
      </c>
      <c r="O500">
        <v>800</v>
      </c>
      <c r="P500">
        <v>120</v>
      </c>
      <c r="Q500" s="30">
        <f>85/2</f>
        <v>42.5</v>
      </c>
      <c r="R500" s="29">
        <f>IFERROR(PROPERTIES[[#This Row],[TE_STARTING_KN]]/(PROPERTIES[[#This Row],[WEIGHT]]*9.81),0)</f>
        <v>9.0256540944614341E-2</v>
      </c>
      <c r="S500" s="29">
        <v>0.39</v>
      </c>
      <c r="T500" s="26">
        <f>ROUND(IF(IFERROR(PROPERTIES[[#This Row],[TE_COEFFICIENT_CALC]],0)=0,PROPERTIES[[#This Row],[TE_COEFFICIENT_MANUAL]],PROPERTIES[[#This Row],[TE_COEFFICIENT_CALC]]),3)</f>
        <v>0.09</v>
      </c>
      <c r="U500" s="11">
        <v>40</v>
      </c>
      <c r="V500" s="9">
        <v>70</v>
      </c>
      <c r="W500" s="9">
        <v>8</v>
      </c>
      <c r="X500" s="10">
        <v>0</v>
      </c>
      <c r="Y500" t="s">
        <v>911</v>
      </c>
      <c r="Z500" t="s">
        <v>903</v>
      </c>
      <c r="AA500" s="2" t="s">
        <v>921</v>
      </c>
      <c r="AB500" s="9" t="s">
        <v>997</v>
      </c>
      <c r="AC500" s="9" t="s">
        <v>998</v>
      </c>
      <c r="AD500" s="10" t="str">
        <f>SUBSTITUTE(SUBSTITUTE(PROPERTIES[[#This Row],[PURCHASECOST_VALUE]], "PURCHASECOST_", ""), "_VALUE", "")</f>
        <v>DMU</v>
      </c>
      <c r="AE500" s="9" t="str" cm="1">
        <f t="array" ref="AE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0" s="2" t="b">
        <v>0</v>
      </c>
      <c r="AX500"/>
      <c r="AY500"/>
      <c r="AZ500"/>
    </row>
    <row r="501" spans="1:52">
      <c r="A501" s="2" t="s">
        <v>526</v>
      </c>
      <c r="B501">
        <v>1955</v>
      </c>
      <c r="C501">
        <v>1</v>
      </c>
      <c r="D501" t="s">
        <v>1869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 s="2" t="s">
        <v>23</v>
      </c>
      <c r="K501" s="39">
        <f>_xlfn.XLOOKUP("LOADINGSPEEDDEF_"&amp;PROPERTIES[[#This Row],[LOADINGSPEED]],LOADINGSPEEDDEF[TYPE],LOADINGSPEEDDEF[SPEED])</f>
        <v>40</v>
      </c>
      <c r="L501">
        <v>45</v>
      </c>
      <c r="M501">
        <v>1</v>
      </c>
      <c r="N501" s="33">
        <v>52</v>
      </c>
      <c r="O501">
        <v>1250</v>
      </c>
      <c r="P501">
        <v>140</v>
      </c>
      <c r="Q501" s="30">
        <f>98/2</f>
        <v>49</v>
      </c>
      <c r="R501" s="29">
        <f>IFERROR(PROPERTIES[[#This Row],[TE_STARTING_KN]]/(PROPERTIES[[#This Row],[WEIGHT]]*9.81),0)</f>
        <v>9.6055830000784131E-2</v>
      </c>
      <c r="S501" s="29">
        <v>0.13</v>
      </c>
      <c r="T501" s="26">
        <f>ROUND(IF(IFERROR(PROPERTIES[[#This Row],[TE_COEFFICIENT_CALC]],0)=0,PROPERTIES[[#This Row],[TE_COEFFICIENT_MANUAL]],PROPERTIES[[#This Row],[TE_COEFFICIENT_CALC]]),3)</f>
        <v>9.6000000000000002E-2</v>
      </c>
      <c r="U501" s="11">
        <v>40</v>
      </c>
      <c r="V501" s="9">
        <v>60</v>
      </c>
      <c r="W501" s="9">
        <v>8</v>
      </c>
      <c r="X501" s="10">
        <v>0</v>
      </c>
      <c r="Y501" t="s">
        <v>905</v>
      </c>
      <c r="Z501" t="s">
        <v>903</v>
      </c>
      <c r="AA501" s="2" t="s">
        <v>921</v>
      </c>
      <c r="AB501" s="9" t="s">
        <v>997</v>
      </c>
      <c r="AC501" s="9" t="s">
        <v>998</v>
      </c>
      <c r="AD501" s="10" t="str">
        <f>SUBSTITUTE(SUBSTITUTE(PROPERTIES[[#This Row],[PURCHASECOST_VALUE]], "PURCHASECOST_", ""), "_VALUE", "")</f>
        <v>DMU</v>
      </c>
      <c r="AE501" s="9" t="str" cm="1">
        <f t="array" ref="AE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1" s="2" t="b">
        <v>0</v>
      </c>
      <c r="AX501"/>
      <c r="AY501"/>
      <c r="AZ501"/>
    </row>
    <row r="502" spans="1:52">
      <c r="A502" s="2" t="s">
        <v>527</v>
      </c>
      <c r="B502">
        <v>1965</v>
      </c>
      <c r="C502">
        <v>1</v>
      </c>
      <c r="D502" t="s">
        <v>1943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 s="2" t="s">
        <v>23</v>
      </c>
      <c r="K502" s="39">
        <f>_xlfn.XLOOKUP("LOADINGSPEEDDEF_"&amp;PROPERTIES[[#This Row],[LOADINGSPEED]],LOADINGSPEEDDEF[TYPE],LOADINGSPEEDDEF[SPEED])</f>
        <v>40</v>
      </c>
      <c r="L502">
        <v>45</v>
      </c>
      <c r="M502">
        <v>1</v>
      </c>
      <c r="N502" s="33">
        <v>49</v>
      </c>
      <c r="O502">
        <f>520*2</f>
        <v>1040</v>
      </c>
      <c r="P502">
        <v>110</v>
      </c>
      <c r="Q502" s="30">
        <f>66/2</f>
        <v>33</v>
      </c>
      <c r="R502" s="29">
        <f>IFERROR(PROPERTIES[[#This Row],[TE_STARTING_KN]]/(PROPERTIES[[#This Row],[WEIGHT]]*9.81),0)</f>
        <v>6.865131373650378E-2</v>
      </c>
      <c r="S502" s="29">
        <v>0.13</v>
      </c>
      <c r="T502" s="26">
        <f>ROUND(IF(IFERROR(PROPERTIES[[#This Row],[TE_COEFFICIENT_CALC]],0)=0,PROPERTIES[[#This Row],[TE_COEFFICIENT_MANUAL]],PROPERTIES[[#This Row],[TE_COEFFICIENT_CALC]]),3)</f>
        <v>6.9000000000000006E-2</v>
      </c>
      <c r="U502" s="11">
        <v>40</v>
      </c>
      <c r="V502">
        <f>INT(185/2)</f>
        <v>92</v>
      </c>
      <c r="W502" s="9">
        <v>8</v>
      </c>
      <c r="X502" s="10">
        <v>0</v>
      </c>
      <c r="Y502" t="s">
        <v>905</v>
      </c>
      <c r="Z502" t="s">
        <v>903</v>
      </c>
      <c r="AA502" s="2" t="s">
        <v>921</v>
      </c>
      <c r="AB502" s="9" t="s">
        <v>997</v>
      </c>
      <c r="AC502" s="9" t="s">
        <v>998</v>
      </c>
      <c r="AD502" s="10" t="str">
        <f>SUBSTITUTE(SUBSTITUTE(PROPERTIES[[#This Row],[PURCHASECOST_VALUE]], "PURCHASECOST_", ""), "_VALUE", "")</f>
        <v>DMU</v>
      </c>
      <c r="AE502" s="9" t="str" cm="1">
        <f t="array" ref="AE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2" s="2" t="b">
        <v>0</v>
      </c>
      <c r="AX502"/>
      <c r="AY502"/>
      <c r="AZ502"/>
    </row>
    <row r="503" spans="1:52">
      <c r="A503" s="2" t="s">
        <v>528</v>
      </c>
      <c r="B503">
        <v>1979</v>
      </c>
      <c r="C503">
        <v>1</v>
      </c>
      <c r="D503" t="s">
        <v>1943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 s="2" t="s">
        <v>23</v>
      </c>
      <c r="K503" s="39">
        <f>_xlfn.XLOOKUP("LOADINGSPEEDDEF_"&amp;PROPERTIES[[#This Row],[LOADINGSPEED]],LOADINGSPEEDDEF[TYPE],LOADINGSPEEDDEF[SPEED])</f>
        <v>40</v>
      </c>
      <c r="L503">
        <v>45</v>
      </c>
      <c r="M503">
        <v>1</v>
      </c>
      <c r="N503" s="33">
        <v>53</v>
      </c>
      <c r="O503">
        <f>776*2</f>
        <v>1552</v>
      </c>
      <c r="P503">
        <v>120</v>
      </c>
      <c r="Q503" s="30">
        <f>114/2</f>
        <v>57</v>
      </c>
      <c r="R503" s="29">
        <f>IFERROR(PROPERTIES[[#This Row],[TE_STARTING_KN]]/(PROPERTIES[[#This Row],[WEIGHT]]*9.81),0)</f>
        <v>0.10963014251918526</v>
      </c>
      <c r="S503" s="29">
        <v>0.21</v>
      </c>
      <c r="T503" s="26">
        <f>ROUND(IF(IFERROR(PROPERTIES[[#This Row],[TE_COEFFICIENT_CALC]],0)=0,PROPERTIES[[#This Row],[TE_COEFFICIENT_MANUAL]],PROPERTIES[[#This Row],[TE_COEFFICIENT_CALC]]),3)</f>
        <v>0.11</v>
      </c>
      <c r="U503" s="11">
        <v>40</v>
      </c>
      <c r="V503" s="9">
        <f>INT(194/2)</f>
        <v>97</v>
      </c>
      <c r="W503" s="9">
        <v>8</v>
      </c>
      <c r="X503" s="10">
        <v>0</v>
      </c>
      <c r="Y503" t="s">
        <v>905</v>
      </c>
      <c r="Z503" t="s">
        <v>903</v>
      </c>
      <c r="AA503" s="2" t="s">
        <v>921</v>
      </c>
      <c r="AB503" s="9" t="s">
        <v>997</v>
      </c>
      <c r="AC503" s="9" t="s">
        <v>998</v>
      </c>
      <c r="AD503" s="10" t="str">
        <f>SUBSTITUTE(SUBSTITUTE(PROPERTIES[[#This Row],[PURCHASECOST_VALUE]], "PURCHASECOST_", ""), "_VALUE", "")</f>
        <v>DMU</v>
      </c>
      <c r="AE503" s="9" t="str" cm="1">
        <f t="array" ref="AE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3" s="2" t="b">
        <v>0</v>
      </c>
      <c r="AX503"/>
      <c r="AY503"/>
      <c r="AZ503"/>
    </row>
    <row r="504" spans="1:52">
      <c r="A504" s="2" t="s">
        <v>529</v>
      </c>
      <c r="B504">
        <v>1983</v>
      </c>
      <c r="C504">
        <v>1</v>
      </c>
      <c r="D504" t="s">
        <v>1828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 s="2" t="s">
        <v>23</v>
      </c>
      <c r="K504" s="39">
        <f>_xlfn.XLOOKUP("LOADINGSPEEDDEF_"&amp;PROPERTIES[[#This Row],[LOADINGSPEED]],LOADINGSPEEDDEF[TYPE],LOADINGSPEEDDEF[SPEED])</f>
        <v>40</v>
      </c>
      <c r="L504">
        <v>45</v>
      </c>
      <c r="M504">
        <v>1</v>
      </c>
      <c r="N504" s="33">
        <v>44</v>
      </c>
      <c r="O504">
        <v>720</v>
      </c>
      <c r="P504">
        <v>100</v>
      </c>
      <c r="Q504" s="30">
        <v>0</v>
      </c>
      <c r="R504" s="29">
        <f>IFERROR(PROPERTIES[[#This Row],[TE_STARTING_KN]]/(PROPERTIES[[#This Row],[WEIGHT]]*9.81),0)</f>
        <v>0</v>
      </c>
      <c r="S504" s="29">
        <v>0.2</v>
      </c>
      <c r="T504" s="26">
        <f>ROUND(IF(IFERROR(PROPERTIES[[#This Row],[TE_COEFFICIENT_CALC]],0)=0,PROPERTIES[[#This Row],[TE_COEFFICIENT_MANUAL]],PROPERTIES[[#This Row],[TE_COEFFICIENT_CALC]]),3)</f>
        <v>0.2</v>
      </c>
      <c r="U504" s="11">
        <v>40</v>
      </c>
      <c r="V504" s="9">
        <f>INT(350/3)</f>
        <v>116</v>
      </c>
      <c r="W504" s="9">
        <v>7</v>
      </c>
      <c r="X504" s="10">
        <v>0</v>
      </c>
      <c r="Y504" t="s">
        <v>905</v>
      </c>
      <c r="Z504" t="s">
        <v>903</v>
      </c>
      <c r="AA504" s="2" t="s">
        <v>921</v>
      </c>
      <c r="AB504" s="9" t="s">
        <v>997</v>
      </c>
      <c r="AC504" s="9" t="s">
        <v>998</v>
      </c>
      <c r="AD504" s="10" t="str">
        <f>SUBSTITUTE(SUBSTITUTE(PROPERTIES[[#This Row],[PURCHASECOST_VALUE]], "PURCHASECOST_", ""), "_VALUE", "")</f>
        <v>DMU</v>
      </c>
      <c r="AE504" s="9" t="str" cm="1">
        <f t="array" ref="AE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4" s="2" t="b">
        <v>0</v>
      </c>
      <c r="AX504"/>
      <c r="AY504"/>
      <c r="AZ504"/>
    </row>
    <row r="505" spans="1:52">
      <c r="A505" s="2" t="s">
        <v>530</v>
      </c>
      <c r="B505">
        <v>1996</v>
      </c>
      <c r="C505">
        <v>1</v>
      </c>
      <c r="D505" t="s">
        <v>1817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 s="2" t="s">
        <v>32</v>
      </c>
      <c r="K505" s="39">
        <f>_xlfn.XLOOKUP("LOADINGSPEEDDEF_"&amp;PROPERTIES[[#This Row],[LOADINGSPEED]],LOADINGSPEEDDEF[TYPE],LOADINGSPEEDDEF[SPEED])</f>
        <v>20</v>
      </c>
      <c r="L505" t="s">
        <v>20</v>
      </c>
      <c r="M505">
        <v>0</v>
      </c>
      <c r="N505" s="33">
        <f>111/2</f>
        <v>55.5</v>
      </c>
      <c r="O505">
        <f>355*2</f>
        <v>710</v>
      </c>
      <c r="P505">
        <v>120</v>
      </c>
      <c r="Q505" s="30">
        <v>0</v>
      </c>
      <c r="R505" s="29">
        <f>IFERROR(PROPERTIES[[#This Row],[TE_STARTING_KN]]/(PROPERTIES[[#This Row],[WEIGHT]]*9.81),0)</f>
        <v>0</v>
      </c>
      <c r="S505" s="29">
        <v>0.17</v>
      </c>
      <c r="T505" s="26">
        <f>ROUND(IF(IFERROR(PROPERTIES[[#This Row],[TE_COEFFICIENT_CALC]],0)=0,PROPERTIES[[#This Row],[TE_COEFFICIENT_MANUAL]],PROPERTIES[[#This Row],[TE_COEFFICIENT_CALC]]),3)</f>
        <v>0.17</v>
      </c>
      <c r="U505" s="11">
        <v>25</v>
      </c>
      <c r="V505" s="9">
        <v>40</v>
      </c>
      <c r="W505" s="9">
        <v>7</v>
      </c>
      <c r="X505" s="10">
        <v>0</v>
      </c>
      <c r="Y505" t="s">
        <v>904</v>
      </c>
      <c r="Z505" t="s">
        <v>903</v>
      </c>
      <c r="AA505" s="2" t="s">
        <v>921</v>
      </c>
      <c r="AB505" s="9" t="s">
        <v>997</v>
      </c>
      <c r="AC505" s="9" t="s">
        <v>998</v>
      </c>
      <c r="AD505" s="10" t="str">
        <f>SUBSTITUTE(SUBSTITUTE(PROPERTIES[[#This Row],[PURCHASECOST_VALUE]], "PURCHASECOST_", ""), "_VALUE", "")</f>
        <v>DMU</v>
      </c>
      <c r="AE505" s="9" t="str" cm="1">
        <f t="array" ref="AE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505" s="2" t="b">
        <v>0</v>
      </c>
      <c r="AX505"/>
      <c r="AY505"/>
      <c r="AZ505"/>
    </row>
    <row r="506" spans="1:52">
      <c r="A506" s="2" t="s">
        <v>532</v>
      </c>
      <c r="B506">
        <v>2011</v>
      </c>
      <c r="C506">
        <v>1</v>
      </c>
      <c r="D506" t="s">
        <v>1773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 s="2" t="s">
        <v>23</v>
      </c>
      <c r="K506" s="39">
        <f>_xlfn.XLOOKUP("LOADINGSPEEDDEF_"&amp;PROPERTIES[[#This Row],[LOADINGSPEED]],LOADINGSPEEDDEF[TYPE],LOADINGSPEEDDEF[SPEED])</f>
        <v>40</v>
      </c>
      <c r="L506" t="s">
        <v>20</v>
      </c>
      <c r="M506">
        <v>1</v>
      </c>
      <c r="N506" s="33">
        <v>51</v>
      </c>
      <c r="O506">
        <f>INT(16*245)</f>
        <v>3920</v>
      </c>
      <c r="P506">
        <v>130</v>
      </c>
      <c r="Q506" s="30">
        <f>110/2</f>
        <v>55</v>
      </c>
      <c r="R506" s="29">
        <f>IFERROR(PROPERTIES[[#This Row],[TE_STARTING_KN]]/(PROPERTIES[[#This Row],[WEIGHT]]*9.81),0)</f>
        <v>0.10993184225780016</v>
      </c>
      <c r="S506" s="29">
        <v>0.25</v>
      </c>
      <c r="T506" s="26">
        <f>ROUND(IF(IFERROR(PROPERTIES[[#This Row],[TE_COEFFICIENT_CALC]],0)=0,PROPERTIES[[#This Row],[TE_COEFFICIENT_MANUAL]],PROPERTIES[[#This Row],[TE_COEFFICIENT_CALC]]),3)</f>
        <v>0.11</v>
      </c>
      <c r="U506" s="11">
        <v>25</v>
      </c>
      <c r="V506" s="9">
        <v>110</v>
      </c>
      <c r="W506" s="9">
        <v>8</v>
      </c>
      <c r="X506" s="10">
        <v>0</v>
      </c>
      <c r="Y506" t="s">
        <v>906</v>
      </c>
      <c r="Z506" t="s">
        <v>903</v>
      </c>
      <c r="AA506" s="2" t="s">
        <v>921</v>
      </c>
      <c r="AB506" s="9" t="s">
        <v>999</v>
      </c>
      <c r="AC506" s="9" t="s">
        <v>1000</v>
      </c>
      <c r="AD506" s="10" t="str">
        <f>SUBSTITUTE(SUBSTITUTE(PROPERTIES[[#This Row],[PURCHASECOST_VALUE]], "PURCHASECOST_", ""), "_VALUE", "")</f>
        <v>EMU</v>
      </c>
      <c r="AE506" s="9" t="str" cm="1">
        <f t="array" ref="AE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6" s="2" t="b">
        <v>0</v>
      </c>
      <c r="AX506"/>
      <c r="AY506"/>
      <c r="AZ506"/>
    </row>
    <row r="507" spans="1:52">
      <c r="A507" s="2" t="s">
        <v>533</v>
      </c>
      <c r="B507">
        <v>1966</v>
      </c>
      <c r="C507">
        <v>1</v>
      </c>
      <c r="D507" t="s">
        <v>1819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 s="2" t="s">
        <v>23</v>
      </c>
      <c r="K507" s="39">
        <f>_xlfn.XLOOKUP("LOADINGSPEEDDEF_"&amp;PROPERTIES[[#This Row],[LOADINGSPEED]],LOADINGSPEEDDEF[TYPE],LOADINGSPEEDDEF[SPEED])</f>
        <v>40</v>
      </c>
      <c r="L507">
        <v>45</v>
      </c>
      <c r="M507">
        <v>1</v>
      </c>
      <c r="N507" s="33">
        <v>43</v>
      </c>
      <c r="O507">
        <v>400</v>
      </c>
      <c r="P507">
        <v>100</v>
      </c>
      <c r="Q507" s="30">
        <f>60/2</f>
        <v>30</v>
      </c>
      <c r="R507" s="29">
        <f>IFERROR(PROPERTIES[[#This Row],[TE_STARTING_KN]]/(PROPERTIES[[#This Row],[WEIGHT]]*9.81),0)</f>
        <v>7.1118697105469017E-2</v>
      </c>
      <c r="S507" s="29">
        <v>0.14000000000000001</v>
      </c>
      <c r="T507" s="26">
        <f>ROUND(IF(IFERROR(PROPERTIES[[#This Row],[TE_COEFFICIENT_CALC]],0)=0,PROPERTIES[[#This Row],[TE_COEFFICIENT_MANUAL]],PROPERTIES[[#This Row],[TE_COEFFICIENT_CALC]]),3)</f>
        <v>7.0999999999999994E-2</v>
      </c>
      <c r="U507" s="11">
        <v>25</v>
      </c>
      <c r="V507" s="9">
        <v>56</v>
      </c>
      <c r="W507" s="9">
        <v>8</v>
      </c>
      <c r="X507" s="10">
        <v>0</v>
      </c>
      <c r="Y507" t="s">
        <v>908</v>
      </c>
      <c r="Z507" t="s">
        <v>903</v>
      </c>
      <c r="AA507" s="2" t="s">
        <v>921</v>
      </c>
      <c r="AB507" s="9" t="s">
        <v>999</v>
      </c>
      <c r="AC507" s="9" t="s">
        <v>1000</v>
      </c>
      <c r="AD507" s="10" t="str">
        <f>SUBSTITUTE(SUBSTITUTE(PROPERTIES[[#This Row],[PURCHASECOST_VALUE]], "PURCHASECOST_", ""), "_VALUE", "")</f>
        <v>EMU</v>
      </c>
      <c r="AE507" s="9" t="str" cm="1">
        <f t="array" ref="AE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7" s="2" t="b">
        <v>0</v>
      </c>
      <c r="AX507"/>
      <c r="AY507"/>
      <c r="AZ507"/>
    </row>
    <row r="508" spans="1:52">
      <c r="A508" s="2" t="s">
        <v>534</v>
      </c>
      <c r="B508">
        <v>1996</v>
      </c>
      <c r="C508">
        <v>1</v>
      </c>
      <c r="D508" t="s">
        <v>1819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 s="2" t="s">
        <v>23</v>
      </c>
      <c r="K508" s="39">
        <f>_xlfn.XLOOKUP("LOADINGSPEEDDEF_"&amp;PROPERTIES[[#This Row],[LOADINGSPEED]],LOADINGSPEEDDEF[TYPE],LOADINGSPEEDDEF[SPEED])</f>
        <v>40</v>
      </c>
      <c r="L508" t="s">
        <v>20</v>
      </c>
      <c r="M508">
        <v>1</v>
      </c>
      <c r="N508" s="33">
        <f>63/2</f>
        <v>31.5</v>
      </c>
      <c r="O508">
        <v>1150</v>
      </c>
      <c r="P508">
        <v>120</v>
      </c>
      <c r="Q508" s="30">
        <f>75/2</f>
        <v>37.5</v>
      </c>
      <c r="R508" s="29">
        <f>IFERROR(PROPERTIES[[#This Row],[TE_STARTING_KN]]/(PROPERTIES[[#This Row],[WEIGHT]]*9.81),0)</f>
        <v>0.12135333236250666</v>
      </c>
      <c r="S508" s="29">
        <v>0.47</v>
      </c>
      <c r="T508" s="26">
        <f>ROUND(IF(IFERROR(PROPERTIES[[#This Row],[TE_COEFFICIENT_CALC]],0)=0,PROPERTIES[[#This Row],[TE_COEFFICIENT_MANUAL]],PROPERTIES[[#This Row],[TE_COEFFICIENT_CALC]]),3)</f>
        <v>0.121</v>
      </c>
      <c r="U508" s="11">
        <v>25</v>
      </c>
      <c r="V508" s="9">
        <v>90</v>
      </c>
      <c r="W508" s="9">
        <v>5</v>
      </c>
      <c r="X508" s="10">
        <v>0</v>
      </c>
      <c r="Y508" t="s">
        <v>908</v>
      </c>
      <c r="Z508" t="s">
        <v>903</v>
      </c>
      <c r="AA508" s="2" t="s">
        <v>921</v>
      </c>
      <c r="AB508" s="9" t="s">
        <v>999</v>
      </c>
      <c r="AC508" s="9" t="s">
        <v>1000</v>
      </c>
      <c r="AD508" s="10" t="str">
        <f>SUBSTITUTE(SUBSTITUTE(PROPERTIES[[#This Row],[PURCHASECOST_VALUE]], "PURCHASECOST_", ""), "_VALUE", "")</f>
        <v>EMU</v>
      </c>
      <c r="AE508" s="9" t="str" cm="1">
        <f t="array" ref="AE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8" s="2" t="b">
        <v>0</v>
      </c>
      <c r="AX508"/>
      <c r="AY508"/>
      <c r="AZ508"/>
    </row>
    <row r="509" spans="1:52">
      <c r="A509" s="2" t="s">
        <v>535</v>
      </c>
      <c r="B509">
        <v>1932</v>
      </c>
      <c r="C509">
        <v>1</v>
      </c>
      <c r="D509" t="s">
        <v>1869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 s="2" t="s">
        <v>23</v>
      </c>
      <c r="K509" s="39">
        <f>_xlfn.XLOOKUP("LOADINGSPEEDDEF_"&amp;PROPERTIES[[#This Row],[LOADINGSPEED]],LOADINGSPEEDDEF[TYPE],LOADINGSPEEDDEF[SPEED])</f>
        <v>40</v>
      </c>
      <c r="L509">
        <v>45</v>
      </c>
      <c r="M509">
        <v>1</v>
      </c>
      <c r="N509" s="33">
        <f>74/2</f>
        <v>37</v>
      </c>
      <c r="O509">
        <v>650</v>
      </c>
      <c r="P509">
        <v>72</v>
      </c>
      <c r="Q509" s="30">
        <f>60/2</f>
        <v>30</v>
      </c>
      <c r="R509" s="29">
        <f>IFERROR(PROPERTIES[[#This Row],[TE_STARTING_KN]]/(PROPERTIES[[#This Row],[WEIGHT]]*9.81),0)</f>
        <v>8.2651458798247784E-2</v>
      </c>
      <c r="S509" s="29">
        <v>0.34</v>
      </c>
      <c r="T509" s="26">
        <f>ROUND(IF(IFERROR(PROPERTIES[[#This Row],[TE_COEFFICIENT_CALC]],0)=0,PROPERTIES[[#This Row],[TE_COEFFICIENT_MANUAL]],PROPERTIES[[#This Row],[TE_COEFFICIENT_CALC]]),3)</f>
        <v>8.3000000000000004E-2</v>
      </c>
      <c r="U509" s="11">
        <v>25</v>
      </c>
      <c r="V509" s="9">
        <v>50</v>
      </c>
      <c r="W509" s="9">
        <v>8</v>
      </c>
      <c r="X509" s="10">
        <v>0</v>
      </c>
      <c r="Y509" t="s">
        <v>905</v>
      </c>
      <c r="Z509" t="s">
        <v>903</v>
      </c>
      <c r="AA509" s="2" t="s">
        <v>921</v>
      </c>
      <c r="AB509" s="9" t="s">
        <v>999</v>
      </c>
      <c r="AC509" s="9" t="s">
        <v>1000</v>
      </c>
      <c r="AD509" s="10" t="str">
        <f>SUBSTITUTE(SUBSTITUTE(PROPERTIES[[#This Row],[PURCHASECOST_VALUE]], "PURCHASECOST_", ""), "_VALUE", "")</f>
        <v>EMU</v>
      </c>
      <c r="AE509" s="9" t="str" cm="1">
        <f t="array" ref="AE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9" s="2" t="b">
        <v>0</v>
      </c>
      <c r="AX509"/>
      <c r="AY509"/>
      <c r="AZ509"/>
    </row>
    <row r="510" spans="1:52">
      <c r="A510" s="2" t="s">
        <v>536</v>
      </c>
      <c r="B510">
        <v>1924</v>
      </c>
      <c r="C510">
        <v>1</v>
      </c>
      <c r="D510" t="s">
        <v>1925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 s="2" t="s">
        <v>23</v>
      </c>
      <c r="K510" s="39">
        <f>_xlfn.XLOOKUP("LOADINGSPEEDDEF_"&amp;PROPERTIES[[#This Row],[LOADINGSPEED]],LOADINGSPEEDDEF[TYPE],LOADINGSPEEDDEF[SPEED])</f>
        <v>40</v>
      </c>
      <c r="L510">
        <v>45</v>
      </c>
      <c r="M510">
        <v>1</v>
      </c>
      <c r="N510" s="33">
        <v>55</v>
      </c>
      <c r="O510">
        <v>888</v>
      </c>
      <c r="P510">
        <v>100</v>
      </c>
      <c r="Q510" s="30">
        <f>120/2</f>
        <v>60</v>
      </c>
      <c r="R510" s="29">
        <f>IFERROR(PROPERTIES[[#This Row],[TE_STARTING_KN]]/(PROPERTIES[[#This Row],[WEIGHT]]*9.81),0)</f>
        <v>0.11120378092855156</v>
      </c>
      <c r="S510" s="29">
        <v>0.41</v>
      </c>
      <c r="T510" s="26">
        <f>ROUND(IF(IFERROR(PROPERTIES[[#This Row],[TE_COEFFICIENT_CALC]],0)=0,PROPERTIES[[#This Row],[TE_COEFFICIENT_MANUAL]],PROPERTIES[[#This Row],[TE_COEFFICIENT_CALC]]),3)</f>
        <v>0.111</v>
      </c>
      <c r="U510" s="11">
        <v>25</v>
      </c>
      <c r="V510" s="9">
        <v>88</v>
      </c>
      <c r="W510" s="9">
        <v>8</v>
      </c>
      <c r="X510" s="10">
        <v>0</v>
      </c>
      <c r="Y510" t="s">
        <v>904</v>
      </c>
      <c r="Z510" t="s">
        <v>903</v>
      </c>
      <c r="AA510" s="2" t="s">
        <v>921</v>
      </c>
      <c r="AB510" s="9" t="s">
        <v>999</v>
      </c>
      <c r="AC510" s="9" t="s">
        <v>1000</v>
      </c>
      <c r="AD510" s="10" t="str">
        <f>SUBSTITUTE(SUBSTITUTE(PROPERTIES[[#This Row],[PURCHASECOST_VALUE]], "PURCHASECOST_", ""), "_VALUE", "")</f>
        <v>EMU</v>
      </c>
      <c r="AE510" s="9" t="str" cm="1">
        <f t="array" ref="AE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0" s="2" t="b">
        <v>0</v>
      </c>
      <c r="AX510"/>
      <c r="AY510"/>
      <c r="AZ510"/>
    </row>
    <row r="511" spans="1:52">
      <c r="A511" s="2" t="s">
        <v>537</v>
      </c>
      <c r="B511">
        <v>1936</v>
      </c>
      <c r="C511">
        <v>1</v>
      </c>
      <c r="D511" t="s">
        <v>1925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 s="2" t="s">
        <v>23</v>
      </c>
      <c r="K511" s="39">
        <f>_xlfn.XLOOKUP("LOADINGSPEEDDEF_"&amp;PROPERTIES[[#This Row],[LOADINGSPEED]],LOADINGSPEEDDEF[TYPE],LOADINGSPEEDDEF[SPEED])</f>
        <v>40</v>
      </c>
      <c r="L511">
        <v>45</v>
      </c>
      <c r="M511">
        <v>1</v>
      </c>
      <c r="N511" s="33">
        <f>85/2</f>
        <v>42.5</v>
      </c>
      <c r="O511">
        <v>1032</v>
      </c>
      <c r="P511">
        <v>125</v>
      </c>
      <c r="Q511" s="30">
        <f>85/2</f>
        <v>42.5</v>
      </c>
      <c r="R511" s="29">
        <f>IFERROR(PROPERTIES[[#This Row],[TE_STARTING_KN]]/(PROPERTIES[[#This Row],[WEIGHT]]*9.81),0)</f>
        <v>0.1019367991845056</v>
      </c>
      <c r="S511" s="29">
        <v>0.38</v>
      </c>
      <c r="T511" s="26">
        <f>ROUND(IF(IFERROR(PROPERTIES[[#This Row],[TE_COEFFICIENT_CALC]],0)=0,PROPERTIES[[#This Row],[TE_COEFFICIENT_MANUAL]],PROPERTIES[[#This Row],[TE_COEFFICIENT_CALC]]),3)</f>
        <v>0.10199999999999999</v>
      </c>
      <c r="U511" s="11">
        <v>25</v>
      </c>
      <c r="V511" s="9">
        <v>72</v>
      </c>
      <c r="W511" s="9">
        <v>8</v>
      </c>
      <c r="X511" s="10">
        <v>0</v>
      </c>
      <c r="Y511" t="s">
        <v>904</v>
      </c>
      <c r="Z511" t="s">
        <v>903</v>
      </c>
      <c r="AA511" s="2" t="s">
        <v>921</v>
      </c>
      <c r="AB511" s="9" t="s">
        <v>999</v>
      </c>
      <c r="AC511" s="9" t="s">
        <v>1000</v>
      </c>
      <c r="AD511" s="10" t="str">
        <f>SUBSTITUTE(SUBSTITUTE(PROPERTIES[[#This Row],[PURCHASECOST_VALUE]], "PURCHASECOST_", ""), "_VALUE", "")</f>
        <v>EMU</v>
      </c>
      <c r="AE511" s="9" t="str" cm="1">
        <f t="array" ref="AE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1" s="2" t="b">
        <v>0</v>
      </c>
      <c r="AX511"/>
      <c r="AY511"/>
      <c r="AZ511"/>
    </row>
    <row r="512" spans="1:52">
      <c r="A512" s="2" t="s">
        <v>538</v>
      </c>
      <c r="B512">
        <v>1954</v>
      </c>
      <c r="C512">
        <v>1</v>
      </c>
      <c r="D512" t="s">
        <v>1925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 s="2" t="s">
        <v>23</v>
      </c>
      <c r="K512" s="39">
        <f>_xlfn.XLOOKUP("LOADINGSPEEDDEF_"&amp;PROPERTIES[[#This Row],[LOADINGSPEED]],LOADINGSPEEDDEF[TYPE],LOADINGSPEEDDEF[SPEED])</f>
        <v>40</v>
      </c>
      <c r="L512">
        <v>45</v>
      </c>
      <c r="M512">
        <v>1</v>
      </c>
      <c r="N512" s="33">
        <f>109/2</f>
        <v>54.5</v>
      </c>
      <c r="O512">
        <v>910</v>
      </c>
      <c r="P512">
        <v>140</v>
      </c>
      <c r="Q512" s="30">
        <f>110/2</f>
        <v>55</v>
      </c>
      <c r="R512" s="29">
        <f>IFERROR(PROPERTIES[[#This Row],[TE_STARTING_KN]]/(PROPERTIES[[#This Row],[WEIGHT]]*9.81),0)</f>
        <v>0.10287199917702401</v>
      </c>
      <c r="S512" s="29">
        <v>0.28000000000000003</v>
      </c>
      <c r="T512" s="26">
        <f>ROUND(IF(IFERROR(PROPERTIES[[#This Row],[TE_COEFFICIENT_CALC]],0)=0,PROPERTIES[[#This Row],[TE_COEFFICIENT_MANUAL]],PROPERTIES[[#This Row],[TE_COEFFICIENT_CALC]]),3)</f>
        <v>0.10299999999999999</v>
      </c>
      <c r="U512" s="11">
        <v>25</v>
      </c>
      <c r="V512" s="9">
        <v>56</v>
      </c>
      <c r="W512" s="9">
        <v>8</v>
      </c>
      <c r="X512" s="10">
        <v>0</v>
      </c>
      <c r="Y512" t="s">
        <v>904</v>
      </c>
      <c r="Z512" t="s">
        <v>903</v>
      </c>
      <c r="AA512" s="2" t="s">
        <v>921</v>
      </c>
      <c r="AB512" s="9" t="s">
        <v>999</v>
      </c>
      <c r="AC512" s="9" t="s">
        <v>1000</v>
      </c>
      <c r="AD512" s="10" t="str">
        <f>SUBSTITUTE(SUBSTITUTE(PROPERTIES[[#This Row],[PURCHASECOST_VALUE]], "PURCHASECOST_", ""), "_VALUE", "")</f>
        <v>EMU</v>
      </c>
      <c r="AE512" s="9" t="str" cm="1">
        <f t="array" ref="AE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2" s="2" t="b">
        <v>0</v>
      </c>
      <c r="AX512"/>
      <c r="AY512"/>
      <c r="AZ512"/>
    </row>
    <row r="513" spans="1:52">
      <c r="A513" s="2" t="s">
        <v>539</v>
      </c>
      <c r="B513">
        <v>1975</v>
      </c>
      <c r="C513">
        <v>1</v>
      </c>
      <c r="D513" t="s">
        <v>1925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 s="2" t="s">
        <v>23</v>
      </c>
      <c r="K513" s="39">
        <f>_xlfn.XLOOKUP("LOADINGSPEEDDEF_"&amp;PROPERTIES[[#This Row],[LOADINGSPEED]],LOADINGSPEEDDEF[TYPE],LOADINGSPEEDDEF[SPEED])</f>
        <v>40</v>
      </c>
      <c r="L513">
        <v>45</v>
      </c>
      <c r="M513">
        <v>1</v>
      </c>
      <c r="N513" s="33">
        <v>53</v>
      </c>
      <c r="O513">
        <v>1720</v>
      </c>
      <c r="P513">
        <v>125</v>
      </c>
      <c r="Q513" s="30">
        <f>160/2</f>
        <v>80</v>
      </c>
      <c r="R513" s="29">
        <f>IFERROR(PROPERTIES[[#This Row],[TE_STARTING_KN]]/(PROPERTIES[[#This Row],[WEIGHT]]*9.81),0)</f>
        <v>0.15386686669359334</v>
      </c>
      <c r="S513" s="29">
        <v>0.19</v>
      </c>
      <c r="T513" s="26">
        <f>ROUND(IF(IFERROR(PROPERTIES[[#This Row],[TE_COEFFICIENT_CALC]],0)=0,PROPERTIES[[#This Row],[TE_COEFFICIENT_MANUAL]],PROPERTIES[[#This Row],[TE_COEFFICIENT_CALC]]),3)</f>
        <v>0.154</v>
      </c>
      <c r="U513" s="11">
        <v>25</v>
      </c>
      <c r="V513" s="9">
        <v>77</v>
      </c>
      <c r="W513" s="9">
        <v>8</v>
      </c>
      <c r="X513" s="10">
        <v>0</v>
      </c>
      <c r="Y513" t="s">
        <v>904</v>
      </c>
      <c r="Z513" t="s">
        <v>903</v>
      </c>
      <c r="AA513" s="2" t="s">
        <v>921</v>
      </c>
      <c r="AB513" s="9" t="s">
        <v>999</v>
      </c>
      <c r="AC513" s="9" t="s">
        <v>1000</v>
      </c>
      <c r="AD513" s="10" t="str">
        <f>SUBSTITUTE(SUBSTITUTE(PROPERTIES[[#This Row],[PURCHASECOST_VALUE]], "PURCHASECOST_", ""), "_VALUE", "")</f>
        <v>EMU</v>
      </c>
      <c r="AE513" s="9" t="str" cm="1">
        <f t="array" ref="AE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3" s="2" t="b">
        <v>0</v>
      </c>
      <c r="AX513"/>
      <c r="AY513"/>
      <c r="AZ513"/>
    </row>
    <row r="514" spans="1:52">
      <c r="A514" s="2" t="s">
        <v>540</v>
      </c>
      <c r="B514">
        <v>1979</v>
      </c>
      <c r="C514">
        <v>1</v>
      </c>
      <c r="D514" t="s">
        <v>1925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 s="2" t="s">
        <v>23</v>
      </c>
      <c r="K514" s="39">
        <f>_xlfn.XLOOKUP("LOADINGSPEEDDEF_"&amp;PROPERTIES[[#This Row],[LOADINGSPEED]],LOADINGSPEEDDEF[TYPE],LOADINGSPEEDDEF[SPEED])</f>
        <v>40</v>
      </c>
      <c r="L514">
        <v>45</v>
      </c>
      <c r="M514">
        <v>1</v>
      </c>
      <c r="N514" s="33">
        <f>144/2</f>
        <v>72</v>
      </c>
      <c r="O514">
        <v>1720</v>
      </c>
      <c r="P514">
        <v>140</v>
      </c>
      <c r="Q514" s="30">
        <f>100/2</f>
        <v>50</v>
      </c>
      <c r="R514" s="29">
        <f>IFERROR(PROPERTIES[[#This Row],[TE_STARTING_KN]]/(PROPERTIES[[#This Row],[WEIGHT]]*9.81),0)</f>
        <v>7.0789443878128883E-2</v>
      </c>
      <c r="S514" s="29">
        <v>0.48</v>
      </c>
      <c r="T514" s="26">
        <f>ROUND(IF(IFERROR(PROPERTIES[[#This Row],[TE_COEFFICIENT_CALC]],0)=0,PROPERTIES[[#This Row],[TE_COEFFICIENT_MANUAL]],PROPERTIES[[#This Row],[TE_COEFFICIENT_CALC]]),3)</f>
        <v>7.0999999999999994E-2</v>
      </c>
      <c r="U514" s="11">
        <v>25</v>
      </c>
      <c r="V514" s="9">
        <f>INT(205/2)</f>
        <v>102</v>
      </c>
      <c r="W514" s="9">
        <v>8</v>
      </c>
      <c r="X514" s="10">
        <v>0</v>
      </c>
      <c r="Y514" t="s">
        <v>904</v>
      </c>
      <c r="Z514" t="s">
        <v>903</v>
      </c>
      <c r="AA514" s="2" t="s">
        <v>921</v>
      </c>
      <c r="AB514" s="9" t="s">
        <v>999</v>
      </c>
      <c r="AC514" s="9" t="s">
        <v>1000</v>
      </c>
      <c r="AD514" s="10" t="str">
        <f>SUBSTITUTE(SUBSTITUTE(PROPERTIES[[#This Row],[PURCHASECOST_VALUE]], "PURCHASECOST_", ""), "_VALUE", "")</f>
        <v>EMU</v>
      </c>
      <c r="AE514" s="9" t="str" cm="1">
        <f t="array" ref="AE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4" s="2" t="b">
        <v>0</v>
      </c>
      <c r="AX514"/>
      <c r="AY514"/>
      <c r="AZ514"/>
    </row>
    <row r="515" spans="1:52">
      <c r="A515" s="2" t="s">
        <v>541</v>
      </c>
      <c r="B515">
        <v>1994</v>
      </c>
      <c r="C515">
        <v>1</v>
      </c>
      <c r="D515" t="s">
        <v>1925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 s="2" t="s">
        <v>23</v>
      </c>
      <c r="K515" s="39">
        <f>_xlfn.XLOOKUP("LOADINGSPEEDDEF_"&amp;PROPERTIES[[#This Row],[LOADINGSPEED]],LOADINGSPEEDDEF[TYPE],LOADINGSPEEDDEF[SPEED])</f>
        <v>40</v>
      </c>
      <c r="L515" t="s">
        <v>20</v>
      </c>
      <c r="M515">
        <v>1</v>
      </c>
      <c r="N515" s="33">
        <f>104/2</f>
        <v>52</v>
      </c>
      <c r="O515">
        <v>1720</v>
      </c>
      <c r="P515">
        <v>140</v>
      </c>
      <c r="Q515" s="30">
        <f>105/2</f>
        <v>52.5</v>
      </c>
      <c r="R515" s="29">
        <f>IFERROR(PROPERTIES[[#This Row],[TE_STARTING_KN]]/(PROPERTIES[[#This Row],[WEIGHT]]*9.81),0)</f>
        <v>0.10291696071512585</v>
      </c>
      <c r="S515" s="29">
        <v>0.26</v>
      </c>
      <c r="T515" s="26">
        <f>ROUND(IF(IFERROR(PROPERTIES[[#This Row],[TE_COEFFICIENT_CALC]],0)=0,PROPERTIES[[#This Row],[TE_COEFFICIENT_MANUAL]],PROPERTIES[[#This Row],[TE_COEFFICIENT_CALC]]),3)</f>
        <v>0.10299999999999999</v>
      </c>
      <c r="U515" s="11">
        <v>25</v>
      </c>
      <c r="V515">
        <f>INT((129+442)/6)</f>
        <v>95</v>
      </c>
      <c r="W515" s="9">
        <v>8</v>
      </c>
      <c r="X515" s="10">
        <v>0</v>
      </c>
      <c r="Y515" t="s">
        <v>904</v>
      </c>
      <c r="Z515" t="s">
        <v>903</v>
      </c>
      <c r="AA515" s="2" t="s">
        <v>921</v>
      </c>
      <c r="AB515" s="9" t="s">
        <v>999</v>
      </c>
      <c r="AC515" s="9" t="s">
        <v>1000</v>
      </c>
      <c r="AD515" s="10" t="str">
        <f>SUBSTITUTE(SUBSTITUTE(PROPERTIES[[#This Row],[PURCHASECOST_VALUE]], "PURCHASECOST_", ""), "_VALUE", "")</f>
        <v>EMU</v>
      </c>
      <c r="AE515" s="9" t="str" cm="1">
        <f t="array" ref="AE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5" s="2" t="b">
        <v>0</v>
      </c>
      <c r="AX515"/>
      <c r="AY515"/>
      <c r="AZ515"/>
    </row>
    <row r="516" spans="1:52">
      <c r="A516" s="2" t="s">
        <v>542</v>
      </c>
      <c r="B516">
        <v>1997</v>
      </c>
      <c r="C516">
        <v>1</v>
      </c>
      <c r="D516" t="s">
        <v>1925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 s="2" t="s">
        <v>23</v>
      </c>
      <c r="K516" s="39">
        <f>_xlfn.XLOOKUP("LOADINGSPEEDDEF_"&amp;PROPERTIES[[#This Row],[LOADINGSPEED]],LOADINGSPEEDDEF[TYPE],LOADINGSPEEDDEF[SPEED])</f>
        <v>40</v>
      </c>
      <c r="L516" t="s">
        <v>20</v>
      </c>
      <c r="M516">
        <v>1</v>
      </c>
      <c r="N516" s="33">
        <f>84/2</f>
        <v>42</v>
      </c>
      <c r="O516">
        <v>3219</v>
      </c>
      <c r="P516">
        <v>160</v>
      </c>
      <c r="Q516" s="30">
        <f>200/2</f>
        <v>100</v>
      </c>
      <c r="R516" s="29">
        <f>IFERROR(PROPERTIES[[#This Row],[TE_STARTING_KN]]/(PROPERTIES[[#This Row],[WEIGHT]]*9.81),0)</f>
        <v>0.24270666472501332</v>
      </c>
      <c r="S516" s="29">
        <v>0.31</v>
      </c>
      <c r="T516" s="26">
        <f>ROUND(IF(IFERROR(PROPERTIES[[#This Row],[TE_COEFFICIENT_CALC]],0)=0,PROPERTIES[[#This Row],[TE_COEFFICIENT_MANUAL]],PROPERTIES[[#This Row],[TE_COEFFICIENT_CALC]]),3)</f>
        <v>0.24299999999999999</v>
      </c>
      <c r="U516" s="11">
        <v>25</v>
      </c>
      <c r="V516" s="9">
        <v>140</v>
      </c>
      <c r="W516" s="9">
        <v>8</v>
      </c>
      <c r="X516" s="10">
        <v>0</v>
      </c>
      <c r="Y516" t="s">
        <v>904</v>
      </c>
      <c r="Z516" t="s">
        <v>903</v>
      </c>
      <c r="AA516" s="2" t="s">
        <v>921</v>
      </c>
      <c r="AB516" s="9" t="s">
        <v>999</v>
      </c>
      <c r="AC516" s="9" t="s">
        <v>1000</v>
      </c>
      <c r="AD516" s="10" t="str">
        <f>SUBSTITUTE(SUBSTITUTE(PROPERTIES[[#This Row],[PURCHASECOST_VALUE]], "PURCHASECOST_", ""), "_VALUE", "")</f>
        <v>EMU</v>
      </c>
      <c r="AE516" s="9" t="str" cm="1">
        <f t="array" ref="AE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6" s="2" t="b">
        <v>0</v>
      </c>
      <c r="AX516"/>
      <c r="AY516"/>
      <c r="AZ516"/>
    </row>
    <row r="517" spans="1:52">
      <c r="A517" s="2" t="s">
        <v>543</v>
      </c>
      <c r="B517">
        <v>1924</v>
      </c>
      <c r="C517">
        <v>1</v>
      </c>
      <c r="D517" t="s">
        <v>1938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 s="2" t="s">
        <v>23</v>
      </c>
      <c r="K517" s="39">
        <f>_xlfn.XLOOKUP("LOADINGSPEEDDEF_"&amp;PROPERTIES[[#This Row],[LOADINGSPEED]],LOADINGSPEEDDEF[TYPE],LOADINGSPEEDDEF[SPEED])</f>
        <v>40</v>
      </c>
      <c r="L517">
        <v>45</v>
      </c>
      <c r="M517">
        <v>1</v>
      </c>
      <c r="N517" s="33">
        <v>38</v>
      </c>
      <c r="O517">
        <v>413</v>
      </c>
      <c r="P517">
        <v>80</v>
      </c>
      <c r="Q517" s="30">
        <f>80/2</f>
        <v>40</v>
      </c>
      <c r="R517" s="29">
        <f>IFERROR(PROPERTIES[[#This Row],[TE_STARTING_KN]]/(PROPERTIES[[#This Row],[WEIGHT]]*9.81),0)</f>
        <v>0.10730189387842695</v>
      </c>
      <c r="S517" s="29">
        <v>0.11</v>
      </c>
      <c r="T517" s="26">
        <f>ROUND(IF(IFERROR(PROPERTIES[[#This Row],[TE_COEFFICIENT_CALC]],0)=0,PROPERTIES[[#This Row],[TE_COEFFICIENT_MANUAL]],PROPERTIES[[#This Row],[TE_COEFFICIENT_CALC]]),3)</f>
        <v>0.107</v>
      </c>
      <c r="U517" s="11">
        <v>25</v>
      </c>
      <c r="V517" s="9">
        <f>INT(119/2)</f>
        <v>59</v>
      </c>
      <c r="W517" s="9">
        <v>8</v>
      </c>
      <c r="X517" s="10">
        <v>0</v>
      </c>
      <c r="Y517" t="s">
        <v>910</v>
      </c>
      <c r="Z517" t="s">
        <v>903</v>
      </c>
      <c r="AA517" s="2" t="s">
        <v>921</v>
      </c>
      <c r="AB517" s="9" t="s">
        <v>999</v>
      </c>
      <c r="AC517" s="9" t="s">
        <v>1000</v>
      </c>
      <c r="AD517" s="10" t="str">
        <f>SUBSTITUTE(SUBSTITUTE(PROPERTIES[[#This Row],[PURCHASECOST_VALUE]], "PURCHASECOST_", ""), "_VALUE", "")</f>
        <v>EMU</v>
      </c>
      <c r="AE517" s="9" t="str" cm="1">
        <f t="array" ref="AE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7" s="2" t="b">
        <v>0</v>
      </c>
      <c r="AX517"/>
      <c r="AY517"/>
      <c r="AZ517"/>
    </row>
    <row r="518" spans="1:52">
      <c r="A518" s="2" t="s">
        <v>544</v>
      </c>
      <c r="B518">
        <v>1937</v>
      </c>
      <c r="C518">
        <v>1</v>
      </c>
      <c r="D518" t="s">
        <v>1869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 s="2" t="s">
        <v>478</v>
      </c>
      <c r="K518" s="39">
        <f>_xlfn.XLOOKUP("LOADINGSPEEDDEF_"&amp;PROPERTIES[[#This Row],[LOADINGSPEED]],LOADINGSPEEDDEF[TYPE],LOADINGSPEEDDEF[SPEED])</f>
        <v>16</v>
      </c>
      <c r="L518">
        <v>45</v>
      </c>
      <c r="M518">
        <v>1</v>
      </c>
      <c r="N518" s="33">
        <f>116.8/3</f>
        <v>38.93333333333333</v>
      </c>
      <c r="O518">
        <f>INT(1408*2/3)</f>
        <v>938</v>
      </c>
      <c r="P518">
        <v>160</v>
      </c>
      <c r="Q518" s="30">
        <f>50/2</f>
        <v>25</v>
      </c>
      <c r="R518" s="29">
        <f>IFERROR(PROPERTIES[[#This Row],[TE_STARTING_KN]]/(PROPERTIES[[#This Row],[WEIGHT]]*9.81),0)</f>
        <v>6.5455992627036996E-2</v>
      </c>
      <c r="S518" s="29">
        <v>0.18</v>
      </c>
      <c r="T518" s="26">
        <f>ROUND(IF(IFERROR(PROPERTIES[[#This Row],[TE_COEFFICIENT_CALC]],0)=0,PROPERTIES[[#This Row],[TE_COEFFICIENT_MANUAL]],PROPERTIES[[#This Row],[TE_COEFFICIENT_CALC]]),3)</f>
        <v>6.5000000000000002E-2</v>
      </c>
      <c r="U518" s="11">
        <v>25</v>
      </c>
      <c r="V518" s="9">
        <f>INT(104/2)</f>
        <v>52</v>
      </c>
      <c r="W518" s="9">
        <v>8</v>
      </c>
      <c r="X518" s="10">
        <v>0</v>
      </c>
      <c r="Y518" t="s">
        <v>905</v>
      </c>
      <c r="Z518" t="s">
        <v>903</v>
      </c>
      <c r="AA518" s="2" t="s">
        <v>921</v>
      </c>
      <c r="AB518" s="9" t="s">
        <v>999</v>
      </c>
      <c r="AC518" s="9" t="s">
        <v>1000</v>
      </c>
      <c r="AD518" s="10" t="str">
        <f>SUBSTITUTE(SUBSTITUTE(PROPERTIES[[#This Row],[PURCHASECOST_VALUE]], "PURCHASECOST_", ""), "_VALUE", "")</f>
        <v>EMU</v>
      </c>
      <c r="AE518" s="9" t="str" cm="1">
        <f t="array" ref="AE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8" s="2" t="b">
        <v>0</v>
      </c>
      <c r="AX518"/>
      <c r="AY518"/>
      <c r="AZ518"/>
    </row>
    <row r="519" spans="1:52">
      <c r="A519" s="2" t="s">
        <v>545</v>
      </c>
      <c r="B519">
        <v>1952</v>
      </c>
      <c r="C519">
        <v>1</v>
      </c>
      <c r="D519" t="s">
        <v>1869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 s="2" t="s">
        <v>478</v>
      </c>
      <c r="K519" s="39">
        <f>_xlfn.XLOOKUP("LOADINGSPEEDDEF_"&amp;PROPERTIES[[#This Row],[LOADINGSPEED]],LOADINGSPEEDDEF[TYPE],LOADINGSPEEDDEF[SPEED])</f>
        <v>16</v>
      </c>
      <c r="L519">
        <v>45</v>
      </c>
      <c r="M519">
        <v>1</v>
      </c>
      <c r="N519" s="33">
        <f>311/7</f>
        <v>44.428571428571431</v>
      </c>
      <c r="O519">
        <v>1020</v>
      </c>
      <c r="P519">
        <v>200</v>
      </c>
      <c r="Q519" s="30">
        <f>70/2</f>
        <v>35</v>
      </c>
      <c r="R519" s="29">
        <f>IFERROR(PROPERTIES[[#This Row],[TE_STARTING_KN]]/(PROPERTIES[[#This Row],[WEIGHT]]*9.81),0)</f>
        <v>8.0303909325414369E-2</v>
      </c>
      <c r="S519" s="29">
        <v>0.36</v>
      </c>
      <c r="T519" s="26">
        <f>ROUND(IF(IFERROR(PROPERTIES[[#This Row],[TE_COEFFICIENT_CALC]],0)=0,PROPERTIES[[#This Row],[TE_COEFFICIENT_MANUAL]],PROPERTIES[[#This Row],[TE_COEFFICIENT_CALC]]),3)</f>
        <v>0.08</v>
      </c>
      <c r="U519" s="11">
        <v>25</v>
      </c>
      <c r="V519" s="9">
        <f>INT(190/7)</f>
        <v>27</v>
      </c>
      <c r="W519" s="9">
        <v>8</v>
      </c>
      <c r="X519" s="10">
        <v>0</v>
      </c>
      <c r="Y519" t="s">
        <v>905</v>
      </c>
      <c r="Z519" t="s">
        <v>903</v>
      </c>
      <c r="AA519" s="2" t="s">
        <v>921</v>
      </c>
      <c r="AB519" s="9" t="s">
        <v>999</v>
      </c>
      <c r="AC519" s="9" t="s">
        <v>1000</v>
      </c>
      <c r="AD519" s="10" t="str">
        <f>SUBSTITUTE(SUBSTITUTE(PROPERTIES[[#This Row],[PURCHASECOST_VALUE]], "PURCHASECOST_", ""), "_VALUE", "")</f>
        <v>EMU</v>
      </c>
      <c r="AE519" s="9" t="str" cm="1">
        <f t="array" ref="AE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9" s="2" t="b">
        <v>0</v>
      </c>
      <c r="AX519"/>
      <c r="AY519"/>
      <c r="AZ519"/>
    </row>
    <row r="520" spans="1:52">
      <c r="A520" s="2" t="s">
        <v>546</v>
      </c>
      <c r="B520">
        <v>1993</v>
      </c>
      <c r="C520">
        <v>1</v>
      </c>
      <c r="D520" t="s">
        <v>1869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 s="2" t="s">
        <v>478</v>
      </c>
      <c r="K520" s="39">
        <f>_xlfn.XLOOKUP("LOADINGSPEEDDEF_"&amp;PROPERTIES[[#This Row],[LOADINGSPEED]],LOADINGSPEEDDEF[TYPE],LOADINGSPEEDDEF[SPEED])</f>
        <v>16</v>
      </c>
      <c r="L520" t="s">
        <v>20</v>
      </c>
      <c r="M520">
        <v>1</v>
      </c>
      <c r="N520" s="33">
        <v>54</v>
      </c>
      <c r="O520">
        <v>11800</v>
      </c>
      <c r="P520">
        <v>250</v>
      </c>
      <c r="Q520" s="30">
        <f>400/2</f>
        <v>200</v>
      </c>
      <c r="R520" s="29">
        <f>IFERROR(PROPERTIES[[#This Row],[TE_STARTING_KN]]/(PROPERTIES[[#This Row],[WEIGHT]]*9.81),0)</f>
        <v>0.37754370068335408</v>
      </c>
      <c r="S520" s="29">
        <v>0.46</v>
      </c>
      <c r="T520" s="26">
        <f>ROUND(IF(IFERROR(PROPERTIES[[#This Row],[TE_COEFFICIENT_CALC]],0)=0,PROPERTIES[[#This Row],[TE_COEFFICIENT_MANUAL]],PROPERTIES[[#This Row],[TE_COEFFICIENT_CALC]]),3)</f>
        <v>0.378</v>
      </c>
      <c r="U520" s="11">
        <v>25</v>
      </c>
      <c r="V520" s="9">
        <v>68</v>
      </c>
      <c r="W520" s="9">
        <v>8</v>
      </c>
      <c r="X520" s="10">
        <v>0</v>
      </c>
      <c r="Y520" t="s">
        <v>905</v>
      </c>
      <c r="Z520" t="s">
        <v>903</v>
      </c>
      <c r="AA520" s="2" t="s">
        <v>921</v>
      </c>
      <c r="AB520" s="9" t="s">
        <v>999</v>
      </c>
      <c r="AC520" s="9" t="s">
        <v>1000</v>
      </c>
      <c r="AD520" s="10" t="str">
        <f>SUBSTITUTE(SUBSTITUTE(PROPERTIES[[#This Row],[PURCHASECOST_VALUE]], "PURCHASECOST_", ""), "_VALUE", "")</f>
        <v>EMU</v>
      </c>
      <c r="AE520" s="9" t="str" cm="1">
        <f t="array" ref="AE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20" s="2" t="b">
        <v>0</v>
      </c>
      <c r="AX520"/>
      <c r="AY520"/>
      <c r="AZ520"/>
    </row>
    <row r="521" spans="1:52">
      <c r="A521" s="2" t="s">
        <v>547</v>
      </c>
      <c r="B521">
        <v>1996</v>
      </c>
      <c r="C521">
        <v>1</v>
      </c>
      <c r="D521" t="s">
        <v>1869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 s="2" t="s">
        <v>23</v>
      </c>
      <c r="K521" s="39">
        <f>_xlfn.XLOOKUP("LOADINGSPEEDDEF_"&amp;PROPERTIES[[#This Row],[LOADINGSPEED]],LOADINGSPEEDDEF[TYPE],LOADINGSPEEDDEF[SPEED])</f>
        <v>40</v>
      </c>
      <c r="L521">
        <v>45</v>
      </c>
      <c r="M521">
        <v>1</v>
      </c>
      <c r="N521" s="33">
        <v>68</v>
      </c>
      <c r="O521">
        <v>2508</v>
      </c>
      <c r="P521">
        <v>140</v>
      </c>
      <c r="Q521" s="30">
        <f>214/2</f>
        <v>107</v>
      </c>
      <c r="R521" s="29">
        <f>IFERROR(PROPERTIES[[#This Row],[TE_STARTING_KN]]/(PROPERTIES[[#This Row],[WEIGHT]]*9.81),0)</f>
        <v>0.16040055165797204</v>
      </c>
      <c r="S521" s="29">
        <v>0.31</v>
      </c>
      <c r="T521" s="26">
        <f>ROUND(IF(IFERROR(PROPERTIES[[#This Row],[TE_COEFFICIENT_CALC]],0)=0,PROPERTIES[[#This Row],[TE_COEFFICIENT_MANUAL]],PROPERTIES[[#This Row],[TE_COEFFICIENT_CALC]]),3)</f>
        <v>0.16</v>
      </c>
      <c r="U521" s="11">
        <v>25</v>
      </c>
      <c r="V521" s="9">
        <v>130</v>
      </c>
      <c r="W521" s="9">
        <v>8</v>
      </c>
      <c r="X521" s="10">
        <v>0</v>
      </c>
      <c r="Y521" t="s">
        <v>905</v>
      </c>
      <c r="Z521" t="s">
        <v>903</v>
      </c>
      <c r="AA521" s="2" t="s">
        <v>921</v>
      </c>
      <c r="AB521" s="9" t="s">
        <v>999</v>
      </c>
      <c r="AC521" s="9" t="s">
        <v>1000</v>
      </c>
      <c r="AD521" s="10" t="str">
        <f>SUBSTITUTE(SUBSTITUTE(PROPERTIES[[#This Row],[PURCHASECOST_VALUE]], "PURCHASECOST_", ""), "_VALUE", "")</f>
        <v>EMU</v>
      </c>
      <c r="AE521" s="9" t="str" cm="1">
        <f t="array" ref="AE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1" s="2" t="b">
        <v>0</v>
      </c>
      <c r="AX521"/>
      <c r="AY521"/>
      <c r="AZ521"/>
    </row>
    <row r="522" spans="1:52">
      <c r="A522" s="2" t="s">
        <v>548</v>
      </c>
      <c r="B522">
        <v>1984</v>
      </c>
      <c r="C522">
        <v>1</v>
      </c>
      <c r="D522" t="s">
        <v>1896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 s="2" t="s">
        <v>23</v>
      </c>
      <c r="K522" s="39">
        <f>_xlfn.XLOOKUP("LOADINGSPEEDDEF_"&amp;PROPERTIES[[#This Row],[LOADINGSPEED]],LOADINGSPEEDDEF[TYPE],LOADINGSPEEDDEF[SPEED])</f>
        <v>40</v>
      </c>
      <c r="L522">
        <v>45</v>
      </c>
      <c r="M522">
        <v>1</v>
      </c>
      <c r="N522" s="33">
        <v>48</v>
      </c>
      <c r="O522">
        <v>1900</v>
      </c>
      <c r="P522">
        <v>160</v>
      </c>
      <c r="Q522" s="30">
        <f>102/2</f>
        <v>51</v>
      </c>
      <c r="R522" s="29">
        <f>IFERROR(PROPERTIES[[#This Row],[TE_STARTING_KN]]/(PROPERTIES[[#This Row],[WEIGHT]]*9.81),0)</f>
        <v>0.10830784913353721</v>
      </c>
      <c r="S522" s="29">
        <v>0.21</v>
      </c>
      <c r="T522" s="26">
        <f>ROUND(IF(IFERROR(PROPERTIES[[#This Row],[TE_COEFFICIENT_CALC]],0)=0,PROPERTIES[[#This Row],[TE_COEFFICIENT_MANUAL]],PROPERTIES[[#This Row],[TE_COEFFICIENT_CALC]]),3)</f>
        <v>0.108</v>
      </c>
      <c r="U522" s="11">
        <v>40</v>
      </c>
      <c r="V522" s="9">
        <v>90</v>
      </c>
      <c r="W522" s="9">
        <v>8</v>
      </c>
      <c r="X522" s="10">
        <v>0</v>
      </c>
      <c r="Y522" t="s">
        <v>907</v>
      </c>
      <c r="Z522" t="s">
        <v>903</v>
      </c>
      <c r="AA522" s="2" t="s">
        <v>921</v>
      </c>
      <c r="AB522" s="9" t="s">
        <v>999</v>
      </c>
      <c r="AC522" s="9" t="s">
        <v>1000</v>
      </c>
      <c r="AD522" s="10" t="str">
        <f>SUBSTITUTE(SUBSTITUTE(PROPERTIES[[#This Row],[PURCHASECOST_VALUE]], "PURCHASECOST_", ""), "_VALUE", "")</f>
        <v>EMU</v>
      </c>
      <c r="AE522" s="9" t="str" cm="1">
        <f t="array" ref="AE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2" s="2" t="b">
        <v>0</v>
      </c>
      <c r="AX522"/>
      <c r="AY522"/>
      <c r="AZ522"/>
    </row>
    <row r="523" spans="1:52">
      <c r="A523" s="2" t="s">
        <v>549</v>
      </c>
      <c r="B523">
        <v>1950</v>
      </c>
      <c r="C523">
        <v>1</v>
      </c>
      <c r="D523" t="s">
        <v>1938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 s="2" t="s">
        <v>23</v>
      </c>
      <c r="K523" s="39">
        <f>_xlfn.XLOOKUP("LOADINGSPEEDDEF_"&amp;PROPERTIES[[#This Row],[LOADINGSPEED]],LOADINGSPEEDDEF[TYPE],LOADINGSPEEDDEF[SPEED])</f>
        <v>40</v>
      </c>
      <c r="L523">
        <v>45</v>
      </c>
      <c r="M523">
        <v>1</v>
      </c>
      <c r="N523" s="33">
        <v>40</v>
      </c>
      <c r="O523">
        <v>642</v>
      </c>
      <c r="P523">
        <v>100</v>
      </c>
      <c r="Q523" s="30">
        <f>92/2</f>
        <v>46</v>
      </c>
      <c r="R523" s="29">
        <f>IFERROR(PROPERTIES[[#This Row],[TE_STARTING_KN]]/(PROPERTIES[[#This Row],[WEIGHT]]*9.81),0)</f>
        <v>0.11722731906218144</v>
      </c>
      <c r="S523" s="29">
        <v>0.25</v>
      </c>
      <c r="T523" s="26">
        <f>ROUND(IF(IFERROR(PROPERTIES[[#This Row],[TE_COEFFICIENT_CALC]],0)=0,PROPERTIES[[#This Row],[TE_COEFFICIENT_MANUAL]],PROPERTIES[[#This Row],[TE_COEFFICIENT_CALC]]),3)</f>
        <v>0.11700000000000001</v>
      </c>
      <c r="U523" s="11">
        <v>40</v>
      </c>
      <c r="V523" s="9">
        <f>INT(530/3)</f>
        <v>176</v>
      </c>
      <c r="W523" s="9">
        <v>8</v>
      </c>
      <c r="X523" s="10">
        <v>0</v>
      </c>
      <c r="Y523" t="s">
        <v>910</v>
      </c>
      <c r="Z523" t="s">
        <v>903</v>
      </c>
      <c r="AA523" s="2" t="s">
        <v>921</v>
      </c>
      <c r="AB523" s="9" t="s">
        <v>999</v>
      </c>
      <c r="AC523" s="9" t="s">
        <v>1000</v>
      </c>
      <c r="AD523" s="10" t="str">
        <f>SUBSTITUTE(SUBSTITUTE(PROPERTIES[[#This Row],[PURCHASECOST_VALUE]], "PURCHASECOST_", ""), "_VALUE", "")</f>
        <v>EMU</v>
      </c>
      <c r="AE523" s="9" t="str" cm="1">
        <f t="array" ref="AE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3" s="2" t="b">
        <v>0</v>
      </c>
      <c r="AX523"/>
      <c r="AY523"/>
      <c r="AZ523"/>
    </row>
    <row r="524" spans="1:52">
      <c r="A524" s="2" t="s">
        <v>550</v>
      </c>
      <c r="B524">
        <v>1975</v>
      </c>
      <c r="C524">
        <v>1</v>
      </c>
      <c r="D524" t="s">
        <v>1869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 s="2" t="s">
        <v>23</v>
      </c>
      <c r="K524" s="39">
        <f>_xlfn.XLOOKUP("LOADINGSPEEDDEF_"&amp;PROPERTIES[[#This Row],[LOADINGSPEED]],LOADINGSPEEDDEF[TYPE],LOADINGSPEEDDEF[SPEED])</f>
        <v>40</v>
      </c>
      <c r="L524">
        <v>45</v>
      </c>
      <c r="M524">
        <v>1</v>
      </c>
      <c r="N524" s="33">
        <v>70</v>
      </c>
      <c r="O524">
        <v>702</v>
      </c>
      <c r="P524">
        <v>150</v>
      </c>
      <c r="Q524" s="30">
        <f>110/2</f>
        <v>55</v>
      </c>
      <c r="R524" s="29">
        <f>IFERROR(PROPERTIES[[#This Row],[TE_STARTING_KN]]/(PROPERTIES[[#This Row],[WEIGHT]]*9.81),0)</f>
        <v>8.0093199359254394E-2</v>
      </c>
      <c r="S524" s="29">
        <v>0.15</v>
      </c>
      <c r="T524" s="26">
        <f>ROUND(IF(IFERROR(PROPERTIES[[#This Row],[TE_COEFFICIENT_CALC]],0)=0,PROPERTIES[[#This Row],[TE_COEFFICIENT_MANUAL]],PROPERTIES[[#This Row],[TE_COEFFICIENT_CALC]]),3)</f>
        <v>0.08</v>
      </c>
      <c r="U524" s="11">
        <v>25</v>
      </c>
      <c r="V524" s="9">
        <v>108</v>
      </c>
      <c r="W524" s="9">
        <v>7</v>
      </c>
      <c r="X524" s="10">
        <v>0</v>
      </c>
      <c r="Y524" t="s">
        <v>905</v>
      </c>
      <c r="Z524" t="s">
        <v>903</v>
      </c>
      <c r="AA524" s="2" t="s">
        <v>921</v>
      </c>
      <c r="AB524" s="9" t="s">
        <v>999</v>
      </c>
      <c r="AC524" s="9" t="s">
        <v>1000</v>
      </c>
      <c r="AD524" s="10" t="str">
        <f>SUBSTITUTE(SUBSTITUTE(PROPERTIES[[#This Row],[PURCHASECOST_VALUE]], "PURCHASECOST_", ""), "_VALUE", "")</f>
        <v>EMU</v>
      </c>
      <c r="AE524" s="9" t="str" cm="1">
        <f t="array" ref="AE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4" s="2" t="b">
        <v>0</v>
      </c>
      <c r="AX524"/>
      <c r="AY524"/>
      <c r="AZ524"/>
    </row>
    <row r="525" spans="1:52">
      <c r="A525" s="2" t="s">
        <v>551</v>
      </c>
      <c r="B525">
        <v>1956</v>
      </c>
      <c r="C525">
        <v>1</v>
      </c>
      <c r="D525" t="s">
        <v>1772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 s="2" t="s">
        <v>23</v>
      </c>
      <c r="K525" s="39">
        <f>_xlfn.XLOOKUP("LOADINGSPEEDDEF_"&amp;PROPERTIES[[#This Row],[LOADINGSPEED]],LOADINGSPEEDDEF[TYPE],LOADINGSPEEDDEF[SPEED])</f>
        <v>40</v>
      </c>
      <c r="L525">
        <v>45</v>
      </c>
      <c r="M525">
        <v>1</v>
      </c>
      <c r="N525" s="33">
        <f>(56+32)/2</f>
        <v>44</v>
      </c>
      <c r="O525">
        <v>1341</v>
      </c>
      <c r="P525">
        <v>100</v>
      </c>
      <c r="Q525" s="30">
        <f>99/2</f>
        <v>49.5</v>
      </c>
      <c r="R525" s="29">
        <f>IFERROR(PROPERTIES[[#This Row],[TE_STARTING_KN]]/(PROPERTIES[[#This Row],[WEIGHT]]*9.81),0)</f>
        <v>0.1146788990825688</v>
      </c>
      <c r="S525" s="29">
        <v>0.27</v>
      </c>
      <c r="T525" s="26">
        <f>ROUND(IF(IFERROR(PROPERTIES[[#This Row],[TE_COEFFICIENT_CALC]],0)=0,PROPERTIES[[#This Row],[TE_COEFFICIENT_MANUAL]],PROPERTIES[[#This Row],[TE_COEFFICIENT_CALC]]),3)</f>
        <v>0.115</v>
      </c>
      <c r="U525" s="11">
        <v>25</v>
      </c>
      <c r="V525" s="9">
        <v>72</v>
      </c>
      <c r="W525" s="9">
        <v>7</v>
      </c>
      <c r="X525" s="10">
        <v>0</v>
      </c>
      <c r="Y525" t="s">
        <v>904</v>
      </c>
      <c r="Z525" t="s">
        <v>903</v>
      </c>
      <c r="AA525" s="2" t="s">
        <v>921</v>
      </c>
      <c r="AB525" s="9" t="s">
        <v>999</v>
      </c>
      <c r="AC525" s="9" t="s">
        <v>1000</v>
      </c>
      <c r="AD525" s="10" t="str">
        <f>SUBSTITUTE(SUBSTITUTE(PROPERTIES[[#This Row],[PURCHASECOST_VALUE]], "PURCHASECOST_", ""), "_VALUE", "")</f>
        <v>EMU</v>
      </c>
      <c r="AE525" s="9" t="str" cm="1">
        <f t="array" ref="AE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5" s="2" t="b">
        <v>0</v>
      </c>
      <c r="AX525"/>
      <c r="AY525"/>
      <c r="AZ525"/>
    </row>
    <row r="526" spans="1:52">
      <c r="A526" s="2" t="s">
        <v>552</v>
      </c>
      <c r="B526">
        <v>1929</v>
      </c>
      <c r="C526">
        <v>1</v>
      </c>
      <c r="D526" t="s">
        <v>1772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 s="2" t="s">
        <v>23</v>
      </c>
      <c r="K526" s="39">
        <f>_xlfn.XLOOKUP("LOADINGSPEEDDEF_"&amp;PROPERTIES[[#This Row],[LOADINGSPEED]],LOADINGSPEEDDEF[TYPE],LOADINGSPEEDDEF[SPEED])</f>
        <v>40</v>
      </c>
      <c r="L526">
        <v>45</v>
      </c>
      <c r="M526">
        <v>1</v>
      </c>
      <c r="N526" s="33">
        <v>72.7</v>
      </c>
      <c r="O526">
        <f>555*2</f>
        <v>1110</v>
      </c>
      <c r="P526">
        <v>62</v>
      </c>
      <c r="Q526" s="30">
        <f>200/2</f>
        <v>100</v>
      </c>
      <c r="R526" s="29">
        <f>IFERROR(PROPERTIES[[#This Row],[TE_STARTING_KN]]/(PROPERTIES[[#This Row],[WEIGHT]]*9.81),0)</f>
        <v>0.14021567975860469</v>
      </c>
      <c r="S526" s="29">
        <v>0.08</v>
      </c>
      <c r="T526" s="26">
        <f>ROUND(IF(IFERROR(PROPERTIES[[#This Row],[TE_COEFFICIENT_CALC]],0)=0,PROPERTIES[[#This Row],[TE_COEFFICIENT_MANUAL]],PROPERTIES[[#This Row],[TE_COEFFICIENT_CALC]]),3)</f>
        <v>0.14000000000000001</v>
      </c>
      <c r="U526" s="11">
        <v>25</v>
      </c>
      <c r="V526" s="9">
        <v>62</v>
      </c>
      <c r="W526" s="9">
        <v>8</v>
      </c>
      <c r="X526" s="10">
        <v>0</v>
      </c>
      <c r="Y526" t="s">
        <v>904</v>
      </c>
      <c r="Z526" t="s">
        <v>903</v>
      </c>
      <c r="AA526" s="2" t="s">
        <v>921</v>
      </c>
      <c r="AB526" s="9" t="s">
        <v>999</v>
      </c>
      <c r="AC526" s="9" t="s">
        <v>1000</v>
      </c>
      <c r="AD526" s="10" t="str">
        <f>SUBSTITUTE(SUBSTITUTE(PROPERTIES[[#This Row],[PURCHASECOST_VALUE]], "PURCHASECOST_", ""), "_VALUE", "")</f>
        <v>EMU</v>
      </c>
      <c r="AE526" s="9" t="str" cm="1">
        <f t="array" ref="AE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6" s="2" t="b">
        <v>0</v>
      </c>
      <c r="AX526"/>
      <c r="AY526"/>
      <c r="AZ526"/>
    </row>
    <row r="527" spans="1:52">
      <c r="A527" s="2" t="s">
        <v>553</v>
      </c>
      <c r="B527">
        <v>2011</v>
      </c>
      <c r="C527">
        <v>1</v>
      </c>
      <c r="D527" t="s">
        <v>1772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 s="2" t="s">
        <v>23</v>
      </c>
      <c r="K527" s="39">
        <f>_xlfn.XLOOKUP("LOADINGSPEEDDEF_"&amp;PROPERTIES[[#This Row],[LOADINGSPEED]],LOADINGSPEEDDEF[TYPE],LOADINGSPEEDDEF[SPEED])</f>
        <v>40</v>
      </c>
      <c r="L527" t="s">
        <v>20</v>
      </c>
      <c r="M527">
        <v>1</v>
      </c>
      <c r="N527" s="33">
        <v>78</v>
      </c>
      <c r="O527">
        <v>5340</v>
      </c>
      <c r="P527">
        <v>200</v>
      </c>
      <c r="Q527" s="30">
        <f>200/2</f>
        <v>100</v>
      </c>
      <c r="R527" s="29">
        <f>IFERROR(PROPERTIES[[#This Row],[TE_STARTING_KN]]/(PROPERTIES[[#This Row],[WEIGHT]]*9.81),0)</f>
        <v>0.13068820408269949</v>
      </c>
      <c r="S527" s="29">
        <v>0.62</v>
      </c>
      <c r="T527" s="26">
        <f>ROUND(IF(IFERROR(PROPERTIES[[#This Row],[TE_COEFFICIENT_CALC]],0)=0,PROPERTIES[[#This Row],[TE_COEFFICIENT_MANUAL]],PROPERTIES[[#This Row],[TE_COEFFICIENT_CALC]]),3)</f>
        <v>0.13100000000000001</v>
      </c>
      <c r="U527" s="11">
        <v>40</v>
      </c>
      <c r="V527" s="9">
        <v>140</v>
      </c>
      <c r="W527" s="9">
        <v>8</v>
      </c>
      <c r="X527" s="10">
        <v>0</v>
      </c>
      <c r="Y527" t="s">
        <v>904</v>
      </c>
      <c r="Z527" t="s">
        <v>903</v>
      </c>
      <c r="AA527" s="2" t="s">
        <v>921</v>
      </c>
      <c r="AB527" s="9" t="s">
        <v>999</v>
      </c>
      <c r="AC527" s="9" t="s">
        <v>1000</v>
      </c>
      <c r="AD527" s="10" t="str">
        <f>SUBSTITUTE(SUBSTITUTE(PROPERTIES[[#This Row],[PURCHASECOST_VALUE]], "PURCHASECOST_", ""), "_VALUE", "")</f>
        <v>EMU</v>
      </c>
      <c r="AE527" s="9" t="str" cm="1">
        <f t="array" ref="AE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7" s="2" t="b">
        <v>0</v>
      </c>
      <c r="AX527"/>
      <c r="AY527"/>
      <c r="AZ527"/>
    </row>
    <row r="528" spans="1:52">
      <c r="A528" s="2" t="s">
        <v>554</v>
      </c>
      <c r="B528">
        <v>1969</v>
      </c>
      <c r="C528">
        <v>1</v>
      </c>
      <c r="D528" t="s">
        <v>1817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 s="2" t="s">
        <v>23</v>
      </c>
      <c r="K528" s="39">
        <f>_xlfn.XLOOKUP("LOADINGSPEEDDEF_"&amp;PROPERTIES[[#This Row],[LOADINGSPEED]],LOADINGSPEEDDEF[TYPE],LOADINGSPEEDDEF[SPEED])</f>
        <v>40</v>
      </c>
      <c r="L528">
        <v>45</v>
      </c>
      <c r="M528">
        <v>1</v>
      </c>
      <c r="N528" s="33">
        <v>46</v>
      </c>
      <c r="O528">
        <f>1072*2</f>
        <v>2144</v>
      </c>
      <c r="P528">
        <v>125</v>
      </c>
      <c r="Q528" s="30">
        <v>63</v>
      </c>
      <c r="R528" s="29">
        <f>IFERROR(PROPERTIES[[#This Row],[TE_STARTING_KN]]/(PROPERTIES[[#This Row],[WEIGHT]]*9.81),0)</f>
        <v>0.13960909453530115</v>
      </c>
      <c r="S528" s="29">
        <v>0.31</v>
      </c>
      <c r="T528" s="26">
        <f>ROUND(IF(IFERROR(PROPERTIES[[#This Row],[TE_COEFFICIENT_CALC]],0)=0,PROPERTIES[[#This Row],[TE_COEFFICIENT_MANUAL]],PROPERTIES[[#This Row],[TE_COEFFICIENT_CALC]]),3)</f>
        <v>0.14000000000000001</v>
      </c>
      <c r="U528" s="11">
        <v>25</v>
      </c>
      <c r="V528">
        <f>INT((192+266)/3)</f>
        <v>152</v>
      </c>
      <c r="W528" s="9">
        <v>8</v>
      </c>
      <c r="X528" s="10">
        <v>0</v>
      </c>
      <c r="Y528" t="s">
        <v>904</v>
      </c>
      <c r="Z528" t="s">
        <v>903</v>
      </c>
      <c r="AA528" s="2" t="s">
        <v>921</v>
      </c>
      <c r="AB528" s="9" t="s">
        <v>999</v>
      </c>
      <c r="AC528" s="9" t="s">
        <v>1000</v>
      </c>
      <c r="AD528" s="10" t="str">
        <f>SUBSTITUTE(SUBSTITUTE(PROPERTIES[[#This Row],[PURCHASECOST_VALUE]], "PURCHASECOST_", ""), "_VALUE", "")</f>
        <v>EMU</v>
      </c>
      <c r="AE528" s="9" t="str" cm="1">
        <f t="array" ref="AE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8" s="2" t="b">
        <v>0</v>
      </c>
      <c r="AX528"/>
      <c r="AY528"/>
      <c r="AZ528"/>
    </row>
    <row r="529" spans="1:52">
      <c r="A529" s="2" t="s">
        <v>555</v>
      </c>
      <c r="B529">
        <v>1998</v>
      </c>
      <c r="C529">
        <v>1</v>
      </c>
      <c r="D529" t="s">
        <v>1926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 s="2" t="s">
        <v>478</v>
      </c>
      <c r="K529" s="39">
        <f>_xlfn.XLOOKUP("LOADINGSPEEDDEF_"&amp;PROPERTIES[[#This Row],[LOADINGSPEED]],LOADINGSPEEDDEF[TYPE],LOADINGSPEEDDEF[SPEED])</f>
        <v>16</v>
      </c>
      <c r="L529" t="s">
        <v>20</v>
      </c>
      <c r="M529">
        <v>1</v>
      </c>
      <c r="N529" s="33">
        <v>54</v>
      </c>
      <c r="O529">
        <f>1166*2</f>
        <v>2332</v>
      </c>
      <c r="P529">
        <v>210</v>
      </c>
      <c r="Q529" s="30">
        <f>117/2</f>
        <v>58.5</v>
      </c>
      <c r="R529" s="29">
        <f>IFERROR(PROPERTIES[[#This Row],[TE_STARTING_KN]]/(PROPERTIES[[#This Row],[WEIGHT]]*9.81),0)</f>
        <v>0.11043153244988108</v>
      </c>
      <c r="S529" s="29">
        <v>0.69</v>
      </c>
      <c r="T529" s="26">
        <f>ROUND(IF(IFERROR(PROPERTIES[[#This Row],[TE_COEFFICIENT_CALC]],0)=0,PROPERTIES[[#This Row],[TE_COEFFICIENT_MANUAL]],PROPERTIES[[#This Row],[TE_COEFFICIENT_CALC]]),3)</f>
        <v>0.11</v>
      </c>
      <c r="U529" s="11">
        <v>25</v>
      </c>
      <c r="V529" s="9">
        <v>54</v>
      </c>
      <c r="W529" s="9">
        <v>8</v>
      </c>
      <c r="X529" s="10">
        <v>0</v>
      </c>
      <c r="Y529" t="s">
        <v>908</v>
      </c>
      <c r="Z529" t="s">
        <v>903</v>
      </c>
      <c r="AA529" s="2" t="s">
        <v>921</v>
      </c>
      <c r="AB529" s="9" t="s">
        <v>999</v>
      </c>
      <c r="AC529" s="9" t="s">
        <v>1000</v>
      </c>
      <c r="AD529" s="10" t="str">
        <f>SUBSTITUTE(SUBSTITUTE(PROPERTIES[[#This Row],[PURCHASECOST_VALUE]], "PURCHASECOST_", ""), "_VALUE", "")</f>
        <v>EMU</v>
      </c>
      <c r="AE529" s="9" t="str" cm="1">
        <f t="array" ref="AE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9" s="2" t="b">
        <v>0</v>
      </c>
      <c r="AX529"/>
      <c r="AY529"/>
      <c r="AZ529"/>
    </row>
    <row r="530" spans="1:52">
      <c r="A530" s="2" t="s">
        <v>556</v>
      </c>
      <c r="B530">
        <v>1942</v>
      </c>
      <c r="C530">
        <v>1</v>
      </c>
      <c r="D530" t="s">
        <v>1926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 s="2" t="s">
        <v>23</v>
      </c>
      <c r="K530" s="39">
        <f>_xlfn.XLOOKUP("LOADINGSPEEDDEF_"&amp;PROPERTIES[[#This Row],[LOADINGSPEED]],LOADINGSPEEDDEF[TYPE],LOADINGSPEEDDEF[SPEED])</f>
        <v>40</v>
      </c>
      <c r="L530">
        <v>45</v>
      </c>
      <c r="M530">
        <v>1</v>
      </c>
      <c r="N530" s="33">
        <f>(47+30)/2</f>
        <v>38.5</v>
      </c>
      <c r="O530">
        <v>622</v>
      </c>
      <c r="P530">
        <v>70</v>
      </c>
      <c r="Q530" s="30">
        <f>85/2</f>
        <v>42.5</v>
      </c>
      <c r="R530" s="29">
        <f>IFERROR(PROPERTIES[[#This Row],[TE_STARTING_KN]]/(PROPERTIES[[#This Row],[WEIGHT]]*9.81),0)</f>
        <v>0.11252763546341528</v>
      </c>
      <c r="S530" s="29">
        <v>0.23</v>
      </c>
      <c r="T530" s="26">
        <f>ROUND(IF(IFERROR(PROPERTIES[[#This Row],[TE_COEFFICIENT_CALC]],0)=0,PROPERTIES[[#This Row],[TE_COEFFICIENT_MANUAL]],PROPERTIES[[#This Row],[TE_COEFFICIENT_CALC]]),3)</f>
        <v>0.113</v>
      </c>
      <c r="U530" s="11">
        <v>25</v>
      </c>
      <c r="V530" s="9">
        <v>50</v>
      </c>
      <c r="W530" s="9">
        <v>7</v>
      </c>
      <c r="X530" s="10">
        <v>0</v>
      </c>
      <c r="Y530" t="s">
        <v>908</v>
      </c>
      <c r="Z530" t="s">
        <v>903</v>
      </c>
      <c r="AA530" s="2" t="s">
        <v>921</v>
      </c>
      <c r="AB530" s="9" t="s">
        <v>999</v>
      </c>
      <c r="AC530" s="9" t="s">
        <v>1000</v>
      </c>
      <c r="AD530" s="10" t="str">
        <f>SUBSTITUTE(SUBSTITUTE(PROPERTIES[[#This Row],[PURCHASECOST_VALUE]], "PURCHASECOST_", ""), "_VALUE", "")</f>
        <v>EMU</v>
      </c>
      <c r="AE530" s="9" t="str" cm="1">
        <f t="array" ref="AE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0" s="2" t="b">
        <v>0</v>
      </c>
      <c r="AX530"/>
      <c r="AY530"/>
      <c r="AZ530"/>
    </row>
    <row r="531" spans="1:52">
      <c r="A531" s="2" t="s">
        <v>557</v>
      </c>
      <c r="B531">
        <v>1990</v>
      </c>
      <c r="C531">
        <v>1</v>
      </c>
      <c r="D531" t="s">
        <v>1956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 s="2" t="s">
        <v>478</v>
      </c>
      <c r="K531" s="39">
        <f>_xlfn.XLOOKUP("LOADINGSPEEDDEF_"&amp;PROPERTIES[[#This Row],[LOADINGSPEED]],LOADINGSPEEDDEF[TYPE],LOADINGSPEEDDEF[SPEED])</f>
        <v>16</v>
      </c>
      <c r="L531">
        <v>45</v>
      </c>
      <c r="M531">
        <v>1</v>
      </c>
      <c r="N531" s="33">
        <v>73</v>
      </c>
      <c r="O531">
        <v>4400</v>
      </c>
      <c r="P531">
        <v>200</v>
      </c>
      <c r="Q531" s="30">
        <f>160/2</f>
        <v>80</v>
      </c>
      <c r="R531" s="29">
        <f>IFERROR(PROPERTIES[[#This Row],[TE_STARTING_KN]]/(PROPERTIES[[#This Row],[WEIGHT]]*9.81),0)</f>
        <v>0.11171156075014313</v>
      </c>
      <c r="S531" s="29">
        <v>0.49</v>
      </c>
      <c r="T531" s="26">
        <f>ROUND(IF(IFERROR(PROPERTIES[[#This Row],[TE_COEFFICIENT_CALC]],0)=0,PROPERTIES[[#This Row],[TE_COEFFICIENT_MANUAL]],PROPERTIES[[#This Row],[TE_COEFFICIENT_CALC]]),3)</f>
        <v>0.112</v>
      </c>
      <c r="U531" s="11">
        <v>25</v>
      </c>
      <c r="V531" s="9">
        <v>72</v>
      </c>
      <c r="W531" s="9">
        <v>8</v>
      </c>
      <c r="X531" s="10">
        <v>0</v>
      </c>
      <c r="Y531" t="s">
        <v>908</v>
      </c>
      <c r="Z531" t="s">
        <v>903</v>
      </c>
      <c r="AA531" s="2" t="s">
        <v>921</v>
      </c>
      <c r="AB531" s="9" t="s">
        <v>999</v>
      </c>
      <c r="AC531" s="9" t="s">
        <v>1000</v>
      </c>
      <c r="AD531" s="10" t="str">
        <f>SUBSTITUTE(SUBSTITUTE(PROPERTIES[[#This Row],[PURCHASECOST_VALUE]], "PURCHASECOST_", ""), "_VALUE", "")</f>
        <v>EMU</v>
      </c>
      <c r="AE531" s="9" t="str" cm="1">
        <f t="array" ref="AE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531" s="2" t="b">
        <v>0</v>
      </c>
      <c r="AX531"/>
      <c r="AY531"/>
      <c r="AZ531"/>
    </row>
    <row r="532" spans="1:52">
      <c r="A532" s="2" t="s">
        <v>558</v>
      </c>
      <c r="B532">
        <v>1965</v>
      </c>
      <c r="C532">
        <v>1</v>
      </c>
      <c r="D532" t="s">
        <v>1803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 s="2" t="s">
        <v>23</v>
      </c>
      <c r="K532" s="39">
        <f>_xlfn.XLOOKUP("LOADINGSPEEDDEF_"&amp;PROPERTIES[[#This Row],[LOADINGSPEED]],LOADINGSPEEDDEF[TYPE],LOADINGSPEEDDEF[SPEED])</f>
        <v>40</v>
      </c>
      <c r="L532">
        <v>45</v>
      </c>
      <c r="M532">
        <v>1</v>
      </c>
      <c r="N532" s="33">
        <f>INT(200/3)</f>
        <v>66</v>
      </c>
      <c r="O532">
        <f>INT(3277*2/3)</f>
        <v>2184</v>
      </c>
      <c r="P532">
        <v>125</v>
      </c>
      <c r="Q532" s="30">
        <f>239/2</f>
        <v>119.5</v>
      </c>
      <c r="R532" s="29">
        <f>IFERROR(PROPERTIES[[#This Row],[TE_STARTING_KN]]/(PROPERTIES[[#This Row],[WEIGHT]]*9.81),0)</f>
        <v>0.18456738640224879</v>
      </c>
      <c r="S532" s="29">
        <v>0.43</v>
      </c>
      <c r="T532" s="26">
        <f>ROUND(IF(IFERROR(PROPERTIES[[#This Row],[TE_COEFFICIENT_CALC]],0)=0,PROPERTIES[[#This Row],[TE_COEFFICIENT_MANUAL]],PROPERTIES[[#This Row],[TE_COEFFICIENT_CALC]]),3)</f>
        <v>0.185</v>
      </c>
      <c r="U532" s="11">
        <v>25</v>
      </c>
      <c r="V532" s="9">
        <f>INT(200/3)</f>
        <v>66</v>
      </c>
      <c r="W532" s="9">
        <v>8</v>
      </c>
      <c r="X532" s="10">
        <v>0</v>
      </c>
      <c r="Y532" t="s">
        <v>904</v>
      </c>
      <c r="Z532" t="s">
        <v>903</v>
      </c>
      <c r="AA532" s="2" t="s">
        <v>921</v>
      </c>
      <c r="AB532" s="9" t="s">
        <v>999</v>
      </c>
      <c r="AC532" s="9" t="s">
        <v>1000</v>
      </c>
      <c r="AD532" s="10" t="str">
        <f>SUBSTITUTE(SUBSTITUTE(PROPERTIES[[#This Row],[PURCHASECOST_VALUE]], "PURCHASECOST_", ""), "_VALUE", "")</f>
        <v>EMU</v>
      </c>
      <c r="AE532" s="9" t="str" cm="1">
        <f t="array" ref="AE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2" s="2" t="b">
        <v>0</v>
      </c>
      <c r="AX532"/>
      <c r="AY532"/>
      <c r="AZ532"/>
    </row>
    <row r="533" spans="1:52">
      <c r="A533" s="2" t="s">
        <v>559</v>
      </c>
      <c r="B533">
        <v>1984</v>
      </c>
      <c r="C533">
        <v>1</v>
      </c>
      <c r="D533" t="s">
        <v>1803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 s="2" t="s">
        <v>23</v>
      </c>
      <c r="K533" s="39">
        <f>_xlfn.XLOOKUP("LOADINGSPEEDDEF_"&amp;PROPERTIES[[#This Row],[LOADINGSPEED]],LOADINGSPEEDDEF[TYPE],LOADINGSPEEDDEF[SPEED])</f>
        <v>40</v>
      </c>
      <c r="L533">
        <v>45</v>
      </c>
      <c r="M533">
        <v>1</v>
      </c>
      <c r="N533" s="33">
        <v>35</v>
      </c>
      <c r="O533">
        <v>2210</v>
      </c>
      <c r="P533">
        <v>140</v>
      </c>
      <c r="Q533" s="30">
        <f>182/2</f>
        <v>91</v>
      </c>
      <c r="R533" s="29">
        <f>IFERROR(PROPERTIES[[#This Row],[TE_STARTING_KN]]/(PROPERTIES[[#This Row],[WEIGHT]]*9.81),0)</f>
        <v>0.26503567787971455</v>
      </c>
      <c r="S533" s="29">
        <v>0.52</v>
      </c>
      <c r="T533" s="26">
        <f>ROUND(IF(IFERROR(PROPERTIES[[#This Row],[TE_COEFFICIENT_CALC]],0)=0,PROPERTIES[[#This Row],[TE_COEFFICIENT_MANUAL]],PROPERTIES[[#This Row],[TE_COEFFICIENT_CALC]]),3)</f>
        <v>0.26500000000000001</v>
      </c>
      <c r="U533" s="11">
        <v>25</v>
      </c>
      <c r="V533" s="9">
        <v>56</v>
      </c>
      <c r="W533" s="9">
        <v>8</v>
      </c>
      <c r="X533" s="10">
        <v>0</v>
      </c>
      <c r="Y533" t="s">
        <v>904</v>
      </c>
      <c r="Z533" t="s">
        <v>903</v>
      </c>
      <c r="AA533" s="2" t="s">
        <v>921</v>
      </c>
      <c r="AB533" s="9" t="s">
        <v>999</v>
      </c>
      <c r="AC533" s="9" t="s">
        <v>1000</v>
      </c>
      <c r="AD533" s="10" t="str">
        <f>SUBSTITUTE(SUBSTITUTE(PROPERTIES[[#This Row],[PURCHASECOST_VALUE]], "PURCHASECOST_", ""), "_VALUE", "")</f>
        <v>EMU</v>
      </c>
      <c r="AE533" s="9" t="str" cm="1">
        <f t="array" ref="AE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3" s="2" t="b">
        <v>0</v>
      </c>
      <c r="AX533"/>
      <c r="AY533"/>
      <c r="AZ533"/>
    </row>
    <row r="534" spans="1:52">
      <c r="A534" s="2" t="s">
        <v>560</v>
      </c>
      <c r="B534">
        <v>2004</v>
      </c>
      <c r="C534">
        <v>1</v>
      </c>
      <c r="D534" t="s">
        <v>1803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 s="2" t="s">
        <v>23</v>
      </c>
      <c r="K534" s="39">
        <f>_xlfn.XLOOKUP("LOADINGSPEEDDEF_"&amp;PROPERTIES[[#This Row],[LOADINGSPEED]],LOADINGSPEEDDEF[TYPE],LOADINGSPEEDDEF[SPEED])</f>
        <v>40</v>
      </c>
      <c r="L534" t="s">
        <v>20</v>
      </c>
      <c r="M534">
        <v>1</v>
      </c>
      <c r="N534" s="33">
        <v>31</v>
      </c>
      <c r="O534">
        <v>2682</v>
      </c>
      <c r="P534">
        <v>160</v>
      </c>
      <c r="Q534" s="30">
        <f>200/2</f>
        <v>100</v>
      </c>
      <c r="R534" s="29">
        <f>IFERROR(PROPERTIES[[#This Row],[TE_STARTING_KN]]/(PROPERTIES[[#This Row],[WEIGHT]]*9.81),0)</f>
        <v>0.32882838446614709</v>
      </c>
      <c r="S534" s="29">
        <v>0.65</v>
      </c>
      <c r="T534" s="26">
        <f>ROUND(IF(IFERROR(PROPERTIES[[#This Row],[TE_COEFFICIENT_CALC]],0)=0,PROPERTIES[[#This Row],[TE_COEFFICIENT_MANUAL]],PROPERTIES[[#This Row],[TE_COEFFICIENT_CALC]]),3)</f>
        <v>0.32900000000000001</v>
      </c>
      <c r="U534" s="11">
        <v>25</v>
      </c>
      <c r="V534" s="9">
        <v>50</v>
      </c>
      <c r="W534" s="9">
        <v>7</v>
      </c>
      <c r="X534" s="10">
        <v>0</v>
      </c>
      <c r="Y534" t="s">
        <v>904</v>
      </c>
      <c r="Z534" t="s">
        <v>903</v>
      </c>
      <c r="AA534" s="2" t="s">
        <v>921</v>
      </c>
      <c r="AB534" s="9" t="s">
        <v>999</v>
      </c>
      <c r="AC534" s="9" t="s">
        <v>1000</v>
      </c>
      <c r="AD534" s="10" t="str">
        <f>SUBSTITUTE(SUBSTITUTE(PROPERTIES[[#This Row],[PURCHASECOST_VALUE]], "PURCHASECOST_", ""), "_VALUE", "")</f>
        <v>EMU</v>
      </c>
      <c r="AE534" s="9" t="str" cm="1">
        <f t="array" ref="AE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4" s="2" t="b">
        <v>0</v>
      </c>
      <c r="AX534"/>
      <c r="AY534"/>
      <c r="AZ534"/>
    </row>
    <row r="535" spans="1:52">
      <c r="A535" s="2" t="s">
        <v>561</v>
      </c>
      <c r="B535">
        <v>1969</v>
      </c>
      <c r="C535">
        <v>1</v>
      </c>
      <c r="D535" t="s">
        <v>1992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 s="2" t="s">
        <v>23</v>
      </c>
      <c r="K535" s="39">
        <f>_xlfn.XLOOKUP("LOADINGSPEEDDEF_"&amp;PROPERTIES[[#This Row],[LOADINGSPEED]],LOADINGSPEEDDEF[TYPE],LOADINGSPEEDDEF[SPEED])</f>
        <v>40</v>
      </c>
      <c r="L535">
        <v>45</v>
      </c>
      <c r="M535">
        <v>1</v>
      </c>
      <c r="N535" s="33">
        <v>75</v>
      </c>
      <c r="O535">
        <v>2400</v>
      </c>
      <c r="P535">
        <v>190</v>
      </c>
      <c r="Q535" s="30">
        <f>200/2</f>
        <v>100</v>
      </c>
      <c r="R535" s="29">
        <f>IFERROR(PROPERTIES[[#This Row],[TE_STARTING_KN]]/(PROPERTIES[[#This Row],[WEIGHT]]*9.81),0)</f>
        <v>0.13591573224600748</v>
      </c>
      <c r="S535" s="29">
        <v>0.15</v>
      </c>
      <c r="T535" s="26">
        <f>ROUND(IF(IFERROR(PROPERTIES[[#This Row],[TE_COEFFICIENT_CALC]],0)=0,PROPERTIES[[#This Row],[TE_COEFFICIENT_MANUAL]],PROPERTIES[[#This Row],[TE_COEFFICIENT_CALC]]),3)</f>
        <v>0.13600000000000001</v>
      </c>
      <c r="U535" s="11">
        <v>40</v>
      </c>
      <c r="V535">
        <v>76</v>
      </c>
      <c r="W535" s="9">
        <v>8</v>
      </c>
      <c r="X535" s="10">
        <v>0</v>
      </c>
      <c r="Y535" t="s">
        <v>909</v>
      </c>
      <c r="Z535" t="s">
        <v>903</v>
      </c>
      <c r="AA535" s="2" t="s">
        <v>921</v>
      </c>
      <c r="AB535" s="9" t="s">
        <v>999</v>
      </c>
      <c r="AC535" s="9" t="s">
        <v>1000</v>
      </c>
      <c r="AD535" s="10" t="str">
        <f>SUBSTITUTE(SUBSTITUTE(PROPERTIES[[#This Row],[PURCHASECOST_VALUE]], "PURCHASECOST_", ""), "_VALUE", "")</f>
        <v>EMU</v>
      </c>
      <c r="AE535" s="9" t="str" cm="1">
        <f t="array" ref="AE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5" s="2" t="b">
        <v>0</v>
      </c>
      <c r="AX535"/>
      <c r="AY535"/>
      <c r="AZ535"/>
    </row>
    <row r="536" spans="1:52">
      <c r="A536" s="2" t="s">
        <v>562</v>
      </c>
      <c r="B536">
        <v>2000</v>
      </c>
      <c r="C536">
        <v>1</v>
      </c>
      <c r="D536" t="s">
        <v>1817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 s="2" t="s">
        <v>478</v>
      </c>
      <c r="K536" s="39">
        <f>_xlfn.XLOOKUP("LOADINGSPEEDDEF_"&amp;PROPERTIES[[#This Row],[LOADINGSPEED]],LOADINGSPEEDDEF[TYPE],LOADINGSPEEDDEF[SPEED])</f>
        <v>16</v>
      </c>
      <c r="L536" t="s">
        <v>20</v>
      </c>
      <c r="M536">
        <v>1</v>
      </c>
      <c r="N536" s="33">
        <f>409/8</f>
        <v>51.125</v>
      </c>
      <c r="O536">
        <v>10728</v>
      </c>
      <c r="P536">
        <v>328</v>
      </c>
      <c r="Q536" s="30">
        <f>300/2</f>
        <v>150</v>
      </c>
      <c r="R536" s="29">
        <f>IFERROR(PROPERTIES[[#This Row],[TE_STARTING_KN]]/(PROPERTIES[[#This Row],[WEIGHT]]*9.81),0)</f>
        <v>0.29908107340197243</v>
      </c>
      <c r="S536" s="29">
        <v>0.98</v>
      </c>
      <c r="T536" s="26">
        <f>ROUND(IF(IFERROR(PROPERTIES[[#This Row],[TE_COEFFICIENT_CALC]],0)=0,PROPERTIES[[#This Row],[TE_COEFFICIENT_MANUAL]],PROPERTIES[[#This Row],[TE_COEFFICIENT_CALC]]),3)</f>
        <v>0.29899999999999999</v>
      </c>
      <c r="U536" s="11">
        <v>25</v>
      </c>
      <c r="V536" s="9">
        <f>INT(441/8)</f>
        <v>55</v>
      </c>
      <c r="W536" s="9">
        <v>8</v>
      </c>
      <c r="X536" s="10">
        <v>0</v>
      </c>
      <c r="Y536" t="s">
        <v>904</v>
      </c>
      <c r="Z536" t="s">
        <v>903</v>
      </c>
      <c r="AA536" s="2" t="s">
        <v>921</v>
      </c>
      <c r="AB536" s="9" t="s">
        <v>999</v>
      </c>
      <c r="AC536" s="9" t="s">
        <v>1000</v>
      </c>
      <c r="AD536" s="10" t="str">
        <f>SUBSTITUTE(SUBSTITUTE(PROPERTIES[[#This Row],[PURCHASECOST_VALUE]], "PURCHASECOST_", ""), "_VALUE", "")</f>
        <v>EMU</v>
      </c>
      <c r="AE536" s="9" t="str" cm="1">
        <f t="array" ref="AE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36" s="2" t="b">
        <v>0</v>
      </c>
      <c r="AX536"/>
      <c r="AY536"/>
      <c r="AZ536"/>
    </row>
    <row r="537" spans="1:52">
      <c r="A537" s="2" t="s">
        <v>563</v>
      </c>
      <c r="B537">
        <v>2005</v>
      </c>
      <c r="C537">
        <v>1</v>
      </c>
      <c r="D537" t="s">
        <v>1782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 s="2" t="s">
        <v>23</v>
      </c>
      <c r="K537" s="39">
        <f>_xlfn.XLOOKUP("LOADINGSPEEDDEF_"&amp;PROPERTIES[[#This Row],[LOADINGSPEED]],LOADINGSPEEDDEF[TYPE],LOADINGSPEEDDEF[SPEED])</f>
        <v>40</v>
      </c>
      <c r="L537" t="s">
        <v>20</v>
      </c>
      <c r="M537">
        <v>1</v>
      </c>
      <c r="N537" s="33">
        <f>88/2</f>
        <v>44</v>
      </c>
      <c r="O537">
        <v>1740</v>
      </c>
      <c r="P537">
        <v>120</v>
      </c>
      <c r="Q537" s="30">
        <v>0</v>
      </c>
      <c r="R537" s="29">
        <f>IFERROR(PROPERTIES[[#This Row],[TE_STARTING_KN]]/(PROPERTIES[[#This Row],[WEIGHT]]*9.81),0)</f>
        <v>0</v>
      </c>
      <c r="S537" s="29">
        <v>0.21</v>
      </c>
      <c r="T537" s="26">
        <f>ROUND(IF(IFERROR(PROPERTIES[[#This Row],[TE_COEFFICIENT_CALC]],0)=0,PROPERTIES[[#This Row],[TE_COEFFICIENT_MANUAL]],PROPERTIES[[#This Row],[TE_COEFFICIENT_CALC]]),3)</f>
        <v>0.21</v>
      </c>
      <c r="U537" s="11">
        <v>25</v>
      </c>
      <c r="V537" s="9">
        <f>INT(190/2)</f>
        <v>95</v>
      </c>
      <c r="W537" s="9">
        <v>8</v>
      </c>
      <c r="X537" s="10">
        <v>0</v>
      </c>
      <c r="Y537" t="s">
        <v>910</v>
      </c>
      <c r="Z537" t="s">
        <v>903</v>
      </c>
      <c r="AA537" s="2" t="s">
        <v>921</v>
      </c>
      <c r="AB537" s="9" t="s">
        <v>999</v>
      </c>
      <c r="AC537" s="9" t="s">
        <v>1000</v>
      </c>
      <c r="AD537" s="10" t="str">
        <f>SUBSTITUTE(SUBSTITUTE(PROPERTIES[[#This Row],[PURCHASECOST_VALUE]], "PURCHASECOST_", ""), "_VALUE", "")</f>
        <v>EMU</v>
      </c>
      <c r="AE537" s="9" t="str" cm="1">
        <f t="array" ref="AE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7" s="2" t="b">
        <v>0</v>
      </c>
      <c r="AX537"/>
      <c r="AY537"/>
      <c r="AZ537"/>
    </row>
    <row r="538" spans="1:52">
      <c r="A538" s="2" t="s">
        <v>564</v>
      </c>
      <c r="B538">
        <v>1975</v>
      </c>
      <c r="C538">
        <v>1</v>
      </c>
      <c r="D538" t="s">
        <v>1830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 s="2" t="s">
        <v>23</v>
      </c>
      <c r="K538" s="39">
        <f>_xlfn.XLOOKUP("LOADINGSPEEDDEF_"&amp;PROPERTIES[[#This Row],[LOADINGSPEED]],LOADINGSPEEDDEF[TYPE],LOADINGSPEEDDEF[SPEED])</f>
        <v>40</v>
      </c>
      <c r="L538">
        <v>45</v>
      </c>
      <c r="M538">
        <v>1</v>
      </c>
      <c r="N538" s="33">
        <f>(46.5+76)/2</f>
        <v>61.25</v>
      </c>
      <c r="O538">
        <v>818</v>
      </c>
      <c r="P538">
        <v>120</v>
      </c>
      <c r="Q538" s="30">
        <f>85/2</f>
        <v>42.5</v>
      </c>
      <c r="R538" s="29">
        <f>IFERROR(PROPERTIES[[#This Row],[TE_STARTING_KN]]/(PROPERTIES[[#This Row],[WEIGHT]]*9.81),0)</f>
        <v>7.0731656577003879E-2</v>
      </c>
      <c r="S538" s="29">
        <v>0.22</v>
      </c>
      <c r="T538" s="26">
        <f>ROUND(IF(IFERROR(PROPERTIES[[#This Row],[TE_COEFFICIENT_CALC]],0)=0,PROPERTIES[[#This Row],[TE_COEFFICIENT_MANUAL]],PROPERTIES[[#This Row],[TE_COEFFICIENT_CALC]]),3)</f>
        <v>7.0999999999999994E-2</v>
      </c>
      <c r="U538" s="11">
        <v>25</v>
      </c>
      <c r="V538" s="9">
        <v>100</v>
      </c>
      <c r="W538" s="9">
        <v>8</v>
      </c>
      <c r="X538" s="10">
        <v>0</v>
      </c>
      <c r="Y538" t="s">
        <v>908</v>
      </c>
      <c r="Z538" t="s">
        <v>903</v>
      </c>
      <c r="AA538" s="2" t="s">
        <v>921</v>
      </c>
      <c r="AB538" s="9" t="s">
        <v>999</v>
      </c>
      <c r="AC538" s="9" t="s">
        <v>1000</v>
      </c>
      <c r="AD538" s="10" t="str">
        <f>SUBSTITUTE(SUBSTITUTE(PROPERTIES[[#This Row],[PURCHASECOST_VALUE]], "PURCHASECOST_", ""), "_VALUE", "")</f>
        <v>EMU</v>
      </c>
      <c r="AE538" s="9" t="str" cm="1">
        <f t="array" ref="AE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8" s="2" t="b">
        <v>0</v>
      </c>
      <c r="AX538"/>
      <c r="AY538"/>
      <c r="AZ538"/>
    </row>
    <row r="539" spans="1:52">
      <c r="A539" s="2" t="s">
        <v>565</v>
      </c>
      <c r="B539">
        <v>1999</v>
      </c>
      <c r="C539">
        <v>1</v>
      </c>
      <c r="D539" t="s">
        <v>1830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 s="2" t="s">
        <v>23</v>
      </c>
      <c r="K539" s="39">
        <f>_xlfn.XLOOKUP("LOADINGSPEEDDEF_"&amp;PROPERTIES[[#This Row],[LOADINGSPEED]],LOADINGSPEEDDEF[TYPE],LOADINGSPEEDDEF[SPEED])</f>
        <v>40</v>
      </c>
      <c r="L539" t="s">
        <v>20</v>
      </c>
      <c r="M539">
        <v>1</v>
      </c>
      <c r="N539" s="33">
        <v>57</v>
      </c>
      <c r="O539">
        <v>1636</v>
      </c>
      <c r="P539">
        <v>160</v>
      </c>
      <c r="Q539" s="30">
        <v>0</v>
      </c>
      <c r="R539" s="29">
        <f>IFERROR(PROPERTIES[[#This Row],[TE_STARTING_KN]]/(PROPERTIES[[#This Row],[WEIGHT]]*9.81),0)</f>
        <v>0</v>
      </c>
      <c r="S539" s="29">
        <v>0.18</v>
      </c>
      <c r="T539" s="26">
        <f>ROUND(IF(IFERROR(PROPERTIES[[#This Row],[TE_COEFFICIENT_CALC]],0)=0,PROPERTIES[[#This Row],[TE_COEFFICIENT_MANUAL]],PROPERTIES[[#This Row],[TE_COEFFICIENT_CALC]]),3)</f>
        <v>0.18</v>
      </c>
      <c r="U539" s="11">
        <v>25</v>
      </c>
      <c r="V539" s="9">
        <f>184/2</f>
        <v>92</v>
      </c>
      <c r="W539" s="9">
        <v>8</v>
      </c>
      <c r="X539" s="10">
        <v>0</v>
      </c>
      <c r="Y539" t="s">
        <v>908</v>
      </c>
      <c r="Z539" t="s">
        <v>903</v>
      </c>
      <c r="AA539" s="2" t="s">
        <v>921</v>
      </c>
      <c r="AB539" s="9" t="s">
        <v>999</v>
      </c>
      <c r="AC539" s="9" t="s">
        <v>1000</v>
      </c>
      <c r="AD539" s="10" t="str">
        <f>SUBSTITUTE(SUBSTITUTE(PROPERTIES[[#This Row],[PURCHASECOST_VALUE]], "PURCHASECOST_", ""), "_VALUE", "")</f>
        <v>EMU</v>
      </c>
      <c r="AE539" s="9" t="str" cm="1">
        <f t="array" ref="AE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9" s="2" t="b">
        <v>0</v>
      </c>
      <c r="AX539"/>
      <c r="AY539"/>
      <c r="AZ539"/>
    </row>
    <row r="540" spans="1:52">
      <c r="A540" s="2" t="s">
        <v>566</v>
      </c>
      <c r="B540">
        <v>1988</v>
      </c>
      <c r="C540">
        <v>1</v>
      </c>
      <c r="D540" t="s">
        <v>1859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 s="2" t="s">
        <v>23</v>
      </c>
      <c r="K540" s="39">
        <f>_xlfn.XLOOKUP("LOADINGSPEEDDEF_"&amp;PROPERTIES[[#This Row],[LOADINGSPEED]],LOADINGSPEEDDEF[TYPE],LOADINGSPEEDDEF[SPEED])</f>
        <v>40</v>
      </c>
      <c r="L540" t="s">
        <v>20</v>
      </c>
      <c r="M540">
        <v>1</v>
      </c>
      <c r="N540" s="33">
        <v>66</v>
      </c>
      <c r="O540">
        <v>2040</v>
      </c>
      <c r="P540">
        <v>120</v>
      </c>
      <c r="Q540" s="30">
        <v>0</v>
      </c>
      <c r="R540" s="29">
        <f>IFERROR(PROPERTIES[[#This Row],[TE_STARTING_KN]]/(PROPERTIES[[#This Row],[WEIGHT]]*9.81),0)</f>
        <v>0</v>
      </c>
      <c r="S540" s="29">
        <v>0.11</v>
      </c>
      <c r="T540" s="26">
        <f>ROUND(IF(IFERROR(PROPERTIES[[#This Row],[TE_COEFFICIENT_CALC]],0)=0,PROPERTIES[[#This Row],[TE_COEFFICIENT_MANUAL]],PROPERTIES[[#This Row],[TE_COEFFICIENT_CALC]]),3)</f>
        <v>0.11</v>
      </c>
      <c r="U540" s="11">
        <v>25</v>
      </c>
      <c r="V540" s="9">
        <f>INT(344/4)</f>
        <v>86</v>
      </c>
      <c r="W540" s="9">
        <v>8</v>
      </c>
      <c r="X540" s="10">
        <v>0</v>
      </c>
      <c r="Y540" t="s">
        <v>910</v>
      </c>
      <c r="Z540" t="s">
        <v>903</v>
      </c>
      <c r="AA540" s="2" t="s">
        <v>921</v>
      </c>
      <c r="AB540" s="9" t="s">
        <v>999</v>
      </c>
      <c r="AC540" s="9" t="s">
        <v>1000</v>
      </c>
      <c r="AD540" s="10" t="str">
        <f>SUBSTITUTE(SUBSTITUTE(PROPERTIES[[#This Row],[PURCHASECOST_VALUE]], "PURCHASECOST_", ""), "_VALUE", "")</f>
        <v>EMU</v>
      </c>
      <c r="AE540" s="9" t="str" cm="1">
        <f t="array" ref="AE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0" s="2" t="b">
        <v>0</v>
      </c>
      <c r="AX540"/>
      <c r="AY540"/>
      <c r="AZ540"/>
    </row>
    <row r="541" spans="1:52">
      <c r="A541" s="2" t="s">
        <v>567</v>
      </c>
      <c r="B541">
        <v>2030</v>
      </c>
      <c r="C541">
        <v>1</v>
      </c>
      <c r="D541" t="s">
        <v>2010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 s="2" t="s">
        <v>478</v>
      </c>
      <c r="K541" s="39">
        <f>_xlfn.XLOOKUP("LOADINGSPEEDDEF_"&amp;PROPERTIES[[#This Row],[LOADINGSPEED]],LOADINGSPEEDDEF[TYPE],LOADINGSPEEDDEF[SPEED])</f>
        <v>16</v>
      </c>
      <c r="L541" t="s">
        <v>20</v>
      </c>
      <c r="M541">
        <v>1</v>
      </c>
      <c r="N541" s="33">
        <v>50</v>
      </c>
      <c r="O541">
        <v>16000</v>
      </c>
      <c r="P541">
        <v>300</v>
      </c>
      <c r="Q541" s="30">
        <v>0</v>
      </c>
      <c r="R541" s="29">
        <f>IFERROR(PROPERTIES[[#This Row],[TE_STARTING_KN]]/(PROPERTIES[[#This Row],[WEIGHT]]*9.81),0)</f>
        <v>0</v>
      </c>
      <c r="S541" s="29">
        <v>0.22</v>
      </c>
      <c r="T541" s="26">
        <f>ROUND(IF(IFERROR(PROPERTIES[[#This Row],[TE_COEFFICIENT_CALC]],0)=0,PROPERTIES[[#This Row],[TE_COEFFICIENT_MANUAL]],PROPERTIES[[#This Row],[TE_COEFFICIENT_CALC]]),3)</f>
        <v>0.22</v>
      </c>
      <c r="U541" s="11">
        <v>25</v>
      </c>
      <c r="V541" s="9">
        <v>85</v>
      </c>
      <c r="W541" s="9">
        <v>8</v>
      </c>
      <c r="X541" s="10">
        <v>0</v>
      </c>
      <c r="Y541" t="s">
        <v>913</v>
      </c>
      <c r="Z541" t="s">
        <v>903</v>
      </c>
      <c r="AA541" s="2" t="s">
        <v>922</v>
      </c>
      <c r="AB541" s="9" t="s">
        <v>999</v>
      </c>
      <c r="AC541" s="9" t="s">
        <v>1000</v>
      </c>
      <c r="AD541" s="10" t="str">
        <f>SUBSTITUTE(SUBSTITUTE(PROPERTIES[[#This Row],[PURCHASECOST_VALUE]], "PURCHASECOST_", ""), "_VALUE", "")</f>
        <v>EMU</v>
      </c>
      <c r="AE541" s="9" t="str" cm="1">
        <f t="array" ref="AE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1" s="2" t="b">
        <v>0</v>
      </c>
      <c r="AX541"/>
      <c r="AY541"/>
      <c r="AZ541"/>
    </row>
    <row r="542" spans="1:52">
      <c r="A542" s="2" t="s">
        <v>568</v>
      </c>
      <c r="B542">
        <v>1964</v>
      </c>
      <c r="C542">
        <v>1</v>
      </c>
      <c r="D542" t="s">
        <v>1873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 s="2" t="s">
        <v>478</v>
      </c>
      <c r="K542" s="39">
        <f>_xlfn.XLOOKUP("LOADINGSPEEDDEF_"&amp;PROPERTIES[[#This Row],[LOADINGSPEED]],LOADINGSPEEDDEF[TYPE],LOADINGSPEEDDEF[SPEED])</f>
        <v>16</v>
      </c>
      <c r="L542">
        <v>45</v>
      </c>
      <c r="M542">
        <v>1</v>
      </c>
      <c r="N542" s="33">
        <v>59</v>
      </c>
      <c r="O542">
        <f>992*2</f>
        <v>1984</v>
      </c>
      <c r="P542">
        <v>210</v>
      </c>
      <c r="Q542" s="30">
        <v>65</v>
      </c>
      <c r="R542" s="29">
        <f>IFERROR(PROPERTIES[[#This Row],[TE_STARTING_KN]]/(PROPERTIES[[#This Row],[WEIGHT]]*9.81),0)</f>
        <v>0.1123032533388621</v>
      </c>
      <c r="S542" s="29">
        <v>0.3</v>
      </c>
      <c r="T542" s="26">
        <f>ROUND(IF(IFERROR(PROPERTIES[[#This Row],[TE_COEFFICIENT_CALC]],0)=0,PROPERTIES[[#This Row],[TE_COEFFICIENT_MANUAL]],PROPERTIES[[#This Row],[TE_COEFFICIENT_CALC]]),3)</f>
        <v>0.112</v>
      </c>
      <c r="U542" s="11">
        <v>44</v>
      </c>
      <c r="V542" s="9">
        <v>100</v>
      </c>
      <c r="W542" s="9">
        <v>8</v>
      </c>
      <c r="X542" s="10">
        <v>0</v>
      </c>
      <c r="Y542" t="s">
        <v>912</v>
      </c>
      <c r="Z542" t="s">
        <v>903</v>
      </c>
      <c r="AA542" s="2" t="s">
        <v>921</v>
      </c>
      <c r="AB542" s="9" t="s">
        <v>999</v>
      </c>
      <c r="AC542" s="9" t="s">
        <v>1000</v>
      </c>
      <c r="AD542" s="10" t="str">
        <f>SUBSTITUTE(SUBSTITUTE(PROPERTIES[[#This Row],[PURCHASECOST_VALUE]], "PURCHASECOST_", ""), "_VALUE", "")</f>
        <v>EMU</v>
      </c>
      <c r="AE542" s="9" t="str" cm="1">
        <f t="array" ref="AE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2" s="2" t="b">
        <v>0</v>
      </c>
      <c r="AX542"/>
      <c r="AY542"/>
      <c r="AZ542"/>
    </row>
    <row r="543" spans="1:52">
      <c r="A543" s="2" t="s">
        <v>569</v>
      </c>
      <c r="B543">
        <v>1997</v>
      </c>
      <c r="C543">
        <v>1</v>
      </c>
      <c r="D543" t="s">
        <v>1873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 s="2" t="s">
        <v>478</v>
      </c>
      <c r="K543" s="39">
        <f>_xlfn.XLOOKUP("LOADINGSPEEDDEF_"&amp;PROPERTIES[[#This Row],[LOADINGSPEED]],LOADINGSPEEDDEF[TYPE],LOADINGSPEEDDEF[SPEED])</f>
        <v>16</v>
      </c>
      <c r="L543" t="s">
        <v>20</v>
      </c>
      <c r="M543">
        <v>1</v>
      </c>
      <c r="N543" s="33">
        <v>45</v>
      </c>
      <c r="O543">
        <f>905*2</f>
        <v>1810</v>
      </c>
      <c r="P543">
        <v>270</v>
      </c>
      <c r="Q543" s="30">
        <v>60</v>
      </c>
      <c r="R543" s="29">
        <f>IFERROR(PROPERTIES[[#This Row],[TE_STARTING_KN]]/(PROPERTIES[[#This Row],[WEIGHT]]*9.81),0)</f>
        <v>0.13591573224600745</v>
      </c>
      <c r="S543" s="29">
        <v>0.56000000000000005</v>
      </c>
      <c r="T543" s="26">
        <f>ROUND(IF(IFERROR(PROPERTIES[[#This Row],[TE_COEFFICIENT_CALC]],0)=0,PROPERTIES[[#This Row],[TE_COEFFICIENT_MANUAL]],PROPERTIES[[#This Row],[TE_COEFFICIENT_CALC]]),3)</f>
        <v>0.13600000000000001</v>
      </c>
      <c r="U543" s="11">
        <v>25</v>
      </c>
      <c r="V543" s="9">
        <v>100</v>
      </c>
      <c r="W543" s="9">
        <v>8</v>
      </c>
      <c r="X543" s="10">
        <v>0</v>
      </c>
      <c r="Y543" t="s">
        <v>912</v>
      </c>
      <c r="Z543" t="s">
        <v>903</v>
      </c>
      <c r="AA543" s="2" t="s">
        <v>921</v>
      </c>
      <c r="AB543" s="9" t="s">
        <v>999</v>
      </c>
      <c r="AC543" s="9" t="s">
        <v>1000</v>
      </c>
      <c r="AD543" s="10" t="str">
        <f>SUBSTITUTE(SUBSTITUTE(PROPERTIES[[#This Row],[PURCHASECOST_VALUE]], "PURCHASECOST_", ""), "_VALUE", "")</f>
        <v>EMU</v>
      </c>
      <c r="AE543" s="9" t="str" cm="1">
        <f t="array" ref="AE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3" s="2" t="b">
        <v>0</v>
      </c>
      <c r="AX543"/>
      <c r="AY543"/>
      <c r="AZ543"/>
    </row>
    <row r="544" spans="1:52">
      <c r="A544" s="2" t="s">
        <v>570</v>
      </c>
      <c r="B544">
        <v>1994</v>
      </c>
      <c r="C544">
        <v>1</v>
      </c>
      <c r="D544" t="s">
        <v>1873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 s="2" t="s">
        <v>23</v>
      </c>
      <c r="K544" s="39">
        <f>_xlfn.XLOOKUP("LOADINGSPEEDDEF_"&amp;PROPERTIES[[#This Row],[LOADINGSPEED]],LOADINGSPEEDDEF[TYPE],LOADINGSPEEDDEF[SPEED])</f>
        <v>40</v>
      </c>
      <c r="L544">
        <v>45</v>
      </c>
      <c r="M544">
        <v>1</v>
      </c>
      <c r="N544" s="33">
        <v>59.2</v>
      </c>
      <c r="O544">
        <f>1395*2</f>
        <v>2790</v>
      </c>
      <c r="P544">
        <v>240</v>
      </c>
      <c r="Q544" s="30">
        <v>80</v>
      </c>
      <c r="R544" s="29">
        <f>IFERROR(PROPERTIES[[#This Row],[TE_STARTING_KN]]/(PROPERTIES[[#This Row],[WEIGHT]]*9.81),0)</f>
        <v>0.13775243133041296</v>
      </c>
      <c r="S544" s="29">
        <v>0.3</v>
      </c>
      <c r="T544" s="26">
        <f>ROUND(IF(IFERROR(PROPERTIES[[#This Row],[TE_COEFFICIENT_CALC]],0)=0,PROPERTIES[[#This Row],[TE_COEFFICIENT_MANUAL]],PROPERTIES[[#This Row],[TE_COEFFICIENT_CALC]]),3)</f>
        <v>0.13800000000000001</v>
      </c>
      <c r="U544" s="11">
        <v>40</v>
      </c>
      <c r="V544" s="9">
        <v>103</v>
      </c>
      <c r="W544" s="9">
        <v>8</v>
      </c>
      <c r="X544" s="10">
        <v>0</v>
      </c>
      <c r="Y544" t="s">
        <v>912</v>
      </c>
      <c r="Z544" t="s">
        <v>903</v>
      </c>
      <c r="AA544" s="2" t="s">
        <v>921</v>
      </c>
      <c r="AB544" s="9" t="s">
        <v>999</v>
      </c>
      <c r="AC544" s="9" t="s">
        <v>1000</v>
      </c>
      <c r="AD544" s="10" t="str">
        <f>SUBSTITUTE(SUBSTITUTE(PROPERTIES[[#This Row],[PURCHASECOST_VALUE]], "PURCHASECOST_", ""), "_VALUE", "")</f>
        <v>EMU</v>
      </c>
      <c r="AE544" s="9" t="str" cm="1">
        <f t="array" ref="AE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4" s="2" t="b">
        <v>0</v>
      </c>
      <c r="AX544"/>
      <c r="AY544"/>
      <c r="AZ544"/>
    </row>
    <row r="545" spans="1:52">
      <c r="A545" s="2" t="s">
        <v>571</v>
      </c>
      <c r="B545">
        <v>1999</v>
      </c>
      <c r="C545">
        <v>1</v>
      </c>
      <c r="D545" t="s">
        <v>1893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 s="2" t="s">
        <v>23</v>
      </c>
      <c r="K545" s="39">
        <f>_xlfn.XLOOKUP("LOADINGSPEEDDEF_"&amp;PROPERTIES[[#This Row],[LOADINGSPEED]],LOADINGSPEEDDEF[TYPE],LOADINGSPEEDDEF[SPEED])</f>
        <v>40</v>
      </c>
      <c r="L545" t="s">
        <v>20</v>
      </c>
      <c r="M545">
        <v>1</v>
      </c>
      <c r="N545" s="33">
        <v>64</v>
      </c>
      <c r="O545">
        <v>3410</v>
      </c>
      <c r="P545">
        <v>160</v>
      </c>
      <c r="Q545" s="30">
        <f>240/2</f>
        <v>120</v>
      </c>
      <c r="R545" s="29">
        <f>IFERROR(PROPERTIES[[#This Row],[TE_STARTING_KN]]/(PROPERTIES[[#This Row],[WEIGHT]]*9.81),0)</f>
        <v>0.19113149847094801</v>
      </c>
      <c r="S545" s="29">
        <v>0.26</v>
      </c>
      <c r="T545" s="26">
        <f>ROUND(IF(IFERROR(PROPERTIES[[#This Row],[TE_COEFFICIENT_CALC]],0)=0,PROPERTIES[[#This Row],[TE_COEFFICIENT_MANUAL]],PROPERTIES[[#This Row],[TE_COEFFICIENT_CALC]]),3)</f>
        <v>0.191</v>
      </c>
      <c r="U545" s="11">
        <v>25</v>
      </c>
      <c r="V545" s="9">
        <v>111</v>
      </c>
      <c r="W545" s="9">
        <v>8</v>
      </c>
      <c r="X545" s="10">
        <v>0</v>
      </c>
      <c r="Y545" t="s">
        <v>904</v>
      </c>
      <c r="Z545" t="s">
        <v>903</v>
      </c>
      <c r="AA545" s="2" t="s">
        <v>921</v>
      </c>
      <c r="AB545" s="9" t="s">
        <v>999</v>
      </c>
      <c r="AC545" s="9" t="s">
        <v>1000</v>
      </c>
      <c r="AD545" s="10" t="str">
        <f>SUBSTITUTE(SUBSTITUTE(PROPERTIES[[#This Row],[PURCHASECOST_VALUE]], "PURCHASECOST_", ""), "_VALUE", "")</f>
        <v>EMU</v>
      </c>
      <c r="AE545" s="9" t="str" cm="1">
        <f t="array" ref="AE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5" s="2" t="b">
        <v>0</v>
      </c>
      <c r="AX545"/>
      <c r="AY545"/>
      <c r="AZ545"/>
    </row>
    <row r="546" spans="1:52">
      <c r="A546" s="2" t="s">
        <v>572</v>
      </c>
      <c r="B546">
        <v>1980</v>
      </c>
      <c r="C546">
        <v>1</v>
      </c>
      <c r="D546" t="s">
        <v>1903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 s="2" t="s">
        <v>23</v>
      </c>
      <c r="K546" s="39">
        <f>_xlfn.XLOOKUP("LOADINGSPEEDDEF_"&amp;PROPERTIES[[#This Row],[LOADINGSPEED]],LOADINGSPEEDDEF[TYPE],LOADINGSPEEDDEF[SPEED])</f>
        <v>40</v>
      </c>
      <c r="L546">
        <v>45</v>
      </c>
      <c r="M546">
        <v>1</v>
      </c>
      <c r="N546" s="33">
        <v>55</v>
      </c>
      <c r="O546">
        <v>340</v>
      </c>
      <c r="P546">
        <v>120</v>
      </c>
      <c r="Q546" s="30">
        <v>0</v>
      </c>
      <c r="R546" s="29">
        <f>IFERROR(PROPERTIES[[#This Row],[TE_STARTING_KN]]/(PROPERTIES[[#This Row],[WEIGHT]]*9.81),0)</f>
        <v>0</v>
      </c>
      <c r="S546" s="29">
        <v>0.15</v>
      </c>
      <c r="T546" s="26">
        <f>ROUND(IF(IFERROR(PROPERTIES[[#This Row],[TE_COEFFICIENT_CALC]],0)=0,PROPERTIES[[#This Row],[TE_COEFFICIENT_MANUAL]],PROPERTIES[[#This Row],[TE_COEFFICIENT_CALC]]),3)</f>
        <v>0.15</v>
      </c>
      <c r="U546" s="11">
        <v>25</v>
      </c>
      <c r="V546" s="9">
        <v>68</v>
      </c>
      <c r="W546" s="9">
        <v>8</v>
      </c>
      <c r="X546" s="10">
        <v>0</v>
      </c>
      <c r="Y546" t="s">
        <v>905</v>
      </c>
      <c r="Z546" t="s">
        <v>903</v>
      </c>
      <c r="AA546" s="2" t="s">
        <v>921</v>
      </c>
      <c r="AB546" s="9" t="s">
        <v>999</v>
      </c>
      <c r="AC546" s="9" t="s">
        <v>1000</v>
      </c>
      <c r="AD546" s="10" t="str">
        <f>SUBSTITUTE(SUBSTITUTE(PROPERTIES[[#This Row],[PURCHASECOST_VALUE]], "PURCHASECOST_", ""), "_VALUE", "")</f>
        <v>EMU</v>
      </c>
      <c r="AE546" s="9" t="str" cm="1">
        <f t="array" ref="AE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6" s="2" t="b">
        <v>0</v>
      </c>
      <c r="AX546"/>
      <c r="AY546"/>
      <c r="AZ546"/>
    </row>
    <row r="547" spans="1:52">
      <c r="A547" s="2" t="s">
        <v>573</v>
      </c>
      <c r="B547">
        <v>1965</v>
      </c>
      <c r="C547">
        <v>1</v>
      </c>
      <c r="D547" t="s">
        <v>1948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 s="2" t="s">
        <v>23</v>
      </c>
      <c r="K547" s="39">
        <f>_xlfn.XLOOKUP("LOADINGSPEEDDEF_"&amp;PROPERTIES[[#This Row],[LOADINGSPEED]],LOADINGSPEEDDEF[TYPE],LOADINGSPEEDDEF[SPEED])</f>
        <v>40</v>
      </c>
      <c r="L547">
        <v>45</v>
      </c>
      <c r="M547">
        <v>1</v>
      </c>
      <c r="N547" s="33">
        <v>35</v>
      </c>
      <c r="O547">
        <v>824</v>
      </c>
      <c r="P547">
        <v>120</v>
      </c>
      <c r="Q547" s="30">
        <v>73.5</v>
      </c>
      <c r="R547" s="29">
        <f>IFERROR(PROPERTIES[[#This Row],[TE_STARTING_KN]]/(PROPERTIES[[#This Row],[WEIGHT]]*9.81),0)</f>
        <v>0.21406727828746175</v>
      </c>
      <c r="S547" s="29">
        <v>0.42</v>
      </c>
      <c r="T547" s="26">
        <f>ROUND(IF(IFERROR(PROPERTIES[[#This Row],[TE_COEFFICIENT_CALC]],0)=0,PROPERTIES[[#This Row],[TE_COEFFICIENT_MANUAL]],PROPERTIES[[#This Row],[TE_COEFFICIENT_CALC]]),3)</f>
        <v>0.214</v>
      </c>
      <c r="U547" s="11">
        <v>40</v>
      </c>
      <c r="V547" s="9">
        <f>INT(273/4)</f>
        <v>68</v>
      </c>
      <c r="W547" s="9">
        <v>8</v>
      </c>
      <c r="X547" s="10">
        <v>0</v>
      </c>
      <c r="Y547" t="s">
        <v>910</v>
      </c>
      <c r="Z547" t="s">
        <v>903</v>
      </c>
      <c r="AA547" s="2" t="s">
        <v>921</v>
      </c>
      <c r="AB547" s="9" t="s">
        <v>999</v>
      </c>
      <c r="AC547" s="9" t="s">
        <v>1000</v>
      </c>
      <c r="AD547" s="10" t="str">
        <f>SUBSTITUTE(SUBSTITUTE(PROPERTIES[[#This Row],[PURCHASECOST_VALUE]], "PURCHASECOST_", ""), "_VALUE", "")</f>
        <v>EMU</v>
      </c>
      <c r="AE547" s="9" t="str" cm="1">
        <f t="array" ref="AE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7" s="2" t="b">
        <v>0</v>
      </c>
      <c r="AX547"/>
      <c r="AY547"/>
      <c r="AZ547"/>
    </row>
    <row r="548" spans="1:52">
      <c r="A548" s="2" t="s">
        <v>574</v>
      </c>
      <c r="B548">
        <v>2010</v>
      </c>
      <c r="C548">
        <v>1</v>
      </c>
      <c r="D548" t="s">
        <v>2006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 s="2" t="s">
        <v>478</v>
      </c>
      <c r="K548" s="39">
        <f>_xlfn.XLOOKUP("LOADINGSPEEDDEF_"&amp;PROPERTIES[[#This Row],[LOADINGSPEED]],LOADINGSPEEDDEF[TYPE],LOADINGSPEEDDEF[SPEED])</f>
        <v>16</v>
      </c>
      <c r="L548" t="s">
        <v>20</v>
      </c>
      <c r="M548">
        <v>1</v>
      </c>
      <c r="N548" s="33">
        <v>42</v>
      </c>
      <c r="O548">
        <v>2253</v>
      </c>
      <c r="P548">
        <v>160</v>
      </c>
      <c r="Q548" s="30">
        <f>150/2</f>
        <v>75</v>
      </c>
      <c r="R548" s="29">
        <f>IFERROR(PROPERTIES[[#This Row],[TE_STARTING_KN]]/(PROPERTIES[[#This Row],[WEIGHT]]*9.81),0)</f>
        <v>0.18202999854376001</v>
      </c>
      <c r="S548" s="29">
        <v>0.3</v>
      </c>
      <c r="T548" s="26">
        <f>ROUND(IF(IFERROR(PROPERTIES[[#This Row],[TE_COEFFICIENT_CALC]],0)=0,PROPERTIES[[#This Row],[TE_COEFFICIENT_MANUAL]],PROPERTIES[[#This Row],[TE_COEFFICIENT_CALC]]),3)</f>
        <v>0.182</v>
      </c>
      <c r="U548" s="11">
        <v>25</v>
      </c>
      <c r="V548" s="9">
        <v>64</v>
      </c>
      <c r="W548" s="9">
        <v>8</v>
      </c>
      <c r="X548" s="10">
        <v>0</v>
      </c>
      <c r="Y548" t="s">
        <v>907</v>
      </c>
      <c r="Z548" t="s">
        <v>903</v>
      </c>
      <c r="AA548" s="2" t="s">
        <v>921</v>
      </c>
      <c r="AB548" s="9" t="s">
        <v>999</v>
      </c>
      <c r="AC548" s="9" t="s">
        <v>1000</v>
      </c>
      <c r="AD548" s="10" t="str">
        <f>SUBSTITUTE(SUBSTITUTE(PROPERTIES[[#This Row],[PURCHASECOST_VALUE]], "PURCHASECOST_", ""), "_VALUE", "")</f>
        <v>EMU</v>
      </c>
      <c r="AE548" s="9" t="str" cm="1">
        <f t="array" ref="AE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8" s="2" t="b">
        <v>0</v>
      </c>
      <c r="AX548"/>
      <c r="AY548"/>
      <c r="AZ548"/>
    </row>
    <row r="549" spans="1:52">
      <c r="A549" s="2" t="s">
        <v>575</v>
      </c>
      <c r="B549">
        <v>1955</v>
      </c>
      <c r="C549">
        <v>1</v>
      </c>
      <c r="D549" t="s">
        <v>2263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 s="2" t="s">
        <v>23</v>
      </c>
      <c r="K549" s="39">
        <f>_xlfn.XLOOKUP("LOADINGSPEEDDEF_"&amp;PROPERTIES[[#This Row],[LOADINGSPEED]],LOADINGSPEEDDEF[TYPE],LOADINGSPEEDDEF[SPEED])</f>
        <v>40</v>
      </c>
      <c r="L549">
        <v>45</v>
      </c>
      <c r="M549">
        <v>1</v>
      </c>
      <c r="N549" s="33">
        <v>40</v>
      </c>
      <c r="O549">
        <v>1100</v>
      </c>
      <c r="P549">
        <v>90</v>
      </c>
      <c r="Q549" s="30">
        <f>140/2</f>
        <v>70</v>
      </c>
      <c r="R549" s="29">
        <f>IFERROR(PROPERTIES[[#This Row],[TE_STARTING_KN]]/(PROPERTIES[[#This Row],[WEIGHT]]*9.81),0)</f>
        <v>0.1783893985728848</v>
      </c>
      <c r="S549" s="29">
        <v>0.2</v>
      </c>
      <c r="T549" s="26">
        <f>ROUND(IF(IFERROR(PROPERTIES[[#This Row],[TE_COEFFICIENT_CALC]],0)=0,PROPERTIES[[#This Row],[TE_COEFFICIENT_MANUAL]],PROPERTIES[[#This Row],[TE_COEFFICIENT_CALC]]),3)</f>
        <v>0.17799999999999999</v>
      </c>
      <c r="U549" s="11">
        <v>25</v>
      </c>
      <c r="V549" s="9">
        <v>81</v>
      </c>
      <c r="W549" s="9">
        <v>8</v>
      </c>
      <c r="X549" s="10">
        <v>0</v>
      </c>
      <c r="Y549" t="s">
        <v>912</v>
      </c>
      <c r="Z549" t="s">
        <v>903</v>
      </c>
      <c r="AA549" s="2" t="s">
        <v>921</v>
      </c>
      <c r="AB549" s="9" t="s">
        <v>999</v>
      </c>
      <c r="AC549" s="9" t="s">
        <v>1000</v>
      </c>
      <c r="AD549" s="10" t="str">
        <f>SUBSTITUTE(SUBSTITUTE(PROPERTIES[[#This Row],[PURCHASECOST_VALUE]], "PURCHASECOST_", ""), "_VALUE", "")</f>
        <v>EMU</v>
      </c>
      <c r="AE549" s="9" t="str" cm="1">
        <f t="array" ref="AE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9" s="2" t="b">
        <v>0</v>
      </c>
      <c r="AX549"/>
      <c r="AY549"/>
      <c r="AZ549"/>
    </row>
    <row r="550" spans="1:52">
      <c r="A550" s="2" t="s">
        <v>576</v>
      </c>
      <c r="B550">
        <v>2010</v>
      </c>
      <c r="C550">
        <v>1</v>
      </c>
      <c r="D550" t="s">
        <v>1808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 s="2" t="s">
        <v>23</v>
      </c>
      <c r="K550" s="39">
        <f>_xlfn.XLOOKUP("LOADINGSPEEDDEF_"&amp;PROPERTIES[[#This Row],[LOADINGSPEED]],LOADINGSPEEDDEF[TYPE],LOADINGSPEEDDEF[SPEED])</f>
        <v>40</v>
      </c>
      <c r="L550" t="s">
        <v>20</v>
      </c>
      <c r="M550">
        <v>1</v>
      </c>
      <c r="N550" s="33">
        <v>48</v>
      </c>
      <c r="O550">
        <f>12840/8*2</f>
        <v>3210</v>
      </c>
      <c r="P550">
        <v>350</v>
      </c>
      <c r="Q550" s="30">
        <v>60</v>
      </c>
      <c r="R550" s="29">
        <f>IFERROR(PROPERTIES[[#This Row],[TE_STARTING_KN]]/(PROPERTIES[[#This Row],[WEIGHT]]*9.81),0)</f>
        <v>0.127420998980632</v>
      </c>
      <c r="S550" s="29">
        <v>0.14000000000000001</v>
      </c>
      <c r="T550" s="26">
        <f>ROUND(IF(IFERROR(PROPERTIES[[#This Row],[TE_COEFFICIENT_CALC]],0)=0,PROPERTIES[[#This Row],[TE_COEFFICIENT_MANUAL]],PROPERTIES[[#This Row],[TE_COEFFICIENT_CALC]]),3)</f>
        <v>0.127</v>
      </c>
      <c r="U550" s="11">
        <v>25</v>
      </c>
      <c r="V550" s="9">
        <v>70</v>
      </c>
      <c r="W550" s="9">
        <v>8</v>
      </c>
      <c r="X550" s="10">
        <v>0</v>
      </c>
      <c r="Y550" t="s">
        <v>912</v>
      </c>
      <c r="Z550" t="s">
        <v>903</v>
      </c>
      <c r="AA550" s="2" t="s">
        <v>921</v>
      </c>
      <c r="AB550" s="9" t="s">
        <v>999</v>
      </c>
      <c r="AC550" s="9" t="s">
        <v>1000</v>
      </c>
      <c r="AD550" s="10" t="str">
        <f>SUBSTITUTE(SUBSTITUTE(PROPERTIES[[#This Row],[PURCHASECOST_VALUE]], "PURCHASECOST_", ""), "_VALUE", "")</f>
        <v>EMU</v>
      </c>
      <c r="AE550" s="9" t="str" cm="1">
        <f t="array" ref="AE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0" s="2" t="b">
        <v>0</v>
      </c>
      <c r="AX550"/>
      <c r="AY550"/>
      <c r="AZ550"/>
    </row>
    <row r="551" spans="1:52">
      <c r="A551" s="2" t="s">
        <v>577</v>
      </c>
      <c r="B551">
        <v>1908</v>
      </c>
      <c r="C551">
        <v>1</v>
      </c>
      <c r="D551" t="s">
        <v>1992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 s="2" t="s">
        <v>23</v>
      </c>
      <c r="K551" s="39">
        <f>_xlfn.XLOOKUP("LOADINGSPEEDDEF_"&amp;PROPERTIES[[#This Row],[LOADINGSPEED]],LOADINGSPEEDDEF[TYPE],LOADINGSPEEDDEF[SPEED])</f>
        <v>40</v>
      </c>
      <c r="L551">
        <v>45</v>
      </c>
      <c r="M551">
        <v>1</v>
      </c>
      <c r="N551" s="33">
        <v>54</v>
      </c>
      <c r="O551">
        <v>450</v>
      </c>
      <c r="P551">
        <v>105</v>
      </c>
      <c r="Q551" s="30">
        <v>80</v>
      </c>
      <c r="R551" s="29">
        <f>IFERROR(PROPERTIES[[#This Row],[TE_STARTING_KN]]/(PROPERTIES[[#This Row],[WEIGHT]]*9.81),0)</f>
        <v>0.15101748027334164</v>
      </c>
      <c r="S551" s="29">
        <v>0.22</v>
      </c>
      <c r="T551" s="26">
        <f>ROUND(IF(IFERROR(PROPERTIES[[#This Row],[TE_COEFFICIENT_CALC]],0)=0,PROPERTIES[[#This Row],[TE_COEFFICIENT_MANUAL]],PROPERTIES[[#This Row],[TE_COEFFICIENT_CALC]]),3)</f>
        <v>0.151</v>
      </c>
      <c r="U551" s="11">
        <v>25</v>
      </c>
      <c r="V551" s="9">
        <v>72</v>
      </c>
      <c r="W551" s="9">
        <v>8</v>
      </c>
      <c r="X551" s="10">
        <v>0</v>
      </c>
      <c r="Y551" t="s">
        <v>909</v>
      </c>
      <c r="Z551" t="s">
        <v>903</v>
      </c>
      <c r="AA551" s="2" t="s">
        <v>921</v>
      </c>
      <c r="AB551" s="9" t="s">
        <v>987</v>
      </c>
      <c r="AC551" s="9" t="s">
        <v>988</v>
      </c>
      <c r="AD551" s="10" t="str">
        <f>SUBSTITUTE(SUBSTITUTE(PROPERTIES[[#This Row],[PURCHASECOST_VALUE]], "PURCHASECOST_", ""), "_VALUE", "")</f>
        <v>ELECTRICRAILBUS</v>
      </c>
      <c r="AE551" s="9" t="str" cm="1">
        <f t="array" ref="AE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1" s="2" t="b">
        <v>0</v>
      </c>
      <c r="AX551"/>
      <c r="AY551"/>
      <c r="AZ551"/>
    </row>
    <row r="552" spans="1:52">
      <c r="A552" s="2" t="s">
        <v>578</v>
      </c>
      <c r="B552">
        <v>2011</v>
      </c>
      <c r="C552">
        <v>1</v>
      </c>
      <c r="D552" t="s">
        <v>1869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 s="2" t="s">
        <v>478</v>
      </c>
      <c r="K552" s="39">
        <f>_xlfn.XLOOKUP("LOADINGSPEEDDEF_"&amp;PROPERTIES[[#This Row],[LOADINGSPEED]],LOADINGSPEEDDEF[TYPE],LOADINGSPEEDDEF[SPEED])</f>
        <v>16</v>
      </c>
      <c r="L552" t="s">
        <v>20</v>
      </c>
      <c r="M552">
        <v>1</v>
      </c>
      <c r="N552" s="33">
        <f>272/7</f>
        <v>38.857142857142854</v>
      </c>
      <c r="O552">
        <f>1020*2</f>
        <v>2040</v>
      </c>
      <c r="P552">
        <v>360</v>
      </c>
      <c r="Q552" s="30">
        <v>30</v>
      </c>
      <c r="R552" s="29">
        <f>IFERROR(PROPERTIES[[#This Row],[TE_STARTING_KN]]/(PROPERTIES[[#This Row],[WEIGHT]]*9.81),0)</f>
        <v>7.8701205252743295E-2</v>
      </c>
      <c r="S552" s="29">
        <v>0.9</v>
      </c>
      <c r="T552" s="26">
        <f>ROUND(IF(IFERROR(PROPERTIES[[#This Row],[TE_COEFFICIENT_CALC]],0)=0,PROPERTIES[[#This Row],[TE_COEFFICIENT_MANUAL]],PROPERTIES[[#This Row],[TE_COEFFICIENT_CALC]]),3)</f>
        <v>7.9000000000000001E-2</v>
      </c>
      <c r="U552" s="11">
        <v>25</v>
      </c>
      <c r="V552" s="9">
        <v>42</v>
      </c>
      <c r="W552" s="9">
        <v>7</v>
      </c>
      <c r="X552" s="10">
        <v>0</v>
      </c>
      <c r="Y552" t="s">
        <v>905</v>
      </c>
      <c r="Z552" t="s">
        <v>903</v>
      </c>
      <c r="AA552" s="2" t="s">
        <v>921</v>
      </c>
      <c r="AB552" s="9" t="s">
        <v>999</v>
      </c>
      <c r="AC552" s="9" t="s">
        <v>1000</v>
      </c>
      <c r="AD552" s="10" t="str">
        <f>SUBSTITUTE(SUBSTITUTE(PROPERTIES[[#This Row],[PURCHASECOST_VALUE]], "PURCHASECOST_", ""), "_VALUE", "")</f>
        <v>EMU</v>
      </c>
      <c r="AE552" s="9" t="str" cm="1">
        <f t="array" ref="AE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2" s="2" t="b">
        <v>0</v>
      </c>
      <c r="AX552"/>
      <c r="AY552"/>
      <c r="AZ552"/>
    </row>
    <row r="553" spans="1:52">
      <c r="A553" s="2" t="s">
        <v>579</v>
      </c>
      <c r="B553">
        <v>2015</v>
      </c>
      <c r="C553">
        <v>1</v>
      </c>
      <c r="D553" t="s">
        <v>1869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 s="2" t="s">
        <v>478</v>
      </c>
      <c r="K553" s="39">
        <f>_xlfn.XLOOKUP("LOADINGSPEEDDEF_"&amp;PROPERTIES[[#This Row],[LOADINGSPEED]],LOADINGSPEEDDEF[TYPE],LOADINGSPEEDDEF[SPEED])</f>
        <v>16</v>
      </c>
      <c r="L553" t="s">
        <v>20</v>
      </c>
      <c r="M553">
        <v>1</v>
      </c>
      <c r="N553" s="33">
        <v>44</v>
      </c>
      <c r="O553">
        <f>INT(9000*1.38/8)*2</f>
        <v>3104</v>
      </c>
      <c r="P553">
        <v>360</v>
      </c>
      <c r="Q553" s="30">
        <v>200</v>
      </c>
      <c r="R553" s="29">
        <f>IFERROR(PROPERTIES[[#This Row],[TE_STARTING_KN]]/(PROPERTIES[[#This Row],[WEIGHT]]*9.81),0)</f>
        <v>0.46334908720229817</v>
      </c>
      <c r="S553" s="29">
        <v>0.83</v>
      </c>
      <c r="T553" s="26">
        <f>ROUND(IF(IFERROR(PROPERTIES[[#This Row],[TE_COEFFICIENT_CALC]],0)=0,PROPERTIES[[#This Row],[TE_COEFFICIENT_MANUAL]],PROPERTIES[[#This Row],[TE_COEFFICIENT_CALC]]),3)</f>
        <v>0.46300000000000002</v>
      </c>
      <c r="U553" s="11">
        <v>25</v>
      </c>
      <c r="V553" s="9">
        <v>100</v>
      </c>
      <c r="W553" s="9">
        <v>7</v>
      </c>
      <c r="X553" s="10">
        <v>0</v>
      </c>
      <c r="Y553" t="s">
        <v>905</v>
      </c>
      <c r="Z553" t="s">
        <v>903</v>
      </c>
      <c r="AA553" s="2" t="s">
        <v>921</v>
      </c>
      <c r="AB553" s="9" t="s">
        <v>999</v>
      </c>
      <c r="AC553" s="9" t="s">
        <v>1000</v>
      </c>
      <c r="AD553" s="10" t="str">
        <f>SUBSTITUTE(SUBSTITUTE(PROPERTIES[[#This Row],[PURCHASECOST_VALUE]], "PURCHASECOST_", ""), "_VALUE", "")</f>
        <v>EMU</v>
      </c>
      <c r="AE553" s="9" t="str" cm="1">
        <f t="array" ref="AE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3" s="2" t="b">
        <v>0</v>
      </c>
      <c r="AX553"/>
      <c r="AY553"/>
      <c r="AZ553"/>
    </row>
    <row r="554" spans="1:52">
      <c r="A554" s="2" t="s">
        <v>580</v>
      </c>
      <c r="B554">
        <v>2012</v>
      </c>
      <c r="C554">
        <v>1</v>
      </c>
      <c r="D554" t="s">
        <v>1925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 s="2" t="s">
        <v>23</v>
      </c>
      <c r="K554" s="39">
        <f>_xlfn.XLOOKUP("LOADINGSPEEDDEF_"&amp;PROPERTIES[[#This Row],[LOADINGSPEED]],LOADINGSPEEDDEF[TYPE],LOADINGSPEEDDEF[SPEED])</f>
        <v>40</v>
      </c>
      <c r="L554" t="s">
        <v>20</v>
      </c>
      <c r="M554">
        <v>1</v>
      </c>
      <c r="N554" s="33">
        <v>61</v>
      </c>
      <c r="O554">
        <f>1810*2</f>
        <v>3620</v>
      </c>
      <c r="P554">
        <v>251</v>
      </c>
      <c r="Q554" s="30">
        <f>300/2</f>
        <v>150</v>
      </c>
      <c r="R554" s="29">
        <f>IFERROR(PROPERTIES[[#This Row],[TE_STARTING_KN]]/(PROPERTIES[[#This Row],[WEIGHT]]*9.81),0)</f>
        <v>0.25066426028976785</v>
      </c>
      <c r="S554" s="29">
        <v>0.52</v>
      </c>
      <c r="T554" s="26">
        <f>ROUND(IF(IFERROR(PROPERTIES[[#This Row],[TE_COEFFICIENT_CALC]],0)=0,PROPERTIES[[#This Row],[TE_COEFFICIENT_MANUAL]],PROPERTIES[[#This Row],[TE_COEFFICIENT_CALC]]),3)</f>
        <v>0.251</v>
      </c>
      <c r="U554" s="11">
        <v>25</v>
      </c>
      <c r="V554" s="9">
        <v>71</v>
      </c>
      <c r="W554" s="9">
        <v>8</v>
      </c>
      <c r="X554" s="10">
        <v>0</v>
      </c>
      <c r="Y554" t="s">
        <v>904</v>
      </c>
      <c r="Z554" t="s">
        <v>903</v>
      </c>
      <c r="AA554" s="2" t="s">
        <v>921</v>
      </c>
      <c r="AB554" s="9" t="s">
        <v>999</v>
      </c>
      <c r="AC554" s="9" t="s">
        <v>1000</v>
      </c>
      <c r="AD554" s="10" t="str">
        <f>SUBSTITUTE(SUBSTITUTE(PROPERTIES[[#This Row],[PURCHASECOST_VALUE]], "PURCHASECOST_", ""), "_VALUE", "")</f>
        <v>EMU</v>
      </c>
      <c r="AE554" s="9" t="str" cm="1">
        <f t="array" ref="AE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4" s="2" t="b">
        <v>0</v>
      </c>
      <c r="AX554"/>
      <c r="AY554"/>
      <c r="AZ554"/>
    </row>
    <row r="555" spans="1:52">
      <c r="A555" s="2" t="s">
        <v>581</v>
      </c>
      <c r="B555">
        <v>2012</v>
      </c>
      <c r="C555">
        <v>1</v>
      </c>
      <c r="D555" t="s">
        <v>1925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 s="2" t="s">
        <v>478</v>
      </c>
      <c r="K555" s="39">
        <f>_xlfn.XLOOKUP("LOADINGSPEEDDEF_"&amp;PROPERTIES[[#This Row],[LOADINGSPEED]],LOADINGSPEEDDEF[TYPE],LOADINGSPEEDDEF[SPEED])</f>
        <v>16</v>
      </c>
      <c r="L555" t="s">
        <v>20</v>
      </c>
      <c r="M555">
        <v>1</v>
      </c>
      <c r="N555" s="33">
        <v>52</v>
      </c>
      <c r="O555">
        <f>2213*2</f>
        <v>4426</v>
      </c>
      <c r="P555">
        <v>300</v>
      </c>
      <c r="Q555" s="30">
        <v>150</v>
      </c>
      <c r="R555" s="29">
        <f>IFERROR(PROPERTIES[[#This Row],[TE_STARTING_KN]]/(PROPERTIES[[#This Row],[WEIGHT]]*9.81),0)</f>
        <v>0.29404845918607386</v>
      </c>
      <c r="S555" s="29">
        <v>0.8</v>
      </c>
      <c r="T555" s="26">
        <f>ROUND(IF(IFERROR(PROPERTIES[[#This Row],[TE_COEFFICIENT_CALC]],0)=0,PROPERTIES[[#This Row],[TE_COEFFICIENT_MANUAL]],PROPERTIES[[#This Row],[TE_COEFFICIENT_CALC]]),3)</f>
        <v>0.29399999999999998</v>
      </c>
      <c r="U555" s="11">
        <v>25</v>
      </c>
      <c r="V555" s="9">
        <v>42</v>
      </c>
      <c r="W555" s="9">
        <v>8</v>
      </c>
      <c r="X555" s="10">
        <v>0</v>
      </c>
      <c r="Y555" t="s">
        <v>904</v>
      </c>
      <c r="Z555" t="s">
        <v>903</v>
      </c>
      <c r="AA555" s="2" t="s">
        <v>922</v>
      </c>
      <c r="AB555" s="9" t="s">
        <v>999</v>
      </c>
      <c r="AC555" s="9" t="s">
        <v>1000</v>
      </c>
      <c r="AD555" s="10" t="str">
        <f>SUBSTITUTE(SUBSTITUTE(PROPERTIES[[#This Row],[PURCHASECOST_VALUE]], "PURCHASECOST_", ""), "_VALUE", "")</f>
        <v>EMU</v>
      </c>
      <c r="AE555" s="9" t="str" cm="1">
        <f t="array" ref="AE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5" s="2" t="b">
        <v>0</v>
      </c>
      <c r="AX555"/>
      <c r="AY555"/>
      <c r="AZ555"/>
    </row>
    <row r="556" spans="1:52">
      <c r="A556" s="2" t="s">
        <v>582</v>
      </c>
      <c r="B556">
        <v>1961</v>
      </c>
      <c r="C556">
        <v>1</v>
      </c>
      <c r="D556" t="s">
        <v>1803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 s="2" t="s">
        <v>478</v>
      </c>
      <c r="K556" s="39">
        <f>_xlfn.XLOOKUP("LOADINGSPEEDDEF_"&amp;PROPERTIES[[#This Row],[LOADINGSPEED]],LOADINGSPEEDDEF[TYPE],LOADINGSPEEDDEF[SPEED])</f>
        <v>16</v>
      </c>
      <c r="L556">
        <v>45</v>
      </c>
      <c r="M556">
        <v>1</v>
      </c>
      <c r="N556" s="33">
        <f>296/6</f>
        <v>49.333333333333336</v>
      </c>
      <c r="O556">
        <v>3100</v>
      </c>
      <c r="P556">
        <v>160</v>
      </c>
      <c r="Q556" s="30">
        <f>188/2</f>
        <v>94</v>
      </c>
      <c r="R556" s="29">
        <f>IFERROR(PROPERTIES[[#This Row],[TE_STARTING_KN]]/(PROPERTIES[[#This Row],[WEIGHT]]*9.81),0)</f>
        <v>0.19423092817588228</v>
      </c>
      <c r="S556" s="29">
        <v>0.26</v>
      </c>
      <c r="T556" s="26">
        <f>ROUND(IF(IFERROR(PROPERTIES[[#This Row],[TE_COEFFICIENT_CALC]],0)=0,PROPERTIES[[#This Row],[TE_COEFFICIENT_MANUAL]],PROPERTIES[[#This Row],[TE_COEFFICIENT_CALC]]),3)</f>
        <v>0.19400000000000001</v>
      </c>
      <c r="U556" s="11">
        <v>25</v>
      </c>
      <c r="V556" s="9">
        <f>INT(168+126+54)/6</f>
        <v>58</v>
      </c>
      <c r="W556" s="9">
        <v>8</v>
      </c>
      <c r="X556" s="10">
        <v>0</v>
      </c>
      <c r="Y556" t="s">
        <v>904</v>
      </c>
      <c r="Z556" t="s">
        <v>903</v>
      </c>
      <c r="AA556" s="2" t="s">
        <v>921</v>
      </c>
      <c r="AB556" s="9" t="s">
        <v>999</v>
      </c>
      <c r="AC556" s="9" t="s">
        <v>1000</v>
      </c>
      <c r="AD556" s="10" t="str">
        <f>SUBSTITUTE(SUBSTITUTE(PROPERTIES[[#This Row],[PURCHASECOST_VALUE]], "PURCHASECOST_", ""), "_VALUE", "")</f>
        <v>EMU</v>
      </c>
      <c r="AE556" s="9" t="str" cm="1">
        <f t="array" ref="AE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56" s="2" t="b">
        <v>0</v>
      </c>
      <c r="AX556"/>
      <c r="AY556"/>
      <c r="AZ556"/>
    </row>
    <row r="557" spans="1:52">
      <c r="A557" s="2" t="s">
        <v>583</v>
      </c>
      <c r="B557">
        <v>1930</v>
      </c>
      <c r="C557">
        <v>1</v>
      </c>
      <c r="D557" t="s">
        <v>1992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 s="2" t="s">
        <v>23</v>
      </c>
      <c r="K557" s="39">
        <f>_xlfn.XLOOKUP("LOADINGSPEEDDEF_"&amp;PROPERTIES[[#This Row],[LOADINGSPEED]],LOADINGSPEEDDEF[TYPE],LOADINGSPEEDDEF[SPEED])</f>
        <v>40</v>
      </c>
      <c r="L557">
        <v>45</v>
      </c>
      <c r="M557">
        <v>1</v>
      </c>
      <c r="N557" s="33">
        <v>61</v>
      </c>
      <c r="O557">
        <v>1020</v>
      </c>
      <c r="P557">
        <v>101</v>
      </c>
      <c r="Q557" s="30">
        <v>135</v>
      </c>
      <c r="R557" s="29">
        <f>IFERROR(PROPERTIES[[#This Row],[TE_STARTING_KN]]/(PROPERTIES[[#This Row],[WEIGHT]]*9.81),0)</f>
        <v>0.22559783426079105</v>
      </c>
      <c r="S557" s="29">
        <v>0.25</v>
      </c>
      <c r="T557" s="26">
        <f>ROUND(IF(IFERROR(PROPERTIES[[#This Row],[TE_COEFFICIENT_CALC]],0)=0,PROPERTIES[[#This Row],[TE_COEFFICIENT_MANUAL]],PROPERTIES[[#This Row],[TE_COEFFICIENT_CALC]]),3)</f>
        <v>0.22600000000000001</v>
      </c>
      <c r="U557" s="11">
        <v>25</v>
      </c>
      <c r="V557" s="9">
        <v>84</v>
      </c>
      <c r="W557" s="9">
        <v>8</v>
      </c>
      <c r="X557" s="10">
        <v>0</v>
      </c>
      <c r="Y557" t="s">
        <v>909</v>
      </c>
      <c r="Z557" t="s">
        <v>903</v>
      </c>
      <c r="AA557" s="2" t="s">
        <v>921</v>
      </c>
      <c r="AB557" s="9" t="s">
        <v>999</v>
      </c>
      <c r="AC557" s="9" t="s">
        <v>1000</v>
      </c>
      <c r="AD557" s="10" t="str">
        <f>SUBSTITUTE(SUBSTITUTE(PROPERTIES[[#This Row],[PURCHASECOST_VALUE]], "PURCHASECOST_", ""), "_VALUE", "")</f>
        <v>EMU</v>
      </c>
      <c r="AE557" s="9" t="str" cm="1">
        <f t="array" ref="AE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7" s="2" t="b">
        <v>0</v>
      </c>
      <c r="AX557"/>
      <c r="AY557"/>
      <c r="AZ557"/>
    </row>
    <row r="558" spans="1:52">
      <c r="A558" s="2" t="s">
        <v>584</v>
      </c>
      <c r="B558">
        <v>1981</v>
      </c>
      <c r="C558">
        <v>1</v>
      </c>
      <c r="D558" t="s">
        <v>1835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 s="2" t="s">
        <v>478</v>
      </c>
      <c r="K558" s="39">
        <f>_xlfn.XLOOKUP("LOADINGSPEEDDEF_"&amp;PROPERTIES[[#This Row],[LOADINGSPEED]],LOADINGSPEEDDEF[TYPE],LOADINGSPEEDDEF[SPEED])</f>
        <v>16</v>
      </c>
      <c r="L558">
        <v>45</v>
      </c>
      <c r="M558">
        <v>1</v>
      </c>
      <c r="N558" s="33">
        <v>68</v>
      </c>
      <c r="O558">
        <v>9119</v>
      </c>
      <c r="P558">
        <v>240</v>
      </c>
      <c r="Q558" s="30">
        <f>210/2</f>
        <v>105</v>
      </c>
      <c r="R558" s="29">
        <f>IFERROR(PROPERTIES[[#This Row],[TE_STARTING_KN]]/(PROPERTIES[[#This Row],[WEIGHT]]*9.81),0)</f>
        <v>0.15740241050548659</v>
      </c>
      <c r="S558" s="29">
        <v>0.92</v>
      </c>
      <c r="T558" s="26">
        <f>ROUND(IF(IFERROR(PROPERTIES[[#This Row],[TE_COEFFICIENT_CALC]],0)=0,PROPERTIES[[#This Row],[TE_COEFFICIENT_MANUAL]],PROPERTIES[[#This Row],[TE_COEFFICIENT_CALC]]),3)</f>
        <v>0.157</v>
      </c>
      <c r="U558" s="11">
        <v>25</v>
      </c>
      <c r="V558" s="9">
        <v>43</v>
      </c>
      <c r="W558" s="9">
        <v>6</v>
      </c>
      <c r="X558" s="10">
        <v>0</v>
      </c>
      <c r="Y558" t="s">
        <v>904</v>
      </c>
      <c r="Z558" t="s">
        <v>903</v>
      </c>
      <c r="AA558" s="2" t="s">
        <v>921</v>
      </c>
      <c r="AB558" s="9" t="s">
        <v>999</v>
      </c>
      <c r="AC558" s="9" t="s">
        <v>1000</v>
      </c>
      <c r="AD558" s="10" t="str">
        <f>SUBSTITUTE(SUBSTITUTE(PROPERTIES[[#This Row],[PURCHASECOST_VALUE]], "PURCHASECOST_", ""), "_VALUE", "")</f>
        <v>EMU</v>
      </c>
      <c r="AE558" s="9" t="str" cm="1">
        <f t="array" ref="AE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8" s="2" t="b">
        <v>0</v>
      </c>
      <c r="AX558"/>
      <c r="AY558"/>
      <c r="AZ558"/>
    </row>
    <row r="559" spans="1:52">
      <c r="A559" s="2" t="s">
        <v>585</v>
      </c>
      <c r="B559">
        <v>1995</v>
      </c>
      <c r="C559">
        <v>1</v>
      </c>
      <c r="D559" t="s">
        <v>1835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 s="2" t="s">
        <v>478</v>
      </c>
      <c r="K559" s="39">
        <f>_xlfn.XLOOKUP("LOADINGSPEEDDEF_"&amp;PROPERTIES[[#This Row],[LOADINGSPEED]],LOADINGSPEEDDEF[TYPE],LOADINGSPEEDDEF[SPEED])</f>
        <v>16</v>
      </c>
      <c r="L559" t="s">
        <v>20</v>
      </c>
      <c r="M559">
        <v>1</v>
      </c>
      <c r="N559" s="33">
        <v>68</v>
      </c>
      <c r="O559">
        <v>11800</v>
      </c>
      <c r="P559">
        <v>320</v>
      </c>
      <c r="Q559" s="30">
        <f t="shared" ref="Q559" si="0">220/2</f>
        <v>110</v>
      </c>
      <c r="R559" s="29">
        <f>IFERROR(PROPERTIES[[#This Row],[TE_STARTING_KN]]/(PROPERTIES[[#This Row],[WEIGHT]]*9.81),0)</f>
        <v>0.16489776338670023</v>
      </c>
      <c r="S559" s="29">
        <v>0.81</v>
      </c>
      <c r="T559" s="26">
        <f>ROUND(IF(IFERROR(PROPERTIES[[#This Row],[TE_COEFFICIENT_CALC]],0)=0,PROPERTIES[[#This Row],[TE_COEFFICIENT_MANUAL]],PROPERTIES[[#This Row],[TE_COEFFICIENT_CALC]]),3)</f>
        <v>0.16500000000000001</v>
      </c>
      <c r="U559" s="11">
        <v>25</v>
      </c>
      <c r="V559" s="9">
        <v>72</v>
      </c>
      <c r="W559" s="9">
        <v>6</v>
      </c>
      <c r="X559" s="10">
        <v>0</v>
      </c>
      <c r="Y559" t="s">
        <v>904</v>
      </c>
      <c r="Z559" t="s">
        <v>903</v>
      </c>
      <c r="AA559" s="2" t="s">
        <v>921</v>
      </c>
      <c r="AB559" s="9" t="s">
        <v>999</v>
      </c>
      <c r="AC559" s="9" t="s">
        <v>1000</v>
      </c>
      <c r="AD559" s="10" t="str">
        <f>SUBSTITUTE(SUBSTITUTE(PROPERTIES[[#This Row],[PURCHASECOST_VALUE]], "PURCHASECOST_", ""), "_VALUE", "")</f>
        <v>EMU</v>
      </c>
      <c r="AE559" s="9" t="str" cm="1">
        <f t="array" ref="AE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9" s="2" t="b">
        <v>0</v>
      </c>
      <c r="AX559"/>
      <c r="AY559"/>
      <c r="AZ559"/>
    </row>
    <row r="560" spans="1:52">
      <c r="A560" s="2" t="s">
        <v>586</v>
      </c>
      <c r="B560">
        <v>1995</v>
      </c>
      <c r="C560">
        <v>1</v>
      </c>
      <c r="D560" t="s">
        <v>1835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 s="2" t="s">
        <v>478</v>
      </c>
      <c r="K560" s="39">
        <f>_xlfn.XLOOKUP("LOADINGSPEEDDEF_"&amp;PROPERTIES[[#This Row],[LOADINGSPEED]],LOADINGSPEEDDEF[TYPE],LOADINGSPEEDDEF[SPEED])</f>
        <v>16</v>
      </c>
      <c r="L560" t="s">
        <v>20</v>
      </c>
      <c r="M560">
        <v>1</v>
      </c>
      <c r="N560" s="33">
        <v>68</v>
      </c>
      <c r="O560">
        <v>11800</v>
      </c>
      <c r="P560">
        <v>300</v>
      </c>
      <c r="Q560" s="30">
        <f>210/2</f>
        <v>105</v>
      </c>
      <c r="R560" s="29">
        <f>IFERROR(PROPERTIES[[#This Row],[TE_STARTING_KN]]/(PROPERTIES[[#This Row],[WEIGHT]]*9.81),0)</f>
        <v>0.15740241050548659</v>
      </c>
      <c r="S560" s="29">
        <v>0.85</v>
      </c>
      <c r="T560" s="26">
        <f>ROUND(IF(IFERROR(PROPERTIES[[#This Row],[TE_COEFFICIENT_CALC]],0)=0,PROPERTIES[[#This Row],[TE_COEFFICIENT_MANUAL]],PROPERTIES[[#This Row],[TE_COEFFICIENT_CALC]]),3)</f>
        <v>0.157</v>
      </c>
      <c r="U560" s="11">
        <v>25</v>
      </c>
      <c r="V560" s="9">
        <v>47</v>
      </c>
      <c r="W560" s="9">
        <v>6</v>
      </c>
      <c r="X560" s="10">
        <v>0</v>
      </c>
      <c r="Y560" t="s">
        <v>904</v>
      </c>
      <c r="Z560" t="s">
        <v>903</v>
      </c>
      <c r="AA560" s="2" t="s">
        <v>921</v>
      </c>
      <c r="AB560" s="9" t="s">
        <v>999</v>
      </c>
      <c r="AC560" s="9" t="s">
        <v>1000</v>
      </c>
      <c r="AD560" s="10" t="str">
        <f>SUBSTITUTE(SUBSTITUTE(PROPERTIES[[#This Row],[PURCHASECOST_VALUE]], "PURCHASECOST_", ""), "_VALUE", "")</f>
        <v>EMU</v>
      </c>
      <c r="AE560" s="9" t="str" cm="1">
        <f t="array" ref="AE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0" s="2" t="b">
        <v>0</v>
      </c>
      <c r="AX560"/>
      <c r="AY560"/>
      <c r="AZ560"/>
    </row>
    <row r="561" spans="1:52">
      <c r="A561" s="2" t="s">
        <v>587</v>
      </c>
      <c r="B561">
        <v>1999</v>
      </c>
      <c r="C561">
        <v>1</v>
      </c>
      <c r="D561" t="s">
        <v>1816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 s="2" t="s">
        <v>478</v>
      </c>
      <c r="K561" s="39">
        <f>_xlfn.XLOOKUP("LOADINGSPEEDDEF_"&amp;PROPERTIES[[#This Row],[LOADINGSPEED]],LOADINGSPEEDDEF[TYPE],LOADINGSPEEDDEF[SPEED])</f>
        <v>16</v>
      </c>
      <c r="L561" t="s">
        <v>20</v>
      </c>
      <c r="M561">
        <v>1</v>
      </c>
      <c r="N561" s="33">
        <v>55</v>
      </c>
      <c r="O561">
        <v>1318</v>
      </c>
      <c r="P561">
        <v>200</v>
      </c>
      <c r="Q561" s="30">
        <v>50</v>
      </c>
      <c r="R561" s="29">
        <f>IFERROR(PROPERTIES[[#This Row],[TE_STARTING_KN]]/(PROPERTIES[[#This Row],[WEIGHT]]*9.81),0)</f>
        <v>9.2669817440459629E-2</v>
      </c>
      <c r="S561" s="29">
        <v>0.67</v>
      </c>
      <c r="T561" s="26">
        <f>ROUND(IF(IFERROR(PROPERTIES[[#This Row],[TE_COEFFICIENT_CALC]],0)=0,PROPERTIES[[#This Row],[TE_COEFFICIENT_MANUAL]],PROPERTIES[[#This Row],[TE_COEFFICIENT_CALC]]),3)</f>
        <v>9.2999999999999999E-2</v>
      </c>
      <c r="U561" s="11">
        <v>25</v>
      </c>
      <c r="V561" s="9">
        <v>47</v>
      </c>
      <c r="W561" s="9">
        <v>8</v>
      </c>
      <c r="X561" s="10">
        <v>0</v>
      </c>
      <c r="Y561" t="s">
        <v>910</v>
      </c>
      <c r="Z561" t="s">
        <v>903</v>
      </c>
      <c r="AA561" s="2" t="s">
        <v>921</v>
      </c>
      <c r="AB561" s="9" t="s">
        <v>999</v>
      </c>
      <c r="AC561" s="9" t="s">
        <v>1000</v>
      </c>
      <c r="AD561" s="10" t="str">
        <f>SUBSTITUTE(SUBSTITUTE(PROPERTIES[[#This Row],[PURCHASECOST_VALUE]], "PURCHASECOST_", ""), "_VALUE", "")</f>
        <v>EMU</v>
      </c>
      <c r="AE561" s="9" t="str" cm="1">
        <f t="array" ref="AE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61" s="2" t="b">
        <v>0</v>
      </c>
      <c r="AX561"/>
      <c r="AY561"/>
      <c r="AZ561"/>
    </row>
    <row r="562" spans="1:52">
      <c r="A562" s="2" t="s">
        <v>588</v>
      </c>
      <c r="B562">
        <v>2001</v>
      </c>
      <c r="C562">
        <v>1</v>
      </c>
      <c r="D562" t="s">
        <v>1828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 s="2" t="s">
        <v>23</v>
      </c>
      <c r="K562" s="39">
        <f>_xlfn.XLOOKUP("LOADINGSPEEDDEF_"&amp;PROPERTIES[[#This Row],[LOADINGSPEED]],LOADINGSPEEDDEF[TYPE],LOADINGSPEEDDEF[SPEED])</f>
        <v>40</v>
      </c>
      <c r="L562" t="s">
        <v>20</v>
      </c>
      <c r="M562">
        <v>1</v>
      </c>
      <c r="N562" s="33">
        <v>61</v>
      </c>
      <c r="O562">
        <f>1340*2</f>
        <v>2680</v>
      </c>
      <c r="P562">
        <v>250</v>
      </c>
      <c r="Q562" s="30">
        <v>48</v>
      </c>
      <c r="R562" s="29">
        <f>IFERROR(PROPERTIES[[#This Row],[TE_STARTING_KN]]/(PROPERTIES[[#This Row],[WEIGHT]]*9.81),0)</f>
        <v>8.0212563292725705E-2</v>
      </c>
      <c r="S562" s="29">
        <v>0.36</v>
      </c>
      <c r="T562" s="26">
        <f>ROUND(IF(IFERROR(PROPERTIES[[#This Row],[TE_COEFFICIENT_CALC]],0)=0,PROPERTIES[[#This Row],[TE_COEFFICIENT_MANUAL]],PROPERTIES[[#This Row],[TE_COEFFICIENT_CALC]]),3)</f>
        <v>0.08</v>
      </c>
      <c r="U562" s="11">
        <v>25</v>
      </c>
      <c r="V562" s="9">
        <v>60</v>
      </c>
      <c r="W562" s="9">
        <v>8</v>
      </c>
      <c r="X562" s="10">
        <v>0</v>
      </c>
      <c r="Y562" t="s">
        <v>905</v>
      </c>
      <c r="Z562" t="s">
        <v>903</v>
      </c>
      <c r="AA562" s="2" t="s">
        <v>921</v>
      </c>
      <c r="AB562" s="9" t="s">
        <v>999</v>
      </c>
      <c r="AC562" s="9" t="s">
        <v>1000</v>
      </c>
      <c r="AD562" s="10" t="str">
        <f>SUBSTITUTE(SUBSTITUTE(PROPERTIES[[#This Row],[PURCHASECOST_VALUE]], "PURCHASECOST_", ""), "_VALUE", "")</f>
        <v>EMU</v>
      </c>
      <c r="AE562" s="9" t="str" cm="1">
        <f t="array" ref="AE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2" s="2" t="b">
        <v>0</v>
      </c>
      <c r="AX562"/>
      <c r="AY562"/>
      <c r="AZ562"/>
    </row>
    <row r="563" spans="1:52">
      <c r="A563" s="2" t="s">
        <v>589</v>
      </c>
      <c r="B563">
        <v>1999</v>
      </c>
      <c r="C563">
        <v>1</v>
      </c>
      <c r="D563" t="s">
        <v>1992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 s="2" t="s">
        <v>23</v>
      </c>
      <c r="K563" s="39">
        <f>_xlfn.XLOOKUP("LOADINGSPEEDDEF_"&amp;PROPERTIES[[#This Row],[LOADINGSPEED]],LOADINGSPEEDDEF[TYPE],LOADINGSPEEDDEF[SPEED])</f>
        <v>40</v>
      </c>
      <c r="L563">
        <v>45</v>
      </c>
      <c r="M563">
        <v>1</v>
      </c>
      <c r="N563" s="33">
        <v>93</v>
      </c>
      <c r="O563">
        <v>6200</v>
      </c>
      <c r="P563">
        <v>240</v>
      </c>
      <c r="Q563" s="30">
        <v>220.2</v>
      </c>
      <c r="R563" s="29">
        <f>IFERROR(PROPERTIES[[#This Row],[TE_STARTING_KN]]/(PROPERTIES[[#This Row],[WEIGHT]]*9.81),0)</f>
        <v>0.24136003419815197</v>
      </c>
      <c r="S563" s="29">
        <v>0.24</v>
      </c>
      <c r="T563" s="26">
        <f>ROUND(IF(IFERROR(PROPERTIES[[#This Row],[TE_COEFFICIENT_CALC]],0)=0,PROPERTIES[[#This Row],[TE_COEFFICIENT_MANUAL]],PROPERTIES[[#This Row],[TE_COEFFICIENT_CALC]]),3)</f>
        <v>0.24099999999999999</v>
      </c>
      <c r="U563" s="11">
        <v>40</v>
      </c>
      <c r="V563" s="9">
        <v>50</v>
      </c>
      <c r="W563" s="9">
        <v>8</v>
      </c>
      <c r="X563" s="10">
        <v>0</v>
      </c>
      <c r="Y563" t="s">
        <v>909</v>
      </c>
      <c r="Z563" t="s">
        <v>903</v>
      </c>
      <c r="AA563" s="2" t="s">
        <v>921</v>
      </c>
      <c r="AB563" s="9" t="s">
        <v>999</v>
      </c>
      <c r="AC563" s="9" t="s">
        <v>1000</v>
      </c>
      <c r="AD563" s="10" t="str">
        <f>SUBSTITUTE(SUBSTITUTE(PROPERTIES[[#This Row],[PURCHASECOST_VALUE]], "PURCHASECOST_", ""), "_VALUE", "")</f>
        <v>EMU</v>
      </c>
      <c r="AE563" s="9" t="str" cm="1">
        <f t="array" ref="AE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3" s="2" t="b">
        <v>0</v>
      </c>
      <c r="AX563"/>
      <c r="AY563"/>
      <c r="AZ563"/>
    </row>
    <row r="564" spans="1:52">
      <c r="A564" s="2" t="s">
        <v>590</v>
      </c>
      <c r="B564">
        <v>1880</v>
      </c>
      <c r="C564">
        <v>0</v>
      </c>
      <c r="D564" t="s">
        <v>1992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 s="2" t="s">
        <v>325</v>
      </c>
      <c r="K564" s="39">
        <f>_xlfn.XLOOKUP("LOADINGSPEEDDEF_"&amp;PROPERTIES[[#This Row],[LOADINGSPEED]],LOADINGSPEEDDEF[TYPE],LOADINGSPEEDDEF[SPEED])</f>
        <v>120</v>
      </c>
      <c r="L564">
        <v>45</v>
      </c>
      <c r="M564">
        <v>1</v>
      </c>
      <c r="N564" s="33">
        <v>28</v>
      </c>
      <c r="O564">
        <v>200</v>
      </c>
      <c r="P564">
        <v>50</v>
      </c>
      <c r="Q564" s="30">
        <v>25</v>
      </c>
      <c r="R564" s="29">
        <f>IFERROR(PROPERTIES[[#This Row],[TE_STARTING_KN]]/(PROPERTIES[[#This Row],[WEIGHT]]*9.81),0)</f>
        <v>9.1014999271880004E-2</v>
      </c>
      <c r="S564" s="29">
        <v>0.5</v>
      </c>
      <c r="T564" s="26">
        <f>ROUND(IF(IFERROR(PROPERTIES[[#This Row],[TE_COEFFICIENT_CALC]],0)=0,PROPERTIES[[#This Row],[TE_COEFFICIENT_MANUAL]],PROPERTIES[[#This Row],[TE_COEFFICIENT_CALC]]),3)</f>
        <v>9.0999999999999998E-2</v>
      </c>
      <c r="U564" s="11">
        <v>60</v>
      </c>
      <c r="V564" s="9">
        <v>0</v>
      </c>
      <c r="W564" s="9">
        <v>0</v>
      </c>
      <c r="X564" s="10">
        <v>0</v>
      </c>
      <c r="Y564" t="s">
        <v>909</v>
      </c>
      <c r="Z564" t="s">
        <v>903</v>
      </c>
      <c r="AA564" s="2" t="s">
        <v>921</v>
      </c>
      <c r="AB564" s="9" t="s">
        <v>1001</v>
      </c>
      <c r="AC564" s="9" t="s">
        <v>1002</v>
      </c>
      <c r="AD564" s="10" t="str">
        <f>SUBSTITUTE(SUBSTITUTE(PROPERTIES[[#This Row],[PURCHASECOST_VALUE]], "PURCHASECOST_", ""), "_VALUE", "")</f>
        <v>METRORAILBUS</v>
      </c>
      <c r="AE564" s="9" t="str" cm="1">
        <f t="array" ref="AE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4" s="2" t="b">
        <v>0</v>
      </c>
      <c r="AX564"/>
      <c r="AY564"/>
      <c r="AZ564"/>
    </row>
    <row r="565" spans="1:52">
      <c r="A565" s="2" t="s">
        <v>591</v>
      </c>
      <c r="B565">
        <v>1903</v>
      </c>
      <c r="C565">
        <v>0</v>
      </c>
      <c r="D565" t="s">
        <v>1859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 s="2" t="s">
        <v>325</v>
      </c>
      <c r="K565" s="39">
        <f>_xlfn.XLOOKUP("LOADINGSPEEDDEF_"&amp;PROPERTIES[[#This Row],[LOADINGSPEED]],LOADINGSPEEDDEF[TYPE],LOADINGSPEEDDEF[SPEED])</f>
        <v>120</v>
      </c>
      <c r="L565">
        <v>45</v>
      </c>
      <c r="M565">
        <v>1</v>
      </c>
      <c r="N565" s="33">
        <v>16.5</v>
      </c>
      <c r="O565">
        <v>200</v>
      </c>
      <c r="P565">
        <v>60</v>
      </c>
      <c r="Q565" s="30">
        <v>18</v>
      </c>
      <c r="R565" s="29">
        <f>IFERROR(PROPERTIES[[#This Row],[TE_STARTING_KN]]/(PROPERTIES[[#This Row],[WEIGHT]]*9.81),0)</f>
        <v>0.11120378092855157</v>
      </c>
      <c r="S565" s="29">
        <v>0.32</v>
      </c>
      <c r="T565" s="26">
        <f>ROUND(IF(IFERROR(PROPERTIES[[#This Row],[TE_COEFFICIENT_CALC]],0)=0,PROPERTIES[[#This Row],[TE_COEFFICIENT_MANUAL]],PROPERTIES[[#This Row],[TE_COEFFICIENT_CALC]]),3)</f>
        <v>0.111</v>
      </c>
      <c r="U565" s="11">
        <v>60</v>
      </c>
      <c r="V565" s="9">
        <v>0</v>
      </c>
      <c r="W565" s="9">
        <v>0</v>
      </c>
      <c r="X565" s="10">
        <v>0</v>
      </c>
      <c r="Y565" t="s">
        <v>910</v>
      </c>
      <c r="Z565" t="s">
        <v>903</v>
      </c>
      <c r="AA565" s="2" t="s">
        <v>921</v>
      </c>
      <c r="AB565" s="9" t="s">
        <v>1001</v>
      </c>
      <c r="AC565" s="9" t="s">
        <v>1002</v>
      </c>
      <c r="AD565" s="10" t="str">
        <f>SUBSTITUTE(SUBSTITUTE(PROPERTIES[[#This Row],[PURCHASECOST_VALUE]], "PURCHASECOST_", ""), "_VALUE", "")</f>
        <v>METRORAILBUS</v>
      </c>
      <c r="AE565" s="9" t="str" cm="1">
        <f t="array" ref="AE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5" s="2" t="b">
        <v>0</v>
      </c>
      <c r="AX565"/>
      <c r="AY565"/>
      <c r="AZ565"/>
    </row>
    <row r="566" spans="1:52">
      <c r="A566" s="2" t="s">
        <v>592</v>
      </c>
      <c r="B566">
        <v>1907</v>
      </c>
      <c r="C566">
        <v>0</v>
      </c>
      <c r="D566" t="s">
        <v>1992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 s="2" t="s">
        <v>325</v>
      </c>
      <c r="K566" s="39">
        <f>_xlfn.XLOOKUP("LOADINGSPEEDDEF_"&amp;PROPERTIES[[#This Row],[LOADINGSPEED]],LOADINGSPEEDDEF[TYPE],LOADINGSPEEDDEF[SPEED])</f>
        <v>120</v>
      </c>
      <c r="L566">
        <v>45</v>
      </c>
      <c r="M566">
        <v>1</v>
      </c>
      <c r="N566" s="33">
        <v>31.5</v>
      </c>
      <c r="O566">
        <v>250</v>
      </c>
      <c r="P566">
        <v>70</v>
      </c>
      <c r="Q566" s="30">
        <v>38</v>
      </c>
      <c r="R566" s="29">
        <f>IFERROR(PROPERTIES[[#This Row],[TE_STARTING_KN]]/(PROPERTIES[[#This Row],[WEIGHT]]*9.81),0)</f>
        <v>0.12297137679400674</v>
      </c>
      <c r="S566" s="29">
        <v>0.1</v>
      </c>
      <c r="T566" s="26">
        <f>ROUND(IF(IFERROR(PROPERTIES[[#This Row],[TE_COEFFICIENT_CALC]],0)=0,PROPERTIES[[#This Row],[TE_COEFFICIENT_MANUAL]],PROPERTIES[[#This Row],[TE_COEFFICIENT_CALC]]),3)</f>
        <v>0.123</v>
      </c>
      <c r="U566" s="11">
        <v>60</v>
      </c>
      <c r="V566" s="9">
        <v>0</v>
      </c>
      <c r="W566" s="9">
        <v>0</v>
      </c>
      <c r="X566" s="10">
        <v>0</v>
      </c>
      <c r="Y566" t="s">
        <v>909</v>
      </c>
      <c r="Z566" t="s">
        <v>903</v>
      </c>
      <c r="AA566" s="2" t="s">
        <v>921</v>
      </c>
      <c r="AB566" s="9" t="s">
        <v>1001</v>
      </c>
      <c r="AC566" s="9" t="s">
        <v>1002</v>
      </c>
      <c r="AD566" s="10" t="str">
        <f>SUBSTITUTE(SUBSTITUTE(PROPERTIES[[#This Row],[PURCHASECOST_VALUE]], "PURCHASECOST_", ""), "_VALUE", "")</f>
        <v>METRORAILBUS</v>
      </c>
      <c r="AE566" s="9" t="str" cm="1">
        <f t="array" ref="AE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6" s="2" t="b">
        <v>0</v>
      </c>
      <c r="AX566"/>
      <c r="AY566"/>
      <c r="AZ566"/>
    </row>
    <row r="567" spans="1:52">
      <c r="A567" s="2" t="s">
        <v>593</v>
      </c>
      <c r="B567">
        <v>1929</v>
      </c>
      <c r="C567">
        <v>0</v>
      </c>
      <c r="D567" t="s">
        <v>1817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 s="2" t="s">
        <v>325</v>
      </c>
      <c r="K567" s="39">
        <f>_xlfn.XLOOKUP("LOADINGSPEEDDEF_"&amp;PROPERTIES[[#This Row],[LOADINGSPEED]],LOADINGSPEEDDEF[TYPE],LOADINGSPEEDDEF[SPEED])</f>
        <v>120</v>
      </c>
      <c r="L567">
        <v>45</v>
      </c>
      <c r="M567">
        <v>1</v>
      </c>
      <c r="N567" s="33">
        <v>45.2</v>
      </c>
      <c r="O567">
        <v>375</v>
      </c>
      <c r="P567">
        <v>60</v>
      </c>
      <c r="Q567" s="30">
        <v>42</v>
      </c>
      <c r="R567" s="29">
        <f>IFERROR(PROPERTIES[[#This Row],[TE_STARTING_KN]]/(PROPERTIES[[#This Row],[WEIGHT]]*9.81),0)</f>
        <v>9.4720034640469811E-2</v>
      </c>
      <c r="S567" s="29">
        <v>7.0000000000000007E-2</v>
      </c>
      <c r="T567" s="26">
        <f>ROUND(IF(IFERROR(PROPERTIES[[#This Row],[TE_COEFFICIENT_CALC]],0)=0,PROPERTIES[[#This Row],[TE_COEFFICIENT_MANUAL]],PROPERTIES[[#This Row],[TE_COEFFICIENT_CALC]]),3)</f>
        <v>9.5000000000000001E-2</v>
      </c>
      <c r="U567" s="11">
        <v>60</v>
      </c>
      <c r="V567" s="9">
        <v>0</v>
      </c>
      <c r="W567" s="9">
        <v>0</v>
      </c>
      <c r="X567" s="10">
        <v>0</v>
      </c>
      <c r="Y567" t="s">
        <v>904</v>
      </c>
      <c r="Z567" t="s">
        <v>903</v>
      </c>
      <c r="AA567" s="2" t="s">
        <v>921</v>
      </c>
      <c r="AB567" s="9" t="s">
        <v>1001</v>
      </c>
      <c r="AC567" s="9" t="s">
        <v>1002</v>
      </c>
      <c r="AD567" s="10" t="str">
        <f>SUBSTITUTE(SUBSTITUTE(PROPERTIES[[#This Row],[PURCHASECOST_VALUE]], "PURCHASECOST_", ""), "_VALUE", "")</f>
        <v>METRORAILBUS</v>
      </c>
      <c r="AE567" s="9" t="str" cm="1">
        <f t="array" ref="AE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7" s="2" t="b">
        <v>0</v>
      </c>
      <c r="AX567"/>
      <c r="AY567"/>
      <c r="AZ567"/>
    </row>
    <row r="568" spans="1:52">
      <c r="A568" s="2" t="s">
        <v>594</v>
      </c>
      <c r="B568">
        <v>2040</v>
      </c>
      <c r="C568">
        <v>0</v>
      </c>
      <c r="D568" t="s">
        <v>2264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 s="2" t="s">
        <v>23</v>
      </c>
      <c r="K568" s="39">
        <f>_xlfn.XLOOKUP("LOADINGSPEEDDEF_"&amp;PROPERTIES[[#This Row],[LOADINGSPEED]],LOADINGSPEEDDEF[TYPE],LOADINGSPEEDDEF[SPEED])</f>
        <v>40</v>
      </c>
      <c r="L568" t="s">
        <v>20</v>
      </c>
      <c r="M568">
        <v>1</v>
      </c>
      <c r="N568" s="33">
        <v>30</v>
      </c>
      <c r="O568">
        <v>5070</v>
      </c>
      <c r="P568">
        <v>753</v>
      </c>
      <c r="Q568" s="30">
        <v>0</v>
      </c>
      <c r="R568" s="29">
        <f>IFERROR(PROPERTIES[[#This Row],[TE_STARTING_KN]]/(PROPERTIES[[#This Row],[WEIGHT]]*9.81),0)</f>
        <v>0</v>
      </c>
      <c r="S568" s="29">
        <v>0.28999999999999998</v>
      </c>
      <c r="T568" s="26">
        <f>ROUND(IF(IFERROR(PROPERTIES[[#This Row],[TE_COEFFICIENT_CALC]],0)=0,PROPERTIES[[#This Row],[TE_COEFFICIENT_MANUAL]],PROPERTIES[[#This Row],[TE_COEFFICIENT_CALC]]),3)</f>
        <v>0.28999999999999998</v>
      </c>
      <c r="U568" s="11">
        <v>15</v>
      </c>
      <c r="V568" s="9">
        <v>0</v>
      </c>
      <c r="W568" s="9">
        <v>2</v>
      </c>
      <c r="X568" s="10">
        <v>0</v>
      </c>
      <c r="Y568" t="s">
        <v>917</v>
      </c>
      <c r="Z568" t="s">
        <v>903</v>
      </c>
      <c r="AA568" s="2" t="s">
        <v>922</v>
      </c>
      <c r="AB568" s="9" t="s">
        <v>1003</v>
      </c>
      <c r="AC568" s="9" t="s">
        <v>1004</v>
      </c>
      <c r="AD568" s="10" t="str">
        <f>SUBSTITUTE(SUBSTITUTE(PROPERTIES[[#This Row],[PURCHASECOST_VALUE]], "PURCHASECOST_", ""), "_VALUE", "")</f>
        <v>MAGLEVRAILBUS</v>
      </c>
      <c r="AE568" s="9" t="str" cm="1">
        <f t="array" ref="AE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8" s="2" t="b">
        <v>0</v>
      </c>
      <c r="AX568"/>
      <c r="AY568"/>
      <c r="AZ568"/>
    </row>
    <row r="569" spans="1:52">
      <c r="A569" s="2" t="s">
        <v>595</v>
      </c>
      <c r="B569">
        <v>2005</v>
      </c>
      <c r="C569">
        <v>0</v>
      </c>
      <c r="D569" t="s">
        <v>1817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 s="2" t="s">
        <v>19</v>
      </c>
      <c r="K569" s="39">
        <f>_xlfn.XLOOKUP("LOADINGSPEEDDEF_"&amp;PROPERTIES[[#This Row],[LOADINGSPEED]],LOADINGSPEEDDEF[TYPE],LOADINGSPEEDDEF[SPEED])</f>
        <v>0</v>
      </c>
      <c r="L569" t="s">
        <v>20</v>
      </c>
      <c r="M569">
        <v>1</v>
      </c>
      <c r="N569" s="33">
        <v>90</v>
      </c>
      <c r="O569">
        <v>18875</v>
      </c>
      <c r="P569">
        <v>250</v>
      </c>
      <c r="Q569" s="30">
        <v>600</v>
      </c>
      <c r="R569" s="29">
        <f>IFERROR(PROPERTIES[[#This Row],[TE_STARTING_KN]]/(PROPERTIES[[#This Row],[WEIGHT]]*9.81),0)</f>
        <v>0.6795786612300373</v>
      </c>
      <c r="S569" s="29">
        <v>0.35</v>
      </c>
      <c r="T569" s="26">
        <f>ROUND(IF(IFERROR(PROPERTIES[[#This Row],[TE_COEFFICIENT_CALC]],0)=0,PROPERTIES[[#This Row],[TE_COEFFICIENT_MANUAL]],PROPERTIES[[#This Row],[TE_COEFFICIENT_CALC]]),3)</f>
        <v>0.68</v>
      </c>
      <c r="U569" s="11">
        <v>40</v>
      </c>
      <c r="V569" s="9">
        <v>0</v>
      </c>
      <c r="W569" s="9">
        <v>0</v>
      </c>
      <c r="X569" s="10">
        <v>0</v>
      </c>
      <c r="Y569" t="s">
        <v>904</v>
      </c>
      <c r="Z569" t="s">
        <v>903</v>
      </c>
      <c r="AA569" s="2" t="s">
        <v>922</v>
      </c>
      <c r="AB569" s="9" t="s">
        <v>1005</v>
      </c>
      <c r="AC569" s="9" t="s">
        <v>1006</v>
      </c>
      <c r="AD569" s="10" t="str">
        <f>SUBSTITUTE(SUBSTITUTE(PROPERTIES[[#This Row],[PURCHASECOST_VALUE]], "PURCHASECOST_", ""), "_VALUE", "")</f>
        <v>MAGLEVSU</v>
      </c>
      <c r="AE569" s="9" t="str" cm="1">
        <f t="array" ref="AE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9" s="2" t="b">
        <v>0</v>
      </c>
      <c r="AX569"/>
      <c r="AY569"/>
      <c r="AZ569"/>
    </row>
    <row r="570" spans="1:52">
      <c r="A570" s="2" t="s">
        <v>596</v>
      </c>
      <c r="B570">
        <v>2004</v>
      </c>
      <c r="C570">
        <v>1</v>
      </c>
      <c r="D570" t="s">
        <v>1808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 s="2" t="s">
        <v>478</v>
      </c>
      <c r="K570" s="39">
        <f>_xlfn.XLOOKUP("LOADINGSPEEDDEF_"&amp;PROPERTIES[[#This Row],[LOADINGSPEED]],LOADINGSPEEDDEF[TYPE],LOADINGSPEEDDEF[SPEED])</f>
        <v>16</v>
      </c>
      <c r="L570" t="s">
        <v>20</v>
      </c>
      <c r="M570">
        <v>1</v>
      </c>
      <c r="N570" s="33">
        <v>53</v>
      </c>
      <c r="O570">
        <v>13450</v>
      </c>
      <c r="P570">
        <v>433</v>
      </c>
      <c r="Q570" s="30">
        <v>450</v>
      </c>
      <c r="R570" s="29">
        <f>IFERROR(PROPERTIES[[#This Row],[TE_STARTING_KN]]/(PROPERTIES[[#This Row],[WEIGHT]]*9.81),0)</f>
        <v>0.8655011251514626</v>
      </c>
      <c r="S570" s="29">
        <v>0.3</v>
      </c>
      <c r="T570" s="26">
        <f>ROUND(IF(IFERROR(PROPERTIES[[#This Row],[TE_COEFFICIENT_CALC]],0)=0,PROPERTIES[[#This Row],[TE_COEFFICIENT_MANUAL]],PROPERTIES[[#This Row],[TE_COEFFICIENT_CALC]]),3)</f>
        <v>0.86599999999999999</v>
      </c>
      <c r="U570" s="11">
        <v>25</v>
      </c>
      <c r="V570" s="9">
        <v>55</v>
      </c>
      <c r="W570" s="9">
        <v>8</v>
      </c>
      <c r="X570" s="10">
        <v>0</v>
      </c>
      <c r="Y570" t="s">
        <v>912</v>
      </c>
      <c r="Z570" t="s">
        <v>903</v>
      </c>
      <c r="AA570" s="2" t="s">
        <v>921</v>
      </c>
      <c r="AB570" s="9" t="s">
        <v>981</v>
      </c>
      <c r="AC570" s="9" t="s">
        <v>982</v>
      </c>
      <c r="AD570" s="10" t="str">
        <f>SUBSTITUTE(SUBSTITUTE(PROPERTIES[[#This Row],[PURCHASECOST_VALUE]], "PURCHASECOST_", ""), "_VALUE", "")</f>
        <v>MAGLEVMU</v>
      </c>
      <c r="AE570" s="9" t="str" cm="1">
        <f t="array" ref="AE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0" s="2" t="b">
        <v>0</v>
      </c>
      <c r="AX570"/>
      <c r="AY570"/>
      <c r="AZ570"/>
    </row>
    <row r="571" spans="1:52">
      <c r="A571" s="2" t="s">
        <v>597</v>
      </c>
      <c r="B571">
        <v>2025</v>
      </c>
      <c r="C571">
        <v>1</v>
      </c>
      <c r="D571" t="s">
        <v>1873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 s="2" t="s">
        <v>478</v>
      </c>
      <c r="K571" s="39">
        <f>_xlfn.XLOOKUP("LOADINGSPEEDDEF_"&amp;PROPERTIES[[#This Row],[LOADINGSPEED]],LOADINGSPEEDDEF[TYPE],LOADINGSPEEDDEF[SPEED])</f>
        <v>16</v>
      </c>
      <c r="L571" t="s">
        <v>20</v>
      </c>
      <c r="M571">
        <v>1</v>
      </c>
      <c r="N571" s="33">
        <v>72</v>
      </c>
      <c r="O571">
        <v>20115</v>
      </c>
      <c r="P571">
        <v>500</v>
      </c>
      <c r="Q571" s="30">
        <v>500</v>
      </c>
      <c r="R571" s="29">
        <f>IFERROR(PROPERTIES[[#This Row],[TE_STARTING_KN]]/(PROPERTIES[[#This Row],[WEIGHT]]*9.81),0)</f>
        <v>0.70789443878128888</v>
      </c>
      <c r="S571" s="29">
        <v>0.3</v>
      </c>
      <c r="T571" s="26">
        <f>ROUND(IF(IFERROR(PROPERTIES[[#This Row],[TE_COEFFICIENT_CALC]],0)=0,PROPERTIES[[#This Row],[TE_COEFFICIENT_MANUAL]],PROPERTIES[[#This Row],[TE_COEFFICIENT_CALC]]),3)</f>
        <v>0.70799999999999996</v>
      </c>
      <c r="U571" s="11">
        <v>25</v>
      </c>
      <c r="V571" s="9">
        <v>60</v>
      </c>
      <c r="W571" s="9">
        <v>8</v>
      </c>
      <c r="X571" s="10">
        <v>0</v>
      </c>
      <c r="Y571" t="s">
        <v>912</v>
      </c>
      <c r="Z571" t="s">
        <v>903</v>
      </c>
      <c r="AA571" s="2" t="s">
        <v>922</v>
      </c>
      <c r="AB571" s="9" t="s">
        <v>981</v>
      </c>
      <c r="AC571" s="9" t="s">
        <v>982</v>
      </c>
      <c r="AD571" s="10" t="str">
        <f>SUBSTITUTE(SUBSTITUTE(PROPERTIES[[#This Row],[PURCHASECOST_VALUE]], "PURCHASECOST_", ""), "_VALUE", "")</f>
        <v>MAGLEVMU</v>
      </c>
      <c r="AE571" s="9" t="str" cm="1">
        <f t="array" ref="AE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1" s="2" t="b">
        <v>0</v>
      </c>
      <c r="AX571"/>
      <c r="AY571"/>
      <c r="AZ571"/>
    </row>
    <row r="572" spans="1:52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598</v>
      </c>
      <c r="H572">
        <v>74</v>
      </c>
      <c r="I572">
        <v>8</v>
      </c>
      <c r="J572" s="2" t="s">
        <v>32</v>
      </c>
      <c r="K572" s="39">
        <f>_xlfn.XLOOKUP("LOADINGSPEEDDEF_"&amp;PROPERTIES[[#This Row],[LOADINGSPEED]],LOADINGSPEEDDEF[TYPE],LOADINGSPEEDDEF[SPEED])</f>
        <v>20</v>
      </c>
      <c r="L572" t="s">
        <v>20</v>
      </c>
      <c r="M572">
        <v>0</v>
      </c>
      <c r="N572" s="33">
        <v>27</v>
      </c>
      <c r="O572">
        <v>0</v>
      </c>
      <c r="P572">
        <v>160</v>
      </c>
      <c r="Q572" s="30">
        <v>0</v>
      </c>
      <c r="R572" s="29">
        <f>IFERROR(PROPERTIES[[#This Row],[TE_STARTING_KN]]/(PROPERTIES[[#This Row],[WEIGHT]]*9.81),0)</f>
        <v>0</v>
      </c>
      <c r="S572" s="29">
        <v>0.3</v>
      </c>
      <c r="T572" s="26">
        <f>ROUND(IF(IFERROR(PROPERTIES[[#This Row],[TE_COEFFICIENT_CALC]],0)=0,PROPERTIES[[#This Row],[TE_COEFFICIENT_MANUAL]],PROPERTIES[[#This Row],[TE_COEFFICIENT_CALC]]),3)</f>
        <v>0.3</v>
      </c>
      <c r="U572" s="11">
        <v>25</v>
      </c>
      <c r="V572" s="9">
        <v>0</v>
      </c>
      <c r="W572" s="9">
        <v>0</v>
      </c>
      <c r="X572" s="10">
        <v>0</v>
      </c>
      <c r="Y572" t="s">
        <v>914</v>
      </c>
      <c r="Z572" t="s">
        <v>903</v>
      </c>
      <c r="AA572" s="2" t="s">
        <v>922</v>
      </c>
      <c r="AB572" s="9" t="s">
        <v>1007</v>
      </c>
      <c r="AC572" s="9" t="s">
        <v>1008</v>
      </c>
      <c r="AD572" s="10" t="str">
        <f>SUBSTITUTE(SUBSTITUTE(PROPERTIES[[#This Row],[PURCHASECOST_VALUE]], "PURCHASECOST_", ""), "_VALUE", "")</f>
        <v>WAGON</v>
      </c>
      <c r="AE572" s="9" t="str" cm="1">
        <f t="array" ref="AE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2" s="2" t="b">
        <v>0</v>
      </c>
      <c r="AX572"/>
      <c r="AY572"/>
      <c r="AZ572"/>
    </row>
    <row r="573" spans="1:52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598</v>
      </c>
      <c r="H573">
        <v>74</v>
      </c>
      <c r="I573">
        <v>8</v>
      </c>
      <c r="J573" s="2" t="s">
        <v>32</v>
      </c>
      <c r="K573" s="39">
        <f>_xlfn.XLOOKUP("LOADINGSPEEDDEF_"&amp;PROPERTIES[[#This Row],[LOADINGSPEED]],LOADINGSPEEDDEF[TYPE],LOADINGSPEEDDEF[SPEED])</f>
        <v>20</v>
      </c>
      <c r="L573" t="s">
        <v>20</v>
      </c>
      <c r="M573">
        <v>0</v>
      </c>
      <c r="N573" s="33">
        <v>27</v>
      </c>
      <c r="O573">
        <v>0</v>
      </c>
      <c r="P573">
        <v>160</v>
      </c>
      <c r="Q573" s="30">
        <v>0</v>
      </c>
      <c r="R573" s="29">
        <f>IFERROR(PROPERTIES[[#This Row],[TE_STARTING_KN]]/(PROPERTIES[[#This Row],[WEIGHT]]*9.81),0)</f>
        <v>0</v>
      </c>
      <c r="S573" s="29">
        <v>0.3</v>
      </c>
      <c r="T573" s="26">
        <f>ROUND(IF(IFERROR(PROPERTIES[[#This Row],[TE_COEFFICIENT_CALC]],0)=0,PROPERTIES[[#This Row],[TE_COEFFICIENT_MANUAL]],PROPERTIES[[#This Row],[TE_COEFFICIENT_CALC]]),3)</f>
        <v>0.3</v>
      </c>
      <c r="U573" s="11">
        <v>25</v>
      </c>
      <c r="V573" s="9">
        <v>0</v>
      </c>
      <c r="W573" s="9">
        <v>0</v>
      </c>
      <c r="X573" s="10">
        <v>0</v>
      </c>
      <c r="Y573" t="s">
        <v>915</v>
      </c>
      <c r="Z573" t="s">
        <v>903</v>
      </c>
      <c r="AA573" s="2" t="s">
        <v>922</v>
      </c>
      <c r="AB573" s="9" t="s">
        <v>1007</v>
      </c>
      <c r="AC573" s="9" t="s">
        <v>1008</v>
      </c>
      <c r="AD573" s="10" t="str">
        <f>SUBSTITUTE(SUBSTITUTE(PROPERTIES[[#This Row],[PURCHASECOST_VALUE]], "PURCHASECOST_", ""), "_VALUE", "")</f>
        <v>WAGON</v>
      </c>
      <c r="AE573" s="9" t="str" cm="1">
        <f t="array" ref="AE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3" s="2" t="b">
        <v>0</v>
      </c>
      <c r="AX573"/>
      <c r="AY573"/>
      <c r="AZ573"/>
    </row>
    <row r="574" spans="1:52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 s="2" t="s">
        <v>32</v>
      </c>
      <c r="K574" s="39">
        <f>_xlfn.XLOOKUP("LOADINGSPEEDDEF_"&amp;PROPERTIES[[#This Row],[LOADINGSPEED]],LOADINGSPEEDDEF[TYPE],LOADINGSPEEDDEF[SPEED])</f>
        <v>20</v>
      </c>
      <c r="L574" t="s">
        <v>20</v>
      </c>
      <c r="M574">
        <v>0</v>
      </c>
      <c r="N574" s="33">
        <v>28</v>
      </c>
      <c r="O574">
        <v>0</v>
      </c>
      <c r="P574">
        <v>160</v>
      </c>
      <c r="Q574" s="30">
        <v>0</v>
      </c>
      <c r="R574" s="29">
        <f>IFERROR(PROPERTIES[[#This Row],[TE_STARTING_KN]]/(PROPERTIES[[#This Row],[WEIGHT]]*9.81),0)</f>
        <v>0</v>
      </c>
      <c r="S574" s="29">
        <v>0.3</v>
      </c>
      <c r="T574" s="26">
        <f>ROUND(IF(IFERROR(PROPERTIES[[#This Row],[TE_COEFFICIENT_CALC]],0)=0,PROPERTIES[[#This Row],[TE_COEFFICIENT_MANUAL]],PROPERTIES[[#This Row],[TE_COEFFICIENT_CALC]]),3)</f>
        <v>0.3</v>
      </c>
      <c r="U574" s="11">
        <v>25</v>
      </c>
      <c r="V574" s="9">
        <v>0</v>
      </c>
      <c r="W574" s="9">
        <v>0</v>
      </c>
      <c r="X574" s="10">
        <v>0</v>
      </c>
      <c r="Y574" t="s">
        <v>917</v>
      </c>
      <c r="Z574" t="s">
        <v>903</v>
      </c>
      <c r="AA574" s="2" t="s">
        <v>922</v>
      </c>
      <c r="AB574" s="9" t="s">
        <v>1007</v>
      </c>
      <c r="AC574" s="9" t="s">
        <v>1008</v>
      </c>
      <c r="AD574" s="10" t="str">
        <f>SUBSTITUTE(SUBSTITUTE(PROPERTIES[[#This Row],[PURCHASECOST_VALUE]], "PURCHASECOST_", ""), "_VALUE", "")</f>
        <v>WAGON</v>
      </c>
      <c r="AE574" s="9" t="str" cm="1">
        <f t="array" ref="AE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4" s="2" t="b">
        <v>0</v>
      </c>
      <c r="AX574"/>
      <c r="AY574"/>
      <c r="AZ574"/>
    </row>
    <row r="575" spans="1:52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 s="2" t="s">
        <v>32</v>
      </c>
      <c r="K575" s="39">
        <f>_xlfn.XLOOKUP("LOADINGSPEEDDEF_"&amp;PROPERTIES[[#This Row],[LOADINGSPEED]],LOADINGSPEEDDEF[TYPE],LOADINGSPEEDDEF[SPEED])</f>
        <v>20</v>
      </c>
      <c r="L575" t="s">
        <v>20</v>
      </c>
      <c r="M575">
        <v>0</v>
      </c>
      <c r="N575" s="33">
        <v>40</v>
      </c>
      <c r="O575">
        <v>0</v>
      </c>
      <c r="P575">
        <v>160</v>
      </c>
      <c r="Q575" s="30">
        <v>0</v>
      </c>
      <c r="R575" s="29">
        <f>IFERROR(PROPERTIES[[#This Row],[TE_STARTING_KN]]/(PROPERTIES[[#This Row],[WEIGHT]]*9.81),0)</f>
        <v>0</v>
      </c>
      <c r="S575" s="29">
        <v>0.3</v>
      </c>
      <c r="T575" s="26">
        <f>ROUND(IF(IFERROR(PROPERTIES[[#This Row],[TE_COEFFICIENT_CALC]],0)=0,PROPERTIES[[#This Row],[TE_COEFFICIENT_MANUAL]],PROPERTIES[[#This Row],[TE_COEFFICIENT_CALC]]),3)</f>
        <v>0.3</v>
      </c>
      <c r="U575" s="11">
        <v>25</v>
      </c>
      <c r="V575" s="9">
        <v>0</v>
      </c>
      <c r="W575" s="9">
        <v>0</v>
      </c>
      <c r="X575" s="10">
        <v>0</v>
      </c>
      <c r="Y575" t="s">
        <v>917</v>
      </c>
      <c r="Z575" t="s">
        <v>903</v>
      </c>
      <c r="AA575" s="2" t="s">
        <v>922</v>
      </c>
      <c r="AB575" s="9" t="s">
        <v>1007</v>
      </c>
      <c r="AC575" s="9" t="s">
        <v>1008</v>
      </c>
      <c r="AD575" s="10" t="str">
        <f>SUBSTITUTE(SUBSTITUTE(PROPERTIES[[#This Row],[PURCHASECOST_VALUE]], "PURCHASECOST_", ""), "_VALUE", "")</f>
        <v>WAGON</v>
      </c>
      <c r="AE575" s="9" t="str" cm="1">
        <f t="array" ref="AE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5" s="2" t="b">
        <v>0</v>
      </c>
      <c r="AX575"/>
      <c r="AY575"/>
      <c r="AZ575"/>
    </row>
    <row r="576" spans="1:52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 s="2" t="s">
        <v>32</v>
      </c>
      <c r="K576" s="39">
        <f>_xlfn.XLOOKUP("LOADINGSPEEDDEF_"&amp;PROPERTIES[[#This Row],[LOADINGSPEED]],LOADINGSPEEDDEF[TYPE],LOADINGSPEEDDEF[SPEED])</f>
        <v>20</v>
      </c>
      <c r="L576" t="s">
        <v>20</v>
      </c>
      <c r="M576">
        <v>0</v>
      </c>
      <c r="N576" s="33">
        <v>22</v>
      </c>
      <c r="O576">
        <v>0</v>
      </c>
      <c r="P576">
        <v>160</v>
      </c>
      <c r="Q576" s="30">
        <v>0</v>
      </c>
      <c r="R576" s="29">
        <f>IFERROR(PROPERTIES[[#This Row],[TE_STARTING_KN]]/(PROPERTIES[[#This Row],[WEIGHT]]*9.81),0)</f>
        <v>0</v>
      </c>
      <c r="S576" s="29">
        <v>0.3</v>
      </c>
      <c r="T576" s="26">
        <f>ROUND(IF(IFERROR(PROPERTIES[[#This Row],[TE_COEFFICIENT_CALC]],0)=0,PROPERTIES[[#This Row],[TE_COEFFICIENT_MANUAL]],PROPERTIES[[#This Row],[TE_COEFFICIENT_CALC]]),3)</f>
        <v>0.3</v>
      </c>
      <c r="U576" s="11">
        <v>25</v>
      </c>
      <c r="V576" s="9">
        <v>0</v>
      </c>
      <c r="W576" s="9">
        <v>0</v>
      </c>
      <c r="X576" s="10">
        <v>0</v>
      </c>
      <c r="Y576" t="s">
        <v>917</v>
      </c>
      <c r="Z576" t="s">
        <v>903</v>
      </c>
      <c r="AA576" s="2" t="s">
        <v>922</v>
      </c>
      <c r="AB576" s="9" t="s">
        <v>1007</v>
      </c>
      <c r="AC576" s="9" t="s">
        <v>1008</v>
      </c>
      <c r="AD576" s="10" t="str">
        <f>SUBSTITUTE(SUBSTITUTE(PROPERTIES[[#This Row],[PURCHASECOST_VALUE]], "PURCHASECOST_", ""), "_VALUE", "")</f>
        <v>WAGON</v>
      </c>
      <c r="AE576" s="9" t="str" cm="1">
        <f t="array" ref="AE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6" s="2" t="b">
        <v>0</v>
      </c>
      <c r="AX576"/>
      <c r="AY576"/>
      <c r="AZ576"/>
    </row>
    <row r="577" spans="1:52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 s="2" t="s">
        <v>32</v>
      </c>
      <c r="K577" s="39">
        <f>_xlfn.XLOOKUP("LOADINGSPEEDDEF_"&amp;PROPERTIES[[#This Row],[LOADINGSPEED]],LOADINGSPEEDDEF[TYPE],LOADINGSPEEDDEF[SPEED])</f>
        <v>20</v>
      </c>
      <c r="L577" t="s">
        <v>20</v>
      </c>
      <c r="M577">
        <v>0</v>
      </c>
      <c r="N577" s="33">
        <v>25</v>
      </c>
      <c r="O577">
        <v>0</v>
      </c>
      <c r="P577">
        <v>160</v>
      </c>
      <c r="Q577" s="30">
        <v>0</v>
      </c>
      <c r="R577" s="29">
        <f>IFERROR(PROPERTIES[[#This Row],[TE_STARTING_KN]]/(PROPERTIES[[#This Row],[WEIGHT]]*9.81),0)</f>
        <v>0</v>
      </c>
      <c r="S577" s="29">
        <v>0.3</v>
      </c>
      <c r="T577" s="26">
        <f>ROUND(IF(IFERROR(PROPERTIES[[#This Row],[TE_COEFFICIENT_CALC]],0)=0,PROPERTIES[[#This Row],[TE_COEFFICIENT_MANUAL]],PROPERTIES[[#This Row],[TE_COEFFICIENT_CALC]]),3)</f>
        <v>0.3</v>
      </c>
      <c r="U577" s="11">
        <v>25</v>
      </c>
      <c r="V577" s="9">
        <v>0</v>
      </c>
      <c r="W577" s="9">
        <v>0</v>
      </c>
      <c r="X577" s="10">
        <v>0</v>
      </c>
      <c r="Y577" t="s">
        <v>917</v>
      </c>
      <c r="Z577" t="s">
        <v>903</v>
      </c>
      <c r="AA577" s="2" t="s">
        <v>922</v>
      </c>
      <c r="AB577" s="9" t="s">
        <v>1007</v>
      </c>
      <c r="AC577" s="9" t="s">
        <v>1008</v>
      </c>
      <c r="AD577" s="10" t="str">
        <f>SUBSTITUTE(SUBSTITUTE(PROPERTIES[[#This Row],[PURCHASECOST_VALUE]], "PURCHASECOST_", ""), "_VALUE", "")</f>
        <v>WAGON</v>
      </c>
      <c r="AE577" s="9" t="str" cm="1">
        <f t="array" ref="AE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7" s="2" t="b">
        <v>0</v>
      </c>
      <c r="AX577"/>
      <c r="AY577"/>
      <c r="AZ577"/>
    </row>
    <row r="578" spans="1:52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 s="2" t="s">
        <v>32</v>
      </c>
      <c r="K578" s="39">
        <f>_xlfn.XLOOKUP("LOADINGSPEEDDEF_"&amp;PROPERTIES[[#This Row],[LOADINGSPEED]],LOADINGSPEEDDEF[TYPE],LOADINGSPEEDDEF[SPEED])</f>
        <v>20</v>
      </c>
      <c r="L578" t="s">
        <v>20</v>
      </c>
      <c r="M578">
        <v>0</v>
      </c>
      <c r="N578" s="33">
        <v>23</v>
      </c>
      <c r="O578">
        <v>0</v>
      </c>
      <c r="P578">
        <v>160</v>
      </c>
      <c r="Q578" s="30">
        <v>0</v>
      </c>
      <c r="R578" s="29">
        <f>IFERROR(PROPERTIES[[#This Row],[TE_STARTING_KN]]/(PROPERTIES[[#This Row],[WEIGHT]]*9.81),0)</f>
        <v>0</v>
      </c>
      <c r="S578" s="29">
        <v>0.3</v>
      </c>
      <c r="T578" s="26">
        <f>ROUND(IF(IFERROR(PROPERTIES[[#This Row],[TE_COEFFICIENT_CALC]],0)=0,PROPERTIES[[#This Row],[TE_COEFFICIENT_MANUAL]],PROPERTIES[[#This Row],[TE_COEFFICIENT_CALC]]),3)</f>
        <v>0.3</v>
      </c>
      <c r="U578" s="11">
        <v>25</v>
      </c>
      <c r="V578" s="9">
        <v>0</v>
      </c>
      <c r="W578" s="9">
        <v>0</v>
      </c>
      <c r="X578" s="10">
        <v>0</v>
      </c>
      <c r="Y578" t="s">
        <v>917</v>
      </c>
      <c r="Z578" t="s">
        <v>903</v>
      </c>
      <c r="AA578" s="2" t="s">
        <v>922</v>
      </c>
      <c r="AB578" s="9" t="s">
        <v>1007</v>
      </c>
      <c r="AC578" s="9" t="s">
        <v>1008</v>
      </c>
      <c r="AD578" s="10" t="str">
        <f>SUBSTITUTE(SUBSTITUTE(PROPERTIES[[#This Row],[PURCHASECOST_VALUE]], "PURCHASECOST_", ""), "_VALUE", "")</f>
        <v>WAGON</v>
      </c>
      <c r="AE578" s="9" t="str" cm="1">
        <f t="array" ref="AE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8" s="2" t="b">
        <v>0</v>
      </c>
      <c r="AX578"/>
      <c r="AY578"/>
      <c r="AZ578"/>
    </row>
    <row r="579" spans="1:52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 s="2" t="s">
        <v>32</v>
      </c>
      <c r="K579" s="39">
        <f>_xlfn.XLOOKUP("LOADINGSPEEDDEF_"&amp;PROPERTIES[[#This Row],[LOADINGSPEED]],LOADINGSPEEDDEF[TYPE],LOADINGSPEEDDEF[SPEED])</f>
        <v>20</v>
      </c>
      <c r="L579" t="s">
        <v>20</v>
      </c>
      <c r="M579">
        <v>0</v>
      </c>
      <c r="N579" s="33">
        <v>22</v>
      </c>
      <c r="O579">
        <v>0</v>
      </c>
      <c r="P579">
        <v>160</v>
      </c>
      <c r="Q579" s="30">
        <v>0</v>
      </c>
      <c r="R579" s="29">
        <f>IFERROR(PROPERTIES[[#This Row],[TE_STARTING_KN]]/(PROPERTIES[[#This Row],[WEIGHT]]*9.81),0)</f>
        <v>0</v>
      </c>
      <c r="S579" s="29">
        <v>0.3</v>
      </c>
      <c r="T579" s="26">
        <f>ROUND(IF(IFERROR(PROPERTIES[[#This Row],[TE_COEFFICIENT_CALC]],0)=0,PROPERTIES[[#This Row],[TE_COEFFICIENT_MANUAL]],PROPERTIES[[#This Row],[TE_COEFFICIENT_CALC]]),3)</f>
        <v>0.3</v>
      </c>
      <c r="U579" s="11">
        <v>25</v>
      </c>
      <c r="V579" s="9">
        <v>0</v>
      </c>
      <c r="W579" s="9">
        <v>0</v>
      </c>
      <c r="X579" s="10">
        <v>0</v>
      </c>
      <c r="Y579" t="s">
        <v>917</v>
      </c>
      <c r="Z579" t="s">
        <v>903</v>
      </c>
      <c r="AA579" s="2" t="s">
        <v>922</v>
      </c>
      <c r="AB579" s="9" t="s">
        <v>1007</v>
      </c>
      <c r="AC579" s="9" t="s">
        <v>1008</v>
      </c>
      <c r="AD579" s="10" t="str">
        <f>SUBSTITUTE(SUBSTITUTE(PROPERTIES[[#This Row],[PURCHASECOST_VALUE]], "PURCHASECOST_", ""), "_VALUE", "")</f>
        <v>WAGON</v>
      </c>
      <c r="AE579" s="9" t="str" cm="1">
        <f t="array" ref="AE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9" s="2" t="b">
        <v>0</v>
      </c>
      <c r="AX579"/>
      <c r="AY579"/>
      <c r="AZ579"/>
    </row>
    <row r="580" spans="1:52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 s="2" t="s">
        <v>32</v>
      </c>
      <c r="K580" s="39">
        <f>_xlfn.XLOOKUP("LOADINGSPEEDDEF_"&amp;PROPERTIES[[#This Row],[LOADINGSPEED]],LOADINGSPEEDDEF[TYPE],LOADINGSPEEDDEF[SPEED])</f>
        <v>20</v>
      </c>
      <c r="L580" t="s">
        <v>20</v>
      </c>
      <c r="M580">
        <v>0</v>
      </c>
      <c r="N580" s="33">
        <v>42</v>
      </c>
      <c r="O580">
        <v>0</v>
      </c>
      <c r="P580">
        <v>140</v>
      </c>
      <c r="Q580" s="30">
        <v>0</v>
      </c>
      <c r="R580" s="29">
        <f>IFERROR(PROPERTIES[[#This Row],[TE_STARTING_KN]]/(PROPERTIES[[#This Row],[WEIGHT]]*9.81),0)</f>
        <v>0</v>
      </c>
      <c r="S580" s="29">
        <v>0.3</v>
      </c>
      <c r="T580" s="26">
        <f>ROUND(IF(IFERROR(PROPERTIES[[#This Row],[TE_COEFFICIENT_CALC]],0)=0,PROPERTIES[[#This Row],[TE_COEFFICIENT_MANUAL]],PROPERTIES[[#This Row],[TE_COEFFICIENT_CALC]]),3)</f>
        <v>0.3</v>
      </c>
      <c r="U580" s="11">
        <v>25</v>
      </c>
      <c r="V580" s="9">
        <v>0</v>
      </c>
      <c r="W580" s="9">
        <v>0</v>
      </c>
      <c r="X580" s="10">
        <v>0</v>
      </c>
      <c r="Y580" t="s">
        <v>917</v>
      </c>
      <c r="Z580" t="s">
        <v>903</v>
      </c>
      <c r="AA580" s="2" t="s">
        <v>922</v>
      </c>
      <c r="AB580" s="9" t="s">
        <v>1007</v>
      </c>
      <c r="AC580" s="9" t="s">
        <v>1008</v>
      </c>
      <c r="AD580" s="10" t="str">
        <f>SUBSTITUTE(SUBSTITUTE(PROPERTIES[[#This Row],[PURCHASECOST_VALUE]], "PURCHASECOST_", ""), "_VALUE", "")</f>
        <v>WAGON</v>
      </c>
      <c r="AE580" s="9" t="str" cm="1">
        <f t="array" ref="AE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0" s="2" t="b">
        <v>0</v>
      </c>
      <c r="AX580"/>
      <c r="AY580"/>
      <c r="AZ580"/>
    </row>
    <row r="581" spans="1:52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605</v>
      </c>
      <c r="H581">
        <v>75</v>
      </c>
      <c r="I581">
        <v>8</v>
      </c>
      <c r="J581" s="2" t="s">
        <v>32</v>
      </c>
      <c r="K581" s="39">
        <f>_xlfn.XLOOKUP("LOADINGSPEEDDEF_"&amp;PROPERTIES[[#This Row],[LOADINGSPEED]],LOADINGSPEEDDEF[TYPE],LOADINGSPEEDDEF[SPEED])</f>
        <v>20</v>
      </c>
      <c r="L581" t="s">
        <v>20</v>
      </c>
      <c r="M581">
        <v>0</v>
      </c>
      <c r="N581" s="33">
        <v>26</v>
      </c>
      <c r="O581">
        <v>0</v>
      </c>
      <c r="P581">
        <v>160</v>
      </c>
      <c r="Q581" s="30">
        <v>0</v>
      </c>
      <c r="R581" s="29">
        <f>IFERROR(PROPERTIES[[#This Row],[TE_STARTING_KN]]/(PROPERTIES[[#This Row],[WEIGHT]]*9.81),0)</f>
        <v>0</v>
      </c>
      <c r="S581" s="29">
        <v>0.3</v>
      </c>
      <c r="T581" s="26">
        <f>ROUND(IF(IFERROR(PROPERTIES[[#This Row],[TE_COEFFICIENT_CALC]],0)=0,PROPERTIES[[#This Row],[TE_COEFFICIENT_MANUAL]],PROPERTIES[[#This Row],[TE_COEFFICIENT_CALC]]),3)</f>
        <v>0.3</v>
      </c>
      <c r="U581" s="11">
        <v>25</v>
      </c>
      <c r="V581" s="9">
        <v>0</v>
      </c>
      <c r="W581" s="9">
        <v>0</v>
      </c>
      <c r="X581" s="10">
        <v>0</v>
      </c>
      <c r="Y581" t="s">
        <v>914</v>
      </c>
      <c r="Z581" t="s">
        <v>903</v>
      </c>
      <c r="AA581" s="2" t="s">
        <v>922</v>
      </c>
      <c r="AB581" s="9" t="s">
        <v>1007</v>
      </c>
      <c r="AC581" s="9" t="s">
        <v>1008</v>
      </c>
      <c r="AD581" s="10" t="str">
        <f>SUBSTITUTE(SUBSTITUTE(PROPERTIES[[#This Row],[PURCHASECOST_VALUE]], "PURCHASECOST_", ""), "_VALUE", "")</f>
        <v>WAGON</v>
      </c>
      <c r="AE581" s="9" t="str" cm="1">
        <f t="array" ref="AE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1" s="2" t="b">
        <v>0</v>
      </c>
      <c r="AX581"/>
      <c r="AY581"/>
      <c r="AZ581"/>
    </row>
    <row r="582" spans="1:52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605</v>
      </c>
      <c r="H582">
        <v>75</v>
      </c>
      <c r="I582">
        <v>8</v>
      </c>
      <c r="J582" s="2" t="s">
        <v>32</v>
      </c>
      <c r="K582" s="39">
        <f>_xlfn.XLOOKUP("LOADINGSPEEDDEF_"&amp;PROPERTIES[[#This Row],[LOADINGSPEED]],LOADINGSPEEDDEF[TYPE],LOADINGSPEEDDEF[SPEED])</f>
        <v>20</v>
      </c>
      <c r="L582" t="s">
        <v>20</v>
      </c>
      <c r="M582">
        <v>0</v>
      </c>
      <c r="N582" s="33">
        <v>26</v>
      </c>
      <c r="O582">
        <v>0</v>
      </c>
      <c r="P582">
        <v>160</v>
      </c>
      <c r="Q582" s="30">
        <v>0</v>
      </c>
      <c r="R582" s="29">
        <f>IFERROR(PROPERTIES[[#This Row],[TE_STARTING_KN]]/(PROPERTIES[[#This Row],[WEIGHT]]*9.81),0)</f>
        <v>0</v>
      </c>
      <c r="S582" s="29">
        <v>0.3</v>
      </c>
      <c r="T582" s="26">
        <f>ROUND(IF(IFERROR(PROPERTIES[[#This Row],[TE_COEFFICIENT_CALC]],0)=0,PROPERTIES[[#This Row],[TE_COEFFICIENT_MANUAL]],PROPERTIES[[#This Row],[TE_COEFFICIENT_CALC]]),3)</f>
        <v>0.3</v>
      </c>
      <c r="U582" s="11">
        <v>25</v>
      </c>
      <c r="V582" s="9">
        <v>0</v>
      </c>
      <c r="W582" s="9">
        <v>0</v>
      </c>
      <c r="X582" s="10">
        <v>0</v>
      </c>
      <c r="Y582" t="s">
        <v>917</v>
      </c>
      <c r="Z582" t="s">
        <v>903</v>
      </c>
      <c r="AA582" s="2" t="s">
        <v>922</v>
      </c>
      <c r="AB582" s="9" t="s">
        <v>1007</v>
      </c>
      <c r="AC582" s="9" t="s">
        <v>1008</v>
      </c>
      <c r="AD582" s="10" t="str">
        <f>SUBSTITUTE(SUBSTITUTE(PROPERTIES[[#This Row],[PURCHASECOST_VALUE]], "PURCHASECOST_", ""), "_VALUE", "")</f>
        <v>WAGON</v>
      </c>
      <c r="AE582" s="9" t="str" cm="1">
        <f t="array" ref="AE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2" s="2" t="b">
        <v>0</v>
      </c>
      <c r="AX582"/>
      <c r="AY582"/>
      <c r="AZ582"/>
    </row>
    <row r="583" spans="1:52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606</v>
      </c>
      <c r="H583">
        <v>75</v>
      </c>
      <c r="I583">
        <v>8</v>
      </c>
      <c r="J583" s="2" t="s">
        <v>32</v>
      </c>
      <c r="K583" s="39">
        <f>_xlfn.XLOOKUP("LOADINGSPEEDDEF_"&amp;PROPERTIES[[#This Row],[LOADINGSPEED]],LOADINGSPEEDDEF[TYPE],LOADINGSPEEDDEF[SPEED])</f>
        <v>20</v>
      </c>
      <c r="L583" t="s">
        <v>20</v>
      </c>
      <c r="M583">
        <v>0</v>
      </c>
      <c r="N583" s="33">
        <v>27</v>
      </c>
      <c r="O583">
        <v>0</v>
      </c>
      <c r="P583">
        <v>160</v>
      </c>
      <c r="Q583" s="30">
        <v>0</v>
      </c>
      <c r="R583" s="29">
        <f>IFERROR(PROPERTIES[[#This Row],[TE_STARTING_KN]]/(PROPERTIES[[#This Row],[WEIGHT]]*9.81),0)</f>
        <v>0</v>
      </c>
      <c r="S583" s="29">
        <v>0.3</v>
      </c>
      <c r="T583" s="26">
        <f>ROUND(IF(IFERROR(PROPERTIES[[#This Row],[TE_COEFFICIENT_CALC]],0)=0,PROPERTIES[[#This Row],[TE_COEFFICIENT_MANUAL]],PROPERTIES[[#This Row],[TE_COEFFICIENT_CALC]]),3)</f>
        <v>0.3</v>
      </c>
      <c r="U583" s="11">
        <v>25</v>
      </c>
      <c r="V583" s="9">
        <v>0</v>
      </c>
      <c r="W583" s="9">
        <v>0</v>
      </c>
      <c r="X583" s="10">
        <v>0</v>
      </c>
      <c r="Y583" t="s">
        <v>914</v>
      </c>
      <c r="Z583" t="s">
        <v>903</v>
      </c>
      <c r="AA583" s="2" t="s">
        <v>922</v>
      </c>
      <c r="AB583" s="9" t="s">
        <v>1007</v>
      </c>
      <c r="AC583" s="9" t="s">
        <v>1008</v>
      </c>
      <c r="AD583" s="10" t="str">
        <f>SUBSTITUTE(SUBSTITUTE(PROPERTIES[[#This Row],[PURCHASECOST_VALUE]], "PURCHASECOST_", ""), "_VALUE", "")</f>
        <v>WAGON</v>
      </c>
      <c r="AE583" s="9" t="str" cm="1">
        <f t="array" ref="AE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3" s="2" t="b">
        <v>0</v>
      </c>
      <c r="AX583"/>
      <c r="AY583"/>
      <c r="AZ583"/>
    </row>
    <row r="584" spans="1:52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606</v>
      </c>
      <c r="H584">
        <v>75</v>
      </c>
      <c r="I584">
        <v>8</v>
      </c>
      <c r="J584" s="2" t="s">
        <v>32</v>
      </c>
      <c r="K584" s="39">
        <f>_xlfn.XLOOKUP("LOADINGSPEEDDEF_"&amp;PROPERTIES[[#This Row],[LOADINGSPEED]],LOADINGSPEEDDEF[TYPE],LOADINGSPEEDDEF[SPEED])</f>
        <v>20</v>
      </c>
      <c r="L584" t="s">
        <v>20</v>
      </c>
      <c r="M584">
        <v>0</v>
      </c>
      <c r="N584" s="33">
        <v>27</v>
      </c>
      <c r="O584">
        <v>0</v>
      </c>
      <c r="P584">
        <v>160</v>
      </c>
      <c r="Q584" s="30">
        <v>0</v>
      </c>
      <c r="R584" s="29">
        <f>IFERROR(PROPERTIES[[#This Row],[TE_STARTING_KN]]/(PROPERTIES[[#This Row],[WEIGHT]]*9.81),0)</f>
        <v>0</v>
      </c>
      <c r="S584" s="29">
        <v>0.3</v>
      </c>
      <c r="T584" s="26">
        <f>ROUND(IF(IFERROR(PROPERTIES[[#This Row],[TE_COEFFICIENT_CALC]],0)=0,PROPERTIES[[#This Row],[TE_COEFFICIENT_MANUAL]],PROPERTIES[[#This Row],[TE_COEFFICIENT_CALC]]),3)</f>
        <v>0.3</v>
      </c>
      <c r="U584" s="11">
        <v>25</v>
      </c>
      <c r="V584" s="9">
        <v>0</v>
      </c>
      <c r="W584" s="9">
        <v>0</v>
      </c>
      <c r="X584" s="10">
        <v>0</v>
      </c>
      <c r="Y584" t="s">
        <v>915</v>
      </c>
      <c r="Z584" t="s">
        <v>903</v>
      </c>
      <c r="AA584" s="2" t="s">
        <v>922</v>
      </c>
      <c r="AB584" s="9" t="s">
        <v>1007</v>
      </c>
      <c r="AC584" s="9" t="s">
        <v>1008</v>
      </c>
      <c r="AD584" s="10" t="str">
        <f>SUBSTITUTE(SUBSTITUTE(PROPERTIES[[#This Row],[PURCHASECOST_VALUE]], "PURCHASECOST_", ""), "_VALUE", "")</f>
        <v>WAGON</v>
      </c>
      <c r="AE584" s="9" t="str" cm="1">
        <f t="array" ref="AE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4" s="2" t="b">
        <v>0</v>
      </c>
      <c r="AX584"/>
      <c r="AY584"/>
      <c r="AZ584"/>
    </row>
    <row r="585" spans="1:52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 s="2" t="s">
        <v>32</v>
      </c>
      <c r="K585" s="39">
        <f>_xlfn.XLOOKUP("LOADINGSPEEDDEF_"&amp;PROPERTIES[[#This Row],[LOADINGSPEED]],LOADINGSPEEDDEF[TYPE],LOADINGSPEEDDEF[SPEED])</f>
        <v>20</v>
      </c>
      <c r="L585" t="s">
        <v>20</v>
      </c>
      <c r="M585">
        <v>0</v>
      </c>
      <c r="N585" s="33">
        <v>50</v>
      </c>
      <c r="O585">
        <v>0</v>
      </c>
      <c r="P585">
        <v>140</v>
      </c>
      <c r="Q585" s="30">
        <v>0</v>
      </c>
      <c r="R585" s="29">
        <f>IFERROR(PROPERTIES[[#This Row],[TE_STARTING_KN]]/(PROPERTIES[[#This Row],[WEIGHT]]*9.81),0)</f>
        <v>0</v>
      </c>
      <c r="S585" s="29">
        <v>0.3</v>
      </c>
      <c r="T585" s="26">
        <f>ROUND(IF(IFERROR(PROPERTIES[[#This Row],[TE_COEFFICIENT_CALC]],0)=0,PROPERTIES[[#This Row],[TE_COEFFICIENT_MANUAL]],PROPERTIES[[#This Row],[TE_COEFFICIENT_CALC]]),3)</f>
        <v>0.3</v>
      </c>
      <c r="U585" s="11">
        <v>25</v>
      </c>
      <c r="V585" s="9">
        <v>0</v>
      </c>
      <c r="W585" s="9">
        <v>0</v>
      </c>
      <c r="X585" s="10">
        <v>0</v>
      </c>
      <c r="Y585" t="s">
        <v>917</v>
      </c>
      <c r="Z585" t="s">
        <v>903</v>
      </c>
      <c r="AA585" s="2" t="s">
        <v>922</v>
      </c>
      <c r="AB585" s="9" t="s">
        <v>1007</v>
      </c>
      <c r="AC585" s="9" t="s">
        <v>1008</v>
      </c>
      <c r="AD585" s="10" t="str">
        <f>SUBSTITUTE(SUBSTITUTE(PROPERTIES[[#This Row],[PURCHASECOST_VALUE]], "PURCHASECOST_", ""), "_VALUE", "")</f>
        <v>WAGON</v>
      </c>
      <c r="AE585" s="9" t="str" cm="1">
        <f t="array" ref="AE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5" s="2" t="b">
        <v>0</v>
      </c>
      <c r="AX585"/>
      <c r="AY585"/>
      <c r="AZ585"/>
    </row>
    <row r="586" spans="1:52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 s="2" t="s">
        <v>32</v>
      </c>
      <c r="K586" s="39">
        <f>_xlfn.XLOOKUP("LOADINGSPEEDDEF_"&amp;PROPERTIES[[#This Row],[LOADINGSPEED]],LOADINGSPEEDDEF[TYPE],LOADINGSPEEDDEF[SPEED])</f>
        <v>20</v>
      </c>
      <c r="L586" t="s">
        <v>20</v>
      </c>
      <c r="M586">
        <v>0</v>
      </c>
      <c r="N586" s="33">
        <v>24</v>
      </c>
      <c r="O586">
        <v>0</v>
      </c>
      <c r="P586">
        <v>160</v>
      </c>
      <c r="Q586" s="30">
        <v>0</v>
      </c>
      <c r="R586" s="29">
        <f>IFERROR(PROPERTIES[[#This Row],[TE_STARTING_KN]]/(PROPERTIES[[#This Row],[WEIGHT]]*9.81),0)</f>
        <v>0</v>
      </c>
      <c r="S586" s="29">
        <v>0.3</v>
      </c>
      <c r="T586" s="26">
        <f>ROUND(IF(IFERROR(PROPERTIES[[#This Row],[TE_COEFFICIENT_CALC]],0)=0,PROPERTIES[[#This Row],[TE_COEFFICIENT_MANUAL]],PROPERTIES[[#This Row],[TE_COEFFICIENT_CALC]]),3)</f>
        <v>0.3</v>
      </c>
      <c r="U586" s="11">
        <v>25</v>
      </c>
      <c r="V586" s="9">
        <v>0</v>
      </c>
      <c r="W586" s="9">
        <v>0</v>
      </c>
      <c r="X586" s="10">
        <v>0</v>
      </c>
      <c r="Y586" t="s">
        <v>917</v>
      </c>
      <c r="Z586" t="s">
        <v>903</v>
      </c>
      <c r="AA586" s="2" t="s">
        <v>922</v>
      </c>
      <c r="AB586" s="9" t="s">
        <v>1007</v>
      </c>
      <c r="AC586" s="9" t="s">
        <v>1008</v>
      </c>
      <c r="AD586" s="10" t="str">
        <f>SUBSTITUTE(SUBSTITUTE(PROPERTIES[[#This Row],[PURCHASECOST_VALUE]], "PURCHASECOST_", ""), "_VALUE", "")</f>
        <v>WAGON</v>
      </c>
      <c r="AE586" s="9" t="str" cm="1">
        <f t="array" ref="AE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6" s="2" t="b">
        <v>0</v>
      </c>
      <c r="AX586"/>
      <c r="AY586"/>
      <c r="AZ586"/>
    </row>
    <row r="587" spans="1:52">
      <c r="A587" s="2" t="s">
        <v>609</v>
      </c>
      <c r="B587">
        <v>1990</v>
      </c>
      <c r="C587">
        <v>0</v>
      </c>
      <c r="D587" t="s">
        <v>1873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 s="2" t="s">
        <v>23</v>
      </c>
      <c r="K587" s="39">
        <f>_xlfn.XLOOKUP("LOADINGSPEEDDEF_"&amp;PROPERTIES[[#This Row],[LOADINGSPEED]],LOADINGSPEEDDEF[TYPE],LOADINGSPEEDDEF[SPEED])</f>
        <v>40</v>
      </c>
      <c r="L587">
        <v>45</v>
      </c>
      <c r="M587">
        <v>1</v>
      </c>
      <c r="N587" s="33">
        <v>32</v>
      </c>
      <c r="O587">
        <v>400</v>
      </c>
      <c r="P587">
        <v>110</v>
      </c>
      <c r="Q587" s="30">
        <v>65</v>
      </c>
      <c r="R587" s="29">
        <f>IFERROR(PROPERTIES[[#This Row],[TE_STARTING_KN]]/(PROPERTIES[[#This Row],[WEIGHT]]*9.81),0)</f>
        <v>0.207059123343527</v>
      </c>
      <c r="S587" s="29">
        <v>0.34</v>
      </c>
      <c r="T587" s="26">
        <f>ROUND(IF(IFERROR(PROPERTIES[[#This Row],[TE_COEFFICIENT_CALC]],0)=0,PROPERTIES[[#This Row],[TE_COEFFICIENT_MANUAL]],PROPERTIES[[#This Row],[TE_COEFFICIENT_CALC]]),3)</f>
        <v>0.20699999999999999</v>
      </c>
      <c r="U587" s="11">
        <v>15</v>
      </c>
      <c r="V587" s="9">
        <v>0</v>
      </c>
      <c r="W587" s="9">
        <v>0</v>
      </c>
      <c r="X587" s="10">
        <v>0</v>
      </c>
      <c r="Y587" t="s">
        <v>912</v>
      </c>
      <c r="Z587" t="s">
        <v>903</v>
      </c>
      <c r="AA587" s="2" t="s">
        <v>921</v>
      </c>
      <c r="AB587" s="9" t="s">
        <v>985</v>
      </c>
      <c r="AC587" s="9" t="s">
        <v>986</v>
      </c>
      <c r="AD587" s="10" t="str">
        <f>SUBSTITUTE(SUBSTITUTE(PROPERTIES[[#This Row],[PURCHASECOST_VALUE]], "PURCHASECOST_", ""), "_VALUE", "")</f>
        <v>DIESELRAILBUS</v>
      </c>
      <c r="AE587" s="9" t="str" cm="1">
        <f t="array" ref="AE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7" s="2" t="b">
        <v>0</v>
      </c>
      <c r="AX587"/>
      <c r="AY587"/>
      <c r="AZ587"/>
    </row>
    <row r="588" spans="1:52">
      <c r="A588" s="2" t="s">
        <v>610</v>
      </c>
      <c r="B588">
        <v>2008</v>
      </c>
      <c r="C588">
        <v>0</v>
      </c>
      <c r="D588" t="s">
        <v>1873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 s="2" t="s">
        <v>23</v>
      </c>
      <c r="K588" s="39">
        <f>_xlfn.XLOOKUP("LOADINGSPEEDDEF_"&amp;PROPERTIES[[#This Row],[LOADINGSPEED]],LOADINGSPEEDDEF[TYPE],LOADINGSPEEDDEF[SPEED])</f>
        <v>40</v>
      </c>
      <c r="L588" t="s">
        <v>20</v>
      </c>
      <c r="M588">
        <v>1</v>
      </c>
      <c r="N588" s="33">
        <v>39</v>
      </c>
      <c r="O588">
        <v>444</v>
      </c>
      <c r="P588">
        <v>100</v>
      </c>
      <c r="Q588" s="30">
        <v>60</v>
      </c>
      <c r="R588" s="29">
        <f>IFERROR(PROPERTIES[[#This Row],[TE_STARTING_KN]]/(PROPERTIES[[#This Row],[WEIGHT]]*9.81),0)</f>
        <v>0.15682584489923937</v>
      </c>
      <c r="S588" s="29">
        <v>0.26</v>
      </c>
      <c r="T588" s="26">
        <f>ROUND(IF(IFERROR(PROPERTIES[[#This Row],[TE_COEFFICIENT_CALC]],0)=0,PROPERTIES[[#This Row],[TE_COEFFICIENT_MANUAL]],PROPERTIES[[#This Row],[TE_COEFFICIENT_CALC]]),3)</f>
        <v>0.157</v>
      </c>
      <c r="U588" s="11">
        <v>15</v>
      </c>
      <c r="V588" s="9">
        <v>0</v>
      </c>
      <c r="W588" s="9">
        <v>0</v>
      </c>
      <c r="X588" s="10">
        <v>0</v>
      </c>
      <c r="Y588" t="s">
        <v>912</v>
      </c>
      <c r="Z588" t="s">
        <v>903</v>
      </c>
      <c r="AA588" s="2" t="s">
        <v>921</v>
      </c>
      <c r="AB588" s="9" t="s">
        <v>985</v>
      </c>
      <c r="AC588" s="9" t="s">
        <v>986</v>
      </c>
      <c r="AD588" s="10" t="str">
        <f>SUBSTITUTE(SUBSTITUTE(PROPERTIES[[#This Row],[PURCHASECOST_VALUE]], "PURCHASECOST_", ""), "_VALUE", "")</f>
        <v>DIESELRAILBUS</v>
      </c>
      <c r="AE588" s="9" t="str" cm="1">
        <f t="array" ref="AE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8" s="2" t="b">
        <v>0</v>
      </c>
      <c r="AX588"/>
      <c r="AY588"/>
      <c r="AZ588"/>
    </row>
    <row r="589" spans="1:52">
      <c r="A589" s="2" t="s">
        <v>611</v>
      </c>
      <c r="B589">
        <v>1961</v>
      </c>
      <c r="C589">
        <v>0</v>
      </c>
      <c r="D589" t="s">
        <v>1806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 s="2" t="s">
        <v>23</v>
      </c>
      <c r="K589" s="39">
        <f>_xlfn.XLOOKUP("LOADINGSPEEDDEF_"&amp;PROPERTIES[[#This Row],[LOADINGSPEED]],LOADINGSPEEDDEF[TYPE],LOADINGSPEEDDEF[SPEED])</f>
        <v>40</v>
      </c>
      <c r="L589">
        <v>45</v>
      </c>
      <c r="M589">
        <v>1</v>
      </c>
      <c r="N589" s="33">
        <v>20</v>
      </c>
      <c r="O589">
        <v>180</v>
      </c>
      <c r="P589">
        <v>60</v>
      </c>
      <c r="Q589" s="30">
        <v>22</v>
      </c>
      <c r="R589" s="29">
        <f>IFERROR(PROPERTIES[[#This Row],[TE_STARTING_KN]]/(PROPERTIES[[#This Row],[WEIGHT]]*9.81),0)</f>
        <v>0.11213047910295616</v>
      </c>
      <c r="S589" s="29">
        <v>0.22</v>
      </c>
      <c r="T589" s="26">
        <f>ROUND(IF(IFERROR(PROPERTIES[[#This Row],[TE_COEFFICIENT_CALC]],0)=0,PROPERTIES[[#This Row],[TE_COEFFICIENT_MANUAL]],PROPERTIES[[#This Row],[TE_COEFFICIENT_CALC]]),3)</f>
        <v>0.112</v>
      </c>
      <c r="U589" s="11">
        <v>15</v>
      </c>
      <c r="V589" s="9">
        <v>0</v>
      </c>
      <c r="W589" s="9">
        <v>0</v>
      </c>
      <c r="X589" s="10">
        <v>0</v>
      </c>
      <c r="Y589" t="s">
        <v>911</v>
      </c>
      <c r="Z589" t="s">
        <v>903</v>
      </c>
      <c r="AA589" s="2" t="s">
        <v>921</v>
      </c>
      <c r="AB589" s="9" t="s">
        <v>985</v>
      </c>
      <c r="AC589" s="9" t="s">
        <v>986</v>
      </c>
      <c r="AD589" s="10" t="str">
        <f>SUBSTITUTE(SUBSTITUTE(PROPERTIES[[#This Row],[PURCHASECOST_VALUE]], "PURCHASECOST_", ""), "_VALUE", "")</f>
        <v>DIESELRAILBUS</v>
      </c>
      <c r="AE589" s="9" t="str" cm="1">
        <f t="array" ref="AE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9" s="2" t="b">
        <v>0</v>
      </c>
      <c r="AX589"/>
      <c r="AY589"/>
      <c r="AZ589"/>
    </row>
    <row r="590" spans="1:52">
      <c r="A590" s="2" t="s">
        <v>612</v>
      </c>
      <c r="B590">
        <v>1935</v>
      </c>
      <c r="C590">
        <v>0</v>
      </c>
      <c r="D590" t="s">
        <v>1770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 s="2" t="s">
        <v>23</v>
      </c>
      <c r="K590" s="39">
        <f>_xlfn.XLOOKUP("LOADINGSPEEDDEF_"&amp;PROPERTIES[[#This Row],[LOADINGSPEED]],LOADINGSPEEDDEF[TYPE],LOADINGSPEEDDEF[SPEED])</f>
        <v>40</v>
      </c>
      <c r="L590">
        <v>45</v>
      </c>
      <c r="M590">
        <v>1</v>
      </c>
      <c r="N590" s="33">
        <v>37</v>
      </c>
      <c r="O590">
        <v>270</v>
      </c>
      <c r="P590">
        <v>80</v>
      </c>
      <c r="Q590" s="30">
        <v>42</v>
      </c>
      <c r="R590" s="29">
        <f>IFERROR(PROPERTIES[[#This Row],[TE_STARTING_KN]]/(PROPERTIES[[#This Row],[WEIGHT]]*9.81),0)</f>
        <v>0.11571204231754689</v>
      </c>
      <c r="S590" s="29">
        <v>0.14000000000000001</v>
      </c>
      <c r="T590" s="26">
        <f>ROUND(IF(IFERROR(PROPERTIES[[#This Row],[TE_COEFFICIENT_CALC]],0)=0,PROPERTIES[[#This Row],[TE_COEFFICIENT_MANUAL]],PROPERTIES[[#This Row],[TE_COEFFICIENT_CALC]]),3)</f>
        <v>0.11600000000000001</v>
      </c>
      <c r="U590" s="11">
        <v>15</v>
      </c>
      <c r="V590" s="9">
        <v>0</v>
      </c>
      <c r="W590" s="9">
        <v>0</v>
      </c>
      <c r="X590" s="10">
        <v>0</v>
      </c>
      <c r="Y590" t="s">
        <v>911</v>
      </c>
      <c r="Z590" t="s">
        <v>903</v>
      </c>
      <c r="AA590" s="2" t="s">
        <v>921</v>
      </c>
      <c r="AB590" s="9" t="s">
        <v>985</v>
      </c>
      <c r="AC590" s="9" t="s">
        <v>986</v>
      </c>
      <c r="AD590" s="10" t="str">
        <f>SUBSTITUTE(SUBSTITUTE(PROPERTIES[[#This Row],[PURCHASECOST_VALUE]], "PURCHASECOST_", ""), "_VALUE", "")</f>
        <v>DIESELRAILBUS</v>
      </c>
      <c r="AE590" s="9" t="str" cm="1">
        <f t="array" ref="AE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0" s="2" t="b">
        <v>0</v>
      </c>
      <c r="AX590"/>
      <c r="AY590"/>
      <c r="AZ590"/>
    </row>
    <row r="591" spans="1:52">
      <c r="A591" s="2" t="s">
        <v>613</v>
      </c>
      <c r="B591">
        <v>1937</v>
      </c>
      <c r="C591">
        <v>0</v>
      </c>
      <c r="D591" t="s">
        <v>1827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 s="2" t="s">
        <v>23</v>
      </c>
      <c r="K591" s="39">
        <f>_xlfn.XLOOKUP("LOADINGSPEEDDEF_"&amp;PROPERTIES[[#This Row],[LOADINGSPEED]],LOADINGSPEEDDEF[TYPE],LOADINGSPEEDDEF[SPEED])</f>
        <v>40</v>
      </c>
      <c r="L591">
        <v>45</v>
      </c>
      <c r="M591">
        <v>1</v>
      </c>
      <c r="N591" s="33">
        <v>24</v>
      </c>
      <c r="O591">
        <v>290</v>
      </c>
      <c r="P591">
        <v>80</v>
      </c>
      <c r="Q591" s="30">
        <v>32</v>
      </c>
      <c r="R591" s="29">
        <f>IFERROR(PROPERTIES[[#This Row],[TE_STARTING_KN]]/(PROPERTIES[[#This Row],[WEIGHT]]*9.81),0)</f>
        <v>0.13591573224600748</v>
      </c>
      <c r="S591" s="29">
        <v>0.26</v>
      </c>
      <c r="T591" s="26">
        <f>ROUND(IF(IFERROR(PROPERTIES[[#This Row],[TE_COEFFICIENT_CALC]],0)=0,PROPERTIES[[#This Row],[TE_COEFFICIENT_MANUAL]],PROPERTIES[[#This Row],[TE_COEFFICIENT_CALC]]),3)</f>
        <v>0.13600000000000001</v>
      </c>
      <c r="U591" s="11">
        <v>15</v>
      </c>
      <c r="V591" s="9">
        <v>0</v>
      </c>
      <c r="W591" s="9">
        <v>0</v>
      </c>
      <c r="X591" s="10">
        <v>0</v>
      </c>
      <c r="Y591" t="s">
        <v>907</v>
      </c>
      <c r="Z591" t="s">
        <v>903</v>
      </c>
      <c r="AA591" s="2" t="s">
        <v>921</v>
      </c>
      <c r="AB591" s="9" t="s">
        <v>985</v>
      </c>
      <c r="AC591" s="9" t="s">
        <v>986</v>
      </c>
      <c r="AD591" s="10" t="str">
        <f>SUBSTITUTE(SUBSTITUTE(PROPERTIES[[#This Row],[PURCHASECOST_VALUE]], "PURCHASECOST_", ""), "_VALUE", "")</f>
        <v>DIESELRAILBUS</v>
      </c>
      <c r="AE591" s="9" t="str" cm="1">
        <f t="array" ref="AE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1" s="2" t="b">
        <v>0</v>
      </c>
      <c r="AX591"/>
      <c r="AY591"/>
      <c r="AZ591"/>
    </row>
    <row r="592" spans="1:52">
      <c r="A592" s="2" t="s">
        <v>614</v>
      </c>
      <c r="B592">
        <v>1911</v>
      </c>
      <c r="C592">
        <v>0</v>
      </c>
      <c r="D592" t="s">
        <v>1803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 s="2" t="s">
        <v>23</v>
      </c>
      <c r="K592" s="39">
        <f>_xlfn.XLOOKUP("LOADINGSPEEDDEF_"&amp;PROPERTIES[[#This Row],[LOADINGSPEED]],LOADINGSPEEDDEF[TYPE],LOADINGSPEEDDEF[SPEED])</f>
        <v>40</v>
      </c>
      <c r="L592">
        <v>45</v>
      </c>
      <c r="M592">
        <v>1</v>
      </c>
      <c r="N592" s="33">
        <v>34</v>
      </c>
      <c r="O592">
        <v>340</v>
      </c>
      <c r="P592">
        <v>35</v>
      </c>
      <c r="Q592" s="30">
        <v>78</v>
      </c>
      <c r="R592" s="29">
        <f>IFERROR(PROPERTIES[[#This Row],[TE_STARTING_KN]]/(PROPERTIES[[#This Row],[WEIGHT]]*9.81),0)</f>
        <v>0.23385500989386579</v>
      </c>
      <c r="S592" s="29">
        <v>0.15</v>
      </c>
      <c r="T592" s="26">
        <f>ROUND(IF(IFERROR(PROPERTIES[[#This Row],[TE_COEFFICIENT_CALC]],0)=0,PROPERTIES[[#This Row],[TE_COEFFICIENT_MANUAL]],PROPERTIES[[#This Row],[TE_COEFFICIENT_CALC]]),3)</f>
        <v>0.23400000000000001</v>
      </c>
      <c r="U592" s="11">
        <v>15</v>
      </c>
      <c r="V592" s="9">
        <v>0</v>
      </c>
      <c r="W592" s="9">
        <v>0</v>
      </c>
      <c r="X592" s="10">
        <v>0</v>
      </c>
      <c r="Y592" t="s">
        <v>904</v>
      </c>
      <c r="Z592" t="s">
        <v>903</v>
      </c>
      <c r="AA592" s="2" t="s">
        <v>921</v>
      </c>
      <c r="AB592" s="9" t="s">
        <v>987</v>
      </c>
      <c r="AC592" s="9" t="s">
        <v>988</v>
      </c>
      <c r="AD592" s="10" t="str">
        <f>SUBSTITUTE(SUBSTITUTE(PROPERTIES[[#This Row],[PURCHASECOST_VALUE]], "PURCHASECOST_", ""), "_VALUE", "")</f>
        <v>ELECTRICRAILBUS</v>
      </c>
      <c r="AE592" s="9" t="str" cm="1">
        <f t="array" ref="AE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2" s="2" t="b">
        <v>0</v>
      </c>
      <c r="AX592"/>
      <c r="AY592"/>
      <c r="AZ592"/>
    </row>
    <row r="593" spans="1:52">
      <c r="A593" s="2" t="s">
        <v>615</v>
      </c>
      <c r="B593">
        <v>1907</v>
      </c>
      <c r="C593">
        <v>0</v>
      </c>
      <c r="D593" t="s">
        <v>1803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 s="2" t="s">
        <v>23</v>
      </c>
      <c r="K593" s="39">
        <f>_xlfn.XLOOKUP("LOADINGSPEEDDEF_"&amp;PROPERTIES[[#This Row],[LOADINGSPEED]],LOADINGSPEEDDEF[TYPE],LOADINGSPEEDDEF[SPEED])</f>
        <v>40</v>
      </c>
      <c r="L593">
        <v>45</v>
      </c>
      <c r="M593">
        <v>1</v>
      </c>
      <c r="N593" s="33">
        <v>15</v>
      </c>
      <c r="O593">
        <v>320</v>
      </c>
      <c r="P593">
        <v>25</v>
      </c>
      <c r="Q593" s="30">
        <v>45</v>
      </c>
      <c r="R593" s="29">
        <f>IFERROR(PROPERTIES[[#This Row],[TE_STARTING_KN]]/(PROPERTIES[[#This Row],[WEIGHT]]*9.81),0)</f>
        <v>0.3058103975535168</v>
      </c>
      <c r="S593" s="29">
        <v>0.33</v>
      </c>
      <c r="T593" s="26">
        <f>ROUND(IF(IFERROR(PROPERTIES[[#This Row],[TE_COEFFICIENT_CALC]],0)=0,PROPERTIES[[#This Row],[TE_COEFFICIENT_MANUAL]],PROPERTIES[[#This Row],[TE_COEFFICIENT_CALC]]),3)</f>
        <v>0.30599999999999999</v>
      </c>
      <c r="U593" s="11">
        <v>15</v>
      </c>
      <c r="V593" s="9">
        <v>0</v>
      </c>
      <c r="W593" s="9">
        <v>0</v>
      </c>
      <c r="X593" s="10">
        <v>0</v>
      </c>
      <c r="Y593" t="s">
        <v>904</v>
      </c>
      <c r="Z593" t="s">
        <v>903</v>
      </c>
      <c r="AA593" s="2" t="s">
        <v>921</v>
      </c>
      <c r="AB593" s="9" t="s">
        <v>987</v>
      </c>
      <c r="AC593" s="9" t="s">
        <v>988</v>
      </c>
      <c r="AD593" s="10" t="str">
        <f>SUBSTITUTE(SUBSTITUTE(PROPERTIES[[#This Row],[PURCHASECOST_VALUE]], "PURCHASECOST_", ""), "_VALUE", "")</f>
        <v>ELECTRICRAILBUS</v>
      </c>
      <c r="AE593" s="9" t="str" cm="1">
        <f t="array" ref="AE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3" s="2" t="b">
        <v>0</v>
      </c>
      <c r="AX593"/>
      <c r="AY593"/>
      <c r="AZ593"/>
    </row>
    <row r="594" spans="1:52">
      <c r="A594" s="2" t="s">
        <v>616</v>
      </c>
      <c r="B594">
        <v>1998</v>
      </c>
      <c r="C594">
        <v>0</v>
      </c>
      <c r="D594" t="s">
        <v>1803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 s="2" t="s">
        <v>23</v>
      </c>
      <c r="K594" s="39">
        <f>_xlfn.XLOOKUP("LOADINGSPEEDDEF_"&amp;PROPERTIES[[#This Row],[LOADINGSPEED]],LOADINGSPEEDDEF[TYPE],LOADINGSPEEDDEF[SPEED])</f>
        <v>40</v>
      </c>
      <c r="L594">
        <v>45</v>
      </c>
      <c r="M594">
        <v>1</v>
      </c>
      <c r="N594" s="33">
        <v>32</v>
      </c>
      <c r="O594">
        <v>574</v>
      </c>
      <c r="P594">
        <v>50</v>
      </c>
      <c r="Q594" s="30">
        <v>110</v>
      </c>
      <c r="R594" s="29">
        <f>IFERROR(PROPERTIES[[#This Row],[TE_STARTING_KN]]/(PROPERTIES[[#This Row],[WEIGHT]]*9.81),0)</f>
        <v>0.35040774719673801</v>
      </c>
      <c r="S594" s="29">
        <v>0.27</v>
      </c>
      <c r="T594" s="26">
        <f>ROUND(IF(IFERROR(PROPERTIES[[#This Row],[TE_COEFFICIENT_CALC]],0)=0,PROPERTIES[[#This Row],[TE_COEFFICIENT_MANUAL]],PROPERTIES[[#This Row],[TE_COEFFICIENT_CALC]]),3)</f>
        <v>0.35</v>
      </c>
      <c r="U594" s="11">
        <v>15</v>
      </c>
      <c r="V594" s="9">
        <v>0</v>
      </c>
      <c r="W594" s="9">
        <v>0</v>
      </c>
      <c r="X594" s="10">
        <v>0</v>
      </c>
      <c r="Y594" t="s">
        <v>904</v>
      </c>
      <c r="Z594" t="s">
        <v>903</v>
      </c>
      <c r="AA594" s="2" t="s">
        <v>921</v>
      </c>
      <c r="AB594" s="9" t="s">
        <v>987</v>
      </c>
      <c r="AC594" s="9" t="s">
        <v>988</v>
      </c>
      <c r="AD594" s="10" t="str">
        <f>SUBSTITUTE(SUBSTITUTE(PROPERTIES[[#This Row],[PURCHASECOST_VALUE]], "PURCHASECOST_", ""), "_VALUE", "")</f>
        <v>ELECTRICRAILBUS</v>
      </c>
      <c r="AE594" s="9" t="str" cm="1">
        <f t="array" ref="AE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4" s="2" t="b">
        <v>0</v>
      </c>
      <c r="AX594"/>
      <c r="AY594"/>
      <c r="AZ594"/>
    </row>
    <row r="595" spans="1:52">
      <c r="A595" s="2" t="s">
        <v>617</v>
      </c>
      <c r="B595">
        <v>1929</v>
      </c>
      <c r="C595">
        <v>0</v>
      </c>
      <c r="D595" t="s">
        <v>1828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 s="2" t="s">
        <v>23</v>
      </c>
      <c r="K595" s="39">
        <f>_xlfn.XLOOKUP("LOADINGSPEEDDEF_"&amp;PROPERTIES[[#This Row],[LOADINGSPEED]],LOADINGSPEEDDEF[TYPE],LOADINGSPEEDDEF[SPEED])</f>
        <v>40</v>
      </c>
      <c r="L595">
        <v>45</v>
      </c>
      <c r="M595">
        <v>1</v>
      </c>
      <c r="N595" s="33">
        <v>33</v>
      </c>
      <c r="O595">
        <v>350</v>
      </c>
      <c r="P595">
        <v>45</v>
      </c>
      <c r="Q595" s="30">
        <v>52</v>
      </c>
      <c r="R595" s="29">
        <f>IFERROR(PROPERTIES[[#This Row],[TE_STARTING_KN]]/(PROPERTIES[[#This Row],[WEIGHT]]*9.81),0)</f>
        <v>0.16062768356346338</v>
      </c>
      <c r="S595" s="29">
        <v>0.05</v>
      </c>
      <c r="T595" s="26">
        <f>ROUND(IF(IFERROR(PROPERTIES[[#This Row],[TE_COEFFICIENT_CALC]],0)=0,PROPERTIES[[#This Row],[TE_COEFFICIENT_MANUAL]],PROPERTIES[[#This Row],[TE_COEFFICIENT_CALC]]),3)</f>
        <v>0.161</v>
      </c>
      <c r="U595" s="11">
        <v>15</v>
      </c>
      <c r="V595" s="9">
        <v>0</v>
      </c>
      <c r="W595" s="9">
        <v>0</v>
      </c>
      <c r="X595" s="10">
        <v>0</v>
      </c>
      <c r="Y595" t="s">
        <v>905</v>
      </c>
      <c r="Z595" t="s">
        <v>903</v>
      </c>
      <c r="AA595" s="2" t="s">
        <v>921</v>
      </c>
      <c r="AB595" s="9" t="s">
        <v>987</v>
      </c>
      <c r="AC595" s="9" t="s">
        <v>988</v>
      </c>
      <c r="AD595" s="10" t="str">
        <f>SUBSTITUTE(SUBSTITUTE(PROPERTIES[[#This Row],[PURCHASECOST_VALUE]], "PURCHASECOST_", ""), "_VALUE", "")</f>
        <v>ELECTRICRAILBUS</v>
      </c>
      <c r="AE595" s="9" t="str" cm="1">
        <f t="array" ref="AE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5" s="2" t="b">
        <v>0</v>
      </c>
      <c r="AX595"/>
      <c r="AY595"/>
      <c r="AZ595"/>
    </row>
    <row r="596" spans="1:52">
      <c r="A596" s="2" t="s">
        <v>618</v>
      </c>
      <c r="B596">
        <v>1960</v>
      </c>
      <c r="C596">
        <v>0</v>
      </c>
      <c r="D596" t="s">
        <v>1873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 s="2" t="s">
        <v>23</v>
      </c>
      <c r="K596" s="39">
        <f>_xlfn.XLOOKUP("LOADINGSPEEDDEF_"&amp;PROPERTIES[[#This Row],[LOADINGSPEED]],LOADINGSPEEDDEF[TYPE],LOADINGSPEEDDEF[SPEED])</f>
        <v>40</v>
      </c>
      <c r="L596">
        <v>45</v>
      </c>
      <c r="M596">
        <v>1</v>
      </c>
      <c r="N596" s="33">
        <v>31</v>
      </c>
      <c r="O596">
        <v>402</v>
      </c>
      <c r="P596">
        <v>40</v>
      </c>
      <c r="Q596" s="30">
        <v>54</v>
      </c>
      <c r="R596" s="29">
        <f>IFERROR(PROPERTIES[[#This Row],[TE_STARTING_KN]]/(PROPERTIES[[#This Row],[WEIGHT]]*9.81),0)</f>
        <v>0.17756732761171942</v>
      </c>
      <c r="S596" s="29">
        <v>0.18</v>
      </c>
      <c r="T596" s="26">
        <f>ROUND(IF(IFERROR(PROPERTIES[[#This Row],[TE_COEFFICIENT_CALC]],0)=0,PROPERTIES[[#This Row],[TE_COEFFICIENT_MANUAL]],PROPERTIES[[#This Row],[TE_COEFFICIENT_CALC]]),3)</f>
        <v>0.17799999999999999</v>
      </c>
      <c r="U596" s="11">
        <v>15</v>
      </c>
      <c r="V596" s="9">
        <v>0</v>
      </c>
      <c r="W596" s="9">
        <v>0</v>
      </c>
      <c r="X596" s="10">
        <v>0</v>
      </c>
      <c r="Y596" t="s">
        <v>912</v>
      </c>
      <c r="Z596" t="s">
        <v>903</v>
      </c>
      <c r="AA596" s="2" t="s">
        <v>921</v>
      </c>
      <c r="AB596" s="9" t="s">
        <v>987</v>
      </c>
      <c r="AC596" s="9" t="s">
        <v>988</v>
      </c>
      <c r="AD596" s="10" t="str">
        <f>SUBSTITUTE(SUBSTITUTE(PROPERTIES[[#This Row],[PURCHASECOST_VALUE]], "PURCHASECOST_", ""), "_VALUE", "")</f>
        <v>ELECTRICRAILBUS</v>
      </c>
      <c r="AE596" s="9" t="str" cm="1">
        <f t="array" ref="AE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6" s="2" t="b">
        <v>0</v>
      </c>
      <c r="AX596"/>
      <c r="AY596"/>
      <c r="AZ596"/>
    </row>
    <row r="597" spans="1:52">
      <c r="A597" s="2" t="s">
        <v>619</v>
      </c>
      <c r="B597">
        <v>1889</v>
      </c>
      <c r="C597">
        <v>0</v>
      </c>
      <c r="D597" t="s">
        <v>1803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 s="2" t="s">
        <v>19</v>
      </c>
      <c r="K597" s="39">
        <f>_xlfn.XLOOKUP("LOADINGSPEEDDEF_"&amp;PROPERTIES[[#This Row],[LOADINGSPEED]],LOADINGSPEEDDEF[TYPE],LOADINGSPEEDDEF[SPEED])</f>
        <v>0</v>
      </c>
      <c r="L597">
        <v>45</v>
      </c>
      <c r="M597">
        <v>1</v>
      </c>
      <c r="N597" s="33">
        <v>30</v>
      </c>
      <c r="O597">
        <v>247</v>
      </c>
      <c r="P597">
        <v>45</v>
      </c>
      <c r="Q597" s="30">
        <v>38</v>
      </c>
      <c r="R597" s="29">
        <f>IFERROR(PROPERTIES[[#This Row],[TE_STARTING_KN]]/(PROPERTIES[[#This Row],[WEIGHT]]*9.81),0)</f>
        <v>0.1291199456337071</v>
      </c>
      <c r="S597" s="29">
        <v>0.19</v>
      </c>
      <c r="T597" s="26">
        <f>ROUND(IF(IFERROR(PROPERTIES[[#This Row],[TE_COEFFICIENT_CALC]],0)=0,PROPERTIES[[#This Row],[TE_COEFFICIENT_MANUAL]],PROPERTIES[[#This Row],[TE_COEFFICIENT_CALC]]),3)</f>
        <v>0.129</v>
      </c>
      <c r="U597" s="11">
        <v>40</v>
      </c>
      <c r="V597" s="9">
        <v>0</v>
      </c>
      <c r="W597" s="9">
        <v>0</v>
      </c>
      <c r="X597" s="10">
        <v>0</v>
      </c>
      <c r="Y597" t="s">
        <v>904</v>
      </c>
      <c r="Z597" t="s">
        <v>903</v>
      </c>
      <c r="AA597" s="2" t="s">
        <v>921</v>
      </c>
      <c r="AB597" s="9" t="s">
        <v>989</v>
      </c>
      <c r="AC597" s="9" t="s">
        <v>990</v>
      </c>
      <c r="AD597" s="10" t="str">
        <f>SUBSTITUTE(SUBSTITUTE(PROPERTIES[[#This Row],[PURCHASECOST_VALUE]], "PURCHASECOST_", ""), "_VALUE", "")</f>
        <v>STEAMENGINE</v>
      </c>
      <c r="AE597" s="9" t="str" cm="1">
        <f t="array" ref="AE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597" s="2" t="b">
        <v>0</v>
      </c>
      <c r="AX597"/>
      <c r="AY597"/>
      <c r="AZ597"/>
    </row>
    <row r="598" spans="1:52">
      <c r="A598" s="2" t="s">
        <v>620</v>
      </c>
      <c r="B598">
        <v>1948</v>
      </c>
      <c r="C598">
        <v>0</v>
      </c>
      <c r="D598" t="s">
        <v>1873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 s="2" t="s">
        <v>19</v>
      </c>
      <c r="K598" s="39">
        <f>_xlfn.XLOOKUP("LOADINGSPEEDDEF_"&amp;PROPERTIES[[#This Row],[LOADINGSPEED]],LOADINGSPEEDDEF[TYPE],LOADINGSPEEDDEF[SPEED])</f>
        <v>0</v>
      </c>
      <c r="L598">
        <v>45</v>
      </c>
      <c r="M598">
        <v>1</v>
      </c>
      <c r="N598" s="33">
        <v>102</v>
      </c>
      <c r="O598">
        <v>1340</v>
      </c>
      <c r="P598">
        <v>65</v>
      </c>
      <c r="Q598" s="30">
        <v>213</v>
      </c>
      <c r="R598" s="29">
        <f>IFERROR(PROPERTIES[[#This Row],[TE_STARTING_KN]]/(PROPERTIES[[#This Row],[WEIGHT]]*9.81),0)</f>
        <v>0.21286802182646758</v>
      </c>
      <c r="S598" s="29">
        <v>0.21</v>
      </c>
      <c r="T598" s="26">
        <f>ROUND(IF(IFERROR(PROPERTIES[[#This Row],[TE_COEFFICIENT_CALC]],0)=0,PROPERTIES[[#This Row],[TE_COEFFICIENT_MANUAL]],PROPERTIES[[#This Row],[TE_COEFFICIENT_CALC]]),3)</f>
        <v>0.21299999999999999</v>
      </c>
      <c r="U598" s="11">
        <v>40</v>
      </c>
      <c r="V598" s="9">
        <v>0</v>
      </c>
      <c r="W598" s="9">
        <v>0</v>
      </c>
      <c r="X598" s="10">
        <v>0</v>
      </c>
      <c r="Y598" t="s">
        <v>912</v>
      </c>
      <c r="Z598" t="s">
        <v>903</v>
      </c>
      <c r="AA598" s="2" t="s">
        <v>921</v>
      </c>
      <c r="AB598" s="9" t="s">
        <v>989</v>
      </c>
      <c r="AC598" s="9" t="s">
        <v>990</v>
      </c>
      <c r="AD598" s="10" t="str">
        <f>SUBSTITUTE(SUBSTITUTE(PROPERTIES[[#This Row],[PURCHASECOST_VALUE]], "PURCHASECOST_", ""), "_VALUE", "")</f>
        <v>STEAMENGINE</v>
      </c>
      <c r="AE598" s="9" t="str" cm="1">
        <f t="array" ref="AE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598" s="2" t="b">
        <v>0</v>
      </c>
      <c r="AX598"/>
      <c r="AY598"/>
      <c r="AZ598"/>
    </row>
    <row r="599" spans="1:52">
      <c r="A599" s="2" t="s">
        <v>621</v>
      </c>
      <c r="B599">
        <v>1880</v>
      </c>
      <c r="C599">
        <v>0</v>
      </c>
      <c r="D599" t="s">
        <v>1873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 s="2" t="s">
        <v>23</v>
      </c>
      <c r="K599" s="39">
        <f>_xlfn.XLOOKUP("LOADINGSPEEDDEF_"&amp;PROPERTIES[[#This Row],[LOADINGSPEED]],LOADINGSPEEDDEF[TYPE],LOADINGSPEEDDEF[SPEED])</f>
        <v>40</v>
      </c>
      <c r="L599">
        <v>45</v>
      </c>
      <c r="M599">
        <v>1</v>
      </c>
      <c r="N599" s="33">
        <v>31</v>
      </c>
      <c r="O599">
        <v>200</v>
      </c>
      <c r="P599">
        <v>36</v>
      </c>
      <c r="Q599" s="30">
        <v>22</v>
      </c>
      <c r="R599" s="29">
        <f>IFERROR(PROPERTIES[[#This Row],[TE_STARTING_KN]]/(PROPERTIES[[#This Row],[WEIGHT]]*9.81),0)</f>
        <v>7.2342244582552367E-2</v>
      </c>
      <c r="S599" s="29">
        <v>7.0000000000000007E-2</v>
      </c>
      <c r="T599" s="26">
        <f>ROUND(IF(IFERROR(PROPERTIES[[#This Row],[TE_COEFFICIENT_CALC]],0)=0,PROPERTIES[[#This Row],[TE_COEFFICIENT_MANUAL]],PROPERTIES[[#This Row],[TE_COEFFICIENT_CALC]]),3)</f>
        <v>7.1999999999999995E-2</v>
      </c>
      <c r="U599" s="11">
        <v>40</v>
      </c>
      <c r="V599" s="9">
        <v>0</v>
      </c>
      <c r="W599" s="9">
        <v>3</v>
      </c>
      <c r="X599" s="10">
        <v>0</v>
      </c>
      <c r="Y599" t="s">
        <v>912</v>
      </c>
      <c r="Z599" t="s">
        <v>903</v>
      </c>
      <c r="AA599" s="2" t="s">
        <v>921</v>
      </c>
      <c r="AB599" s="9" t="s">
        <v>989</v>
      </c>
      <c r="AC599" s="9" t="s">
        <v>990</v>
      </c>
      <c r="AD599" s="10" t="str">
        <f>SUBSTITUTE(SUBSTITUTE(PROPERTIES[[#This Row],[PURCHASECOST_VALUE]], "PURCHASECOST_", ""), "_VALUE", "")</f>
        <v>STEAMENGINE</v>
      </c>
      <c r="AE599" s="9" t="str" cm="1">
        <f t="array" ref="AE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599" s="2" t="b">
        <v>0</v>
      </c>
      <c r="AX599"/>
      <c r="AY599"/>
      <c r="AZ599"/>
    </row>
    <row r="600" spans="1:52">
      <c r="A600" s="2" t="s">
        <v>622</v>
      </c>
      <c r="B600">
        <v>1893</v>
      </c>
      <c r="C600">
        <v>0</v>
      </c>
      <c r="D600" t="s">
        <v>1873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 s="2" t="s">
        <v>23</v>
      </c>
      <c r="K600" s="39">
        <f>_xlfn.XLOOKUP("LOADINGSPEEDDEF_"&amp;PROPERTIES[[#This Row],[LOADINGSPEED]],LOADINGSPEEDDEF[TYPE],LOADINGSPEEDDEF[SPEED])</f>
        <v>40</v>
      </c>
      <c r="L600">
        <v>45</v>
      </c>
      <c r="M600">
        <v>1</v>
      </c>
      <c r="N600" s="33">
        <v>32</v>
      </c>
      <c r="O600">
        <v>186</v>
      </c>
      <c r="P600">
        <v>48</v>
      </c>
      <c r="Q600" s="30">
        <v>48</v>
      </c>
      <c r="R600" s="29">
        <f>IFERROR(PROPERTIES[[#This Row],[TE_STARTING_KN]]/(PROPERTIES[[#This Row],[WEIGHT]]*9.81),0)</f>
        <v>0.1529051987767584</v>
      </c>
      <c r="S600" s="29">
        <v>0.15</v>
      </c>
      <c r="T600" s="26">
        <f>ROUND(IF(IFERROR(PROPERTIES[[#This Row],[TE_COEFFICIENT_CALC]],0)=0,PROPERTIES[[#This Row],[TE_COEFFICIENT_MANUAL]],PROPERTIES[[#This Row],[TE_COEFFICIENT_CALC]]),3)</f>
        <v>0.153</v>
      </c>
      <c r="U600" s="11">
        <v>40</v>
      </c>
      <c r="V600" s="9">
        <v>0</v>
      </c>
      <c r="W600" s="9">
        <v>0</v>
      </c>
      <c r="X600" s="10">
        <v>0</v>
      </c>
      <c r="Y600" t="s">
        <v>912</v>
      </c>
      <c r="Z600" t="s">
        <v>903</v>
      </c>
      <c r="AA600" s="2" t="s">
        <v>921</v>
      </c>
      <c r="AB600" s="9" t="s">
        <v>989</v>
      </c>
      <c r="AC600" s="9" t="s">
        <v>990</v>
      </c>
      <c r="AD600" s="10" t="str">
        <f>SUBSTITUTE(SUBSTITUTE(PROPERTIES[[#This Row],[PURCHASECOST_VALUE]], "PURCHASECOST_", ""), "_VALUE", "")</f>
        <v>STEAMENGINE</v>
      </c>
      <c r="AE600" s="9" t="str" cm="1">
        <f t="array" ref="AE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00" s="2" t="b">
        <v>0</v>
      </c>
      <c r="AX600"/>
      <c r="AY600"/>
      <c r="AZ600"/>
    </row>
    <row r="601" spans="1:52">
      <c r="A601" s="2" t="s">
        <v>623</v>
      </c>
      <c r="B601">
        <v>1913</v>
      </c>
      <c r="C601">
        <v>0</v>
      </c>
      <c r="D601" t="s">
        <v>1873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 s="2" t="s">
        <v>23</v>
      </c>
      <c r="K601" s="39">
        <f>_xlfn.XLOOKUP("LOADINGSPEEDDEF_"&amp;PROPERTIES[[#This Row],[LOADINGSPEED]],LOADINGSPEEDDEF[TYPE],LOADINGSPEEDDEF[SPEED])</f>
        <v>40</v>
      </c>
      <c r="L601">
        <v>45</v>
      </c>
      <c r="M601">
        <v>1</v>
      </c>
      <c r="N601" s="33">
        <v>95</v>
      </c>
      <c r="O601">
        <v>870</v>
      </c>
      <c r="P601">
        <v>65</v>
      </c>
      <c r="Q601" s="30">
        <v>139</v>
      </c>
      <c r="R601" s="29">
        <f>IFERROR(PROPERTIES[[#This Row],[TE_STARTING_KN]]/(PROPERTIES[[#This Row],[WEIGHT]]*9.81),0)</f>
        <v>0.14914963249101346</v>
      </c>
      <c r="S601" s="29">
        <v>0.15</v>
      </c>
      <c r="T601" s="26">
        <f>ROUND(IF(IFERROR(PROPERTIES[[#This Row],[TE_COEFFICIENT_CALC]],0)=0,PROPERTIES[[#This Row],[TE_COEFFICIENT_MANUAL]],PROPERTIES[[#This Row],[TE_COEFFICIENT_CALC]]),3)</f>
        <v>0.14899999999999999</v>
      </c>
      <c r="U601" s="11">
        <v>40</v>
      </c>
      <c r="V601" s="9">
        <v>0</v>
      </c>
      <c r="W601" s="9">
        <v>4</v>
      </c>
      <c r="X601" s="10">
        <v>0</v>
      </c>
      <c r="Y601" t="s">
        <v>912</v>
      </c>
      <c r="Z601" t="s">
        <v>903</v>
      </c>
      <c r="AA601" s="2" t="s">
        <v>921</v>
      </c>
      <c r="AB601" s="9" t="s">
        <v>989</v>
      </c>
      <c r="AC601" s="9" t="s">
        <v>990</v>
      </c>
      <c r="AD601" s="10" t="str">
        <f>SUBSTITUTE(SUBSTITUTE(PROPERTIES[[#This Row],[PURCHASECOST_VALUE]], "PURCHASECOST_", ""), "_VALUE", "")</f>
        <v>STEAMENGINE</v>
      </c>
      <c r="AE601" s="9" t="str" cm="1">
        <f t="array" ref="AE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01" s="2" t="b">
        <v>0</v>
      </c>
      <c r="AX601"/>
      <c r="AY601"/>
      <c r="AZ601"/>
    </row>
    <row r="602" spans="1:52">
      <c r="A602" s="2" t="s">
        <v>624</v>
      </c>
      <c r="B602">
        <v>1923</v>
      </c>
      <c r="C602">
        <v>0</v>
      </c>
      <c r="D602" t="s">
        <v>1873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 s="2" t="s">
        <v>19</v>
      </c>
      <c r="K602" s="39">
        <f>_xlfn.XLOOKUP("LOADINGSPEEDDEF_"&amp;PROPERTIES[[#This Row],[LOADINGSPEED]],LOADINGSPEEDDEF[TYPE],LOADINGSPEEDDEF[SPEED])</f>
        <v>0</v>
      </c>
      <c r="L602">
        <v>45</v>
      </c>
      <c r="M602">
        <v>1</v>
      </c>
      <c r="N602" s="33">
        <v>122</v>
      </c>
      <c r="O602">
        <v>1280</v>
      </c>
      <c r="P602">
        <v>70</v>
      </c>
      <c r="Q602" s="30">
        <v>166</v>
      </c>
      <c r="R602" s="29">
        <f>IFERROR(PROPERTIES[[#This Row],[TE_STARTING_KN]]/(PROPERTIES[[#This Row],[WEIGHT]]*9.81),0)</f>
        <v>0.13870089069367153</v>
      </c>
      <c r="S602" s="29">
        <v>0.16</v>
      </c>
      <c r="T602" s="26">
        <f>ROUND(IF(IFERROR(PROPERTIES[[#This Row],[TE_COEFFICIENT_CALC]],0)=0,PROPERTIES[[#This Row],[TE_COEFFICIENT_MANUAL]],PROPERTIES[[#This Row],[TE_COEFFICIENT_CALC]]),3)</f>
        <v>0.13900000000000001</v>
      </c>
      <c r="U602" s="11">
        <v>40</v>
      </c>
      <c r="V602" s="9">
        <v>0</v>
      </c>
      <c r="W602" s="9">
        <v>4</v>
      </c>
      <c r="X602" s="10">
        <v>0</v>
      </c>
      <c r="Y602" t="s">
        <v>912</v>
      </c>
      <c r="Z602" t="s">
        <v>903</v>
      </c>
      <c r="AA602" s="2" t="s">
        <v>921</v>
      </c>
      <c r="AB602" s="9" t="s">
        <v>989</v>
      </c>
      <c r="AC602" s="9" t="s">
        <v>990</v>
      </c>
      <c r="AD602" s="10" t="str">
        <f>SUBSTITUTE(SUBSTITUTE(PROPERTIES[[#This Row],[PURCHASECOST_VALUE]], "PURCHASECOST_", ""), "_VALUE", "")</f>
        <v>STEAMENGINE</v>
      </c>
      <c r="AE602" s="9" t="str" cm="1">
        <f t="array" ref="AE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2" s="2" t="b">
        <v>0</v>
      </c>
      <c r="AX602"/>
      <c r="AY602"/>
      <c r="AZ602"/>
    </row>
    <row r="603" spans="1:52">
      <c r="A603" s="2" t="s">
        <v>625</v>
      </c>
      <c r="B603">
        <v>1957</v>
      </c>
      <c r="C603">
        <v>0</v>
      </c>
      <c r="D603" t="s">
        <v>1873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 s="2" t="s">
        <v>19</v>
      </c>
      <c r="K603" s="39">
        <f>_xlfn.XLOOKUP("LOADINGSPEEDDEF_"&amp;PROPERTIES[[#This Row],[LOADINGSPEED]],LOADINGSPEEDDEF[TYPE],LOADINGSPEEDDEF[SPEED])</f>
        <v>0</v>
      </c>
      <c r="L603">
        <v>45</v>
      </c>
      <c r="M603">
        <v>1</v>
      </c>
      <c r="N603" s="33">
        <v>85</v>
      </c>
      <c r="O603">
        <v>1060</v>
      </c>
      <c r="P603">
        <v>90</v>
      </c>
      <c r="Q603" s="30">
        <v>123</v>
      </c>
      <c r="R603" s="29">
        <f>IFERROR(PROPERTIES[[#This Row],[TE_STARTING_KN]]/(PROPERTIES[[#This Row],[WEIGHT]]*9.81),0)</f>
        <v>0.14750854470228458</v>
      </c>
      <c r="S603" s="29">
        <v>0.28999999999999998</v>
      </c>
      <c r="T603" s="26">
        <f>ROUND(IF(IFERROR(PROPERTIES[[#This Row],[TE_COEFFICIENT_CALC]],0)=0,PROPERTIES[[#This Row],[TE_COEFFICIENT_MANUAL]],PROPERTIES[[#This Row],[TE_COEFFICIENT_CALC]]),3)</f>
        <v>0.14799999999999999</v>
      </c>
      <c r="U603" s="11">
        <v>40</v>
      </c>
      <c r="V603" s="9">
        <v>0</v>
      </c>
      <c r="W603" s="9">
        <v>0</v>
      </c>
      <c r="X603" s="10">
        <v>0</v>
      </c>
      <c r="Y603" t="s">
        <v>912</v>
      </c>
      <c r="Z603" t="s">
        <v>903</v>
      </c>
      <c r="AA603" s="2" t="s">
        <v>921</v>
      </c>
      <c r="AB603" s="9" t="s">
        <v>991</v>
      </c>
      <c r="AC603" s="9" t="s">
        <v>992</v>
      </c>
      <c r="AD603" s="10" t="str">
        <f>SUBSTITUTE(SUBSTITUTE(PROPERTIES[[#This Row],[PURCHASECOST_VALUE]], "PURCHASECOST_", ""), "_VALUE", "")</f>
        <v>DIESELENGINE</v>
      </c>
      <c r="AE603" s="9" t="str" cm="1">
        <f t="array" ref="AE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3" s="2" t="b">
        <v>0</v>
      </c>
      <c r="AX603"/>
      <c r="AY603"/>
      <c r="AZ603"/>
    </row>
    <row r="604" spans="1:52">
      <c r="A604" s="2" t="s">
        <v>626</v>
      </c>
      <c r="B604">
        <v>1909</v>
      </c>
      <c r="C604">
        <v>0</v>
      </c>
      <c r="D604" t="s">
        <v>1803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 s="2" t="s">
        <v>19</v>
      </c>
      <c r="K604" s="39">
        <f>_xlfn.XLOOKUP("LOADINGSPEEDDEF_"&amp;PROPERTIES[[#This Row],[LOADINGSPEED]],LOADINGSPEEDDEF[TYPE],LOADINGSPEEDDEF[SPEED])</f>
        <v>0</v>
      </c>
      <c r="L604">
        <v>45</v>
      </c>
      <c r="M604">
        <v>1</v>
      </c>
      <c r="N604" s="33">
        <v>16</v>
      </c>
      <c r="O604">
        <v>200</v>
      </c>
      <c r="P604">
        <v>45</v>
      </c>
      <c r="Q604" s="30">
        <v>24.5</v>
      </c>
      <c r="R604" s="29">
        <f>IFERROR(PROPERTIES[[#This Row],[TE_STARTING_KN]]/(PROPERTIES[[#This Row],[WEIGHT]]*9.81),0)</f>
        <v>0.1560907237512742</v>
      </c>
      <c r="S604" s="29">
        <v>0.3</v>
      </c>
      <c r="T604" s="26">
        <f>ROUND(IF(IFERROR(PROPERTIES[[#This Row],[TE_COEFFICIENT_CALC]],0)=0,PROPERTIES[[#This Row],[TE_COEFFICIENT_MANUAL]],PROPERTIES[[#This Row],[TE_COEFFICIENT_CALC]]),3)</f>
        <v>0.156</v>
      </c>
      <c r="U604" s="11">
        <v>40</v>
      </c>
      <c r="V604" s="9">
        <v>0</v>
      </c>
      <c r="W604" s="9">
        <v>0</v>
      </c>
      <c r="X604" s="10">
        <v>0</v>
      </c>
      <c r="Y604" t="s">
        <v>904</v>
      </c>
      <c r="Z604" t="s">
        <v>903</v>
      </c>
      <c r="AA604" s="2" t="s">
        <v>921</v>
      </c>
      <c r="AB604" s="9" t="s">
        <v>995</v>
      </c>
      <c r="AC604" s="9" t="s">
        <v>996</v>
      </c>
      <c r="AD604" s="10" t="str">
        <f>SUBSTITUTE(SUBSTITUTE(PROPERTIES[[#This Row],[PURCHASECOST_VALUE]], "PURCHASECOST_", ""), "_VALUE", "")</f>
        <v>ELECTRICENGINE</v>
      </c>
      <c r="AE604" s="9" t="str" cm="1">
        <f t="array" ref="AE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04" s="2" t="b">
        <v>0</v>
      </c>
      <c r="AX604"/>
      <c r="AY604"/>
      <c r="AZ604"/>
    </row>
    <row r="605" spans="1:52">
      <c r="A605" s="2" t="s">
        <v>627</v>
      </c>
      <c r="B605">
        <v>1954</v>
      </c>
      <c r="C605">
        <v>0</v>
      </c>
      <c r="D605" t="s">
        <v>1873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 s="2" t="s">
        <v>19</v>
      </c>
      <c r="K605" s="39">
        <f>_xlfn.XLOOKUP("LOADINGSPEEDDEF_"&amp;PROPERTIES[[#This Row],[LOADINGSPEED]],LOADINGSPEEDDEF[TYPE],LOADINGSPEEDDEF[SPEED])</f>
        <v>0</v>
      </c>
      <c r="L605">
        <v>45</v>
      </c>
      <c r="M605">
        <v>1</v>
      </c>
      <c r="N605" s="33">
        <v>116</v>
      </c>
      <c r="O605">
        <v>3390</v>
      </c>
      <c r="P605">
        <v>110</v>
      </c>
      <c r="Q605" s="30">
        <v>238</v>
      </c>
      <c r="R605" s="29">
        <f>IFERROR(PROPERTIES[[#This Row],[TE_STARTING_KN]]/(PROPERTIES[[#This Row],[WEIGHT]]*9.81),0)</f>
        <v>0.20914619143027874</v>
      </c>
      <c r="S605" s="29">
        <v>0.16</v>
      </c>
      <c r="T605" s="26">
        <f>ROUND(IF(IFERROR(PROPERTIES[[#This Row],[TE_COEFFICIENT_CALC]],0)=0,PROPERTIES[[#This Row],[TE_COEFFICIENT_MANUAL]],PROPERTIES[[#This Row],[TE_COEFFICIENT_CALC]]),3)</f>
        <v>0.20899999999999999</v>
      </c>
      <c r="U605" s="11">
        <v>40</v>
      </c>
      <c r="V605" s="9">
        <v>0</v>
      </c>
      <c r="W605" s="9">
        <v>7</v>
      </c>
      <c r="X605" s="10">
        <v>0</v>
      </c>
      <c r="Y605" t="s">
        <v>912</v>
      </c>
      <c r="Z605" t="s">
        <v>903</v>
      </c>
      <c r="AA605" s="2" t="s">
        <v>921</v>
      </c>
      <c r="AB605" s="9" t="s">
        <v>995</v>
      </c>
      <c r="AC605" s="9" t="s">
        <v>996</v>
      </c>
      <c r="AD605" s="10" t="str">
        <f>SUBSTITUTE(SUBSTITUTE(PROPERTIES[[#This Row],[PURCHASECOST_VALUE]], "PURCHASECOST_", ""), "_VALUE", "")</f>
        <v>ELECTRICENGINE</v>
      </c>
      <c r="AE605" s="9" t="str" cm="1">
        <f t="array" ref="AE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5" s="2" t="b">
        <v>0</v>
      </c>
      <c r="AX605"/>
      <c r="AY605"/>
      <c r="AZ605"/>
    </row>
    <row r="606" spans="1:52">
      <c r="A606" s="2" t="s">
        <v>628</v>
      </c>
      <c r="B606">
        <v>1964</v>
      </c>
      <c r="C606">
        <v>0</v>
      </c>
      <c r="D606" t="s">
        <v>1873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 s="2" t="s">
        <v>19</v>
      </c>
      <c r="K606" s="39">
        <f>_xlfn.XLOOKUP("LOADINGSPEEDDEF_"&amp;PROPERTIES[[#This Row],[LOADINGSPEED]],LOADINGSPEEDDEF[TYPE],LOADINGSPEEDDEF[SPEED])</f>
        <v>0</v>
      </c>
      <c r="L606">
        <v>45</v>
      </c>
      <c r="M606">
        <v>1</v>
      </c>
      <c r="N606" s="33">
        <v>96</v>
      </c>
      <c r="O606">
        <v>3420</v>
      </c>
      <c r="P606">
        <v>100</v>
      </c>
      <c r="Q606" s="30">
        <v>196</v>
      </c>
      <c r="R606" s="29">
        <f>IFERROR(PROPERTIES[[#This Row],[TE_STARTING_KN]]/(PROPERTIES[[#This Row],[WEIGHT]]*9.81),0)</f>
        <v>0.20812096500169894</v>
      </c>
      <c r="S606" s="29">
        <v>0.3</v>
      </c>
      <c r="T606" s="26">
        <f>ROUND(IF(IFERROR(PROPERTIES[[#This Row],[TE_COEFFICIENT_CALC]],0)=0,PROPERTIES[[#This Row],[TE_COEFFICIENT_MANUAL]],PROPERTIES[[#This Row],[TE_COEFFICIENT_CALC]]),3)</f>
        <v>0.20799999999999999</v>
      </c>
      <c r="U606" s="11">
        <v>40</v>
      </c>
      <c r="V606" s="9">
        <v>0</v>
      </c>
      <c r="W606" s="9">
        <v>0</v>
      </c>
      <c r="X606" s="10">
        <v>0</v>
      </c>
      <c r="Y606" t="s">
        <v>912</v>
      </c>
      <c r="Z606" t="s">
        <v>903</v>
      </c>
      <c r="AA606" s="2" t="s">
        <v>921</v>
      </c>
      <c r="AB606" s="9" t="s">
        <v>995</v>
      </c>
      <c r="AC606" s="9" t="s">
        <v>996</v>
      </c>
      <c r="AD606" s="10" t="str">
        <f>SUBSTITUTE(SUBSTITUTE(PROPERTIES[[#This Row],[PURCHASECOST_VALUE]], "PURCHASECOST_", ""), "_VALUE", "")</f>
        <v>ELECTRICENGINE</v>
      </c>
      <c r="AE606" s="9" t="str" cm="1">
        <f t="array" ref="AE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6" s="2" t="b">
        <v>0</v>
      </c>
      <c r="AX606"/>
      <c r="AY606"/>
      <c r="AZ606"/>
    </row>
    <row r="607" spans="1:52">
      <c r="A607" s="2" t="s">
        <v>629</v>
      </c>
      <c r="B607">
        <v>1923</v>
      </c>
      <c r="C607">
        <v>0</v>
      </c>
      <c r="D607" t="s">
        <v>1930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 s="2" t="s">
        <v>19</v>
      </c>
      <c r="K607" s="39">
        <f>_xlfn.XLOOKUP("LOADINGSPEEDDEF_"&amp;PROPERTIES[[#This Row],[LOADINGSPEED]],LOADINGSPEEDDEF[TYPE],LOADINGSPEEDDEF[SPEED])</f>
        <v>0</v>
      </c>
      <c r="L607">
        <v>45</v>
      </c>
      <c r="M607">
        <v>1</v>
      </c>
      <c r="N607" s="33">
        <v>50</v>
      </c>
      <c r="O607">
        <v>680</v>
      </c>
      <c r="P607">
        <v>64</v>
      </c>
      <c r="Q607" s="30">
        <v>63</v>
      </c>
      <c r="R607" s="29">
        <f>IFERROR(PROPERTIES[[#This Row],[TE_STARTING_KN]]/(PROPERTIES[[#This Row],[WEIGHT]]*9.81),0)</f>
        <v>0.12844036697247707</v>
      </c>
      <c r="S607" s="29">
        <v>0.13</v>
      </c>
      <c r="T607" s="26">
        <f>ROUND(IF(IFERROR(PROPERTIES[[#This Row],[TE_COEFFICIENT_CALC]],0)=0,PROPERTIES[[#This Row],[TE_COEFFICIENT_MANUAL]],PROPERTIES[[#This Row],[TE_COEFFICIENT_CALC]]),3)</f>
        <v>0.128</v>
      </c>
      <c r="U607" s="11">
        <v>40</v>
      </c>
      <c r="V607" s="9">
        <v>0</v>
      </c>
      <c r="W607" s="9">
        <v>0</v>
      </c>
      <c r="X607" s="10">
        <v>0</v>
      </c>
      <c r="Y607" t="s">
        <v>906</v>
      </c>
      <c r="Z607" t="s">
        <v>903</v>
      </c>
      <c r="AA607" s="2" t="s">
        <v>921</v>
      </c>
      <c r="AB607" s="9" t="s">
        <v>995</v>
      </c>
      <c r="AC607" s="9" t="s">
        <v>996</v>
      </c>
      <c r="AD607" s="10" t="str">
        <f>SUBSTITUTE(SUBSTITUTE(PROPERTIES[[#This Row],[PURCHASECOST_VALUE]], "PURCHASECOST_", ""), "_VALUE", "")</f>
        <v>ELECTRICENGINE</v>
      </c>
      <c r="AE607" s="9" t="str" cm="1">
        <f t="array" ref="AE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7" s="2" t="b">
        <v>0</v>
      </c>
      <c r="AX607"/>
      <c r="AY607"/>
      <c r="AZ607"/>
    </row>
    <row r="608" spans="1:52">
      <c r="A608" s="2" t="s">
        <v>630</v>
      </c>
      <c r="B608">
        <v>1952</v>
      </c>
      <c r="C608">
        <v>0</v>
      </c>
      <c r="D608" t="s">
        <v>1773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 s="2" t="s">
        <v>19</v>
      </c>
      <c r="K608" s="39">
        <f>_xlfn.XLOOKUP("LOADINGSPEEDDEF_"&amp;PROPERTIES[[#This Row],[LOADINGSPEED]],LOADINGSPEEDDEF[TYPE],LOADINGSPEEDDEF[SPEED])</f>
        <v>0</v>
      </c>
      <c r="L608">
        <v>45</v>
      </c>
      <c r="M608">
        <v>1</v>
      </c>
      <c r="N608" s="33">
        <v>110</v>
      </c>
      <c r="O608">
        <v>2700</v>
      </c>
      <c r="P608">
        <v>113</v>
      </c>
      <c r="Q608" s="30">
        <v>267</v>
      </c>
      <c r="R608" s="29">
        <f>IFERROR(PROPERTIES[[#This Row],[TE_STARTING_KN]]/(PROPERTIES[[#This Row],[WEIGHT]]*9.81),0)</f>
        <v>0.24742841256602721</v>
      </c>
      <c r="S608" s="29">
        <v>0.11</v>
      </c>
      <c r="T608" s="26">
        <f>ROUND(IF(IFERROR(PROPERTIES[[#This Row],[TE_COEFFICIENT_CALC]],0)=0,PROPERTIES[[#This Row],[TE_COEFFICIENT_MANUAL]],PROPERTIES[[#This Row],[TE_COEFFICIENT_CALC]]),3)</f>
        <v>0.247</v>
      </c>
      <c r="U608" s="11">
        <v>40</v>
      </c>
      <c r="V608" s="9">
        <v>0</v>
      </c>
      <c r="W608" s="9">
        <v>0</v>
      </c>
      <c r="X608" s="10">
        <v>0</v>
      </c>
      <c r="Y608" t="s">
        <v>906</v>
      </c>
      <c r="Z608" t="s">
        <v>903</v>
      </c>
      <c r="AA608" s="2" t="s">
        <v>921</v>
      </c>
      <c r="AB608" s="9" t="s">
        <v>995</v>
      </c>
      <c r="AC608" s="9" t="s">
        <v>996</v>
      </c>
      <c r="AD608" s="10" t="str">
        <f>SUBSTITUTE(SUBSTITUTE(PROPERTIES[[#This Row],[PURCHASECOST_VALUE]], "PURCHASECOST_", ""), "_VALUE", "")</f>
        <v>ELECTRICENGINE</v>
      </c>
      <c r="AE608" s="9" t="str" cm="1">
        <f t="array" ref="AE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8" s="2" t="b">
        <v>0</v>
      </c>
      <c r="AX608"/>
      <c r="AY608"/>
      <c r="AZ608"/>
    </row>
    <row r="609" spans="1:52">
      <c r="A609" s="2" t="s">
        <v>631</v>
      </c>
      <c r="B609">
        <v>1952</v>
      </c>
      <c r="C609">
        <v>0</v>
      </c>
      <c r="D609" t="s">
        <v>2006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 s="2" t="s">
        <v>19</v>
      </c>
      <c r="K609" s="39">
        <f>_xlfn.XLOOKUP("LOADINGSPEEDDEF_"&amp;PROPERTIES[[#This Row],[LOADINGSPEED]],LOADINGSPEEDDEF[TYPE],LOADINGSPEEDDEF[SPEED])</f>
        <v>0</v>
      </c>
      <c r="L609">
        <v>45</v>
      </c>
      <c r="M609">
        <v>1</v>
      </c>
      <c r="N609" s="33">
        <v>155</v>
      </c>
      <c r="O609">
        <v>2520</v>
      </c>
      <c r="P609">
        <v>97</v>
      </c>
      <c r="Q609" s="30">
        <v>322</v>
      </c>
      <c r="R609" s="29">
        <f>IFERROR(PROPERTIES[[#This Row],[TE_STARTING_KN]]/(PROPERTIES[[#This Row],[WEIGHT]]*9.81),0)</f>
        <v>0.21176547959619871</v>
      </c>
      <c r="S609" s="29">
        <v>0.09</v>
      </c>
      <c r="T609" s="26">
        <f>ROUND(IF(IFERROR(PROPERTIES[[#This Row],[TE_COEFFICIENT_CALC]],0)=0,PROPERTIES[[#This Row],[TE_COEFFICIENT_MANUAL]],PROPERTIES[[#This Row],[TE_COEFFICIENT_CALC]]),3)</f>
        <v>0.21199999999999999</v>
      </c>
      <c r="U609" s="11">
        <v>40</v>
      </c>
      <c r="V609" s="9">
        <v>0</v>
      </c>
      <c r="W609" s="9">
        <v>0</v>
      </c>
      <c r="X609" s="10">
        <v>0</v>
      </c>
      <c r="Y609" t="s">
        <v>907</v>
      </c>
      <c r="Z609" t="s">
        <v>903</v>
      </c>
      <c r="AA609" s="2" t="s">
        <v>921</v>
      </c>
      <c r="AB609" s="9" t="s">
        <v>995</v>
      </c>
      <c r="AC609" s="9" t="s">
        <v>996</v>
      </c>
      <c r="AD609" s="10" t="str">
        <f>SUBSTITUTE(SUBSTITUTE(PROPERTIES[[#This Row],[PURCHASECOST_VALUE]], "PURCHASECOST_", ""), "_VALUE", "")</f>
        <v>ELECTRICENGINE</v>
      </c>
      <c r="AE609" s="9" t="str" cm="1">
        <f t="array" ref="AE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09" s="2" t="b">
        <v>0</v>
      </c>
      <c r="AX609"/>
      <c r="AY609"/>
      <c r="AZ609"/>
    </row>
    <row r="610" spans="1:52">
      <c r="A610" s="2" t="s">
        <v>632</v>
      </c>
      <c r="B610">
        <v>1965</v>
      </c>
      <c r="C610">
        <v>0</v>
      </c>
      <c r="D610" t="s">
        <v>2006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 s="2" t="s">
        <v>19</v>
      </c>
      <c r="K610" s="39">
        <f>_xlfn.XLOOKUP("LOADINGSPEEDDEF_"&amp;PROPERTIES[[#This Row],[LOADINGSPEED]],LOADINGSPEEDDEF[TYPE],LOADINGSPEEDDEF[SPEED])</f>
        <v>0</v>
      </c>
      <c r="L610">
        <v>45</v>
      </c>
      <c r="M610">
        <v>1</v>
      </c>
      <c r="N610" s="33">
        <v>86</v>
      </c>
      <c r="O610">
        <v>1953</v>
      </c>
      <c r="P610">
        <v>97</v>
      </c>
      <c r="Q610" s="30">
        <v>250</v>
      </c>
      <c r="R610" s="29">
        <f>IFERROR(PROPERTIES[[#This Row],[TE_STARTING_KN]]/(PROPERTIES[[#This Row],[WEIGHT]]*9.81),0)</f>
        <v>0.29632790460612091</v>
      </c>
      <c r="S610" s="29">
        <v>0.15</v>
      </c>
      <c r="T610" s="26">
        <f>ROUND(IF(IFERROR(PROPERTIES[[#This Row],[TE_COEFFICIENT_CALC]],0)=0,PROPERTIES[[#This Row],[TE_COEFFICIENT_MANUAL]],PROPERTIES[[#This Row],[TE_COEFFICIENT_CALC]]),3)</f>
        <v>0.29599999999999999</v>
      </c>
      <c r="U610" s="11">
        <v>40</v>
      </c>
      <c r="V610" s="9">
        <v>0</v>
      </c>
      <c r="W610" s="9">
        <v>0</v>
      </c>
      <c r="X610" s="10">
        <v>0</v>
      </c>
      <c r="Y610" t="s">
        <v>907</v>
      </c>
      <c r="Z610" t="s">
        <v>903</v>
      </c>
      <c r="AA610" s="2" t="s">
        <v>921</v>
      </c>
      <c r="AB610" s="9" t="s">
        <v>995</v>
      </c>
      <c r="AC610" s="9" t="s">
        <v>996</v>
      </c>
      <c r="AD610" s="10" t="str">
        <f>SUBSTITUTE(SUBSTITUTE(PROPERTIES[[#This Row],[PURCHASECOST_VALUE]], "PURCHASECOST_", ""), "_VALUE", "")</f>
        <v>ELECTRICENGINE</v>
      </c>
      <c r="AE610" s="9" t="str" cm="1">
        <f t="array" ref="AE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0" s="2" t="b">
        <v>0</v>
      </c>
      <c r="AX610"/>
      <c r="AY610"/>
      <c r="AZ610"/>
    </row>
    <row r="611" spans="1:52">
      <c r="A611" s="2" t="s">
        <v>633</v>
      </c>
      <c r="B611">
        <v>1970</v>
      </c>
      <c r="C611">
        <v>0</v>
      </c>
      <c r="D611" t="s">
        <v>2006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 s="2" t="s">
        <v>19</v>
      </c>
      <c r="K611" s="39">
        <f>_xlfn.XLOOKUP("LOADINGSPEEDDEF_"&amp;PROPERTIES[[#This Row],[LOADINGSPEED]],LOADINGSPEEDDEF[TYPE],LOADINGSPEEDDEF[SPEED])</f>
        <v>0</v>
      </c>
      <c r="L611">
        <v>45</v>
      </c>
      <c r="M611">
        <v>1</v>
      </c>
      <c r="N611" s="33">
        <v>89</v>
      </c>
      <c r="O611">
        <v>3020</v>
      </c>
      <c r="P611">
        <v>113</v>
      </c>
      <c r="Q611" s="30">
        <v>311</v>
      </c>
      <c r="R611" s="29">
        <f>IFERROR(PROPERTIES[[#This Row],[TE_STARTING_KN]]/(PROPERTIES[[#This Row],[WEIGHT]]*9.81),0)</f>
        <v>0.35620611849866562</v>
      </c>
      <c r="S611" s="29">
        <v>0.22</v>
      </c>
      <c r="T611" s="26">
        <f>ROUND(IF(IFERROR(PROPERTIES[[#This Row],[TE_COEFFICIENT_CALC]],0)=0,PROPERTIES[[#This Row],[TE_COEFFICIENT_MANUAL]],PROPERTIES[[#This Row],[TE_COEFFICIENT_CALC]]),3)</f>
        <v>0.35599999999999998</v>
      </c>
      <c r="U611" s="11">
        <v>40</v>
      </c>
      <c r="V611" s="9">
        <v>0</v>
      </c>
      <c r="W611" s="9">
        <v>0</v>
      </c>
      <c r="X611" s="10">
        <v>0</v>
      </c>
      <c r="Y611" t="s">
        <v>907</v>
      </c>
      <c r="Z611" t="s">
        <v>903</v>
      </c>
      <c r="AA611" s="2" t="s">
        <v>921</v>
      </c>
      <c r="AB611" s="9" t="s">
        <v>995</v>
      </c>
      <c r="AC611" s="9" t="s">
        <v>996</v>
      </c>
      <c r="AD611" s="10" t="str">
        <f>SUBSTITUTE(SUBSTITUTE(PROPERTIES[[#This Row],[PURCHASECOST_VALUE]], "PURCHASECOST_", ""), "_VALUE", "")</f>
        <v>ELECTRICENGINE</v>
      </c>
      <c r="AE611" s="9" t="str" cm="1">
        <f t="array" ref="AE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1" s="2" t="b">
        <v>0</v>
      </c>
      <c r="AX611"/>
      <c r="AY611"/>
      <c r="AZ611"/>
    </row>
    <row r="612" spans="1:52">
      <c r="A612" s="2" t="s">
        <v>634</v>
      </c>
      <c r="B612">
        <v>1947</v>
      </c>
      <c r="C612">
        <v>0</v>
      </c>
      <c r="D612" t="s">
        <v>1803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 s="2" t="s">
        <v>19</v>
      </c>
      <c r="K612" s="39">
        <f>_xlfn.XLOOKUP("LOADINGSPEEDDEF_"&amp;PROPERTIES[[#This Row],[LOADINGSPEED]],LOADINGSPEEDDEF[TYPE],LOADINGSPEEDDEF[SPEED])</f>
        <v>0</v>
      </c>
      <c r="L612">
        <v>45</v>
      </c>
      <c r="M612">
        <v>1</v>
      </c>
      <c r="N612" s="33">
        <v>47</v>
      </c>
      <c r="O612">
        <v>1590</v>
      </c>
      <c r="P612">
        <v>80</v>
      </c>
      <c r="Q612" s="30">
        <v>135</v>
      </c>
      <c r="R612" s="29">
        <f>IFERROR(PROPERTIES[[#This Row],[TE_STARTING_KN]]/(PROPERTIES[[#This Row],[WEIGHT]]*9.81),0)</f>
        <v>0.29279718914698416</v>
      </c>
      <c r="S612" s="29">
        <v>0.3</v>
      </c>
      <c r="T612" s="26">
        <f>ROUND(IF(IFERROR(PROPERTIES[[#This Row],[TE_COEFFICIENT_CALC]],0)=0,PROPERTIES[[#This Row],[TE_COEFFICIENT_MANUAL]],PROPERTIES[[#This Row],[TE_COEFFICIENT_CALC]]),3)</f>
        <v>0.29299999999999998</v>
      </c>
      <c r="U612" s="11">
        <v>40</v>
      </c>
      <c r="V612" s="9">
        <v>0</v>
      </c>
      <c r="W612" s="9">
        <v>0</v>
      </c>
      <c r="X612" s="10">
        <v>0</v>
      </c>
      <c r="Y612" t="s">
        <v>904</v>
      </c>
      <c r="Z612" t="s">
        <v>903</v>
      </c>
      <c r="AA612" s="2" t="s">
        <v>921</v>
      </c>
      <c r="AB612" s="9" t="s">
        <v>995</v>
      </c>
      <c r="AC612" s="9" t="s">
        <v>996</v>
      </c>
      <c r="AD612" s="10" t="str">
        <f>SUBSTITUTE(SUBSTITUTE(PROPERTIES[[#This Row],[PURCHASECOST_VALUE]], "PURCHASECOST_", ""), "_VALUE", "")</f>
        <v>ELECTRICENGINE</v>
      </c>
      <c r="AE612" s="9" t="str" cm="1">
        <f t="array" ref="AE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2" s="2" t="b">
        <v>0</v>
      </c>
      <c r="AX612"/>
      <c r="AY612"/>
      <c r="AZ612"/>
    </row>
    <row r="613" spans="1:52">
      <c r="A613" s="2" t="s">
        <v>635</v>
      </c>
      <c r="B613">
        <v>1921</v>
      </c>
      <c r="C613">
        <v>0</v>
      </c>
      <c r="D613" t="s">
        <v>1803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 s="2" t="s">
        <v>19</v>
      </c>
      <c r="K613" s="39">
        <f>_xlfn.XLOOKUP("LOADINGSPEEDDEF_"&amp;PROPERTIES[[#This Row],[LOADINGSPEED]],LOADINGSPEEDDEF[TYPE],LOADINGSPEEDDEF[SPEED])</f>
        <v>0</v>
      </c>
      <c r="L613">
        <v>45</v>
      </c>
      <c r="M613">
        <v>1</v>
      </c>
      <c r="N613" s="33">
        <v>66</v>
      </c>
      <c r="O613">
        <v>1260</v>
      </c>
      <c r="P613">
        <v>55</v>
      </c>
      <c r="Q613" s="30">
        <v>131</v>
      </c>
      <c r="R613" s="29">
        <f>IFERROR(PROPERTIES[[#This Row],[TE_STARTING_KN]]/(PROPERTIES[[#This Row],[WEIGHT]]*9.81),0)</f>
        <v>0.20232910141167021</v>
      </c>
      <c r="S613" s="29">
        <v>0.26</v>
      </c>
      <c r="T613" s="26">
        <f>ROUND(IF(IFERROR(PROPERTIES[[#This Row],[TE_COEFFICIENT_CALC]],0)=0,PROPERTIES[[#This Row],[TE_COEFFICIENT_MANUAL]],PROPERTIES[[#This Row],[TE_COEFFICIENT_CALC]]),3)</f>
        <v>0.20200000000000001</v>
      </c>
      <c r="U613" s="11">
        <v>40</v>
      </c>
      <c r="V613" s="9">
        <v>0</v>
      </c>
      <c r="W613" s="9">
        <v>0</v>
      </c>
      <c r="X613" s="10">
        <v>0</v>
      </c>
      <c r="Y613" t="s">
        <v>904</v>
      </c>
      <c r="Z613" t="s">
        <v>903</v>
      </c>
      <c r="AA613" s="2" t="s">
        <v>921</v>
      </c>
      <c r="AB613" s="9" t="s">
        <v>995</v>
      </c>
      <c r="AC613" s="9" t="s">
        <v>996</v>
      </c>
      <c r="AD613" s="10" t="str">
        <f>SUBSTITUTE(SUBSTITUTE(PROPERTIES[[#This Row],[PURCHASECOST_VALUE]], "PURCHASECOST_", ""), "_VALUE", "")</f>
        <v>ELECTRICENGINE</v>
      </c>
      <c r="AE613" s="9" t="str" cm="1">
        <f t="array" ref="AE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3" s="2" t="b">
        <v>0</v>
      </c>
      <c r="AX613"/>
      <c r="AY613"/>
      <c r="AZ613"/>
    </row>
    <row r="614" spans="1:52">
      <c r="A614" s="2" t="s">
        <v>636</v>
      </c>
      <c r="B614">
        <v>2012</v>
      </c>
      <c r="C614">
        <v>0</v>
      </c>
      <c r="D614" t="s">
        <v>1791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 s="2" t="s">
        <v>23</v>
      </c>
      <c r="K614" s="39">
        <f>_xlfn.XLOOKUP("LOADINGSPEEDDEF_"&amp;PROPERTIES[[#This Row],[LOADINGSPEED]],LOADINGSPEEDDEF[TYPE],LOADINGSPEEDDEF[SPEED])</f>
        <v>40</v>
      </c>
      <c r="L614">
        <v>45</v>
      </c>
      <c r="M614">
        <v>1</v>
      </c>
      <c r="N614" s="33">
        <v>121</v>
      </c>
      <c r="O614">
        <v>6710</v>
      </c>
      <c r="P614">
        <v>60</v>
      </c>
      <c r="Q614" s="30">
        <v>760</v>
      </c>
      <c r="R614" s="29">
        <f>IFERROR(PROPERTIES[[#This Row],[TE_STARTING_KN]]/(PROPERTIES[[#This Row],[WEIGHT]]*9.81),0)</f>
        <v>0.64026419322499395</v>
      </c>
      <c r="S614" s="29">
        <v>0.63</v>
      </c>
      <c r="T614" s="26">
        <f>ROUND(IF(IFERROR(PROPERTIES[[#This Row],[TE_COEFFICIENT_CALC]],0)=0,PROPERTIES[[#This Row],[TE_COEFFICIENT_MANUAL]],PROPERTIES[[#This Row],[TE_COEFFICIENT_CALC]]),3)</f>
        <v>0.64</v>
      </c>
      <c r="U614" s="11">
        <v>40</v>
      </c>
      <c r="V614" s="9">
        <v>0</v>
      </c>
      <c r="W614" s="9">
        <v>0</v>
      </c>
      <c r="X614" s="10">
        <v>0</v>
      </c>
      <c r="Y614" t="s">
        <v>911</v>
      </c>
      <c r="Z614" t="s">
        <v>903</v>
      </c>
      <c r="AA614" s="2" t="s">
        <v>921</v>
      </c>
      <c r="AB614" s="9" t="s">
        <v>995</v>
      </c>
      <c r="AC614" s="9" t="s">
        <v>996</v>
      </c>
      <c r="AD614" s="10" t="str">
        <f>SUBSTITUTE(SUBSTITUTE(PROPERTIES[[#This Row],[PURCHASECOST_VALUE]], "PURCHASECOST_", ""), "_VALUE", "")</f>
        <v>ELECTRICENGINE</v>
      </c>
      <c r="AE614" s="9" t="str" cm="1">
        <f t="array" ref="AE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4" s="2" t="b">
        <v>0</v>
      </c>
      <c r="AX614"/>
      <c r="AY614"/>
      <c r="AZ614"/>
    </row>
    <row r="615" spans="1:52">
      <c r="A615" s="2" t="s">
        <v>637</v>
      </c>
      <c r="B615">
        <v>1978</v>
      </c>
      <c r="C615">
        <v>0</v>
      </c>
      <c r="D615" t="s">
        <v>2006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 s="2" t="s">
        <v>23</v>
      </c>
      <c r="K615" s="39">
        <f>_xlfn.XLOOKUP("LOADINGSPEEDDEF_"&amp;PROPERTIES[[#This Row],[LOADINGSPEED]],LOADINGSPEEDDEF[TYPE],LOADINGSPEEDDEF[SPEED])</f>
        <v>40</v>
      </c>
      <c r="L615">
        <v>45</v>
      </c>
      <c r="M615">
        <v>1</v>
      </c>
      <c r="N615" s="33">
        <v>124</v>
      </c>
      <c r="O615">
        <v>4000</v>
      </c>
      <c r="P615">
        <v>100</v>
      </c>
      <c r="Q615" s="30">
        <v>450</v>
      </c>
      <c r="R615" s="29">
        <f>IFERROR(PROPERTIES[[#This Row],[TE_STARTING_KN]]/(PROPERTIES[[#This Row],[WEIGHT]]*9.81),0)</f>
        <v>0.36993193252441547</v>
      </c>
      <c r="S615" s="29">
        <v>0.25</v>
      </c>
      <c r="T615" s="26">
        <f>ROUND(IF(IFERROR(PROPERTIES[[#This Row],[TE_COEFFICIENT_CALC]],0)=0,PROPERTIES[[#This Row],[TE_COEFFICIENT_MANUAL]],PROPERTIES[[#This Row],[TE_COEFFICIENT_CALC]]),3)</f>
        <v>0.37</v>
      </c>
      <c r="U615" s="11">
        <v>40</v>
      </c>
      <c r="V615" s="9">
        <v>0</v>
      </c>
      <c r="W615" s="9">
        <v>0</v>
      </c>
      <c r="X615" s="10">
        <v>0</v>
      </c>
      <c r="Y615" t="s">
        <v>907</v>
      </c>
      <c r="Z615" t="s">
        <v>903</v>
      </c>
      <c r="AA615" s="2" t="s">
        <v>921</v>
      </c>
      <c r="AB615" s="9" t="s">
        <v>995</v>
      </c>
      <c r="AC615" s="9" t="s">
        <v>996</v>
      </c>
      <c r="AD615" s="10" t="str">
        <f>SUBSTITUTE(SUBSTITUTE(PROPERTIES[[#This Row],[PURCHASECOST_VALUE]], "PURCHASECOST_", ""), "_VALUE", "")</f>
        <v>ELECTRICENGINE</v>
      </c>
      <c r="AE615" s="9" t="str" cm="1">
        <f t="array" ref="AE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5" s="2" t="b">
        <v>0</v>
      </c>
      <c r="AX615"/>
      <c r="AY615"/>
      <c r="AZ615"/>
    </row>
    <row r="616" spans="1:52">
      <c r="A616" s="2" t="s">
        <v>638</v>
      </c>
      <c r="B616">
        <v>1985</v>
      </c>
      <c r="C616">
        <v>0</v>
      </c>
      <c r="D616" t="s">
        <v>2006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 s="2" t="s">
        <v>23</v>
      </c>
      <c r="K616" s="39">
        <f>_xlfn.XLOOKUP("LOADINGSPEEDDEF_"&amp;PROPERTIES[[#This Row],[LOADINGSPEED]],LOADINGSPEEDDEF[TYPE],LOADINGSPEEDDEF[SPEED])</f>
        <v>40</v>
      </c>
      <c r="L616">
        <v>45</v>
      </c>
      <c r="M616">
        <v>1</v>
      </c>
      <c r="N616" s="33">
        <v>172</v>
      </c>
      <c r="O616">
        <v>5200</v>
      </c>
      <c r="P616">
        <v>90</v>
      </c>
      <c r="Q616" s="30">
        <v>580</v>
      </c>
      <c r="R616" s="29">
        <f>IFERROR(PROPERTIES[[#This Row],[TE_STARTING_KN]]/(PROPERTIES[[#This Row],[WEIGHT]]*9.81),0)</f>
        <v>0.34374036934310026</v>
      </c>
      <c r="S616" s="29">
        <v>0.23</v>
      </c>
      <c r="T616" s="26">
        <f>ROUND(IF(IFERROR(PROPERTIES[[#This Row],[TE_COEFFICIENT_CALC]],0)=0,PROPERTIES[[#This Row],[TE_COEFFICIENT_MANUAL]],PROPERTIES[[#This Row],[TE_COEFFICIENT_CALC]]),3)</f>
        <v>0.34399999999999997</v>
      </c>
      <c r="U616" s="11">
        <v>40</v>
      </c>
      <c r="V616" s="9">
        <v>0</v>
      </c>
      <c r="W616" s="9">
        <v>0</v>
      </c>
      <c r="X616" s="10">
        <v>0</v>
      </c>
      <c r="Y616" t="s">
        <v>907</v>
      </c>
      <c r="Z616" t="s">
        <v>903</v>
      </c>
      <c r="AA616" s="2" t="s">
        <v>921</v>
      </c>
      <c r="AB616" s="9" t="s">
        <v>995</v>
      </c>
      <c r="AC616" s="9" t="s">
        <v>996</v>
      </c>
      <c r="AD616" s="10" t="str">
        <f>SUBSTITUTE(SUBSTITUTE(PROPERTIES[[#This Row],[PURCHASECOST_VALUE]], "PURCHASECOST_", ""), "_VALUE", "")</f>
        <v>ELECTRICENGINE</v>
      </c>
      <c r="AE616" s="9" t="str" cm="1">
        <f t="array" ref="AE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16" s="2" t="b">
        <v>0</v>
      </c>
      <c r="AX616"/>
      <c r="AY616"/>
      <c r="AZ616"/>
    </row>
    <row r="617" spans="1:52">
      <c r="A617" s="2" t="s">
        <v>639</v>
      </c>
      <c r="B617">
        <v>1986</v>
      </c>
      <c r="C617">
        <v>0</v>
      </c>
      <c r="D617" t="s">
        <v>1930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 s="2" t="s">
        <v>19</v>
      </c>
      <c r="K617" s="39">
        <f>_xlfn.XLOOKUP("LOADINGSPEEDDEF_"&amp;PROPERTIES[[#This Row],[LOADINGSPEED]],LOADINGSPEEDDEF[TYPE],LOADINGSPEEDDEF[SPEED])</f>
        <v>0</v>
      </c>
      <c r="L617">
        <v>45</v>
      </c>
      <c r="M617">
        <v>1</v>
      </c>
      <c r="N617" s="33">
        <v>107</v>
      </c>
      <c r="O617">
        <v>4000</v>
      </c>
      <c r="P617">
        <v>105</v>
      </c>
      <c r="Q617" s="30">
        <v>360</v>
      </c>
      <c r="R617" s="29">
        <f>IFERROR(PROPERTIES[[#This Row],[TE_STARTING_KN]]/(PROPERTIES[[#This Row],[WEIGHT]]*9.81),0)</f>
        <v>0.3429649318357198</v>
      </c>
      <c r="S617" s="29">
        <v>0.21</v>
      </c>
      <c r="T617" s="26">
        <f>ROUND(IF(IFERROR(PROPERTIES[[#This Row],[TE_COEFFICIENT_CALC]],0)=0,PROPERTIES[[#This Row],[TE_COEFFICIENT_MANUAL]],PROPERTIES[[#This Row],[TE_COEFFICIENT_CALC]]),3)</f>
        <v>0.34300000000000003</v>
      </c>
      <c r="U617" s="11">
        <v>40</v>
      </c>
      <c r="V617" s="9">
        <v>0</v>
      </c>
      <c r="W617" s="9">
        <v>0</v>
      </c>
      <c r="X617" s="10">
        <v>0</v>
      </c>
      <c r="Y617" t="s">
        <v>906</v>
      </c>
      <c r="Z617" t="s">
        <v>903</v>
      </c>
      <c r="AA617" s="2" t="s">
        <v>921</v>
      </c>
      <c r="AB617" s="9" t="s">
        <v>995</v>
      </c>
      <c r="AC617" s="9" t="s">
        <v>996</v>
      </c>
      <c r="AD617" s="10" t="str">
        <f>SUBSTITUTE(SUBSTITUTE(PROPERTIES[[#This Row],[PURCHASECOST_VALUE]], "PURCHASECOST_", ""), "_VALUE", "")</f>
        <v>ELECTRICENGINE</v>
      </c>
      <c r="AE617" s="9" t="str" cm="1">
        <f t="array" ref="AE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7" s="2" t="b">
        <v>0</v>
      </c>
      <c r="AX617"/>
      <c r="AY617"/>
      <c r="AZ617"/>
    </row>
    <row r="618" spans="1:52">
      <c r="A618" s="2" t="s">
        <v>640</v>
      </c>
      <c r="B618">
        <v>1962</v>
      </c>
      <c r="C618">
        <v>1</v>
      </c>
      <c r="D618" t="s">
        <v>1873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 s="2" t="s">
        <v>23</v>
      </c>
      <c r="K618" s="39">
        <f>_xlfn.XLOOKUP("LOADINGSPEEDDEF_"&amp;PROPERTIES[[#This Row],[LOADINGSPEED]],LOADINGSPEEDDEF[TYPE],LOADINGSPEEDDEF[SPEED])</f>
        <v>40</v>
      </c>
      <c r="L618">
        <v>45</v>
      </c>
      <c r="M618">
        <v>1</v>
      </c>
      <c r="N618" s="33">
        <v>28.4</v>
      </c>
      <c r="O618">
        <f>536*2</f>
        <v>1072</v>
      </c>
      <c r="P618">
        <v>110</v>
      </c>
      <c r="Q618" s="30">
        <v>35</v>
      </c>
      <c r="R618" s="29">
        <f>IFERROR(PROPERTIES[[#This Row],[TE_STARTING_KN]]/(PROPERTIES[[#This Row],[WEIGHT]]*9.81),0)</f>
        <v>0.12562633702315831</v>
      </c>
      <c r="S618" s="29">
        <v>0.27</v>
      </c>
      <c r="T618" s="26">
        <f>ROUND(IF(IFERROR(PROPERTIES[[#This Row],[TE_COEFFICIENT_CALC]],0)=0,PROPERTIES[[#This Row],[TE_COEFFICIENT_MANUAL]],PROPERTIES[[#This Row],[TE_COEFFICIENT_CALC]]),3)</f>
        <v>0.126</v>
      </c>
      <c r="U618" s="11">
        <v>25</v>
      </c>
      <c r="V618" s="9">
        <v>42</v>
      </c>
      <c r="W618" s="9">
        <v>8</v>
      </c>
      <c r="X618" s="10">
        <v>0</v>
      </c>
      <c r="Y618" t="s">
        <v>912</v>
      </c>
      <c r="Z618" t="s">
        <v>903</v>
      </c>
      <c r="AA618" s="2" t="s">
        <v>921</v>
      </c>
      <c r="AB618" s="9" t="s">
        <v>999</v>
      </c>
      <c r="AC618" s="9" t="s">
        <v>1000</v>
      </c>
      <c r="AD618" s="10" t="str">
        <f>SUBSTITUTE(SUBSTITUTE(PROPERTIES[[#This Row],[PURCHASECOST_VALUE]], "PURCHASECOST_", ""), "_VALUE", "")</f>
        <v>EMU</v>
      </c>
      <c r="AE618" s="9" t="str" cm="1">
        <f t="array" ref="AE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8" s="2" t="b">
        <v>0</v>
      </c>
      <c r="AX618"/>
      <c r="AY618"/>
      <c r="AZ618"/>
    </row>
    <row r="619" spans="1:52">
      <c r="A619" s="2" t="s">
        <v>641</v>
      </c>
      <c r="B619">
        <v>1986</v>
      </c>
      <c r="C619">
        <v>1</v>
      </c>
      <c r="D619" t="s">
        <v>1873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 s="2" t="s">
        <v>23</v>
      </c>
      <c r="K619" s="39">
        <f>_xlfn.XLOOKUP("LOADINGSPEEDDEF_"&amp;PROPERTIES[[#This Row],[LOADINGSPEED]],LOADINGSPEEDDEF[TYPE],LOADINGSPEEDDEF[SPEED])</f>
        <v>40</v>
      </c>
      <c r="L619">
        <v>45</v>
      </c>
      <c r="M619">
        <v>1</v>
      </c>
      <c r="N619" s="33">
        <v>32.700000000000003</v>
      </c>
      <c r="O619">
        <v>1550</v>
      </c>
      <c r="P619">
        <v>110</v>
      </c>
      <c r="Q619" s="30">
        <v>42</v>
      </c>
      <c r="R619" s="29">
        <f>IFERROR(PROPERTIES[[#This Row],[TE_STARTING_KN]]/(PROPERTIES[[#This Row],[WEIGHT]]*9.81),0)</f>
        <v>0.13092799895257601</v>
      </c>
      <c r="S619" s="29">
        <v>0.22</v>
      </c>
      <c r="T619" s="26">
        <f>ROUND(IF(IFERROR(PROPERTIES[[#This Row],[TE_COEFFICIENT_CALC]],0)=0,PROPERTIES[[#This Row],[TE_COEFFICIENT_MANUAL]],PROPERTIES[[#This Row],[TE_COEFFICIENT_CALC]]),3)</f>
        <v>0.13100000000000001</v>
      </c>
      <c r="U619" s="11">
        <v>25</v>
      </c>
      <c r="V619" s="9">
        <v>44</v>
      </c>
      <c r="W619" s="9">
        <v>8</v>
      </c>
      <c r="X619" s="10">
        <v>0</v>
      </c>
      <c r="Y619" t="s">
        <v>912</v>
      </c>
      <c r="Z619" t="s">
        <v>903</v>
      </c>
      <c r="AA619" s="2" t="s">
        <v>921</v>
      </c>
      <c r="AB619" s="9" t="s">
        <v>999</v>
      </c>
      <c r="AC619" s="9" t="s">
        <v>1000</v>
      </c>
      <c r="AD619" s="10" t="str">
        <f>SUBSTITUTE(SUBSTITUTE(PROPERTIES[[#This Row],[PURCHASECOST_VALUE]], "PURCHASECOST_", ""), "_VALUE", "")</f>
        <v>EMU</v>
      </c>
      <c r="AE619" s="9" t="str" cm="1">
        <f t="array" ref="AE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9" s="2" t="b">
        <v>0</v>
      </c>
      <c r="AX619"/>
      <c r="AY619"/>
      <c r="AZ619"/>
    </row>
    <row r="620" spans="1:52">
      <c r="A620" s="2" t="s">
        <v>642</v>
      </c>
      <c r="B620">
        <v>1972</v>
      </c>
      <c r="C620">
        <v>1</v>
      </c>
      <c r="D620" t="s">
        <v>1773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 s="2" t="s">
        <v>23</v>
      </c>
      <c r="K620" s="39">
        <f>_xlfn.XLOOKUP("LOADINGSPEEDDEF_"&amp;PROPERTIES[[#This Row],[LOADINGSPEED]],LOADINGSPEEDDEF[TYPE],LOADINGSPEEDDEF[SPEED])</f>
        <v>40</v>
      </c>
      <c r="L620">
        <v>45</v>
      </c>
      <c r="M620">
        <v>1</v>
      </c>
      <c r="N620" s="33">
        <v>47</v>
      </c>
      <c r="O620">
        <v>1600</v>
      </c>
      <c r="P620">
        <v>115</v>
      </c>
      <c r="Q620" s="30">
        <v>110</v>
      </c>
      <c r="R620" s="29">
        <f>IFERROR(PROPERTIES[[#This Row],[TE_STARTING_KN]]/(PROPERTIES[[#This Row],[WEIGHT]]*9.81),0)</f>
        <v>0.2385754874530982</v>
      </c>
      <c r="S620" s="29">
        <v>0.31</v>
      </c>
      <c r="T620" s="26">
        <f>ROUND(IF(IFERROR(PROPERTIES[[#This Row],[TE_COEFFICIENT_CALC]],0)=0,PROPERTIES[[#This Row],[TE_COEFFICIENT_MANUAL]],PROPERTIES[[#This Row],[TE_COEFFICIENT_CALC]]),3)</f>
        <v>0.23899999999999999</v>
      </c>
      <c r="U620" s="11">
        <v>25</v>
      </c>
      <c r="V620" s="9">
        <v>130</v>
      </c>
      <c r="W620" s="9">
        <v>8</v>
      </c>
      <c r="X620" s="10">
        <v>0</v>
      </c>
      <c r="Y620" t="s">
        <v>906</v>
      </c>
      <c r="Z620" t="s">
        <v>903</v>
      </c>
      <c r="AA620" s="2" t="s">
        <v>921</v>
      </c>
      <c r="AB620" s="9" t="s">
        <v>999</v>
      </c>
      <c r="AC620" s="9" t="s">
        <v>1000</v>
      </c>
      <c r="AD620" s="10" t="str">
        <f>SUBSTITUTE(SUBSTITUTE(PROPERTIES[[#This Row],[PURCHASECOST_VALUE]], "PURCHASECOST_", ""), "_VALUE", "")</f>
        <v>EMU</v>
      </c>
      <c r="AE620" s="9" t="str" cm="1">
        <f t="array" ref="AE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0" s="2" t="b">
        <v>0</v>
      </c>
      <c r="AX620"/>
      <c r="AY620"/>
      <c r="AZ620"/>
    </row>
    <row r="621" spans="1:52">
      <c r="A621" s="2" t="s">
        <v>643</v>
      </c>
      <c r="B621">
        <v>2007</v>
      </c>
      <c r="C621">
        <v>1</v>
      </c>
      <c r="D621" t="s">
        <v>1773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 s="2" t="s">
        <v>23</v>
      </c>
      <c r="K621" s="39">
        <f>_xlfn.XLOOKUP("LOADINGSPEEDDEF_"&amp;PROPERTIES[[#This Row],[LOADINGSPEED]],LOADINGSPEEDDEF[TYPE],LOADINGSPEEDDEF[SPEED])</f>
        <v>40</v>
      </c>
      <c r="L621" t="s">
        <v>20</v>
      </c>
      <c r="M621">
        <v>1</v>
      </c>
      <c r="N621" s="33">
        <v>57</v>
      </c>
      <c r="O621">
        <f>1072*2</f>
        <v>2144</v>
      </c>
      <c r="P621">
        <v>130</v>
      </c>
      <c r="Q621" s="30">
        <v>110</v>
      </c>
      <c r="R621" s="29">
        <f>IFERROR(PROPERTIES[[#This Row],[TE_STARTING_KN]]/(PROPERTIES[[#This Row],[WEIGHT]]*9.81),0)</f>
        <v>0.19672013877711605</v>
      </c>
      <c r="S621" s="29">
        <v>0.41</v>
      </c>
      <c r="T621" s="26">
        <f>ROUND(IF(IFERROR(PROPERTIES[[#This Row],[TE_COEFFICIENT_CALC]],0)=0,PROPERTIES[[#This Row],[TE_COEFFICIENT_MANUAL]],PROPERTIES[[#This Row],[TE_COEFFICIENT_CALC]]),3)</f>
        <v>0.19700000000000001</v>
      </c>
      <c r="U621" s="11">
        <v>25</v>
      </c>
      <c r="V621" s="9">
        <v>120</v>
      </c>
      <c r="W621" s="9">
        <v>8</v>
      </c>
      <c r="X621" s="10">
        <v>0</v>
      </c>
      <c r="Y621" t="s">
        <v>906</v>
      </c>
      <c r="Z621" t="s">
        <v>903</v>
      </c>
      <c r="AA621" s="2" t="s">
        <v>921</v>
      </c>
      <c r="AB621" s="9" t="s">
        <v>999</v>
      </c>
      <c r="AC621" s="9" t="s">
        <v>1000</v>
      </c>
      <c r="AD621" s="10" t="str">
        <f>SUBSTITUTE(SUBSTITUTE(PROPERTIES[[#This Row],[PURCHASECOST_VALUE]], "PURCHASECOST_", ""), "_VALUE", "")</f>
        <v>EMU</v>
      </c>
      <c r="AE621" s="9" t="str" cm="1">
        <f t="array" ref="AE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1" s="2" t="b">
        <v>0</v>
      </c>
      <c r="AX621"/>
      <c r="AY621"/>
      <c r="AZ621"/>
    </row>
    <row r="622" spans="1:52">
      <c r="A622" s="2" t="s">
        <v>644</v>
      </c>
      <c r="B622">
        <v>1917</v>
      </c>
      <c r="C622">
        <v>1</v>
      </c>
      <c r="D622" t="s">
        <v>1773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 s="2" t="s">
        <v>23</v>
      </c>
      <c r="K622" s="39">
        <f>_xlfn.XLOOKUP("LOADINGSPEEDDEF_"&amp;PROPERTIES[[#This Row],[LOADINGSPEED]],LOADINGSPEEDDEF[TYPE],LOADINGSPEEDDEF[SPEED])</f>
        <v>40</v>
      </c>
      <c r="L622">
        <v>45</v>
      </c>
      <c r="M622">
        <v>1</v>
      </c>
      <c r="N622" s="33">
        <v>47</v>
      </c>
      <c r="O622">
        <v>563</v>
      </c>
      <c r="P622">
        <v>83</v>
      </c>
      <c r="Q622" s="30">
        <f>110/2</f>
        <v>55</v>
      </c>
      <c r="R622" s="29">
        <f>IFERROR(PROPERTIES[[#This Row],[TE_STARTING_KN]]/(PROPERTIES[[#This Row],[WEIGHT]]*9.81),0)</f>
        <v>0.1192877437265491</v>
      </c>
      <c r="S622" s="29">
        <v>0.16</v>
      </c>
      <c r="T622" s="26">
        <f>ROUND(IF(IFERROR(PROPERTIES[[#This Row],[TE_COEFFICIENT_CALC]],0)=0,PROPERTIES[[#This Row],[TE_COEFFICIENT_MANUAL]],PROPERTIES[[#This Row],[TE_COEFFICIENT_CALC]]),3)</f>
        <v>0.11899999999999999</v>
      </c>
      <c r="U622" s="11">
        <v>25</v>
      </c>
      <c r="V622" s="9">
        <v>75</v>
      </c>
      <c r="W622" s="9">
        <v>8</v>
      </c>
      <c r="X622" s="10">
        <v>0</v>
      </c>
      <c r="Y622" t="s">
        <v>906</v>
      </c>
      <c r="Z622" t="s">
        <v>903</v>
      </c>
      <c r="AA622" s="2" t="s">
        <v>921</v>
      </c>
      <c r="AB622" s="9" t="s">
        <v>999</v>
      </c>
      <c r="AC622" s="9" t="s">
        <v>1000</v>
      </c>
      <c r="AD622" s="10" t="str">
        <f>SUBSTITUTE(SUBSTITUTE(PROPERTIES[[#This Row],[PURCHASECOST_VALUE]], "PURCHASECOST_", ""), "_VALUE", "")</f>
        <v>EMU</v>
      </c>
      <c r="AE622" s="9" t="str" cm="1">
        <f t="array" ref="AE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2" s="2" t="b">
        <v>0</v>
      </c>
      <c r="AX622"/>
      <c r="AY622"/>
      <c r="AZ622"/>
    </row>
    <row r="623" spans="1:52">
      <c r="A623" s="2" t="s">
        <v>645</v>
      </c>
      <c r="B623">
        <v>1979</v>
      </c>
      <c r="C623">
        <v>1</v>
      </c>
      <c r="D623" t="s">
        <v>1930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 s="2" t="s">
        <v>23</v>
      </c>
      <c r="K623" s="39">
        <f>_xlfn.XLOOKUP("LOADINGSPEEDDEF_"&amp;PROPERTIES[[#This Row],[LOADINGSPEED]],LOADINGSPEEDDEF[TYPE],LOADINGSPEEDDEF[SPEED])</f>
        <v>40</v>
      </c>
      <c r="L623">
        <v>45</v>
      </c>
      <c r="M623">
        <v>1</v>
      </c>
      <c r="N623" s="33">
        <v>37.6</v>
      </c>
      <c r="O623">
        <v>540</v>
      </c>
      <c r="P623">
        <v>95</v>
      </c>
      <c r="Q623" s="30">
        <v>50</v>
      </c>
      <c r="R623" s="29">
        <f>IFERROR(PROPERTIES[[#This Row],[TE_STARTING_KN]]/(PROPERTIES[[#This Row],[WEIGHT]]*9.81),0)</f>
        <v>0.13555425423471487</v>
      </c>
      <c r="S623" s="29">
        <v>0.26</v>
      </c>
      <c r="T623" s="26">
        <f>ROUND(IF(IFERROR(PROPERTIES[[#This Row],[TE_COEFFICIENT_CALC]],0)=0,PROPERTIES[[#This Row],[TE_COEFFICIENT_MANUAL]],PROPERTIES[[#This Row],[TE_COEFFICIENT_CALC]]),3)</f>
        <v>0.13600000000000001</v>
      </c>
      <c r="U623" s="11">
        <v>25</v>
      </c>
      <c r="V623" s="9">
        <v>74</v>
      </c>
      <c r="W623" s="9">
        <v>8</v>
      </c>
      <c r="X623" s="10">
        <v>0</v>
      </c>
      <c r="Y623" t="s">
        <v>906</v>
      </c>
      <c r="Z623" t="s">
        <v>903</v>
      </c>
      <c r="AA623" s="2" t="s">
        <v>921</v>
      </c>
      <c r="AB623" s="9" t="s">
        <v>999</v>
      </c>
      <c r="AC623" s="9" t="s">
        <v>1000</v>
      </c>
      <c r="AD623" s="10" t="str">
        <f>SUBSTITUTE(SUBSTITUTE(PROPERTIES[[#This Row],[PURCHASECOST_VALUE]], "PURCHASECOST_", ""), "_VALUE", "")</f>
        <v>EMU</v>
      </c>
      <c r="AE623" s="9" t="str" cm="1">
        <f t="array" ref="AE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3" s="2" t="b">
        <v>0</v>
      </c>
      <c r="AX623"/>
      <c r="AY623"/>
      <c r="AZ623"/>
    </row>
    <row r="624" spans="1:52">
      <c r="A624" s="2" t="s">
        <v>646</v>
      </c>
      <c r="B624">
        <v>1958</v>
      </c>
      <c r="C624">
        <v>1</v>
      </c>
      <c r="D624" t="s">
        <v>2006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 s="2" t="s">
        <v>23</v>
      </c>
      <c r="K624" s="39">
        <f>_xlfn.XLOOKUP("LOADINGSPEEDDEF_"&amp;PROPERTIES[[#This Row],[LOADINGSPEED]],LOADINGSPEEDDEF[TYPE],LOADINGSPEEDDEF[SPEED])</f>
        <v>40</v>
      </c>
      <c r="L624">
        <v>45</v>
      </c>
      <c r="M624">
        <v>1</v>
      </c>
      <c r="N624" s="33">
        <v>60</v>
      </c>
      <c r="O624">
        <v>2480</v>
      </c>
      <c r="P624">
        <v>100</v>
      </c>
      <c r="Q624" s="30">
        <v>160</v>
      </c>
      <c r="R624" s="29">
        <f>IFERROR(PROPERTIES[[#This Row],[TE_STARTING_KN]]/(PROPERTIES[[#This Row],[WEIGHT]]*9.81),0)</f>
        <v>0.27183146449201495</v>
      </c>
      <c r="S624" s="29">
        <v>0.27</v>
      </c>
      <c r="T624" s="26">
        <f>ROUND(IF(IFERROR(PROPERTIES[[#This Row],[TE_COEFFICIENT_CALC]],0)=0,PROPERTIES[[#This Row],[TE_COEFFICIENT_MANUAL]],PROPERTIES[[#This Row],[TE_COEFFICIENT_CALC]]),3)</f>
        <v>0.27200000000000002</v>
      </c>
      <c r="U624" s="11">
        <v>25</v>
      </c>
      <c r="V624" s="9">
        <f>149+52</f>
        <v>201</v>
      </c>
      <c r="W624" s="9">
        <v>7</v>
      </c>
      <c r="X624" s="10">
        <v>0</v>
      </c>
      <c r="Y624" t="s">
        <v>907</v>
      </c>
      <c r="Z624" t="s">
        <v>903</v>
      </c>
      <c r="AA624" s="2" t="s">
        <v>921</v>
      </c>
      <c r="AB624" s="9" t="s">
        <v>999</v>
      </c>
      <c r="AC624" s="9" t="s">
        <v>1000</v>
      </c>
      <c r="AD624" s="10" t="str">
        <f>SUBSTITUTE(SUBSTITUTE(PROPERTIES[[#This Row],[PURCHASECOST_VALUE]], "PURCHASECOST_", ""), "_VALUE", "")</f>
        <v>EMU</v>
      </c>
      <c r="AE624" s="9" t="str" cm="1">
        <f t="array" ref="AE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4" s="2" t="b">
        <v>0</v>
      </c>
      <c r="AX624"/>
      <c r="AY624"/>
      <c r="AZ624"/>
    </row>
    <row r="625" spans="1:52">
      <c r="A625" s="2" t="s">
        <v>647</v>
      </c>
      <c r="B625">
        <v>2005</v>
      </c>
      <c r="C625">
        <v>1</v>
      </c>
      <c r="D625" t="s">
        <v>1806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 s="2" t="s">
        <v>23</v>
      </c>
      <c r="K625" s="39">
        <f>_xlfn.XLOOKUP("LOADINGSPEEDDEF_"&amp;PROPERTIES[[#This Row],[LOADINGSPEED]],LOADINGSPEEDDEF[TYPE],LOADINGSPEEDDEF[SPEED])</f>
        <v>40</v>
      </c>
      <c r="L625" t="s">
        <v>20</v>
      </c>
      <c r="M625">
        <v>1</v>
      </c>
      <c r="N625" s="33">
        <v>43</v>
      </c>
      <c r="O625">
        <v>1930</v>
      </c>
      <c r="P625">
        <v>130</v>
      </c>
      <c r="Q625" s="30">
        <v>95</v>
      </c>
      <c r="R625" s="29">
        <f>IFERROR(PROPERTIES[[#This Row],[TE_STARTING_KN]]/(PROPERTIES[[#This Row],[WEIGHT]]*9.81),0)</f>
        <v>0.2252092075006519</v>
      </c>
      <c r="S625" s="29">
        <v>0.28999999999999998</v>
      </c>
      <c r="T625" s="26">
        <f>ROUND(IF(IFERROR(PROPERTIES[[#This Row],[TE_COEFFICIENT_CALC]],0)=0,PROPERTIES[[#This Row],[TE_COEFFICIENT_MANUAL]],PROPERTIES[[#This Row],[TE_COEFFICIENT_CALC]]),3)</f>
        <v>0.22500000000000001</v>
      </c>
      <c r="U625" s="11">
        <v>40</v>
      </c>
      <c r="V625" s="9">
        <v>96</v>
      </c>
      <c r="W625" s="9">
        <v>8</v>
      </c>
      <c r="X625" s="10">
        <v>0</v>
      </c>
      <c r="Y625" t="s">
        <v>911</v>
      </c>
      <c r="Z625" t="s">
        <v>903</v>
      </c>
      <c r="AA625" s="2" t="s">
        <v>921</v>
      </c>
      <c r="AB625" s="9" t="s">
        <v>999</v>
      </c>
      <c r="AC625" s="9" t="s">
        <v>1000</v>
      </c>
      <c r="AD625" s="10" t="str">
        <f>SUBSTITUTE(SUBSTITUTE(PROPERTIES[[#This Row],[PURCHASECOST_VALUE]], "PURCHASECOST_", ""), "_VALUE", "")</f>
        <v>EMU</v>
      </c>
      <c r="AE625" s="9" t="str" cm="1">
        <f t="array" ref="AE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5" s="2" t="b">
        <v>0</v>
      </c>
      <c r="AX625"/>
      <c r="AY625"/>
      <c r="AZ625"/>
    </row>
    <row r="626" spans="1:52">
      <c r="A626" s="2" t="s">
        <v>648</v>
      </c>
      <c r="B626">
        <v>1976</v>
      </c>
      <c r="C626">
        <v>1</v>
      </c>
      <c r="D626" t="s">
        <v>1806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 s="2" t="s">
        <v>23</v>
      </c>
      <c r="K626" s="39">
        <f>_xlfn.XLOOKUP("LOADINGSPEEDDEF_"&amp;PROPERTIES[[#This Row],[LOADINGSPEED]],LOADINGSPEEDDEF[TYPE],LOADINGSPEEDDEF[SPEED])</f>
        <v>40</v>
      </c>
      <c r="L626">
        <v>45</v>
      </c>
      <c r="M626">
        <v>1</v>
      </c>
      <c r="N626" s="33">
        <v>52</v>
      </c>
      <c r="O626">
        <f>805*2</f>
        <v>1610</v>
      </c>
      <c r="P626">
        <v>130</v>
      </c>
      <c r="Q626" s="30">
        <v>85</v>
      </c>
      <c r="R626" s="29">
        <f>IFERROR(PROPERTIES[[#This Row],[TE_STARTING_KN]]/(PROPERTIES[[#This Row],[WEIGHT]]*9.81),0)</f>
        <v>0.16662746020544186</v>
      </c>
      <c r="S626" s="29">
        <v>0.21</v>
      </c>
      <c r="T626" s="26">
        <f>ROUND(IF(IFERROR(PROPERTIES[[#This Row],[TE_COEFFICIENT_CALC]],0)=0,PROPERTIES[[#This Row],[TE_COEFFICIENT_MANUAL]],PROPERTIES[[#This Row],[TE_COEFFICIENT_CALC]]),3)</f>
        <v>0.16700000000000001</v>
      </c>
      <c r="U626" s="11">
        <v>40</v>
      </c>
      <c r="V626" s="9">
        <v>92</v>
      </c>
      <c r="W626" s="9">
        <v>7</v>
      </c>
      <c r="X626" s="10">
        <v>0</v>
      </c>
      <c r="Y626" t="s">
        <v>911</v>
      </c>
      <c r="Z626" t="s">
        <v>903</v>
      </c>
      <c r="AA626" s="2" t="s">
        <v>921</v>
      </c>
      <c r="AB626" s="9" t="s">
        <v>999</v>
      </c>
      <c r="AC626" s="9" t="s">
        <v>1000</v>
      </c>
      <c r="AD626" s="10" t="str">
        <f>SUBSTITUTE(SUBSTITUTE(PROPERTIES[[#This Row],[PURCHASECOST_VALUE]], "PURCHASECOST_", ""), "_VALUE", "")</f>
        <v>EMU</v>
      </c>
      <c r="AE626" s="9" t="str" cm="1">
        <f t="array" ref="AE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6" s="2" t="b">
        <v>0</v>
      </c>
      <c r="AX626"/>
      <c r="AY626"/>
      <c r="AZ626"/>
    </row>
    <row r="627" spans="1:52">
      <c r="A627" s="2" t="s">
        <v>649</v>
      </c>
      <c r="B627">
        <v>1984</v>
      </c>
      <c r="C627">
        <v>1</v>
      </c>
      <c r="D627" t="s">
        <v>1982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 s="2" t="s">
        <v>23</v>
      </c>
      <c r="K627" s="39">
        <f>_xlfn.XLOOKUP("LOADINGSPEEDDEF_"&amp;PROPERTIES[[#This Row],[LOADINGSPEED]],LOADINGSPEEDDEF[TYPE],LOADINGSPEEDDEF[SPEED])</f>
        <v>40</v>
      </c>
      <c r="L627">
        <v>45</v>
      </c>
      <c r="M627">
        <v>1</v>
      </c>
      <c r="N627" s="33">
        <v>50</v>
      </c>
      <c r="O627">
        <v>2010</v>
      </c>
      <c r="P627">
        <v>120</v>
      </c>
      <c r="Q627" s="30">
        <v>125</v>
      </c>
      <c r="R627" s="29">
        <f>IFERROR(PROPERTIES[[#This Row],[TE_STARTING_KN]]/(PROPERTIES[[#This Row],[WEIGHT]]*9.81),0)</f>
        <v>0.254841997961264</v>
      </c>
      <c r="S627" s="29">
        <v>0.2</v>
      </c>
      <c r="T627" s="26">
        <f>ROUND(IF(IFERROR(PROPERTIES[[#This Row],[TE_COEFFICIENT_CALC]],0)=0,PROPERTIES[[#This Row],[TE_COEFFICIENT_MANUAL]],PROPERTIES[[#This Row],[TE_COEFFICIENT_CALC]]),3)</f>
        <v>0.255</v>
      </c>
      <c r="U627" s="11">
        <v>40</v>
      </c>
      <c r="V627" s="9">
        <v>150</v>
      </c>
      <c r="W627" s="9">
        <v>8</v>
      </c>
      <c r="X627" s="10">
        <v>0</v>
      </c>
      <c r="Y627" t="s">
        <v>907</v>
      </c>
      <c r="Z627" t="s">
        <v>903</v>
      </c>
      <c r="AA627" s="2" t="s">
        <v>921</v>
      </c>
      <c r="AB627" s="9" t="s">
        <v>999</v>
      </c>
      <c r="AC627" s="9" t="s">
        <v>1000</v>
      </c>
      <c r="AD627" s="10" t="str">
        <f>SUBSTITUTE(SUBSTITUTE(PROPERTIES[[#This Row],[PURCHASECOST_VALUE]], "PURCHASECOST_", ""), "_VALUE", "")</f>
        <v>EMU</v>
      </c>
      <c r="AE627" s="9" t="str" cm="1">
        <f t="array" ref="AE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7" s="2" t="b">
        <v>0</v>
      </c>
      <c r="AX627"/>
      <c r="AY627"/>
      <c r="AZ627"/>
    </row>
    <row r="628" spans="1:52">
      <c r="A628" s="2" t="s">
        <v>650</v>
      </c>
      <c r="B628">
        <v>1997</v>
      </c>
      <c r="C628">
        <v>1</v>
      </c>
      <c r="D628" t="s">
        <v>1773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 s="2" t="s">
        <v>23</v>
      </c>
      <c r="K628" s="39">
        <f>_xlfn.XLOOKUP("LOADINGSPEEDDEF_"&amp;PROPERTIES[[#This Row],[LOADINGSPEED]],LOADINGSPEEDDEF[TYPE],LOADINGSPEEDDEF[SPEED])</f>
        <v>40</v>
      </c>
      <c r="L628">
        <v>45</v>
      </c>
      <c r="M628">
        <v>1</v>
      </c>
      <c r="N628" s="33">
        <v>45</v>
      </c>
      <c r="O628">
        <f>910*2</f>
        <v>1820</v>
      </c>
      <c r="P628">
        <v>160</v>
      </c>
      <c r="Q628" s="30">
        <v>105</v>
      </c>
      <c r="R628" s="29">
        <f>IFERROR(PROPERTIES[[#This Row],[TE_STARTING_KN]]/(PROPERTIES[[#This Row],[WEIGHT]]*9.81),0)</f>
        <v>0.23785253143051305</v>
      </c>
      <c r="S628" s="29">
        <v>0.33</v>
      </c>
      <c r="T628" s="26">
        <f>ROUND(IF(IFERROR(PROPERTIES[[#This Row],[TE_COEFFICIENT_CALC]],0)=0,PROPERTIES[[#This Row],[TE_COEFFICIENT_MANUAL]],PROPERTIES[[#This Row],[TE_COEFFICIENT_CALC]]),3)</f>
        <v>0.23799999999999999</v>
      </c>
      <c r="U628" s="11">
        <v>40</v>
      </c>
      <c r="V628" s="9">
        <v>56</v>
      </c>
      <c r="W628" s="9">
        <v>8</v>
      </c>
      <c r="X628" s="10">
        <v>0</v>
      </c>
      <c r="Y628" t="s">
        <v>906</v>
      </c>
      <c r="Z628" t="s">
        <v>903</v>
      </c>
      <c r="AA628" s="2" t="s">
        <v>921</v>
      </c>
      <c r="AB628" s="9" t="s">
        <v>999</v>
      </c>
      <c r="AC628" s="9" t="s">
        <v>1000</v>
      </c>
      <c r="AD628" s="10" t="str">
        <f>SUBSTITUTE(SUBSTITUTE(PROPERTIES[[#This Row],[PURCHASECOST_VALUE]], "PURCHASECOST_", ""), "_VALUE", "")</f>
        <v>EMU</v>
      </c>
      <c r="AE628" s="9" t="str" cm="1">
        <f t="array" ref="AE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28" s="2" t="b">
        <v>0</v>
      </c>
      <c r="AX628"/>
      <c r="AY628"/>
      <c r="AZ628"/>
    </row>
    <row r="629" spans="1:52">
      <c r="A629" s="2" t="s">
        <v>651</v>
      </c>
      <c r="B629">
        <v>1984</v>
      </c>
      <c r="C629">
        <v>0</v>
      </c>
      <c r="D629" t="s">
        <v>1950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 s="2" t="s">
        <v>19</v>
      </c>
      <c r="K629" s="39">
        <f>_xlfn.XLOOKUP("LOADINGSPEEDDEF_"&amp;PROPERTIES[[#This Row],[LOADINGSPEED]],LOADINGSPEEDDEF[TYPE],LOADINGSPEEDDEF[SPEED])</f>
        <v>0</v>
      </c>
      <c r="L629">
        <v>45</v>
      </c>
      <c r="M629">
        <v>1</v>
      </c>
      <c r="N629" s="33">
        <v>300</v>
      </c>
      <c r="O629">
        <v>12070</v>
      </c>
      <c r="P629">
        <v>100</v>
      </c>
      <c r="Q629" s="30">
        <f>2*530</f>
        <v>1060</v>
      </c>
      <c r="R629" s="29">
        <f>IFERROR(PROPERTIES[[#This Row],[TE_STARTING_KN]]/(PROPERTIES[[#This Row],[WEIGHT]]*9.81),0)</f>
        <v>0.3601766904519198</v>
      </c>
      <c r="S629" s="29">
        <v>0.23</v>
      </c>
      <c r="T629" s="26">
        <f>ROUND(IF(IFERROR(PROPERTIES[[#This Row],[TE_COEFFICIENT_CALC]],0)=0,PROPERTIES[[#This Row],[TE_COEFFICIENT_MANUAL]],PROPERTIES[[#This Row],[TE_COEFFICIENT_CALC]]),3)</f>
        <v>0.36</v>
      </c>
      <c r="U629" s="11">
        <v>40</v>
      </c>
      <c r="V629" s="9">
        <v>0</v>
      </c>
      <c r="W629" s="9">
        <v>8</v>
      </c>
      <c r="X629" s="10">
        <v>0</v>
      </c>
      <c r="Y629" t="s">
        <v>912</v>
      </c>
      <c r="Z629" t="s">
        <v>903</v>
      </c>
      <c r="AA629" s="2" t="s">
        <v>921</v>
      </c>
      <c r="AB629" s="9" t="s">
        <v>995</v>
      </c>
      <c r="AC629" s="9" t="s">
        <v>996</v>
      </c>
      <c r="AD629" s="10" t="str">
        <f>SUBSTITUTE(SUBSTITUTE(PROPERTIES[[#This Row],[PURCHASECOST_VALUE]], "PURCHASECOST_", ""), "_VALUE", "")</f>
        <v>ELECTRICENGINE</v>
      </c>
      <c r="AE629" s="9" t="str" cm="1">
        <f t="array" ref="AE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29" s="2" t="b">
        <v>0</v>
      </c>
      <c r="AX629"/>
      <c r="AY629"/>
      <c r="AZ629"/>
    </row>
    <row r="630" spans="1:52">
      <c r="A630" s="2" t="s">
        <v>652</v>
      </c>
      <c r="B630">
        <v>1974</v>
      </c>
      <c r="C630">
        <v>0</v>
      </c>
      <c r="D630" t="s">
        <v>1950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 s="2" t="s">
        <v>19</v>
      </c>
      <c r="K630" s="39">
        <f>_xlfn.XLOOKUP("LOADINGSPEEDDEF_"&amp;PROPERTIES[[#This Row],[LOADINGSPEED]],LOADINGSPEEDDEF[TYPE],LOADINGSPEEDDEF[SPEED])</f>
        <v>0</v>
      </c>
      <c r="L630">
        <v>45</v>
      </c>
      <c r="M630">
        <v>1</v>
      </c>
      <c r="N630" s="33">
        <v>184</v>
      </c>
      <c r="O630">
        <v>7190</v>
      </c>
      <c r="P630">
        <v>100</v>
      </c>
      <c r="Q630" s="30">
        <f>245*2</f>
        <v>490</v>
      </c>
      <c r="R630" s="29">
        <f>IFERROR(PROPERTIES[[#This Row],[TE_STARTING_KN]]/(PROPERTIES[[#This Row],[WEIGHT]]*9.81),0)</f>
        <v>0.27146212826308558</v>
      </c>
      <c r="S630" s="29">
        <v>0.33</v>
      </c>
      <c r="T630" s="26">
        <f>ROUND(IF(IFERROR(PROPERTIES[[#This Row],[TE_COEFFICIENT_CALC]],0)=0,PROPERTIES[[#This Row],[TE_COEFFICIENT_MANUAL]],PROPERTIES[[#This Row],[TE_COEFFICIENT_CALC]]),3)</f>
        <v>0.27100000000000002</v>
      </c>
      <c r="U630" s="11">
        <v>40</v>
      </c>
      <c r="V630" s="9">
        <v>0</v>
      </c>
      <c r="W630" s="9">
        <v>8</v>
      </c>
      <c r="X630" s="10">
        <v>0</v>
      </c>
      <c r="Y630" t="s">
        <v>912</v>
      </c>
      <c r="Z630" t="s">
        <v>903</v>
      </c>
      <c r="AA630" s="2" t="s">
        <v>921</v>
      </c>
      <c r="AB630" s="9" t="s">
        <v>995</v>
      </c>
      <c r="AC630" s="9" t="s">
        <v>996</v>
      </c>
      <c r="AD630" s="10" t="str">
        <f>SUBSTITUTE(SUBSTITUTE(PROPERTIES[[#This Row],[PURCHASECOST_VALUE]], "PURCHASECOST_", ""), "_VALUE", "")</f>
        <v>ELECTRICENGINE</v>
      </c>
      <c r="AE630" s="9" t="str" cm="1">
        <f t="array" ref="AE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0" s="2" t="b">
        <v>0</v>
      </c>
      <c r="AX630"/>
      <c r="AY630"/>
      <c r="AZ630"/>
    </row>
    <row r="631" spans="1:52">
      <c r="A631" s="2" t="s">
        <v>653</v>
      </c>
      <c r="B631">
        <v>1945</v>
      </c>
      <c r="C631">
        <v>0</v>
      </c>
      <c r="D631" t="s">
        <v>1950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 s="2" t="s">
        <v>19</v>
      </c>
      <c r="K631" s="39">
        <f>_xlfn.XLOOKUP("LOADINGSPEEDDEF_"&amp;PROPERTIES[[#This Row],[LOADINGSPEED]],LOADINGSPEEDDEF[TYPE],LOADINGSPEEDDEF[SPEED])</f>
        <v>0</v>
      </c>
      <c r="L631">
        <v>45</v>
      </c>
      <c r="M631">
        <v>1</v>
      </c>
      <c r="N631" s="33">
        <v>132</v>
      </c>
      <c r="O631">
        <v>3220</v>
      </c>
      <c r="P631">
        <v>80</v>
      </c>
      <c r="Q631" s="30">
        <v>0</v>
      </c>
      <c r="R631" s="29">
        <f>IFERROR(PROPERTIES[[#This Row],[TE_STARTING_KN]]/(PROPERTIES[[#This Row],[WEIGHT]]*9.81),0)</f>
        <v>0</v>
      </c>
      <c r="S631" s="29">
        <v>0.39</v>
      </c>
      <c r="T631" s="26">
        <f>ROUND(IF(IFERROR(PROPERTIES[[#This Row],[TE_COEFFICIENT_CALC]],0)=0,PROPERTIES[[#This Row],[TE_COEFFICIENT_MANUAL]],PROPERTIES[[#This Row],[TE_COEFFICIENT_CALC]]),3)</f>
        <v>0.39</v>
      </c>
      <c r="U631" s="11">
        <v>40</v>
      </c>
      <c r="V631" s="9">
        <v>0</v>
      </c>
      <c r="W631" s="9">
        <v>0</v>
      </c>
      <c r="X631" s="10">
        <v>0</v>
      </c>
      <c r="Y631" t="s">
        <v>912</v>
      </c>
      <c r="Z631" t="s">
        <v>903</v>
      </c>
      <c r="AA631" s="2" t="s">
        <v>921</v>
      </c>
      <c r="AB631" s="9" t="s">
        <v>995</v>
      </c>
      <c r="AC631" s="9" t="s">
        <v>996</v>
      </c>
      <c r="AD631" s="10" t="str">
        <f>SUBSTITUTE(SUBSTITUTE(PROPERTIES[[#This Row],[PURCHASECOST_VALUE]], "PURCHASECOST_", ""), "_VALUE", "")</f>
        <v>ELECTRICENGINE</v>
      </c>
      <c r="AE631" s="9" t="str" cm="1">
        <f t="array" ref="AE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1" s="2" t="b">
        <v>0</v>
      </c>
      <c r="AX631"/>
      <c r="AY631"/>
      <c r="AZ631"/>
    </row>
    <row r="632" spans="1:52">
      <c r="A632" s="2" t="s">
        <v>654</v>
      </c>
      <c r="B632">
        <v>1995</v>
      </c>
      <c r="C632">
        <v>0</v>
      </c>
      <c r="D632" t="s">
        <v>1989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 s="2" t="s">
        <v>19</v>
      </c>
      <c r="K632" s="39">
        <f>_xlfn.XLOOKUP("LOADINGSPEEDDEF_"&amp;PROPERTIES[[#This Row],[LOADINGSPEED]],LOADINGSPEEDDEF[TYPE],LOADINGSPEEDDEF[SPEED])</f>
        <v>0</v>
      </c>
      <c r="L632">
        <v>45</v>
      </c>
      <c r="M632">
        <v>0</v>
      </c>
      <c r="N632" s="33">
        <v>184</v>
      </c>
      <c r="O632">
        <v>8750</v>
      </c>
      <c r="P632">
        <v>100</v>
      </c>
      <c r="Q632" s="30">
        <v>706</v>
      </c>
      <c r="R632" s="29">
        <f>IFERROR(PROPERTIES[[#This Row],[TE_STARTING_KN]]/(PROPERTIES[[#This Row],[WEIGHT]]*9.81),0)</f>
        <v>0.39112706643620082</v>
      </c>
      <c r="S632" s="29">
        <v>0.23</v>
      </c>
      <c r="T632" s="26">
        <f>ROUND(IF(IFERROR(PROPERTIES[[#This Row],[TE_COEFFICIENT_CALC]],0)=0,PROPERTIES[[#This Row],[TE_COEFFICIENT_MANUAL]],PROPERTIES[[#This Row],[TE_COEFFICIENT_CALC]]),3)</f>
        <v>0.39100000000000001</v>
      </c>
      <c r="U632" s="11">
        <v>40</v>
      </c>
      <c r="V632" s="9">
        <v>0</v>
      </c>
      <c r="W632" s="9">
        <v>0</v>
      </c>
      <c r="X632" s="10">
        <v>0</v>
      </c>
      <c r="Y632" t="s">
        <v>910</v>
      </c>
      <c r="Z632" t="s">
        <v>903</v>
      </c>
      <c r="AA632" s="2" t="s">
        <v>921</v>
      </c>
      <c r="AB632" s="9" t="s">
        <v>995</v>
      </c>
      <c r="AC632" s="9" t="s">
        <v>996</v>
      </c>
      <c r="AD632" s="10" t="str">
        <f>SUBSTITUTE(SUBSTITUTE(PROPERTIES[[#This Row],[PURCHASECOST_VALUE]], "PURCHASECOST_", ""), "_VALUE", "")</f>
        <v>ELECTRICENGINE</v>
      </c>
      <c r="AE632" s="9" t="str" cm="1">
        <f t="array" ref="AE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2" s="2" t="b">
        <v>0</v>
      </c>
      <c r="AX632"/>
      <c r="AY632"/>
      <c r="AZ632"/>
    </row>
    <row r="633" spans="1:52">
      <c r="A633" s="2" t="s">
        <v>655</v>
      </c>
      <c r="B633">
        <v>1961</v>
      </c>
      <c r="C633">
        <v>0</v>
      </c>
      <c r="D633" t="s">
        <v>1950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 s="2" t="s">
        <v>19</v>
      </c>
      <c r="K633" s="39">
        <f>_xlfn.XLOOKUP("LOADINGSPEEDDEF_"&amp;PROPERTIES[[#This Row],[LOADINGSPEED]],LOADINGSPEEDDEF[TYPE],LOADINGSPEEDDEF[SPEED])</f>
        <v>0</v>
      </c>
      <c r="L633">
        <v>45</v>
      </c>
      <c r="M633">
        <v>1</v>
      </c>
      <c r="N633" s="33">
        <v>85</v>
      </c>
      <c r="O633">
        <v>3755</v>
      </c>
      <c r="P633">
        <v>120</v>
      </c>
      <c r="Q633" s="30">
        <v>260</v>
      </c>
      <c r="R633" s="29">
        <f>IFERROR(PROPERTIES[[#This Row],[TE_STARTING_KN]]/(PROPERTIES[[#This Row],[WEIGHT]]*9.81),0)</f>
        <v>0.31180667985848776</v>
      </c>
      <c r="S633" s="29">
        <v>0.27</v>
      </c>
      <c r="T633" s="26">
        <f>ROUND(IF(IFERROR(PROPERTIES[[#This Row],[TE_COEFFICIENT_CALC]],0)=0,PROPERTIES[[#This Row],[TE_COEFFICIENT_MANUAL]],PROPERTIES[[#This Row],[TE_COEFFICIENT_CALC]]),3)</f>
        <v>0.312</v>
      </c>
      <c r="U633" s="11">
        <v>40</v>
      </c>
      <c r="V633" s="9">
        <v>0</v>
      </c>
      <c r="W633" s="9">
        <v>0</v>
      </c>
      <c r="X633" s="10">
        <v>0</v>
      </c>
      <c r="Y633" t="s">
        <v>912</v>
      </c>
      <c r="Z633" t="s">
        <v>903</v>
      </c>
      <c r="AA633" s="2" t="s">
        <v>921</v>
      </c>
      <c r="AB633" s="9" t="s">
        <v>995</v>
      </c>
      <c r="AC633" s="9" t="s">
        <v>996</v>
      </c>
      <c r="AD633" s="10" t="str">
        <f>SUBSTITUTE(SUBSTITUTE(PROPERTIES[[#This Row],[PURCHASECOST_VALUE]], "PURCHASECOST_", ""), "_VALUE", "")</f>
        <v>ELECTRICENGINE</v>
      </c>
      <c r="AE633" s="9" t="str" cm="1">
        <f t="array" ref="AE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3" s="2" t="b">
        <v>0</v>
      </c>
      <c r="AX633"/>
      <c r="AY633"/>
      <c r="AZ633"/>
    </row>
    <row r="634" spans="1:52">
      <c r="A634" s="2" t="s">
        <v>656</v>
      </c>
      <c r="B634">
        <v>1983</v>
      </c>
      <c r="C634">
        <v>0</v>
      </c>
      <c r="D634" t="s">
        <v>1989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 s="2" t="s">
        <v>19</v>
      </c>
      <c r="K634" s="39">
        <f>_xlfn.XLOOKUP("LOADINGSPEEDDEF_"&amp;PROPERTIES[[#This Row],[LOADINGSPEED]],LOADINGSPEEDDEF[TYPE],LOADINGSPEEDDEF[SPEED])</f>
        <v>0</v>
      </c>
      <c r="L634">
        <v>45</v>
      </c>
      <c r="M634">
        <v>1</v>
      </c>
      <c r="N634" s="33">
        <v>172</v>
      </c>
      <c r="O634">
        <v>8624</v>
      </c>
      <c r="P634">
        <v>160</v>
      </c>
      <c r="Q634" s="30">
        <v>320</v>
      </c>
      <c r="R634" s="29">
        <f>IFERROR(PROPERTIES[[#This Row],[TE_STARTING_KN]]/(PROPERTIES[[#This Row],[WEIGHT]]*9.81),0)</f>
        <v>0.18964985894791739</v>
      </c>
      <c r="S634" s="29">
        <v>0.22</v>
      </c>
      <c r="T634" s="26">
        <f>ROUND(IF(IFERROR(PROPERTIES[[#This Row],[TE_COEFFICIENT_CALC]],0)=0,PROPERTIES[[#This Row],[TE_COEFFICIENT_MANUAL]],PROPERTIES[[#This Row],[TE_COEFFICIENT_CALC]]),3)</f>
        <v>0.19</v>
      </c>
      <c r="U634" s="11">
        <v>40</v>
      </c>
      <c r="V634" s="9">
        <v>0</v>
      </c>
      <c r="W634" s="9">
        <v>0</v>
      </c>
      <c r="X634" s="10">
        <v>0</v>
      </c>
      <c r="Y634" t="s">
        <v>910</v>
      </c>
      <c r="Z634" t="s">
        <v>903</v>
      </c>
      <c r="AA634" s="2" t="s">
        <v>921</v>
      </c>
      <c r="AB634" s="9" t="s">
        <v>995</v>
      </c>
      <c r="AC634" s="9" t="s">
        <v>996</v>
      </c>
      <c r="AD634" s="10" t="str">
        <f>SUBSTITUTE(SUBSTITUTE(PROPERTIES[[#This Row],[PURCHASECOST_VALUE]], "PURCHASECOST_", ""), "_VALUE", "")</f>
        <v>ELECTRICENGINE</v>
      </c>
      <c r="AE634" s="9" t="str" cm="1">
        <f t="array" ref="AE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34" s="2" t="b">
        <v>0</v>
      </c>
      <c r="AX634"/>
      <c r="AY634"/>
      <c r="AZ634"/>
    </row>
    <row r="635" spans="1:52">
      <c r="A635" s="2" t="s">
        <v>657</v>
      </c>
      <c r="B635">
        <v>1962</v>
      </c>
      <c r="C635">
        <v>0</v>
      </c>
      <c r="D635" t="s">
        <v>1791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 s="2" t="s">
        <v>23</v>
      </c>
      <c r="K635" s="39">
        <f>_xlfn.XLOOKUP("LOADINGSPEEDDEF_"&amp;PROPERTIES[[#This Row],[LOADINGSPEED]],LOADINGSPEEDDEF[TYPE],LOADINGSPEEDDEF[SPEED])</f>
        <v>40</v>
      </c>
      <c r="L635">
        <v>45</v>
      </c>
      <c r="M635">
        <v>1</v>
      </c>
      <c r="N635" s="33">
        <v>123</v>
      </c>
      <c r="O635">
        <v>4400</v>
      </c>
      <c r="P635">
        <v>117</v>
      </c>
      <c r="Q635" s="30">
        <v>385</v>
      </c>
      <c r="R635" s="29">
        <f>IFERROR(PROPERTIES[[#This Row],[TE_STARTING_KN]]/(PROPERTIES[[#This Row],[WEIGHT]]*9.81),0)</f>
        <v>0.31907046899215169</v>
      </c>
      <c r="S635" s="29">
        <v>0.21</v>
      </c>
      <c r="T635" s="26">
        <f>ROUND(IF(IFERROR(PROPERTIES[[#This Row],[TE_COEFFICIENT_CALC]],0)=0,PROPERTIES[[#This Row],[TE_COEFFICIENT_MANUAL]],PROPERTIES[[#This Row],[TE_COEFFICIENT_CALC]]),3)</f>
        <v>0.31900000000000001</v>
      </c>
      <c r="U635" s="11">
        <v>40</v>
      </c>
      <c r="V635" s="9">
        <v>0</v>
      </c>
      <c r="W635" s="9">
        <v>0</v>
      </c>
      <c r="X635" s="10">
        <v>0</v>
      </c>
      <c r="Y635" t="s">
        <v>911</v>
      </c>
      <c r="Z635" t="s">
        <v>903</v>
      </c>
      <c r="AA635" s="2" t="s">
        <v>921</v>
      </c>
      <c r="AB635" s="9" t="s">
        <v>995</v>
      </c>
      <c r="AC635" s="9" t="s">
        <v>996</v>
      </c>
      <c r="AD635" s="10" t="str">
        <f>SUBSTITUTE(SUBSTITUTE(PROPERTIES[[#This Row],[PURCHASECOST_VALUE]], "PURCHASECOST_", ""), "_VALUE", "")</f>
        <v>ELECTRICENGINE</v>
      </c>
      <c r="AE635" s="9" t="str" cm="1">
        <f t="array" ref="AE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35" s="2" t="b">
        <v>0</v>
      </c>
      <c r="AX635"/>
      <c r="AY635"/>
      <c r="AZ635"/>
    </row>
    <row r="636" spans="1:52">
      <c r="A636" s="2" t="s">
        <v>658</v>
      </c>
      <c r="B636">
        <v>1983</v>
      </c>
      <c r="C636">
        <v>0</v>
      </c>
      <c r="D636" t="s">
        <v>1950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 s="2" t="s">
        <v>19</v>
      </c>
      <c r="K636" s="39">
        <f>_xlfn.XLOOKUP("LOADINGSPEEDDEF_"&amp;PROPERTIES[[#This Row],[LOADINGSPEED]],LOADINGSPEEDDEF[TYPE],LOADINGSPEEDDEF[SPEED])</f>
        <v>0</v>
      </c>
      <c r="L636">
        <v>45</v>
      </c>
      <c r="M636">
        <v>1</v>
      </c>
      <c r="N636" s="33">
        <v>288</v>
      </c>
      <c r="O636">
        <v>13438</v>
      </c>
      <c r="P636">
        <v>110</v>
      </c>
      <c r="Q636" s="30">
        <v>932</v>
      </c>
      <c r="R636" s="29">
        <f>IFERROR(PROPERTIES[[#This Row],[TE_STARTING_KN]]/(PROPERTIES[[#This Row],[WEIGHT]]*9.81),0)</f>
        <v>0.32987880847208062</v>
      </c>
      <c r="S636" s="29">
        <v>0.25</v>
      </c>
      <c r="T636" s="26">
        <f>ROUND(IF(IFERROR(PROPERTIES[[#This Row],[TE_COEFFICIENT_CALC]],0)=0,PROPERTIES[[#This Row],[TE_COEFFICIENT_MANUAL]],PROPERTIES[[#This Row],[TE_COEFFICIENT_CALC]]),3)</f>
        <v>0.33</v>
      </c>
      <c r="U636" s="11">
        <v>40</v>
      </c>
      <c r="V636" s="9">
        <v>0</v>
      </c>
      <c r="W636" s="9">
        <v>8</v>
      </c>
      <c r="X636" s="10">
        <v>0</v>
      </c>
      <c r="Y636" t="s">
        <v>912</v>
      </c>
      <c r="Z636" t="s">
        <v>903</v>
      </c>
      <c r="AA636" s="2" t="s">
        <v>921</v>
      </c>
      <c r="AB636" s="9" t="s">
        <v>995</v>
      </c>
      <c r="AC636" s="9" t="s">
        <v>996</v>
      </c>
      <c r="AD636" s="10" t="str">
        <f>SUBSTITUTE(SUBSTITUTE(PROPERTIES[[#This Row],[PURCHASECOST_VALUE]], "PURCHASECOST_", ""), "_VALUE", "")</f>
        <v>ELECTRICENGINE</v>
      </c>
      <c r="AE636" s="9" t="str" cm="1">
        <f t="array" ref="AE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6" s="2" t="b">
        <v>0</v>
      </c>
      <c r="AX636"/>
      <c r="AY636"/>
      <c r="AZ636"/>
    </row>
    <row r="637" spans="1:52">
      <c r="A637" s="2" t="s">
        <v>659</v>
      </c>
      <c r="B637">
        <v>1963</v>
      </c>
      <c r="C637">
        <v>0</v>
      </c>
      <c r="D637" t="s">
        <v>1950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 s="2" t="s">
        <v>19</v>
      </c>
      <c r="K637" s="39">
        <f>_xlfn.XLOOKUP("LOADINGSPEEDDEF_"&amp;PROPERTIES[[#This Row],[LOADINGSPEED]],LOADINGSPEEDDEF[TYPE],LOADINGSPEEDDEF[SPEED])</f>
        <v>0</v>
      </c>
      <c r="L637">
        <v>45</v>
      </c>
      <c r="M637">
        <v>1</v>
      </c>
      <c r="N637" s="33">
        <v>92</v>
      </c>
      <c r="O637">
        <v>2280</v>
      </c>
      <c r="P637">
        <v>70</v>
      </c>
      <c r="Q637" s="30">
        <v>275</v>
      </c>
      <c r="R637" s="29">
        <f>IFERROR(PROPERTIES[[#This Row],[TE_STARTING_KN]]/(PROPERTIES[[#This Row],[WEIGHT]]*9.81),0)</f>
        <v>0.30470238886672868</v>
      </c>
      <c r="S637" s="29">
        <v>0.19</v>
      </c>
      <c r="T637" s="26">
        <f>ROUND(IF(IFERROR(PROPERTIES[[#This Row],[TE_COEFFICIENT_CALC]],0)=0,PROPERTIES[[#This Row],[TE_COEFFICIENT_MANUAL]],PROPERTIES[[#This Row],[TE_COEFFICIENT_CALC]]),3)</f>
        <v>0.30499999999999999</v>
      </c>
      <c r="U637" s="11">
        <v>40</v>
      </c>
      <c r="V637" s="9">
        <v>0</v>
      </c>
      <c r="W637" s="9">
        <v>0</v>
      </c>
      <c r="X637" s="10">
        <v>0</v>
      </c>
      <c r="Y637" t="s">
        <v>912</v>
      </c>
      <c r="Z637" t="s">
        <v>903</v>
      </c>
      <c r="AA637" s="2" t="s">
        <v>921</v>
      </c>
      <c r="AB637" s="9" t="s">
        <v>995</v>
      </c>
      <c r="AC637" s="9" t="s">
        <v>996</v>
      </c>
      <c r="AD637" s="10" t="str">
        <f>SUBSTITUTE(SUBSTITUTE(PROPERTIES[[#This Row],[PURCHASECOST_VALUE]], "PURCHASECOST_", ""), "_VALUE", "")</f>
        <v>ELECTRICENGINE</v>
      </c>
      <c r="AE637" s="9" t="str" cm="1">
        <f t="array" ref="AE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7" s="2" t="b">
        <v>0</v>
      </c>
      <c r="AX637"/>
      <c r="AY637"/>
      <c r="AZ637"/>
    </row>
    <row r="638" spans="1:52">
      <c r="A638" s="2" t="s">
        <v>660</v>
      </c>
      <c r="B638">
        <v>1994</v>
      </c>
      <c r="C638">
        <v>0</v>
      </c>
      <c r="D638" t="s">
        <v>1864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 s="2" t="s">
        <v>19</v>
      </c>
      <c r="K638" s="39">
        <f>_xlfn.XLOOKUP("LOADINGSPEEDDEF_"&amp;PROPERTIES[[#This Row],[LOADINGSPEED]],LOADINGSPEEDDEF[TYPE],LOADINGSPEEDDEF[SPEED])</f>
        <v>0</v>
      </c>
      <c r="L638">
        <v>45</v>
      </c>
      <c r="M638">
        <v>1</v>
      </c>
      <c r="N638" s="33">
        <v>113</v>
      </c>
      <c r="O638">
        <v>5350</v>
      </c>
      <c r="P638">
        <v>140</v>
      </c>
      <c r="Q638" s="30">
        <v>302</v>
      </c>
      <c r="R638" s="29">
        <f>IFERROR(PROPERTIES[[#This Row],[TE_STARTING_KN]]/(PROPERTIES[[#This Row],[WEIGHT]]*9.81),0)</f>
        <v>0.2724328615373513</v>
      </c>
      <c r="S638" s="29">
        <v>0.28000000000000003</v>
      </c>
      <c r="T638" s="26">
        <f>ROUND(IF(IFERROR(PROPERTIES[[#This Row],[TE_COEFFICIENT_CALC]],0)=0,PROPERTIES[[#This Row],[TE_COEFFICIENT_MANUAL]],PROPERTIES[[#This Row],[TE_COEFFICIENT_CALC]]),3)</f>
        <v>0.27200000000000002</v>
      </c>
      <c r="U638" s="11">
        <v>40</v>
      </c>
      <c r="V638" s="9">
        <v>0</v>
      </c>
      <c r="W638" s="9">
        <v>0</v>
      </c>
      <c r="X638" s="10">
        <v>0</v>
      </c>
      <c r="Y638" t="s">
        <v>912</v>
      </c>
      <c r="Z638" t="s">
        <v>903</v>
      </c>
      <c r="AA638" s="2" t="s">
        <v>921</v>
      </c>
      <c r="AB638" s="9" t="s">
        <v>995</v>
      </c>
      <c r="AC638" s="9" t="s">
        <v>996</v>
      </c>
      <c r="AD638" s="10" t="str">
        <f>SUBSTITUTE(SUBSTITUTE(PROPERTIES[[#This Row],[PURCHASECOST_VALUE]], "PURCHASECOST_", ""), "_VALUE", "")</f>
        <v>ELECTRICENGINE</v>
      </c>
      <c r="AE638" s="9" t="str" cm="1">
        <f t="array" ref="AE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8" s="2" t="b">
        <v>0</v>
      </c>
      <c r="AX638"/>
      <c r="AY638"/>
      <c r="AZ638"/>
    </row>
    <row r="639" spans="1:52">
      <c r="A639" s="2" t="s">
        <v>661</v>
      </c>
      <c r="B639">
        <v>1973</v>
      </c>
      <c r="C639">
        <v>0</v>
      </c>
      <c r="D639" t="s">
        <v>1830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 s="2" t="s">
        <v>19</v>
      </c>
      <c r="K639" s="39">
        <f>_xlfn.XLOOKUP("LOADINGSPEEDDEF_"&amp;PROPERTIES[[#This Row],[LOADINGSPEED]],LOADINGSPEEDDEF[TYPE],LOADINGSPEEDDEF[SPEED])</f>
        <v>0</v>
      </c>
      <c r="L639">
        <v>45</v>
      </c>
      <c r="M639">
        <v>0</v>
      </c>
      <c r="N639" s="33">
        <v>84</v>
      </c>
      <c r="O639">
        <v>4428</v>
      </c>
      <c r="P639">
        <v>140</v>
      </c>
      <c r="Q639" s="30">
        <v>280</v>
      </c>
      <c r="R639" s="29">
        <f>IFERROR(PROPERTIES[[#This Row],[TE_STARTING_KN]]/(PROPERTIES[[#This Row],[WEIGHT]]*9.81),0)</f>
        <v>0.33978933061501865</v>
      </c>
      <c r="S639" s="29">
        <v>0.33</v>
      </c>
      <c r="T639" s="26">
        <f>ROUND(IF(IFERROR(PROPERTIES[[#This Row],[TE_COEFFICIENT_CALC]],0)=0,PROPERTIES[[#This Row],[TE_COEFFICIENT_MANUAL]],PROPERTIES[[#This Row],[TE_COEFFICIENT_CALC]]),3)</f>
        <v>0.34</v>
      </c>
      <c r="U639" s="11">
        <v>40</v>
      </c>
      <c r="V639" s="9">
        <v>0</v>
      </c>
      <c r="W639" s="9">
        <v>0</v>
      </c>
      <c r="X639" s="10">
        <v>0</v>
      </c>
      <c r="Y639" t="s">
        <v>908</v>
      </c>
      <c r="Z639" t="s">
        <v>903</v>
      </c>
      <c r="AA639" s="2" t="s">
        <v>921</v>
      </c>
      <c r="AB639" s="9" t="s">
        <v>995</v>
      </c>
      <c r="AC639" s="9" t="s">
        <v>996</v>
      </c>
      <c r="AD639" s="10" t="str">
        <f>SUBSTITUTE(SUBSTITUTE(PROPERTIES[[#This Row],[PURCHASECOST_VALUE]], "PURCHASECOST_", ""), "_VALUE", "")</f>
        <v>ELECTRICENGINE</v>
      </c>
      <c r="AE639" s="9" t="str" cm="1">
        <f t="array" ref="AE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9" s="2" t="b">
        <v>0</v>
      </c>
      <c r="AX639"/>
      <c r="AY639"/>
      <c r="AZ639"/>
    </row>
    <row r="640" spans="1:52">
      <c r="A640" s="2" t="s">
        <v>662</v>
      </c>
      <c r="B640">
        <v>2004</v>
      </c>
      <c r="C640">
        <v>0</v>
      </c>
      <c r="D640" t="s">
        <v>1884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 s="2" t="s">
        <v>19</v>
      </c>
      <c r="K640" s="39">
        <f>_xlfn.XLOOKUP("LOADINGSPEEDDEF_"&amp;PROPERTIES[[#This Row],[LOADINGSPEED]],LOADINGSPEEDDEF[TYPE],LOADINGSPEEDDEF[SPEED])</f>
        <v>0</v>
      </c>
      <c r="L640" t="s">
        <v>20</v>
      </c>
      <c r="M640">
        <v>1</v>
      </c>
      <c r="N640" s="33">
        <v>82</v>
      </c>
      <c r="O640">
        <v>6500</v>
      </c>
      <c r="P640">
        <v>210</v>
      </c>
      <c r="Q640" s="30">
        <v>264</v>
      </c>
      <c r="R640" s="29">
        <f>IFERROR(PROPERTIES[[#This Row],[TE_STARTING_KN]]/(PROPERTIES[[#This Row],[WEIGHT]]*9.81),0)</f>
        <v>0.32818676810621317</v>
      </c>
      <c r="S640" s="29">
        <v>0.32</v>
      </c>
      <c r="T640" s="26">
        <f>ROUND(IF(IFERROR(PROPERTIES[[#This Row],[TE_COEFFICIENT_CALC]],0)=0,PROPERTIES[[#This Row],[TE_COEFFICIENT_MANUAL]],PROPERTIES[[#This Row],[TE_COEFFICIENT_CALC]]),3)</f>
        <v>0.32800000000000001</v>
      </c>
      <c r="U640" s="11">
        <v>40</v>
      </c>
      <c r="V640" s="9">
        <v>0</v>
      </c>
      <c r="W640" s="9">
        <v>0</v>
      </c>
      <c r="X640" s="10">
        <v>0</v>
      </c>
      <c r="Y640" t="s">
        <v>912</v>
      </c>
      <c r="Z640" t="s">
        <v>903</v>
      </c>
      <c r="AA640" s="2" t="s">
        <v>921</v>
      </c>
      <c r="AB640" s="9" t="s">
        <v>995</v>
      </c>
      <c r="AC640" s="9" t="s">
        <v>996</v>
      </c>
      <c r="AD640" s="10" t="str">
        <f>SUBSTITUTE(SUBSTITUTE(PROPERTIES[[#This Row],[PURCHASECOST_VALUE]], "PURCHASECOST_", ""), "_VALUE", "")</f>
        <v>ELECTRICENGINE</v>
      </c>
      <c r="AE640" s="9" t="str" cm="1">
        <f t="array" ref="AE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0" s="2" t="b">
        <v>0</v>
      </c>
      <c r="AX640"/>
      <c r="AY640"/>
      <c r="AZ640"/>
    </row>
    <row r="641" spans="1:52">
      <c r="A641" s="2" t="s">
        <v>663</v>
      </c>
      <c r="B641">
        <v>2014</v>
      </c>
      <c r="C641">
        <v>0</v>
      </c>
      <c r="D641" t="s">
        <v>1884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 s="2" t="s">
        <v>19</v>
      </c>
      <c r="K641" s="39">
        <f>_xlfn.XLOOKUP("LOADINGSPEEDDEF_"&amp;PROPERTIES[[#This Row],[LOADINGSPEED]],LOADINGSPEEDDEF[TYPE],LOADINGSPEEDDEF[SPEED])</f>
        <v>0</v>
      </c>
      <c r="L641" t="s">
        <v>20</v>
      </c>
      <c r="M641">
        <v>1</v>
      </c>
      <c r="N641" s="33">
        <v>200</v>
      </c>
      <c r="O641">
        <v>11800</v>
      </c>
      <c r="P641">
        <v>120</v>
      </c>
      <c r="Q641" s="30">
        <v>833</v>
      </c>
      <c r="R641" s="29">
        <f>IFERROR(PROPERTIES[[#This Row],[TE_STARTING_KN]]/(PROPERTIES[[#This Row],[WEIGHT]]*9.81),0)</f>
        <v>0.42456676860346587</v>
      </c>
      <c r="S641" s="29">
        <v>0.42</v>
      </c>
      <c r="T641" s="26">
        <f>ROUND(IF(IFERROR(PROPERTIES[[#This Row],[TE_COEFFICIENT_CALC]],0)=0,PROPERTIES[[#This Row],[TE_COEFFICIENT_MANUAL]],PROPERTIES[[#This Row],[TE_COEFFICIENT_CALC]]),3)</f>
        <v>0.42499999999999999</v>
      </c>
      <c r="U641" s="11">
        <v>40</v>
      </c>
      <c r="V641" s="9">
        <v>0</v>
      </c>
      <c r="W641" s="9">
        <v>8</v>
      </c>
      <c r="X641" s="10">
        <v>0</v>
      </c>
      <c r="Y641" t="s">
        <v>912</v>
      </c>
      <c r="Z641" t="s">
        <v>903</v>
      </c>
      <c r="AA641" s="2" t="s">
        <v>921</v>
      </c>
      <c r="AB641" s="9" t="s">
        <v>995</v>
      </c>
      <c r="AC641" s="9" t="s">
        <v>996</v>
      </c>
      <c r="AD641" s="10" t="str">
        <f>SUBSTITUTE(SUBSTITUTE(PROPERTIES[[#This Row],[PURCHASECOST_VALUE]], "PURCHASECOST_", ""), "_VALUE", "")</f>
        <v>ELECTRICENGINE</v>
      </c>
      <c r="AE641" s="9" t="str" cm="1">
        <f t="array" ref="AE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41" s="2" t="b">
        <v>0</v>
      </c>
      <c r="AX641"/>
      <c r="AY641"/>
      <c r="AZ641"/>
    </row>
    <row r="642" spans="1:52">
      <c r="A642" s="2" t="s">
        <v>664</v>
      </c>
      <c r="B642">
        <v>2011</v>
      </c>
      <c r="C642">
        <v>0</v>
      </c>
      <c r="D642" t="s">
        <v>1950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 s="2" t="s">
        <v>19</v>
      </c>
      <c r="K642" s="39">
        <f>_xlfn.XLOOKUP("LOADINGSPEEDDEF_"&amp;PROPERTIES[[#This Row],[LOADINGSPEED]],LOADINGSPEEDDEF[TYPE],LOADINGSPEEDDEF[SPEED])</f>
        <v>0</v>
      </c>
      <c r="L642" t="s">
        <v>20</v>
      </c>
      <c r="M642">
        <v>1</v>
      </c>
      <c r="N642" s="33">
        <v>135</v>
      </c>
      <c r="O642">
        <v>9655</v>
      </c>
      <c r="P642">
        <v>200</v>
      </c>
      <c r="Q642" s="30">
        <v>450</v>
      </c>
      <c r="R642" s="29">
        <f>IFERROR(PROPERTIES[[#This Row],[TE_STARTING_KN]]/(PROPERTIES[[#This Row],[WEIGHT]]*9.81),0)</f>
        <v>0.33978933061501865</v>
      </c>
      <c r="S642" s="29">
        <v>0.26</v>
      </c>
      <c r="T642" s="26">
        <f>ROUND(IF(IFERROR(PROPERTIES[[#This Row],[TE_COEFFICIENT_CALC]],0)=0,PROPERTIES[[#This Row],[TE_COEFFICIENT_MANUAL]],PROPERTIES[[#This Row],[TE_COEFFICIENT_CALC]]),3)</f>
        <v>0.34</v>
      </c>
      <c r="U642" s="11">
        <v>40</v>
      </c>
      <c r="V642" s="9">
        <v>0</v>
      </c>
      <c r="W642" s="9">
        <v>0</v>
      </c>
      <c r="X642" s="10">
        <v>0</v>
      </c>
      <c r="Y642" t="s">
        <v>912</v>
      </c>
      <c r="Z642" t="s">
        <v>903</v>
      </c>
      <c r="AA642" s="2" t="s">
        <v>921</v>
      </c>
      <c r="AB642" s="9" t="s">
        <v>995</v>
      </c>
      <c r="AC642" s="9" t="s">
        <v>996</v>
      </c>
      <c r="AD642" s="10" t="str">
        <f>SUBSTITUTE(SUBSTITUTE(PROPERTIES[[#This Row],[PURCHASECOST_VALUE]], "PURCHASECOST_", ""), "_VALUE", "")</f>
        <v>ELECTRICENGINE</v>
      </c>
      <c r="AE642" s="9" t="str" cm="1">
        <f t="array" ref="AE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2" s="2" t="b">
        <v>0</v>
      </c>
      <c r="AX642"/>
      <c r="AY642"/>
      <c r="AZ642"/>
    </row>
    <row r="643" spans="1:52">
      <c r="A643" s="2" t="s">
        <v>665</v>
      </c>
      <c r="B643">
        <v>1955</v>
      </c>
      <c r="C643">
        <v>0</v>
      </c>
      <c r="D643" t="s">
        <v>1830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 s="2" t="s">
        <v>23</v>
      </c>
      <c r="K643" s="39">
        <f>_xlfn.XLOOKUP("LOADINGSPEEDDEF_"&amp;PROPERTIES[[#This Row],[LOADINGSPEED]],LOADINGSPEEDDEF[TYPE],LOADINGSPEEDDEF[SPEED])</f>
        <v>40</v>
      </c>
      <c r="L643">
        <v>45</v>
      </c>
      <c r="M643">
        <v>1</v>
      </c>
      <c r="N643" s="33">
        <v>18</v>
      </c>
      <c r="O643">
        <v>180</v>
      </c>
      <c r="P643">
        <v>95</v>
      </c>
      <c r="Q643" s="30">
        <v>29</v>
      </c>
      <c r="R643" s="29">
        <f>IFERROR(PROPERTIES[[#This Row],[TE_STARTING_KN]]/(PROPERTIES[[#This Row],[WEIGHT]]*9.81),0)</f>
        <v>0.16423150979725903</v>
      </c>
      <c r="S643" s="29">
        <v>0.33</v>
      </c>
      <c r="T643" s="26">
        <f>ROUND(IF(IFERROR(PROPERTIES[[#This Row],[TE_COEFFICIENT_CALC]],0)=0,PROPERTIES[[#This Row],[TE_COEFFICIENT_MANUAL]],PROPERTIES[[#This Row],[TE_COEFFICIENT_CALC]]),3)</f>
        <v>0.16400000000000001</v>
      </c>
      <c r="U643" s="11">
        <v>15</v>
      </c>
      <c r="V643" s="9">
        <v>0</v>
      </c>
      <c r="W643" s="9">
        <v>0</v>
      </c>
      <c r="X643" s="10">
        <v>0</v>
      </c>
      <c r="Y643" t="s">
        <v>908</v>
      </c>
      <c r="Z643" t="s">
        <v>903</v>
      </c>
      <c r="AA643" s="2" t="s">
        <v>921</v>
      </c>
      <c r="AB643" s="9" t="s">
        <v>985</v>
      </c>
      <c r="AC643" s="9" t="s">
        <v>986</v>
      </c>
      <c r="AD643" s="10" t="str">
        <f>SUBSTITUTE(SUBSTITUTE(PROPERTIES[[#This Row],[PURCHASECOST_VALUE]], "PURCHASECOST_", ""), "_VALUE", "")</f>
        <v>DIESELRAILBUS</v>
      </c>
      <c r="AE643" s="9" t="str" cm="1">
        <f t="array" ref="AE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3" s="2" t="b">
        <v>0</v>
      </c>
      <c r="AX643"/>
      <c r="AY643"/>
      <c r="AZ643"/>
    </row>
    <row r="644" spans="1:52">
      <c r="A644" s="2" t="s">
        <v>666</v>
      </c>
      <c r="B644">
        <v>1984</v>
      </c>
      <c r="C644">
        <v>0</v>
      </c>
      <c r="D644" t="s">
        <v>1950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 s="2" t="s">
        <v>23</v>
      </c>
      <c r="K644" s="39">
        <f>_xlfn.XLOOKUP("LOADINGSPEEDDEF_"&amp;PROPERTIES[[#This Row],[LOADINGSPEED]],LOADINGSPEEDDEF[TYPE],LOADINGSPEEDDEF[SPEED])</f>
        <v>40</v>
      </c>
      <c r="L644">
        <v>45</v>
      </c>
      <c r="M644">
        <v>1</v>
      </c>
      <c r="N644" s="33">
        <v>59</v>
      </c>
      <c r="O644">
        <v>990</v>
      </c>
      <c r="P644">
        <v>120</v>
      </c>
      <c r="Q644" s="30">
        <v>157</v>
      </c>
      <c r="R644" s="29">
        <f>IFERROR(PROPERTIES[[#This Row],[TE_STARTING_KN]]/(PROPERTIES[[#This Row],[WEIGHT]]*9.81),0)</f>
        <v>0.27125555037232846</v>
      </c>
      <c r="S644" s="29">
        <v>0.24</v>
      </c>
      <c r="T644" s="26">
        <f>ROUND(IF(IFERROR(PROPERTIES[[#This Row],[TE_COEFFICIENT_CALC]],0)=0,PROPERTIES[[#This Row],[TE_COEFFICIENT_MANUAL]],PROPERTIES[[#This Row],[TE_COEFFICIENT_CALC]]),3)</f>
        <v>0.27100000000000002</v>
      </c>
      <c r="U644" s="11">
        <v>15</v>
      </c>
      <c r="V644" s="9">
        <v>0</v>
      </c>
      <c r="W644" s="9">
        <v>0</v>
      </c>
      <c r="X644" s="10">
        <v>0</v>
      </c>
      <c r="Y644" t="s">
        <v>912</v>
      </c>
      <c r="Z644" t="s">
        <v>903</v>
      </c>
      <c r="AA644" s="2" t="s">
        <v>921</v>
      </c>
      <c r="AB644" s="9" t="s">
        <v>985</v>
      </c>
      <c r="AC644" s="9" t="s">
        <v>986</v>
      </c>
      <c r="AD644" s="10" t="str">
        <f>SUBSTITUTE(SUBSTITUTE(PROPERTIES[[#This Row],[PURCHASECOST_VALUE]], "PURCHASECOST_", ""), "_VALUE", "")</f>
        <v>DIESELRAILBUS</v>
      </c>
      <c r="AE644" s="9" t="str" cm="1">
        <f t="array" ref="AE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4" s="2" t="b">
        <v>0</v>
      </c>
      <c r="AX644"/>
      <c r="AY644"/>
      <c r="AZ644"/>
    </row>
    <row r="645" spans="1:52">
      <c r="A645" s="2" t="s">
        <v>667</v>
      </c>
      <c r="B645">
        <v>1973</v>
      </c>
      <c r="C645">
        <v>1</v>
      </c>
      <c r="D645" t="s">
        <v>1950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 s="2" t="s">
        <v>23</v>
      </c>
      <c r="K645" s="39">
        <f>_xlfn.XLOOKUP("LOADINGSPEEDDEF_"&amp;PROPERTIES[[#This Row],[LOADINGSPEED]],LOADINGSPEEDDEF[TYPE],LOADINGSPEEDDEF[SPEED])</f>
        <v>40</v>
      </c>
      <c r="L645">
        <v>45</v>
      </c>
      <c r="M645">
        <v>1</v>
      </c>
      <c r="N645" s="33">
        <v>49</v>
      </c>
      <c r="O645">
        <v>1280</v>
      </c>
      <c r="P645">
        <v>200</v>
      </c>
      <c r="Q645" s="30">
        <v>35.6</v>
      </c>
      <c r="R645" s="29">
        <f>IFERROR(PROPERTIES[[#This Row],[TE_STARTING_KN]]/(PROPERTIES[[#This Row],[WEIGHT]]*9.81),0)</f>
        <v>7.4060205121804071E-2</v>
      </c>
      <c r="S645" s="29">
        <v>0.13</v>
      </c>
      <c r="T645" s="26">
        <f>ROUND(IF(IFERROR(PROPERTIES[[#This Row],[TE_COEFFICIENT_CALC]],0)=0,PROPERTIES[[#This Row],[TE_COEFFICIENT_MANUAL]],PROPERTIES[[#This Row],[TE_COEFFICIENT_CALC]]),3)</f>
        <v>7.3999999999999996E-2</v>
      </c>
      <c r="U645" s="11">
        <v>40</v>
      </c>
      <c r="V645" s="9">
        <v>64</v>
      </c>
      <c r="W645" s="9">
        <v>8</v>
      </c>
      <c r="X645" s="10">
        <v>0</v>
      </c>
      <c r="Y645" t="s">
        <v>912</v>
      </c>
      <c r="Z645" t="s">
        <v>903</v>
      </c>
      <c r="AA645" s="2" t="s">
        <v>921</v>
      </c>
      <c r="AB645" s="9" t="s">
        <v>999</v>
      </c>
      <c r="AC645" s="9" t="s">
        <v>1000</v>
      </c>
      <c r="AD645" s="10" t="str">
        <f>SUBSTITUTE(SUBSTITUTE(PROPERTIES[[#This Row],[PURCHASECOST_VALUE]], "PURCHASECOST_", ""), "_VALUE", "")</f>
        <v>EMU</v>
      </c>
      <c r="AE645" s="9" t="str" cm="1">
        <f t="array" ref="AE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5" s="2" t="b">
        <v>0</v>
      </c>
      <c r="AX645"/>
      <c r="AY645"/>
      <c r="AZ645"/>
    </row>
    <row r="646" spans="1:52">
      <c r="A646" s="2" t="s">
        <v>668</v>
      </c>
      <c r="B646">
        <v>1929</v>
      </c>
      <c r="C646">
        <v>1</v>
      </c>
      <c r="D646" t="s">
        <v>1950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 s="2" t="s">
        <v>23</v>
      </c>
      <c r="K646" s="39">
        <f>_xlfn.XLOOKUP("LOADINGSPEEDDEF_"&amp;PROPERTIES[[#This Row],[LOADINGSPEED]],LOADINGSPEEDDEF[TYPE],LOADINGSPEEDDEF[SPEED])</f>
        <v>40</v>
      </c>
      <c r="L646">
        <v>45</v>
      </c>
      <c r="M646">
        <v>1</v>
      </c>
      <c r="N646" s="33">
        <v>58.9</v>
      </c>
      <c r="O646">
        <f>805*2</f>
        <v>1610</v>
      </c>
      <c r="P646">
        <v>85</v>
      </c>
      <c r="Q646" s="30">
        <v>145</v>
      </c>
      <c r="R646" s="29">
        <f>IFERROR(PROPERTIES[[#This Row],[TE_STARTING_KN]]/(PROPERTIES[[#This Row],[WEIGHT]]*9.81),0)</f>
        <v>0.25094797761890175</v>
      </c>
      <c r="S646" s="29">
        <v>0.08</v>
      </c>
      <c r="T646" s="26">
        <f>ROUND(IF(IFERROR(PROPERTIES[[#This Row],[TE_COEFFICIENT_CALC]],0)=0,PROPERTIES[[#This Row],[TE_COEFFICIENT_MANUAL]],PROPERTIES[[#This Row],[TE_COEFFICIENT_CALC]]),3)</f>
        <v>0.251</v>
      </c>
      <c r="U646" s="11">
        <v>40</v>
      </c>
      <c r="V646" s="9">
        <v>110</v>
      </c>
      <c r="W646" s="9">
        <v>7</v>
      </c>
      <c r="X646" s="10">
        <v>0</v>
      </c>
      <c r="Y646" t="s">
        <v>912</v>
      </c>
      <c r="Z646" t="s">
        <v>903</v>
      </c>
      <c r="AA646" s="2" t="s">
        <v>921</v>
      </c>
      <c r="AB646" s="9" t="s">
        <v>999</v>
      </c>
      <c r="AC646" s="9" t="s">
        <v>1000</v>
      </c>
      <c r="AD646" s="10" t="str">
        <f>SUBSTITUTE(SUBSTITUTE(PROPERTIES[[#This Row],[PURCHASECOST_VALUE]], "PURCHASECOST_", ""), "_VALUE", "")</f>
        <v>EMU</v>
      </c>
      <c r="AE646" s="9" t="str" cm="1">
        <f t="array" ref="AE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6" s="2" t="b">
        <v>0</v>
      </c>
      <c r="AX646"/>
      <c r="AY646"/>
      <c r="AZ646"/>
    </row>
    <row r="647" spans="1:52">
      <c r="A647" s="2" t="s">
        <v>669</v>
      </c>
      <c r="B647">
        <v>2015</v>
      </c>
      <c r="C647">
        <v>1</v>
      </c>
      <c r="D647" t="s">
        <v>1857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 s="2" t="s">
        <v>23</v>
      </c>
      <c r="K647" s="39">
        <f>_xlfn.XLOOKUP("LOADINGSPEEDDEF_"&amp;PROPERTIES[[#This Row],[LOADINGSPEED]],LOADINGSPEEDDEF[TYPE],LOADINGSPEEDDEF[SPEED])</f>
        <v>40</v>
      </c>
      <c r="L647" t="s">
        <v>20</v>
      </c>
      <c r="M647">
        <v>1</v>
      </c>
      <c r="N647" s="33">
        <v>43</v>
      </c>
      <c r="O647">
        <v>2700</v>
      </c>
      <c r="P647">
        <v>160</v>
      </c>
      <c r="Q647" s="30">
        <v>100</v>
      </c>
      <c r="R647" s="29">
        <f>IFERROR(PROPERTIES[[#This Row],[TE_STARTING_KN]]/(PROPERTIES[[#This Row],[WEIGHT]]*9.81),0)</f>
        <v>0.23706232368489674</v>
      </c>
      <c r="S647" s="29">
        <v>0.47</v>
      </c>
      <c r="T647" s="26">
        <f>ROUND(IF(IFERROR(PROPERTIES[[#This Row],[TE_COEFFICIENT_CALC]],0)=0,PROPERTIES[[#This Row],[TE_COEFFICIENT_MANUAL]],PROPERTIES[[#This Row],[TE_COEFFICIENT_CALC]]),3)</f>
        <v>0.23699999999999999</v>
      </c>
      <c r="U647" s="11">
        <v>40</v>
      </c>
      <c r="V647" s="9">
        <v>60</v>
      </c>
      <c r="W647" s="9">
        <v>8</v>
      </c>
      <c r="X647" s="10">
        <v>0</v>
      </c>
      <c r="Y647" t="s">
        <v>910</v>
      </c>
      <c r="Z647" t="s">
        <v>903</v>
      </c>
      <c r="AA647" s="2" t="s">
        <v>921</v>
      </c>
      <c r="AB647" s="9" t="s">
        <v>999</v>
      </c>
      <c r="AC647" s="9" t="s">
        <v>1000</v>
      </c>
      <c r="AD647" s="10" t="str">
        <f>SUBSTITUTE(SUBSTITUTE(PROPERTIES[[#This Row],[PURCHASECOST_VALUE]], "PURCHASECOST_", ""), "_VALUE", "")</f>
        <v>EMU</v>
      </c>
      <c r="AE647" s="9" t="str" cm="1">
        <f t="array" ref="AE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7" s="2" t="b">
        <v>0</v>
      </c>
      <c r="AX647"/>
      <c r="AY647"/>
      <c r="AZ647"/>
    </row>
    <row r="648" spans="1:52">
      <c r="A648" s="2" t="s">
        <v>670</v>
      </c>
      <c r="B648">
        <v>2011</v>
      </c>
      <c r="C648">
        <v>1</v>
      </c>
      <c r="D648" t="s">
        <v>1950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 s="2" t="s">
        <v>23</v>
      </c>
      <c r="K648" s="39">
        <f>_xlfn.XLOOKUP("LOADINGSPEEDDEF_"&amp;PROPERTIES[[#This Row],[LOADINGSPEED]],LOADINGSPEEDDEF[TYPE],LOADINGSPEEDDEF[SPEED])</f>
        <v>40</v>
      </c>
      <c r="L648" t="s">
        <v>20</v>
      </c>
      <c r="M648">
        <v>1</v>
      </c>
      <c r="N648" s="33">
        <v>56</v>
      </c>
      <c r="O648">
        <v>2700</v>
      </c>
      <c r="P648">
        <v>160</v>
      </c>
      <c r="Q648" s="30">
        <v>90</v>
      </c>
      <c r="R648" s="29">
        <f>IFERROR(PROPERTIES[[#This Row],[TE_STARTING_KN]]/(PROPERTIES[[#This Row],[WEIGHT]]*9.81),0)</f>
        <v>0.163826998689384</v>
      </c>
      <c r="S648" s="29">
        <v>0.54</v>
      </c>
      <c r="T648" s="26">
        <f>ROUND(IF(IFERROR(PROPERTIES[[#This Row],[TE_COEFFICIENT_CALC]],0)=0,PROPERTIES[[#This Row],[TE_COEFFICIENT_MANUAL]],PROPERTIES[[#This Row],[TE_COEFFICIENT_CALC]]),3)</f>
        <v>0.16400000000000001</v>
      </c>
      <c r="U648" s="11">
        <v>40</v>
      </c>
      <c r="V648" s="9">
        <v>88</v>
      </c>
      <c r="W648" s="9">
        <v>8</v>
      </c>
      <c r="X648" s="10">
        <v>0</v>
      </c>
      <c r="Y648" t="s">
        <v>912</v>
      </c>
      <c r="Z648" t="s">
        <v>903</v>
      </c>
      <c r="AA648" s="2" t="s">
        <v>921</v>
      </c>
      <c r="AB648" s="9" t="s">
        <v>999</v>
      </c>
      <c r="AC648" s="9" t="s">
        <v>1000</v>
      </c>
      <c r="AD648" s="10" t="str">
        <f>SUBSTITUTE(SUBSTITUTE(PROPERTIES[[#This Row],[PURCHASECOST_VALUE]], "PURCHASECOST_", ""), "_VALUE", "")</f>
        <v>EMU</v>
      </c>
      <c r="AE648" s="9" t="str" cm="1">
        <f t="array" ref="AE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8" s="2" t="b">
        <v>0</v>
      </c>
      <c r="AX648"/>
      <c r="AY648"/>
      <c r="AZ648"/>
    </row>
    <row r="649" spans="1:52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 s="2" t="s">
        <v>19</v>
      </c>
      <c r="K649" s="39">
        <f>_xlfn.XLOOKUP("LOADINGSPEEDDEF_"&amp;PROPERTIES[[#This Row],[LOADINGSPEED]],LOADINGSPEEDDEF[TYPE],LOADINGSPEEDDEF[SPEED])</f>
        <v>0</v>
      </c>
      <c r="L649" t="s">
        <v>20</v>
      </c>
      <c r="M649">
        <v>1</v>
      </c>
      <c r="N649" s="33">
        <v>0</v>
      </c>
      <c r="O649">
        <v>0</v>
      </c>
      <c r="P649">
        <v>0</v>
      </c>
      <c r="Q649" s="30">
        <v>0</v>
      </c>
      <c r="R649" s="29">
        <f>IFERROR(PROPERTIES[[#This Row],[TE_STARTING_KN]]/(PROPERTIES[[#This Row],[WEIGHT]]*9.81),0)</f>
        <v>0</v>
      </c>
      <c r="S649" s="29">
        <v>0.3</v>
      </c>
      <c r="T649" s="26">
        <f>ROUND(IF(IFERROR(PROPERTIES[[#This Row],[TE_COEFFICIENT_CALC]],0)=0,PROPERTIES[[#This Row],[TE_COEFFICIENT_MANUAL]],PROPERTIES[[#This Row],[TE_COEFFICIENT_CALC]]),3)</f>
        <v>0.3</v>
      </c>
      <c r="U649" s="11">
        <v>60</v>
      </c>
      <c r="V649" s="9">
        <v>0</v>
      </c>
      <c r="W649" s="9">
        <v>0</v>
      </c>
      <c r="X649" s="10">
        <v>0</v>
      </c>
      <c r="Y649" t="s">
        <v>917</v>
      </c>
      <c r="Z649" t="s">
        <v>903</v>
      </c>
      <c r="AA649" s="2" t="s">
        <v>921</v>
      </c>
      <c r="AB649" s="9" t="s">
        <v>993</v>
      </c>
      <c r="AC649" s="9" t="s">
        <v>994</v>
      </c>
      <c r="AD649" s="10" t="str">
        <f>SUBSTITUTE(SUBSTITUTE(PROPERTIES[[#This Row],[PURCHASECOST_VALUE]], "PURCHASECOST_", ""), "_VALUE", "")</f>
        <v>METRO</v>
      </c>
      <c r="AE649" s="9" t="str" cm="1">
        <f t="array" ref="AE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49" s="2" t="b">
        <v>0</v>
      </c>
      <c r="AX649"/>
      <c r="AY649"/>
      <c r="AZ649"/>
    </row>
    <row r="650" spans="1:52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 s="2" t="s">
        <v>19</v>
      </c>
      <c r="K650" s="39">
        <f>_xlfn.XLOOKUP("LOADINGSPEEDDEF_"&amp;PROPERTIES[[#This Row],[LOADINGSPEED]],LOADINGSPEEDDEF[TYPE],LOADINGSPEEDDEF[SPEED])</f>
        <v>0</v>
      </c>
      <c r="L650" t="s">
        <v>20</v>
      </c>
      <c r="M650">
        <v>1</v>
      </c>
      <c r="N650" s="33">
        <v>0</v>
      </c>
      <c r="O650">
        <v>0</v>
      </c>
      <c r="P650">
        <v>0</v>
      </c>
      <c r="Q650" s="30">
        <v>0</v>
      </c>
      <c r="R650" s="29">
        <f>IFERROR(PROPERTIES[[#This Row],[TE_STARTING_KN]]/(PROPERTIES[[#This Row],[WEIGHT]]*9.81),0)</f>
        <v>0</v>
      </c>
      <c r="S650" s="29">
        <v>0.3</v>
      </c>
      <c r="T650" s="26">
        <f>ROUND(IF(IFERROR(PROPERTIES[[#This Row],[TE_COEFFICIENT_CALC]],0)=0,PROPERTIES[[#This Row],[TE_COEFFICIENT_MANUAL]],PROPERTIES[[#This Row],[TE_COEFFICIENT_CALC]]),3)</f>
        <v>0.3</v>
      </c>
      <c r="U650" s="11">
        <v>60</v>
      </c>
      <c r="V650" s="9">
        <v>0</v>
      </c>
      <c r="W650" s="9">
        <v>0</v>
      </c>
      <c r="X650" s="10">
        <v>0</v>
      </c>
      <c r="Y650" t="s">
        <v>917</v>
      </c>
      <c r="Z650" t="s">
        <v>903</v>
      </c>
      <c r="AA650" s="2" t="s">
        <v>921</v>
      </c>
      <c r="AB650" s="9" t="s">
        <v>993</v>
      </c>
      <c r="AC650" s="9" t="s">
        <v>994</v>
      </c>
      <c r="AD650" s="10" t="str">
        <f>SUBSTITUTE(SUBSTITUTE(PROPERTIES[[#This Row],[PURCHASECOST_VALUE]], "PURCHASECOST_", ""), "_VALUE", "")</f>
        <v>METRO</v>
      </c>
      <c r="AE650" s="9" t="str" cm="1">
        <f t="array" ref="AE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0" s="2" t="b">
        <v>0</v>
      </c>
      <c r="AX650"/>
      <c r="AY650"/>
      <c r="AZ650"/>
    </row>
    <row r="651" spans="1:52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 s="2" t="s">
        <v>19</v>
      </c>
      <c r="K651" s="39">
        <f>_xlfn.XLOOKUP("LOADINGSPEEDDEF_"&amp;PROPERTIES[[#This Row],[LOADINGSPEED]],LOADINGSPEEDDEF[TYPE],LOADINGSPEEDDEF[SPEED])</f>
        <v>0</v>
      </c>
      <c r="L651" t="s">
        <v>20</v>
      </c>
      <c r="M651">
        <v>0</v>
      </c>
      <c r="N651" s="33">
        <v>0</v>
      </c>
      <c r="O651">
        <v>0</v>
      </c>
      <c r="P651">
        <v>0</v>
      </c>
      <c r="Q651" s="30">
        <v>0</v>
      </c>
      <c r="R651" s="29">
        <f>IFERROR(PROPERTIES[[#This Row],[TE_STARTING_KN]]/(PROPERTIES[[#This Row],[WEIGHT]]*9.81),0)</f>
        <v>0</v>
      </c>
      <c r="S651" s="29">
        <v>0.3</v>
      </c>
      <c r="T651" s="26">
        <f>ROUND(IF(IFERROR(PROPERTIES[[#This Row],[TE_COEFFICIENT_CALC]],0)=0,PROPERTIES[[#This Row],[TE_COEFFICIENT_MANUAL]],PROPERTIES[[#This Row],[TE_COEFFICIENT_CALC]]),3)</f>
        <v>0.3</v>
      </c>
      <c r="U651" s="11">
        <v>60</v>
      </c>
      <c r="V651" s="9">
        <v>0</v>
      </c>
      <c r="W651" s="9">
        <v>0</v>
      </c>
      <c r="X651" s="10">
        <v>0</v>
      </c>
      <c r="Y651" t="s">
        <v>917</v>
      </c>
      <c r="Z651" t="s">
        <v>903</v>
      </c>
      <c r="AA651" s="2" t="s">
        <v>921</v>
      </c>
      <c r="AB651" s="9" t="s">
        <v>997</v>
      </c>
      <c r="AC651" s="9" t="s">
        <v>998</v>
      </c>
      <c r="AD651" s="10" t="str">
        <f>SUBSTITUTE(SUBSTITUTE(PROPERTIES[[#This Row],[PURCHASECOST_VALUE]], "PURCHASECOST_", ""), "_VALUE", "")</f>
        <v>DMU</v>
      </c>
      <c r="AE651" s="9" t="str" cm="1">
        <f t="array" ref="AE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1" s="2" t="b">
        <v>0</v>
      </c>
      <c r="AX651"/>
      <c r="AY651"/>
      <c r="AZ651"/>
    </row>
    <row r="652" spans="1:52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 s="2" t="s">
        <v>19</v>
      </c>
      <c r="K652" s="39">
        <f>_xlfn.XLOOKUP("LOADINGSPEEDDEF_"&amp;PROPERTIES[[#This Row],[LOADINGSPEED]],LOADINGSPEEDDEF[TYPE],LOADINGSPEEDDEF[SPEED])</f>
        <v>0</v>
      </c>
      <c r="L652" t="s">
        <v>20</v>
      </c>
      <c r="M652">
        <v>0</v>
      </c>
      <c r="N652" s="33">
        <v>0</v>
      </c>
      <c r="O652">
        <v>0</v>
      </c>
      <c r="P652">
        <v>0</v>
      </c>
      <c r="Q652" s="30">
        <v>0</v>
      </c>
      <c r="R652" s="29">
        <f>IFERROR(PROPERTIES[[#This Row],[TE_STARTING_KN]]/(PROPERTIES[[#This Row],[WEIGHT]]*9.81),0)</f>
        <v>0</v>
      </c>
      <c r="S652" s="29">
        <v>0.3</v>
      </c>
      <c r="T652" s="26">
        <f>ROUND(IF(IFERROR(PROPERTIES[[#This Row],[TE_COEFFICIENT_CALC]],0)=0,PROPERTIES[[#This Row],[TE_COEFFICIENT_MANUAL]],PROPERTIES[[#This Row],[TE_COEFFICIENT_CALC]]),3)</f>
        <v>0.3</v>
      </c>
      <c r="U652" s="11">
        <v>60</v>
      </c>
      <c r="V652" s="9">
        <v>0</v>
      </c>
      <c r="W652" s="9">
        <v>0</v>
      </c>
      <c r="X652" s="10">
        <v>0</v>
      </c>
      <c r="Y652" t="s">
        <v>917</v>
      </c>
      <c r="Z652" t="s">
        <v>903</v>
      </c>
      <c r="AA652" s="2" t="s">
        <v>921</v>
      </c>
      <c r="AB652" s="9" t="s">
        <v>997</v>
      </c>
      <c r="AC652" s="9" t="s">
        <v>998</v>
      </c>
      <c r="AD652" s="10" t="str">
        <f>SUBSTITUTE(SUBSTITUTE(PROPERTIES[[#This Row],[PURCHASECOST_VALUE]], "PURCHASECOST_", ""), "_VALUE", "")</f>
        <v>DMU</v>
      </c>
      <c r="AE652" s="9" t="str" cm="1">
        <f t="array" ref="AE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2" s="2" t="b">
        <v>0</v>
      </c>
      <c r="AX652"/>
      <c r="AY652"/>
      <c r="AZ652"/>
    </row>
    <row r="653" spans="1:52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 s="2" t="s">
        <v>19</v>
      </c>
      <c r="K653" s="39">
        <f>_xlfn.XLOOKUP("LOADINGSPEEDDEF_"&amp;PROPERTIES[[#This Row],[LOADINGSPEED]],LOADINGSPEEDDEF[TYPE],LOADINGSPEEDDEF[SPEED])</f>
        <v>0</v>
      </c>
      <c r="L653" t="s">
        <v>20</v>
      </c>
      <c r="M653">
        <v>1</v>
      </c>
      <c r="N653" s="33">
        <v>0</v>
      </c>
      <c r="O653">
        <v>0</v>
      </c>
      <c r="P653">
        <v>0</v>
      </c>
      <c r="Q653" s="30">
        <v>0</v>
      </c>
      <c r="R653" s="29">
        <f>IFERROR(PROPERTIES[[#This Row],[TE_STARTING_KN]]/(PROPERTIES[[#This Row],[WEIGHT]]*9.81),0)</f>
        <v>0</v>
      </c>
      <c r="S653" s="29">
        <v>0.3</v>
      </c>
      <c r="T653" s="26">
        <f>ROUND(IF(IFERROR(PROPERTIES[[#This Row],[TE_COEFFICIENT_CALC]],0)=0,PROPERTIES[[#This Row],[TE_COEFFICIENT_MANUAL]],PROPERTIES[[#This Row],[TE_COEFFICIENT_CALC]]),3)</f>
        <v>0.3</v>
      </c>
      <c r="U653" s="11">
        <v>60</v>
      </c>
      <c r="V653" s="9">
        <v>0</v>
      </c>
      <c r="W653" s="9">
        <v>0</v>
      </c>
      <c r="X653" s="10">
        <v>0</v>
      </c>
      <c r="Y653" t="s">
        <v>917</v>
      </c>
      <c r="Z653" t="s">
        <v>903</v>
      </c>
      <c r="AA653" s="2" t="s">
        <v>921</v>
      </c>
      <c r="AB653" s="9" t="s">
        <v>997</v>
      </c>
      <c r="AC653" s="9" t="s">
        <v>998</v>
      </c>
      <c r="AD653" s="10" t="str">
        <f>SUBSTITUTE(SUBSTITUTE(PROPERTIES[[#This Row],[PURCHASECOST_VALUE]], "PURCHASECOST_", ""), "_VALUE", "")</f>
        <v>DMU</v>
      </c>
      <c r="AE653" s="9" t="str" cm="1">
        <f t="array" ref="AE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3" s="2" t="b">
        <v>0</v>
      </c>
      <c r="AX653"/>
      <c r="AY653"/>
      <c r="AZ653"/>
    </row>
    <row r="654" spans="1:52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 s="2" t="s">
        <v>19</v>
      </c>
      <c r="K654" s="39">
        <f>_xlfn.XLOOKUP("LOADINGSPEEDDEF_"&amp;PROPERTIES[[#This Row],[LOADINGSPEED]],LOADINGSPEEDDEF[TYPE],LOADINGSPEEDDEF[SPEED])</f>
        <v>0</v>
      </c>
      <c r="L654" t="s">
        <v>20</v>
      </c>
      <c r="M654">
        <v>1</v>
      </c>
      <c r="N654" s="33">
        <v>0</v>
      </c>
      <c r="O654">
        <v>0</v>
      </c>
      <c r="P654">
        <v>0</v>
      </c>
      <c r="Q654" s="30">
        <v>0</v>
      </c>
      <c r="R654" s="29">
        <f>IFERROR(PROPERTIES[[#This Row],[TE_STARTING_KN]]/(PROPERTIES[[#This Row],[WEIGHT]]*9.81),0)</f>
        <v>0</v>
      </c>
      <c r="S654" s="29">
        <v>0.3</v>
      </c>
      <c r="T654" s="26">
        <f>ROUND(IF(IFERROR(PROPERTIES[[#This Row],[TE_COEFFICIENT_CALC]],0)=0,PROPERTIES[[#This Row],[TE_COEFFICIENT_MANUAL]],PROPERTIES[[#This Row],[TE_COEFFICIENT_CALC]]),3)</f>
        <v>0.3</v>
      </c>
      <c r="U654" s="11">
        <v>60</v>
      </c>
      <c r="V654" s="9">
        <v>0</v>
      </c>
      <c r="W654" s="9">
        <v>0</v>
      </c>
      <c r="X654" s="10">
        <v>0</v>
      </c>
      <c r="Y654" t="s">
        <v>917</v>
      </c>
      <c r="Z654" t="s">
        <v>903</v>
      </c>
      <c r="AA654" s="2" t="s">
        <v>921</v>
      </c>
      <c r="AB654" s="9" t="s">
        <v>997</v>
      </c>
      <c r="AC654" s="9" t="s">
        <v>998</v>
      </c>
      <c r="AD654" s="10" t="str">
        <f>SUBSTITUTE(SUBSTITUTE(PROPERTIES[[#This Row],[PURCHASECOST_VALUE]], "PURCHASECOST_", ""), "_VALUE", "")</f>
        <v>DMU</v>
      </c>
      <c r="AE654" s="9" t="str" cm="1">
        <f t="array" ref="AE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4" s="2" t="b">
        <v>0</v>
      </c>
      <c r="AX654"/>
      <c r="AY654"/>
      <c r="AZ654"/>
    </row>
    <row r="655" spans="1:52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 s="2" t="s">
        <v>32</v>
      </c>
      <c r="K655" s="39">
        <f>_xlfn.XLOOKUP("LOADINGSPEEDDEF_"&amp;PROPERTIES[[#This Row],[LOADINGSPEED]],LOADINGSPEEDDEF[TYPE],LOADINGSPEEDDEF[SPEED])</f>
        <v>20</v>
      </c>
      <c r="L655">
        <v>90</v>
      </c>
      <c r="M655">
        <v>0</v>
      </c>
      <c r="N655" s="33">
        <v>5</v>
      </c>
      <c r="O655">
        <v>0</v>
      </c>
      <c r="P655">
        <v>55</v>
      </c>
      <c r="Q655" s="30">
        <v>0</v>
      </c>
      <c r="R655" s="29">
        <f>IFERROR(PROPERTIES[[#This Row],[TE_STARTING_KN]]/(PROPERTIES[[#This Row],[WEIGHT]]*9.81),0)</f>
        <v>0</v>
      </c>
      <c r="S655" s="29">
        <v>0.3</v>
      </c>
      <c r="T655" s="26">
        <f>ROUND(IF(IFERROR(PROPERTIES[[#This Row],[TE_COEFFICIENT_CALC]],0)=0,PROPERTIES[[#This Row],[TE_COEFFICIENT_MANUAL]],PROPERTIES[[#This Row],[TE_COEFFICIENT_CALC]]),3)</f>
        <v>0.3</v>
      </c>
      <c r="U655" s="11">
        <v>25</v>
      </c>
      <c r="V655" s="9">
        <v>0</v>
      </c>
      <c r="W655" s="9">
        <v>0</v>
      </c>
      <c r="X655" s="10">
        <v>0</v>
      </c>
      <c r="Y655" t="s">
        <v>917</v>
      </c>
      <c r="Z655" t="s">
        <v>903</v>
      </c>
      <c r="AA655" s="2" t="s">
        <v>921</v>
      </c>
      <c r="AB655" s="9" t="s">
        <v>1007</v>
      </c>
      <c r="AC655" s="9" t="s">
        <v>1008</v>
      </c>
      <c r="AD655" s="10" t="str">
        <f>SUBSTITUTE(SUBSTITUTE(PROPERTIES[[#This Row],[PURCHASECOST_VALUE]], "PURCHASECOST_", ""), "_VALUE", "")</f>
        <v>WAGON</v>
      </c>
      <c r="AE655" s="9" t="str" cm="1">
        <f t="array" ref="AE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5" s="2" t="b">
        <v>0</v>
      </c>
      <c r="AX655"/>
      <c r="AY655"/>
      <c r="AZ655"/>
    </row>
    <row r="656" spans="1:52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 s="2" t="s">
        <v>32</v>
      </c>
      <c r="K656" s="39">
        <f>_xlfn.XLOOKUP("LOADINGSPEEDDEF_"&amp;PROPERTIES[[#This Row],[LOADINGSPEED]],LOADINGSPEEDDEF[TYPE],LOADINGSPEEDDEF[SPEED])</f>
        <v>20</v>
      </c>
      <c r="L656">
        <v>90</v>
      </c>
      <c r="M656">
        <v>0</v>
      </c>
      <c r="N656" s="33">
        <v>6</v>
      </c>
      <c r="O656">
        <v>0</v>
      </c>
      <c r="P656">
        <v>55</v>
      </c>
      <c r="Q656" s="30">
        <v>0</v>
      </c>
      <c r="R656" s="29">
        <f>IFERROR(PROPERTIES[[#This Row],[TE_STARTING_KN]]/(PROPERTIES[[#This Row],[WEIGHT]]*9.81),0)</f>
        <v>0</v>
      </c>
      <c r="S656" s="29">
        <v>0.3</v>
      </c>
      <c r="T656" s="26">
        <f>ROUND(IF(IFERROR(PROPERTIES[[#This Row],[TE_COEFFICIENT_CALC]],0)=0,PROPERTIES[[#This Row],[TE_COEFFICIENT_MANUAL]],PROPERTIES[[#This Row],[TE_COEFFICIENT_CALC]]),3)</f>
        <v>0.3</v>
      </c>
      <c r="U656" s="11">
        <v>25</v>
      </c>
      <c r="V656" s="9">
        <v>0</v>
      </c>
      <c r="W656" s="9">
        <v>0</v>
      </c>
      <c r="X656" s="10">
        <v>0</v>
      </c>
      <c r="Y656" t="s">
        <v>917</v>
      </c>
      <c r="Z656" t="s">
        <v>903</v>
      </c>
      <c r="AA656" s="2" t="s">
        <v>921</v>
      </c>
      <c r="AB656" s="9" t="s">
        <v>1007</v>
      </c>
      <c r="AC656" s="9" t="s">
        <v>1008</v>
      </c>
      <c r="AD656" s="10" t="str">
        <f>SUBSTITUTE(SUBSTITUTE(PROPERTIES[[#This Row],[PURCHASECOST_VALUE]], "PURCHASECOST_", ""), "_VALUE", "")</f>
        <v>WAGON</v>
      </c>
      <c r="AE656" s="9" t="str" cm="1">
        <f t="array" ref="AE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6" s="2" t="b">
        <v>0</v>
      </c>
      <c r="AX656"/>
      <c r="AY656"/>
      <c r="AZ656"/>
    </row>
    <row r="657" spans="1:52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 s="2" t="s">
        <v>32</v>
      </c>
      <c r="K657" s="39">
        <f>_xlfn.XLOOKUP("LOADINGSPEEDDEF_"&amp;PROPERTIES[[#This Row],[LOADINGSPEED]],LOADINGSPEEDDEF[TYPE],LOADINGSPEEDDEF[SPEED])</f>
        <v>20</v>
      </c>
      <c r="L657">
        <v>90</v>
      </c>
      <c r="M657">
        <v>0</v>
      </c>
      <c r="N657" s="33">
        <v>7</v>
      </c>
      <c r="O657">
        <v>0</v>
      </c>
      <c r="P657">
        <v>55</v>
      </c>
      <c r="Q657" s="30">
        <v>0</v>
      </c>
      <c r="R657" s="29">
        <f>IFERROR(PROPERTIES[[#This Row],[TE_STARTING_KN]]/(PROPERTIES[[#This Row],[WEIGHT]]*9.81),0)</f>
        <v>0</v>
      </c>
      <c r="S657" s="29">
        <v>0.3</v>
      </c>
      <c r="T657" s="26">
        <f>ROUND(IF(IFERROR(PROPERTIES[[#This Row],[TE_COEFFICIENT_CALC]],0)=0,PROPERTIES[[#This Row],[TE_COEFFICIENT_MANUAL]],PROPERTIES[[#This Row],[TE_COEFFICIENT_CALC]]),3)</f>
        <v>0.3</v>
      </c>
      <c r="U657" s="11">
        <v>25</v>
      </c>
      <c r="V657" s="9">
        <v>0</v>
      </c>
      <c r="W657" s="9">
        <v>0</v>
      </c>
      <c r="X657" s="10">
        <v>0</v>
      </c>
      <c r="Y657" t="s">
        <v>917</v>
      </c>
      <c r="Z657" t="s">
        <v>903</v>
      </c>
      <c r="AA657" s="2" t="s">
        <v>921</v>
      </c>
      <c r="AB657" s="9" t="s">
        <v>1007</v>
      </c>
      <c r="AC657" s="9" t="s">
        <v>1008</v>
      </c>
      <c r="AD657" s="10" t="str">
        <f>SUBSTITUTE(SUBSTITUTE(PROPERTIES[[#This Row],[PURCHASECOST_VALUE]], "PURCHASECOST_", ""), "_VALUE", "")</f>
        <v>WAGON</v>
      </c>
      <c r="AE657" s="9" t="str" cm="1">
        <f t="array" ref="AE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7" s="2" t="b">
        <v>0</v>
      </c>
      <c r="AX657"/>
      <c r="AY657"/>
      <c r="AZ657"/>
    </row>
    <row r="658" spans="1:52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 s="2" t="s">
        <v>32</v>
      </c>
      <c r="K658" s="39">
        <f>_xlfn.XLOOKUP("LOADINGSPEEDDEF_"&amp;PROPERTIES[[#This Row],[LOADINGSPEED]],LOADINGSPEEDDEF[TYPE],LOADINGSPEEDDEF[SPEED])</f>
        <v>20</v>
      </c>
      <c r="L658">
        <v>90</v>
      </c>
      <c r="M658">
        <v>0</v>
      </c>
      <c r="N658" s="33">
        <v>6</v>
      </c>
      <c r="O658">
        <v>0</v>
      </c>
      <c r="P658">
        <v>55</v>
      </c>
      <c r="Q658" s="30">
        <v>0</v>
      </c>
      <c r="R658" s="29">
        <f>IFERROR(PROPERTIES[[#This Row],[TE_STARTING_KN]]/(PROPERTIES[[#This Row],[WEIGHT]]*9.81),0)</f>
        <v>0</v>
      </c>
      <c r="S658" s="29">
        <v>0.3</v>
      </c>
      <c r="T658" s="26">
        <f>ROUND(IF(IFERROR(PROPERTIES[[#This Row],[TE_COEFFICIENT_CALC]],0)=0,PROPERTIES[[#This Row],[TE_COEFFICIENT_MANUAL]],PROPERTIES[[#This Row],[TE_COEFFICIENT_CALC]]),3)</f>
        <v>0.3</v>
      </c>
      <c r="U658" s="11">
        <v>25</v>
      </c>
      <c r="V658" s="9">
        <v>0</v>
      </c>
      <c r="W658" s="9">
        <v>0</v>
      </c>
      <c r="X658" s="10">
        <v>0</v>
      </c>
      <c r="Y658" t="s">
        <v>917</v>
      </c>
      <c r="Z658" t="s">
        <v>903</v>
      </c>
      <c r="AA658" s="2" t="s">
        <v>921</v>
      </c>
      <c r="AB658" s="9" t="s">
        <v>1007</v>
      </c>
      <c r="AC658" s="9" t="s">
        <v>1008</v>
      </c>
      <c r="AD658" s="10" t="str">
        <f>SUBSTITUTE(SUBSTITUTE(PROPERTIES[[#This Row],[PURCHASECOST_VALUE]], "PURCHASECOST_", ""), "_VALUE", "")</f>
        <v>WAGON</v>
      </c>
      <c r="AE658" s="9" t="str" cm="1">
        <f t="array" ref="AE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8" s="2" t="b">
        <v>0</v>
      </c>
      <c r="AX658"/>
      <c r="AY658"/>
      <c r="AZ658"/>
    </row>
    <row r="659" spans="1:52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 s="2" t="s">
        <v>32</v>
      </c>
      <c r="K659" s="39">
        <f>_xlfn.XLOOKUP("LOADINGSPEEDDEF_"&amp;PROPERTIES[[#This Row],[LOADINGSPEED]],LOADINGSPEEDDEF[TYPE],LOADINGSPEEDDEF[SPEED])</f>
        <v>20</v>
      </c>
      <c r="L659">
        <v>50</v>
      </c>
      <c r="M659">
        <v>0</v>
      </c>
      <c r="N659" s="33">
        <v>11</v>
      </c>
      <c r="O659">
        <v>0</v>
      </c>
      <c r="P659">
        <v>70</v>
      </c>
      <c r="Q659" s="30">
        <v>0</v>
      </c>
      <c r="R659" s="29">
        <f>IFERROR(PROPERTIES[[#This Row],[TE_STARTING_KN]]/(PROPERTIES[[#This Row],[WEIGHT]]*9.81),0)</f>
        <v>0</v>
      </c>
      <c r="S659" s="29">
        <v>0.3</v>
      </c>
      <c r="T659" s="26">
        <f>ROUND(IF(IFERROR(PROPERTIES[[#This Row],[TE_COEFFICIENT_CALC]],0)=0,PROPERTIES[[#This Row],[TE_COEFFICIENT_MANUAL]],PROPERTIES[[#This Row],[TE_COEFFICIENT_CALC]]),3)</f>
        <v>0.3</v>
      </c>
      <c r="U659" s="11">
        <v>25</v>
      </c>
      <c r="V659" s="9">
        <v>0</v>
      </c>
      <c r="W659" s="9">
        <v>0</v>
      </c>
      <c r="X659" s="10">
        <v>0</v>
      </c>
      <c r="Y659" t="s">
        <v>917</v>
      </c>
      <c r="Z659" t="s">
        <v>903</v>
      </c>
      <c r="AA659" s="2" t="s">
        <v>921</v>
      </c>
      <c r="AB659" s="9" t="s">
        <v>1007</v>
      </c>
      <c r="AC659" s="9" t="s">
        <v>1008</v>
      </c>
      <c r="AD659" s="10" t="str">
        <f>SUBSTITUTE(SUBSTITUTE(PROPERTIES[[#This Row],[PURCHASECOST_VALUE]], "PURCHASECOST_", ""), "_VALUE", "")</f>
        <v>WAGON</v>
      </c>
      <c r="AE659" s="9" t="str" cm="1">
        <f t="array" ref="AE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9" s="2" t="b">
        <v>0</v>
      </c>
      <c r="AX659"/>
      <c r="AY659"/>
      <c r="AZ659"/>
    </row>
    <row r="660" spans="1:52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598</v>
      </c>
      <c r="H660">
        <v>25</v>
      </c>
      <c r="I660">
        <v>5</v>
      </c>
      <c r="J660" s="2" t="s">
        <v>32</v>
      </c>
      <c r="K660" s="39">
        <f>_xlfn.XLOOKUP("LOADINGSPEEDDEF_"&amp;PROPERTIES[[#This Row],[LOADINGSPEED]],LOADINGSPEEDDEF[TYPE],LOADINGSPEEDDEF[SPEED])</f>
        <v>20</v>
      </c>
      <c r="L660">
        <v>60</v>
      </c>
      <c r="M660">
        <v>0</v>
      </c>
      <c r="N660" s="33">
        <v>12</v>
      </c>
      <c r="O660">
        <v>0</v>
      </c>
      <c r="P660">
        <v>90</v>
      </c>
      <c r="Q660" s="30">
        <v>0</v>
      </c>
      <c r="R660" s="29">
        <f>IFERROR(PROPERTIES[[#This Row],[TE_STARTING_KN]]/(PROPERTIES[[#This Row],[WEIGHT]]*9.81),0)</f>
        <v>0</v>
      </c>
      <c r="S660" s="29">
        <v>0.3</v>
      </c>
      <c r="T660" s="26">
        <f>ROUND(IF(IFERROR(PROPERTIES[[#This Row],[TE_COEFFICIENT_CALC]],0)=0,PROPERTIES[[#This Row],[TE_COEFFICIENT_MANUAL]],PROPERTIES[[#This Row],[TE_COEFFICIENT_CALC]]),3)</f>
        <v>0.3</v>
      </c>
      <c r="U660" s="11">
        <v>25</v>
      </c>
      <c r="V660" s="9">
        <v>0</v>
      </c>
      <c r="W660" s="9">
        <v>0</v>
      </c>
      <c r="X660" s="10">
        <v>0</v>
      </c>
      <c r="Y660" t="s">
        <v>914</v>
      </c>
      <c r="Z660" t="s">
        <v>903</v>
      </c>
      <c r="AA660" s="2" t="s">
        <v>921</v>
      </c>
      <c r="AB660" s="9" t="s">
        <v>1007</v>
      </c>
      <c r="AC660" s="9" t="s">
        <v>1008</v>
      </c>
      <c r="AD660" s="10" t="str">
        <f>SUBSTITUTE(SUBSTITUTE(PROPERTIES[[#This Row],[PURCHASECOST_VALUE]], "PURCHASECOST_", ""), "_VALUE", "")</f>
        <v>WAGON</v>
      </c>
      <c r="AE660" s="9" t="str" cm="1">
        <f t="array" ref="AE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0" s="2" t="b">
        <v>0</v>
      </c>
      <c r="AX660"/>
      <c r="AY660"/>
      <c r="AZ660"/>
    </row>
    <row r="661" spans="1:52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598</v>
      </c>
      <c r="H661">
        <v>25</v>
      </c>
      <c r="I661">
        <v>5</v>
      </c>
      <c r="J661" s="2" t="s">
        <v>32</v>
      </c>
      <c r="K661" s="39">
        <f>_xlfn.XLOOKUP("LOADINGSPEEDDEF_"&amp;PROPERTIES[[#This Row],[LOADINGSPEED]],LOADINGSPEEDDEF[TYPE],LOADINGSPEEDDEF[SPEED])</f>
        <v>20</v>
      </c>
      <c r="L661">
        <v>60</v>
      </c>
      <c r="M661">
        <v>0</v>
      </c>
      <c r="N661" s="33">
        <v>12</v>
      </c>
      <c r="O661">
        <v>0</v>
      </c>
      <c r="P661">
        <v>90</v>
      </c>
      <c r="Q661" s="30">
        <v>0</v>
      </c>
      <c r="R661" s="29">
        <f>IFERROR(PROPERTIES[[#This Row],[TE_STARTING_KN]]/(PROPERTIES[[#This Row],[WEIGHT]]*9.81),0)</f>
        <v>0</v>
      </c>
      <c r="S661" s="29">
        <v>0.3</v>
      </c>
      <c r="T661" s="26">
        <f>ROUND(IF(IFERROR(PROPERTIES[[#This Row],[TE_COEFFICIENT_CALC]],0)=0,PROPERTIES[[#This Row],[TE_COEFFICIENT_MANUAL]],PROPERTIES[[#This Row],[TE_COEFFICIENT_CALC]]),3)</f>
        <v>0.3</v>
      </c>
      <c r="U661" s="11">
        <v>25</v>
      </c>
      <c r="V661" s="9">
        <v>0</v>
      </c>
      <c r="W661" s="9">
        <v>0</v>
      </c>
      <c r="X661" s="10">
        <v>0</v>
      </c>
      <c r="Y661" t="s">
        <v>915</v>
      </c>
      <c r="Z661" t="s">
        <v>903</v>
      </c>
      <c r="AA661" s="2" t="s">
        <v>921</v>
      </c>
      <c r="AB661" s="9" t="s">
        <v>1007</v>
      </c>
      <c r="AC661" s="9" t="s">
        <v>1008</v>
      </c>
      <c r="AD661" s="10" t="str">
        <f>SUBSTITUTE(SUBSTITUTE(PROPERTIES[[#This Row],[PURCHASECOST_VALUE]], "PURCHASECOST_", ""), "_VALUE", "")</f>
        <v>WAGON</v>
      </c>
      <c r="AE661" s="9" t="str" cm="1">
        <f t="array" ref="AE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1" s="2" t="b">
        <v>0</v>
      </c>
      <c r="AX661"/>
      <c r="AY661"/>
      <c r="AZ661"/>
    </row>
    <row r="662" spans="1:52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 s="2" t="s">
        <v>32</v>
      </c>
      <c r="K662" s="39">
        <f>_xlfn.XLOOKUP("LOADINGSPEEDDEF_"&amp;PROPERTIES[[#This Row],[LOADINGSPEED]],LOADINGSPEEDDEF[TYPE],LOADINGSPEEDDEF[SPEED])</f>
        <v>20</v>
      </c>
      <c r="L662">
        <v>50</v>
      </c>
      <c r="M662">
        <v>0</v>
      </c>
      <c r="N662" s="33">
        <v>14</v>
      </c>
      <c r="O662">
        <v>0</v>
      </c>
      <c r="P662">
        <v>70</v>
      </c>
      <c r="Q662" s="30">
        <v>0</v>
      </c>
      <c r="R662" s="29">
        <f>IFERROR(PROPERTIES[[#This Row],[TE_STARTING_KN]]/(PROPERTIES[[#This Row],[WEIGHT]]*9.81),0)</f>
        <v>0</v>
      </c>
      <c r="S662" s="29">
        <v>0.3</v>
      </c>
      <c r="T662" s="26">
        <f>ROUND(IF(IFERROR(PROPERTIES[[#This Row],[TE_COEFFICIENT_CALC]],0)=0,PROPERTIES[[#This Row],[TE_COEFFICIENT_MANUAL]],PROPERTIES[[#This Row],[TE_COEFFICIENT_CALC]]),3)</f>
        <v>0.3</v>
      </c>
      <c r="U662" s="11">
        <v>25</v>
      </c>
      <c r="V662" s="9">
        <v>0</v>
      </c>
      <c r="W662" s="9">
        <v>0</v>
      </c>
      <c r="X662" s="10">
        <v>0</v>
      </c>
      <c r="Y662" t="s">
        <v>917</v>
      </c>
      <c r="Z662" t="s">
        <v>903</v>
      </c>
      <c r="AA662" s="2" t="s">
        <v>921</v>
      </c>
      <c r="AB662" s="9" t="s">
        <v>1007</v>
      </c>
      <c r="AC662" s="9" t="s">
        <v>1008</v>
      </c>
      <c r="AD662" s="10" t="str">
        <f>SUBSTITUTE(SUBSTITUTE(PROPERTIES[[#This Row],[PURCHASECOST_VALUE]], "PURCHASECOST_", ""), "_VALUE", "")</f>
        <v>WAGON</v>
      </c>
      <c r="AE662" s="9" t="str" cm="1">
        <f t="array" ref="AE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2" s="2" t="b">
        <v>0</v>
      </c>
      <c r="AX662"/>
      <c r="AY662"/>
      <c r="AZ662"/>
    </row>
    <row r="663" spans="1:52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 s="2" t="s">
        <v>32</v>
      </c>
      <c r="K663" s="39">
        <f>_xlfn.XLOOKUP("LOADINGSPEEDDEF_"&amp;PROPERTIES[[#This Row],[LOADINGSPEED]],LOADINGSPEEDDEF[TYPE],LOADINGSPEEDDEF[SPEED])</f>
        <v>20</v>
      </c>
      <c r="L663">
        <v>60</v>
      </c>
      <c r="M663">
        <v>0</v>
      </c>
      <c r="N663" s="33">
        <v>11</v>
      </c>
      <c r="O663">
        <v>0</v>
      </c>
      <c r="P663">
        <v>70</v>
      </c>
      <c r="Q663" s="30">
        <v>0</v>
      </c>
      <c r="R663" s="29">
        <f>IFERROR(PROPERTIES[[#This Row],[TE_STARTING_KN]]/(PROPERTIES[[#This Row],[WEIGHT]]*9.81),0)</f>
        <v>0</v>
      </c>
      <c r="S663" s="29">
        <v>0.3</v>
      </c>
      <c r="T663" s="26">
        <f>ROUND(IF(IFERROR(PROPERTIES[[#This Row],[TE_COEFFICIENT_CALC]],0)=0,PROPERTIES[[#This Row],[TE_COEFFICIENT_MANUAL]],PROPERTIES[[#This Row],[TE_COEFFICIENT_CALC]]),3)</f>
        <v>0.3</v>
      </c>
      <c r="U663" s="11">
        <v>25</v>
      </c>
      <c r="V663" s="9">
        <v>0</v>
      </c>
      <c r="W663" s="9">
        <v>0</v>
      </c>
      <c r="X663" s="10">
        <v>0</v>
      </c>
      <c r="Y663" t="s">
        <v>917</v>
      </c>
      <c r="Z663" t="s">
        <v>903</v>
      </c>
      <c r="AA663" s="2" t="s">
        <v>921</v>
      </c>
      <c r="AB663" s="9" t="s">
        <v>1007</v>
      </c>
      <c r="AC663" s="9" t="s">
        <v>1008</v>
      </c>
      <c r="AD663" s="10" t="str">
        <f>SUBSTITUTE(SUBSTITUTE(PROPERTIES[[#This Row],[PURCHASECOST_VALUE]], "PURCHASECOST_", ""), "_VALUE", "")</f>
        <v>WAGON</v>
      </c>
      <c r="AE663" s="9" t="str" cm="1">
        <f t="array" ref="AE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3" s="2" t="b">
        <v>0</v>
      </c>
      <c r="AX663"/>
      <c r="AY663"/>
      <c r="AZ663"/>
    </row>
    <row r="664" spans="1:52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 s="2" t="s">
        <v>32</v>
      </c>
      <c r="K664" s="39">
        <f>_xlfn.XLOOKUP("LOADINGSPEEDDEF_"&amp;PROPERTIES[[#This Row],[LOADINGSPEED]],LOADINGSPEEDDEF[TYPE],LOADINGSPEEDDEF[SPEED])</f>
        <v>20</v>
      </c>
      <c r="L664">
        <v>50</v>
      </c>
      <c r="M664">
        <v>0</v>
      </c>
      <c r="N664" s="33">
        <v>14</v>
      </c>
      <c r="O664">
        <v>0</v>
      </c>
      <c r="P664">
        <v>70</v>
      </c>
      <c r="Q664" s="30">
        <v>0</v>
      </c>
      <c r="R664" s="29">
        <f>IFERROR(PROPERTIES[[#This Row],[TE_STARTING_KN]]/(PROPERTIES[[#This Row],[WEIGHT]]*9.81),0)</f>
        <v>0</v>
      </c>
      <c r="S664" s="29">
        <v>0.3</v>
      </c>
      <c r="T664" s="26">
        <f>ROUND(IF(IFERROR(PROPERTIES[[#This Row],[TE_COEFFICIENT_CALC]],0)=0,PROPERTIES[[#This Row],[TE_COEFFICIENT_MANUAL]],PROPERTIES[[#This Row],[TE_COEFFICIENT_CALC]]),3)</f>
        <v>0.3</v>
      </c>
      <c r="U664" s="11">
        <v>25</v>
      </c>
      <c r="V664" s="9">
        <v>0</v>
      </c>
      <c r="W664" s="9">
        <v>0</v>
      </c>
      <c r="X664" s="10">
        <v>0</v>
      </c>
      <c r="Y664" t="s">
        <v>917</v>
      </c>
      <c r="Z664" t="s">
        <v>903</v>
      </c>
      <c r="AA664" s="2" t="s">
        <v>921</v>
      </c>
      <c r="AB664" s="9" t="s">
        <v>1007</v>
      </c>
      <c r="AC664" s="9" t="s">
        <v>1008</v>
      </c>
      <c r="AD664" s="10" t="str">
        <f>SUBSTITUTE(SUBSTITUTE(PROPERTIES[[#This Row],[PURCHASECOST_VALUE]], "PURCHASECOST_", ""), "_VALUE", "")</f>
        <v>WAGON</v>
      </c>
      <c r="AE664" s="9" t="str" cm="1">
        <f t="array" ref="AE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4" s="2" t="b">
        <v>0</v>
      </c>
      <c r="AX664"/>
      <c r="AY664"/>
      <c r="AZ664"/>
    </row>
    <row r="665" spans="1:52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 s="2" t="s">
        <v>32</v>
      </c>
      <c r="K665" s="39">
        <f>_xlfn.XLOOKUP("LOADINGSPEEDDEF_"&amp;PROPERTIES[[#This Row],[LOADINGSPEED]],LOADINGSPEEDDEF[TYPE],LOADINGSPEEDDEF[SPEED])</f>
        <v>20</v>
      </c>
      <c r="L665">
        <v>60</v>
      </c>
      <c r="M665">
        <v>0</v>
      </c>
      <c r="N665" s="33">
        <v>12</v>
      </c>
      <c r="O665">
        <v>0</v>
      </c>
      <c r="P665">
        <v>70</v>
      </c>
      <c r="Q665" s="30">
        <v>0</v>
      </c>
      <c r="R665" s="29">
        <f>IFERROR(PROPERTIES[[#This Row],[TE_STARTING_KN]]/(PROPERTIES[[#This Row],[WEIGHT]]*9.81),0)</f>
        <v>0</v>
      </c>
      <c r="S665" s="29">
        <v>0.3</v>
      </c>
      <c r="T665" s="26">
        <f>ROUND(IF(IFERROR(PROPERTIES[[#This Row],[TE_COEFFICIENT_CALC]],0)=0,PROPERTIES[[#This Row],[TE_COEFFICIENT_MANUAL]],PROPERTIES[[#This Row],[TE_COEFFICIENT_CALC]]),3)</f>
        <v>0.3</v>
      </c>
      <c r="U665" s="11">
        <v>25</v>
      </c>
      <c r="V665" s="9">
        <v>0</v>
      </c>
      <c r="W665" s="9">
        <v>0</v>
      </c>
      <c r="X665" s="10">
        <v>0</v>
      </c>
      <c r="Y665" t="s">
        <v>917</v>
      </c>
      <c r="Z665" t="s">
        <v>903</v>
      </c>
      <c r="AA665" s="2" t="s">
        <v>921</v>
      </c>
      <c r="AB665" s="9" t="s">
        <v>1007</v>
      </c>
      <c r="AC665" s="9" t="s">
        <v>1008</v>
      </c>
      <c r="AD665" s="10" t="str">
        <f>SUBSTITUTE(SUBSTITUTE(PROPERTIES[[#This Row],[PURCHASECOST_VALUE]], "PURCHASECOST_", ""), "_VALUE", "")</f>
        <v>WAGON</v>
      </c>
      <c r="AE665" s="9" t="str" cm="1">
        <f t="array" ref="AE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5" s="2" t="b">
        <v>0</v>
      </c>
      <c r="AX665"/>
      <c r="AY665"/>
      <c r="AZ665"/>
    </row>
    <row r="666" spans="1:52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 s="2" t="s">
        <v>32</v>
      </c>
      <c r="K666" s="39">
        <f>_xlfn.XLOOKUP("LOADINGSPEEDDEF_"&amp;PROPERTIES[[#This Row],[LOADINGSPEED]],LOADINGSPEEDDEF[TYPE],LOADINGSPEEDDEF[SPEED])</f>
        <v>20</v>
      </c>
      <c r="L666">
        <v>50</v>
      </c>
      <c r="M666">
        <v>0</v>
      </c>
      <c r="N666" s="33">
        <v>21</v>
      </c>
      <c r="O666">
        <v>0</v>
      </c>
      <c r="P666">
        <v>80</v>
      </c>
      <c r="Q666" s="30">
        <v>0</v>
      </c>
      <c r="R666" s="29">
        <f>IFERROR(PROPERTIES[[#This Row],[TE_STARTING_KN]]/(PROPERTIES[[#This Row],[WEIGHT]]*9.81),0)</f>
        <v>0</v>
      </c>
      <c r="S666" s="29">
        <v>0.3</v>
      </c>
      <c r="T666" s="26">
        <f>ROUND(IF(IFERROR(PROPERTIES[[#This Row],[TE_COEFFICIENT_CALC]],0)=0,PROPERTIES[[#This Row],[TE_COEFFICIENT_MANUAL]],PROPERTIES[[#This Row],[TE_COEFFICIENT_CALC]]),3)</f>
        <v>0.3</v>
      </c>
      <c r="U666" s="11">
        <v>25</v>
      </c>
      <c r="V666" s="9">
        <v>0</v>
      </c>
      <c r="W666" s="9">
        <v>0</v>
      </c>
      <c r="X666" s="10">
        <v>0</v>
      </c>
      <c r="Y666" t="s">
        <v>917</v>
      </c>
      <c r="Z666" t="s">
        <v>903</v>
      </c>
      <c r="AA666" s="2" t="s">
        <v>921</v>
      </c>
      <c r="AB666" s="9" t="s">
        <v>1007</v>
      </c>
      <c r="AC666" s="9" t="s">
        <v>1008</v>
      </c>
      <c r="AD666" s="10" t="str">
        <f>SUBSTITUTE(SUBSTITUTE(PROPERTIES[[#This Row],[PURCHASECOST_VALUE]], "PURCHASECOST_", ""), "_VALUE", "")</f>
        <v>WAGON</v>
      </c>
      <c r="AE666" s="9" t="str" cm="1">
        <f t="array" ref="AE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6" s="2" t="b">
        <v>0</v>
      </c>
      <c r="AX666"/>
      <c r="AY666"/>
      <c r="AZ666"/>
    </row>
    <row r="667" spans="1:52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598</v>
      </c>
      <c r="H667">
        <v>40</v>
      </c>
      <c r="I667">
        <v>6</v>
      </c>
      <c r="J667" s="2" t="s">
        <v>32</v>
      </c>
      <c r="K667" s="39">
        <f>_xlfn.XLOOKUP("LOADINGSPEEDDEF_"&amp;PROPERTIES[[#This Row],[LOADINGSPEED]],LOADINGSPEEDDEF[TYPE],LOADINGSPEEDDEF[SPEED])</f>
        <v>20</v>
      </c>
      <c r="L667">
        <v>60</v>
      </c>
      <c r="M667">
        <v>0</v>
      </c>
      <c r="N667" s="33">
        <v>23</v>
      </c>
      <c r="O667">
        <v>0</v>
      </c>
      <c r="P667">
        <v>100</v>
      </c>
      <c r="Q667" s="30">
        <v>0</v>
      </c>
      <c r="R667" s="29">
        <f>IFERROR(PROPERTIES[[#This Row],[TE_STARTING_KN]]/(PROPERTIES[[#This Row],[WEIGHT]]*9.81),0)</f>
        <v>0</v>
      </c>
      <c r="S667" s="29">
        <v>0.3</v>
      </c>
      <c r="T667" s="26">
        <f>ROUND(IF(IFERROR(PROPERTIES[[#This Row],[TE_COEFFICIENT_CALC]],0)=0,PROPERTIES[[#This Row],[TE_COEFFICIENT_MANUAL]],PROPERTIES[[#This Row],[TE_COEFFICIENT_CALC]]),3)</f>
        <v>0.3</v>
      </c>
      <c r="U667" s="11">
        <v>25</v>
      </c>
      <c r="V667" s="9">
        <v>0</v>
      </c>
      <c r="W667" s="9">
        <v>0</v>
      </c>
      <c r="X667" s="10">
        <v>0</v>
      </c>
      <c r="Y667" t="s">
        <v>914</v>
      </c>
      <c r="Z667" t="s">
        <v>903</v>
      </c>
      <c r="AA667" s="2" t="s">
        <v>921</v>
      </c>
      <c r="AB667" s="9" t="s">
        <v>1007</v>
      </c>
      <c r="AC667" s="9" t="s">
        <v>1008</v>
      </c>
      <c r="AD667" s="10" t="str">
        <f>SUBSTITUTE(SUBSTITUTE(PROPERTIES[[#This Row],[PURCHASECOST_VALUE]], "PURCHASECOST_", ""), "_VALUE", "")</f>
        <v>WAGON</v>
      </c>
      <c r="AE667" s="9" t="str" cm="1">
        <f t="array" ref="AE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7" s="2" t="b">
        <v>0</v>
      </c>
      <c r="AX667"/>
      <c r="AY667"/>
      <c r="AZ667"/>
    </row>
    <row r="668" spans="1:52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598</v>
      </c>
      <c r="H668">
        <v>40</v>
      </c>
      <c r="I668">
        <v>6</v>
      </c>
      <c r="J668" s="2" t="s">
        <v>32</v>
      </c>
      <c r="K668" s="39">
        <f>_xlfn.XLOOKUP("LOADINGSPEEDDEF_"&amp;PROPERTIES[[#This Row],[LOADINGSPEED]],LOADINGSPEEDDEF[TYPE],LOADINGSPEEDDEF[SPEED])</f>
        <v>20</v>
      </c>
      <c r="L668">
        <v>60</v>
      </c>
      <c r="M668">
        <v>0</v>
      </c>
      <c r="N668" s="33">
        <v>23</v>
      </c>
      <c r="O668">
        <v>0</v>
      </c>
      <c r="P668">
        <v>100</v>
      </c>
      <c r="Q668" s="30">
        <v>0</v>
      </c>
      <c r="R668" s="29">
        <f>IFERROR(PROPERTIES[[#This Row],[TE_STARTING_KN]]/(PROPERTIES[[#This Row],[WEIGHT]]*9.81),0)</f>
        <v>0</v>
      </c>
      <c r="S668" s="29">
        <v>0.3</v>
      </c>
      <c r="T668" s="26">
        <f>ROUND(IF(IFERROR(PROPERTIES[[#This Row],[TE_COEFFICIENT_CALC]],0)=0,PROPERTIES[[#This Row],[TE_COEFFICIENT_MANUAL]],PROPERTIES[[#This Row],[TE_COEFFICIENT_CALC]]),3)</f>
        <v>0.3</v>
      </c>
      <c r="U668" s="11">
        <v>25</v>
      </c>
      <c r="V668" s="9">
        <v>0</v>
      </c>
      <c r="W668" s="9">
        <v>0</v>
      </c>
      <c r="X668" s="10">
        <v>0</v>
      </c>
      <c r="Y668" t="s">
        <v>915</v>
      </c>
      <c r="Z668" t="s">
        <v>903</v>
      </c>
      <c r="AA668" s="2" t="s">
        <v>921</v>
      </c>
      <c r="AB668" s="9" t="s">
        <v>1007</v>
      </c>
      <c r="AC668" s="9" t="s">
        <v>1008</v>
      </c>
      <c r="AD668" s="10" t="str">
        <f>SUBSTITUTE(SUBSTITUTE(PROPERTIES[[#This Row],[PURCHASECOST_VALUE]], "PURCHASECOST_", ""), "_VALUE", "")</f>
        <v>WAGON</v>
      </c>
      <c r="AE668" s="9" t="str" cm="1">
        <f t="array" ref="AE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8" s="2" t="b">
        <v>0</v>
      </c>
      <c r="AX668"/>
      <c r="AY668"/>
      <c r="AZ668"/>
    </row>
    <row r="669" spans="1:52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 s="2" t="s">
        <v>32</v>
      </c>
      <c r="K669" s="39">
        <f>_xlfn.XLOOKUP("LOADINGSPEEDDEF_"&amp;PROPERTIES[[#This Row],[LOADINGSPEED]],LOADINGSPEEDDEF[TYPE],LOADINGSPEEDDEF[SPEED])</f>
        <v>20</v>
      </c>
      <c r="L669">
        <v>50</v>
      </c>
      <c r="M669">
        <v>0</v>
      </c>
      <c r="N669" s="33">
        <v>20</v>
      </c>
      <c r="O669">
        <v>0</v>
      </c>
      <c r="P669">
        <v>80</v>
      </c>
      <c r="Q669" s="30">
        <v>0</v>
      </c>
      <c r="R669" s="29">
        <f>IFERROR(PROPERTIES[[#This Row],[TE_STARTING_KN]]/(PROPERTIES[[#This Row],[WEIGHT]]*9.81),0)</f>
        <v>0</v>
      </c>
      <c r="S669" s="29">
        <v>0.3</v>
      </c>
      <c r="T669" s="26">
        <f>ROUND(IF(IFERROR(PROPERTIES[[#This Row],[TE_COEFFICIENT_CALC]],0)=0,PROPERTIES[[#This Row],[TE_COEFFICIENT_MANUAL]],PROPERTIES[[#This Row],[TE_COEFFICIENT_CALC]]),3)</f>
        <v>0.3</v>
      </c>
      <c r="U669" s="11">
        <v>25</v>
      </c>
      <c r="V669" s="9">
        <v>0</v>
      </c>
      <c r="W669" s="9">
        <v>0</v>
      </c>
      <c r="X669" s="10">
        <v>0</v>
      </c>
      <c r="Y669" t="s">
        <v>917</v>
      </c>
      <c r="Z669" t="s">
        <v>903</v>
      </c>
      <c r="AA669" s="2" t="s">
        <v>921</v>
      </c>
      <c r="AB669" s="9" t="s">
        <v>1007</v>
      </c>
      <c r="AC669" s="9" t="s">
        <v>1008</v>
      </c>
      <c r="AD669" s="10" t="str">
        <f>SUBSTITUTE(SUBSTITUTE(PROPERTIES[[#This Row],[PURCHASECOST_VALUE]], "PURCHASECOST_", ""), "_VALUE", "")</f>
        <v>WAGON</v>
      </c>
      <c r="AE669" s="9" t="str" cm="1">
        <f t="array" ref="AE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9" s="2" t="b">
        <v>0</v>
      </c>
      <c r="AX669"/>
      <c r="AY669"/>
      <c r="AZ669"/>
    </row>
    <row r="670" spans="1:52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 s="2" t="s">
        <v>32</v>
      </c>
      <c r="K670" s="39">
        <f>_xlfn.XLOOKUP("LOADINGSPEEDDEF_"&amp;PROPERTIES[[#This Row],[LOADINGSPEED]],LOADINGSPEEDDEF[TYPE],LOADINGSPEEDDEF[SPEED])</f>
        <v>20</v>
      </c>
      <c r="L670">
        <v>60</v>
      </c>
      <c r="M670">
        <v>0</v>
      </c>
      <c r="N670" s="33">
        <v>22</v>
      </c>
      <c r="O670">
        <v>0</v>
      </c>
      <c r="P670">
        <v>80</v>
      </c>
      <c r="Q670" s="30">
        <v>0</v>
      </c>
      <c r="R670" s="29">
        <f>IFERROR(PROPERTIES[[#This Row],[TE_STARTING_KN]]/(PROPERTIES[[#This Row],[WEIGHT]]*9.81),0)</f>
        <v>0</v>
      </c>
      <c r="S670" s="29">
        <v>0.3</v>
      </c>
      <c r="T670" s="26">
        <f>ROUND(IF(IFERROR(PROPERTIES[[#This Row],[TE_COEFFICIENT_CALC]],0)=0,PROPERTIES[[#This Row],[TE_COEFFICIENT_MANUAL]],PROPERTIES[[#This Row],[TE_COEFFICIENT_CALC]]),3)</f>
        <v>0.3</v>
      </c>
      <c r="U670" s="11">
        <v>25</v>
      </c>
      <c r="V670" s="9">
        <v>0</v>
      </c>
      <c r="W670" s="9">
        <v>0</v>
      </c>
      <c r="X670" s="10">
        <v>0</v>
      </c>
      <c r="Y670" t="s">
        <v>917</v>
      </c>
      <c r="Z670" t="s">
        <v>903</v>
      </c>
      <c r="AA670" s="2" t="s">
        <v>921</v>
      </c>
      <c r="AB670" s="9" t="s">
        <v>1007</v>
      </c>
      <c r="AC670" s="9" t="s">
        <v>1008</v>
      </c>
      <c r="AD670" s="10" t="str">
        <f>SUBSTITUTE(SUBSTITUTE(PROPERTIES[[#This Row],[PURCHASECOST_VALUE]], "PURCHASECOST_", ""), "_VALUE", "")</f>
        <v>WAGON</v>
      </c>
      <c r="AE670" s="9" t="str" cm="1">
        <f t="array" ref="AE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0" s="2" t="b">
        <v>0</v>
      </c>
      <c r="AX670"/>
      <c r="AY670"/>
      <c r="AZ670"/>
    </row>
    <row r="671" spans="1:52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606</v>
      </c>
      <c r="H671">
        <v>40</v>
      </c>
      <c r="I671">
        <v>6</v>
      </c>
      <c r="J671" s="2" t="s">
        <v>32</v>
      </c>
      <c r="K671" s="39">
        <f>_xlfn.XLOOKUP("LOADINGSPEEDDEF_"&amp;PROPERTIES[[#This Row],[LOADINGSPEED]],LOADINGSPEEDDEF[TYPE],LOADINGSPEEDDEF[SPEED])</f>
        <v>20</v>
      </c>
      <c r="L671">
        <v>50</v>
      </c>
      <c r="M671">
        <v>0</v>
      </c>
      <c r="N671" s="33">
        <v>23</v>
      </c>
      <c r="O671">
        <v>0</v>
      </c>
      <c r="P671">
        <v>80</v>
      </c>
      <c r="Q671" s="30">
        <v>0</v>
      </c>
      <c r="R671" s="29">
        <f>IFERROR(PROPERTIES[[#This Row],[TE_STARTING_KN]]/(PROPERTIES[[#This Row],[WEIGHT]]*9.81),0)</f>
        <v>0</v>
      </c>
      <c r="S671" s="29">
        <v>0.3</v>
      </c>
      <c r="T671" s="26">
        <f>ROUND(IF(IFERROR(PROPERTIES[[#This Row],[TE_COEFFICIENT_CALC]],0)=0,PROPERTIES[[#This Row],[TE_COEFFICIENT_MANUAL]],PROPERTIES[[#This Row],[TE_COEFFICIENT_CALC]]),3)</f>
        <v>0.3</v>
      </c>
      <c r="U671" s="11">
        <v>25</v>
      </c>
      <c r="V671" s="9">
        <v>0</v>
      </c>
      <c r="W671" s="9">
        <v>0</v>
      </c>
      <c r="X671" s="10">
        <v>0</v>
      </c>
      <c r="Y671" t="s">
        <v>914</v>
      </c>
      <c r="Z671" t="s">
        <v>903</v>
      </c>
      <c r="AA671" s="2" t="s">
        <v>921</v>
      </c>
      <c r="AB671" s="9" t="s">
        <v>1007</v>
      </c>
      <c r="AC671" s="9" t="s">
        <v>1008</v>
      </c>
      <c r="AD671" s="10" t="str">
        <f>SUBSTITUTE(SUBSTITUTE(PROPERTIES[[#This Row],[PURCHASECOST_VALUE]], "PURCHASECOST_", ""), "_VALUE", "")</f>
        <v>WAGON</v>
      </c>
      <c r="AE671" s="9" t="str" cm="1">
        <f t="array" ref="AE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1" s="2" t="b">
        <v>0</v>
      </c>
      <c r="AX671"/>
      <c r="AY671"/>
      <c r="AZ671"/>
    </row>
    <row r="672" spans="1:52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606</v>
      </c>
      <c r="H672">
        <v>40</v>
      </c>
      <c r="I672">
        <v>6</v>
      </c>
      <c r="J672" s="2" t="s">
        <v>32</v>
      </c>
      <c r="K672" s="39">
        <f>_xlfn.XLOOKUP("LOADINGSPEEDDEF_"&amp;PROPERTIES[[#This Row],[LOADINGSPEED]],LOADINGSPEEDDEF[TYPE],LOADINGSPEEDDEF[SPEED])</f>
        <v>20</v>
      </c>
      <c r="L672">
        <v>50</v>
      </c>
      <c r="M672">
        <v>0</v>
      </c>
      <c r="N672" s="33">
        <v>23</v>
      </c>
      <c r="O672">
        <v>0</v>
      </c>
      <c r="P672">
        <v>80</v>
      </c>
      <c r="Q672" s="30">
        <v>0</v>
      </c>
      <c r="R672" s="29">
        <f>IFERROR(PROPERTIES[[#This Row],[TE_STARTING_KN]]/(PROPERTIES[[#This Row],[WEIGHT]]*9.81),0)</f>
        <v>0</v>
      </c>
      <c r="S672" s="29">
        <v>0.3</v>
      </c>
      <c r="T672" s="26">
        <f>ROUND(IF(IFERROR(PROPERTIES[[#This Row],[TE_COEFFICIENT_CALC]],0)=0,PROPERTIES[[#This Row],[TE_COEFFICIENT_MANUAL]],PROPERTIES[[#This Row],[TE_COEFFICIENT_CALC]]),3)</f>
        <v>0.3</v>
      </c>
      <c r="U672" s="11">
        <v>25</v>
      </c>
      <c r="V672" s="9">
        <v>0</v>
      </c>
      <c r="W672" s="9">
        <v>0</v>
      </c>
      <c r="X672" s="10">
        <v>0</v>
      </c>
      <c r="Y672" t="s">
        <v>915</v>
      </c>
      <c r="Z672" t="s">
        <v>903</v>
      </c>
      <c r="AA672" s="2" t="s">
        <v>921</v>
      </c>
      <c r="AB672" s="9" t="s">
        <v>1007</v>
      </c>
      <c r="AC672" s="9" t="s">
        <v>1008</v>
      </c>
      <c r="AD672" s="10" t="str">
        <f>SUBSTITUTE(SUBSTITUTE(PROPERTIES[[#This Row],[PURCHASECOST_VALUE]], "PURCHASECOST_", ""), "_VALUE", "")</f>
        <v>WAGON</v>
      </c>
      <c r="AE672" s="9" t="str" cm="1">
        <f t="array" ref="AE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2" s="2" t="b">
        <v>0</v>
      </c>
      <c r="AX672"/>
      <c r="AY672"/>
      <c r="AZ672"/>
    </row>
    <row r="673" spans="1:52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 s="2" t="s">
        <v>32</v>
      </c>
      <c r="K673" s="39">
        <f>_xlfn.XLOOKUP("LOADINGSPEEDDEF_"&amp;PROPERTIES[[#This Row],[LOADINGSPEED]],LOADINGSPEEDDEF[TYPE],LOADINGSPEEDDEF[SPEED])</f>
        <v>20</v>
      </c>
      <c r="L673">
        <v>60</v>
      </c>
      <c r="M673">
        <v>0</v>
      </c>
      <c r="N673" s="33">
        <v>26</v>
      </c>
      <c r="O673">
        <v>0</v>
      </c>
      <c r="P673">
        <v>80</v>
      </c>
      <c r="Q673" s="30">
        <v>0</v>
      </c>
      <c r="R673" s="29">
        <f>IFERROR(PROPERTIES[[#This Row],[TE_STARTING_KN]]/(PROPERTIES[[#This Row],[WEIGHT]]*9.81),0)</f>
        <v>0</v>
      </c>
      <c r="S673" s="29">
        <v>0.3</v>
      </c>
      <c r="T673" s="26">
        <f>ROUND(IF(IFERROR(PROPERTIES[[#This Row],[TE_COEFFICIENT_CALC]],0)=0,PROPERTIES[[#This Row],[TE_COEFFICIENT_MANUAL]],PROPERTIES[[#This Row],[TE_COEFFICIENT_CALC]]),3)</f>
        <v>0.3</v>
      </c>
      <c r="U673" s="11">
        <v>25</v>
      </c>
      <c r="V673" s="9">
        <v>0</v>
      </c>
      <c r="W673" s="9">
        <v>0</v>
      </c>
      <c r="X673" s="10">
        <v>0</v>
      </c>
      <c r="Y673" t="s">
        <v>917</v>
      </c>
      <c r="Z673" t="s">
        <v>903</v>
      </c>
      <c r="AA673" s="2" t="s">
        <v>921</v>
      </c>
      <c r="AB673" s="9" t="s">
        <v>1007</v>
      </c>
      <c r="AC673" s="9" t="s">
        <v>1008</v>
      </c>
      <c r="AD673" s="10" t="str">
        <f>SUBSTITUTE(SUBSTITUTE(PROPERTIES[[#This Row],[PURCHASECOST_VALUE]], "PURCHASECOST_", ""), "_VALUE", "")</f>
        <v>WAGON</v>
      </c>
      <c r="AE673" s="9" t="str" cm="1">
        <f t="array" ref="AE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3" s="2" t="b">
        <v>0</v>
      </c>
      <c r="AX673"/>
      <c r="AY673"/>
      <c r="AZ673"/>
    </row>
    <row r="674" spans="1:52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 s="2" t="s">
        <v>32</v>
      </c>
      <c r="K674" s="39">
        <f>_xlfn.XLOOKUP("LOADINGSPEEDDEF_"&amp;PROPERTIES[[#This Row],[LOADINGSPEED]],LOADINGSPEEDDEF[TYPE],LOADINGSPEEDDEF[SPEED])</f>
        <v>20</v>
      </c>
      <c r="L674">
        <v>60</v>
      </c>
      <c r="M674">
        <v>0</v>
      </c>
      <c r="N674" s="33">
        <v>25</v>
      </c>
      <c r="O674">
        <v>0</v>
      </c>
      <c r="P674">
        <v>100</v>
      </c>
      <c r="Q674" s="30">
        <v>0</v>
      </c>
      <c r="R674" s="29">
        <f>IFERROR(PROPERTIES[[#This Row],[TE_STARTING_KN]]/(PROPERTIES[[#This Row],[WEIGHT]]*9.81),0)</f>
        <v>0</v>
      </c>
      <c r="S674" s="29">
        <v>0.3</v>
      </c>
      <c r="T674" s="26">
        <f>ROUND(IF(IFERROR(PROPERTIES[[#This Row],[TE_COEFFICIENT_CALC]],0)=0,PROPERTIES[[#This Row],[TE_COEFFICIENT_MANUAL]],PROPERTIES[[#This Row],[TE_COEFFICIENT_CALC]]),3)</f>
        <v>0.3</v>
      </c>
      <c r="U674" s="11">
        <v>25</v>
      </c>
      <c r="V674" s="9">
        <v>0</v>
      </c>
      <c r="W674" s="9">
        <v>0</v>
      </c>
      <c r="X674" s="10">
        <v>0</v>
      </c>
      <c r="Y674" t="s">
        <v>917</v>
      </c>
      <c r="Z674" t="s">
        <v>903</v>
      </c>
      <c r="AA674" s="2" t="s">
        <v>921</v>
      </c>
      <c r="AB674" s="9" t="s">
        <v>1007</v>
      </c>
      <c r="AC674" s="9" t="s">
        <v>1008</v>
      </c>
      <c r="AD674" s="10" t="str">
        <f>SUBSTITUTE(SUBSTITUTE(PROPERTIES[[#This Row],[PURCHASECOST_VALUE]], "PURCHASECOST_", ""), "_VALUE", "")</f>
        <v>WAGON</v>
      </c>
      <c r="AE674" s="9" t="str" cm="1">
        <f t="array" ref="AE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4" s="2" t="b">
        <v>0</v>
      </c>
      <c r="AX674"/>
      <c r="AY674"/>
      <c r="AZ674"/>
    </row>
    <row r="675" spans="1:52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 s="2" t="s">
        <v>32</v>
      </c>
      <c r="K675" s="39">
        <f>_xlfn.XLOOKUP("LOADINGSPEEDDEF_"&amp;PROPERTIES[[#This Row],[LOADINGSPEED]],LOADINGSPEEDDEF[TYPE],LOADINGSPEEDDEF[SPEED])</f>
        <v>20</v>
      </c>
      <c r="L675">
        <v>60</v>
      </c>
      <c r="M675">
        <v>0</v>
      </c>
      <c r="N675" s="33">
        <v>30</v>
      </c>
      <c r="O675">
        <v>0</v>
      </c>
      <c r="P675">
        <v>100</v>
      </c>
      <c r="Q675" s="30">
        <v>0</v>
      </c>
      <c r="R675" s="29">
        <f>IFERROR(PROPERTIES[[#This Row],[TE_STARTING_KN]]/(PROPERTIES[[#This Row],[WEIGHT]]*9.81),0)</f>
        <v>0</v>
      </c>
      <c r="S675" s="29">
        <v>0.3</v>
      </c>
      <c r="T675" s="26">
        <f>ROUND(IF(IFERROR(PROPERTIES[[#This Row],[TE_COEFFICIENT_CALC]],0)=0,PROPERTIES[[#This Row],[TE_COEFFICIENT_MANUAL]],PROPERTIES[[#This Row],[TE_COEFFICIENT_CALC]]),3)</f>
        <v>0.3</v>
      </c>
      <c r="U675" s="11">
        <v>25</v>
      </c>
      <c r="V675" s="9">
        <v>0</v>
      </c>
      <c r="W675" s="9">
        <v>0</v>
      </c>
      <c r="X675" s="10">
        <v>0</v>
      </c>
      <c r="Y675" t="s">
        <v>917</v>
      </c>
      <c r="Z675" t="s">
        <v>903</v>
      </c>
      <c r="AA675" s="2" t="s">
        <v>921</v>
      </c>
      <c r="AB675" s="9" t="s">
        <v>1007</v>
      </c>
      <c r="AC675" s="9" t="s">
        <v>1008</v>
      </c>
      <c r="AD675" s="10" t="str">
        <f>SUBSTITUTE(SUBSTITUTE(PROPERTIES[[#This Row],[PURCHASECOST_VALUE]], "PURCHASECOST_", ""), "_VALUE", "")</f>
        <v>WAGON</v>
      </c>
      <c r="AE675" s="9" t="str" cm="1">
        <f t="array" ref="AE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5" s="2" t="b">
        <v>0</v>
      </c>
      <c r="AX675"/>
      <c r="AY675"/>
      <c r="AZ675"/>
    </row>
    <row r="676" spans="1:52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598</v>
      </c>
      <c r="H676">
        <v>42</v>
      </c>
      <c r="I676">
        <v>7</v>
      </c>
      <c r="J676" s="2" t="s">
        <v>32</v>
      </c>
      <c r="K676" s="39">
        <f>_xlfn.XLOOKUP("LOADINGSPEEDDEF_"&amp;PROPERTIES[[#This Row],[LOADINGSPEED]],LOADINGSPEEDDEF[TYPE],LOADINGSPEEDDEF[SPEED])</f>
        <v>20</v>
      </c>
      <c r="L676">
        <v>70</v>
      </c>
      <c r="M676">
        <v>0</v>
      </c>
      <c r="N676" s="33">
        <v>30</v>
      </c>
      <c r="O676">
        <v>0</v>
      </c>
      <c r="P676">
        <v>120</v>
      </c>
      <c r="Q676" s="30">
        <v>0</v>
      </c>
      <c r="R676" s="29">
        <f>IFERROR(PROPERTIES[[#This Row],[TE_STARTING_KN]]/(PROPERTIES[[#This Row],[WEIGHT]]*9.81),0)</f>
        <v>0</v>
      </c>
      <c r="S676" s="29">
        <v>0.3</v>
      </c>
      <c r="T676" s="26">
        <f>ROUND(IF(IFERROR(PROPERTIES[[#This Row],[TE_COEFFICIENT_CALC]],0)=0,PROPERTIES[[#This Row],[TE_COEFFICIENT_MANUAL]],PROPERTIES[[#This Row],[TE_COEFFICIENT_CALC]]),3)</f>
        <v>0.3</v>
      </c>
      <c r="U676" s="11">
        <v>25</v>
      </c>
      <c r="V676" s="9">
        <v>0</v>
      </c>
      <c r="W676" s="9">
        <v>0</v>
      </c>
      <c r="X676" s="10">
        <v>0</v>
      </c>
      <c r="Y676" t="s">
        <v>914</v>
      </c>
      <c r="Z676" t="s">
        <v>903</v>
      </c>
      <c r="AA676" s="2" t="s">
        <v>921</v>
      </c>
      <c r="AB676" s="9" t="s">
        <v>1007</v>
      </c>
      <c r="AC676" s="9" t="s">
        <v>1008</v>
      </c>
      <c r="AD676" s="10" t="str">
        <f>SUBSTITUTE(SUBSTITUTE(PROPERTIES[[#This Row],[PURCHASECOST_VALUE]], "PURCHASECOST_", ""), "_VALUE", "")</f>
        <v>WAGON</v>
      </c>
      <c r="AE676" s="9" t="str" cm="1">
        <f t="array" ref="AE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6" s="2" t="b">
        <v>0</v>
      </c>
      <c r="AX676"/>
      <c r="AY676"/>
      <c r="AZ676"/>
    </row>
    <row r="677" spans="1:52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598</v>
      </c>
      <c r="H677">
        <v>42</v>
      </c>
      <c r="I677">
        <v>7</v>
      </c>
      <c r="J677" s="2" t="s">
        <v>32</v>
      </c>
      <c r="K677" s="39">
        <f>_xlfn.XLOOKUP("LOADINGSPEEDDEF_"&amp;PROPERTIES[[#This Row],[LOADINGSPEED]],LOADINGSPEEDDEF[TYPE],LOADINGSPEEDDEF[SPEED])</f>
        <v>20</v>
      </c>
      <c r="L677">
        <v>70</v>
      </c>
      <c r="M677">
        <v>0</v>
      </c>
      <c r="N677" s="33">
        <v>30</v>
      </c>
      <c r="O677">
        <v>0</v>
      </c>
      <c r="P677">
        <v>120</v>
      </c>
      <c r="Q677" s="30">
        <v>0</v>
      </c>
      <c r="R677" s="29">
        <f>IFERROR(PROPERTIES[[#This Row],[TE_STARTING_KN]]/(PROPERTIES[[#This Row],[WEIGHT]]*9.81),0)</f>
        <v>0</v>
      </c>
      <c r="S677" s="29">
        <v>0.3</v>
      </c>
      <c r="T677" s="26">
        <f>ROUND(IF(IFERROR(PROPERTIES[[#This Row],[TE_COEFFICIENT_CALC]],0)=0,PROPERTIES[[#This Row],[TE_COEFFICIENT_MANUAL]],PROPERTIES[[#This Row],[TE_COEFFICIENT_CALC]]),3)</f>
        <v>0.3</v>
      </c>
      <c r="U677" s="11">
        <v>25</v>
      </c>
      <c r="V677" s="9">
        <v>0</v>
      </c>
      <c r="W677" s="9">
        <v>0</v>
      </c>
      <c r="X677" s="10">
        <v>0</v>
      </c>
      <c r="Y677" t="s">
        <v>915</v>
      </c>
      <c r="Z677" t="s">
        <v>903</v>
      </c>
      <c r="AA677" s="2" t="s">
        <v>921</v>
      </c>
      <c r="AB677" s="9" t="s">
        <v>1007</v>
      </c>
      <c r="AC677" s="9" t="s">
        <v>1008</v>
      </c>
      <c r="AD677" s="10" t="str">
        <f>SUBSTITUTE(SUBSTITUTE(PROPERTIES[[#This Row],[PURCHASECOST_VALUE]], "PURCHASECOST_", ""), "_VALUE", "")</f>
        <v>WAGON</v>
      </c>
      <c r="AE677" s="9" t="str" cm="1">
        <f t="array" ref="AE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7" s="2" t="b">
        <v>0</v>
      </c>
      <c r="AX677"/>
      <c r="AY677"/>
      <c r="AZ677"/>
    </row>
    <row r="678" spans="1:52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 s="2" t="s">
        <v>32</v>
      </c>
      <c r="K678" s="39">
        <f>_xlfn.XLOOKUP("LOADINGSPEEDDEF_"&amp;PROPERTIES[[#This Row],[LOADINGSPEED]],LOADINGSPEEDDEF[TYPE],LOADINGSPEEDDEF[SPEED])</f>
        <v>20</v>
      </c>
      <c r="L678">
        <v>70</v>
      </c>
      <c r="M678">
        <v>0</v>
      </c>
      <c r="N678" s="33">
        <v>22</v>
      </c>
      <c r="O678">
        <v>0</v>
      </c>
      <c r="P678">
        <v>100</v>
      </c>
      <c r="Q678" s="30">
        <v>0</v>
      </c>
      <c r="R678" s="29">
        <f>IFERROR(PROPERTIES[[#This Row],[TE_STARTING_KN]]/(PROPERTIES[[#This Row],[WEIGHT]]*9.81),0)</f>
        <v>0</v>
      </c>
      <c r="S678" s="29">
        <v>0.3</v>
      </c>
      <c r="T678" s="26">
        <f>ROUND(IF(IFERROR(PROPERTIES[[#This Row],[TE_COEFFICIENT_CALC]],0)=0,PROPERTIES[[#This Row],[TE_COEFFICIENT_MANUAL]],PROPERTIES[[#This Row],[TE_COEFFICIENT_CALC]]),3)</f>
        <v>0.3</v>
      </c>
      <c r="U678" s="11">
        <v>25</v>
      </c>
      <c r="V678" s="9">
        <v>0</v>
      </c>
      <c r="W678" s="9">
        <v>0</v>
      </c>
      <c r="X678" s="10">
        <v>0</v>
      </c>
      <c r="Y678" t="s">
        <v>917</v>
      </c>
      <c r="Z678" t="s">
        <v>903</v>
      </c>
      <c r="AA678" s="2" t="s">
        <v>921</v>
      </c>
      <c r="AB678" s="9" t="s">
        <v>1007</v>
      </c>
      <c r="AC678" s="9" t="s">
        <v>1008</v>
      </c>
      <c r="AD678" s="10" t="str">
        <f>SUBSTITUTE(SUBSTITUTE(PROPERTIES[[#This Row],[PURCHASECOST_VALUE]], "PURCHASECOST_", ""), "_VALUE", "")</f>
        <v>WAGON</v>
      </c>
      <c r="AE678" s="9" t="str" cm="1">
        <f t="array" ref="AE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8" s="2" t="b">
        <v>0</v>
      </c>
      <c r="AX678"/>
      <c r="AY678"/>
      <c r="AZ678"/>
    </row>
    <row r="679" spans="1:52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 s="2" t="s">
        <v>32</v>
      </c>
      <c r="K679" s="39">
        <f>_xlfn.XLOOKUP("LOADINGSPEEDDEF_"&amp;PROPERTIES[[#This Row],[LOADINGSPEED]],LOADINGSPEEDDEF[TYPE],LOADINGSPEEDDEF[SPEED])</f>
        <v>20</v>
      </c>
      <c r="L679">
        <v>70</v>
      </c>
      <c r="M679">
        <v>0</v>
      </c>
      <c r="N679" s="33">
        <v>22</v>
      </c>
      <c r="O679">
        <v>0</v>
      </c>
      <c r="P679">
        <v>100</v>
      </c>
      <c r="Q679" s="30">
        <v>0</v>
      </c>
      <c r="R679" s="29">
        <f>IFERROR(PROPERTIES[[#This Row],[TE_STARTING_KN]]/(PROPERTIES[[#This Row],[WEIGHT]]*9.81),0)</f>
        <v>0</v>
      </c>
      <c r="S679" s="29">
        <v>0.3</v>
      </c>
      <c r="T679" s="26">
        <f>ROUND(IF(IFERROR(PROPERTIES[[#This Row],[TE_COEFFICIENT_CALC]],0)=0,PROPERTIES[[#This Row],[TE_COEFFICIENT_MANUAL]],PROPERTIES[[#This Row],[TE_COEFFICIENT_CALC]]),3)</f>
        <v>0.3</v>
      </c>
      <c r="U679" s="11">
        <v>25</v>
      </c>
      <c r="V679" s="9">
        <v>0</v>
      </c>
      <c r="W679" s="9">
        <v>0</v>
      </c>
      <c r="X679" s="10">
        <v>0</v>
      </c>
      <c r="Y679" t="s">
        <v>917</v>
      </c>
      <c r="Z679" t="s">
        <v>903</v>
      </c>
      <c r="AA679" s="2" t="s">
        <v>921</v>
      </c>
      <c r="AB679" s="9" t="s">
        <v>1007</v>
      </c>
      <c r="AC679" s="9" t="s">
        <v>1008</v>
      </c>
      <c r="AD679" s="10" t="str">
        <f>SUBSTITUTE(SUBSTITUTE(PROPERTIES[[#This Row],[PURCHASECOST_VALUE]], "PURCHASECOST_", ""), "_VALUE", "")</f>
        <v>WAGON</v>
      </c>
      <c r="AE679" s="9" t="str" cm="1">
        <f t="array" ref="AE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9" s="2" t="b">
        <v>0</v>
      </c>
      <c r="AX679"/>
      <c r="AY679"/>
      <c r="AZ679"/>
    </row>
    <row r="680" spans="1:52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606</v>
      </c>
      <c r="H680">
        <v>55</v>
      </c>
      <c r="I680">
        <v>7</v>
      </c>
      <c r="J680" s="2" t="s">
        <v>32</v>
      </c>
      <c r="K680" s="39">
        <f>_xlfn.XLOOKUP("LOADINGSPEEDDEF_"&amp;PROPERTIES[[#This Row],[LOADINGSPEED]],LOADINGSPEEDDEF[TYPE],LOADINGSPEEDDEF[SPEED])</f>
        <v>20</v>
      </c>
      <c r="L680">
        <v>70</v>
      </c>
      <c r="M680">
        <v>0</v>
      </c>
      <c r="N680" s="33">
        <v>25</v>
      </c>
      <c r="O680">
        <v>0</v>
      </c>
      <c r="P680">
        <v>100</v>
      </c>
      <c r="Q680" s="30">
        <v>0</v>
      </c>
      <c r="R680" s="29">
        <f>IFERROR(PROPERTIES[[#This Row],[TE_STARTING_KN]]/(PROPERTIES[[#This Row],[WEIGHT]]*9.81),0)</f>
        <v>0</v>
      </c>
      <c r="S680" s="29">
        <v>0.3</v>
      </c>
      <c r="T680" s="26">
        <f>ROUND(IF(IFERROR(PROPERTIES[[#This Row],[TE_COEFFICIENT_CALC]],0)=0,PROPERTIES[[#This Row],[TE_COEFFICIENT_MANUAL]],PROPERTIES[[#This Row],[TE_COEFFICIENT_CALC]]),3)</f>
        <v>0.3</v>
      </c>
      <c r="U680" s="11">
        <v>25</v>
      </c>
      <c r="V680" s="9">
        <v>0</v>
      </c>
      <c r="W680" s="9">
        <v>0</v>
      </c>
      <c r="X680" s="10">
        <v>0</v>
      </c>
      <c r="Y680" t="s">
        <v>914</v>
      </c>
      <c r="Z680" t="s">
        <v>903</v>
      </c>
      <c r="AA680" s="2" t="s">
        <v>921</v>
      </c>
      <c r="AB680" s="9" t="s">
        <v>1007</v>
      </c>
      <c r="AC680" s="9" t="s">
        <v>1008</v>
      </c>
      <c r="AD680" s="10" t="str">
        <f>SUBSTITUTE(SUBSTITUTE(PROPERTIES[[#This Row],[PURCHASECOST_VALUE]], "PURCHASECOST_", ""), "_VALUE", "")</f>
        <v>WAGON</v>
      </c>
      <c r="AE680" s="9" t="str" cm="1">
        <f t="array" ref="AE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0" s="2" t="b">
        <v>0</v>
      </c>
      <c r="AX680"/>
      <c r="AY680"/>
      <c r="AZ680"/>
    </row>
    <row r="681" spans="1:52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606</v>
      </c>
      <c r="H681">
        <v>55</v>
      </c>
      <c r="I681">
        <v>7</v>
      </c>
      <c r="J681" s="2" t="s">
        <v>32</v>
      </c>
      <c r="K681" s="39">
        <f>_xlfn.XLOOKUP("LOADINGSPEEDDEF_"&amp;PROPERTIES[[#This Row],[LOADINGSPEED]],LOADINGSPEEDDEF[TYPE],LOADINGSPEEDDEF[SPEED])</f>
        <v>20</v>
      </c>
      <c r="L681">
        <v>70</v>
      </c>
      <c r="M681">
        <v>0</v>
      </c>
      <c r="N681" s="33">
        <v>25</v>
      </c>
      <c r="O681">
        <v>0</v>
      </c>
      <c r="P681">
        <v>100</v>
      </c>
      <c r="Q681" s="30">
        <v>0</v>
      </c>
      <c r="R681" s="29">
        <f>IFERROR(PROPERTIES[[#This Row],[TE_STARTING_KN]]/(PROPERTIES[[#This Row],[WEIGHT]]*9.81),0)</f>
        <v>0</v>
      </c>
      <c r="S681" s="29">
        <v>0.3</v>
      </c>
      <c r="T681" s="26">
        <f>ROUND(IF(IFERROR(PROPERTIES[[#This Row],[TE_COEFFICIENT_CALC]],0)=0,PROPERTIES[[#This Row],[TE_COEFFICIENT_MANUAL]],PROPERTIES[[#This Row],[TE_COEFFICIENT_CALC]]),3)</f>
        <v>0.3</v>
      </c>
      <c r="U681" s="11">
        <v>25</v>
      </c>
      <c r="V681" s="9">
        <v>0</v>
      </c>
      <c r="W681" s="9">
        <v>0</v>
      </c>
      <c r="X681" s="10">
        <v>0</v>
      </c>
      <c r="Y681" t="s">
        <v>915</v>
      </c>
      <c r="Z681" t="s">
        <v>903</v>
      </c>
      <c r="AA681" s="2" t="s">
        <v>921</v>
      </c>
      <c r="AB681" s="9" t="s">
        <v>1007</v>
      </c>
      <c r="AC681" s="9" t="s">
        <v>1008</v>
      </c>
      <c r="AD681" s="10" t="str">
        <f>SUBSTITUTE(SUBSTITUTE(PROPERTIES[[#This Row],[PURCHASECOST_VALUE]], "PURCHASECOST_", ""), "_VALUE", "")</f>
        <v>WAGON</v>
      </c>
      <c r="AE681" s="9" t="str" cm="1">
        <f t="array" ref="AE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1" s="2" t="b">
        <v>0</v>
      </c>
      <c r="AX681"/>
      <c r="AY681"/>
      <c r="AZ681"/>
    </row>
    <row r="682" spans="1:52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605</v>
      </c>
      <c r="H682">
        <v>55</v>
      </c>
      <c r="I682">
        <v>7</v>
      </c>
      <c r="J682" s="2" t="s">
        <v>32</v>
      </c>
      <c r="K682" s="39">
        <f>_xlfn.XLOOKUP("LOADINGSPEEDDEF_"&amp;PROPERTIES[[#This Row],[LOADINGSPEED]],LOADINGSPEEDDEF[TYPE],LOADINGSPEEDDEF[SPEED])</f>
        <v>20</v>
      </c>
      <c r="L682">
        <v>60</v>
      </c>
      <c r="M682">
        <v>0</v>
      </c>
      <c r="N682" s="33">
        <v>25</v>
      </c>
      <c r="O682">
        <v>0</v>
      </c>
      <c r="P682">
        <v>100</v>
      </c>
      <c r="Q682" s="30">
        <v>0</v>
      </c>
      <c r="R682" s="29">
        <f>IFERROR(PROPERTIES[[#This Row],[TE_STARTING_KN]]/(PROPERTIES[[#This Row],[WEIGHT]]*9.81),0)</f>
        <v>0</v>
      </c>
      <c r="S682" s="29">
        <v>0.3</v>
      </c>
      <c r="T682" s="26">
        <f>ROUND(IF(IFERROR(PROPERTIES[[#This Row],[TE_COEFFICIENT_CALC]],0)=0,PROPERTIES[[#This Row],[TE_COEFFICIENT_MANUAL]],PROPERTIES[[#This Row],[TE_COEFFICIENT_CALC]]),3)</f>
        <v>0.3</v>
      </c>
      <c r="U682" s="11">
        <v>25</v>
      </c>
      <c r="V682" s="9">
        <v>0</v>
      </c>
      <c r="W682" s="9">
        <v>0</v>
      </c>
      <c r="X682" s="10">
        <v>0</v>
      </c>
      <c r="Y682" t="s">
        <v>914</v>
      </c>
      <c r="Z682" t="s">
        <v>903</v>
      </c>
      <c r="AA682" s="2" t="s">
        <v>921</v>
      </c>
      <c r="AB682" s="9" t="s">
        <v>1007</v>
      </c>
      <c r="AC682" s="9" t="s">
        <v>1008</v>
      </c>
      <c r="AD682" s="10" t="str">
        <f>SUBSTITUTE(SUBSTITUTE(PROPERTIES[[#This Row],[PURCHASECOST_VALUE]], "PURCHASECOST_", ""), "_VALUE", "")</f>
        <v>WAGON</v>
      </c>
      <c r="AE682" s="9" t="str" cm="1">
        <f t="array" ref="AE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2" s="2" t="b">
        <v>0</v>
      </c>
      <c r="AX682"/>
      <c r="AY682"/>
      <c r="AZ682"/>
    </row>
    <row r="683" spans="1:52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605</v>
      </c>
      <c r="H683">
        <v>55</v>
      </c>
      <c r="I683">
        <v>7</v>
      </c>
      <c r="J683" s="2" t="s">
        <v>32</v>
      </c>
      <c r="K683" s="39">
        <f>_xlfn.XLOOKUP("LOADINGSPEEDDEF_"&amp;PROPERTIES[[#This Row],[LOADINGSPEED]],LOADINGSPEEDDEF[TYPE],LOADINGSPEEDDEF[SPEED])</f>
        <v>20</v>
      </c>
      <c r="L683">
        <v>60</v>
      </c>
      <c r="M683">
        <v>0</v>
      </c>
      <c r="N683" s="33">
        <v>25</v>
      </c>
      <c r="O683">
        <v>0</v>
      </c>
      <c r="P683">
        <v>100</v>
      </c>
      <c r="Q683" s="30">
        <v>0</v>
      </c>
      <c r="R683" s="29">
        <f>IFERROR(PROPERTIES[[#This Row],[TE_STARTING_KN]]/(PROPERTIES[[#This Row],[WEIGHT]]*9.81),0)</f>
        <v>0</v>
      </c>
      <c r="S683" s="29">
        <v>0.3</v>
      </c>
      <c r="T683" s="26">
        <f>ROUND(IF(IFERROR(PROPERTIES[[#This Row],[TE_COEFFICIENT_CALC]],0)=0,PROPERTIES[[#This Row],[TE_COEFFICIENT_MANUAL]],PROPERTIES[[#This Row],[TE_COEFFICIENT_CALC]]),3)</f>
        <v>0.3</v>
      </c>
      <c r="U683" s="11">
        <v>25</v>
      </c>
      <c r="V683" s="9">
        <v>0</v>
      </c>
      <c r="W683" s="9">
        <v>0</v>
      </c>
      <c r="X683" s="10">
        <v>0</v>
      </c>
      <c r="Y683" t="s">
        <v>915</v>
      </c>
      <c r="Z683" t="s">
        <v>903</v>
      </c>
      <c r="AA683" s="2" t="s">
        <v>921</v>
      </c>
      <c r="AB683" s="9" t="s">
        <v>1007</v>
      </c>
      <c r="AC683" s="9" t="s">
        <v>1008</v>
      </c>
      <c r="AD683" s="10" t="str">
        <f>SUBSTITUTE(SUBSTITUTE(PROPERTIES[[#This Row],[PURCHASECOST_VALUE]], "PURCHASECOST_", ""), "_VALUE", "")</f>
        <v>WAGON</v>
      </c>
      <c r="AE683" s="9" t="str" cm="1">
        <f t="array" ref="AE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3" s="2" t="b">
        <v>0</v>
      </c>
      <c r="AX683"/>
      <c r="AY683"/>
      <c r="AZ683"/>
    </row>
    <row r="684" spans="1:52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 s="2" t="s">
        <v>32</v>
      </c>
      <c r="K684" s="39">
        <f>_xlfn.XLOOKUP("LOADINGSPEEDDEF_"&amp;PROPERTIES[[#This Row],[LOADINGSPEED]],LOADINGSPEEDDEF[TYPE],LOADINGSPEEDDEF[SPEED])</f>
        <v>20</v>
      </c>
      <c r="L684">
        <v>60</v>
      </c>
      <c r="M684">
        <v>0</v>
      </c>
      <c r="N684" s="33">
        <v>26</v>
      </c>
      <c r="O684">
        <v>0</v>
      </c>
      <c r="P684">
        <v>100</v>
      </c>
      <c r="Q684" s="30">
        <v>0</v>
      </c>
      <c r="R684" s="29">
        <f>IFERROR(PROPERTIES[[#This Row],[TE_STARTING_KN]]/(PROPERTIES[[#This Row],[WEIGHT]]*9.81),0)</f>
        <v>0</v>
      </c>
      <c r="S684" s="29">
        <v>0.3</v>
      </c>
      <c r="T684" s="26">
        <f>ROUND(IF(IFERROR(PROPERTIES[[#This Row],[TE_COEFFICIENT_CALC]],0)=0,PROPERTIES[[#This Row],[TE_COEFFICIENT_MANUAL]],PROPERTIES[[#This Row],[TE_COEFFICIENT_CALC]]),3)</f>
        <v>0.3</v>
      </c>
      <c r="U684" s="11">
        <v>25</v>
      </c>
      <c r="V684" s="9">
        <v>0</v>
      </c>
      <c r="W684" s="9">
        <v>0</v>
      </c>
      <c r="X684" s="10">
        <v>0</v>
      </c>
      <c r="Y684" t="s">
        <v>917</v>
      </c>
      <c r="Z684" t="s">
        <v>903</v>
      </c>
      <c r="AA684" s="2" t="s">
        <v>921</v>
      </c>
      <c r="AB684" s="9" t="s">
        <v>1007</v>
      </c>
      <c r="AC684" s="9" t="s">
        <v>1008</v>
      </c>
      <c r="AD684" s="10" t="str">
        <f>SUBSTITUTE(SUBSTITUTE(PROPERTIES[[#This Row],[PURCHASECOST_VALUE]], "PURCHASECOST_", ""), "_VALUE", "")</f>
        <v>WAGON</v>
      </c>
      <c r="AE684" s="9" t="str" cm="1">
        <f t="array" ref="AE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4" s="2" t="b">
        <v>0</v>
      </c>
      <c r="AX684"/>
      <c r="AY684"/>
      <c r="AZ684"/>
    </row>
    <row r="685" spans="1:52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 s="2" t="s">
        <v>32</v>
      </c>
      <c r="K685" s="39">
        <f>_xlfn.XLOOKUP("LOADINGSPEEDDEF_"&amp;PROPERTIES[[#This Row],[LOADINGSPEED]],LOADINGSPEEDDEF[TYPE],LOADINGSPEEDDEF[SPEED])</f>
        <v>20</v>
      </c>
      <c r="L685">
        <v>60</v>
      </c>
      <c r="M685">
        <v>0</v>
      </c>
      <c r="N685" s="33">
        <v>19</v>
      </c>
      <c r="O685">
        <v>0</v>
      </c>
      <c r="P685">
        <v>120</v>
      </c>
      <c r="Q685" s="30">
        <v>0</v>
      </c>
      <c r="R685" s="29">
        <f>IFERROR(PROPERTIES[[#This Row],[TE_STARTING_KN]]/(PROPERTIES[[#This Row],[WEIGHT]]*9.81),0)</f>
        <v>0</v>
      </c>
      <c r="S685" s="29">
        <v>0.3</v>
      </c>
      <c r="T685" s="26">
        <f>ROUND(IF(IFERROR(PROPERTIES[[#This Row],[TE_COEFFICIENT_CALC]],0)=0,PROPERTIES[[#This Row],[TE_COEFFICIENT_MANUAL]],PROPERTIES[[#This Row],[TE_COEFFICIENT_CALC]]),3)</f>
        <v>0.3</v>
      </c>
      <c r="U685" s="11">
        <v>25</v>
      </c>
      <c r="V685" s="9">
        <v>0</v>
      </c>
      <c r="W685" s="9">
        <v>0</v>
      </c>
      <c r="X685" s="10">
        <v>0</v>
      </c>
      <c r="Y685" t="s">
        <v>917</v>
      </c>
      <c r="Z685" t="s">
        <v>903</v>
      </c>
      <c r="AA685" s="2" t="s">
        <v>921</v>
      </c>
      <c r="AB685" s="9" t="s">
        <v>1007</v>
      </c>
      <c r="AC685" s="9" t="s">
        <v>1008</v>
      </c>
      <c r="AD685" s="10" t="str">
        <f>SUBSTITUTE(SUBSTITUTE(PROPERTIES[[#This Row],[PURCHASECOST_VALUE]], "PURCHASECOST_", ""), "_VALUE", "")</f>
        <v>WAGON</v>
      </c>
      <c r="AE685" s="9" t="str" cm="1">
        <f t="array" ref="AE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5" s="2" t="b">
        <v>0</v>
      </c>
      <c r="AX685"/>
      <c r="AY685"/>
      <c r="AZ685"/>
    </row>
    <row r="686" spans="1:52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 s="2" t="s">
        <v>32</v>
      </c>
      <c r="K686" s="39">
        <f>_xlfn.XLOOKUP("LOADINGSPEEDDEF_"&amp;PROPERTIES[[#This Row],[LOADINGSPEED]],LOADINGSPEEDDEF[TYPE],LOADINGSPEEDDEF[SPEED])</f>
        <v>20</v>
      </c>
      <c r="L686">
        <v>70</v>
      </c>
      <c r="M686">
        <v>0</v>
      </c>
      <c r="N686" s="33">
        <v>42</v>
      </c>
      <c r="O686">
        <v>0</v>
      </c>
      <c r="P686">
        <v>100</v>
      </c>
      <c r="Q686" s="30">
        <v>0</v>
      </c>
      <c r="R686" s="29">
        <f>IFERROR(PROPERTIES[[#This Row],[TE_STARTING_KN]]/(PROPERTIES[[#This Row],[WEIGHT]]*9.81),0)</f>
        <v>0</v>
      </c>
      <c r="S686" s="29">
        <v>0.3</v>
      </c>
      <c r="T686" s="26">
        <f>ROUND(IF(IFERROR(PROPERTIES[[#This Row],[TE_COEFFICIENT_CALC]],0)=0,PROPERTIES[[#This Row],[TE_COEFFICIENT_MANUAL]],PROPERTIES[[#This Row],[TE_COEFFICIENT_CALC]]),3)</f>
        <v>0.3</v>
      </c>
      <c r="U686" s="11">
        <v>25</v>
      </c>
      <c r="V686" s="9">
        <v>0</v>
      </c>
      <c r="W686" s="9">
        <v>0</v>
      </c>
      <c r="X686" s="10">
        <v>0</v>
      </c>
      <c r="Y686" t="s">
        <v>917</v>
      </c>
      <c r="Z686" t="s">
        <v>903</v>
      </c>
      <c r="AA686" s="2" t="s">
        <v>921</v>
      </c>
      <c r="AB686" s="9" t="s">
        <v>1007</v>
      </c>
      <c r="AC686" s="9" t="s">
        <v>1008</v>
      </c>
      <c r="AD686" s="10" t="str">
        <f>SUBSTITUTE(SUBSTITUTE(PROPERTIES[[#This Row],[PURCHASECOST_VALUE]], "PURCHASECOST_", ""), "_VALUE", "")</f>
        <v>WAGON</v>
      </c>
      <c r="AE686" s="9" t="str" cm="1">
        <f t="array" ref="AE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6" s="2" t="b">
        <v>0</v>
      </c>
      <c r="AX686"/>
      <c r="AY686"/>
      <c r="AZ686"/>
    </row>
    <row r="687" spans="1:52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 s="2" t="s">
        <v>32</v>
      </c>
      <c r="K687" s="39">
        <f>_xlfn.XLOOKUP("LOADINGSPEEDDEF_"&amp;PROPERTIES[[#This Row],[LOADINGSPEED]],LOADINGSPEEDDEF[TYPE],LOADINGSPEEDDEF[SPEED])</f>
        <v>20</v>
      </c>
      <c r="L687" t="s">
        <v>20</v>
      </c>
      <c r="M687">
        <v>0</v>
      </c>
      <c r="N687" s="33">
        <v>23</v>
      </c>
      <c r="O687">
        <v>0</v>
      </c>
      <c r="P687">
        <v>120</v>
      </c>
      <c r="Q687" s="30">
        <v>0</v>
      </c>
      <c r="R687" s="29">
        <f>IFERROR(PROPERTIES[[#This Row],[TE_STARTING_KN]]/(PROPERTIES[[#This Row],[WEIGHT]]*9.81),0)</f>
        <v>0</v>
      </c>
      <c r="S687" s="29">
        <v>0.3</v>
      </c>
      <c r="T687" s="26">
        <f>ROUND(IF(IFERROR(PROPERTIES[[#This Row],[TE_COEFFICIENT_CALC]],0)=0,PROPERTIES[[#This Row],[TE_COEFFICIENT_MANUAL]],PROPERTIES[[#This Row],[TE_COEFFICIENT_CALC]]),3)</f>
        <v>0.3</v>
      </c>
      <c r="U687" s="11">
        <v>25</v>
      </c>
      <c r="V687" s="9">
        <v>0</v>
      </c>
      <c r="W687" s="9">
        <v>0</v>
      </c>
      <c r="X687" s="10">
        <v>0</v>
      </c>
      <c r="Y687" t="s">
        <v>917</v>
      </c>
      <c r="Z687" t="s">
        <v>903</v>
      </c>
      <c r="AA687" s="2" t="s">
        <v>921</v>
      </c>
      <c r="AB687" s="9" t="s">
        <v>1007</v>
      </c>
      <c r="AC687" s="9" t="s">
        <v>1008</v>
      </c>
      <c r="AD687" s="10" t="str">
        <f>SUBSTITUTE(SUBSTITUTE(PROPERTIES[[#This Row],[PURCHASECOST_VALUE]], "PURCHASECOST_", ""), "_VALUE", "")</f>
        <v>WAGON</v>
      </c>
      <c r="AE687" s="9" t="str" cm="1">
        <f t="array" ref="AE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7" s="2" t="b">
        <v>0</v>
      </c>
      <c r="AX687"/>
      <c r="AY687"/>
      <c r="AZ687"/>
    </row>
    <row r="688" spans="1:52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 s="2" t="s">
        <v>32</v>
      </c>
      <c r="K688" s="39">
        <f>_xlfn.XLOOKUP("LOADINGSPEEDDEF_"&amp;PROPERTIES[[#This Row],[LOADINGSPEED]],LOADINGSPEEDDEF[TYPE],LOADINGSPEEDDEF[SPEED])</f>
        <v>20</v>
      </c>
      <c r="L688" t="s">
        <v>20</v>
      </c>
      <c r="M688">
        <v>0</v>
      </c>
      <c r="N688" s="33">
        <v>42</v>
      </c>
      <c r="O688">
        <v>0</v>
      </c>
      <c r="P688">
        <v>100</v>
      </c>
      <c r="Q688" s="30">
        <v>0</v>
      </c>
      <c r="R688" s="29">
        <f>IFERROR(PROPERTIES[[#This Row],[TE_STARTING_KN]]/(PROPERTIES[[#This Row],[WEIGHT]]*9.81),0)</f>
        <v>0</v>
      </c>
      <c r="S688" s="29">
        <v>0.3</v>
      </c>
      <c r="T688" s="26">
        <f>ROUND(IF(IFERROR(PROPERTIES[[#This Row],[TE_COEFFICIENT_CALC]],0)=0,PROPERTIES[[#This Row],[TE_COEFFICIENT_MANUAL]],PROPERTIES[[#This Row],[TE_COEFFICIENT_CALC]]),3)</f>
        <v>0.3</v>
      </c>
      <c r="U688" s="11">
        <v>25</v>
      </c>
      <c r="V688" s="9">
        <v>0</v>
      </c>
      <c r="W688" s="9">
        <v>0</v>
      </c>
      <c r="X688" s="10">
        <v>0</v>
      </c>
      <c r="Y688" t="s">
        <v>917</v>
      </c>
      <c r="Z688" t="s">
        <v>903</v>
      </c>
      <c r="AA688" s="2" t="s">
        <v>921</v>
      </c>
      <c r="AB688" s="9" t="s">
        <v>1007</v>
      </c>
      <c r="AC688" s="9" t="s">
        <v>1008</v>
      </c>
      <c r="AD688" s="10" t="str">
        <f>SUBSTITUTE(SUBSTITUTE(PROPERTIES[[#This Row],[PURCHASECOST_VALUE]], "PURCHASECOST_", ""), "_VALUE", "")</f>
        <v>WAGON</v>
      </c>
      <c r="AE688" s="9" t="str" cm="1">
        <f t="array" ref="AE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8" s="2" t="b">
        <v>0</v>
      </c>
      <c r="AX688"/>
      <c r="AY688"/>
      <c r="AZ688"/>
    </row>
    <row r="689" spans="1:52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598</v>
      </c>
      <c r="H689">
        <v>63</v>
      </c>
      <c r="I689">
        <v>8</v>
      </c>
      <c r="J689" s="2" t="s">
        <v>32</v>
      </c>
      <c r="K689" s="39">
        <f>_xlfn.XLOOKUP("LOADINGSPEEDDEF_"&amp;PROPERTIES[[#This Row],[LOADINGSPEED]],LOADINGSPEEDDEF[TYPE],LOADINGSPEEDDEF[SPEED])</f>
        <v>20</v>
      </c>
      <c r="L689" t="s">
        <v>20</v>
      </c>
      <c r="M689">
        <v>0</v>
      </c>
      <c r="N689" s="33">
        <v>27</v>
      </c>
      <c r="O689">
        <v>0</v>
      </c>
      <c r="P689">
        <v>120</v>
      </c>
      <c r="Q689" s="30">
        <v>0</v>
      </c>
      <c r="R689" s="29">
        <f>IFERROR(PROPERTIES[[#This Row],[TE_STARTING_KN]]/(PROPERTIES[[#This Row],[WEIGHT]]*9.81),0)</f>
        <v>0</v>
      </c>
      <c r="S689" s="29">
        <v>0.3</v>
      </c>
      <c r="T689" s="26">
        <f>ROUND(IF(IFERROR(PROPERTIES[[#This Row],[TE_COEFFICIENT_CALC]],0)=0,PROPERTIES[[#This Row],[TE_COEFFICIENT_MANUAL]],PROPERTIES[[#This Row],[TE_COEFFICIENT_CALC]]),3)</f>
        <v>0.3</v>
      </c>
      <c r="U689" s="11">
        <v>25</v>
      </c>
      <c r="V689" s="9">
        <v>0</v>
      </c>
      <c r="W689" s="9">
        <v>0</v>
      </c>
      <c r="X689" s="10">
        <v>0</v>
      </c>
      <c r="Y689" t="s">
        <v>914</v>
      </c>
      <c r="Z689" t="s">
        <v>903</v>
      </c>
      <c r="AA689" s="2" t="s">
        <v>921</v>
      </c>
      <c r="AB689" s="9" t="s">
        <v>1007</v>
      </c>
      <c r="AC689" s="9" t="s">
        <v>1008</v>
      </c>
      <c r="AD689" s="10" t="str">
        <f>SUBSTITUTE(SUBSTITUTE(PROPERTIES[[#This Row],[PURCHASECOST_VALUE]], "PURCHASECOST_", ""), "_VALUE", "")</f>
        <v>WAGON</v>
      </c>
      <c r="AE689" s="9" t="str" cm="1">
        <f t="array" ref="AE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9" s="2" t="b">
        <v>0</v>
      </c>
      <c r="AX689"/>
      <c r="AY689"/>
      <c r="AZ689"/>
    </row>
    <row r="690" spans="1:52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598</v>
      </c>
      <c r="H690">
        <v>63</v>
      </c>
      <c r="I690">
        <v>8</v>
      </c>
      <c r="J690" s="2" t="s">
        <v>32</v>
      </c>
      <c r="K690" s="39">
        <f>_xlfn.XLOOKUP("LOADINGSPEEDDEF_"&amp;PROPERTIES[[#This Row],[LOADINGSPEED]],LOADINGSPEEDDEF[TYPE],LOADINGSPEEDDEF[SPEED])</f>
        <v>20</v>
      </c>
      <c r="L690" t="s">
        <v>20</v>
      </c>
      <c r="M690">
        <v>0</v>
      </c>
      <c r="N690" s="33">
        <v>27</v>
      </c>
      <c r="O690">
        <v>0</v>
      </c>
      <c r="P690">
        <v>120</v>
      </c>
      <c r="Q690" s="30">
        <v>0</v>
      </c>
      <c r="R690" s="29">
        <f>IFERROR(PROPERTIES[[#This Row],[TE_STARTING_KN]]/(PROPERTIES[[#This Row],[WEIGHT]]*9.81),0)</f>
        <v>0</v>
      </c>
      <c r="S690" s="29">
        <v>0.3</v>
      </c>
      <c r="T690" s="26">
        <f>ROUND(IF(IFERROR(PROPERTIES[[#This Row],[TE_COEFFICIENT_CALC]],0)=0,PROPERTIES[[#This Row],[TE_COEFFICIENT_MANUAL]],PROPERTIES[[#This Row],[TE_COEFFICIENT_CALC]]),3)</f>
        <v>0.3</v>
      </c>
      <c r="U690" s="11">
        <v>25</v>
      </c>
      <c r="V690" s="9">
        <v>0</v>
      </c>
      <c r="W690" s="9">
        <v>0</v>
      </c>
      <c r="X690" s="10">
        <v>0</v>
      </c>
      <c r="Y690" t="s">
        <v>915</v>
      </c>
      <c r="Z690" t="s">
        <v>903</v>
      </c>
      <c r="AA690" s="2" t="s">
        <v>921</v>
      </c>
      <c r="AB690" s="9" t="s">
        <v>1007</v>
      </c>
      <c r="AC690" s="9" t="s">
        <v>1008</v>
      </c>
      <c r="AD690" s="10" t="str">
        <f>SUBSTITUTE(SUBSTITUTE(PROPERTIES[[#This Row],[PURCHASECOST_VALUE]], "PURCHASECOST_", ""), "_VALUE", "")</f>
        <v>WAGON</v>
      </c>
      <c r="AE690" s="9" t="str" cm="1">
        <f t="array" ref="AE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0" s="2" t="b">
        <v>0</v>
      </c>
      <c r="AX690"/>
      <c r="AY690"/>
      <c r="AZ690"/>
    </row>
    <row r="691" spans="1:52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 s="2" t="s">
        <v>32</v>
      </c>
      <c r="K691" s="39">
        <f>_xlfn.XLOOKUP("LOADINGSPEEDDEF_"&amp;PROPERTIES[[#This Row],[LOADINGSPEED]],LOADINGSPEEDDEF[TYPE],LOADINGSPEEDDEF[SPEED])</f>
        <v>20</v>
      </c>
      <c r="L691" t="s">
        <v>20</v>
      </c>
      <c r="M691">
        <v>0</v>
      </c>
      <c r="N691" s="33">
        <v>24</v>
      </c>
      <c r="O691">
        <v>0</v>
      </c>
      <c r="P691">
        <v>120</v>
      </c>
      <c r="Q691" s="30">
        <v>0</v>
      </c>
      <c r="R691" s="29">
        <f>IFERROR(PROPERTIES[[#This Row],[TE_STARTING_KN]]/(PROPERTIES[[#This Row],[WEIGHT]]*9.81),0)</f>
        <v>0</v>
      </c>
      <c r="S691" s="29">
        <v>0.3</v>
      </c>
      <c r="T691" s="26">
        <f>ROUND(IF(IFERROR(PROPERTIES[[#This Row],[TE_COEFFICIENT_CALC]],0)=0,PROPERTIES[[#This Row],[TE_COEFFICIENT_MANUAL]],PROPERTIES[[#This Row],[TE_COEFFICIENT_CALC]]),3)</f>
        <v>0.3</v>
      </c>
      <c r="U691" s="11">
        <v>25</v>
      </c>
      <c r="V691" s="9">
        <v>0</v>
      </c>
      <c r="W691" s="9">
        <v>0</v>
      </c>
      <c r="X691" s="10">
        <v>0</v>
      </c>
      <c r="Y691" t="s">
        <v>917</v>
      </c>
      <c r="Z691" t="s">
        <v>903</v>
      </c>
      <c r="AA691" s="2" t="s">
        <v>921</v>
      </c>
      <c r="AB691" s="9" t="s">
        <v>1007</v>
      </c>
      <c r="AC691" s="9" t="s">
        <v>1008</v>
      </c>
      <c r="AD691" s="10" t="str">
        <f>SUBSTITUTE(SUBSTITUTE(PROPERTIES[[#This Row],[PURCHASECOST_VALUE]], "PURCHASECOST_", ""), "_VALUE", "")</f>
        <v>WAGON</v>
      </c>
      <c r="AE691" s="9" t="str" cm="1">
        <f t="array" ref="AE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1" s="2" t="b">
        <v>0</v>
      </c>
      <c r="AX691"/>
      <c r="AY691"/>
      <c r="AZ691"/>
    </row>
    <row r="692" spans="1:52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 s="2" t="s">
        <v>32</v>
      </c>
      <c r="K692" s="39">
        <f>_xlfn.XLOOKUP("LOADINGSPEEDDEF_"&amp;PROPERTIES[[#This Row],[LOADINGSPEED]],LOADINGSPEEDDEF[TYPE],LOADINGSPEEDDEF[SPEED])</f>
        <v>20</v>
      </c>
      <c r="L692" t="s">
        <v>20</v>
      </c>
      <c r="M692">
        <v>0</v>
      </c>
      <c r="N692" s="33">
        <v>22</v>
      </c>
      <c r="O692">
        <v>0</v>
      </c>
      <c r="P692">
        <v>120</v>
      </c>
      <c r="Q692" s="30">
        <v>0</v>
      </c>
      <c r="R692" s="29">
        <f>IFERROR(PROPERTIES[[#This Row],[TE_STARTING_KN]]/(PROPERTIES[[#This Row],[WEIGHT]]*9.81),0)</f>
        <v>0</v>
      </c>
      <c r="S692" s="29">
        <v>0.3</v>
      </c>
      <c r="T692" s="26">
        <f>ROUND(IF(IFERROR(PROPERTIES[[#This Row],[TE_COEFFICIENT_CALC]],0)=0,PROPERTIES[[#This Row],[TE_COEFFICIENT_MANUAL]],PROPERTIES[[#This Row],[TE_COEFFICIENT_CALC]]),3)</f>
        <v>0.3</v>
      </c>
      <c r="U692" s="11">
        <v>25</v>
      </c>
      <c r="V692" s="9">
        <v>0</v>
      </c>
      <c r="W692" s="9">
        <v>0</v>
      </c>
      <c r="X692" s="10">
        <v>0</v>
      </c>
      <c r="Y692" t="s">
        <v>917</v>
      </c>
      <c r="Z692" t="s">
        <v>903</v>
      </c>
      <c r="AA692" s="2" t="s">
        <v>921</v>
      </c>
      <c r="AB692" s="9" t="s">
        <v>1007</v>
      </c>
      <c r="AC692" s="9" t="s">
        <v>1008</v>
      </c>
      <c r="AD692" s="10" t="str">
        <f>SUBSTITUTE(SUBSTITUTE(PROPERTIES[[#This Row],[PURCHASECOST_VALUE]], "PURCHASECOST_", ""), "_VALUE", "")</f>
        <v>WAGON</v>
      </c>
      <c r="AE692" s="9" t="str" cm="1">
        <f t="array" ref="AE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2" s="2" t="b">
        <v>0</v>
      </c>
      <c r="AX692"/>
      <c r="AY692"/>
      <c r="AZ692"/>
    </row>
    <row r="693" spans="1:52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606</v>
      </c>
      <c r="H693">
        <v>65</v>
      </c>
      <c r="I693">
        <v>8</v>
      </c>
      <c r="J693" s="2" t="s">
        <v>32</v>
      </c>
      <c r="K693" s="39">
        <f>_xlfn.XLOOKUP("LOADINGSPEEDDEF_"&amp;PROPERTIES[[#This Row],[LOADINGSPEED]],LOADINGSPEEDDEF[TYPE],LOADINGSPEEDDEF[SPEED])</f>
        <v>20</v>
      </c>
      <c r="L693" t="s">
        <v>20</v>
      </c>
      <c r="M693">
        <v>0</v>
      </c>
      <c r="N693" s="33">
        <v>27</v>
      </c>
      <c r="O693">
        <v>0</v>
      </c>
      <c r="P693">
        <v>120</v>
      </c>
      <c r="Q693" s="30">
        <v>0</v>
      </c>
      <c r="R693" s="29">
        <f>IFERROR(PROPERTIES[[#This Row],[TE_STARTING_KN]]/(PROPERTIES[[#This Row],[WEIGHT]]*9.81),0)</f>
        <v>0</v>
      </c>
      <c r="S693" s="29">
        <v>0.3</v>
      </c>
      <c r="T693" s="26">
        <f>ROUND(IF(IFERROR(PROPERTIES[[#This Row],[TE_COEFFICIENT_CALC]],0)=0,PROPERTIES[[#This Row],[TE_COEFFICIENT_MANUAL]],PROPERTIES[[#This Row],[TE_COEFFICIENT_CALC]]),3)</f>
        <v>0.3</v>
      </c>
      <c r="U693" s="11">
        <v>25</v>
      </c>
      <c r="V693" s="9">
        <v>0</v>
      </c>
      <c r="W693" s="9">
        <v>0</v>
      </c>
      <c r="X693" s="10">
        <v>0</v>
      </c>
      <c r="Y693" t="s">
        <v>914</v>
      </c>
      <c r="Z693" t="s">
        <v>903</v>
      </c>
      <c r="AA693" s="2" t="s">
        <v>921</v>
      </c>
      <c r="AB693" s="9" t="s">
        <v>1007</v>
      </c>
      <c r="AC693" s="9" t="s">
        <v>1008</v>
      </c>
      <c r="AD693" s="10" t="str">
        <f>SUBSTITUTE(SUBSTITUTE(PROPERTIES[[#This Row],[PURCHASECOST_VALUE]], "PURCHASECOST_", ""), "_VALUE", "")</f>
        <v>WAGON</v>
      </c>
      <c r="AE693" s="9" t="str" cm="1">
        <f t="array" ref="AE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3" s="2" t="b">
        <v>0</v>
      </c>
      <c r="AX693"/>
      <c r="AY693"/>
      <c r="AZ693"/>
    </row>
    <row r="694" spans="1:52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606</v>
      </c>
      <c r="H694">
        <v>65</v>
      </c>
      <c r="I694">
        <v>8</v>
      </c>
      <c r="J694" s="2" t="s">
        <v>32</v>
      </c>
      <c r="K694" s="39">
        <f>_xlfn.XLOOKUP("LOADINGSPEEDDEF_"&amp;PROPERTIES[[#This Row],[LOADINGSPEED]],LOADINGSPEEDDEF[TYPE],LOADINGSPEEDDEF[SPEED])</f>
        <v>20</v>
      </c>
      <c r="L694" t="s">
        <v>20</v>
      </c>
      <c r="M694">
        <v>0</v>
      </c>
      <c r="N694" s="33">
        <v>27</v>
      </c>
      <c r="O694">
        <v>0</v>
      </c>
      <c r="P694">
        <v>120</v>
      </c>
      <c r="Q694" s="30">
        <v>0</v>
      </c>
      <c r="R694" s="29">
        <f>IFERROR(PROPERTIES[[#This Row],[TE_STARTING_KN]]/(PROPERTIES[[#This Row],[WEIGHT]]*9.81),0)</f>
        <v>0</v>
      </c>
      <c r="S694" s="29">
        <v>0.3</v>
      </c>
      <c r="T694" s="26">
        <f>ROUND(IF(IFERROR(PROPERTIES[[#This Row],[TE_COEFFICIENT_CALC]],0)=0,PROPERTIES[[#This Row],[TE_COEFFICIENT_MANUAL]],PROPERTIES[[#This Row],[TE_COEFFICIENT_CALC]]),3)</f>
        <v>0.3</v>
      </c>
      <c r="U694" s="11">
        <v>25</v>
      </c>
      <c r="V694" s="9">
        <v>0</v>
      </c>
      <c r="W694" s="9">
        <v>0</v>
      </c>
      <c r="X694" s="10">
        <v>0</v>
      </c>
      <c r="Y694" t="s">
        <v>915</v>
      </c>
      <c r="Z694" t="s">
        <v>903</v>
      </c>
      <c r="AA694" s="2" t="s">
        <v>921</v>
      </c>
      <c r="AB694" s="9" t="s">
        <v>1007</v>
      </c>
      <c r="AC694" s="9" t="s">
        <v>1008</v>
      </c>
      <c r="AD694" s="10" t="str">
        <f>SUBSTITUTE(SUBSTITUTE(PROPERTIES[[#This Row],[PURCHASECOST_VALUE]], "PURCHASECOST_", ""), "_VALUE", "")</f>
        <v>WAGON</v>
      </c>
      <c r="AE694" s="9" t="str" cm="1">
        <f t="array" ref="AE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4" s="2" t="b">
        <v>0</v>
      </c>
      <c r="AX694"/>
      <c r="AY694"/>
      <c r="AZ694"/>
    </row>
    <row r="695" spans="1:52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605</v>
      </c>
      <c r="H695">
        <v>65</v>
      </c>
      <c r="I695">
        <v>8</v>
      </c>
      <c r="J695" s="2" t="s">
        <v>32</v>
      </c>
      <c r="K695" s="39">
        <f>_xlfn.XLOOKUP("LOADINGSPEEDDEF_"&amp;PROPERTIES[[#This Row],[LOADINGSPEED]],LOADINGSPEEDDEF[TYPE],LOADINGSPEEDDEF[SPEED])</f>
        <v>20</v>
      </c>
      <c r="L695" t="s">
        <v>20</v>
      </c>
      <c r="M695">
        <v>0</v>
      </c>
      <c r="N695" s="33">
        <v>26</v>
      </c>
      <c r="O695">
        <v>0</v>
      </c>
      <c r="P695">
        <v>120</v>
      </c>
      <c r="Q695" s="30">
        <v>0</v>
      </c>
      <c r="R695" s="29">
        <f>IFERROR(PROPERTIES[[#This Row],[TE_STARTING_KN]]/(PROPERTIES[[#This Row],[WEIGHT]]*9.81),0)</f>
        <v>0</v>
      </c>
      <c r="S695" s="29">
        <v>0.3</v>
      </c>
      <c r="T695" s="26">
        <f>ROUND(IF(IFERROR(PROPERTIES[[#This Row],[TE_COEFFICIENT_CALC]],0)=0,PROPERTIES[[#This Row],[TE_COEFFICIENT_MANUAL]],PROPERTIES[[#This Row],[TE_COEFFICIENT_CALC]]),3)</f>
        <v>0.3</v>
      </c>
      <c r="U695" s="11">
        <v>25</v>
      </c>
      <c r="V695" s="9">
        <v>0</v>
      </c>
      <c r="W695" s="9">
        <v>0</v>
      </c>
      <c r="X695" s="10">
        <v>0</v>
      </c>
      <c r="Y695" t="s">
        <v>914</v>
      </c>
      <c r="Z695" t="s">
        <v>903</v>
      </c>
      <c r="AA695" s="2" t="s">
        <v>921</v>
      </c>
      <c r="AB695" s="9" t="s">
        <v>1007</v>
      </c>
      <c r="AC695" s="9" t="s">
        <v>1008</v>
      </c>
      <c r="AD695" s="10" t="str">
        <f>SUBSTITUTE(SUBSTITUTE(PROPERTIES[[#This Row],[PURCHASECOST_VALUE]], "PURCHASECOST_", ""), "_VALUE", "")</f>
        <v>WAGON</v>
      </c>
      <c r="AE695" s="9" t="str" cm="1">
        <f t="array" ref="AE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5" s="2" t="b">
        <v>0</v>
      </c>
      <c r="AX695"/>
      <c r="AY695"/>
      <c r="AZ695"/>
    </row>
    <row r="696" spans="1:52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605</v>
      </c>
      <c r="H696">
        <v>65</v>
      </c>
      <c r="I696">
        <v>8</v>
      </c>
      <c r="J696" s="2" t="s">
        <v>32</v>
      </c>
      <c r="K696" s="39">
        <f>_xlfn.XLOOKUP("LOADINGSPEEDDEF_"&amp;PROPERTIES[[#This Row],[LOADINGSPEED]],LOADINGSPEEDDEF[TYPE],LOADINGSPEEDDEF[SPEED])</f>
        <v>20</v>
      </c>
      <c r="L696" t="s">
        <v>20</v>
      </c>
      <c r="M696">
        <v>0</v>
      </c>
      <c r="N696" s="33">
        <v>26</v>
      </c>
      <c r="O696">
        <v>0</v>
      </c>
      <c r="P696">
        <v>120</v>
      </c>
      <c r="Q696" s="30">
        <v>0</v>
      </c>
      <c r="R696" s="29">
        <f>IFERROR(PROPERTIES[[#This Row],[TE_STARTING_KN]]/(PROPERTIES[[#This Row],[WEIGHT]]*9.81),0)</f>
        <v>0</v>
      </c>
      <c r="S696" s="29">
        <v>0.3</v>
      </c>
      <c r="T696" s="26">
        <f>ROUND(IF(IFERROR(PROPERTIES[[#This Row],[TE_COEFFICIENT_CALC]],0)=0,PROPERTIES[[#This Row],[TE_COEFFICIENT_MANUAL]],PROPERTIES[[#This Row],[TE_COEFFICIENT_CALC]]),3)</f>
        <v>0.3</v>
      </c>
      <c r="U696" s="11">
        <v>25</v>
      </c>
      <c r="V696" s="9">
        <v>0</v>
      </c>
      <c r="W696" s="9">
        <v>0</v>
      </c>
      <c r="X696" s="10">
        <v>0</v>
      </c>
      <c r="Y696" t="s">
        <v>917</v>
      </c>
      <c r="Z696" t="s">
        <v>903</v>
      </c>
      <c r="AA696" s="2" t="s">
        <v>921</v>
      </c>
      <c r="AB696" s="9" t="s">
        <v>1007</v>
      </c>
      <c r="AC696" s="9" t="s">
        <v>1008</v>
      </c>
      <c r="AD696" s="10" t="str">
        <f>SUBSTITUTE(SUBSTITUTE(PROPERTIES[[#This Row],[PURCHASECOST_VALUE]], "PURCHASECOST_", ""), "_VALUE", "")</f>
        <v>WAGON</v>
      </c>
      <c r="AE696" s="9" t="str" cm="1">
        <f t="array" ref="AE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6" s="2" t="b">
        <v>0</v>
      </c>
      <c r="AX696"/>
      <c r="AY696"/>
      <c r="AZ696"/>
    </row>
    <row r="697" spans="1:52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 s="2" t="s">
        <v>32</v>
      </c>
      <c r="K697" s="39">
        <f>_xlfn.XLOOKUP("LOADINGSPEEDDEF_"&amp;PROPERTIES[[#This Row],[LOADINGSPEED]],LOADINGSPEEDDEF[TYPE],LOADINGSPEEDDEF[SPEED])</f>
        <v>20</v>
      </c>
      <c r="L697" t="s">
        <v>20</v>
      </c>
      <c r="M697">
        <v>0</v>
      </c>
      <c r="N697" s="33">
        <v>28</v>
      </c>
      <c r="O697">
        <v>0</v>
      </c>
      <c r="P697">
        <v>160</v>
      </c>
      <c r="Q697" s="30">
        <v>0</v>
      </c>
      <c r="R697" s="29">
        <f>IFERROR(PROPERTIES[[#This Row],[TE_STARTING_KN]]/(PROPERTIES[[#This Row],[WEIGHT]]*9.81),0)</f>
        <v>0</v>
      </c>
      <c r="S697" s="29">
        <v>0.3</v>
      </c>
      <c r="T697" s="26">
        <f>ROUND(IF(IFERROR(PROPERTIES[[#This Row],[TE_COEFFICIENT_CALC]],0)=0,PROPERTIES[[#This Row],[TE_COEFFICIENT_MANUAL]],PROPERTIES[[#This Row],[TE_COEFFICIENT_CALC]]),3)</f>
        <v>0.3</v>
      </c>
      <c r="U697" s="11">
        <v>25</v>
      </c>
      <c r="V697" s="9">
        <v>0</v>
      </c>
      <c r="W697" s="9">
        <v>0</v>
      </c>
      <c r="X697" s="10">
        <v>0</v>
      </c>
      <c r="Y697" t="s">
        <v>917</v>
      </c>
      <c r="Z697" t="s">
        <v>903</v>
      </c>
      <c r="AA697" s="2" t="s">
        <v>921</v>
      </c>
      <c r="AB697" s="9" t="s">
        <v>1007</v>
      </c>
      <c r="AC697" s="9" t="s">
        <v>1008</v>
      </c>
      <c r="AD697" s="10" t="str">
        <f>SUBSTITUTE(SUBSTITUTE(PROPERTIES[[#This Row],[PURCHASECOST_VALUE]], "PURCHASECOST_", ""), "_VALUE", "")</f>
        <v>WAGON</v>
      </c>
      <c r="AE697" s="9" t="str" cm="1">
        <f t="array" ref="AE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7" s="2" t="b">
        <v>0</v>
      </c>
      <c r="AX697"/>
      <c r="AY697"/>
      <c r="AZ697"/>
    </row>
    <row r="698" spans="1:52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 s="2" t="s">
        <v>32</v>
      </c>
      <c r="K698" s="39">
        <f>_xlfn.XLOOKUP("LOADINGSPEEDDEF_"&amp;PROPERTIES[[#This Row],[LOADINGSPEED]],LOADINGSPEEDDEF[TYPE],LOADINGSPEEDDEF[SPEED])</f>
        <v>20</v>
      </c>
      <c r="L698" t="s">
        <v>20</v>
      </c>
      <c r="M698">
        <v>0</v>
      </c>
      <c r="N698" s="33">
        <v>22</v>
      </c>
      <c r="O698">
        <v>0</v>
      </c>
      <c r="P698">
        <v>160</v>
      </c>
      <c r="Q698" s="30">
        <v>0</v>
      </c>
      <c r="R698" s="29">
        <f>IFERROR(PROPERTIES[[#This Row],[TE_STARTING_KN]]/(PROPERTIES[[#This Row],[WEIGHT]]*9.81),0)</f>
        <v>0</v>
      </c>
      <c r="S698" s="29">
        <v>0.3</v>
      </c>
      <c r="T698" s="26">
        <f>ROUND(IF(IFERROR(PROPERTIES[[#This Row],[TE_COEFFICIENT_CALC]],0)=0,PROPERTIES[[#This Row],[TE_COEFFICIENT_MANUAL]],PROPERTIES[[#This Row],[TE_COEFFICIENT_CALC]]),3)</f>
        <v>0.3</v>
      </c>
      <c r="U698" s="11">
        <v>25</v>
      </c>
      <c r="V698" s="9">
        <v>0</v>
      </c>
      <c r="W698" s="9">
        <v>0</v>
      </c>
      <c r="X698" s="10">
        <v>0</v>
      </c>
      <c r="Y698" t="s">
        <v>917</v>
      </c>
      <c r="Z698" t="s">
        <v>903</v>
      </c>
      <c r="AA698" s="2" t="s">
        <v>921</v>
      </c>
      <c r="AB698" s="9" t="s">
        <v>1007</v>
      </c>
      <c r="AC698" s="9" t="s">
        <v>1008</v>
      </c>
      <c r="AD698" s="10" t="str">
        <f>SUBSTITUTE(SUBSTITUTE(PROPERTIES[[#This Row],[PURCHASECOST_VALUE]], "PURCHASECOST_", ""), "_VALUE", "")</f>
        <v>WAGON</v>
      </c>
      <c r="AE698" s="9" t="str" cm="1">
        <f t="array" ref="AE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8" s="2" t="b">
        <v>0</v>
      </c>
      <c r="AX698"/>
      <c r="AY698"/>
      <c r="AZ698"/>
    </row>
    <row r="699" spans="1:52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 s="2" t="s">
        <v>32</v>
      </c>
      <c r="K699" s="39">
        <f>_xlfn.XLOOKUP("LOADINGSPEEDDEF_"&amp;PROPERTIES[[#This Row],[LOADINGSPEED]],LOADINGSPEEDDEF[TYPE],LOADINGSPEEDDEF[SPEED])</f>
        <v>20</v>
      </c>
      <c r="L699" t="s">
        <v>20</v>
      </c>
      <c r="M699">
        <v>0</v>
      </c>
      <c r="N699" s="33">
        <v>40</v>
      </c>
      <c r="O699">
        <v>0</v>
      </c>
      <c r="P699">
        <v>120</v>
      </c>
      <c r="Q699" s="30">
        <v>0</v>
      </c>
      <c r="R699" s="29">
        <f>IFERROR(PROPERTIES[[#This Row],[TE_STARTING_KN]]/(PROPERTIES[[#This Row],[WEIGHT]]*9.81),0)</f>
        <v>0</v>
      </c>
      <c r="S699" s="29">
        <v>0.3</v>
      </c>
      <c r="T699" s="26">
        <f>ROUND(IF(IFERROR(PROPERTIES[[#This Row],[TE_COEFFICIENT_CALC]],0)=0,PROPERTIES[[#This Row],[TE_COEFFICIENT_MANUAL]],PROPERTIES[[#This Row],[TE_COEFFICIENT_CALC]]),3)</f>
        <v>0.3</v>
      </c>
      <c r="U699" s="11">
        <v>25</v>
      </c>
      <c r="V699" s="9">
        <v>0</v>
      </c>
      <c r="W699" s="9">
        <v>0</v>
      </c>
      <c r="X699" s="10">
        <v>0</v>
      </c>
      <c r="Y699" t="s">
        <v>917</v>
      </c>
      <c r="Z699" t="s">
        <v>903</v>
      </c>
      <c r="AA699" s="2" t="s">
        <v>921</v>
      </c>
      <c r="AB699" s="9" t="s">
        <v>1007</v>
      </c>
      <c r="AC699" s="9" t="s">
        <v>1008</v>
      </c>
      <c r="AD699" s="10" t="str">
        <f>SUBSTITUTE(SUBSTITUTE(PROPERTIES[[#This Row],[PURCHASECOST_VALUE]], "PURCHASECOST_", ""), "_VALUE", "")</f>
        <v>WAGON</v>
      </c>
      <c r="AE699" s="9" t="str" cm="1">
        <f t="array" ref="AE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9" s="2" t="b">
        <v>0</v>
      </c>
      <c r="AX699"/>
      <c r="AY699"/>
      <c r="AZ699"/>
    </row>
    <row r="700" spans="1:52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 s="2" t="s">
        <v>32</v>
      </c>
      <c r="K700" s="39">
        <f>_xlfn.XLOOKUP("LOADINGSPEEDDEF_"&amp;PROPERTIES[[#This Row],[LOADINGSPEED]],LOADINGSPEEDDEF[TYPE],LOADINGSPEEDDEF[SPEED])</f>
        <v>20</v>
      </c>
      <c r="L700" t="s">
        <v>20</v>
      </c>
      <c r="M700">
        <v>0</v>
      </c>
      <c r="N700" s="33">
        <v>25</v>
      </c>
      <c r="O700">
        <v>0</v>
      </c>
      <c r="P700">
        <v>120</v>
      </c>
      <c r="Q700" s="30">
        <v>0</v>
      </c>
      <c r="R700" s="29">
        <f>IFERROR(PROPERTIES[[#This Row],[TE_STARTING_KN]]/(PROPERTIES[[#This Row],[WEIGHT]]*9.81),0)</f>
        <v>0</v>
      </c>
      <c r="S700" s="29">
        <v>0.3</v>
      </c>
      <c r="T700" s="26">
        <f>ROUND(IF(IFERROR(PROPERTIES[[#This Row],[TE_COEFFICIENT_CALC]],0)=0,PROPERTIES[[#This Row],[TE_COEFFICIENT_MANUAL]],PROPERTIES[[#This Row],[TE_COEFFICIENT_CALC]]),3)</f>
        <v>0.3</v>
      </c>
      <c r="U700" s="11">
        <v>25</v>
      </c>
      <c r="V700" s="9">
        <v>0</v>
      </c>
      <c r="W700" s="9">
        <v>0</v>
      </c>
      <c r="X700" s="10">
        <v>0</v>
      </c>
      <c r="Y700" t="s">
        <v>917</v>
      </c>
      <c r="Z700" t="s">
        <v>903</v>
      </c>
      <c r="AA700" s="2" t="s">
        <v>921</v>
      </c>
      <c r="AB700" s="9" t="s">
        <v>1007</v>
      </c>
      <c r="AC700" s="9" t="s">
        <v>1008</v>
      </c>
      <c r="AD700" s="10" t="str">
        <f>SUBSTITUTE(SUBSTITUTE(PROPERTIES[[#This Row],[PURCHASECOST_VALUE]], "PURCHASECOST_", ""), "_VALUE", "")</f>
        <v>WAGON</v>
      </c>
      <c r="AE700" s="9" t="str" cm="1">
        <f t="array" ref="AE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0" s="2" t="b">
        <v>0</v>
      </c>
      <c r="AX700"/>
      <c r="AY700"/>
      <c r="AZ700"/>
    </row>
    <row r="701" spans="1:52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 s="2" t="s">
        <v>32</v>
      </c>
      <c r="K701" s="39">
        <f>_xlfn.XLOOKUP("LOADINGSPEEDDEF_"&amp;PROPERTIES[[#This Row],[LOADINGSPEED]],LOADINGSPEEDDEF[TYPE],LOADINGSPEEDDEF[SPEED])</f>
        <v>20</v>
      </c>
      <c r="L701" t="s">
        <v>20</v>
      </c>
      <c r="M701">
        <v>0</v>
      </c>
      <c r="N701" s="33">
        <v>50</v>
      </c>
      <c r="O701">
        <v>0</v>
      </c>
      <c r="P701">
        <v>100</v>
      </c>
      <c r="Q701" s="30">
        <v>0</v>
      </c>
      <c r="R701" s="29">
        <f>IFERROR(PROPERTIES[[#This Row],[TE_STARTING_KN]]/(PROPERTIES[[#This Row],[WEIGHT]]*9.81),0)</f>
        <v>0</v>
      </c>
      <c r="S701" s="29">
        <v>0.3</v>
      </c>
      <c r="T701" s="26">
        <f>ROUND(IF(IFERROR(PROPERTIES[[#This Row],[TE_COEFFICIENT_CALC]],0)=0,PROPERTIES[[#This Row],[TE_COEFFICIENT_MANUAL]],PROPERTIES[[#This Row],[TE_COEFFICIENT_CALC]]),3)</f>
        <v>0.3</v>
      </c>
      <c r="U701" s="11">
        <v>25</v>
      </c>
      <c r="V701" s="9">
        <v>0</v>
      </c>
      <c r="W701" s="9">
        <v>0</v>
      </c>
      <c r="X701" s="10">
        <v>0</v>
      </c>
      <c r="Y701" t="s">
        <v>917</v>
      </c>
      <c r="Z701" t="s">
        <v>903</v>
      </c>
      <c r="AA701" s="2" t="s">
        <v>921</v>
      </c>
      <c r="AB701" s="9" t="s">
        <v>1007</v>
      </c>
      <c r="AC701" s="9" t="s">
        <v>1008</v>
      </c>
      <c r="AD701" s="10" t="str">
        <f>SUBSTITUTE(SUBSTITUTE(PROPERTIES[[#This Row],[PURCHASECOST_VALUE]], "PURCHASECOST_", ""), "_VALUE", "")</f>
        <v>WAGON</v>
      </c>
      <c r="AE701" s="9" t="str" cm="1">
        <f t="array" ref="AE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1" s="2" t="b">
        <v>0</v>
      </c>
      <c r="AX701"/>
      <c r="AY701"/>
      <c r="AZ701"/>
    </row>
    <row r="702" spans="1:52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 s="2" t="s">
        <v>32</v>
      </c>
      <c r="K702" s="39">
        <f>_xlfn.XLOOKUP("LOADINGSPEEDDEF_"&amp;PROPERTIES[[#This Row],[LOADINGSPEED]],LOADINGSPEEDDEF[TYPE],LOADINGSPEEDDEF[SPEED])</f>
        <v>20</v>
      </c>
      <c r="L702" t="s">
        <v>20</v>
      </c>
      <c r="M702">
        <v>0</v>
      </c>
      <c r="N702" s="33">
        <v>23</v>
      </c>
      <c r="O702">
        <v>0</v>
      </c>
      <c r="P702">
        <v>160</v>
      </c>
      <c r="Q702" s="30">
        <v>0</v>
      </c>
      <c r="R702" s="29">
        <f>IFERROR(PROPERTIES[[#This Row],[TE_STARTING_KN]]/(PROPERTIES[[#This Row],[WEIGHT]]*9.81),0)</f>
        <v>0</v>
      </c>
      <c r="S702" s="29">
        <v>0.3</v>
      </c>
      <c r="T702" s="26">
        <f>ROUND(IF(IFERROR(PROPERTIES[[#This Row],[TE_COEFFICIENT_CALC]],0)=0,PROPERTIES[[#This Row],[TE_COEFFICIENT_MANUAL]],PROPERTIES[[#This Row],[TE_COEFFICIENT_CALC]]),3)</f>
        <v>0.3</v>
      </c>
      <c r="U702" s="11">
        <v>25</v>
      </c>
      <c r="V702" s="9">
        <v>0</v>
      </c>
      <c r="W702" s="9">
        <v>0</v>
      </c>
      <c r="X702" s="10">
        <v>0</v>
      </c>
      <c r="Y702" t="s">
        <v>917</v>
      </c>
      <c r="Z702" t="s">
        <v>903</v>
      </c>
      <c r="AA702" s="2" t="s">
        <v>921</v>
      </c>
      <c r="AB702" s="9" t="s">
        <v>1007</v>
      </c>
      <c r="AC702" s="9" t="s">
        <v>1008</v>
      </c>
      <c r="AD702" s="10" t="str">
        <f>SUBSTITUTE(SUBSTITUTE(PROPERTIES[[#This Row],[PURCHASECOST_VALUE]], "PURCHASECOST_", ""), "_VALUE", "")</f>
        <v>WAGON</v>
      </c>
      <c r="AE702" s="9" t="str" cm="1">
        <f t="array" ref="AE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2" s="2" t="b">
        <v>0</v>
      </c>
      <c r="AX702"/>
      <c r="AY702"/>
      <c r="AZ702"/>
    </row>
    <row r="703" spans="1:52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 s="2" t="s">
        <v>32</v>
      </c>
      <c r="K703" s="39">
        <f>_xlfn.XLOOKUP("LOADINGSPEEDDEF_"&amp;PROPERTIES[[#This Row],[LOADINGSPEED]],LOADINGSPEEDDEF[TYPE],LOADINGSPEEDDEF[SPEED])</f>
        <v>20</v>
      </c>
      <c r="L703" t="s">
        <v>20</v>
      </c>
      <c r="M703">
        <v>0</v>
      </c>
      <c r="N703" s="33">
        <v>42</v>
      </c>
      <c r="O703">
        <v>0</v>
      </c>
      <c r="P703">
        <v>140</v>
      </c>
      <c r="Q703" s="30">
        <v>0</v>
      </c>
      <c r="R703" s="29">
        <f>IFERROR(PROPERTIES[[#This Row],[TE_STARTING_KN]]/(PROPERTIES[[#This Row],[WEIGHT]]*9.81),0)</f>
        <v>0</v>
      </c>
      <c r="S703" s="29">
        <v>0.3</v>
      </c>
      <c r="T703" s="26">
        <f>ROUND(IF(IFERROR(PROPERTIES[[#This Row],[TE_COEFFICIENT_CALC]],0)=0,PROPERTIES[[#This Row],[TE_COEFFICIENT_MANUAL]],PROPERTIES[[#This Row],[TE_COEFFICIENT_CALC]]),3)</f>
        <v>0.3</v>
      </c>
      <c r="U703" s="11">
        <v>25</v>
      </c>
      <c r="V703" s="9">
        <v>0</v>
      </c>
      <c r="W703" s="9">
        <v>0</v>
      </c>
      <c r="X703" s="10">
        <v>0</v>
      </c>
      <c r="Y703" t="s">
        <v>917</v>
      </c>
      <c r="Z703" t="s">
        <v>903</v>
      </c>
      <c r="AA703" s="2" t="s">
        <v>921</v>
      </c>
      <c r="AB703" s="9" t="s">
        <v>1007</v>
      </c>
      <c r="AC703" s="9" t="s">
        <v>1008</v>
      </c>
      <c r="AD703" s="10" t="str">
        <f>SUBSTITUTE(SUBSTITUTE(PROPERTIES[[#This Row],[PURCHASECOST_VALUE]], "PURCHASECOST_", ""), "_VALUE", "")</f>
        <v>WAGON</v>
      </c>
      <c r="AE703" s="9" t="str" cm="1">
        <f t="array" ref="AE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3" s="2" t="b">
        <v>0</v>
      </c>
      <c r="AX703"/>
      <c r="AY703"/>
      <c r="AZ703"/>
    </row>
    <row r="704" spans="1:52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598</v>
      </c>
      <c r="H704">
        <v>74</v>
      </c>
      <c r="I704">
        <v>8</v>
      </c>
      <c r="J704" s="2" t="s">
        <v>32</v>
      </c>
      <c r="K704" s="39">
        <f>_xlfn.XLOOKUP("LOADINGSPEEDDEF_"&amp;PROPERTIES[[#This Row],[LOADINGSPEED]],LOADINGSPEEDDEF[TYPE],LOADINGSPEEDDEF[SPEED])</f>
        <v>20</v>
      </c>
      <c r="L704" t="s">
        <v>20</v>
      </c>
      <c r="M704">
        <v>0</v>
      </c>
      <c r="N704" s="33">
        <v>27</v>
      </c>
      <c r="O704">
        <v>0</v>
      </c>
      <c r="P704">
        <v>160</v>
      </c>
      <c r="Q704" s="30">
        <v>0</v>
      </c>
      <c r="R704" s="29">
        <f>IFERROR(PROPERTIES[[#This Row],[TE_STARTING_KN]]/(PROPERTIES[[#This Row],[WEIGHT]]*9.81),0)</f>
        <v>0</v>
      </c>
      <c r="S704" s="29">
        <v>0.3</v>
      </c>
      <c r="T704" s="26">
        <f>ROUND(IF(IFERROR(PROPERTIES[[#This Row],[TE_COEFFICIENT_CALC]],0)=0,PROPERTIES[[#This Row],[TE_COEFFICIENT_MANUAL]],PROPERTIES[[#This Row],[TE_COEFFICIENT_CALC]]),3)</f>
        <v>0.3</v>
      </c>
      <c r="U704" s="11">
        <v>25</v>
      </c>
      <c r="V704" s="9">
        <v>0</v>
      </c>
      <c r="W704" s="9">
        <v>0</v>
      </c>
      <c r="X704" s="10">
        <v>0</v>
      </c>
      <c r="Y704" t="s">
        <v>914</v>
      </c>
      <c r="Z704" t="s">
        <v>903</v>
      </c>
      <c r="AA704" s="2" t="s">
        <v>921</v>
      </c>
      <c r="AB704" s="9" t="s">
        <v>1007</v>
      </c>
      <c r="AC704" s="9" t="s">
        <v>1008</v>
      </c>
      <c r="AD704" s="10" t="str">
        <f>SUBSTITUTE(SUBSTITUTE(PROPERTIES[[#This Row],[PURCHASECOST_VALUE]], "PURCHASECOST_", ""), "_VALUE", "")</f>
        <v>WAGON</v>
      </c>
      <c r="AE704" s="9" t="str" cm="1">
        <f t="array" ref="AE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4" s="2" t="b">
        <v>0</v>
      </c>
      <c r="AX704"/>
      <c r="AY704"/>
      <c r="AZ704"/>
    </row>
    <row r="705" spans="1:52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598</v>
      </c>
      <c r="H705">
        <v>74</v>
      </c>
      <c r="I705">
        <v>8</v>
      </c>
      <c r="J705" s="2" t="s">
        <v>32</v>
      </c>
      <c r="K705" s="39">
        <f>_xlfn.XLOOKUP("LOADINGSPEEDDEF_"&amp;PROPERTIES[[#This Row],[LOADINGSPEED]],LOADINGSPEEDDEF[TYPE],LOADINGSPEEDDEF[SPEED])</f>
        <v>20</v>
      </c>
      <c r="L705" t="s">
        <v>20</v>
      </c>
      <c r="M705">
        <v>0</v>
      </c>
      <c r="N705" s="33">
        <v>27</v>
      </c>
      <c r="O705">
        <v>0</v>
      </c>
      <c r="P705">
        <v>160</v>
      </c>
      <c r="Q705" s="30">
        <v>0</v>
      </c>
      <c r="R705" s="29">
        <f>IFERROR(PROPERTIES[[#This Row],[TE_STARTING_KN]]/(PROPERTIES[[#This Row],[WEIGHT]]*9.81),0)</f>
        <v>0</v>
      </c>
      <c r="S705" s="29">
        <v>0.3</v>
      </c>
      <c r="T705" s="26">
        <f>ROUND(IF(IFERROR(PROPERTIES[[#This Row],[TE_COEFFICIENT_CALC]],0)=0,PROPERTIES[[#This Row],[TE_COEFFICIENT_MANUAL]],PROPERTIES[[#This Row],[TE_COEFFICIENT_CALC]]),3)</f>
        <v>0.3</v>
      </c>
      <c r="U705" s="11">
        <v>25</v>
      </c>
      <c r="V705" s="9">
        <v>0</v>
      </c>
      <c r="W705" s="9">
        <v>0</v>
      </c>
      <c r="X705" s="10">
        <v>0</v>
      </c>
      <c r="Y705" t="s">
        <v>915</v>
      </c>
      <c r="Z705" t="s">
        <v>903</v>
      </c>
      <c r="AA705" s="2" t="s">
        <v>921</v>
      </c>
      <c r="AB705" s="9" t="s">
        <v>1007</v>
      </c>
      <c r="AC705" s="9" t="s">
        <v>1008</v>
      </c>
      <c r="AD705" s="10" t="str">
        <f>SUBSTITUTE(SUBSTITUTE(PROPERTIES[[#This Row],[PURCHASECOST_VALUE]], "PURCHASECOST_", ""), "_VALUE", "")</f>
        <v>WAGON</v>
      </c>
      <c r="AE705" s="9" t="str" cm="1">
        <f t="array" ref="AE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5" s="2" t="b">
        <v>0</v>
      </c>
      <c r="AX705"/>
      <c r="AY705"/>
      <c r="AZ705"/>
    </row>
    <row r="706" spans="1:52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 s="2" t="s">
        <v>32</v>
      </c>
      <c r="K706" s="39">
        <f>_xlfn.XLOOKUP("LOADINGSPEEDDEF_"&amp;PROPERTIES[[#This Row],[LOADINGSPEED]],LOADINGSPEEDDEF[TYPE],LOADINGSPEEDDEF[SPEED])</f>
        <v>20</v>
      </c>
      <c r="L706" t="s">
        <v>20</v>
      </c>
      <c r="M706">
        <v>0</v>
      </c>
      <c r="N706" s="33">
        <v>24</v>
      </c>
      <c r="O706">
        <v>0</v>
      </c>
      <c r="P706">
        <v>160</v>
      </c>
      <c r="Q706" s="30">
        <v>0</v>
      </c>
      <c r="R706" s="29">
        <f>IFERROR(PROPERTIES[[#This Row],[TE_STARTING_KN]]/(PROPERTIES[[#This Row],[WEIGHT]]*9.81),0)</f>
        <v>0</v>
      </c>
      <c r="S706" s="29">
        <v>0.3</v>
      </c>
      <c r="T706" s="26">
        <f>ROUND(IF(IFERROR(PROPERTIES[[#This Row],[TE_COEFFICIENT_CALC]],0)=0,PROPERTIES[[#This Row],[TE_COEFFICIENT_MANUAL]],PROPERTIES[[#This Row],[TE_COEFFICIENT_CALC]]),3)</f>
        <v>0.3</v>
      </c>
      <c r="U706" s="11">
        <v>25</v>
      </c>
      <c r="V706" s="9">
        <v>0</v>
      </c>
      <c r="W706" s="9">
        <v>0</v>
      </c>
      <c r="X706" s="10">
        <v>0</v>
      </c>
      <c r="Y706" t="s">
        <v>917</v>
      </c>
      <c r="Z706" t="s">
        <v>903</v>
      </c>
      <c r="AA706" s="2" t="s">
        <v>921</v>
      </c>
      <c r="AB706" s="9" t="s">
        <v>1007</v>
      </c>
      <c r="AC706" s="9" t="s">
        <v>1008</v>
      </c>
      <c r="AD706" s="10" t="str">
        <f>SUBSTITUTE(SUBSTITUTE(PROPERTIES[[#This Row],[PURCHASECOST_VALUE]], "PURCHASECOST_", ""), "_VALUE", "")</f>
        <v>WAGON</v>
      </c>
      <c r="AE706" s="9" t="str" cm="1">
        <f t="array" ref="AE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6" s="2" t="b">
        <v>0</v>
      </c>
      <c r="AX706"/>
      <c r="AY706"/>
      <c r="AZ706"/>
    </row>
    <row r="707" spans="1:52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 s="2" t="s">
        <v>32</v>
      </c>
      <c r="K707" s="39">
        <f>_xlfn.XLOOKUP("LOADINGSPEEDDEF_"&amp;PROPERTIES[[#This Row],[LOADINGSPEED]],LOADINGSPEEDDEF[TYPE],LOADINGSPEEDDEF[SPEED])</f>
        <v>20</v>
      </c>
      <c r="L707" t="s">
        <v>20</v>
      </c>
      <c r="M707">
        <v>0</v>
      </c>
      <c r="N707" s="33">
        <v>22</v>
      </c>
      <c r="O707">
        <v>0</v>
      </c>
      <c r="P707">
        <v>160</v>
      </c>
      <c r="Q707" s="30">
        <v>0</v>
      </c>
      <c r="R707" s="29">
        <f>IFERROR(PROPERTIES[[#This Row],[TE_STARTING_KN]]/(PROPERTIES[[#This Row],[WEIGHT]]*9.81),0)</f>
        <v>0</v>
      </c>
      <c r="S707" s="29">
        <v>0.3</v>
      </c>
      <c r="T707" s="26">
        <f>ROUND(IF(IFERROR(PROPERTIES[[#This Row],[TE_COEFFICIENT_CALC]],0)=0,PROPERTIES[[#This Row],[TE_COEFFICIENT_MANUAL]],PROPERTIES[[#This Row],[TE_COEFFICIENT_CALC]]),3)</f>
        <v>0.3</v>
      </c>
      <c r="U707" s="11">
        <v>25</v>
      </c>
      <c r="V707" s="9">
        <v>0</v>
      </c>
      <c r="W707" s="9">
        <v>0</v>
      </c>
      <c r="X707" s="10">
        <v>0</v>
      </c>
      <c r="Y707" t="s">
        <v>917</v>
      </c>
      <c r="Z707" t="s">
        <v>903</v>
      </c>
      <c r="AA707" s="2" t="s">
        <v>921</v>
      </c>
      <c r="AB707" s="9" t="s">
        <v>1007</v>
      </c>
      <c r="AC707" s="9" t="s">
        <v>1008</v>
      </c>
      <c r="AD707" s="10" t="str">
        <f>SUBSTITUTE(SUBSTITUTE(PROPERTIES[[#This Row],[PURCHASECOST_VALUE]], "PURCHASECOST_", ""), "_VALUE", "")</f>
        <v>WAGON</v>
      </c>
      <c r="AE707" s="9" t="str" cm="1">
        <f t="array" ref="AE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7" s="2" t="b">
        <v>0</v>
      </c>
      <c r="AX707"/>
      <c r="AY707"/>
      <c r="AZ707"/>
    </row>
    <row r="708" spans="1:52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606</v>
      </c>
      <c r="H708">
        <v>75</v>
      </c>
      <c r="I708">
        <v>8</v>
      </c>
      <c r="J708" s="2" t="s">
        <v>32</v>
      </c>
      <c r="K708" s="39">
        <f>_xlfn.XLOOKUP("LOADINGSPEEDDEF_"&amp;PROPERTIES[[#This Row],[LOADINGSPEED]],LOADINGSPEEDDEF[TYPE],LOADINGSPEEDDEF[SPEED])</f>
        <v>20</v>
      </c>
      <c r="L708" t="s">
        <v>20</v>
      </c>
      <c r="M708">
        <v>0</v>
      </c>
      <c r="N708" s="33">
        <v>27</v>
      </c>
      <c r="O708">
        <v>0</v>
      </c>
      <c r="P708">
        <v>160</v>
      </c>
      <c r="Q708" s="30">
        <v>0</v>
      </c>
      <c r="R708" s="29">
        <f>IFERROR(PROPERTIES[[#This Row],[TE_STARTING_KN]]/(PROPERTIES[[#This Row],[WEIGHT]]*9.81),0)</f>
        <v>0</v>
      </c>
      <c r="S708" s="29">
        <v>0.3</v>
      </c>
      <c r="T708" s="26">
        <f>ROUND(IF(IFERROR(PROPERTIES[[#This Row],[TE_COEFFICIENT_CALC]],0)=0,PROPERTIES[[#This Row],[TE_COEFFICIENT_MANUAL]],PROPERTIES[[#This Row],[TE_COEFFICIENT_CALC]]),3)</f>
        <v>0.3</v>
      </c>
      <c r="U708" s="11">
        <v>25</v>
      </c>
      <c r="V708" s="9">
        <v>0</v>
      </c>
      <c r="W708" s="9">
        <v>0</v>
      </c>
      <c r="X708" s="10">
        <v>0</v>
      </c>
      <c r="Y708" t="s">
        <v>914</v>
      </c>
      <c r="Z708" t="s">
        <v>903</v>
      </c>
      <c r="AA708" s="2" t="s">
        <v>921</v>
      </c>
      <c r="AB708" s="9" t="s">
        <v>1007</v>
      </c>
      <c r="AC708" s="9" t="s">
        <v>1008</v>
      </c>
      <c r="AD708" s="10" t="str">
        <f>SUBSTITUTE(SUBSTITUTE(PROPERTIES[[#This Row],[PURCHASECOST_VALUE]], "PURCHASECOST_", ""), "_VALUE", "")</f>
        <v>WAGON</v>
      </c>
      <c r="AE708" s="9" t="str" cm="1">
        <f t="array" ref="AE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8" s="2" t="b">
        <v>0</v>
      </c>
      <c r="AX708"/>
      <c r="AY708"/>
      <c r="AZ708"/>
    </row>
    <row r="709" spans="1:52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606</v>
      </c>
      <c r="H709">
        <v>75</v>
      </c>
      <c r="I709">
        <v>8</v>
      </c>
      <c r="J709" s="2" t="s">
        <v>32</v>
      </c>
      <c r="K709" s="39">
        <f>_xlfn.XLOOKUP("LOADINGSPEEDDEF_"&amp;PROPERTIES[[#This Row],[LOADINGSPEED]],LOADINGSPEEDDEF[TYPE],LOADINGSPEEDDEF[SPEED])</f>
        <v>20</v>
      </c>
      <c r="L709" t="s">
        <v>20</v>
      </c>
      <c r="M709">
        <v>0</v>
      </c>
      <c r="N709" s="33">
        <v>27</v>
      </c>
      <c r="O709">
        <v>0</v>
      </c>
      <c r="P709">
        <v>160</v>
      </c>
      <c r="Q709" s="30">
        <v>0</v>
      </c>
      <c r="R709" s="29">
        <f>IFERROR(PROPERTIES[[#This Row],[TE_STARTING_KN]]/(PROPERTIES[[#This Row],[WEIGHT]]*9.81),0)</f>
        <v>0</v>
      </c>
      <c r="S709" s="29">
        <v>0.3</v>
      </c>
      <c r="T709" s="26">
        <f>ROUND(IF(IFERROR(PROPERTIES[[#This Row],[TE_COEFFICIENT_CALC]],0)=0,PROPERTIES[[#This Row],[TE_COEFFICIENT_MANUAL]],PROPERTIES[[#This Row],[TE_COEFFICIENT_CALC]]),3)</f>
        <v>0.3</v>
      </c>
      <c r="U709" s="11">
        <v>25</v>
      </c>
      <c r="V709" s="9">
        <v>0</v>
      </c>
      <c r="W709" s="9">
        <v>0</v>
      </c>
      <c r="X709" s="10">
        <v>0</v>
      </c>
      <c r="Y709" t="s">
        <v>915</v>
      </c>
      <c r="Z709" t="s">
        <v>903</v>
      </c>
      <c r="AA709" s="2" t="s">
        <v>921</v>
      </c>
      <c r="AB709" s="9" t="s">
        <v>1007</v>
      </c>
      <c r="AC709" s="9" t="s">
        <v>1008</v>
      </c>
      <c r="AD709" s="10" t="str">
        <f>SUBSTITUTE(SUBSTITUTE(PROPERTIES[[#This Row],[PURCHASECOST_VALUE]], "PURCHASECOST_", ""), "_VALUE", "")</f>
        <v>WAGON</v>
      </c>
      <c r="AE709" s="9" t="str" cm="1">
        <f t="array" ref="AE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9" s="2" t="b">
        <v>0</v>
      </c>
      <c r="AX709"/>
      <c r="AY709"/>
      <c r="AZ709"/>
    </row>
    <row r="710" spans="1:52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605</v>
      </c>
      <c r="H710">
        <v>75</v>
      </c>
      <c r="I710">
        <v>8</v>
      </c>
      <c r="J710" s="2" t="s">
        <v>32</v>
      </c>
      <c r="K710" s="39">
        <f>_xlfn.XLOOKUP("LOADINGSPEEDDEF_"&amp;PROPERTIES[[#This Row],[LOADINGSPEED]],LOADINGSPEEDDEF[TYPE],LOADINGSPEEDDEF[SPEED])</f>
        <v>20</v>
      </c>
      <c r="L710" t="s">
        <v>20</v>
      </c>
      <c r="M710">
        <v>0</v>
      </c>
      <c r="N710" s="33">
        <v>26</v>
      </c>
      <c r="O710">
        <v>0</v>
      </c>
      <c r="P710">
        <v>160</v>
      </c>
      <c r="Q710" s="30">
        <v>0</v>
      </c>
      <c r="R710" s="29">
        <f>IFERROR(PROPERTIES[[#This Row],[TE_STARTING_KN]]/(PROPERTIES[[#This Row],[WEIGHT]]*9.81),0)</f>
        <v>0</v>
      </c>
      <c r="S710" s="29">
        <v>0.3</v>
      </c>
      <c r="T710" s="26">
        <f>ROUND(IF(IFERROR(PROPERTIES[[#This Row],[TE_COEFFICIENT_CALC]],0)=0,PROPERTIES[[#This Row],[TE_COEFFICIENT_MANUAL]],PROPERTIES[[#This Row],[TE_COEFFICIENT_CALC]]),3)</f>
        <v>0.3</v>
      </c>
      <c r="U710" s="11">
        <v>25</v>
      </c>
      <c r="V710" s="9">
        <v>0</v>
      </c>
      <c r="W710" s="9">
        <v>0</v>
      </c>
      <c r="X710" s="10">
        <v>0</v>
      </c>
      <c r="Y710" t="s">
        <v>914</v>
      </c>
      <c r="Z710" t="s">
        <v>903</v>
      </c>
      <c r="AA710" s="2" t="s">
        <v>921</v>
      </c>
      <c r="AB710" s="9" t="s">
        <v>1007</v>
      </c>
      <c r="AC710" s="9" t="s">
        <v>1008</v>
      </c>
      <c r="AD710" s="10" t="str">
        <f>SUBSTITUTE(SUBSTITUTE(PROPERTIES[[#This Row],[PURCHASECOST_VALUE]], "PURCHASECOST_", ""), "_VALUE", "")</f>
        <v>WAGON</v>
      </c>
      <c r="AE710" s="9" t="str" cm="1">
        <f t="array" ref="AE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0" s="2" t="b">
        <v>0</v>
      </c>
      <c r="AX710"/>
      <c r="AY710"/>
      <c r="AZ710"/>
    </row>
    <row r="711" spans="1:52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605</v>
      </c>
      <c r="H711">
        <v>75</v>
      </c>
      <c r="I711">
        <v>8</v>
      </c>
      <c r="J711" s="2" t="s">
        <v>32</v>
      </c>
      <c r="K711" s="39">
        <f>_xlfn.XLOOKUP("LOADINGSPEEDDEF_"&amp;PROPERTIES[[#This Row],[LOADINGSPEED]],LOADINGSPEEDDEF[TYPE],LOADINGSPEEDDEF[SPEED])</f>
        <v>20</v>
      </c>
      <c r="L711" t="s">
        <v>20</v>
      </c>
      <c r="M711">
        <v>0</v>
      </c>
      <c r="N711" s="33">
        <v>26</v>
      </c>
      <c r="O711">
        <v>0</v>
      </c>
      <c r="P711">
        <v>160</v>
      </c>
      <c r="Q711" s="30">
        <v>0</v>
      </c>
      <c r="R711" s="29">
        <f>IFERROR(PROPERTIES[[#This Row],[TE_STARTING_KN]]/(PROPERTIES[[#This Row],[WEIGHT]]*9.81),0)</f>
        <v>0</v>
      </c>
      <c r="S711" s="29">
        <v>0.3</v>
      </c>
      <c r="T711" s="26">
        <f>ROUND(IF(IFERROR(PROPERTIES[[#This Row],[TE_COEFFICIENT_CALC]],0)=0,PROPERTIES[[#This Row],[TE_COEFFICIENT_MANUAL]],PROPERTIES[[#This Row],[TE_COEFFICIENT_CALC]]),3)</f>
        <v>0.3</v>
      </c>
      <c r="U711" s="11">
        <v>25</v>
      </c>
      <c r="V711" s="9">
        <v>0</v>
      </c>
      <c r="W711" s="9">
        <v>0</v>
      </c>
      <c r="X711" s="10">
        <v>0</v>
      </c>
      <c r="Y711" t="s">
        <v>917</v>
      </c>
      <c r="Z711" t="s">
        <v>903</v>
      </c>
      <c r="AA711" s="2" t="s">
        <v>921</v>
      </c>
      <c r="AB711" s="9" t="s">
        <v>1007</v>
      </c>
      <c r="AC711" s="9" t="s">
        <v>1008</v>
      </c>
      <c r="AD711" s="10" t="str">
        <f>SUBSTITUTE(SUBSTITUTE(PROPERTIES[[#This Row],[PURCHASECOST_VALUE]], "PURCHASECOST_", ""), "_VALUE", "")</f>
        <v>WAGON</v>
      </c>
      <c r="AE711" s="9" t="str" cm="1">
        <f t="array" ref="AE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1" s="2" t="b">
        <v>0</v>
      </c>
      <c r="AX711"/>
      <c r="AY711"/>
      <c r="AZ711"/>
    </row>
    <row r="712" spans="1:52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 s="2" t="s">
        <v>32</v>
      </c>
      <c r="K712" s="39">
        <f>_xlfn.XLOOKUP("LOADINGSPEEDDEF_"&amp;PROPERTIES[[#This Row],[LOADINGSPEED]],LOADINGSPEEDDEF[TYPE],LOADINGSPEEDDEF[SPEED])</f>
        <v>20</v>
      </c>
      <c r="L712" t="s">
        <v>20</v>
      </c>
      <c r="M712">
        <v>0</v>
      </c>
      <c r="N712" s="33">
        <v>28</v>
      </c>
      <c r="O712">
        <v>0</v>
      </c>
      <c r="P712">
        <v>160</v>
      </c>
      <c r="Q712" s="30">
        <v>0</v>
      </c>
      <c r="R712" s="29">
        <f>IFERROR(PROPERTIES[[#This Row],[TE_STARTING_KN]]/(PROPERTIES[[#This Row],[WEIGHT]]*9.81),0)</f>
        <v>0</v>
      </c>
      <c r="S712" s="29">
        <v>0.3</v>
      </c>
      <c r="T712" s="26">
        <f>ROUND(IF(IFERROR(PROPERTIES[[#This Row],[TE_COEFFICIENT_CALC]],0)=0,PROPERTIES[[#This Row],[TE_COEFFICIENT_MANUAL]],PROPERTIES[[#This Row],[TE_COEFFICIENT_CALC]]),3)</f>
        <v>0.3</v>
      </c>
      <c r="U712" s="11">
        <v>25</v>
      </c>
      <c r="V712" s="9">
        <v>0</v>
      </c>
      <c r="W712" s="9">
        <v>0</v>
      </c>
      <c r="X712" s="10">
        <v>0</v>
      </c>
      <c r="Y712" t="s">
        <v>917</v>
      </c>
      <c r="Z712" t="s">
        <v>903</v>
      </c>
      <c r="AA712" s="2" t="s">
        <v>921</v>
      </c>
      <c r="AB712" s="9" t="s">
        <v>1007</v>
      </c>
      <c r="AC712" s="9" t="s">
        <v>1008</v>
      </c>
      <c r="AD712" s="10" t="str">
        <f>SUBSTITUTE(SUBSTITUTE(PROPERTIES[[#This Row],[PURCHASECOST_VALUE]], "PURCHASECOST_", ""), "_VALUE", "")</f>
        <v>WAGON</v>
      </c>
      <c r="AE712" s="9" t="str" cm="1">
        <f t="array" ref="AE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2" s="2" t="b">
        <v>0</v>
      </c>
      <c r="AX712"/>
      <c r="AY712"/>
      <c r="AZ712"/>
    </row>
    <row r="713" spans="1:52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 s="2" t="s">
        <v>32</v>
      </c>
      <c r="K713" s="39">
        <f>_xlfn.XLOOKUP("LOADINGSPEEDDEF_"&amp;PROPERTIES[[#This Row],[LOADINGSPEED]],LOADINGSPEEDDEF[TYPE],LOADINGSPEEDDEF[SPEED])</f>
        <v>20</v>
      </c>
      <c r="L713" t="s">
        <v>20</v>
      </c>
      <c r="M713">
        <v>0</v>
      </c>
      <c r="N713" s="33">
        <v>22</v>
      </c>
      <c r="O713">
        <v>0</v>
      </c>
      <c r="P713">
        <v>160</v>
      </c>
      <c r="Q713" s="30">
        <v>0</v>
      </c>
      <c r="R713" s="29">
        <f>IFERROR(PROPERTIES[[#This Row],[TE_STARTING_KN]]/(PROPERTIES[[#This Row],[WEIGHT]]*9.81),0)</f>
        <v>0</v>
      </c>
      <c r="S713" s="29">
        <v>0.3</v>
      </c>
      <c r="T713" s="26">
        <f>ROUND(IF(IFERROR(PROPERTIES[[#This Row],[TE_COEFFICIENT_CALC]],0)=0,PROPERTIES[[#This Row],[TE_COEFFICIENT_MANUAL]],PROPERTIES[[#This Row],[TE_COEFFICIENT_CALC]]),3)</f>
        <v>0.3</v>
      </c>
      <c r="U713" s="11">
        <v>25</v>
      </c>
      <c r="V713" s="9">
        <v>0</v>
      </c>
      <c r="W713" s="9">
        <v>0</v>
      </c>
      <c r="X713" s="10">
        <v>0</v>
      </c>
      <c r="Y713" t="s">
        <v>917</v>
      </c>
      <c r="Z713" t="s">
        <v>903</v>
      </c>
      <c r="AA713" s="2" t="s">
        <v>921</v>
      </c>
      <c r="AB713" s="9" t="s">
        <v>1007</v>
      </c>
      <c r="AC713" s="9" t="s">
        <v>1008</v>
      </c>
      <c r="AD713" s="10" t="str">
        <f>SUBSTITUTE(SUBSTITUTE(PROPERTIES[[#This Row],[PURCHASECOST_VALUE]], "PURCHASECOST_", ""), "_VALUE", "")</f>
        <v>WAGON</v>
      </c>
      <c r="AE713" s="9" t="str" cm="1">
        <f t="array" ref="AE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3" s="2" t="b">
        <v>0</v>
      </c>
      <c r="AX713"/>
      <c r="AY713"/>
      <c r="AZ713"/>
    </row>
    <row r="714" spans="1:52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 s="2" t="s">
        <v>32</v>
      </c>
      <c r="K714" s="39">
        <f>_xlfn.XLOOKUP("LOADINGSPEEDDEF_"&amp;PROPERTIES[[#This Row],[LOADINGSPEED]],LOADINGSPEEDDEF[TYPE],LOADINGSPEEDDEF[SPEED])</f>
        <v>20</v>
      </c>
      <c r="L714" t="s">
        <v>20</v>
      </c>
      <c r="M714">
        <v>0</v>
      </c>
      <c r="N714" s="33">
        <v>40</v>
      </c>
      <c r="O714">
        <v>0</v>
      </c>
      <c r="P714">
        <v>160</v>
      </c>
      <c r="Q714" s="30">
        <v>0</v>
      </c>
      <c r="R714" s="29">
        <f>IFERROR(PROPERTIES[[#This Row],[TE_STARTING_KN]]/(PROPERTIES[[#This Row],[WEIGHT]]*9.81),0)</f>
        <v>0</v>
      </c>
      <c r="S714" s="29">
        <v>0.3</v>
      </c>
      <c r="T714" s="26">
        <f>ROUND(IF(IFERROR(PROPERTIES[[#This Row],[TE_COEFFICIENT_CALC]],0)=0,PROPERTIES[[#This Row],[TE_COEFFICIENT_MANUAL]],PROPERTIES[[#This Row],[TE_COEFFICIENT_CALC]]),3)</f>
        <v>0.3</v>
      </c>
      <c r="U714" s="11">
        <v>25</v>
      </c>
      <c r="V714" s="9">
        <v>0</v>
      </c>
      <c r="W714" s="9">
        <v>0</v>
      </c>
      <c r="X714" s="10">
        <v>0</v>
      </c>
      <c r="Y714" t="s">
        <v>917</v>
      </c>
      <c r="Z714" t="s">
        <v>903</v>
      </c>
      <c r="AA714" s="2" t="s">
        <v>921</v>
      </c>
      <c r="AB714" s="9" t="s">
        <v>1007</v>
      </c>
      <c r="AC714" s="9" t="s">
        <v>1008</v>
      </c>
      <c r="AD714" s="10" t="str">
        <f>SUBSTITUTE(SUBSTITUTE(PROPERTIES[[#This Row],[PURCHASECOST_VALUE]], "PURCHASECOST_", ""), "_VALUE", "")</f>
        <v>WAGON</v>
      </c>
      <c r="AE714" s="9" t="str" cm="1">
        <f t="array" ref="AE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4" s="2" t="b">
        <v>0</v>
      </c>
      <c r="AX714"/>
      <c r="AY714"/>
      <c r="AZ714"/>
    </row>
    <row r="715" spans="1:52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 s="2" t="s">
        <v>32</v>
      </c>
      <c r="K715" s="39">
        <f>_xlfn.XLOOKUP("LOADINGSPEEDDEF_"&amp;PROPERTIES[[#This Row],[LOADINGSPEED]],LOADINGSPEEDDEF[TYPE],LOADINGSPEEDDEF[SPEED])</f>
        <v>20</v>
      </c>
      <c r="L715" t="s">
        <v>20</v>
      </c>
      <c r="M715">
        <v>0</v>
      </c>
      <c r="N715" s="33">
        <v>25</v>
      </c>
      <c r="O715">
        <v>0</v>
      </c>
      <c r="P715">
        <v>160</v>
      </c>
      <c r="Q715" s="30">
        <v>0</v>
      </c>
      <c r="R715" s="29">
        <f>IFERROR(PROPERTIES[[#This Row],[TE_STARTING_KN]]/(PROPERTIES[[#This Row],[WEIGHT]]*9.81),0)</f>
        <v>0</v>
      </c>
      <c r="S715" s="29">
        <v>0.3</v>
      </c>
      <c r="T715" s="26">
        <f>ROUND(IF(IFERROR(PROPERTIES[[#This Row],[TE_COEFFICIENT_CALC]],0)=0,PROPERTIES[[#This Row],[TE_COEFFICIENT_MANUAL]],PROPERTIES[[#This Row],[TE_COEFFICIENT_CALC]]),3)</f>
        <v>0.3</v>
      </c>
      <c r="U715" s="11">
        <v>25</v>
      </c>
      <c r="V715" s="9">
        <v>0</v>
      </c>
      <c r="W715" s="9">
        <v>0</v>
      </c>
      <c r="X715" s="10">
        <v>0</v>
      </c>
      <c r="Y715" t="s">
        <v>917</v>
      </c>
      <c r="Z715" t="s">
        <v>903</v>
      </c>
      <c r="AA715" s="2" t="s">
        <v>921</v>
      </c>
      <c r="AB715" s="9" t="s">
        <v>1007</v>
      </c>
      <c r="AC715" s="9" t="s">
        <v>1008</v>
      </c>
      <c r="AD715" s="10" t="str">
        <f>SUBSTITUTE(SUBSTITUTE(PROPERTIES[[#This Row],[PURCHASECOST_VALUE]], "PURCHASECOST_", ""), "_VALUE", "")</f>
        <v>WAGON</v>
      </c>
      <c r="AE715" s="9" t="str" cm="1">
        <f t="array" ref="AE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5" s="2" t="b">
        <v>0</v>
      </c>
      <c r="AX715"/>
      <c r="AY715"/>
      <c r="AZ715"/>
    </row>
    <row r="716" spans="1:52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 s="2" t="s">
        <v>32</v>
      </c>
      <c r="K716" s="39">
        <f>_xlfn.XLOOKUP("LOADINGSPEEDDEF_"&amp;PROPERTIES[[#This Row],[LOADINGSPEED]],LOADINGSPEEDDEF[TYPE],LOADINGSPEEDDEF[SPEED])</f>
        <v>20</v>
      </c>
      <c r="L716" t="s">
        <v>20</v>
      </c>
      <c r="M716">
        <v>0</v>
      </c>
      <c r="N716" s="33">
        <v>50</v>
      </c>
      <c r="O716">
        <v>0</v>
      </c>
      <c r="P716">
        <v>140</v>
      </c>
      <c r="Q716" s="30">
        <v>0</v>
      </c>
      <c r="R716" s="29">
        <f>IFERROR(PROPERTIES[[#This Row],[TE_STARTING_KN]]/(PROPERTIES[[#This Row],[WEIGHT]]*9.81),0)</f>
        <v>0</v>
      </c>
      <c r="S716" s="29">
        <v>0.3</v>
      </c>
      <c r="T716" s="26">
        <f>ROUND(IF(IFERROR(PROPERTIES[[#This Row],[TE_COEFFICIENT_CALC]],0)=0,PROPERTIES[[#This Row],[TE_COEFFICIENT_MANUAL]],PROPERTIES[[#This Row],[TE_COEFFICIENT_CALC]]),3)</f>
        <v>0.3</v>
      </c>
      <c r="U716" s="11">
        <v>25</v>
      </c>
      <c r="V716" s="9">
        <v>0</v>
      </c>
      <c r="W716" s="9">
        <v>0</v>
      </c>
      <c r="X716" s="10">
        <v>0</v>
      </c>
      <c r="Y716" t="s">
        <v>917</v>
      </c>
      <c r="Z716" t="s">
        <v>903</v>
      </c>
      <c r="AA716" s="2" t="s">
        <v>921</v>
      </c>
      <c r="AB716" s="9" t="s">
        <v>1007</v>
      </c>
      <c r="AC716" s="9" t="s">
        <v>1008</v>
      </c>
      <c r="AD716" s="10" t="str">
        <f>SUBSTITUTE(SUBSTITUTE(PROPERTIES[[#This Row],[PURCHASECOST_VALUE]], "PURCHASECOST_", ""), "_VALUE", "")</f>
        <v>WAGON</v>
      </c>
      <c r="AE716" s="9" t="str" cm="1">
        <f t="array" ref="AE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6" s="2" t="b">
        <v>0</v>
      </c>
      <c r="AX716"/>
      <c r="AY716"/>
      <c r="AZ716"/>
    </row>
    <row r="717" spans="1:52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 s="2" t="s">
        <v>32</v>
      </c>
      <c r="K717" s="39">
        <f>_xlfn.XLOOKUP("LOADINGSPEEDDEF_"&amp;PROPERTIES[[#This Row],[LOADINGSPEED]],LOADINGSPEEDDEF[TYPE],LOADINGSPEEDDEF[SPEED])</f>
        <v>20</v>
      </c>
      <c r="L717" t="s">
        <v>20</v>
      </c>
      <c r="M717">
        <v>0</v>
      </c>
      <c r="N717" s="33">
        <v>15</v>
      </c>
      <c r="O717">
        <v>0</v>
      </c>
      <c r="P717">
        <v>0</v>
      </c>
      <c r="Q717" s="30">
        <v>0</v>
      </c>
      <c r="R717" s="29">
        <f>IFERROR(PROPERTIES[[#This Row],[TE_STARTING_KN]]/(PROPERTIES[[#This Row],[WEIGHT]]*9.81),0)</f>
        <v>0</v>
      </c>
      <c r="S717" s="29">
        <v>0.3</v>
      </c>
      <c r="T717" s="26">
        <f>ROUND(IF(IFERROR(PROPERTIES[[#This Row],[TE_COEFFICIENT_CALC]],0)=0,PROPERTIES[[#This Row],[TE_COEFFICIENT_MANUAL]],PROPERTIES[[#This Row],[TE_COEFFICIENT_CALC]]),3)</f>
        <v>0.3</v>
      </c>
      <c r="U717" s="11">
        <v>25</v>
      </c>
      <c r="V717" s="9">
        <v>0</v>
      </c>
      <c r="W717" s="9">
        <v>0</v>
      </c>
      <c r="X717" s="10">
        <v>0</v>
      </c>
      <c r="Y717" t="s">
        <v>914</v>
      </c>
      <c r="Z717" t="s">
        <v>903</v>
      </c>
      <c r="AA717" s="2" t="s">
        <v>921</v>
      </c>
      <c r="AB717" s="9" t="s">
        <v>1007</v>
      </c>
      <c r="AC717" s="9" t="s">
        <v>1008</v>
      </c>
      <c r="AD717" s="10" t="str">
        <f>SUBSTITUTE(SUBSTITUTE(PROPERTIES[[#This Row],[PURCHASECOST_VALUE]], "PURCHASECOST_", ""), "_VALUE", "")</f>
        <v>WAGON</v>
      </c>
      <c r="AE717" s="9" t="str" cm="1">
        <f t="array" ref="AE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7" s="2" t="b">
        <v>0</v>
      </c>
      <c r="AX717"/>
      <c r="AY717"/>
      <c r="AZ717"/>
    </row>
    <row r="718" spans="1:52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 s="2" t="s">
        <v>32</v>
      </c>
      <c r="K718" s="39">
        <f>_xlfn.XLOOKUP("LOADINGSPEEDDEF_"&amp;PROPERTIES[[#This Row],[LOADINGSPEED]],LOADINGSPEEDDEF[TYPE],LOADINGSPEEDDEF[SPEED])</f>
        <v>20</v>
      </c>
      <c r="L718" t="s">
        <v>20</v>
      </c>
      <c r="M718">
        <v>0</v>
      </c>
      <c r="N718" s="33">
        <v>15</v>
      </c>
      <c r="O718">
        <v>0</v>
      </c>
      <c r="P718">
        <v>0</v>
      </c>
      <c r="Q718" s="30">
        <v>0</v>
      </c>
      <c r="R718" s="29">
        <f>IFERROR(PROPERTIES[[#This Row],[TE_STARTING_KN]]/(PROPERTIES[[#This Row],[WEIGHT]]*9.81),0)</f>
        <v>0</v>
      </c>
      <c r="S718" s="29">
        <v>0.3</v>
      </c>
      <c r="T718" s="26">
        <f>ROUND(IF(IFERROR(PROPERTIES[[#This Row],[TE_COEFFICIENT_CALC]],0)=0,PROPERTIES[[#This Row],[TE_COEFFICIENT_MANUAL]],PROPERTIES[[#This Row],[TE_COEFFICIENT_CALC]]),3)</f>
        <v>0.3</v>
      </c>
      <c r="U718" s="11">
        <v>25</v>
      </c>
      <c r="V718" s="9">
        <v>0</v>
      </c>
      <c r="W718" s="9">
        <v>0</v>
      </c>
      <c r="X718" s="10">
        <v>0</v>
      </c>
      <c r="Y718" t="s">
        <v>915</v>
      </c>
      <c r="Z718" t="s">
        <v>903</v>
      </c>
      <c r="AA718" s="2" t="s">
        <v>921</v>
      </c>
      <c r="AB718" s="9" t="s">
        <v>1007</v>
      </c>
      <c r="AC718" s="9" t="s">
        <v>1008</v>
      </c>
      <c r="AD718" s="10" t="str">
        <f>SUBSTITUTE(SUBSTITUTE(PROPERTIES[[#This Row],[PURCHASECOST_VALUE]], "PURCHASECOST_", ""), "_VALUE", "")</f>
        <v>WAGON</v>
      </c>
      <c r="AE718" s="9" t="str" cm="1">
        <f t="array" ref="AE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8" s="2" t="b">
        <v>0</v>
      </c>
      <c r="AX718"/>
      <c r="AY718"/>
      <c r="AZ718"/>
    </row>
    <row r="719" spans="1:52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 s="2" t="s">
        <v>23</v>
      </c>
      <c r="K719" s="39">
        <f>_xlfn.XLOOKUP("LOADINGSPEEDDEF_"&amp;PROPERTIES[[#This Row],[LOADINGSPEED]],LOADINGSPEEDDEF[TYPE],LOADINGSPEEDDEF[SPEED])</f>
        <v>40</v>
      </c>
      <c r="L719">
        <v>90</v>
      </c>
      <c r="M719">
        <v>1</v>
      </c>
      <c r="N719" s="33">
        <v>5</v>
      </c>
      <c r="O719">
        <v>0</v>
      </c>
      <c r="P719">
        <v>40</v>
      </c>
      <c r="Q719" s="30">
        <v>0</v>
      </c>
      <c r="R719" s="29">
        <f>IFERROR(PROPERTIES[[#This Row],[TE_STARTING_KN]]/(PROPERTIES[[#This Row],[WEIGHT]]*9.81),0)</f>
        <v>0</v>
      </c>
      <c r="S719" s="29">
        <v>0.3</v>
      </c>
      <c r="T719" s="26">
        <f>ROUND(IF(IFERROR(PROPERTIES[[#This Row],[TE_COEFFICIENT_CALC]],0)=0,PROPERTIES[[#This Row],[TE_COEFFICIENT_MANUAL]],PROPERTIES[[#This Row],[TE_COEFFICIENT_CALC]]),3)</f>
        <v>0.3</v>
      </c>
      <c r="U719" s="11">
        <v>25</v>
      </c>
      <c r="V719" s="9">
        <v>0</v>
      </c>
      <c r="W719" s="9">
        <v>0</v>
      </c>
      <c r="X719" s="10">
        <v>0</v>
      </c>
      <c r="Y719" t="s">
        <v>914</v>
      </c>
      <c r="Z719" t="s">
        <v>906</v>
      </c>
      <c r="AA719" s="2" t="s">
        <v>921</v>
      </c>
      <c r="AB719" s="9" t="s">
        <v>1009</v>
      </c>
      <c r="AC719" s="9" t="s">
        <v>1010</v>
      </c>
      <c r="AD719" s="10" t="str">
        <f>SUBSTITUTE(SUBSTITUTE(PROPERTIES[[#This Row],[PURCHASECOST_VALUE]], "PURCHASECOST_", ""), "_VALUE", "")</f>
        <v>COACH</v>
      </c>
      <c r="AE719" s="9" t="str" cm="1">
        <f t="array" ref="AE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19" s="2" t="b">
        <v>0</v>
      </c>
      <c r="AX719"/>
      <c r="AY719"/>
      <c r="AZ719"/>
    </row>
    <row r="720" spans="1:52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 s="2" t="s">
        <v>478</v>
      </c>
      <c r="K720" s="39">
        <f>_xlfn.XLOOKUP("LOADINGSPEEDDEF_"&amp;PROPERTIES[[#This Row],[LOADINGSPEED]],LOADINGSPEEDDEF[TYPE],LOADINGSPEEDDEF[SPEED])</f>
        <v>16</v>
      </c>
      <c r="L720">
        <v>90</v>
      </c>
      <c r="M720">
        <v>1</v>
      </c>
      <c r="N720" s="33">
        <v>8</v>
      </c>
      <c r="O720">
        <v>0</v>
      </c>
      <c r="P720">
        <v>65</v>
      </c>
      <c r="Q720" s="30">
        <v>0</v>
      </c>
      <c r="R720" s="29">
        <f>IFERROR(PROPERTIES[[#This Row],[TE_STARTING_KN]]/(PROPERTIES[[#This Row],[WEIGHT]]*9.81),0)</f>
        <v>0</v>
      </c>
      <c r="S720" s="29">
        <v>0.3</v>
      </c>
      <c r="T720" s="26">
        <f>ROUND(IF(IFERROR(PROPERTIES[[#This Row],[TE_COEFFICIENT_CALC]],0)=0,PROPERTIES[[#This Row],[TE_COEFFICIENT_MANUAL]],PROPERTIES[[#This Row],[TE_COEFFICIENT_CALC]]),3)</f>
        <v>0.3</v>
      </c>
      <c r="U720" s="11">
        <v>25</v>
      </c>
      <c r="V720" s="9">
        <v>0</v>
      </c>
      <c r="W720" s="9">
        <v>0</v>
      </c>
      <c r="X720" s="10">
        <v>0</v>
      </c>
      <c r="Y720" t="s">
        <v>917</v>
      </c>
      <c r="Z720" t="s">
        <v>903</v>
      </c>
      <c r="AA720" s="2" t="s">
        <v>921</v>
      </c>
      <c r="AB720" s="9" t="s">
        <v>1009</v>
      </c>
      <c r="AC720" s="9" t="s">
        <v>1010</v>
      </c>
      <c r="AD720" s="10" t="str">
        <f>SUBSTITUTE(SUBSTITUTE(PROPERTIES[[#This Row],[PURCHASECOST_VALUE]], "PURCHASECOST_", ""), "_VALUE", "")</f>
        <v>COACH</v>
      </c>
      <c r="AE720" s="9" t="str" cm="1">
        <f t="array" ref="AE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0" s="2" t="b">
        <v>0</v>
      </c>
      <c r="AX720"/>
      <c r="AY720"/>
      <c r="AZ720"/>
    </row>
    <row r="721" spans="1:52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 s="2" t="s">
        <v>673</v>
      </c>
      <c r="K721" s="39">
        <f>_xlfn.XLOOKUP("LOADINGSPEEDDEF_"&amp;PROPERTIES[[#This Row],[LOADINGSPEED]],LOADINGSPEEDDEF[TYPE],LOADINGSPEEDDEF[SPEED])</f>
        <v>15</v>
      </c>
      <c r="L721">
        <v>90</v>
      </c>
      <c r="M721">
        <v>1</v>
      </c>
      <c r="N721" s="33">
        <v>5</v>
      </c>
      <c r="O721">
        <v>0</v>
      </c>
      <c r="P721">
        <v>45</v>
      </c>
      <c r="Q721" s="30">
        <v>0</v>
      </c>
      <c r="R721" s="29">
        <f>IFERROR(PROPERTIES[[#This Row],[TE_STARTING_KN]]/(PROPERTIES[[#This Row],[WEIGHT]]*9.81),0)</f>
        <v>0</v>
      </c>
      <c r="S721" s="29">
        <v>0.3</v>
      </c>
      <c r="T721" s="26">
        <f>ROUND(IF(IFERROR(PROPERTIES[[#This Row],[TE_COEFFICIENT_CALC]],0)=0,PROPERTIES[[#This Row],[TE_COEFFICIENT_MANUAL]],PROPERTIES[[#This Row],[TE_COEFFICIENT_CALC]]),3)</f>
        <v>0.3</v>
      </c>
      <c r="U721" s="11">
        <v>25</v>
      </c>
      <c r="V721" s="9">
        <v>0</v>
      </c>
      <c r="W721" s="9">
        <v>0</v>
      </c>
      <c r="X721" s="10">
        <v>0</v>
      </c>
      <c r="Y721" t="s">
        <v>917</v>
      </c>
      <c r="Z721" t="s">
        <v>903</v>
      </c>
      <c r="AA721" s="2" t="s">
        <v>921</v>
      </c>
      <c r="AB721" s="9" t="s">
        <v>1009</v>
      </c>
      <c r="AC721" s="9" t="s">
        <v>1010</v>
      </c>
      <c r="AD721" s="10" t="str">
        <f>SUBSTITUTE(SUBSTITUTE(PROPERTIES[[#This Row],[PURCHASECOST_VALUE]], "PURCHASECOST_", ""), "_VALUE", "")</f>
        <v>COACH</v>
      </c>
      <c r="AE721" s="9" t="str" cm="1">
        <f t="array" ref="AE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1" s="2" t="b">
        <v>0</v>
      </c>
      <c r="AX721"/>
      <c r="AY721"/>
      <c r="AZ721"/>
    </row>
    <row r="722" spans="1:52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 s="2" t="s">
        <v>23</v>
      </c>
      <c r="K722" s="39">
        <f>_xlfn.XLOOKUP("LOADINGSPEEDDEF_"&amp;PROPERTIES[[#This Row],[LOADINGSPEED]],LOADINGSPEEDDEF[TYPE],LOADINGSPEEDDEF[SPEED])</f>
        <v>40</v>
      </c>
      <c r="L722">
        <v>95</v>
      </c>
      <c r="M722">
        <v>1</v>
      </c>
      <c r="N722" s="33">
        <v>12</v>
      </c>
      <c r="O722">
        <v>0</v>
      </c>
      <c r="P722">
        <v>80</v>
      </c>
      <c r="Q722" s="30">
        <v>0</v>
      </c>
      <c r="R722" s="29">
        <f>IFERROR(PROPERTIES[[#This Row],[TE_STARTING_KN]]/(PROPERTIES[[#This Row],[WEIGHT]]*9.81),0)</f>
        <v>0</v>
      </c>
      <c r="S722" s="29">
        <v>0.3</v>
      </c>
      <c r="T722" s="26">
        <f>ROUND(IF(IFERROR(PROPERTIES[[#This Row],[TE_COEFFICIENT_CALC]],0)=0,PROPERTIES[[#This Row],[TE_COEFFICIENT_MANUAL]],PROPERTIES[[#This Row],[TE_COEFFICIENT_CALC]]),3)</f>
        <v>0.3</v>
      </c>
      <c r="U722" s="11">
        <v>25</v>
      </c>
      <c r="V722" s="9">
        <v>0</v>
      </c>
      <c r="W722" s="9">
        <v>0</v>
      </c>
      <c r="X722" s="10">
        <v>0</v>
      </c>
      <c r="Y722" t="s">
        <v>914</v>
      </c>
      <c r="Z722" t="s">
        <v>906</v>
      </c>
      <c r="AA722" s="2" t="s">
        <v>921</v>
      </c>
      <c r="AB722" s="9" t="s">
        <v>1009</v>
      </c>
      <c r="AC722" s="9" t="s">
        <v>1010</v>
      </c>
      <c r="AD722" s="10" t="str">
        <f>SUBSTITUTE(SUBSTITUTE(PROPERTIES[[#This Row],[PURCHASECOST_VALUE]], "PURCHASECOST_", ""), "_VALUE", "")</f>
        <v>COACH</v>
      </c>
      <c r="AE722" s="9" t="str" cm="1">
        <f t="array" ref="AE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22" s="2" t="b">
        <v>0</v>
      </c>
      <c r="AX722"/>
      <c r="AY722"/>
      <c r="AZ722"/>
    </row>
    <row r="723" spans="1:52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 s="2" t="s">
        <v>478</v>
      </c>
      <c r="K723" s="39">
        <f>_xlfn.XLOOKUP("LOADINGSPEEDDEF_"&amp;PROPERTIES[[#This Row],[LOADINGSPEED]],LOADINGSPEEDDEF[TYPE],LOADINGSPEEDDEF[SPEED])</f>
        <v>16</v>
      </c>
      <c r="L723">
        <v>95</v>
      </c>
      <c r="M723">
        <v>1</v>
      </c>
      <c r="N723" s="33">
        <v>15</v>
      </c>
      <c r="O723">
        <v>0</v>
      </c>
      <c r="P723">
        <v>70</v>
      </c>
      <c r="Q723" s="30">
        <v>0</v>
      </c>
      <c r="R723" s="29">
        <f>IFERROR(PROPERTIES[[#This Row],[TE_STARTING_KN]]/(PROPERTIES[[#This Row],[WEIGHT]]*9.81),0)</f>
        <v>0</v>
      </c>
      <c r="S723" s="29">
        <v>0.3</v>
      </c>
      <c r="T723" s="26">
        <f>ROUND(IF(IFERROR(PROPERTIES[[#This Row],[TE_COEFFICIENT_CALC]],0)=0,PROPERTIES[[#This Row],[TE_COEFFICIENT_MANUAL]],PROPERTIES[[#This Row],[TE_COEFFICIENT_CALC]]),3)</f>
        <v>0.3</v>
      </c>
      <c r="U723" s="11">
        <v>25</v>
      </c>
      <c r="V723" s="9">
        <v>0</v>
      </c>
      <c r="W723" s="9">
        <v>0</v>
      </c>
      <c r="X723" s="10">
        <v>0</v>
      </c>
      <c r="Y723" t="s">
        <v>917</v>
      </c>
      <c r="Z723" t="s">
        <v>903</v>
      </c>
      <c r="AA723" s="2" t="s">
        <v>921</v>
      </c>
      <c r="AB723" s="9" t="s">
        <v>1009</v>
      </c>
      <c r="AC723" s="9" t="s">
        <v>1010</v>
      </c>
      <c r="AD723" s="10" t="str">
        <f>SUBSTITUTE(SUBSTITUTE(PROPERTIES[[#This Row],[PURCHASECOST_VALUE]], "PURCHASECOST_", ""), "_VALUE", "")</f>
        <v>COACH</v>
      </c>
      <c r="AE723" s="9" t="str" cm="1">
        <f t="array" ref="AE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3" s="2" t="b">
        <v>0</v>
      </c>
      <c r="AX723"/>
      <c r="AY723"/>
      <c r="AZ723"/>
    </row>
    <row r="724" spans="1:52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 s="2" t="s">
        <v>673</v>
      </c>
      <c r="K724" s="39">
        <f>_xlfn.XLOOKUP("LOADINGSPEEDDEF_"&amp;PROPERTIES[[#This Row],[LOADINGSPEED]],LOADINGSPEEDDEF[TYPE],LOADINGSPEEDDEF[SPEED])</f>
        <v>15</v>
      </c>
      <c r="L724">
        <v>95</v>
      </c>
      <c r="M724">
        <v>1</v>
      </c>
      <c r="N724" s="33">
        <v>13.5</v>
      </c>
      <c r="O724">
        <v>0</v>
      </c>
      <c r="P724">
        <v>80</v>
      </c>
      <c r="Q724" s="30">
        <v>0</v>
      </c>
      <c r="R724" s="29">
        <f>IFERROR(PROPERTIES[[#This Row],[TE_STARTING_KN]]/(PROPERTIES[[#This Row],[WEIGHT]]*9.81),0)</f>
        <v>0</v>
      </c>
      <c r="S724" s="29">
        <v>0.3</v>
      </c>
      <c r="T724" s="26">
        <f>ROUND(IF(IFERROR(PROPERTIES[[#This Row],[TE_COEFFICIENT_CALC]],0)=0,PROPERTIES[[#This Row],[TE_COEFFICIENT_MANUAL]],PROPERTIES[[#This Row],[TE_COEFFICIENT_CALC]]),3)</f>
        <v>0.3</v>
      </c>
      <c r="U724" s="11">
        <v>25</v>
      </c>
      <c r="V724" s="9">
        <v>0</v>
      </c>
      <c r="W724" s="9">
        <v>0</v>
      </c>
      <c r="X724" s="10">
        <v>0</v>
      </c>
      <c r="Y724" t="s">
        <v>917</v>
      </c>
      <c r="Z724" t="s">
        <v>903</v>
      </c>
      <c r="AA724" s="2" t="s">
        <v>921</v>
      </c>
      <c r="AB724" s="9" t="s">
        <v>1009</v>
      </c>
      <c r="AC724" s="9" t="s">
        <v>1010</v>
      </c>
      <c r="AD724" s="10" t="str">
        <f>SUBSTITUTE(SUBSTITUTE(PROPERTIES[[#This Row],[PURCHASECOST_VALUE]], "PURCHASECOST_", ""), "_VALUE", "")</f>
        <v>COACH</v>
      </c>
      <c r="AE724" s="9" t="str" cm="1">
        <f t="array" ref="AE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4" s="2" t="b">
        <v>0</v>
      </c>
      <c r="AX724"/>
      <c r="AY724"/>
      <c r="AZ724"/>
    </row>
    <row r="725" spans="1:52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 s="2" t="s">
        <v>23</v>
      </c>
      <c r="K725" s="39">
        <f>_xlfn.XLOOKUP("LOADINGSPEEDDEF_"&amp;PROPERTIES[[#This Row],[LOADINGSPEED]],LOADINGSPEEDDEF[TYPE],LOADINGSPEEDDEF[SPEED])</f>
        <v>40</v>
      </c>
      <c r="L725">
        <v>80</v>
      </c>
      <c r="M725">
        <v>1</v>
      </c>
      <c r="N725" s="33">
        <v>16.5</v>
      </c>
      <c r="O725">
        <v>0</v>
      </c>
      <c r="P725">
        <v>90</v>
      </c>
      <c r="Q725" s="30">
        <v>0</v>
      </c>
      <c r="R725" s="29">
        <f>IFERROR(PROPERTIES[[#This Row],[TE_STARTING_KN]]/(PROPERTIES[[#This Row],[WEIGHT]]*9.81),0)</f>
        <v>0</v>
      </c>
      <c r="S725" s="29">
        <v>0.3</v>
      </c>
      <c r="T725" s="26">
        <f>ROUND(IF(IFERROR(PROPERTIES[[#This Row],[TE_COEFFICIENT_CALC]],0)=0,PROPERTIES[[#This Row],[TE_COEFFICIENT_MANUAL]],PROPERTIES[[#This Row],[TE_COEFFICIENT_CALC]]),3)</f>
        <v>0.3</v>
      </c>
      <c r="U725" s="11">
        <v>25</v>
      </c>
      <c r="V725" s="9">
        <v>0</v>
      </c>
      <c r="W725" s="9">
        <v>0</v>
      </c>
      <c r="X725" s="10">
        <v>0</v>
      </c>
      <c r="Y725" t="s">
        <v>914</v>
      </c>
      <c r="Z725" t="s">
        <v>906</v>
      </c>
      <c r="AA725" s="2" t="s">
        <v>921</v>
      </c>
      <c r="AB725" s="9" t="s">
        <v>1009</v>
      </c>
      <c r="AC725" s="9" t="s">
        <v>1010</v>
      </c>
      <c r="AD725" s="10" t="str">
        <f>SUBSTITUTE(SUBSTITUTE(PROPERTIES[[#This Row],[PURCHASECOST_VALUE]], "PURCHASECOST_", ""), "_VALUE", "")</f>
        <v>COACH</v>
      </c>
      <c r="AE725" s="9" t="str" cm="1">
        <f t="array" ref="AE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25" s="2" t="b">
        <v>0</v>
      </c>
      <c r="AX725"/>
      <c r="AY725"/>
      <c r="AZ725"/>
    </row>
    <row r="726" spans="1:52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 s="2" t="s">
        <v>478</v>
      </c>
      <c r="K726" s="39">
        <f>_xlfn.XLOOKUP("LOADINGSPEEDDEF_"&amp;PROPERTIES[[#This Row],[LOADINGSPEED]],LOADINGSPEEDDEF[TYPE],LOADINGSPEEDDEF[SPEED])</f>
        <v>16</v>
      </c>
      <c r="L726">
        <v>80</v>
      </c>
      <c r="M726">
        <v>1</v>
      </c>
      <c r="N726" s="33">
        <v>18.5</v>
      </c>
      <c r="O726">
        <v>0</v>
      </c>
      <c r="P726">
        <v>80</v>
      </c>
      <c r="Q726" s="30">
        <v>0</v>
      </c>
      <c r="R726" s="29">
        <f>IFERROR(PROPERTIES[[#This Row],[TE_STARTING_KN]]/(PROPERTIES[[#This Row],[WEIGHT]]*9.81),0)</f>
        <v>0</v>
      </c>
      <c r="S726" s="29">
        <v>0.3</v>
      </c>
      <c r="T726" s="26">
        <f>ROUND(IF(IFERROR(PROPERTIES[[#This Row],[TE_COEFFICIENT_CALC]],0)=0,PROPERTIES[[#This Row],[TE_COEFFICIENT_MANUAL]],PROPERTIES[[#This Row],[TE_COEFFICIENT_CALC]]),3)</f>
        <v>0.3</v>
      </c>
      <c r="U726" s="11">
        <v>25</v>
      </c>
      <c r="V726" s="9">
        <v>0</v>
      </c>
      <c r="W726" s="9">
        <v>0</v>
      </c>
      <c r="X726" s="10">
        <v>0</v>
      </c>
      <c r="Y726" t="s">
        <v>914</v>
      </c>
      <c r="Z726" t="s">
        <v>906</v>
      </c>
      <c r="AA726" s="2" t="s">
        <v>921</v>
      </c>
      <c r="AB726" s="9" t="s">
        <v>1009</v>
      </c>
      <c r="AC726" s="9" t="s">
        <v>1010</v>
      </c>
      <c r="AD726" s="10" t="str">
        <f>SUBSTITUTE(SUBSTITUTE(PROPERTIES[[#This Row],[PURCHASECOST_VALUE]], "PURCHASECOST_", ""), "_VALUE", "")</f>
        <v>COACH</v>
      </c>
      <c r="AE726" s="9" t="str" cm="1">
        <f t="array" ref="AE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6" s="2" t="b">
        <v>0</v>
      </c>
      <c r="AX726"/>
      <c r="AY726"/>
      <c r="AZ726"/>
    </row>
    <row r="727" spans="1:52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 s="2" t="s">
        <v>673</v>
      </c>
      <c r="K727" s="39">
        <f>_xlfn.XLOOKUP("LOADINGSPEEDDEF_"&amp;PROPERTIES[[#This Row],[LOADINGSPEED]],LOADINGSPEEDDEF[TYPE],LOADINGSPEEDDEF[SPEED])</f>
        <v>15</v>
      </c>
      <c r="L727">
        <v>80</v>
      </c>
      <c r="M727">
        <v>1</v>
      </c>
      <c r="N727" s="33">
        <v>17.5</v>
      </c>
      <c r="O727">
        <v>0</v>
      </c>
      <c r="P727">
        <v>95</v>
      </c>
      <c r="Q727" s="30">
        <v>0</v>
      </c>
      <c r="R727" s="29">
        <f>IFERROR(PROPERTIES[[#This Row],[TE_STARTING_KN]]/(PROPERTIES[[#This Row],[WEIGHT]]*9.81),0)</f>
        <v>0</v>
      </c>
      <c r="S727" s="29">
        <v>0.3</v>
      </c>
      <c r="T727" s="26">
        <f>ROUND(IF(IFERROR(PROPERTIES[[#This Row],[TE_COEFFICIENT_CALC]],0)=0,PROPERTIES[[#This Row],[TE_COEFFICIENT_MANUAL]],PROPERTIES[[#This Row],[TE_COEFFICIENT_CALC]]),3)</f>
        <v>0.3</v>
      </c>
      <c r="U727" s="11">
        <v>25</v>
      </c>
      <c r="V727" s="9">
        <v>0</v>
      </c>
      <c r="W727" s="9">
        <v>0</v>
      </c>
      <c r="X727" s="10">
        <v>0</v>
      </c>
      <c r="Y727" t="s">
        <v>914</v>
      </c>
      <c r="Z727" t="s">
        <v>906</v>
      </c>
      <c r="AA727" s="2" t="s">
        <v>921</v>
      </c>
      <c r="AB727" s="9" t="s">
        <v>1009</v>
      </c>
      <c r="AC727" s="9" t="s">
        <v>1010</v>
      </c>
      <c r="AD727" s="10" t="str">
        <f>SUBSTITUTE(SUBSTITUTE(PROPERTIES[[#This Row],[PURCHASECOST_VALUE]], "PURCHASECOST_", ""), "_VALUE", "")</f>
        <v>COACH</v>
      </c>
      <c r="AE727" s="9" t="str" cm="1">
        <f t="array" ref="AE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7" s="2" t="b">
        <v>0</v>
      </c>
      <c r="AX727"/>
      <c r="AY727"/>
      <c r="AZ727"/>
    </row>
    <row r="728" spans="1:52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 s="2" t="s">
        <v>478</v>
      </c>
      <c r="K728" s="39">
        <f>_xlfn.XLOOKUP("LOADINGSPEEDDEF_"&amp;PROPERTIES[[#This Row],[LOADINGSPEED]],LOADINGSPEEDDEF[TYPE],LOADINGSPEEDDEF[SPEED])</f>
        <v>16</v>
      </c>
      <c r="L728">
        <v>75</v>
      </c>
      <c r="M728">
        <v>1</v>
      </c>
      <c r="N728" s="33">
        <v>60</v>
      </c>
      <c r="O728">
        <v>0</v>
      </c>
      <c r="P728">
        <v>120</v>
      </c>
      <c r="Q728" s="30">
        <v>0</v>
      </c>
      <c r="R728" s="29">
        <f>IFERROR(PROPERTIES[[#This Row],[TE_STARTING_KN]]/(PROPERTIES[[#This Row],[WEIGHT]]*9.81),0)</f>
        <v>0</v>
      </c>
      <c r="S728" s="29">
        <v>0.3</v>
      </c>
      <c r="T728" s="26">
        <f>ROUND(IF(IFERROR(PROPERTIES[[#This Row],[TE_COEFFICIENT_CALC]],0)=0,PROPERTIES[[#This Row],[TE_COEFFICIENT_MANUAL]],PROPERTIES[[#This Row],[TE_COEFFICIENT_CALC]]),3)</f>
        <v>0.3</v>
      </c>
      <c r="U728" s="11">
        <v>25</v>
      </c>
      <c r="V728" s="9">
        <v>0</v>
      </c>
      <c r="W728" s="9">
        <v>0</v>
      </c>
      <c r="X728" s="10">
        <v>0</v>
      </c>
      <c r="Y728" t="s">
        <v>916</v>
      </c>
      <c r="Z728" t="s">
        <v>906</v>
      </c>
      <c r="AA728" s="2" t="s">
        <v>921</v>
      </c>
      <c r="AB728" s="9" t="s">
        <v>1009</v>
      </c>
      <c r="AC728" s="9" t="s">
        <v>1010</v>
      </c>
      <c r="AD728" s="10" t="str">
        <f>SUBSTITUTE(SUBSTITUTE(PROPERTIES[[#This Row],[PURCHASECOST_VALUE]], "PURCHASECOST_", ""), "_VALUE", "")</f>
        <v>COACH</v>
      </c>
      <c r="AE728" s="9" t="str" cm="1">
        <f t="array" ref="AE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8" s="2" t="b">
        <v>0</v>
      </c>
      <c r="AX728"/>
      <c r="AY728"/>
      <c r="AZ728"/>
    </row>
    <row r="729" spans="1:52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 s="2" t="s">
        <v>478</v>
      </c>
      <c r="K729" s="39">
        <f>_xlfn.XLOOKUP("LOADINGSPEEDDEF_"&amp;PROPERTIES[[#This Row],[LOADINGSPEED]],LOADINGSPEEDDEF[TYPE],LOADINGSPEEDDEF[SPEED])</f>
        <v>16</v>
      </c>
      <c r="L729">
        <v>75</v>
      </c>
      <c r="M729">
        <v>1</v>
      </c>
      <c r="N729" s="33">
        <v>58</v>
      </c>
      <c r="O729">
        <v>0</v>
      </c>
      <c r="P729">
        <v>130</v>
      </c>
      <c r="Q729" s="30">
        <v>0</v>
      </c>
      <c r="R729" s="29">
        <f>IFERROR(PROPERTIES[[#This Row],[TE_STARTING_KN]]/(PROPERTIES[[#This Row],[WEIGHT]]*9.81),0)</f>
        <v>0</v>
      </c>
      <c r="S729" s="29">
        <v>0.3</v>
      </c>
      <c r="T729" s="26">
        <f>ROUND(IF(IFERROR(PROPERTIES[[#This Row],[TE_COEFFICIENT_CALC]],0)=0,PROPERTIES[[#This Row],[TE_COEFFICIENT_MANUAL]],PROPERTIES[[#This Row],[TE_COEFFICIENT_CALC]]),3)</f>
        <v>0.3</v>
      </c>
      <c r="U729" s="11">
        <v>25</v>
      </c>
      <c r="V729" s="9">
        <v>0</v>
      </c>
      <c r="W729" s="9">
        <v>0</v>
      </c>
      <c r="X729" s="10">
        <v>0</v>
      </c>
      <c r="Y729" t="s">
        <v>916</v>
      </c>
      <c r="Z729" t="s">
        <v>906</v>
      </c>
      <c r="AA729" s="2" t="s">
        <v>921</v>
      </c>
      <c r="AB729" s="9" t="s">
        <v>1009</v>
      </c>
      <c r="AC729" s="9" t="s">
        <v>1010</v>
      </c>
      <c r="AD729" s="10" t="str">
        <f>SUBSTITUTE(SUBSTITUTE(PROPERTIES[[#This Row],[PURCHASECOST_VALUE]], "PURCHASECOST_", ""), "_VALUE", "")</f>
        <v>COACH</v>
      </c>
      <c r="AE729" s="9" t="str" cm="1">
        <f t="array" ref="AE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9" s="2" t="b">
        <v>0</v>
      </c>
      <c r="AX729"/>
      <c r="AY729"/>
      <c r="AZ729"/>
    </row>
    <row r="730" spans="1:52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 s="2" t="s">
        <v>478</v>
      </c>
      <c r="K730" s="39">
        <f>_xlfn.XLOOKUP("LOADINGSPEEDDEF_"&amp;PROPERTIES[[#This Row],[LOADINGSPEED]],LOADINGSPEEDDEF[TYPE],LOADINGSPEEDDEF[SPEED])</f>
        <v>16</v>
      </c>
      <c r="L730">
        <v>60</v>
      </c>
      <c r="M730">
        <v>1</v>
      </c>
      <c r="N730" s="33">
        <v>48</v>
      </c>
      <c r="O730">
        <v>0</v>
      </c>
      <c r="P730">
        <v>120</v>
      </c>
      <c r="Q730" s="30">
        <v>0</v>
      </c>
      <c r="R730" s="29">
        <f>IFERROR(PROPERTIES[[#This Row],[TE_STARTING_KN]]/(PROPERTIES[[#This Row],[WEIGHT]]*9.81),0)</f>
        <v>0</v>
      </c>
      <c r="S730" s="29">
        <v>0.3</v>
      </c>
      <c r="T730" s="26">
        <f>ROUND(IF(IFERROR(PROPERTIES[[#This Row],[TE_COEFFICIENT_CALC]],0)=0,PROPERTIES[[#This Row],[TE_COEFFICIENT_MANUAL]],PROPERTIES[[#This Row],[TE_COEFFICIENT_CALC]]),3)</f>
        <v>0.3</v>
      </c>
      <c r="U730" s="11">
        <v>25</v>
      </c>
      <c r="V730" s="9">
        <v>0</v>
      </c>
      <c r="W730" s="9">
        <v>0</v>
      </c>
      <c r="X730" s="10">
        <v>0</v>
      </c>
      <c r="Y730" t="s">
        <v>914</v>
      </c>
      <c r="Z730" t="s">
        <v>906</v>
      </c>
      <c r="AA730" s="2" t="s">
        <v>921</v>
      </c>
      <c r="AB730" s="9" t="s">
        <v>1009</v>
      </c>
      <c r="AC730" s="9" t="s">
        <v>1010</v>
      </c>
      <c r="AD730" s="10" t="str">
        <f>SUBSTITUTE(SUBSTITUTE(PROPERTIES[[#This Row],[PURCHASECOST_VALUE]], "PURCHASECOST_", ""), "_VALUE", "")</f>
        <v>COACH</v>
      </c>
      <c r="AE730" s="9" t="str" cm="1">
        <f t="array" ref="AE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0" s="2" t="b">
        <v>0</v>
      </c>
      <c r="AX730"/>
      <c r="AY730"/>
      <c r="AZ730"/>
    </row>
    <row r="731" spans="1:52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 s="2" t="s">
        <v>23</v>
      </c>
      <c r="K731" s="39">
        <f>_xlfn.XLOOKUP("LOADINGSPEEDDEF_"&amp;PROPERTIES[[#This Row],[LOADINGSPEED]],LOADINGSPEEDDEF[TYPE],LOADINGSPEEDDEF[SPEED])</f>
        <v>40</v>
      </c>
      <c r="L731">
        <v>60</v>
      </c>
      <c r="M731">
        <v>1</v>
      </c>
      <c r="N731" s="33">
        <v>40</v>
      </c>
      <c r="O731">
        <v>0</v>
      </c>
      <c r="P731">
        <v>120</v>
      </c>
      <c r="Q731" s="30">
        <v>0</v>
      </c>
      <c r="R731" s="29">
        <f>IFERROR(PROPERTIES[[#This Row],[TE_STARTING_KN]]/(PROPERTIES[[#This Row],[WEIGHT]]*9.81),0)</f>
        <v>0</v>
      </c>
      <c r="S731" s="29">
        <v>0.3</v>
      </c>
      <c r="T731" s="26">
        <f>ROUND(IF(IFERROR(PROPERTIES[[#This Row],[TE_COEFFICIENT_CALC]],0)=0,PROPERTIES[[#This Row],[TE_COEFFICIENT_MANUAL]],PROPERTIES[[#This Row],[TE_COEFFICIENT_CALC]]),3)</f>
        <v>0.3</v>
      </c>
      <c r="U731" s="11">
        <v>25</v>
      </c>
      <c r="V731" s="9">
        <v>0</v>
      </c>
      <c r="W731" s="9">
        <v>0</v>
      </c>
      <c r="X731" s="10">
        <v>0</v>
      </c>
      <c r="Y731" t="s">
        <v>914</v>
      </c>
      <c r="Z731" t="s">
        <v>906</v>
      </c>
      <c r="AA731" s="2" t="s">
        <v>921</v>
      </c>
      <c r="AB731" s="9" t="s">
        <v>1009</v>
      </c>
      <c r="AC731" s="9" t="s">
        <v>1010</v>
      </c>
      <c r="AD731" s="10" t="str">
        <f>SUBSTITUTE(SUBSTITUTE(PROPERTIES[[#This Row],[PURCHASECOST_VALUE]], "PURCHASECOST_", ""), "_VALUE", "")</f>
        <v>COACH</v>
      </c>
      <c r="AE731" s="9" t="str" cm="1">
        <f t="array" ref="AE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1" s="2" t="b">
        <v>0</v>
      </c>
      <c r="AX731"/>
      <c r="AY731"/>
      <c r="AZ731"/>
    </row>
    <row r="732" spans="1:52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 s="2" t="s">
        <v>478</v>
      </c>
      <c r="K732" s="39">
        <f>_xlfn.XLOOKUP("LOADINGSPEEDDEF_"&amp;PROPERTIES[[#This Row],[LOADINGSPEED]],LOADINGSPEEDDEF[TYPE],LOADINGSPEEDDEF[SPEED])</f>
        <v>16</v>
      </c>
      <c r="L732">
        <v>65</v>
      </c>
      <c r="M732">
        <v>1</v>
      </c>
      <c r="N732" s="33">
        <v>40</v>
      </c>
      <c r="O732">
        <v>0</v>
      </c>
      <c r="P732">
        <v>100</v>
      </c>
      <c r="Q732" s="30">
        <v>0</v>
      </c>
      <c r="R732" s="29">
        <f>IFERROR(PROPERTIES[[#This Row],[TE_STARTING_KN]]/(PROPERTIES[[#This Row],[WEIGHT]]*9.81),0)</f>
        <v>0</v>
      </c>
      <c r="S732" s="29">
        <v>0.3</v>
      </c>
      <c r="T732" s="26">
        <f>ROUND(IF(IFERROR(PROPERTIES[[#This Row],[TE_COEFFICIENT_CALC]],0)=0,PROPERTIES[[#This Row],[TE_COEFFICIENT_MANUAL]],PROPERTIES[[#This Row],[TE_COEFFICIENT_CALC]]),3)</f>
        <v>0.3</v>
      </c>
      <c r="U732" s="11">
        <v>25</v>
      </c>
      <c r="V732" s="9">
        <v>0</v>
      </c>
      <c r="W732" s="9">
        <v>0</v>
      </c>
      <c r="X732" s="10">
        <v>0</v>
      </c>
      <c r="Y732" t="s">
        <v>914</v>
      </c>
      <c r="Z732" t="s">
        <v>906</v>
      </c>
      <c r="AA732" s="2" t="s">
        <v>921</v>
      </c>
      <c r="AB732" s="9" t="s">
        <v>1009</v>
      </c>
      <c r="AC732" s="9" t="s">
        <v>1010</v>
      </c>
      <c r="AD732" s="10" t="str">
        <f>SUBSTITUTE(SUBSTITUTE(PROPERTIES[[#This Row],[PURCHASECOST_VALUE]], "PURCHASECOST_", ""), "_VALUE", "")</f>
        <v>COACH</v>
      </c>
      <c r="AE732" s="9" t="str" cm="1">
        <f t="array" ref="AE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2" s="2" t="b">
        <v>0</v>
      </c>
      <c r="AX732"/>
      <c r="AY732"/>
      <c r="AZ732"/>
    </row>
    <row r="733" spans="1:52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 s="2" t="s">
        <v>673</v>
      </c>
      <c r="K733" s="39">
        <f>_xlfn.XLOOKUP("LOADINGSPEEDDEF_"&amp;PROPERTIES[[#This Row],[LOADINGSPEED]],LOADINGSPEEDDEF[TYPE],LOADINGSPEEDDEF[SPEED])</f>
        <v>15</v>
      </c>
      <c r="L733">
        <v>70</v>
      </c>
      <c r="M733">
        <v>1</v>
      </c>
      <c r="N733" s="33">
        <v>44</v>
      </c>
      <c r="O733">
        <v>0</v>
      </c>
      <c r="P733">
        <v>120</v>
      </c>
      <c r="Q733" s="30">
        <v>0</v>
      </c>
      <c r="R733" s="29">
        <f>IFERROR(PROPERTIES[[#This Row],[TE_STARTING_KN]]/(PROPERTIES[[#This Row],[WEIGHT]]*9.81),0)</f>
        <v>0</v>
      </c>
      <c r="S733" s="29">
        <v>0.3</v>
      </c>
      <c r="T733" s="26">
        <f>ROUND(IF(IFERROR(PROPERTIES[[#This Row],[TE_COEFFICIENT_CALC]],0)=0,PROPERTIES[[#This Row],[TE_COEFFICIENT_MANUAL]],PROPERTIES[[#This Row],[TE_COEFFICIENT_CALC]]),3)</f>
        <v>0.3</v>
      </c>
      <c r="U733" s="11">
        <v>25</v>
      </c>
      <c r="V733" s="9">
        <v>0</v>
      </c>
      <c r="W733" s="9">
        <v>0</v>
      </c>
      <c r="X733" s="10">
        <v>0</v>
      </c>
      <c r="Y733" t="s">
        <v>914</v>
      </c>
      <c r="Z733" t="s">
        <v>906</v>
      </c>
      <c r="AA733" s="2" t="s">
        <v>921</v>
      </c>
      <c r="AB733" s="9" t="s">
        <v>1009</v>
      </c>
      <c r="AC733" s="9" t="s">
        <v>1010</v>
      </c>
      <c r="AD733" s="10" t="str">
        <f>SUBSTITUTE(SUBSTITUTE(PROPERTIES[[#This Row],[PURCHASECOST_VALUE]], "PURCHASECOST_", ""), "_VALUE", "")</f>
        <v>COACH</v>
      </c>
      <c r="AE733" s="9" t="str" cm="1">
        <f t="array" ref="AE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3" s="2" t="b">
        <v>0</v>
      </c>
      <c r="AX733"/>
      <c r="AY733"/>
      <c r="AZ733"/>
    </row>
    <row r="734" spans="1:52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 s="2" t="s">
        <v>23</v>
      </c>
      <c r="K734" s="39">
        <f>_xlfn.XLOOKUP("LOADINGSPEEDDEF_"&amp;PROPERTIES[[#This Row],[LOADINGSPEED]],LOADINGSPEEDDEF[TYPE],LOADINGSPEEDDEF[SPEED])</f>
        <v>40</v>
      </c>
      <c r="L734">
        <v>60</v>
      </c>
      <c r="M734">
        <v>1</v>
      </c>
      <c r="N734" s="33">
        <v>21</v>
      </c>
      <c r="O734">
        <v>0</v>
      </c>
      <c r="P734">
        <v>90</v>
      </c>
      <c r="Q734" s="30">
        <v>0</v>
      </c>
      <c r="R734" s="29">
        <f>IFERROR(PROPERTIES[[#This Row],[TE_STARTING_KN]]/(PROPERTIES[[#This Row],[WEIGHT]]*9.81),0)</f>
        <v>0</v>
      </c>
      <c r="S734" s="29">
        <v>0.3</v>
      </c>
      <c r="T734" s="26">
        <f>ROUND(IF(IFERROR(PROPERTIES[[#This Row],[TE_COEFFICIENT_CALC]],0)=0,PROPERTIES[[#This Row],[TE_COEFFICIENT_MANUAL]],PROPERTIES[[#This Row],[TE_COEFFICIENT_CALC]]),3)</f>
        <v>0.3</v>
      </c>
      <c r="U734" s="11">
        <v>25</v>
      </c>
      <c r="V734" s="9">
        <v>0</v>
      </c>
      <c r="W734" s="9">
        <v>0</v>
      </c>
      <c r="X734" s="10">
        <v>0</v>
      </c>
      <c r="Y734" t="s">
        <v>914</v>
      </c>
      <c r="Z734" t="s">
        <v>906</v>
      </c>
      <c r="AA734" s="2" t="s">
        <v>921</v>
      </c>
      <c r="AB734" s="9" t="s">
        <v>1009</v>
      </c>
      <c r="AC734" s="9" t="s">
        <v>1010</v>
      </c>
      <c r="AD734" s="10" t="str">
        <f>SUBSTITUTE(SUBSTITUTE(PROPERTIES[[#This Row],[PURCHASECOST_VALUE]], "PURCHASECOST_", ""), "_VALUE", "")</f>
        <v>COACH</v>
      </c>
      <c r="AE734" s="9" t="str" cm="1">
        <f t="array" ref="AE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4" s="2" t="b">
        <v>0</v>
      </c>
      <c r="AX734"/>
      <c r="AY734"/>
      <c r="AZ734"/>
    </row>
    <row r="735" spans="1:52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 s="2" t="s">
        <v>478</v>
      </c>
      <c r="K735" s="39">
        <f>_xlfn.XLOOKUP("LOADINGSPEEDDEF_"&amp;PROPERTIES[[#This Row],[LOADINGSPEED]],LOADINGSPEEDDEF[TYPE],LOADINGSPEEDDEF[SPEED])</f>
        <v>16</v>
      </c>
      <c r="L735">
        <v>60</v>
      </c>
      <c r="M735">
        <v>1</v>
      </c>
      <c r="N735" s="33">
        <v>22</v>
      </c>
      <c r="O735">
        <v>0</v>
      </c>
      <c r="P735">
        <v>90</v>
      </c>
      <c r="Q735" s="30">
        <v>0</v>
      </c>
      <c r="R735" s="29">
        <f>IFERROR(PROPERTIES[[#This Row],[TE_STARTING_KN]]/(PROPERTIES[[#This Row],[WEIGHT]]*9.81),0)</f>
        <v>0</v>
      </c>
      <c r="S735" s="29">
        <v>0.3</v>
      </c>
      <c r="T735" s="26">
        <f>ROUND(IF(IFERROR(PROPERTIES[[#This Row],[TE_COEFFICIENT_CALC]],0)=0,PROPERTIES[[#This Row],[TE_COEFFICIENT_MANUAL]],PROPERTIES[[#This Row],[TE_COEFFICIENT_CALC]]),3)</f>
        <v>0.3</v>
      </c>
      <c r="U735" s="11">
        <v>25</v>
      </c>
      <c r="V735" s="9">
        <v>0</v>
      </c>
      <c r="W735" s="9">
        <v>0</v>
      </c>
      <c r="X735" s="10">
        <v>0</v>
      </c>
      <c r="Y735" t="s">
        <v>917</v>
      </c>
      <c r="Z735" t="s">
        <v>903</v>
      </c>
      <c r="AA735" s="2" t="s">
        <v>921</v>
      </c>
      <c r="AB735" s="9" t="s">
        <v>1009</v>
      </c>
      <c r="AC735" s="9" t="s">
        <v>1010</v>
      </c>
      <c r="AD735" s="10" t="str">
        <f>SUBSTITUTE(SUBSTITUTE(PROPERTIES[[#This Row],[PURCHASECOST_VALUE]], "PURCHASECOST_", ""), "_VALUE", "")</f>
        <v>COACH</v>
      </c>
      <c r="AE735" s="9" t="str" cm="1">
        <f t="array" ref="AE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5" s="2" t="b">
        <v>0</v>
      </c>
      <c r="AX735"/>
      <c r="AY735"/>
      <c r="AZ735"/>
    </row>
    <row r="736" spans="1:52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 s="2" t="s">
        <v>673</v>
      </c>
      <c r="K736" s="39">
        <f>_xlfn.XLOOKUP("LOADINGSPEEDDEF_"&amp;PROPERTIES[[#This Row],[LOADINGSPEED]],LOADINGSPEEDDEF[TYPE],LOADINGSPEEDDEF[SPEED])</f>
        <v>15</v>
      </c>
      <c r="L736">
        <v>60</v>
      </c>
      <c r="M736">
        <v>1</v>
      </c>
      <c r="N736" s="33">
        <v>19.5</v>
      </c>
      <c r="O736">
        <v>0</v>
      </c>
      <c r="P736">
        <v>90</v>
      </c>
      <c r="Q736" s="30">
        <v>0</v>
      </c>
      <c r="R736" s="29">
        <f>IFERROR(PROPERTIES[[#This Row],[TE_STARTING_KN]]/(PROPERTIES[[#This Row],[WEIGHT]]*9.81),0)</f>
        <v>0</v>
      </c>
      <c r="S736" s="29">
        <v>0.3</v>
      </c>
      <c r="T736" s="26">
        <f>ROUND(IF(IFERROR(PROPERTIES[[#This Row],[TE_COEFFICIENT_CALC]],0)=0,PROPERTIES[[#This Row],[TE_COEFFICIENT_MANUAL]],PROPERTIES[[#This Row],[TE_COEFFICIENT_CALC]]),3)</f>
        <v>0.3</v>
      </c>
      <c r="U736" s="11">
        <v>25</v>
      </c>
      <c r="V736" s="9">
        <v>0</v>
      </c>
      <c r="W736" s="9">
        <v>0</v>
      </c>
      <c r="X736" s="10">
        <v>0</v>
      </c>
      <c r="Y736" t="s">
        <v>917</v>
      </c>
      <c r="Z736" t="s">
        <v>903</v>
      </c>
      <c r="AA736" s="2" t="s">
        <v>921</v>
      </c>
      <c r="AB736" s="9" t="s">
        <v>1009</v>
      </c>
      <c r="AC736" s="9" t="s">
        <v>1010</v>
      </c>
      <c r="AD736" s="10" t="str">
        <f>SUBSTITUTE(SUBSTITUTE(PROPERTIES[[#This Row],[PURCHASECOST_VALUE]], "PURCHASECOST_", ""), "_VALUE", "")</f>
        <v>COACH</v>
      </c>
      <c r="AE736" s="9" t="str" cm="1">
        <f t="array" ref="AE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6" s="2" t="b">
        <v>0</v>
      </c>
      <c r="AX736"/>
      <c r="AY736"/>
      <c r="AZ736"/>
    </row>
    <row r="737" spans="1:52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 s="2" t="s">
        <v>23</v>
      </c>
      <c r="K737" s="39">
        <f>_xlfn.XLOOKUP("LOADINGSPEEDDEF_"&amp;PROPERTIES[[#This Row],[LOADINGSPEED]],LOADINGSPEEDDEF[TYPE],LOADINGSPEEDDEF[SPEED])</f>
        <v>40</v>
      </c>
      <c r="L737">
        <v>60</v>
      </c>
      <c r="M737">
        <v>1</v>
      </c>
      <c r="N737" s="33">
        <v>27</v>
      </c>
      <c r="O737">
        <v>0</v>
      </c>
      <c r="P737">
        <v>90</v>
      </c>
      <c r="Q737" s="30">
        <v>0</v>
      </c>
      <c r="R737" s="29">
        <f>IFERROR(PROPERTIES[[#This Row],[TE_STARTING_KN]]/(PROPERTIES[[#This Row],[WEIGHT]]*9.81),0)</f>
        <v>0</v>
      </c>
      <c r="S737" s="29">
        <v>0.3</v>
      </c>
      <c r="T737" s="26">
        <f>ROUND(IF(IFERROR(PROPERTIES[[#This Row],[TE_COEFFICIENT_CALC]],0)=0,PROPERTIES[[#This Row],[TE_COEFFICIENT_MANUAL]],PROPERTIES[[#This Row],[TE_COEFFICIENT_CALC]]),3)</f>
        <v>0.3</v>
      </c>
      <c r="U737" s="11">
        <v>25</v>
      </c>
      <c r="V737" s="9">
        <v>0</v>
      </c>
      <c r="W737" s="9">
        <v>0</v>
      </c>
      <c r="X737" s="10">
        <v>0</v>
      </c>
      <c r="Y737" t="s">
        <v>914</v>
      </c>
      <c r="Z737" t="s">
        <v>906</v>
      </c>
      <c r="AA737" s="2" t="s">
        <v>921</v>
      </c>
      <c r="AB737" s="9" t="s">
        <v>1009</v>
      </c>
      <c r="AC737" s="9" t="s">
        <v>1010</v>
      </c>
      <c r="AD737" s="10" t="str">
        <f>SUBSTITUTE(SUBSTITUTE(PROPERTIES[[#This Row],[PURCHASECOST_VALUE]], "PURCHASECOST_", ""), "_VALUE", "")</f>
        <v>COACH</v>
      </c>
      <c r="AE737" s="9" t="str" cm="1">
        <f t="array" ref="AE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7" s="2" t="b">
        <v>0</v>
      </c>
      <c r="AX737"/>
      <c r="AY737"/>
      <c r="AZ737"/>
    </row>
    <row r="738" spans="1:52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 s="2" t="s">
        <v>478</v>
      </c>
      <c r="K738" s="39">
        <f>_xlfn.XLOOKUP("LOADINGSPEEDDEF_"&amp;PROPERTIES[[#This Row],[LOADINGSPEED]],LOADINGSPEEDDEF[TYPE],LOADINGSPEEDDEF[SPEED])</f>
        <v>16</v>
      </c>
      <c r="L738">
        <v>60</v>
      </c>
      <c r="M738">
        <v>1</v>
      </c>
      <c r="N738" s="33">
        <v>30</v>
      </c>
      <c r="O738">
        <v>0</v>
      </c>
      <c r="P738">
        <v>90</v>
      </c>
      <c r="Q738" s="30">
        <v>0</v>
      </c>
      <c r="R738" s="29">
        <f>IFERROR(PROPERTIES[[#This Row],[TE_STARTING_KN]]/(PROPERTIES[[#This Row],[WEIGHT]]*9.81),0)</f>
        <v>0</v>
      </c>
      <c r="S738" s="29">
        <v>0.3</v>
      </c>
      <c r="T738" s="26">
        <f>ROUND(IF(IFERROR(PROPERTIES[[#This Row],[TE_COEFFICIENT_CALC]],0)=0,PROPERTIES[[#This Row],[TE_COEFFICIENT_MANUAL]],PROPERTIES[[#This Row],[TE_COEFFICIENT_CALC]]),3)</f>
        <v>0.3</v>
      </c>
      <c r="U738" s="11">
        <v>25</v>
      </c>
      <c r="V738" s="9">
        <v>0</v>
      </c>
      <c r="W738" s="9">
        <v>0</v>
      </c>
      <c r="X738" s="10">
        <v>0</v>
      </c>
      <c r="Y738" t="s">
        <v>914</v>
      </c>
      <c r="Z738" t="s">
        <v>906</v>
      </c>
      <c r="AA738" s="2" t="s">
        <v>921</v>
      </c>
      <c r="AB738" s="9" t="s">
        <v>1009</v>
      </c>
      <c r="AC738" s="9" t="s">
        <v>1010</v>
      </c>
      <c r="AD738" s="10" t="str">
        <f>SUBSTITUTE(SUBSTITUTE(PROPERTIES[[#This Row],[PURCHASECOST_VALUE]], "PURCHASECOST_", ""), "_VALUE", "")</f>
        <v>COACH</v>
      </c>
      <c r="AE738" s="9" t="str" cm="1">
        <f t="array" ref="AE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8" s="2" t="b">
        <v>0</v>
      </c>
      <c r="AX738"/>
      <c r="AY738"/>
      <c r="AZ738"/>
    </row>
    <row r="739" spans="1:52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 s="2" t="s">
        <v>673</v>
      </c>
      <c r="K739" s="39">
        <f>_xlfn.XLOOKUP("LOADINGSPEEDDEF_"&amp;PROPERTIES[[#This Row],[LOADINGSPEED]],LOADINGSPEEDDEF[TYPE],LOADINGSPEEDDEF[SPEED])</f>
        <v>15</v>
      </c>
      <c r="L739">
        <v>60</v>
      </c>
      <c r="M739">
        <v>1</v>
      </c>
      <c r="N739" s="33">
        <v>27.5</v>
      </c>
      <c r="O739">
        <v>0</v>
      </c>
      <c r="P739">
        <v>90</v>
      </c>
      <c r="Q739" s="30">
        <v>0</v>
      </c>
      <c r="R739" s="29">
        <f>IFERROR(PROPERTIES[[#This Row],[TE_STARTING_KN]]/(PROPERTIES[[#This Row],[WEIGHT]]*9.81),0)</f>
        <v>0</v>
      </c>
      <c r="S739" s="29">
        <v>0.3</v>
      </c>
      <c r="T739" s="26">
        <f>ROUND(IF(IFERROR(PROPERTIES[[#This Row],[TE_COEFFICIENT_CALC]],0)=0,PROPERTIES[[#This Row],[TE_COEFFICIENT_MANUAL]],PROPERTIES[[#This Row],[TE_COEFFICIENT_CALC]]),3)</f>
        <v>0.3</v>
      </c>
      <c r="U739" s="11">
        <v>25</v>
      </c>
      <c r="V739" s="9">
        <v>0</v>
      </c>
      <c r="W739" s="9">
        <v>0</v>
      </c>
      <c r="X739" s="10">
        <v>0</v>
      </c>
      <c r="Y739" t="s">
        <v>914</v>
      </c>
      <c r="Z739" t="s">
        <v>906</v>
      </c>
      <c r="AA739" s="2" t="s">
        <v>921</v>
      </c>
      <c r="AB739" s="9" t="s">
        <v>1009</v>
      </c>
      <c r="AC739" s="9" t="s">
        <v>1010</v>
      </c>
      <c r="AD739" s="10" t="str">
        <f>SUBSTITUTE(SUBSTITUTE(PROPERTIES[[#This Row],[PURCHASECOST_VALUE]], "PURCHASECOST_", ""), "_VALUE", "")</f>
        <v>COACH</v>
      </c>
      <c r="AE739" s="9" t="str" cm="1">
        <f t="array" ref="AE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9" s="2" t="b">
        <v>0</v>
      </c>
      <c r="AX739"/>
      <c r="AY739"/>
      <c r="AZ739"/>
    </row>
    <row r="740" spans="1:52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 s="2" t="s">
        <v>478</v>
      </c>
      <c r="K740" s="39">
        <f>_xlfn.XLOOKUP("LOADINGSPEEDDEF_"&amp;PROPERTIES[[#This Row],[LOADINGSPEED]],LOADINGSPEEDDEF[TYPE],LOADINGSPEEDDEF[SPEED])</f>
        <v>16</v>
      </c>
      <c r="L740">
        <v>55</v>
      </c>
      <c r="M740">
        <v>1</v>
      </c>
      <c r="N740" s="33">
        <v>34</v>
      </c>
      <c r="O740">
        <v>0</v>
      </c>
      <c r="P740">
        <v>145</v>
      </c>
      <c r="Q740" s="30">
        <v>0</v>
      </c>
      <c r="R740" s="29">
        <f>IFERROR(PROPERTIES[[#This Row],[TE_STARTING_KN]]/(PROPERTIES[[#This Row],[WEIGHT]]*9.81),0)</f>
        <v>0</v>
      </c>
      <c r="S740" s="29">
        <v>0.3</v>
      </c>
      <c r="T740" s="26">
        <f>ROUND(IF(IFERROR(PROPERTIES[[#This Row],[TE_COEFFICIENT_CALC]],0)=0,PROPERTIES[[#This Row],[TE_COEFFICIENT_MANUAL]],PROPERTIES[[#This Row],[TE_COEFFICIENT_CALC]]),3)</f>
        <v>0.3</v>
      </c>
      <c r="U740" s="11">
        <v>25</v>
      </c>
      <c r="V740" s="9">
        <v>0</v>
      </c>
      <c r="W740" s="9">
        <v>0</v>
      </c>
      <c r="X740" s="10">
        <v>0</v>
      </c>
      <c r="Y740" t="s">
        <v>918</v>
      </c>
      <c r="Z740" t="s">
        <v>916</v>
      </c>
      <c r="AA740" s="2" t="s">
        <v>921</v>
      </c>
      <c r="AB740" s="9" t="s">
        <v>1009</v>
      </c>
      <c r="AC740" s="9" t="s">
        <v>1010</v>
      </c>
      <c r="AD740" s="10" t="str">
        <f>SUBSTITUTE(SUBSTITUTE(PROPERTIES[[#This Row],[PURCHASECOST_VALUE]], "PURCHASECOST_", ""), "_VALUE", "")</f>
        <v>COACH</v>
      </c>
      <c r="AE740" s="9" t="str" cm="1">
        <f t="array" ref="AE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0" s="2" t="b">
        <v>0</v>
      </c>
      <c r="AX740"/>
      <c r="AY740"/>
      <c r="AZ740"/>
    </row>
    <row r="741" spans="1:52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 s="2" t="s">
        <v>478</v>
      </c>
      <c r="K741" s="39">
        <f>_xlfn.XLOOKUP("LOADINGSPEEDDEF_"&amp;PROPERTIES[[#This Row],[LOADINGSPEED]],LOADINGSPEEDDEF[TYPE],LOADINGSPEEDDEF[SPEED])</f>
        <v>16</v>
      </c>
      <c r="L741">
        <v>55</v>
      </c>
      <c r="M741">
        <v>1</v>
      </c>
      <c r="N741" s="33">
        <v>32</v>
      </c>
      <c r="O741">
        <v>0</v>
      </c>
      <c r="P741">
        <v>120</v>
      </c>
      <c r="Q741" s="30">
        <v>0</v>
      </c>
      <c r="R741" s="29">
        <f>IFERROR(PROPERTIES[[#This Row],[TE_STARTING_KN]]/(PROPERTIES[[#This Row],[WEIGHT]]*9.81),0)</f>
        <v>0</v>
      </c>
      <c r="S741" s="29">
        <v>0.3</v>
      </c>
      <c r="T741" s="26">
        <f>ROUND(IF(IFERROR(PROPERTIES[[#This Row],[TE_COEFFICIENT_CALC]],0)=0,PROPERTIES[[#This Row],[TE_COEFFICIENT_MANUAL]],PROPERTIES[[#This Row],[TE_COEFFICIENT_CALC]]),3)</f>
        <v>0.3</v>
      </c>
      <c r="U741" s="11">
        <v>25</v>
      </c>
      <c r="V741" s="9">
        <v>0</v>
      </c>
      <c r="W741" s="9">
        <v>0</v>
      </c>
      <c r="X741" s="10">
        <v>0</v>
      </c>
      <c r="Y741" t="s">
        <v>918</v>
      </c>
      <c r="Z741" t="s">
        <v>916</v>
      </c>
      <c r="AA741" s="2" t="s">
        <v>921</v>
      </c>
      <c r="AB741" s="9" t="s">
        <v>1009</v>
      </c>
      <c r="AC741" s="9" t="s">
        <v>1010</v>
      </c>
      <c r="AD741" s="10" t="str">
        <f>SUBSTITUTE(SUBSTITUTE(PROPERTIES[[#This Row],[PURCHASECOST_VALUE]], "PURCHASECOST_", ""), "_VALUE", "")</f>
        <v>COACH</v>
      </c>
      <c r="AE741" s="9" t="str" cm="1">
        <f t="array" ref="AE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1" s="2" t="b">
        <v>0</v>
      </c>
      <c r="AX741"/>
      <c r="AY741"/>
      <c r="AZ741"/>
    </row>
    <row r="742" spans="1:52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 s="2" t="s">
        <v>673</v>
      </c>
      <c r="K742" s="39">
        <f>_xlfn.XLOOKUP("LOADINGSPEEDDEF_"&amp;PROPERTIES[[#This Row],[LOADINGSPEED]],LOADINGSPEEDDEF[TYPE],LOADINGSPEEDDEF[SPEED])</f>
        <v>15</v>
      </c>
      <c r="L742">
        <v>55</v>
      </c>
      <c r="M742">
        <v>1</v>
      </c>
      <c r="N742" s="33">
        <v>34</v>
      </c>
      <c r="O742">
        <v>0</v>
      </c>
      <c r="P742">
        <v>145</v>
      </c>
      <c r="Q742" s="30">
        <v>0</v>
      </c>
      <c r="R742" s="29">
        <f>IFERROR(PROPERTIES[[#This Row],[TE_STARTING_KN]]/(PROPERTIES[[#This Row],[WEIGHT]]*9.81),0)</f>
        <v>0</v>
      </c>
      <c r="S742" s="29">
        <v>0.3</v>
      </c>
      <c r="T742" s="26">
        <f>ROUND(IF(IFERROR(PROPERTIES[[#This Row],[TE_COEFFICIENT_CALC]],0)=0,PROPERTIES[[#This Row],[TE_COEFFICIENT_MANUAL]],PROPERTIES[[#This Row],[TE_COEFFICIENT_CALC]]),3)</f>
        <v>0.3</v>
      </c>
      <c r="U742" s="11">
        <v>25</v>
      </c>
      <c r="V742" s="9">
        <v>0</v>
      </c>
      <c r="W742" s="9">
        <v>0</v>
      </c>
      <c r="X742" s="10">
        <v>0</v>
      </c>
      <c r="Y742" t="s">
        <v>918</v>
      </c>
      <c r="Z742" t="s">
        <v>916</v>
      </c>
      <c r="AA742" s="2" t="s">
        <v>921</v>
      </c>
      <c r="AB742" s="9" t="s">
        <v>1009</v>
      </c>
      <c r="AC742" s="9" t="s">
        <v>1010</v>
      </c>
      <c r="AD742" s="10" t="str">
        <f>SUBSTITUTE(SUBSTITUTE(PROPERTIES[[#This Row],[PURCHASECOST_VALUE]], "PURCHASECOST_", ""), "_VALUE", "")</f>
        <v>COACH</v>
      </c>
      <c r="AE742" s="9" t="str" cm="1">
        <f t="array" ref="AE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2" s="2" t="b">
        <v>0</v>
      </c>
      <c r="AX742"/>
      <c r="AY742"/>
      <c r="AZ742"/>
    </row>
    <row r="743" spans="1:52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 s="2" t="s">
        <v>478</v>
      </c>
      <c r="K743" s="39">
        <f>_xlfn.XLOOKUP("LOADINGSPEEDDEF_"&amp;PROPERTIES[[#This Row],[LOADINGSPEED]],LOADINGSPEEDDEF[TYPE],LOADINGSPEEDDEF[SPEED])</f>
        <v>16</v>
      </c>
      <c r="L743">
        <v>50</v>
      </c>
      <c r="M743">
        <v>1</v>
      </c>
      <c r="N743" s="33">
        <v>30</v>
      </c>
      <c r="O743">
        <v>0</v>
      </c>
      <c r="P743">
        <v>160</v>
      </c>
      <c r="Q743" s="30">
        <v>0</v>
      </c>
      <c r="R743" s="29">
        <f>IFERROR(PROPERTIES[[#This Row],[TE_STARTING_KN]]/(PROPERTIES[[#This Row],[WEIGHT]]*9.81),0)</f>
        <v>0</v>
      </c>
      <c r="S743" s="29">
        <v>0.3</v>
      </c>
      <c r="T743" s="26">
        <f>ROUND(IF(IFERROR(PROPERTIES[[#This Row],[TE_COEFFICIENT_CALC]],0)=0,PROPERTIES[[#This Row],[TE_COEFFICIENT_MANUAL]],PROPERTIES[[#This Row],[TE_COEFFICIENT_CALC]]),3)</f>
        <v>0.3</v>
      </c>
      <c r="U743" s="11">
        <v>25</v>
      </c>
      <c r="V743" s="9">
        <v>0</v>
      </c>
      <c r="W743" s="9">
        <v>0</v>
      </c>
      <c r="X743" s="10">
        <v>0</v>
      </c>
      <c r="Y743" t="s">
        <v>914</v>
      </c>
      <c r="Z743" t="s">
        <v>906</v>
      </c>
      <c r="AA743" s="2" t="s">
        <v>921</v>
      </c>
      <c r="AB743" s="9" t="s">
        <v>1009</v>
      </c>
      <c r="AC743" s="9" t="s">
        <v>1010</v>
      </c>
      <c r="AD743" s="10" t="str">
        <f>SUBSTITUTE(SUBSTITUTE(PROPERTIES[[#This Row],[PURCHASECOST_VALUE]], "PURCHASECOST_", ""), "_VALUE", "")</f>
        <v>COACH</v>
      </c>
      <c r="AE743" s="9" t="str" cm="1">
        <f t="array" ref="AE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43" s="2" t="b">
        <v>0</v>
      </c>
      <c r="AX743"/>
      <c r="AY743"/>
      <c r="AZ743"/>
    </row>
    <row r="744" spans="1:52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 s="2" t="s">
        <v>478</v>
      </c>
      <c r="K744" s="39">
        <f>_xlfn.XLOOKUP("LOADINGSPEEDDEF_"&amp;PROPERTIES[[#This Row],[LOADINGSPEED]],LOADINGSPEEDDEF[TYPE],LOADINGSPEEDDEF[SPEED])</f>
        <v>16</v>
      </c>
      <c r="L744">
        <v>50</v>
      </c>
      <c r="M744">
        <v>1</v>
      </c>
      <c r="N744" s="33">
        <v>25</v>
      </c>
      <c r="O744">
        <v>0</v>
      </c>
      <c r="P744">
        <v>120</v>
      </c>
      <c r="Q744" s="30">
        <v>0</v>
      </c>
      <c r="R744" s="29">
        <f>IFERROR(PROPERTIES[[#This Row],[TE_STARTING_KN]]/(PROPERTIES[[#This Row],[WEIGHT]]*9.81),0)</f>
        <v>0</v>
      </c>
      <c r="S744" s="29">
        <v>0.3</v>
      </c>
      <c r="T744" s="26">
        <f>ROUND(IF(IFERROR(PROPERTIES[[#This Row],[TE_COEFFICIENT_CALC]],0)=0,PROPERTIES[[#This Row],[TE_COEFFICIENT_MANUAL]],PROPERTIES[[#This Row],[TE_COEFFICIENT_CALC]]),3)</f>
        <v>0.3</v>
      </c>
      <c r="U744" s="11">
        <v>25</v>
      </c>
      <c r="V744" s="9">
        <v>0</v>
      </c>
      <c r="W744" s="9">
        <v>0</v>
      </c>
      <c r="X744" s="10">
        <v>0</v>
      </c>
      <c r="Y744" t="s">
        <v>916</v>
      </c>
      <c r="Z744" t="s">
        <v>906</v>
      </c>
      <c r="AA744" s="2" t="s">
        <v>921</v>
      </c>
      <c r="AB744" s="9" t="s">
        <v>1009</v>
      </c>
      <c r="AC744" s="9" t="s">
        <v>1010</v>
      </c>
      <c r="AD744" s="10" t="str">
        <f>SUBSTITUTE(SUBSTITUTE(PROPERTIES[[#This Row],[PURCHASECOST_VALUE]], "PURCHASECOST_", ""), "_VALUE", "")</f>
        <v>COACH</v>
      </c>
      <c r="AE744" s="9" t="str" cm="1">
        <f t="array" ref="AE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4" s="2" t="b">
        <v>0</v>
      </c>
      <c r="AX744"/>
      <c r="AY744"/>
      <c r="AZ744"/>
    </row>
    <row r="745" spans="1:52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 s="2" t="s">
        <v>673</v>
      </c>
      <c r="K745" s="39">
        <f>_xlfn.XLOOKUP("LOADINGSPEEDDEF_"&amp;PROPERTIES[[#This Row],[LOADINGSPEED]],LOADINGSPEEDDEF[TYPE],LOADINGSPEEDDEF[SPEED])</f>
        <v>15</v>
      </c>
      <c r="L745">
        <v>50</v>
      </c>
      <c r="M745">
        <v>1</v>
      </c>
      <c r="N745" s="33">
        <v>24</v>
      </c>
      <c r="O745">
        <v>0</v>
      </c>
      <c r="P745">
        <v>160</v>
      </c>
      <c r="Q745" s="30">
        <v>0</v>
      </c>
      <c r="R745" s="29">
        <f>IFERROR(PROPERTIES[[#This Row],[TE_STARTING_KN]]/(PROPERTIES[[#This Row],[WEIGHT]]*9.81),0)</f>
        <v>0</v>
      </c>
      <c r="S745" s="29">
        <v>0.3</v>
      </c>
      <c r="T745" s="26">
        <f>ROUND(IF(IFERROR(PROPERTIES[[#This Row],[TE_COEFFICIENT_CALC]],0)=0,PROPERTIES[[#This Row],[TE_COEFFICIENT_MANUAL]],PROPERTIES[[#This Row],[TE_COEFFICIENT_CALC]]),3)</f>
        <v>0.3</v>
      </c>
      <c r="U745" s="11">
        <v>25</v>
      </c>
      <c r="V745" s="9">
        <v>0</v>
      </c>
      <c r="W745" s="9">
        <v>0</v>
      </c>
      <c r="X745" s="10">
        <v>0</v>
      </c>
      <c r="Y745" t="s">
        <v>916</v>
      </c>
      <c r="Z745" t="s">
        <v>906</v>
      </c>
      <c r="AA745" s="2" t="s">
        <v>921</v>
      </c>
      <c r="AB745" s="9" t="s">
        <v>1009</v>
      </c>
      <c r="AC745" s="9" t="s">
        <v>1010</v>
      </c>
      <c r="AD745" s="10" t="str">
        <f>SUBSTITUTE(SUBSTITUTE(PROPERTIES[[#This Row],[PURCHASECOST_VALUE]], "PURCHASECOST_", ""), "_VALUE", "")</f>
        <v>COACH</v>
      </c>
      <c r="AE745" s="9" t="str" cm="1">
        <f t="array" ref="AE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5" s="2" t="b">
        <v>0</v>
      </c>
      <c r="AX745"/>
      <c r="AY745"/>
      <c r="AZ745"/>
    </row>
    <row r="746" spans="1:52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 s="2" t="s">
        <v>478</v>
      </c>
      <c r="K746" s="39">
        <f>_xlfn.XLOOKUP("LOADINGSPEEDDEF_"&amp;PROPERTIES[[#This Row],[LOADINGSPEED]],LOADINGSPEEDDEF[TYPE],LOADINGSPEEDDEF[SPEED])</f>
        <v>16</v>
      </c>
      <c r="L746">
        <v>50</v>
      </c>
      <c r="M746">
        <v>1</v>
      </c>
      <c r="N746" s="33">
        <v>75</v>
      </c>
      <c r="O746">
        <v>0</v>
      </c>
      <c r="P746">
        <v>130</v>
      </c>
      <c r="Q746" s="30">
        <v>0</v>
      </c>
      <c r="R746" s="29">
        <f>IFERROR(PROPERTIES[[#This Row],[TE_STARTING_KN]]/(PROPERTIES[[#This Row],[WEIGHT]]*9.81),0)</f>
        <v>0</v>
      </c>
      <c r="S746" s="29">
        <v>0.3</v>
      </c>
      <c r="T746" s="26">
        <f>ROUND(IF(IFERROR(PROPERTIES[[#This Row],[TE_COEFFICIENT_CALC]],0)=0,PROPERTIES[[#This Row],[TE_COEFFICIENT_MANUAL]],PROPERTIES[[#This Row],[TE_COEFFICIENT_CALC]]),3)</f>
        <v>0.3</v>
      </c>
      <c r="U746" s="11">
        <v>25</v>
      </c>
      <c r="V746" s="9">
        <v>0</v>
      </c>
      <c r="W746" s="9">
        <v>0</v>
      </c>
      <c r="X746" s="10">
        <v>0</v>
      </c>
      <c r="Y746" t="s">
        <v>916</v>
      </c>
      <c r="Z746" t="s">
        <v>906</v>
      </c>
      <c r="AA746" s="2" t="s">
        <v>921</v>
      </c>
      <c r="AB746" s="9" t="s">
        <v>1009</v>
      </c>
      <c r="AC746" s="9" t="s">
        <v>1010</v>
      </c>
      <c r="AD746" s="10" t="str">
        <f>SUBSTITUTE(SUBSTITUTE(PROPERTIES[[#This Row],[PURCHASECOST_VALUE]], "PURCHASECOST_", ""), "_VALUE", "")</f>
        <v>COACH</v>
      </c>
      <c r="AE746" s="9" t="str" cm="1">
        <f t="array" ref="AE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6" s="2" t="b">
        <v>0</v>
      </c>
      <c r="AX746"/>
      <c r="AY746"/>
      <c r="AZ746"/>
    </row>
    <row r="747" spans="1:52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 s="2" t="s">
        <v>478</v>
      </c>
      <c r="K747" s="39">
        <f>_xlfn.XLOOKUP("LOADINGSPEEDDEF_"&amp;PROPERTIES[[#This Row],[LOADINGSPEED]],LOADINGSPEEDDEF[TYPE],LOADINGSPEEDDEF[SPEED])</f>
        <v>16</v>
      </c>
      <c r="L747">
        <v>50</v>
      </c>
      <c r="M747">
        <v>1</v>
      </c>
      <c r="N747" s="33">
        <v>35</v>
      </c>
      <c r="O747">
        <v>0</v>
      </c>
      <c r="P747">
        <v>145</v>
      </c>
      <c r="Q747" s="30">
        <v>0</v>
      </c>
      <c r="R747" s="29">
        <f>IFERROR(PROPERTIES[[#This Row],[TE_STARTING_KN]]/(PROPERTIES[[#This Row],[WEIGHT]]*9.81),0)</f>
        <v>0</v>
      </c>
      <c r="S747" s="29">
        <v>0.3</v>
      </c>
      <c r="T747" s="26">
        <f>ROUND(IF(IFERROR(PROPERTIES[[#This Row],[TE_COEFFICIENT_CALC]],0)=0,PROPERTIES[[#This Row],[TE_COEFFICIENT_MANUAL]],PROPERTIES[[#This Row],[TE_COEFFICIENT_CALC]]),3)</f>
        <v>0.3</v>
      </c>
      <c r="U747" s="11">
        <v>25</v>
      </c>
      <c r="V747" s="9">
        <v>0</v>
      </c>
      <c r="W747" s="9">
        <v>0</v>
      </c>
      <c r="X747" s="10">
        <v>0</v>
      </c>
      <c r="Y747" t="s">
        <v>914</v>
      </c>
      <c r="Z747" t="s">
        <v>903</v>
      </c>
      <c r="AA747" s="2" t="s">
        <v>921</v>
      </c>
      <c r="AB747" s="9" t="s">
        <v>1009</v>
      </c>
      <c r="AC747" s="9" t="s">
        <v>1010</v>
      </c>
      <c r="AD747" s="10" t="str">
        <f>SUBSTITUTE(SUBSTITUTE(PROPERTIES[[#This Row],[PURCHASECOST_VALUE]], "PURCHASECOST_", ""), "_VALUE", "")</f>
        <v>COACH</v>
      </c>
      <c r="AE747" s="9" t="str" cm="1">
        <f t="array" ref="AE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7" s="2" t="b">
        <v>0</v>
      </c>
      <c r="AX747"/>
      <c r="AY747"/>
      <c r="AZ747"/>
    </row>
    <row r="748" spans="1:52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 s="2" t="s">
        <v>478</v>
      </c>
      <c r="K748" s="39">
        <f>_xlfn.XLOOKUP("LOADINGSPEEDDEF_"&amp;PROPERTIES[[#This Row],[LOADINGSPEED]],LOADINGSPEEDDEF[TYPE],LOADINGSPEEDDEF[SPEED])</f>
        <v>16</v>
      </c>
      <c r="L748">
        <v>50</v>
      </c>
      <c r="M748">
        <v>1</v>
      </c>
      <c r="N748" s="33">
        <v>31</v>
      </c>
      <c r="O748">
        <v>0</v>
      </c>
      <c r="P748">
        <v>120</v>
      </c>
      <c r="Q748" s="30">
        <v>0</v>
      </c>
      <c r="R748" s="29">
        <f>IFERROR(PROPERTIES[[#This Row],[TE_STARTING_KN]]/(PROPERTIES[[#This Row],[WEIGHT]]*9.81),0)</f>
        <v>0</v>
      </c>
      <c r="S748" s="29">
        <v>0.3</v>
      </c>
      <c r="T748" s="26">
        <f>ROUND(IF(IFERROR(PROPERTIES[[#This Row],[TE_COEFFICIENT_CALC]],0)=0,PROPERTIES[[#This Row],[TE_COEFFICIENT_MANUAL]],PROPERTIES[[#This Row],[TE_COEFFICIENT_CALC]]),3)</f>
        <v>0.3</v>
      </c>
      <c r="U748" s="11">
        <v>25</v>
      </c>
      <c r="V748" s="9">
        <v>0</v>
      </c>
      <c r="W748" s="9">
        <v>0</v>
      </c>
      <c r="X748" s="10">
        <v>0</v>
      </c>
      <c r="Y748" t="s">
        <v>914</v>
      </c>
      <c r="Z748" t="s">
        <v>903</v>
      </c>
      <c r="AA748" s="2" t="s">
        <v>921</v>
      </c>
      <c r="AB748" s="9" t="s">
        <v>1009</v>
      </c>
      <c r="AC748" s="9" t="s">
        <v>1010</v>
      </c>
      <c r="AD748" s="10" t="str">
        <f>SUBSTITUTE(SUBSTITUTE(PROPERTIES[[#This Row],[PURCHASECOST_VALUE]], "PURCHASECOST_", ""), "_VALUE", "")</f>
        <v>COACH</v>
      </c>
      <c r="AE748" s="9" t="str" cm="1">
        <f t="array" ref="AE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8" s="2" t="b">
        <v>0</v>
      </c>
      <c r="AX748"/>
      <c r="AY748"/>
      <c r="AZ748"/>
    </row>
    <row r="749" spans="1:52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 s="2" t="s">
        <v>673</v>
      </c>
      <c r="K749" s="39">
        <f>_xlfn.XLOOKUP("LOADINGSPEEDDEF_"&amp;PROPERTIES[[#This Row],[LOADINGSPEED]],LOADINGSPEEDDEF[TYPE],LOADINGSPEEDDEF[SPEED])</f>
        <v>15</v>
      </c>
      <c r="L749">
        <v>50</v>
      </c>
      <c r="M749">
        <v>1</v>
      </c>
      <c r="N749" s="33">
        <v>34</v>
      </c>
      <c r="O749">
        <v>0</v>
      </c>
      <c r="P749">
        <v>145</v>
      </c>
      <c r="Q749" s="30">
        <v>0</v>
      </c>
      <c r="R749" s="29">
        <f>IFERROR(PROPERTIES[[#This Row],[TE_STARTING_KN]]/(PROPERTIES[[#This Row],[WEIGHT]]*9.81),0)</f>
        <v>0</v>
      </c>
      <c r="S749" s="29">
        <v>0.3</v>
      </c>
      <c r="T749" s="26">
        <f>ROUND(IF(IFERROR(PROPERTIES[[#This Row],[TE_COEFFICIENT_CALC]],0)=0,PROPERTIES[[#This Row],[TE_COEFFICIENT_MANUAL]],PROPERTIES[[#This Row],[TE_COEFFICIENT_CALC]]),3)</f>
        <v>0.3</v>
      </c>
      <c r="U749" s="11">
        <v>25</v>
      </c>
      <c r="V749" s="9">
        <v>0</v>
      </c>
      <c r="W749" s="9">
        <v>0</v>
      </c>
      <c r="X749" s="10">
        <v>0</v>
      </c>
      <c r="Y749" t="s">
        <v>914</v>
      </c>
      <c r="Z749" t="s">
        <v>903</v>
      </c>
      <c r="AA749" s="2" t="s">
        <v>921</v>
      </c>
      <c r="AB749" s="9" t="s">
        <v>1009</v>
      </c>
      <c r="AC749" s="9" t="s">
        <v>1010</v>
      </c>
      <c r="AD749" s="10" t="str">
        <f>SUBSTITUTE(SUBSTITUTE(PROPERTIES[[#This Row],[PURCHASECOST_VALUE]], "PURCHASECOST_", ""), "_VALUE", "")</f>
        <v>COACH</v>
      </c>
      <c r="AE749" s="9" t="str" cm="1">
        <f t="array" ref="AE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9" s="2" t="b">
        <v>0</v>
      </c>
      <c r="AX749"/>
      <c r="AY749"/>
      <c r="AZ749"/>
    </row>
    <row r="750" spans="1:52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 s="2" t="s">
        <v>478</v>
      </c>
      <c r="K750" s="39">
        <f>_xlfn.XLOOKUP("LOADINGSPEEDDEF_"&amp;PROPERTIES[[#This Row],[LOADINGSPEED]],LOADINGSPEEDDEF[TYPE],LOADINGSPEEDDEF[SPEED])</f>
        <v>16</v>
      </c>
      <c r="L750">
        <v>50</v>
      </c>
      <c r="M750">
        <v>1</v>
      </c>
      <c r="N750" s="33">
        <v>42</v>
      </c>
      <c r="O750">
        <v>0</v>
      </c>
      <c r="P750">
        <v>160</v>
      </c>
      <c r="Q750" s="30">
        <v>0</v>
      </c>
      <c r="R750" s="29">
        <f>IFERROR(PROPERTIES[[#This Row],[TE_STARTING_KN]]/(PROPERTIES[[#This Row],[WEIGHT]]*9.81),0)</f>
        <v>0</v>
      </c>
      <c r="S750" s="29">
        <v>0.3</v>
      </c>
      <c r="T750" s="26">
        <f>ROUND(IF(IFERROR(PROPERTIES[[#This Row],[TE_COEFFICIENT_CALC]],0)=0,PROPERTIES[[#This Row],[TE_COEFFICIENT_MANUAL]],PROPERTIES[[#This Row],[TE_COEFFICIENT_CALC]]),3)</f>
        <v>0.3</v>
      </c>
      <c r="U750" s="11">
        <v>25</v>
      </c>
      <c r="V750" s="9">
        <v>0</v>
      </c>
      <c r="W750" s="9">
        <v>0</v>
      </c>
      <c r="X750" s="10">
        <v>0</v>
      </c>
      <c r="Y750" t="s">
        <v>914</v>
      </c>
      <c r="Z750" t="s">
        <v>903</v>
      </c>
      <c r="AA750" s="2" t="s">
        <v>921</v>
      </c>
      <c r="AB750" s="9" t="s">
        <v>1009</v>
      </c>
      <c r="AC750" s="9" t="s">
        <v>1010</v>
      </c>
      <c r="AD750" s="10" t="str">
        <f>SUBSTITUTE(SUBSTITUTE(PROPERTIES[[#This Row],[PURCHASECOST_VALUE]], "PURCHASECOST_", ""), "_VALUE", "")</f>
        <v>COACH</v>
      </c>
      <c r="AE750" s="9" t="str" cm="1">
        <f t="array" ref="AE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50" s="2" t="b">
        <v>0</v>
      </c>
      <c r="AX750"/>
      <c r="AY750"/>
      <c r="AZ750"/>
    </row>
    <row r="751" spans="1:52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 s="2" t="s">
        <v>478</v>
      </c>
      <c r="K751" s="39">
        <f>_xlfn.XLOOKUP("LOADINGSPEEDDEF_"&amp;PROPERTIES[[#This Row],[LOADINGSPEED]],LOADINGSPEEDDEF[TYPE],LOADINGSPEEDDEF[SPEED])</f>
        <v>16</v>
      </c>
      <c r="L751">
        <v>50</v>
      </c>
      <c r="M751">
        <v>1</v>
      </c>
      <c r="N751" s="33">
        <v>48</v>
      </c>
      <c r="O751">
        <v>0</v>
      </c>
      <c r="P751">
        <v>160</v>
      </c>
      <c r="Q751" s="30">
        <v>0</v>
      </c>
      <c r="R751" s="29">
        <f>IFERROR(PROPERTIES[[#This Row],[TE_STARTING_KN]]/(PROPERTIES[[#This Row],[WEIGHT]]*9.81),0)</f>
        <v>0</v>
      </c>
      <c r="S751" s="29">
        <v>0.3</v>
      </c>
      <c r="T751" s="26">
        <f>ROUND(IF(IFERROR(PROPERTIES[[#This Row],[TE_COEFFICIENT_CALC]],0)=0,PROPERTIES[[#This Row],[TE_COEFFICIENT_MANUAL]],PROPERTIES[[#This Row],[TE_COEFFICIENT_CALC]]),3)</f>
        <v>0.3</v>
      </c>
      <c r="U751" s="11">
        <v>25</v>
      </c>
      <c r="V751" s="9">
        <v>0</v>
      </c>
      <c r="W751" s="9">
        <v>0</v>
      </c>
      <c r="X751" s="10">
        <v>0</v>
      </c>
      <c r="Y751" t="s">
        <v>913</v>
      </c>
      <c r="Z751" t="s">
        <v>903</v>
      </c>
      <c r="AA751" s="2" t="s">
        <v>921</v>
      </c>
      <c r="AB751" s="9" t="s">
        <v>1009</v>
      </c>
      <c r="AC751" s="9" t="s">
        <v>1010</v>
      </c>
      <c r="AD751" s="10" t="str">
        <f>SUBSTITUTE(SUBSTITUTE(PROPERTIES[[#This Row],[PURCHASECOST_VALUE]], "PURCHASECOST_", ""), "_VALUE", "")</f>
        <v>COACH</v>
      </c>
      <c r="AE751" s="9" t="str" cm="1">
        <f t="array" ref="AE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51" s="2" t="b">
        <v>0</v>
      </c>
      <c r="AX751"/>
      <c r="AY751"/>
      <c r="AZ751"/>
    </row>
    <row r="752" spans="1:52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 s="2" t="s">
        <v>478</v>
      </c>
      <c r="K752" s="39">
        <f>_xlfn.XLOOKUP("LOADINGSPEEDDEF_"&amp;PROPERTIES[[#This Row],[LOADINGSPEED]],LOADINGSPEEDDEF[TYPE],LOADINGSPEEDDEF[SPEED])</f>
        <v>16</v>
      </c>
      <c r="L752">
        <v>50</v>
      </c>
      <c r="M752">
        <v>1</v>
      </c>
      <c r="N752" s="33">
        <v>35</v>
      </c>
      <c r="O752">
        <v>0</v>
      </c>
      <c r="P752">
        <v>140</v>
      </c>
      <c r="Q752" s="30">
        <v>0</v>
      </c>
      <c r="R752" s="29">
        <f>IFERROR(PROPERTIES[[#This Row],[TE_STARTING_KN]]/(PROPERTIES[[#This Row],[WEIGHT]]*9.81),0)</f>
        <v>0</v>
      </c>
      <c r="S752" s="29">
        <v>0.3</v>
      </c>
      <c r="T752" s="26">
        <f>ROUND(IF(IFERROR(PROPERTIES[[#This Row],[TE_COEFFICIENT_CALC]],0)=0,PROPERTIES[[#This Row],[TE_COEFFICIENT_MANUAL]],PROPERTIES[[#This Row],[TE_COEFFICIENT_CALC]]),3)</f>
        <v>0.3</v>
      </c>
      <c r="U752" s="11">
        <v>25</v>
      </c>
      <c r="V752" s="9">
        <v>0</v>
      </c>
      <c r="W752" s="9">
        <v>0</v>
      </c>
      <c r="X752" s="10">
        <v>0</v>
      </c>
      <c r="Y752" t="s">
        <v>914</v>
      </c>
      <c r="Z752" t="s">
        <v>903</v>
      </c>
      <c r="AA752" s="2" t="s">
        <v>921</v>
      </c>
      <c r="AB752" s="9" t="s">
        <v>1009</v>
      </c>
      <c r="AC752" s="9" t="s">
        <v>1010</v>
      </c>
      <c r="AD752" s="10" t="str">
        <f>SUBSTITUTE(SUBSTITUTE(PROPERTIES[[#This Row],[PURCHASECOST_VALUE]], "PURCHASECOST_", ""), "_VALUE", "")</f>
        <v>COACH</v>
      </c>
      <c r="AE752" s="9" t="str" cm="1">
        <f t="array" ref="AE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2" s="2" t="b">
        <v>0</v>
      </c>
      <c r="AX752"/>
      <c r="AY752"/>
      <c r="AZ752"/>
    </row>
    <row r="753" spans="1:52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 s="2" t="s">
        <v>23</v>
      </c>
      <c r="K753" s="39">
        <f>_xlfn.XLOOKUP("LOADINGSPEEDDEF_"&amp;PROPERTIES[[#This Row],[LOADINGSPEED]],LOADINGSPEEDDEF[TYPE],LOADINGSPEEDDEF[SPEED])</f>
        <v>40</v>
      </c>
      <c r="L753">
        <v>50</v>
      </c>
      <c r="M753">
        <v>1</v>
      </c>
      <c r="N753" s="33">
        <v>30</v>
      </c>
      <c r="O753">
        <v>0</v>
      </c>
      <c r="P753">
        <v>100</v>
      </c>
      <c r="Q753" s="30">
        <v>0</v>
      </c>
      <c r="R753" s="29">
        <f>IFERROR(PROPERTIES[[#This Row],[TE_STARTING_KN]]/(PROPERTIES[[#This Row],[WEIGHT]]*9.81),0)</f>
        <v>0</v>
      </c>
      <c r="S753" s="29">
        <v>0.3</v>
      </c>
      <c r="T753" s="26">
        <f>ROUND(IF(IFERROR(PROPERTIES[[#This Row],[TE_COEFFICIENT_CALC]],0)=0,PROPERTIES[[#This Row],[TE_COEFFICIENT_MANUAL]],PROPERTIES[[#This Row],[TE_COEFFICIENT_CALC]]),3)</f>
        <v>0.3</v>
      </c>
      <c r="U753" s="11">
        <v>25</v>
      </c>
      <c r="V753" s="9">
        <v>0</v>
      </c>
      <c r="W753" s="9">
        <v>0</v>
      </c>
      <c r="X753" s="10">
        <v>0</v>
      </c>
      <c r="Y753" t="s">
        <v>914</v>
      </c>
      <c r="Z753" t="s">
        <v>903</v>
      </c>
      <c r="AA753" s="2" t="s">
        <v>921</v>
      </c>
      <c r="AB753" s="9" t="s">
        <v>1009</v>
      </c>
      <c r="AC753" s="9" t="s">
        <v>1010</v>
      </c>
      <c r="AD753" s="10" t="str">
        <f>SUBSTITUTE(SUBSTITUTE(PROPERTIES[[#This Row],[PURCHASECOST_VALUE]], "PURCHASECOST_", ""), "_VALUE", "")</f>
        <v>COACH</v>
      </c>
      <c r="AE753" s="9" t="str" cm="1">
        <f t="array" ref="AE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3" s="2" t="b">
        <v>0</v>
      </c>
      <c r="AX753"/>
      <c r="AY753"/>
      <c r="AZ753"/>
    </row>
    <row r="754" spans="1:52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 s="2" t="s">
        <v>23</v>
      </c>
      <c r="K754" s="39">
        <f>_xlfn.XLOOKUP("LOADINGSPEEDDEF_"&amp;PROPERTIES[[#This Row],[LOADINGSPEED]],LOADINGSPEEDDEF[TYPE],LOADINGSPEEDDEF[SPEED])</f>
        <v>40</v>
      </c>
      <c r="L754">
        <v>40</v>
      </c>
      <c r="M754">
        <v>1</v>
      </c>
      <c r="N754" s="33">
        <f>85/2</f>
        <v>42.5</v>
      </c>
      <c r="O754">
        <v>0</v>
      </c>
      <c r="P754">
        <v>120</v>
      </c>
      <c r="Q754" s="30">
        <v>0</v>
      </c>
      <c r="R754" s="29">
        <f>IFERROR(PROPERTIES[[#This Row],[TE_STARTING_KN]]/(PROPERTIES[[#This Row],[WEIGHT]]*9.81),0)</f>
        <v>0</v>
      </c>
      <c r="S754" s="29">
        <v>0.3</v>
      </c>
      <c r="T754" s="26">
        <f>ROUND(IF(IFERROR(PROPERTIES[[#This Row],[TE_COEFFICIENT_CALC]],0)=0,PROPERTIES[[#This Row],[TE_COEFFICIENT_MANUAL]],PROPERTIES[[#This Row],[TE_COEFFICIENT_CALC]]),3)</f>
        <v>0.3</v>
      </c>
      <c r="U754" s="11">
        <v>25</v>
      </c>
      <c r="V754" s="9">
        <v>0</v>
      </c>
      <c r="W754" s="9">
        <v>0</v>
      </c>
      <c r="X754" s="10">
        <v>0</v>
      </c>
      <c r="Y754" t="s">
        <v>914</v>
      </c>
      <c r="Z754" t="s">
        <v>903</v>
      </c>
      <c r="AA754" s="2" t="s">
        <v>921</v>
      </c>
      <c r="AB754" s="9" t="s">
        <v>1009</v>
      </c>
      <c r="AC754" s="9" t="s">
        <v>1010</v>
      </c>
      <c r="AD754" s="10" t="str">
        <f>SUBSTITUTE(SUBSTITUTE(PROPERTIES[[#This Row],[PURCHASECOST_VALUE]], "PURCHASECOST_", ""), "_VALUE", "")</f>
        <v>COACH</v>
      </c>
      <c r="AE754" s="9" t="str" cm="1">
        <f t="array" ref="AE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4" s="2" t="b">
        <v>0</v>
      </c>
      <c r="AX754"/>
      <c r="AY754"/>
      <c r="AZ754"/>
    </row>
    <row r="755" spans="1:52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 s="2" t="s">
        <v>673</v>
      </c>
      <c r="K755" s="39">
        <f>_xlfn.XLOOKUP("LOADINGSPEEDDEF_"&amp;PROPERTIES[[#This Row],[LOADINGSPEED]],LOADINGSPEEDDEF[TYPE],LOADINGSPEEDDEF[SPEED])</f>
        <v>15</v>
      </c>
      <c r="L755">
        <v>50</v>
      </c>
      <c r="M755">
        <v>1</v>
      </c>
      <c r="N755" s="33">
        <v>40</v>
      </c>
      <c r="O755">
        <v>0</v>
      </c>
      <c r="P755">
        <v>160</v>
      </c>
      <c r="Q755" s="30">
        <v>0</v>
      </c>
      <c r="R755" s="29">
        <f>IFERROR(PROPERTIES[[#This Row],[TE_STARTING_KN]]/(PROPERTIES[[#This Row],[WEIGHT]]*9.81),0)</f>
        <v>0</v>
      </c>
      <c r="S755" s="29">
        <v>0.3</v>
      </c>
      <c r="T755" s="26">
        <f>ROUND(IF(IFERROR(PROPERTIES[[#This Row],[TE_COEFFICIENT_CALC]],0)=0,PROPERTIES[[#This Row],[TE_COEFFICIENT_MANUAL]],PROPERTIES[[#This Row],[TE_COEFFICIENT_CALC]]),3)</f>
        <v>0.3</v>
      </c>
      <c r="U755" s="11">
        <v>25</v>
      </c>
      <c r="V755" s="9">
        <v>0</v>
      </c>
      <c r="W755" s="9">
        <v>0</v>
      </c>
      <c r="X755" s="10">
        <v>0</v>
      </c>
      <c r="Y755" t="s">
        <v>914</v>
      </c>
      <c r="Z755" t="s">
        <v>903</v>
      </c>
      <c r="AA755" s="2" t="s">
        <v>921</v>
      </c>
      <c r="AB755" s="9" t="s">
        <v>1009</v>
      </c>
      <c r="AC755" s="9" t="s">
        <v>1010</v>
      </c>
      <c r="AD755" s="10" t="str">
        <f>SUBSTITUTE(SUBSTITUTE(PROPERTIES[[#This Row],[PURCHASECOST_VALUE]], "PURCHASECOST_", ""), "_VALUE", "")</f>
        <v>COACH</v>
      </c>
      <c r="AE755" s="9" t="str" cm="1">
        <f t="array" ref="AE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55" s="2" t="b">
        <v>0</v>
      </c>
      <c r="AX755"/>
      <c r="AY755"/>
      <c r="AZ755"/>
    </row>
    <row r="756" spans="1:52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 s="2" t="s">
        <v>478</v>
      </c>
      <c r="K756" s="39">
        <f>_xlfn.XLOOKUP("LOADINGSPEEDDEF_"&amp;PROPERTIES[[#This Row],[LOADINGSPEED]],LOADINGSPEEDDEF[TYPE],LOADINGSPEEDDEF[SPEED])</f>
        <v>16</v>
      </c>
      <c r="L756">
        <v>60</v>
      </c>
      <c r="M756">
        <v>1</v>
      </c>
      <c r="N756" s="33">
        <v>42</v>
      </c>
      <c r="O756">
        <v>0</v>
      </c>
      <c r="P756">
        <v>130</v>
      </c>
      <c r="Q756" s="30">
        <v>0</v>
      </c>
      <c r="R756" s="29">
        <f>IFERROR(PROPERTIES[[#This Row],[TE_STARTING_KN]]/(PROPERTIES[[#This Row],[WEIGHT]]*9.81),0)</f>
        <v>0</v>
      </c>
      <c r="S756" s="29">
        <v>0.3</v>
      </c>
      <c r="T756" s="26">
        <f>ROUND(IF(IFERROR(PROPERTIES[[#This Row],[TE_COEFFICIENT_CALC]],0)=0,PROPERTIES[[#This Row],[TE_COEFFICIENT_MANUAL]],PROPERTIES[[#This Row],[TE_COEFFICIENT_CALC]]),3)</f>
        <v>0.3</v>
      </c>
      <c r="U756" s="11">
        <v>25</v>
      </c>
      <c r="V756" s="9">
        <v>0</v>
      </c>
      <c r="W756" s="9">
        <v>0</v>
      </c>
      <c r="X756" s="10">
        <v>0</v>
      </c>
      <c r="Y756" t="s">
        <v>912</v>
      </c>
      <c r="Z756" t="s">
        <v>903</v>
      </c>
      <c r="AA756" s="2" t="s">
        <v>921</v>
      </c>
      <c r="AB756" s="9" t="s">
        <v>1009</v>
      </c>
      <c r="AC756" s="9" t="s">
        <v>1010</v>
      </c>
      <c r="AD756" s="10" t="str">
        <f>SUBSTITUTE(SUBSTITUTE(PROPERTIES[[#This Row],[PURCHASECOST_VALUE]], "PURCHASECOST_", ""), "_VALUE", "")</f>
        <v>COACH</v>
      </c>
      <c r="AE756" s="9" t="str" cm="1">
        <f t="array" ref="AE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6" s="2" t="b">
        <v>0</v>
      </c>
      <c r="AX756"/>
      <c r="AY756"/>
      <c r="AZ756"/>
    </row>
    <row r="757" spans="1:52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 s="2" t="s">
        <v>23</v>
      </c>
      <c r="K757" s="39">
        <f>_xlfn.XLOOKUP("LOADINGSPEEDDEF_"&amp;PROPERTIES[[#This Row],[LOADINGSPEED]],LOADINGSPEEDDEF[TYPE],LOADINGSPEEDDEF[SPEED])</f>
        <v>40</v>
      </c>
      <c r="L757">
        <v>60</v>
      </c>
      <c r="M757">
        <v>1</v>
      </c>
      <c r="N757" s="33">
        <v>39</v>
      </c>
      <c r="O757">
        <v>0</v>
      </c>
      <c r="P757">
        <v>110</v>
      </c>
      <c r="Q757" s="30">
        <v>0</v>
      </c>
      <c r="R757" s="29">
        <f>IFERROR(PROPERTIES[[#This Row],[TE_STARTING_KN]]/(PROPERTIES[[#This Row],[WEIGHT]]*9.81),0)</f>
        <v>0</v>
      </c>
      <c r="S757" s="29">
        <v>0.3</v>
      </c>
      <c r="T757" s="26">
        <f>ROUND(IF(IFERROR(PROPERTIES[[#This Row],[TE_COEFFICIENT_CALC]],0)=0,PROPERTIES[[#This Row],[TE_COEFFICIENT_MANUAL]],PROPERTIES[[#This Row],[TE_COEFFICIENT_CALC]]),3)</f>
        <v>0.3</v>
      </c>
      <c r="U757" s="11">
        <v>25</v>
      </c>
      <c r="V757" s="9">
        <v>0</v>
      </c>
      <c r="W757" s="9">
        <v>0</v>
      </c>
      <c r="X757" s="10">
        <v>0</v>
      </c>
      <c r="Y757" t="s">
        <v>912</v>
      </c>
      <c r="Z757" t="s">
        <v>903</v>
      </c>
      <c r="AA757" s="2" t="s">
        <v>921</v>
      </c>
      <c r="AB757" s="9" t="s">
        <v>1009</v>
      </c>
      <c r="AC757" s="9" t="s">
        <v>1010</v>
      </c>
      <c r="AD757" s="10" t="str">
        <f>SUBSTITUTE(SUBSTITUTE(PROPERTIES[[#This Row],[PURCHASECOST_VALUE]], "PURCHASECOST_", ""), "_VALUE", "")</f>
        <v>COACH</v>
      </c>
      <c r="AE757" s="9" t="str" cm="1">
        <f t="array" ref="AE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7" s="2" t="b">
        <v>0</v>
      </c>
      <c r="AX757"/>
      <c r="AY757"/>
      <c r="AZ757"/>
    </row>
    <row r="758" spans="1:52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 s="2" t="s">
        <v>478</v>
      </c>
      <c r="K758" s="39">
        <f>_xlfn.XLOOKUP("LOADINGSPEEDDEF_"&amp;PROPERTIES[[#This Row],[LOADINGSPEED]],LOADINGSPEEDDEF[TYPE],LOADINGSPEEDDEF[SPEED])</f>
        <v>16</v>
      </c>
      <c r="L758">
        <v>60</v>
      </c>
      <c r="M758">
        <v>1</v>
      </c>
      <c r="N758" s="33">
        <v>37.5</v>
      </c>
      <c r="O758">
        <v>0</v>
      </c>
      <c r="P758">
        <v>110</v>
      </c>
      <c r="Q758" s="30">
        <v>0</v>
      </c>
      <c r="R758" s="29">
        <f>IFERROR(PROPERTIES[[#This Row],[TE_STARTING_KN]]/(PROPERTIES[[#This Row],[WEIGHT]]*9.81),0)</f>
        <v>0</v>
      </c>
      <c r="S758" s="29">
        <v>0.3</v>
      </c>
      <c r="T758" s="26">
        <f>ROUND(IF(IFERROR(PROPERTIES[[#This Row],[TE_COEFFICIENT_CALC]],0)=0,PROPERTIES[[#This Row],[TE_COEFFICIENT_MANUAL]],PROPERTIES[[#This Row],[TE_COEFFICIENT_CALC]]),3)</f>
        <v>0.3</v>
      </c>
      <c r="U758" s="11">
        <v>25</v>
      </c>
      <c r="V758" s="9">
        <v>0</v>
      </c>
      <c r="W758" s="9">
        <v>0</v>
      </c>
      <c r="X758" s="10">
        <v>0</v>
      </c>
      <c r="Y758" t="s">
        <v>912</v>
      </c>
      <c r="Z758" t="s">
        <v>903</v>
      </c>
      <c r="AA758" s="2" t="s">
        <v>921</v>
      </c>
      <c r="AB758" s="9" t="s">
        <v>1009</v>
      </c>
      <c r="AC758" s="9" t="s">
        <v>1010</v>
      </c>
      <c r="AD758" s="10" t="str">
        <f>SUBSTITUTE(SUBSTITUTE(PROPERTIES[[#This Row],[PURCHASECOST_VALUE]], "PURCHASECOST_", ""), "_VALUE", "")</f>
        <v>COACH</v>
      </c>
      <c r="AE758" s="9" t="str" cm="1">
        <f t="array" ref="AE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8" s="2" t="b">
        <v>0</v>
      </c>
      <c r="AX758"/>
      <c r="AY758"/>
      <c r="AZ758"/>
    </row>
    <row r="759" spans="1:52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 s="2" t="s">
        <v>673</v>
      </c>
      <c r="K759" s="39">
        <f>_xlfn.XLOOKUP("LOADINGSPEEDDEF_"&amp;PROPERTIES[[#This Row],[LOADINGSPEED]],LOADINGSPEEDDEF[TYPE],LOADINGSPEEDDEF[SPEED])</f>
        <v>15</v>
      </c>
      <c r="L759">
        <v>60</v>
      </c>
      <c r="M759">
        <v>1</v>
      </c>
      <c r="N759" s="33">
        <v>38</v>
      </c>
      <c r="O759">
        <v>0</v>
      </c>
      <c r="P759">
        <v>110</v>
      </c>
      <c r="Q759" s="30">
        <v>0</v>
      </c>
      <c r="R759" s="29">
        <f>IFERROR(PROPERTIES[[#This Row],[TE_STARTING_KN]]/(PROPERTIES[[#This Row],[WEIGHT]]*9.81),0)</f>
        <v>0</v>
      </c>
      <c r="S759" s="29">
        <v>0.3</v>
      </c>
      <c r="T759" s="26">
        <f>ROUND(IF(IFERROR(PROPERTIES[[#This Row],[TE_COEFFICIENT_CALC]],0)=0,PROPERTIES[[#This Row],[TE_COEFFICIENT_MANUAL]],PROPERTIES[[#This Row],[TE_COEFFICIENT_CALC]]),3)</f>
        <v>0.3</v>
      </c>
      <c r="U759" s="11">
        <v>25</v>
      </c>
      <c r="V759" s="9">
        <v>0</v>
      </c>
      <c r="W759" s="9">
        <v>0</v>
      </c>
      <c r="X759" s="10">
        <v>0</v>
      </c>
      <c r="Y759" t="s">
        <v>912</v>
      </c>
      <c r="Z759" t="s">
        <v>903</v>
      </c>
      <c r="AA759" s="2" t="s">
        <v>921</v>
      </c>
      <c r="AB759" s="9" t="s">
        <v>1009</v>
      </c>
      <c r="AC759" s="9" t="s">
        <v>1010</v>
      </c>
      <c r="AD759" s="10" t="str">
        <f>SUBSTITUTE(SUBSTITUTE(PROPERTIES[[#This Row],[PURCHASECOST_VALUE]], "PURCHASECOST_", ""), "_VALUE", "")</f>
        <v>COACH</v>
      </c>
      <c r="AE759" s="9" t="str" cm="1">
        <f t="array" ref="AE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59" s="2" t="b">
        <v>0</v>
      </c>
      <c r="AX759"/>
      <c r="AY759"/>
      <c r="AZ759"/>
    </row>
    <row r="760" spans="1:52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 s="2" t="s">
        <v>478</v>
      </c>
      <c r="K760" s="39">
        <f>_xlfn.XLOOKUP("LOADINGSPEEDDEF_"&amp;PROPERTIES[[#This Row],[LOADINGSPEED]],LOADINGSPEEDDEF[TYPE],LOADINGSPEEDDEF[SPEED])</f>
        <v>16</v>
      </c>
      <c r="L760">
        <v>50</v>
      </c>
      <c r="M760">
        <v>1</v>
      </c>
      <c r="N760" s="33">
        <v>42</v>
      </c>
      <c r="O760">
        <v>0</v>
      </c>
      <c r="P760">
        <v>200</v>
      </c>
      <c r="Q760" s="30">
        <v>0</v>
      </c>
      <c r="R760" s="29">
        <f>IFERROR(PROPERTIES[[#This Row],[TE_STARTING_KN]]/(PROPERTIES[[#This Row],[WEIGHT]]*9.81),0)</f>
        <v>0</v>
      </c>
      <c r="S760" s="29">
        <v>0.3</v>
      </c>
      <c r="T760" s="26">
        <f>ROUND(IF(IFERROR(PROPERTIES[[#This Row],[TE_COEFFICIENT_CALC]],0)=0,PROPERTIES[[#This Row],[TE_COEFFICIENT_MANUAL]],PROPERTIES[[#This Row],[TE_COEFFICIENT_CALC]]),3)</f>
        <v>0.3</v>
      </c>
      <c r="U760" s="11">
        <v>25</v>
      </c>
      <c r="V760" s="9">
        <v>0</v>
      </c>
      <c r="W760" s="9">
        <v>0</v>
      </c>
      <c r="X760" s="10">
        <v>0</v>
      </c>
      <c r="Y760" t="s">
        <v>914</v>
      </c>
      <c r="Z760" t="s">
        <v>903</v>
      </c>
      <c r="AA760" s="2" t="s">
        <v>921</v>
      </c>
      <c r="AB760" s="9" t="s">
        <v>1009</v>
      </c>
      <c r="AC760" s="9" t="s">
        <v>1010</v>
      </c>
      <c r="AD760" s="10" t="str">
        <f>SUBSTITUTE(SUBSTITUTE(PROPERTIES[[#This Row],[PURCHASECOST_VALUE]], "PURCHASECOST_", ""), "_VALUE", "")</f>
        <v>COACH</v>
      </c>
      <c r="AE760" s="9" t="str" cm="1">
        <f t="array" ref="AE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0" s="2" t="b">
        <v>0</v>
      </c>
      <c r="AX760"/>
      <c r="AY760"/>
      <c r="AZ760"/>
    </row>
    <row r="761" spans="1:52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 s="2" t="s">
        <v>478</v>
      </c>
      <c r="K761" s="39">
        <f>_xlfn.XLOOKUP("LOADINGSPEEDDEF_"&amp;PROPERTIES[[#This Row],[LOADINGSPEED]],LOADINGSPEEDDEF[TYPE],LOADINGSPEEDDEF[SPEED])</f>
        <v>16</v>
      </c>
      <c r="L761">
        <v>50</v>
      </c>
      <c r="M761">
        <v>1</v>
      </c>
      <c r="N761" s="33">
        <v>40</v>
      </c>
      <c r="O761">
        <v>0</v>
      </c>
      <c r="P761">
        <v>200</v>
      </c>
      <c r="Q761" s="30">
        <v>0</v>
      </c>
      <c r="R761" s="29">
        <f>IFERROR(PROPERTIES[[#This Row],[TE_STARTING_KN]]/(PROPERTIES[[#This Row],[WEIGHT]]*9.81),0)</f>
        <v>0</v>
      </c>
      <c r="S761" s="29">
        <v>0.3</v>
      </c>
      <c r="T761" s="26">
        <f>ROUND(IF(IFERROR(PROPERTIES[[#This Row],[TE_COEFFICIENT_CALC]],0)=0,PROPERTIES[[#This Row],[TE_COEFFICIENT_MANUAL]],PROPERTIES[[#This Row],[TE_COEFFICIENT_CALC]]),3)</f>
        <v>0.3</v>
      </c>
      <c r="U761" s="11">
        <v>25</v>
      </c>
      <c r="V761" s="9">
        <v>0</v>
      </c>
      <c r="W761" s="9">
        <v>0</v>
      </c>
      <c r="X761" s="10">
        <v>0</v>
      </c>
      <c r="Y761" t="s">
        <v>914</v>
      </c>
      <c r="Z761" t="s">
        <v>903</v>
      </c>
      <c r="AA761" s="2" t="s">
        <v>921</v>
      </c>
      <c r="AB761" s="9" t="s">
        <v>1009</v>
      </c>
      <c r="AC761" s="9" t="s">
        <v>1010</v>
      </c>
      <c r="AD761" s="10" t="str">
        <f>SUBSTITUTE(SUBSTITUTE(PROPERTIES[[#This Row],[PURCHASECOST_VALUE]], "PURCHASECOST_", ""), "_VALUE", "")</f>
        <v>COACH</v>
      </c>
      <c r="AE761" s="9" t="str" cm="1">
        <f t="array" ref="AE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1" s="2" t="b">
        <v>0</v>
      </c>
      <c r="AX761"/>
      <c r="AY761"/>
      <c r="AZ761"/>
    </row>
    <row r="762" spans="1:52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 s="2" t="s">
        <v>23</v>
      </c>
      <c r="K762" s="39">
        <f>_xlfn.XLOOKUP("LOADINGSPEEDDEF_"&amp;PROPERTIES[[#This Row],[LOADINGSPEED]],LOADINGSPEEDDEF[TYPE],LOADINGSPEEDDEF[SPEED])</f>
        <v>40</v>
      </c>
      <c r="L762">
        <v>50</v>
      </c>
      <c r="M762">
        <v>1</v>
      </c>
      <c r="N762" s="33">
        <v>31</v>
      </c>
      <c r="O762">
        <v>0</v>
      </c>
      <c r="P762">
        <v>140</v>
      </c>
      <c r="Q762" s="30">
        <v>0</v>
      </c>
      <c r="R762" s="29">
        <f>IFERROR(PROPERTIES[[#This Row],[TE_STARTING_KN]]/(PROPERTIES[[#This Row],[WEIGHT]]*9.81),0)</f>
        <v>0</v>
      </c>
      <c r="S762" s="29">
        <v>0.3</v>
      </c>
      <c r="T762" s="26">
        <f>ROUND(IF(IFERROR(PROPERTIES[[#This Row],[TE_COEFFICIENT_CALC]],0)=0,PROPERTIES[[#This Row],[TE_COEFFICIENT_MANUAL]],PROPERTIES[[#This Row],[TE_COEFFICIENT_CALC]]),3)</f>
        <v>0.3</v>
      </c>
      <c r="U762" s="11">
        <v>25</v>
      </c>
      <c r="V762" s="9">
        <v>0</v>
      </c>
      <c r="W762" s="9">
        <v>0</v>
      </c>
      <c r="X762" s="10">
        <v>0</v>
      </c>
      <c r="Y762" t="s">
        <v>914</v>
      </c>
      <c r="Z762" t="s">
        <v>903</v>
      </c>
      <c r="AA762" s="2" t="s">
        <v>921</v>
      </c>
      <c r="AB762" s="9" t="s">
        <v>1009</v>
      </c>
      <c r="AC762" s="9" t="s">
        <v>1010</v>
      </c>
      <c r="AD762" s="10" t="str">
        <f>SUBSTITUTE(SUBSTITUTE(PROPERTIES[[#This Row],[PURCHASECOST_VALUE]], "PURCHASECOST_", ""), "_VALUE", "")</f>
        <v>COACH</v>
      </c>
      <c r="AE762" s="9" t="str" cm="1">
        <f t="array" ref="AE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62" s="2" t="b">
        <v>0</v>
      </c>
      <c r="AX762"/>
      <c r="AY762"/>
      <c r="AZ762"/>
    </row>
    <row r="763" spans="1:52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 s="2" t="s">
        <v>673</v>
      </c>
      <c r="K763" s="39">
        <f>_xlfn.XLOOKUP("LOADINGSPEEDDEF_"&amp;PROPERTIES[[#This Row],[LOADINGSPEED]],LOADINGSPEEDDEF[TYPE],LOADINGSPEEDDEF[SPEED])</f>
        <v>15</v>
      </c>
      <c r="L763">
        <v>50</v>
      </c>
      <c r="M763">
        <v>1</v>
      </c>
      <c r="N763" s="33">
        <v>40</v>
      </c>
      <c r="O763">
        <v>0</v>
      </c>
      <c r="P763">
        <v>200</v>
      </c>
      <c r="Q763" s="30">
        <v>0</v>
      </c>
      <c r="R763" s="29">
        <f>IFERROR(PROPERTIES[[#This Row],[TE_STARTING_KN]]/(PROPERTIES[[#This Row],[WEIGHT]]*9.81),0)</f>
        <v>0</v>
      </c>
      <c r="S763" s="29">
        <v>0.3</v>
      </c>
      <c r="T763" s="26">
        <f>ROUND(IF(IFERROR(PROPERTIES[[#This Row],[TE_COEFFICIENT_CALC]],0)=0,PROPERTIES[[#This Row],[TE_COEFFICIENT_MANUAL]],PROPERTIES[[#This Row],[TE_COEFFICIENT_CALC]]),3)</f>
        <v>0.3</v>
      </c>
      <c r="U763" s="11">
        <v>25</v>
      </c>
      <c r="V763" s="9">
        <v>0</v>
      </c>
      <c r="W763" s="9">
        <v>0</v>
      </c>
      <c r="X763" s="10">
        <v>0</v>
      </c>
      <c r="Y763" t="s">
        <v>914</v>
      </c>
      <c r="Z763" t="s">
        <v>903</v>
      </c>
      <c r="AA763" s="2" t="s">
        <v>921</v>
      </c>
      <c r="AB763" s="9" t="s">
        <v>1009</v>
      </c>
      <c r="AC763" s="9" t="s">
        <v>1010</v>
      </c>
      <c r="AD763" s="10" t="str">
        <f>SUBSTITUTE(SUBSTITUTE(PROPERTIES[[#This Row],[PURCHASECOST_VALUE]], "PURCHASECOST_", ""), "_VALUE", "")</f>
        <v>COACH</v>
      </c>
      <c r="AE763" s="9" t="str" cm="1">
        <f t="array" ref="AE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63" s="2" t="b">
        <v>0</v>
      </c>
      <c r="AX763"/>
      <c r="AY763"/>
      <c r="AZ763"/>
    </row>
    <row r="764" spans="1:52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 s="2" t="s">
        <v>478</v>
      </c>
      <c r="K764" s="39">
        <f>_xlfn.XLOOKUP("LOADINGSPEEDDEF_"&amp;PROPERTIES[[#This Row],[LOADINGSPEED]],LOADINGSPEEDDEF[TYPE],LOADINGSPEEDDEF[SPEED])</f>
        <v>16</v>
      </c>
      <c r="L764">
        <v>50</v>
      </c>
      <c r="M764">
        <v>1</v>
      </c>
      <c r="N764" s="33">
        <v>50</v>
      </c>
      <c r="O764">
        <v>0</v>
      </c>
      <c r="P764">
        <v>140</v>
      </c>
      <c r="Q764" s="30">
        <v>0</v>
      </c>
      <c r="R764" s="29">
        <f>IFERROR(PROPERTIES[[#This Row],[TE_STARTING_KN]]/(PROPERTIES[[#This Row],[WEIGHT]]*9.81),0)</f>
        <v>0</v>
      </c>
      <c r="S764" s="29">
        <v>0.3</v>
      </c>
      <c r="T764" s="26">
        <f>ROUND(IF(IFERROR(PROPERTIES[[#This Row],[TE_COEFFICIENT_CALC]],0)=0,PROPERTIES[[#This Row],[TE_COEFFICIENT_MANUAL]],PROPERTIES[[#This Row],[TE_COEFFICIENT_CALC]]),3)</f>
        <v>0.3</v>
      </c>
      <c r="U764" s="11">
        <v>25</v>
      </c>
      <c r="V764" s="9">
        <v>0</v>
      </c>
      <c r="W764" s="9">
        <v>0</v>
      </c>
      <c r="X764" s="10">
        <v>0</v>
      </c>
      <c r="Y764" t="s">
        <v>913</v>
      </c>
      <c r="Z764" t="s">
        <v>912</v>
      </c>
      <c r="AA764" s="2" t="s">
        <v>921</v>
      </c>
      <c r="AB764" s="9" t="s">
        <v>1009</v>
      </c>
      <c r="AC764" s="9" t="s">
        <v>1010</v>
      </c>
      <c r="AD764" s="10" t="str">
        <f>SUBSTITUTE(SUBSTITUTE(PROPERTIES[[#This Row],[PURCHASECOST_VALUE]], "PURCHASECOST_", ""), "_VALUE", "")</f>
        <v>COACH</v>
      </c>
      <c r="AE764" s="9" t="str" cm="1">
        <f t="array" ref="AE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4" s="2" t="b">
        <v>0</v>
      </c>
      <c r="AX764"/>
      <c r="AY764"/>
      <c r="AZ764"/>
    </row>
    <row r="765" spans="1:52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 s="2" t="s">
        <v>478</v>
      </c>
      <c r="K765" s="39">
        <f>_xlfn.XLOOKUP("LOADINGSPEEDDEF_"&amp;PROPERTIES[[#This Row],[LOADINGSPEED]],LOADINGSPEEDDEF[TYPE],LOADINGSPEEDDEF[SPEED])</f>
        <v>16</v>
      </c>
      <c r="L765">
        <v>50</v>
      </c>
      <c r="M765">
        <v>1</v>
      </c>
      <c r="N765" s="33">
        <v>58</v>
      </c>
      <c r="O765">
        <v>0</v>
      </c>
      <c r="P765">
        <v>120</v>
      </c>
      <c r="Q765" s="30">
        <v>0</v>
      </c>
      <c r="R765" s="29">
        <f>IFERROR(PROPERTIES[[#This Row],[TE_STARTING_KN]]/(PROPERTIES[[#This Row],[WEIGHT]]*9.81),0)</f>
        <v>0</v>
      </c>
      <c r="S765" s="29">
        <v>0.3</v>
      </c>
      <c r="T765" s="26">
        <f>ROUND(IF(IFERROR(PROPERTIES[[#This Row],[TE_COEFFICIENT_CALC]],0)=0,PROPERTIES[[#This Row],[TE_COEFFICIENT_MANUAL]],PROPERTIES[[#This Row],[TE_COEFFICIENT_CALC]]),3)</f>
        <v>0.3</v>
      </c>
      <c r="U765" s="11">
        <v>25</v>
      </c>
      <c r="V765" s="9">
        <v>0</v>
      </c>
      <c r="W765" s="9">
        <v>0</v>
      </c>
      <c r="X765" s="10">
        <v>0</v>
      </c>
      <c r="Y765" t="s">
        <v>913</v>
      </c>
      <c r="Z765" t="s">
        <v>912</v>
      </c>
      <c r="AA765" s="2" t="s">
        <v>921</v>
      </c>
      <c r="AB765" s="9" t="s">
        <v>1009</v>
      </c>
      <c r="AC765" s="9" t="s">
        <v>1010</v>
      </c>
      <c r="AD765" s="10" t="str">
        <f>SUBSTITUTE(SUBSTITUTE(PROPERTIES[[#This Row],[PURCHASECOST_VALUE]], "PURCHASECOST_", ""), "_VALUE", "")</f>
        <v>COACH</v>
      </c>
      <c r="AE765" s="9" t="str" cm="1">
        <f t="array" ref="AE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5" s="2" t="b">
        <v>0</v>
      </c>
      <c r="AX765"/>
      <c r="AY765"/>
      <c r="AZ765"/>
    </row>
    <row r="766" spans="1:52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 s="2" t="s">
        <v>478</v>
      </c>
      <c r="K766" s="39">
        <f>_xlfn.XLOOKUP("LOADINGSPEEDDEF_"&amp;PROPERTIES[[#This Row],[LOADINGSPEED]],LOADINGSPEEDDEF[TYPE],LOADINGSPEEDDEF[SPEED])</f>
        <v>16</v>
      </c>
      <c r="L766">
        <v>50</v>
      </c>
      <c r="M766">
        <v>1</v>
      </c>
      <c r="N766" s="33">
        <v>45</v>
      </c>
      <c r="O766">
        <v>0</v>
      </c>
      <c r="P766">
        <v>130</v>
      </c>
      <c r="Q766" s="30">
        <v>0</v>
      </c>
      <c r="R766" s="29">
        <f>IFERROR(PROPERTIES[[#This Row],[TE_STARTING_KN]]/(PROPERTIES[[#This Row],[WEIGHT]]*9.81),0)</f>
        <v>0</v>
      </c>
      <c r="S766" s="29">
        <v>0.3</v>
      </c>
      <c r="T766" s="26">
        <f>ROUND(IF(IFERROR(PROPERTIES[[#This Row],[TE_COEFFICIENT_CALC]],0)=0,PROPERTIES[[#This Row],[TE_COEFFICIENT_MANUAL]],PROPERTIES[[#This Row],[TE_COEFFICIENT_CALC]]),3)</f>
        <v>0.3</v>
      </c>
      <c r="U766" s="11">
        <v>25</v>
      </c>
      <c r="V766" s="9">
        <v>0</v>
      </c>
      <c r="W766" s="9">
        <v>0</v>
      </c>
      <c r="X766" s="10">
        <v>0</v>
      </c>
      <c r="Y766" t="s">
        <v>913</v>
      </c>
      <c r="Z766" t="s">
        <v>912</v>
      </c>
      <c r="AA766" s="2" t="s">
        <v>921</v>
      </c>
      <c r="AB766" s="9" t="s">
        <v>1009</v>
      </c>
      <c r="AC766" s="9" t="s">
        <v>1010</v>
      </c>
      <c r="AD766" s="10" t="str">
        <f>SUBSTITUTE(SUBSTITUTE(PROPERTIES[[#This Row],[PURCHASECOST_VALUE]], "PURCHASECOST_", ""), "_VALUE", "")</f>
        <v>COACH</v>
      </c>
      <c r="AE766" s="9" t="str" cm="1">
        <f t="array" ref="AE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6" s="2" t="b">
        <v>0</v>
      </c>
      <c r="AX766"/>
      <c r="AY766"/>
      <c r="AZ766"/>
    </row>
    <row r="767" spans="1:52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 s="2" t="s">
        <v>673</v>
      </c>
      <c r="K767" s="39">
        <f>_xlfn.XLOOKUP("LOADINGSPEEDDEF_"&amp;PROPERTIES[[#This Row],[LOADINGSPEED]],LOADINGSPEEDDEF[TYPE],LOADINGSPEEDDEF[SPEED])</f>
        <v>15</v>
      </c>
      <c r="L767">
        <v>50</v>
      </c>
      <c r="M767">
        <v>1</v>
      </c>
      <c r="N767" s="33">
        <v>52</v>
      </c>
      <c r="O767">
        <v>0</v>
      </c>
      <c r="P767">
        <v>160</v>
      </c>
      <c r="Q767" s="30">
        <v>0</v>
      </c>
      <c r="R767" s="29">
        <f>IFERROR(PROPERTIES[[#This Row],[TE_STARTING_KN]]/(PROPERTIES[[#This Row],[WEIGHT]]*9.81),0)</f>
        <v>0</v>
      </c>
      <c r="S767" s="29">
        <v>0.3</v>
      </c>
      <c r="T767" s="26">
        <f>ROUND(IF(IFERROR(PROPERTIES[[#This Row],[TE_COEFFICIENT_CALC]],0)=0,PROPERTIES[[#This Row],[TE_COEFFICIENT_MANUAL]],PROPERTIES[[#This Row],[TE_COEFFICIENT_CALC]]),3)</f>
        <v>0.3</v>
      </c>
      <c r="U767" s="11">
        <v>25</v>
      </c>
      <c r="V767" s="9">
        <v>0</v>
      </c>
      <c r="W767" s="9">
        <v>0</v>
      </c>
      <c r="X767" s="10">
        <v>0</v>
      </c>
      <c r="Y767" t="s">
        <v>913</v>
      </c>
      <c r="Z767" t="s">
        <v>912</v>
      </c>
      <c r="AA767" s="2" t="s">
        <v>921</v>
      </c>
      <c r="AB767" s="9" t="s">
        <v>1009</v>
      </c>
      <c r="AC767" s="9" t="s">
        <v>1010</v>
      </c>
      <c r="AD767" s="10" t="str">
        <f>SUBSTITUTE(SUBSTITUTE(PROPERTIES[[#This Row],[PURCHASECOST_VALUE]], "PURCHASECOST_", ""), "_VALUE", "")</f>
        <v>COACH</v>
      </c>
      <c r="AE767" s="9" t="str" cm="1">
        <f t="array" ref="AE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67" s="2" t="b">
        <v>0</v>
      </c>
      <c r="AX767"/>
      <c r="AY767"/>
      <c r="AZ767"/>
    </row>
    <row r="768" spans="1:52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 s="2" t="s">
        <v>478</v>
      </c>
      <c r="K768" s="39">
        <f>_xlfn.XLOOKUP("LOADINGSPEEDDEF_"&amp;PROPERTIES[[#This Row],[LOADINGSPEED]],LOADINGSPEEDDEF[TYPE],LOADINGSPEEDDEF[SPEED])</f>
        <v>16</v>
      </c>
      <c r="L768">
        <v>50</v>
      </c>
      <c r="M768">
        <v>1</v>
      </c>
      <c r="N768" s="33">
        <v>71</v>
      </c>
      <c r="O768">
        <v>0</v>
      </c>
      <c r="P768">
        <v>160</v>
      </c>
      <c r="Q768" s="30">
        <v>0</v>
      </c>
      <c r="R768" s="29">
        <f>IFERROR(PROPERTIES[[#This Row],[TE_STARTING_KN]]/(PROPERTIES[[#This Row],[WEIGHT]]*9.81),0)</f>
        <v>0</v>
      </c>
      <c r="S768" s="29">
        <v>0.3</v>
      </c>
      <c r="T768" s="26">
        <f>ROUND(IF(IFERROR(PROPERTIES[[#This Row],[TE_COEFFICIENT_CALC]],0)=0,PROPERTIES[[#This Row],[TE_COEFFICIENT_MANUAL]],PROPERTIES[[#This Row],[TE_COEFFICIENT_CALC]]),3)</f>
        <v>0.3</v>
      </c>
      <c r="U768" s="11">
        <v>25</v>
      </c>
      <c r="V768" s="9">
        <v>0</v>
      </c>
      <c r="W768" s="9">
        <v>0</v>
      </c>
      <c r="X768" s="10">
        <v>0</v>
      </c>
      <c r="Y768" t="s">
        <v>916</v>
      </c>
      <c r="Z768" t="s">
        <v>906</v>
      </c>
      <c r="AA768" s="2" t="s">
        <v>921</v>
      </c>
      <c r="AB768" s="9" t="s">
        <v>1009</v>
      </c>
      <c r="AC768" s="9" t="s">
        <v>1010</v>
      </c>
      <c r="AD768" s="10" t="str">
        <f>SUBSTITUTE(SUBSTITUTE(PROPERTIES[[#This Row],[PURCHASECOST_VALUE]], "PURCHASECOST_", ""), "_VALUE", "")</f>
        <v>COACH</v>
      </c>
      <c r="AE768" s="9" t="str" cm="1">
        <f t="array" ref="AE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8" s="2" t="b">
        <v>0</v>
      </c>
      <c r="AX768"/>
      <c r="AY768"/>
      <c r="AZ768"/>
    </row>
    <row r="769" spans="1:52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 s="2" t="s">
        <v>478</v>
      </c>
      <c r="K769" s="39">
        <f>_xlfn.XLOOKUP("LOADINGSPEEDDEF_"&amp;PROPERTIES[[#This Row],[LOADINGSPEED]],LOADINGSPEEDDEF[TYPE],LOADINGSPEEDDEF[SPEED])</f>
        <v>16</v>
      </c>
      <c r="L769">
        <v>50</v>
      </c>
      <c r="M769">
        <v>1</v>
      </c>
      <c r="N769" s="33">
        <v>68</v>
      </c>
      <c r="O769">
        <v>0</v>
      </c>
      <c r="P769">
        <v>160</v>
      </c>
      <c r="Q769" s="30">
        <v>0</v>
      </c>
      <c r="R769" s="29">
        <f>IFERROR(PROPERTIES[[#This Row],[TE_STARTING_KN]]/(PROPERTIES[[#This Row],[WEIGHT]]*9.81),0)</f>
        <v>0</v>
      </c>
      <c r="S769" s="29">
        <v>0.3</v>
      </c>
      <c r="T769" s="26">
        <f>ROUND(IF(IFERROR(PROPERTIES[[#This Row],[TE_COEFFICIENT_CALC]],0)=0,PROPERTIES[[#This Row],[TE_COEFFICIENT_MANUAL]],PROPERTIES[[#This Row],[TE_COEFFICIENT_CALC]]),3)</f>
        <v>0.3</v>
      </c>
      <c r="U769" s="11">
        <v>25</v>
      </c>
      <c r="V769" s="9">
        <v>0</v>
      </c>
      <c r="W769" s="9">
        <v>0</v>
      </c>
      <c r="X769" s="10">
        <v>0</v>
      </c>
      <c r="Y769" t="s">
        <v>916</v>
      </c>
      <c r="Z769" t="s">
        <v>906</v>
      </c>
      <c r="AA769" s="2" t="s">
        <v>921</v>
      </c>
      <c r="AB769" s="9" t="s">
        <v>1009</v>
      </c>
      <c r="AC769" s="9" t="s">
        <v>1010</v>
      </c>
      <c r="AD769" s="10" t="str">
        <f>SUBSTITUTE(SUBSTITUTE(PROPERTIES[[#This Row],[PURCHASECOST_VALUE]], "PURCHASECOST_", ""), "_VALUE", "")</f>
        <v>COACH</v>
      </c>
      <c r="AE769" s="9" t="str" cm="1">
        <f t="array" ref="AE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9" s="2" t="b">
        <v>0</v>
      </c>
      <c r="AX769"/>
      <c r="AY769"/>
      <c r="AZ769"/>
    </row>
    <row r="770" spans="1:52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 s="2" t="s">
        <v>478</v>
      </c>
      <c r="K770" s="39">
        <f>_xlfn.XLOOKUP("LOADINGSPEEDDEF_"&amp;PROPERTIES[[#This Row],[LOADINGSPEED]],LOADINGSPEEDDEF[TYPE],LOADINGSPEEDDEF[SPEED])</f>
        <v>16</v>
      </c>
      <c r="L770">
        <v>60</v>
      </c>
      <c r="M770">
        <v>1</v>
      </c>
      <c r="N770" s="33">
        <v>48</v>
      </c>
      <c r="O770">
        <v>0</v>
      </c>
      <c r="P770">
        <v>200</v>
      </c>
      <c r="Q770" s="30">
        <v>0</v>
      </c>
      <c r="R770" s="29">
        <f>IFERROR(PROPERTIES[[#This Row],[TE_STARTING_KN]]/(PROPERTIES[[#This Row],[WEIGHT]]*9.81),0)</f>
        <v>0</v>
      </c>
      <c r="S770" s="29">
        <v>0.3</v>
      </c>
      <c r="T770" s="26">
        <f>ROUND(IF(IFERROR(PROPERTIES[[#This Row],[TE_COEFFICIENT_CALC]],0)=0,PROPERTIES[[#This Row],[TE_COEFFICIENT_MANUAL]],PROPERTIES[[#This Row],[TE_COEFFICIENT_CALC]]),3)</f>
        <v>0.3</v>
      </c>
      <c r="U770" s="11">
        <v>25</v>
      </c>
      <c r="V770" s="9">
        <v>0</v>
      </c>
      <c r="W770" s="9">
        <v>0</v>
      </c>
      <c r="X770" s="10">
        <v>0</v>
      </c>
      <c r="Y770" t="s">
        <v>916</v>
      </c>
      <c r="Z770" t="s">
        <v>906</v>
      </c>
      <c r="AA770" s="2" t="s">
        <v>921</v>
      </c>
      <c r="AB770" s="9" t="s">
        <v>1009</v>
      </c>
      <c r="AC770" s="9" t="s">
        <v>1010</v>
      </c>
      <c r="AD770" s="10" t="str">
        <f>SUBSTITUTE(SUBSTITUTE(PROPERTIES[[#This Row],[PURCHASECOST_VALUE]], "PURCHASECOST_", ""), "_VALUE", "")</f>
        <v>COACH</v>
      </c>
      <c r="AE770" s="9" t="str" cm="1">
        <f t="array" ref="AE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0" s="2" t="b">
        <v>0</v>
      </c>
      <c r="AX770"/>
      <c r="AY770"/>
      <c r="AZ770"/>
    </row>
    <row r="771" spans="1:52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 s="2" t="s">
        <v>478</v>
      </c>
      <c r="K771" s="39">
        <f>_xlfn.XLOOKUP("LOADINGSPEEDDEF_"&amp;PROPERTIES[[#This Row],[LOADINGSPEED]],LOADINGSPEEDDEF[TYPE],LOADINGSPEEDDEF[SPEED])</f>
        <v>16</v>
      </c>
      <c r="L771">
        <v>60</v>
      </c>
      <c r="M771">
        <v>1</v>
      </c>
      <c r="N771" s="33">
        <v>49</v>
      </c>
      <c r="O771">
        <v>0</v>
      </c>
      <c r="P771">
        <v>200</v>
      </c>
      <c r="Q771" s="30">
        <v>0</v>
      </c>
      <c r="R771" s="29">
        <f>IFERROR(PROPERTIES[[#This Row],[TE_STARTING_KN]]/(PROPERTIES[[#This Row],[WEIGHT]]*9.81),0)</f>
        <v>0</v>
      </c>
      <c r="S771" s="29">
        <v>0.3</v>
      </c>
      <c r="T771" s="26">
        <f>ROUND(IF(IFERROR(PROPERTIES[[#This Row],[TE_COEFFICIENT_CALC]],0)=0,PROPERTIES[[#This Row],[TE_COEFFICIENT_MANUAL]],PROPERTIES[[#This Row],[TE_COEFFICIENT_CALC]]),3)</f>
        <v>0.3</v>
      </c>
      <c r="U771" s="11">
        <v>25</v>
      </c>
      <c r="V771" s="9">
        <v>0</v>
      </c>
      <c r="W771" s="9">
        <v>0</v>
      </c>
      <c r="X771" s="10">
        <v>0</v>
      </c>
      <c r="Y771" t="s">
        <v>916</v>
      </c>
      <c r="Z771" t="s">
        <v>906</v>
      </c>
      <c r="AA771" s="2" t="s">
        <v>921</v>
      </c>
      <c r="AB771" s="9" t="s">
        <v>1009</v>
      </c>
      <c r="AC771" s="9" t="s">
        <v>1010</v>
      </c>
      <c r="AD771" s="10" t="str">
        <f>SUBSTITUTE(SUBSTITUTE(PROPERTIES[[#This Row],[PURCHASECOST_VALUE]], "PURCHASECOST_", ""), "_VALUE", "")</f>
        <v>COACH</v>
      </c>
      <c r="AE771" s="9" t="str" cm="1">
        <f t="array" ref="AE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1" s="2" t="b">
        <v>0</v>
      </c>
      <c r="AX771"/>
      <c r="AY771"/>
      <c r="AZ771"/>
    </row>
    <row r="772" spans="1:52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 s="2" t="s">
        <v>23</v>
      </c>
      <c r="K772" s="39">
        <f>_xlfn.XLOOKUP("LOADINGSPEEDDEF_"&amp;PROPERTIES[[#This Row],[LOADINGSPEED]],LOADINGSPEEDDEF[TYPE],LOADINGSPEEDDEF[SPEED])</f>
        <v>40</v>
      </c>
      <c r="L772">
        <v>60</v>
      </c>
      <c r="M772">
        <v>1</v>
      </c>
      <c r="N772" s="33">
        <v>42</v>
      </c>
      <c r="O772">
        <v>0</v>
      </c>
      <c r="P772">
        <v>160</v>
      </c>
      <c r="Q772" s="30">
        <v>0</v>
      </c>
      <c r="R772" s="29">
        <f>IFERROR(PROPERTIES[[#This Row],[TE_STARTING_KN]]/(PROPERTIES[[#This Row],[WEIGHT]]*9.81),0)</f>
        <v>0</v>
      </c>
      <c r="S772" s="29">
        <v>0.3</v>
      </c>
      <c r="T772" s="26">
        <f>ROUND(IF(IFERROR(PROPERTIES[[#This Row],[TE_COEFFICIENT_CALC]],0)=0,PROPERTIES[[#This Row],[TE_COEFFICIENT_MANUAL]],PROPERTIES[[#This Row],[TE_COEFFICIENT_CALC]]),3)</f>
        <v>0.3</v>
      </c>
      <c r="U772" s="11">
        <v>25</v>
      </c>
      <c r="V772" s="9">
        <v>0</v>
      </c>
      <c r="W772" s="9">
        <v>0</v>
      </c>
      <c r="X772" s="10">
        <v>0</v>
      </c>
      <c r="Y772" t="s">
        <v>916</v>
      </c>
      <c r="Z772" t="s">
        <v>906</v>
      </c>
      <c r="AA772" s="2" t="s">
        <v>921</v>
      </c>
      <c r="AB772" s="9" t="s">
        <v>1009</v>
      </c>
      <c r="AC772" s="9" t="s">
        <v>1010</v>
      </c>
      <c r="AD772" s="10" t="str">
        <f>SUBSTITUTE(SUBSTITUTE(PROPERTIES[[#This Row],[PURCHASECOST_VALUE]], "PURCHASECOST_", ""), "_VALUE", "")</f>
        <v>COACH</v>
      </c>
      <c r="AE772" s="9" t="str" cm="1">
        <f t="array" ref="AE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2" s="2" t="b">
        <v>0</v>
      </c>
      <c r="AX772"/>
      <c r="AY772"/>
      <c r="AZ772"/>
    </row>
    <row r="773" spans="1:52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 s="2" t="s">
        <v>478</v>
      </c>
      <c r="K773" s="39">
        <f>_xlfn.XLOOKUP("LOADINGSPEEDDEF_"&amp;PROPERTIES[[#This Row],[LOADINGSPEED]],LOADINGSPEEDDEF[TYPE],LOADINGSPEEDDEF[SPEED])</f>
        <v>16</v>
      </c>
      <c r="L773">
        <v>60</v>
      </c>
      <c r="M773">
        <v>1</v>
      </c>
      <c r="N773" s="33">
        <v>43</v>
      </c>
      <c r="O773">
        <v>0</v>
      </c>
      <c r="P773">
        <v>200</v>
      </c>
      <c r="Q773" s="30">
        <v>0</v>
      </c>
      <c r="R773" s="29">
        <f>IFERROR(PROPERTIES[[#This Row],[TE_STARTING_KN]]/(PROPERTIES[[#This Row],[WEIGHT]]*9.81),0)</f>
        <v>0</v>
      </c>
      <c r="S773" s="29">
        <v>0.3</v>
      </c>
      <c r="T773" s="26">
        <f>ROUND(IF(IFERROR(PROPERTIES[[#This Row],[TE_COEFFICIENT_CALC]],0)=0,PROPERTIES[[#This Row],[TE_COEFFICIENT_MANUAL]],PROPERTIES[[#This Row],[TE_COEFFICIENT_CALC]]),3)</f>
        <v>0.3</v>
      </c>
      <c r="U773" s="11">
        <v>25</v>
      </c>
      <c r="V773" s="9">
        <v>0</v>
      </c>
      <c r="W773" s="9">
        <v>0</v>
      </c>
      <c r="X773" s="10">
        <v>0</v>
      </c>
      <c r="Y773" t="s">
        <v>916</v>
      </c>
      <c r="Z773" t="s">
        <v>906</v>
      </c>
      <c r="AA773" s="2" t="s">
        <v>921</v>
      </c>
      <c r="AB773" s="9" t="s">
        <v>1009</v>
      </c>
      <c r="AC773" s="9" t="s">
        <v>1010</v>
      </c>
      <c r="AD773" s="10" t="str">
        <f>SUBSTITUTE(SUBSTITUTE(PROPERTIES[[#This Row],[PURCHASECOST_VALUE]], "PURCHASECOST_", ""), "_VALUE", "")</f>
        <v>COACH</v>
      </c>
      <c r="AE773" s="9" t="str" cm="1">
        <f t="array" ref="AE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3" s="2" t="b">
        <v>0</v>
      </c>
      <c r="AX773"/>
      <c r="AY773"/>
      <c r="AZ773"/>
    </row>
    <row r="774" spans="1:52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 s="2" t="s">
        <v>673</v>
      </c>
      <c r="K774" s="39">
        <f>_xlfn.XLOOKUP("LOADINGSPEEDDEF_"&amp;PROPERTIES[[#This Row],[LOADINGSPEED]],LOADINGSPEEDDEF[TYPE],LOADINGSPEEDDEF[SPEED])</f>
        <v>15</v>
      </c>
      <c r="L774">
        <v>60</v>
      </c>
      <c r="M774">
        <v>1</v>
      </c>
      <c r="N774" s="33">
        <v>42</v>
      </c>
      <c r="O774">
        <v>0</v>
      </c>
      <c r="P774">
        <v>200</v>
      </c>
      <c r="Q774" s="30">
        <v>0</v>
      </c>
      <c r="R774" s="29">
        <f>IFERROR(PROPERTIES[[#This Row],[TE_STARTING_KN]]/(PROPERTIES[[#This Row],[WEIGHT]]*9.81),0)</f>
        <v>0</v>
      </c>
      <c r="S774" s="29">
        <v>0.3</v>
      </c>
      <c r="T774" s="26">
        <f>ROUND(IF(IFERROR(PROPERTIES[[#This Row],[TE_COEFFICIENT_CALC]],0)=0,PROPERTIES[[#This Row],[TE_COEFFICIENT_MANUAL]],PROPERTIES[[#This Row],[TE_COEFFICIENT_CALC]]),3)</f>
        <v>0.3</v>
      </c>
      <c r="U774" s="11">
        <v>25</v>
      </c>
      <c r="V774" s="9">
        <v>0</v>
      </c>
      <c r="W774" s="9">
        <v>0</v>
      </c>
      <c r="X774" s="10">
        <v>0</v>
      </c>
      <c r="Y774" t="s">
        <v>916</v>
      </c>
      <c r="Z774" t="s">
        <v>906</v>
      </c>
      <c r="AA774" s="2" t="s">
        <v>921</v>
      </c>
      <c r="AB774" s="9" t="s">
        <v>1009</v>
      </c>
      <c r="AC774" s="9" t="s">
        <v>1010</v>
      </c>
      <c r="AD774" s="10" t="str">
        <f>SUBSTITUTE(SUBSTITUTE(PROPERTIES[[#This Row],[PURCHASECOST_VALUE]], "PURCHASECOST_", ""), "_VALUE", "")</f>
        <v>COACH</v>
      </c>
      <c r="AE774" s="9" t="str" cm="1">
        <f t="array" ref="AE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74" s="2" t="b">
        <v>0</v>
      </c>
      <c r="AX774"/>
      <c r="AY774"/>
      <c r="AZ774"/>
    </row>
    <row r="775" spans="1:52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 s="2" t="s">
        <v>478</v>
      </c>
      <c r="K775" s="39">
        <f>_xlfn.XLOOKUP("LOADINGSPEEDDEF_"&amp;PROPERTIES[[#This Row],[LOADINGSPEED]],LOADINGSPEEDDEF[TYPE],LOADINGSPEEDDEF[SPEED])</f>
        <v>16</v>
      </c>
      <c r="L775" t="s">
        <v>20</v>
      </c>
      <c r="M775">
        <v>1</v>
      </c>
      <c r="N775" s="33">
        <v>54</v>
      </c>
      <c r="O775">
        <v>0</v>
      </c>
      <c r="P775">
        <v>160</v>
      </c>
      <c r="Q775" s="30">
        <v>0</v>
      </c>
      <c r="R775" s="29">
        <f>IFERROR(PROPERTIES[[#This Row],[TE_STARTING_KN]]/(PROPERTIES[[#This Row],[WEIGHT]]*9.81),0)</f>
        <v>0</v>
      </c>
      <c r="S775" s="29">
        <v>0.3</v>
      </c>
      <c r="T775" s="26">
        <f>ROUND(IF(IFERROR(PROPERTIES[[#This Row],[TE_COEFFICIENT_CALC]],0)=0,PROPERTIES[[#This Row],[TE_COEFFICIENT_MANUAL]],PROPERTIES[[#This Row],[TE_COEFFICIENT_CALC]]),3)</f>
        <v>0.3</v>
      </c>
      <c r="U775" s="11">
        <v>25</v>
      </c>
      <c r="V775" s="9">
        <v>0</v>
      </c>
      <c r="W775" s="9">
        <v>0</v>
      </c>
      <c r="X775" s="10">
        <v>0</v>
      </c>
      <c r="Y775" t="s">
        <v>916</v>
      </c>
      <c r="Z775" t="s">
        <v>906</v>
      </c>
      <c r="AA775" s="2" t="s">
        <v>921</v>
      </c>
      <c r="AB775" s="9" t="s">
        <v>1009</v>
      </c>
      <c r="AC775" s="9" t="s">
        <v>1010</v>
      </c>
      <c r="AD775" s="10" t="str">
        <f>SUBSTITUTE(SUBSTITUTE(PROPERTIES[[#This Row],[PURCHASECOST_VALUE]], "PURCHASECOST_", ""), "_VALUE", "")</f>
        <v>COACH</v>
      </c>
      <c r="AE775" s="9" t="str" cm="1">
        <f t="array" ref="AE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5" s="2" t="b">
        <v>0</v>
      </c>
      <c r="AX775"/>
      <c r="AY775"/>
      <c r="AZ775"/>
    </row>
    <row r="776" spans="1:52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 s="2" t="s">
        <v>478</v>
      </c>
      <c r="K776" s="39">
        <f>_xlfn.XLOOKUP("LOADINGSPEEDDEF_"&amp;PROPERTIES[[#This Row],[LOADINGSPEED]],LOADINGSPEEDDEF[TYPE],LOADINGSPEEDDEF[SPEED])</f>
        <v>16</v>
      </c>
      <c r="L776" t="s">
        <v>20</v>
      </c>
      <c r="M776">
        <v>1</v>
      </c>
      <c r="N776" s="33">
        <v>52</v>
      </c>
      <c r="O776">
        <v>0</v>
      </c>
      <c r="P776">
        <v>250</v>
      </c>
      <c r="Q776" s="30">
        <v>0</v>
      </c>
      <c r="R776" s="29">
        <f>IFERROR(PROPERTIES[[#This Row],[TE_STARTING_KN]]/(PROPERTIES[[#This Row],[WEIGHT]]*9.81),0)</f>
        <v>0</v>
      </c>
      <c r="S776" s="29">
        <v>0.3</v>
      </c>
      <c r="T776" s="26">
        <f>ROUND(IF(IFERROR(PROPERTIES[[#This Row],[TE_COEFFICIENT_CALC]],0)=0,PROPERTIES[[#This Row],[TE_COEFFICIENT_MANUAL]],PROPERTIES[[#This Row],[TE_COEFFICIENT_CALC]]),3)</f>
        <v>0.3</v>
      </c>
      <c r="U776" s="11">
        <v>25</v>
      </c>
      <c r="V776" s="9">
        <v>0</v>
      </c>
      <c r="W776" s="9">
        <v>0</v>
      </c>
      <c r="X776" s="10">
        <v>0</v>
      </c>
      <c r="Y776" t="s">
        <v>917</v>
      </c>
      <c r="Z776" t="s">
        <v>903</v>
      </c>
      <c r="AA776" s="2" t="s">
        <v>921</v>
      </c>
      <c r="AB776" s="9" t="s">
        <v>1009</v>
      </c>
      <c r="AC776" s="9" t="s">
        <v>1010</v>
      </c>
      <c r="AD776" s="10" t="str">
        <f>SUBSTITUTE(SUBSTITUTE(PROPERTIES[[#This Row],[PURCHASECOST_VALUE]], "PURCHASECOST_", ""), "_VALUE", "")</f>
        <v>COACH</v>
      </c>
      <c r="AE776" s="9" t="str" cm="1">
        <f t="array" ref="AE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76" s="2" t="b">
        <v>0</v>
      </c>
      <c r="AX776"/>
      <c r="AY776"/>
      <c r="AZ776"/>
    </row>
    <row r="777" spans="1:52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 s="2" t="s">
        <v>478</v>
      </c>
      <c r="K777" s="39">
        <f>_xlfn.XLOOKUP("LOADINGSPEEDDEF_"&amp;PROPERTIES[[#This Row],[LOADINGSPEED]],LOADINGSPEEDDEF[TYPE],LOADINGSPEEDDEF[SPEED])</f>
        <v>16</v>
      </c>
      <c r="L777" t="s">
        <v>20</v>
      </c>
      <c r="M777">
        <v>1</v>
      </c>
      <c r="N777" s="33">
        <v>50</v>
      </c>
      <c r="O777">
        <v>0</v>
      </c>
      <c r="P777">
        <v>200</v>
      </c>
      <c r="Q777" s="30">
        <v>0</v>
      </c>
      <c r="R777" s="29">
        <f>IFERROR(PROPERTIES[[#This Row],[TE_STARTING_KN]]/(PROPERTIES[[#This Row],[WEIGHT]]*9.81),0)</f>
        <v>0</v>
      </c>
      <c r="S777" s="29">
        <v>0.3</v>
      </c>
      <c r="T777" s="26">
        <f>ROUND(IF(IFERROR(PROPERTIES[[#This Row],[TE_COEFFICIENT_CALC]],0)=0,PROPERTIES[[#This Row],[TE_COEFFICIENT_MANUAL]],PROPERTIES[[#This Row],[TE_COEFFICIENT_CALC]]),3)</f>
        <v>0.3</v>
      </c>
      <c r="U777" s="11">
        <v>25</v>
      </c>
      <c r="V777" s="9">
        <v>0</v>
      </c>
      <c r="W777" s="9">
        <v>0</v>
      </c>
      <c r="X777" s="10">
        <v>0</v>
      </c>
      <c r="Y777" t="s">
        <v>917</v>
      </c>
      <c r="Z777" t="s">
        <v>903</v>
      </c>
      <c r="AA777" s="2" t="s">
        <v>921</v>
      </c>
      <c r="AB777" s="9" t="s">
        <v>1009</v>
      </c>
      <c r="AC777" s="9" t="s">
        <v>1010</v>
      </c>
      <c r="AD777" s="10" t="str">
        <f>SUBSTITUTE(SUBSTITUTE(PROPERTIES[[#This Row],[PURCHASECOST_VALUE]], "PURCHASECOST_", ""), "_VALUE", "")</f>
        <v>COACH</v>
      </c>
      <c r="AE777" s="9" t="str" cm="1">
        <f t="array" ref="AE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7" s="2" t="b">
        <v>0</v>
      </c>
      <c r="AX777"/>
      <c r="AY777"/>
      <c r="AZ777"/>
    </row>
    <row r="778" spans="1:52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 s="2" t="s">
        <v>23</v>
      </c>
      <c r="K778" s="39">
        <f>_xlfn.XLOOKUP("LOADINGSPEEDDEF_"&amp;PROPERTIES[[#This Row],[LOADINGSPEED]],LOADINGSPEEDDEF[TYPE],LOADINGSPEEDDEF[SPEED])</f>
        <v>40</v>
      </c>
      <c r="L778" t="s">
        <v>20</v>
      </c>
      <c r="M778">
        <v>1</v>
      </c>
      <c r="N778" s="33">
        <v>48</v>
      </c>
      <c r="O778">
        <v>0</v>
      </c>
      <c r="P778">
        <v>200</v>
      </c>
      <c r="Q778" s="30">
        <v>0</v>
      </c>
      <c r="R778" s="29">
        <f>IFERROR(PROPERTIES[[#This Row],[TE_STARTING_KN]]/(PROPERTIES[[#This Row],[WEIGHT]]*9.81),0)</f>
        <v>0</v>
      </c>
      <c r="S778" s="29">
        <v>0.3</v>
      </c>
      <c r="T778" s="26">
        <f>ROUND(IF(IFERROR(PROPERTIES[[#This Row],[TE_COEFFICIENT_CALC]],0)=0,PROPERTIES[[#This Row],[TE_COEFFICIENT_MANUAL]],PROPERTIES[[#This Row],[TE_COEFFICIENT_CALC]]),3)</f>
        <v>0.3</v>
      </c>
      <c r="U778" s="11">
        <v>25</v>
      </c>
      <c r="V778" s="9">
        <v>0</v>
      </c>
      <c r="W778" s="9">
        <v>0</v>
      </c>
      <c r="X778" s="10">
        <v>0</v>
      </c>
      <c r="Y778" t="s">
        <v>917</v>
      </c>
      <c r="Z778" t="s">
        <v>903</v>
      </c>
      <c r="AA778" s="2" t="s">
        <v>921</v>
      </c>
      <c r="AB778" s="9" t="s">
        <v>1009</v>
      </c>
      <c r="AC778" s="9" t="s">
        <v>1010</v>
      </c>
      <c r="AD778" s="10" t="str">
        <f>SUBSTITUTE(SUBSTITUTE(PROPERTIES[[#This Row],[PURCHASECOST_VALUE]], "PURCHASECOST_", ""), "_VALUE", "")</f>
        <v>COACH</v>
      </c>
      <c r="AE778" s="9" t="str" cm="1">
        <f t="array" ref="AE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8" s="2" t="b">
        <v>0</v>
      </c>
      <c r="AX778"/>
      <c r="AY778"/>
      <c r="AZ778"/>
    </row>
    <row r="779" spans="1:52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 s="2" t="s">
        <v>478</v>
      </c>
      <c r="K779" s="39">
        <f>_xlfn.XLOOKUP("LOADINGSPEEDDEF_"&amp;PROPERTIES[[#This Row],[LOADINGSPEED]],LOADINGSPEEDDEF[TYPE],LOADINGSPEEDDEF[SPEED])</f>
        <v>16</v>
      </c>
      <c r="L779" t="s">
        <v>20</v>
      </c>
      <c r="M779">
        <v>1</v>
      </c>
      <c r="N779" s="33">
        <v>55</v>
      </c>
      <c r="O779">
        <v>0</v>
      </c>
      <c r="P779">
        <v>160</v>
      </c>
      <c r="Q779" s="30">
        <v>0</v>
      </c>
      <c r="R779" s="29">
        <f>IFERROR(PROPERTIES[[#This Row],[TE_STARTING_KN]]/(PROPERTIES[[#This Row],[WEIGHT]]*9.81),0)</f>
        <v>0</v>
      </c>
      <c r="S779" s="29">
        <v>0.3</v>
      </c>
      <c r="T779" s="26">
        <f>ROUND(IF(IFERROR(PROPERTIES[[#This Row],[TE_COEFFICIENT_CALC]],0)=0,PROPERTIES[[#This Row],[TE_COEFFICIENT_MANUAL]],PROPERTIES[[#This Row],[TE_COEFFICIENT_CALC]]),3)</f>
        <v>0.3</v>
      </c>
      <c r="U779" s="11">
        <v>25</v>
      </c>
      <c r="V779" s="9">
        <v>0</v>
      </c>
      <c r="W779" s="9">
        <v>0</v>
      </c>
      <c r="X779" s="10">
        <v>0</v>
      </c>
      <c r="Y779" t="s">
        <v>917</v>
      </c>
      <c r="Z779" t="s">
        <v>903</v>
      </c>
      <c r="AA779" s="2" t="s">
        <v>921</v>
      </c>
      <c r="AB779" s="9" t="s">
        <v>1009</v>
      </c>
      <c r="AC779" s="9" t="s">
        <v>1010</v>
      </c>
      <c r="AD779" s="10" t="str">
        <f>SUBSTITUTE(SUBSTITUTE(PROPERTIES[[#This Row],[PURCHASECOST_VALUE]], "PURCHASECOST_", ""), "_VALUE", "")</f>
        <v>COACH</v>
      </c>
      <c r="AE779" s="9" t="str" cm="1">
        <f t="array" ref="AE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9" s="2" t="b">
        <v>0</v>
      </c>
      <c r="AX779"/>
      <c r="AY779"/>
      <c r="AZ779"/>
    </row>
    <row r="780" spans="1:52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 s="2" t="s">
        <v>478</v>
      </c>
      <c r="K780" s="39">
        <f>_xlfn.XLOOKUP("LOADINGSPEEDDEF_"&amp;PROPERTIES[[#This Row],[LOADINGSPEED]],LOADINGSPEEDDEF[TYPE],LOADINGSPEEDDEF[SPEED])</f>
        <v>16</v>
      </c>
      <c r="L780" t="s">
        <v>20</v>
      </c>
      <c r="M780">
        <v>1</v>
      </c>
      <c r="N780" s="33">
        <v>50</v>
      </c>
      <c r="O780">
        <v>0</v>
      </c>
      <c r="P780">
        <v>200</v>
      </c>
      <c r="Q780" s="30">
        <v>0</v>
      </c>
      <c r="R780" s="29">
        <f>IFERROR(PROPERTIES[[#This Row],[TE_STARTING_KN]]/(PROPERTIES[[#This Row],[WEIGHT]]*9.81),0)</f>
        <v>0</v>
      </c>
      <c r="S780" s="29">
        <v>0.3</v>
      </c>
      <c r="T780" s="26">
        <f>ROUND(IF(IFERROR(PROPERTIES[[#This Row],[TE_COEFFICIENT_CALC]],0)=0,PROPERTIES[[#This Row],[TE_COEFFICIENT_MANUAL]],PROPERTIES[[#This Row],[TE_COEFFICIENT_CALC]]),3)</f>
        <v>0.3</v>
      </c>
      <c r="U780" s="11">
        <v>25</v>
      </c>
      <c r="V780" s="9">
        <v>0</v>
      </c>
      <c r="W780" s="9">
        <v>0</v>
      </c>
      <c r="X780" s="10">
        <v>0</v>
      </c>
      <c r="Y780" t="s">
        <v>917</v>
      </c>
      <c r="Z780" t="s">
        <v>903</v>
      </c>
      <c r="AA780" s="2" t="s">
        <v>921</v>
      </c>
      <c r="AB780" s="9" t="s">
        <v>1009</v>
      </c>
      <c r="AC780" s="9" t="s">
        <v>1010</v>
      </c>
      <c r="AD780" s="10" t="str">
        <f>SUBSTITUTE(SUBSTITUTE(PROPERTIES[[#This Row],[PURCHASECOST_VALUE]], "PURCHASECOST_", ""), "_VALUE", "")</f>
        <v>COACH</v>
      </c>
      <c r="AE780" s="9" t="str" cm="1">
        <f t="array" ref="AE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0" s="2" t="b">
        <v>0</v>
      </c>
      <c r="AX780"/>
      <c r="AY780"/>
      <c r="AZ780"/>
    </row>
    <row r="781" spans="1:52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 s="2" t="s">
        <v>673</v>
      </c>
      <c r="K781" s="39">
        <f>_xlfn.XLOOKUP("LOADINGSPEEDDEF_"&amp;PROPERTIES[[#This Row],[LOADINGSPEED]],LOADINGSPEEDDEF[TYPE],LOADINGSPEEDDEF[SPEED])</f>
        <v>15</v>
      </c>
      <c r="L781" t="s">
        <v>20</v>
      </c>
      <c r="M781">
        <v>1</v>
      </c>
      <c r="N781" s="33">
        <v>50</v>
      </c>
      <c r="O781">
        <v>0</v>
      </c>
      <c r="P781">
        <v>250</v>
      </c>
      <c r="Q781" s="30">
        <v>0</v>
      </c>
      <c r="R781" s="29">
        <f>IFERROR(PROPERTIES[[#This Row],[TE_STARTING_KN]]/(PROPERTIES[[#This Row],[WEIGHT]]*9.81),0)</f>
        <v>0</v>
      </c>
      <c r="S781" s="29">
        <v>0.3</v>
      </c>
      <c r="T781" s="26">
        <f>ROUND(IF(IFERROR(PROPERTIES[[#This Row],[TE_COEFFICIENT_CALC]],0)=0,PROPERTIES[[#This Row],[TE_COEFFICIENT_MANUAL]],PROPERTIES[[#This Row],[TE_COEFFICIENT_CALC]]),3)</f>
        <v>0.3</v>
      </c>
      <c r="U781" s="11">
        <v>25</v>
      </c>
      <c r="V781" s="9">
        <v>0</v>
      </c>
      <c r="W781" s="9">
        <v>0</v>
      </c>
      <c r="X781" s="10">
        <v>0</v>
      </c>
      <c r="Y781" t="s">
        <v>917</v>
      </c>
      <c r="Z781" t="s">
        <v>903</v>
      </c>
      <c r="AA781" s="2" t="s">
        <v>921</v>
      </c>
      <c r="AB781" s="9" t="s">
        <v>1009</v>
      </c>
      <c r="AC781" s="9" t="s">
        <v>1010</v>
      </c>
      <c r="AD781" s="10" t="str">
        <f>SUBSTITUTE(SUBSTITUTE(PROPERTIES[[#This Row],[PURCHASECOST_VALUE]], "PURCHASECOST_", ""), "_VALUE", "")</f>
        <v>COACH</v>
      </c>
      <c r="AE781" s="9" t="str" cm="1">
        <f t="array" ref="AE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1" s="2" t="b">
        <v>0</v>
      </c>
      <c r="AX781"/>
      <c r="AY781"/>
      <c r="AZ781"/>
    </row>
    <row r="782" spans="1:52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 s="2" t="s">
        <v>23</v>
      </c>
      <c r="K782" s="39">
        <f>_xlfn.XLOOKUP("LOADINGSPEEDDEF_"&amp;PROPERTIES[[#This Row],[LOADINGSPEED]],LOADINGSPEEDDEF[TYPE],LOADINGSPEEDDEF[SPEED])</f>
        <v>40</v>
      </c>
      <c r="L782" t="s">
        <v>20</v>
      </c>
      <c r="M782">
        <v>1</v>
      </c>
      <c r="N782" s="33">
        <v>15</v>
      </c>
      <c r="O782">
        <v>0</v>
      </c>
      <c r="P782">
        <v>200</v>
      </c>
      <c r="Q782" s="30">
        <v>0</v>
      </c>
      <c r="R782" s="29">
        <f>IFERROR(PROPERTIES[[#This Row],[TE_STARTING_KN]]/(PROPERTIES[[#This Row],[WEIGHT]]*9.81),0)</f>
        <v>0</v>
      </c>
      <c r="S782" s="29">
        <v>0.3</v>
      </c>
      <c r="T782" s="26">
        <f>ROUND(IF(IFERROR(PROPERTIES[[#This Row],[TE_COEFFICIENT_CALC]],0)=0,PROPERTIES[[#This Row],[TE_COEFFICIENT_MANUAL]],PROPERTIES[[#This Row],[TE_COEFFICIENT_CALC]]),3)</f>
        <v>0.3</v>
      </c>
      <c r="U782" s="11">
        <v>25</v>
      </c>
      <c r="V782" s="9">
        <v>0</v>
      </c>
      <c r="W782" s="9">
        <v>0</v>
      </c>
      <c r="X782" s="10">
        <v>0</v>
      </c>
      <c r="Y782" t="s">
        <v>917</v>
      </c>
      <c r="Z782" t="s">
        <v>903</v>
      </c>
      <c r="AA782" s="2" t="s">
        <v>921</v>
      </c>
      <c r="AB782" s="9" t="s">
        <v>1009</v>
      </c>
      <c r="AC782" s="9" t="s">
        <v>1010</v>
      </c>
      <c r="AD782" s="10" t="str">
        <f>SUBSTITUTE(SUBSTITUTE(PROPERTIES[[#This Row],[PURCHASECOST_VALUE]], "PURCHASECOST_", ""), "_VALUE", "")</f>
        <v>COACH</v>
      </c>
      <c r="AE782" s="9" t="str" cm="1">
        <f t="array" ref="AE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2" s="2" t="b">
        <v>0</v>
      </c>
      <c r="AX782"/>
      <c r="AY782"/>
      <c r="AZ782"/>
    </row>
    <row r="783" spans="1:52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 s="2" t="s">
        <v>673</v>
      </c>
      <c r="K783" s="39">
        <f>_xlfn.XLOOKUP("LOADINGSPEEDDEF_"&amp;PROPERTIES[[#This Row],[LOADINGSPEED]],LOADINGSPEEDDEF[TYPE],LOADINGSPEEDDEF[SPEED])</f>
        <v>15</v>
      </c>
      <c r="L783" t="s">
        <v>20</v>
      </c>
      <c r="M783">
        <v>1</v>
      </c>
      <c r="N783" s="33">
        <v>18</v>
      </c>
      <c r="O783">
        <v>0</v>
      </c>
      <c r="P783">
        <v>200</v>
      </c>
      <c r="Q783" s="30">
        <v>0</v>
      </c>
      <c r="R783" s="29">
        <f>IFERROR(PROPERTIES[[#This Row],[TE_STARTING_KN]]/(PROPERTIES[[#This Row],[WEIGHT]]*9.81),0)</f>
        <v>0</v>
      </c>
      <c r="S783" s="29">
        <v>0.3</v>
      </c>
      <c r="T783" s="26">
        <f>ROUND(IF(IFERROR(PROPERTIES[[#This Row],[TE_COEFFICIENT_CALC]],0)=0,PROPERTIES[[#This Row],[TE_COEFFICIENT_MANUAL]],PROPERTIES[[#This Row],[TE_COEFFICIENT_CALC]]),3)</f>
        <v>0.3</v>
      </c>
      <c r="U783" s="11">
        <v>25</v>
      </c>
      <c r="V783" s="9">
        <v>0</v>
      </c>
      <c r="W783" s="9">
        <v>0</v>
      </c>
      <c r="X783" s="10">
        <v>0</v>
      </c>
      <c r="Y783" t="s">
        <v>917</v>
      </c>
      <c r="Z783" t="s">
        <v>903</v>
      </c>
      <c r="AA783" s="2" t="s">
        <v>921</v>
      </c>
      <c r="AB783" s="9" t="s">
        <v>1009</v>
      </c>
      <c r="AC783" s="9" t="s">
        <v>1010</v>
      </c>
      <c r="AD783" s="10" t="str">
        <f>SUBSTITUTE(SUBSTITUTE(PROPERTIES[[#This Row],[PURCHASECOST_VALUE]], "PURCHASECOST_", ""), "_VALUE", "")</f>
        <v>COACH</v>
      </c>
      <c r="AE783" s="9" t="str" cm="1">
        <f t="array" ref="AE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3" s="2" t="b">
        <v>0</v>
      </c>
      <c r="AX783"/>
      <c r="AY783"/>
      <c r="AZ783"/>
    </row>
    <row r="784" spans="1:52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 s="2" t="s">
        <v>478</v>
      </c>
      <c r="K784" s="39">
        <f>_xlfn.XLOOKUP("LOADINGSPEEDDEF_"&amp;PROPERTIES[[#This Row],[LOADINGSPEED]],LOADINGSPEEDDEF[TYPE],LOADINGSPEEDDEF[SPEED])</f>
        <v>16</v>
      </c>
      <c r="L784" t="s">
        <v>20</v>
      </c>
      <c r="M784">
        <v>1</v>
      </c>
      <c r="N784" s="33">
        <v>30</v>
      </c>
      <c r="O784">
        <v>0</v>
      </c>
      <c r="P784">
        <v>350</v>
      </c>
      <c r="Q784" s="30">
        <v>0</v>
      </c>
      <c r="R784" s="29">
        <f>IFERROR(PROPERTIES[[#This Row],[TE_STARTING_KN]]/(PROPERTIES[[#This Row],[WEIGHT]]*9.81),0)</f>
        <v>0</v>
      </c>
      <c r="S784" s="29">
        <v>0.3</v>
      </c>
      <c r="T784" s="26">
        <f>ROUND(IF(IFERROR(PROPERTIES[[#This Row],[TE_COEFFICIENT_CALC]],0)=0,PROPERTIES[[#This Row],[TE_COEFFICIENT_MANUAL]],PROPERTIES[[#This Row],[TE_COEFFICIENT_CALC]]),3)</f>
        <v>0.3</v>
      </c>
      <c r="U784" s="11">
        <v>25</v>
      </c>
      <c r="V784" s="9">
        <v>0</v>
      </c>
      <c r="W784" s="9">
        <v>0</v>
      </c>
      <c r="X784" s="10">
        <v>0</v>
      </c>
      <c r="Y784" t="s">
        <v>917</v>
      </c>
      <c r="Z784" t="s">
        <v>903</v>
      </c>
      <c r="AA784" s="2" t="s">
        <v>921</v>
      </c>
      <c r="AB784" s="9" t="s">
        <v>1009</v>
      </c>
      <c r="AC784" s="9" t="s">
        <v>1010</v>
      </c>
      <c r="AD784" s="10" t="str">
        <f>SUBSTITUTE(SUBSTITUTE(PROPERTIES[[#This Row],[PURCHASECOST_VALUE]], "PURCHASECOST_", ""), "_VALUE", "")</f>
        <v>COACH</v>
      </c>
      <c r="AE784" s="9" t="str" cm="1">
        <f t="array" ref="AE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4" s="2" t="b">
        <v>0</v>
      </c>
      <c r="AX784"/>
      <c r="AY784"/>
      <c r="AZ784"/>
    </row>
    <row r="785" spans="1:52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 s="2" t="s">
        <v>478</v>
      </c>
      <c r="K785" s="39">
        <f>_xlfn.XLOOKUP("LOADINGSPEEDDEF_"&amp;PROPERTIES[[#This Row],[LOADINGSPEED]],LOADINGSPEEDDEF[TYPE],LOADINGSPEEDDEF[SPEED])</f>
        <v>16</v>
      </c>
      <c r="L785" t="s">
        <v>20</v>
      </c>
      <c r="M785">
        <v>1</v>
      </c>
      <c r="N785" s="33">
        <v>36</v>
      </c>
      <c r="O785">
        <v>0</v>
      </c>
      <c r="P785">
        <v>230</v>
      </c>
      <c r="Q785" s="30">
        <v>0</v>
      </c>
      <c r="R785" s="29">
        <f>IFERROR(PROPERTIES[[#This Row],[TE_STARTING_KN]]/(PROPERTIES[[#This Row],[WEIGHT]]*9.81),0)</f>
        <v>0</v>
      </c>
      <c r="S785" s="29">
        <v>0.3</v>
      </c>
      <c r="T785" s="26">
        <f>ROUND(IF(IFERROR(PROPERTIES[[#This Row],[TE_COEFFICIENT_CALC]],0)=0,PROPERTIES[[#This Row],[TE_COEFFICIENT_MANUAL]],PROPERTIES[[#This Row],[TE_COEFFICIENT_CALC]]),3)</f>
        <v>0.3</v>
      </c>
      <c r="U785" s="11">
        <v>25</v>
      </c>
      <c r="V785" s="9">
        <v>0</v>
      </c>
      <c r="W785" s="9">
        <v>0</v>
      </c>
      <c r="X785" s="10">
        <v>0</v>
      </c>
      <c r="Y785" t="s">
        <v>917</v>
      </c>
      <c r="Z785" t="s">
        <v>903</v>
      </c>
      <c r="AA785" s="2" t="s">
        <v>921</v>
      </c>
      <c r="AB785" s="9" t="s">
        <v>1009</v>
      </c>
      <c r="AC785" s="9" t="s">
        <v>1010</v>
      </c>
      <c r="AD785" s="10" t="str">
        <f>SUBSTITUTE(SUBSTITUTE(PROPERTIES[[#This Row],[PURCHASECOST_VALUE]], "PURCHASECOST_", ""), "_VALUE", "")</f>
        <v>COACH</v>
      </c>
      <c r="AE785" s="9" t="str" cm="1">
        <f t="array" ref="AE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5" s="2" t="b">
        <v>0</v>
      </c>
      <c r="AX785"/>
      <c r="AY785"/>
      <c r="AZ785"/>
    </row>
    <row r="786" spans="1:52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 s="2" t="s">
        <v>23</v>
      </c>
      <c r="K786" s="39">
        <f>_xlfn.XLOOKUP("LOADINGSPEEDDEF_"&amp;PROPERTIES[[#This Row],[LOADINGSPEED]],LOADINGSPEEDDEF[TYPE],LOADINGSPEEDDEF[SPEED])</f>
        <v>40</v>
      </c>
      <c r="L786" t="s">
        <v>20</v>
      </c>
      <c r="M786">
        <v>1</v>
      </c>
      <c r="N786" s="33">
        <v>33</v>
      </c>
      <c r="O786">
        <v>0</v>
      </c>
      <c r="P786">
        <v>140</v>
      </c>
      <c r="Q786" s="30">
        <v>0</v>
      </c>
      <c r="R786" s="29">
        <f>IFERROR(PROPERTIES[[#This Row],[TE_STARTING_KN]]/(PROPERTIES[[#This Row],[WEIGHT]]*9.81),0)</f>
        <v>0</v>
      </c>
      <c r="S786" s="29">
        <v>0.3</v>
      </c>
      <c r="T786" s="26">
        <f>ROUND(IF(IFERROR(PROPERTIES[[#This Row],[TE_COEFFICIENT_CALC]],0)=0,PROPERTIES[[#This Row],[TE_COEFFICIENT_MANUAL]],PROPERTIES[[#This Row],[TE_COEFFICIENT_CALC]]),3)</f>
        <v>0.3</v>
      </c>
      <c r="U786" s="11">
        <v>25</v>
      </c>
      <c r="V786" s="9">
        <v>0</v>
      </c>
      <c r="W786" s="9">
        <v>0</v>
      </c>
      <c r="X786" s="10">
        <v>0</v>
      </c>
      <c r="Y786" t="s">
        <v>917</v>
      </c>
      <c r="Z786" t="s">
        <v>903</v>
      </c>
      <c r="AA786" s="2" t="s">
        <v>921</v>
      </c>
      <c r="AB786" s="9" t="s">
        <v>1009</v>
      </c>
      <c r="AC786" s="9" t="s">
        <v>1010</v>
      </c>
      <c r="AD786" s="10" t="str">
        <f>SUBSTITUTE(SUBSTITUTE(PROPERTIES[[#This Row],[PURCHASECOST_VALUE]], "PURCHASECOST_", ""), "_VALUE", "")</f>
        <v>COACH</v>
      </c>
      <c r="AE786" s="9" t="str" cm="1">
        <f t="array" ref="AE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86" s="2" t="b">
        <v>0</v>
      </c>
      <c r="AX786"/>
      <c r="AY786"/>
      <c r="AZ786"/>
    </row>
    <row r="787" spans="1:52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 s="2" t="s">
        <v>673</v>
      </c>
      <c r="K787" s="39">
        <f>_xlfn.XLOOKUP("LOADINGSPEEDDEF_"&amp;PROPERTIES[[#This Row],[LOADINGSPEED]],LOADINGSPEEDDEF[TYPE],LOADINGSPEEDDEF[SPEED])</f>
        <v>15</v>
      </c>
      <c r="L787" t="s">
        <v>20</v>
      </c>
      <c r="M787">
        <v>1</v>
      </c>
      <c r="N787" s="33">
        <v>32</v>
      </c>
      <c r="O787">
        <v>0</v>
      </c>
      <c r="P787">
        <v>350</v>
      </c>
      <c r="Q787" s="30">
        <v>0</v>
      </c>
      <c r="R787" s="29">
        <f>IFERROR(PROPERTIES[[#This Row],[TE_STARTING_KN]]/(PROPERTIES[[#This Row],[WEIGHT]]*9.81),0)</f>
        <v>0</v>
      </c>
      <c r="S787" s="29">
        <v>0.3</v>
      </c>
      <c r="T787" s="26">
        <f>ROUND(IF(IFERROR(PROPERTIES[[#This Row],[TE_COEFFICIENT_CALC]],0)=0,PROPERTIES[[#This Row],[TE_COEFFICIENT_MANUAL]],PROPERTIES[[#This Row],[TE_COEFFICIENT_CALC]]),3)</f>
        <v>0.3</v>
      </c>
      <c r="U787" s="11">
        <v>25</v>
      </c>
      <c r="V787" s="9">
        <v>0</v>
      </c>
      <c r="W787" s="9">
        <v>0</v>
      </c>
      <c r="X787" s="10">
        <v>0</v>
      </c>
      <c r="Y787" t="s">
        <v>917</v>
      </c>
      <c r="Z787" t="s">
        <v>903</v>
      </c>
      <c r="AA787" s="2" t="s">
        <v>921</v>
      </c>
      <c r="AB787" s="9" t="s">
        <v>1009</v>
      </c>
      <c r="AC787" s="9" t="s">
        <v>1010</v>
      </c>
      <c r="AD787" s="10" t="str">
        <f>SUBSTITUTE(SUBSTITUTE(PROPERTIES[[#This Row],[PURCHASECOST_VALUE]], "PURCHASECOST_", ""), "_VALUE", "")</f>
        <v>COACH</v>
      </c>
      <c r="AE787" s="9" t="str" cm="1">
        <f t="array" ref="AE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7" s="2" t="b">
        <v>0</v>
      </c>
      <c r="AX787"/>
      <c r="AY787"/>
      <c r="AZ787"/>
    </row>
    <row r="788" spans="1:52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 s="2" t="s">
        <v>478</v>
      </c>
      <c r="K788" s="39">
        <f>_xlfn.XLOOKUP("LOADINGSPEEDDEF_"&amp;PROPERTIES[[#This Row],[LOADINGSPEED]],LOADINGSPEEDDEF[TYPE],LOADINGSPEEDDEF[SPEED])</f>
        <v>16</v>
      </c>
      <c r="L788" t="s">
        <v>20</v>
      </c>
      <c r="M788">
        <v>1</v>
      </c>
      <c r="N788" s="33">
        <v>44</v>
      </c>
      <c r="O788">
        <v>0</v>
      </c>
      <c r="P788">
        <v>200</v>
      </c>
      <c r="Q788" s="30">
        <v>0</v>
      </c>
      <c r="R788" s="29">
        <f>IFERROR(PROPERTIES[[#This Row],[TE_STARTING_KN]]/(PROPERTIES[[#This Row],[WEIGHT]]*9.81),0)</f>
        <v>0</v>
      </c>
      <c r="S788" s="29">
        <v>0.3</v>
      </c>
      <c r="T788" s="26">
        <f>ROUND(IF(IFERROR(PROPERTIES[[#This Row],[TE_COEFFICIENT_CALC]],0)=0,PROPERTIES[[#This Row],[TE_COEFFICIENT_MANUAL]],PROPERTIES[[#This Row],[TE_COEFFICIENT_CALC]]),3)</f>
        <v>0.3</v>
      </c>
      <c r="U788" s="11">
        <v>25</v>
      </c>
      <c r="V788" s="9">
        <v>0</v>
      </c>
      <c r="W788" s="9">
        <v>0</v>
      </c>
      <c r="X788" s="10">
        <v>0</v>
      </c>
      <c r="Y788" t="s">
        <v>917</v>
      </c>
      <c r="Z788" t="s">
        <v>903</v>
      </c>
      <c r="AA788" s="2" t="s">
        <v>921</v>
      </c>
      <c r="AB788" s="9" t="s">
        <v>1009</v>
      </c>
      <c r="AC788" s="9" t="s">
        <v>1010</v>
      </c>
      <c r="AD788" s="10" t="str">
        <f>SUBSTITUTE(SUBSTITUTE(PROPERTIES[[#This Row],[PURCHASECOST_VALUE]], "PURCHASECOST_", ""), "_VALUE", "")</f>
        <v>COACH</v>
      </c>
      <c r="AE788" s="9" t="str" cm="1">
        <f t="array" ref="AE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8" s="2" t="b">
        <v>0</v>
      </c>
      <c r="AX788"/>
      <c r="AY788"/>
      <c r="AZ788"/>
    </row>
    <row r="789" spans="1:52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 s="2" t="s">
        <v>478</v>
      </c>
      <c r="K789" s="39">
        <f>_xlfn.XLOOKUP("LOADINGSPEEDDEF_"&amp;PROPERTIES[[#This Row],[LOADINGSPEED]],LOADINGSPEEDDEF[TYPE],LOADINGSPEEDDEF[SPEED])</f>
        <v>16</v>
      </c>
      <c r="L789" t="s">
        <v>20</v>
      </c>
      <c r="M789">
        <v>1</v>
      </c>
      <c r="N789" s="33">
        <v>42</v>
      </c>
      <c r="O789">
        <v>0</v>
      </c>
      <c r="P789">
        <v>350</v>
      </c>
      <c r="Q789" s="30">
        <v>0</v>
      </c>
      <c r="R789" s="29">
        <f>IFERROR(PROPERTIES[[#This Row],[TE_STARTING_KN]]/(PROPERTIES[[#This Row],[WEIGHT]]*9.81),0)</f>
        <v>0</v>
      </c>
      <c r="S789" s="29">
        <v>0.3</v>
      </c>
      <c r="T789" s="26">
        <f>ROUND(IF(IFERROR(PROPERTIES[[#This Row],[TE_COEFFICIENT_CALC]],0)=0,PROPERTIES[[#This Row],[TE_COEFFICIENT_MANUAL]],PROPERTIES[[#This Row],[TE_COEFFICIENT_CALC]]),3)</f>
        <v>0.3</v>
      </c>
      <c r="U789" s="11">
        <v>25</v>
      </c>
      <c r="V789" s="9">
        <v>0</v>
      </c>
      <c r="W789" s="9">
        <v>0</v>
      </c>
      <c r="X789" s="10">
        <v>0</v>
      </c>
      <c r="Y789" t="s">
        <v>917</v>
      </c>
      <c r="Z789" t="s">
        <v>903</v>
      </c>
      <c r="AA789" s="2" t="s">
        <v>921</v>
      </c>
      <c r="AB789" s="9" t="s">
        <v>1009</v>
      </c>
      <c r="AC789" s="9" t="s">
        <v>1010</v>
      </c>
      <c r="AD789" s="10" t="str">
        <f>SUBSTITUTE(SUBSTITUTE(PROPERTIES[[#This Row],[PURCHASECOST_VALUE]], "PURCHASECOST_", ""), "_VALUE", "")</f>
        <v>COACH</v>
      </c>
      <c r="AE789" s="9" t="str" cm="1">
        <f t="array" ref="AE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9" s="2" t="b">
        <v>0</v>
      </c>
      <c r="AX789"/>
      <c r="AY789"/>
      <c r="AZ789"/>
    </row>
    <row r="790" spans="1:52">
      <c r="A790" s="2" t="s">
        <v>1753</v>
      </c>
      <c r="B790">
        <v>1978</v>
      </c>
      <c r="C790">
        <v>0</v>
      </c>
      <c r="D790" t="s">
        <v>2265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 s="2" t="s">
        <v>19</v>
      </c>
      <c r="K790" s="39">
        <f>_xlfn.XLOOKUP("LOADINGSPEEDDEF_"&amp;PROPERTIES[[#This Row],[LOADINGSPEED]],LOADINGSPEEDDEF[TYPE],LOADINGSPEEDDEF[SPEED])</f>
        <v>0</v>
      </c>
      <c r="L790">
        <v>45</v>
      </c>
      <c r="M790">
        <v>1</v>
      </c>
      <c r="N790" s="33">
        <v>110</v>
      </c>
      <c r="O790">
        <v>3000</v>
      </c>
      <c r="P790">
        <v>80</v>
      </c>
      <c r="Q790" s="30">
        <v>320</v>
      </c>
      <c r="R790" s="29">
        <f>IFERROR(PROPERTIES[[#This Row],[TE_STARTING_KN]]/(PROPERTIES[[#This Row],[WEIGHT]]*9.81),0)</f>
        <v>0.2965434158094708</v>
      </c>
      <c r="S790" s="29">
        <f>IF(PROPERTIES[[#This Row],[INTRODUCTION_YEAR]]&gt;1980,0.3,IF(PROPERTIES[[#This Row],[ENGINE_CLASS]]="STEAM",0.2,0.25))</f>
        <v>0.25</v>
      </c>
      <c r="T790" s="26">
        <f>ROUND(IF(IFERROR(PROPERTIES[[#This Row],[TE_COEFFICIENT_CALC]],0)=0,PROPERTIES[[#This Row],[TE_COEFFICIENT_MANUAL]],PROPERTIES[[#This Row],[TE_COEFFICIENT_CALC]]),3)</f>
        <v>0.29699999999999999</v>
      </c>
      <c r="U790" s="11">
        <v>25</v>
      </c>
      <c r="V790" s="9">
        <v>0</v>
      </c>
      <c r="W790" s="9">
        <v>0</v>
      </c>
      <c r="X790" s="10">
        <v>0</v>
      </c>
      <c r="Y790" t="s">
        <v>907</v>
      </c>
      <c r="Z790" t="s">
        <v>903</v>
      </c>
      <c r="AA790" s="2" t="s">
        <v>921</v>
      </c>
      <c r="AB790" s="9" t="s">
        <v>991</v>
      </c>
      <c r="AC790" s="9" t="s">
        <v>992</v>
      </c>
      <c r="AD790" s="2" t="str">
        <f>SUBSTITUTE(SUBSTITUTE(PROPERTIES[[#This Row],[PURCHASECOST_VALUE]], "PURCHASECOST_", ""), "_VALUE", "")</f>
        <v>DIESELENGINE</v>
      </c>
      <c r="AE790" s="9" t="str" cm="1">
        <f t="array" ref="AE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0" s="2" t="b">
        <v>0</v>
      </c>
      <c r="AW790" s="9"/>
      <c r="AX790" s="10"/>
      <c r="AY790" s="11"/>
      <c r="AZ790"/>
    </row>
    <row r="791" spans="1:52">
      <c r="A791" s="2" t="s">
        <v>1756</v>
      </c>
      <c r="B791">
        <v>1917</v>
      </c>
      <c r="C791">
        <v>0</v>
      </c>
      <c r="D791" t="s">
        <v>1800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 s="2" t="s">
        <v>19</v>
      </c>
      <c r="K791" s="39">
        <f>_xlfn.XLOOKUP("LOADINGSPEEDDEF_"&amp;PROPERTIES[[#This Row],[LOADINGSPEED]],LOADINGSPEEDDEF[TYPE],LOADINGSPEEDDEF[SPEED])</f>
        <v>0</v>
      </c>
      <c r="L791">
        <v>45</v>
      </c>
      <c r="M791">
        <v>1</v>
      </c>
      <c r="N791" s="33">
        <v>67</v>
      </c>
      <c r="O791">
        <v>950</v>
      </c>
      <c r="P791">
        <v>55</v>
      </c>
      <c r="Q791" s="30">
        <v>143.31725222</v>
      </c>
      <c r="R791" s="29">
        <f>IFERROR(PROPERTIES[[#This Row],[TE_STARTING_KN]]/(PROPERTIES[[#This Row],[WEIGHT]]*9.81),0)</f>
        <v>0.21804928297351164</v>
      </c>
      <c r="S791" s="29">
        <v>0.12</v>
      </c>
      <c r="T791" s="26">
        <f>ROUND(IF(IFERROR(PROPERTIES[[#This Row],[TE_COEFFICIENT_CALC]],0)=0,PROPERTIES[[#This Row],[TE_COEFFICIENT_MANUAL]],PROPERTIES[[#This Row],[TE_COEFFICIENT_CALC]]),3)</f>
        <v>0.218</v>
      </c>
      <c r="U791" s="11">
        <v>40</v>
      </c>
      <c r="V791" s="9">
        <v>0</v>
      </c>
      <c r="W791" s="9">
        <v>5</v>
      </c>
      <c r="X791" s="10">
        <v>0</v>
      </c>
      <c r="Y791" t="s">
        <v>907</v>
      </c>
      <c r="Z791" t="s">
        <v>903</v>
      </c>
      <c r="AA791" s="2" t="s">
        <v>921</v>
      </c>
      <c r="AB791" s="9" t="s">
        <v>989</v>
      </c>
      <c r="AC791" s="9" t="s">
        <v>990</v>
      </c>
      <c r="AD791" s="10" t="str">
        <f>SUBSTITUTE(SUBSTITUTE(PROPERTIES[[#This Row],[PURCHASECOST_VALUE]], "PURCHASECOST_", ""), "_VALUE", "")</f>
        <v>STEAMENGINE</v>
      </c>
      <c r="AE791" s="9" t="str" cm="1">
        <f t="array" ref="AE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91" s="2" t="b">
        <v>0</v>
      </c>
      <c r="AW791" s="9"/>
      <c r="AX791" s="10"/>
      <c r="AY791" s="11"/>
      <c r="AZ791"/>
    </row>
    <row r="792" spans="1:52">
      <c r="A792" s="2" t="s">
        <v>2849</v>
      </c>
      <c r="B792">
        <v>2003</v>
      </c>
      <c r="C792">
        <v>1</v>
      </c>
      <c r="D792" t="s">
        <v>1873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 s="2" t="s">
        <v>32</v>
      </c>
      <c r="K792" s="39">
        <f>_xlfn.XLOOKUP("LOADINGSPEEDDEF_"&amp;PROPERTIES[[#This Row],[LOADINGSPEED]],LOADINGSPEEDDEF[TYPE],LOADINGSPEEDDEF[SPEED])</f>
        <v>20</v>
      </c>
      <c r="L792" t="s">
        <v>20</v>
      </c>
      <c r="M792">
        <v>0</v>
      </c>
      <c r="N792" s="33">
        <f>51/2</f>
        <v>25.5</v>
      </c>
      <c r="O792">
        <v>2360</v>
      </c>
      <c r="P792">
        <v>140</v>
      </c>
      <c r="Q792" s="30">
        <f>98/2</f>
        <v>49</v>
      </c>
      <c r="R792" s="29">
        <f>IFERROR(PROPERTIES[[#This Row],[TE_STARTING_KN]]/(PROPERTIES[[#This Row],[WEIGHT]]*9.81),0)</f>
        <v>0.19587855529571666</v>
      </c>
      <c r="S792" s="29">
        <v>0.17</v>
      </c>
      <c r="T792" s="26">
        <f>ROUND(IF(IFERROR(PROPERTIES[[#This Row],[TE_COEFFICIENT_CALC]],0)=0,PROPERTIES[[#This Row],[TE_COEFFICIENT_MANUAL]],PROPERTIES[[#This Row],[TE_COEFFICIENT_CALC]]),3)</f>
        <v>0.19600000000000001</v>
      </c>
      <c r="U792" s="11">
        <v>25</v>
      </c>
      <c r="V792" s="9">
        <v>60</v>
      </c>
      <c r="W792" s="9">
        <v>8</v>
      </c>
      <c r="X792" s="10">
        <v>0</v>
      </c>
      <c r="Y792" t="s">
        <v>912</v>
      </c>
      <c r="Z792" t="s">
        <v>903</v>
      </c>
      <c r="AA792" s="2" t="s">
        <v>921</v>
      </c>
      <c r="AB792" s="9" t="s">
        <v>999</v>
      </c>
      <c r="AC792" s="9" t="s">
        <v>1000</v>
      </c>
      <c r="AD792" s="10" t="str">
        <f>SUBSTITUTE(SUBSTITUTE(PROPERTIES[[#This Row],[PURCHASECOST_VALUE]], "PURCHASECOST_", ""), "_VALUE", "")</f>
        <v>EMU</v>
      </c>
      <c r="AE792" s="9" t="str" cm="1">
        <f t="array" ref="AE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792" s="10" t="b">
        <v>0</v>
      </c>
    </row>
    <row r="793" spans="1:52">
      <c r="A793" s="2" t="s">
        <v>3000</v>
      </c>
      <c r="B793">
        <v>1880</v>
      </c>
      <c r="C793">
        <v>0</v>
      </c>
      <c r="D793" t="s">
        <v>1817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 s="2" t="s">
        <v>23</v>
      </c>
      <c r="K793" s="39">
        <f>_xlfn.XLOOKUP("LOADINGSPEEDDEF_"&amp;PROPERTIES[[#This Row],[LOADINGSPEED]],LOADINGSPEEDDEF[TYPE],LOADINGSPEEDDEF[SPEED])</f>
        <v>40</v>
      </c>
      <c r="L793">
        <v>45</v>
      </c>
      <c r="M793">
        <v>1</v>
      </c>
      <c r="N793" s="33">
        <v>29</v>
      </c>
      <c r="O793">
        <v>99</v>
      </c>
      <c r="P793">
        <f>INT(25*1.62)</f>
        <v>40</v>
      </c>
      <c r="Q793" s="30">
        <v>13.4</v>
      </c>
      <c r="R793" s="29">
        <f>IFERROR(PROPERTIES[[#This Row],[TE_STARTING_KN]]/(PROPERTIES[[#This Row],[WEIGHT]]*9.81),0)</f>
        <v>4.7101831347323278E-2</v>
      </c>
      <c r="S793" s="29">
        <v>0</v>
      </c>
      <c r="T793" s="26">
        <f>ROUND(IF(IFERROR(PROPERTIES[[#This Row],[TE_COEFFICIENT_CALC]],0)=0,PROPERTIES[[#This Row],[TE_COEFFICIENT_MANUAL]],PROPERTIES[[#This Row],[TE_COEFFICIENT_CALC]]),3)</f>
        <v>4.7E-2</v>
      </c>
      <c r="U793" s="11">
        <v>15</v>
      </c>
      <c r="V793" s="9">
        <v>0</v>
      </c>
      <c r="W793" s="9">
        <v>0</v>
      </c>
      <c r="X793" s="10">
        <v>0</v>
      </c>
      <c r="Y793" t="s">
        <v>904</v>
      </c>
      <c r="Z793" t="s">
        <v>908</v>
      </c>
      <c r="AA793" s="2" t="s">
        <v>921</v>
      </c>
      <c r="AB793" s="9" t="s">
        <v>983</v>
      </c>
      <c r="AC793" s="9" t="s">
        <v>984</v>
      </c>
      <c r="AD793" s="10" t="str">
        <f>SUBSTITUTE(SUBSTITUTE(PROPERTIES[[#This Row],[PURCHASECOST_VALUE]], "PURCHASECOST_", ""), "_VALUE", "")</f>
        <v>STEAMRAILBUS</v>
      </c>
      <c r="AE793" s="9" t="str" cm="1">
        <f t="array" ref="AE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3" s="2" t="b">
        <v>0</v>
      </c>
    </row>
    <row r="794" spans="1:52">
      <c r="A794" s="2" t="s">
        <v>3002</v>
      </c>
      <c r="B794">
        <v>1905</v>
      </c>
      <c r="C794">
        <v>0</v>
      </c>
      <c r="D794" t="s">
        <v>1772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 s="2" t="s">
        <v>23</v>
      </c>
      <c r="K794" s="39">
        <f>_xlfn.XLOOKUP("LOADINGSPEEDDEF_"&amp;PROPERTIES[[#This Row],[LOADINGSPEED]],LOADINGSPEEDDEF[TYPE],LOADINGSPEEDDEF[SPEED])</f>
        <v>40</v>
      </c>
      <c r="L794">
        <v>45</v>
      </c>
      <c r="M794">
        <v>1</v>
      </c>
      <c r="N794" s="33">
        <v>24</v>
      </c>
      <c r="O794">
        <v>150</v>
      </c>
      <c r="P794">
        <v>40</v>
      </c>
      <c r="Q794" s="30">
        <v>23.3576116216</v>
      </c>
      <c r="R794" s="29">
        <f>IFERROR(PROPERTIES[[#This Row],[TE_STARTING_KN]]/(PROPERTIES[[#This Row],[WEIGHT]]*9.81),0)</f>
        <v>9.920834022086307E-2</v>
      </c>
      <c r="S794" s="29">
        <v>0</v>
      </c>
      <c r="T794" s="26">
        <f>ROUND(IF(IFERROR(PROPERTIES[[#This Row],[TE_COEFFICIENT_CALC]],0)=0,PROPERTIES[[#This Row],[TE_COEFFICIENT_MANUAL]],PROPERTIES[[#This Row],[TE_COEFFICIENT_CALC]]),3)</f>
        <v>9.9000000000000005E-2</v>
      </c>
      <c r="U794" s="11">
        <v>15</v>
      </c>
      <c r="V794" s="37">
        <v>0</v>
      </c>
      <c r="W794" s="9">
        <v>0</v>
      </c>
      <c r="X794" s="10">
        <v>0</v>
      </c>
      <c r="Y794" s="9" t="s">
        <v>904</v>
      </c>
      <c r="Z794" s="10" t="s">
        <v>903</v>
      </c>
      <c r="AA794" s="10" t="s">
        <v>921</v>
      </c>
      <c r="AB794" s="9" t="s">
        <v>983</v>
      </c>
      <c r="AC794" s="9" t="s">
        <v>984</v>
      </c>
      <c r="AD794" s="2" t="str">
        <f>SUBSTITUTE(SUBSTITUTE(PROPERTIES[[#This Row],[PURCHASECOST_VALUE]], "PURCHASECOST_", ""), "_VALUE", "")</f>
        <v>STEAMRAILBUS</v>
      </c>
      <c r="AE794" s="9" t="str" cm="1">
        <f t="array" ref="AE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4" s="10" t="b">
        <v>0</v>
      </c>
    </row>
    <row r="795" spans="1:52">
      <c r="A795" t="s">
        <v>3006</v>
      </c>
      <c r="B795">
        <v>1923</v>
      </c>
      <c r="C795">
        <v>0</v>
      </c>
      <c r="D795" t="s">
        <v>1918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 s="2" t="s">
        <v>19</v>
      </c>
      <c r="K795" s="39">
        <f>_xlfn.XLOOKUP("LOADINGSPEEDDEF_"&amp;PROPERTIES[[#This Row],[LOADINGSPEED]],LOADINGSPEEDDEF[TYPE],LOADINGSPEEDDEF[SPEED])</f>
        <v>0</v>
      </c>
      <c r="L795">
        <v>45</v>
      </c>
      <c r="M795">
        <v>1</v>
      </c>
      <c r="N795" s="33">
        <v>101</v>
      </c>
      <c r="O795">
        <v>1207</v>
      </c>
      <c r="P795">
        <v>96</v>
      </c>
      <c r="Q795" s="30">
        <v>103</v>
      </c>
      <c r="R795" s="29">
        <f>IFERROR(PROPERTIES[[#This Row],[TE_STARTING_KN]]/(PROPERTIES[[#This Row],[WEIGHT]]*9.81),0)</f>
        <v>0.10395534966340671</v>
      </c>
      <c r="S795" s="29">
        <v>0</v>
      </c>
      <c r="T795" s="26">
        <f>ROUND(IF(IFERROR(PROPERTIES[[#This Row],[TE_COEFFICIENT_CALC]],0)=0,PROPERTIES[[#This Row],[TE_COEFFICIENT_MANUAL]],PROPERTIES[[#This Row],[TE_COEFFICIENT_CALC]]),3)</f>
        <v>0.104</v>
      </c>
      <c r="U795" s="11">
        <v>40</v>
      </c>
      <c r="V795" s="9">
        <v>0</v>
      </c>
      <c r="W795" s="9">
        <v>5</v>
      </c>
      <c r="X795" s="10">
        <v>0</v>
      </c>
      <c r="Y795" t="s">
        <v>907</v>
      </c>
      <c r="Z795" t="s">
        <v>903</v>
      </c>
      <c r="AA795" s="2" t="s">
        <v>921</v>
      </c>
      <c r="AB795" s="9" t="s">
        <v>989</v>
      </c>
      <c r="AC795" s="9" t="s">
        <v>990</v>
      </c>
      <c r="AD795" s="10" t="str">
        <f>SUBSTITUTE(SUBSTITUTE(PROPERTIES[[#This Row],[PURCHASECOST_VALUE]], "PURCHASECOST_", ""), "_VALUE", "")</f>
        <v>STEAMENGINE</v>
      </c>
      <c r="AE795" s="9" t="str" cm="1">
        <f t="array" ref="AE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5" s="2" t="b">
        <v>0</v>
      </c>
    </row>
    <row r="796" spans="1:52">
      <c r="A796" t="s">
        <v>3008</v>
      </c>
      <c r="B796">
        <v>1930</v>
      </c>
      <c r="C796">
        <v>0</v>
      </c>
      <c r="D796" s="39" t="s">
        <v>1804</v>
      </c>
      <c r="E796" s="39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 s="2" t="s">
        <v>19</v>
      </c>
      <c r="K796" s="39">
        <f>_xlfn.XLOOKUP("LOADINGSPEEDDEF_"&amp;PROPERTIES[[#This Row],[LOADINGSPEED]],LOADINGSPEEDDEF[TYPE],LOADINGSPEEDDEF[SPEED])</f>
        <v>0</v>
      </c>
      <c r="L796">
        <v>45</v>
      </c>
      <c r="M796">
        <v>1</v>
      </c>
      <c r="N796" s="33">
        <v>96</v>
      </c>
      <c r="O796">
        <v>939</v>
      </c>
      <c r="P796">
        <v>40</v>
      </c>
      <c r="Q796" s="30">
        <v>166</v>
      </c>
      <c r="R796" s="30">
        <f>IFERROR(PROPERTIES[[#This Row],[TE_STARTING_KN]]/(PROPERTIES[[#This Row],[WEIGHT]]*9.81),0)</f>
        <v>0.17626571525654094</v>
      </c>
      <c r="S796" s="30">
        <v>0</v>
      </c>
      <c r="T796" s="26">
        <f>ROUND(IF(IFERROR(PROPERTIES[[#This Row],[TE_COEFFICIENT_CALC]],0)=0,PROPERTIES[[#This Row],[TE_COEFFICIENT_MANUAL]],PROPERTIES[[#This Row],[TE_COEFFICIENT_CALC]]),3)</f>
        <v>0.17599999999999999</v>
      </c>
      <c r="U796" s="42">
        <v>40</v>
      </c>
      <c r="V796" s="11">
        <v>0</v>
      </c>
      <c r="W796" s="9">
        <v>4</v>
      </c>
      <c r="X796" s="10">
        <v>0</v>
      </c>
      <c r="Y796" s="9" t="s">
        <v>907</v>
      </c>
      <c r="Z796" s="10" t="s">
        <v>903</v>
      </c>
      <c r="AA796" s="10" t="s">
        <v>921</v>
      </c>
      <c r="AB796" s="9" t="s">
        <v>989</v>
      </c>
      <c r="AC796" s="9" t="s">
        <v>990</v>
      </c>
      <c r="AD796" s="10" t="str">
        <f>SUBSTITUTE(SUBSTITUTE(PROPERTIES[[#This Row],[PURCHASECOST_VALUE]], "PURCHASECOST_", ""), "_VALUE", "")</f>
        <v>STEAMENGINE</v>
      </c>
      <c r="AE796" s="9" t="str" cm="1">
        <f t="array" ref="AE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96" s="2" t="b">
        <v>0</v>
      </c>
    </row>
    <row r="797" spans="1:52">
      <c r="A797" t="s">
        <v>3026</v>
      </c>
      <c r="B797">
        <v>1959</v>
      </c>
      <c r="C797">
        <v>0</v>
      </c>
      <c r="D797" s="39" t="s">
        <v>1841</v>
      </c>
      <c r="E797" s="39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 s="2" t="s">
        <v>19</v>
      </c>
      <c r="K797" s="39">
        <f>_xlfn.XLOOKUP("LOADINGSPEEDDEF_"&amp;PROPERTIES[[#This Row],[LOADINGSPEED]],LOADINGSPEEDDEF[TYPE],LOADINGSPEEDDEF[SPEED])</f>
        <v>0</v>
      </c>
      <c r="L797">
        <v>45</v>
      </c>
      <c r="M797">
        <v>1</v>
      </c>
      <c r="N797" s="33">
        <v>83</v>
      </c>
      <c r="O797">
        <v>1425</v>
      </c>
      <c r="P797">
        <v>100</v>
      </c>
      <c r="Q797" s="30">
        <v>240</v>
      </c>
      <c r="R797" s="30">
        <f>IFERROR(PROPERTIES[[#This Row],[TE_STARTING_KN]]/(PROPERTIES[[#This Row],[WEIGHT]]*9.81),0)</f>
        <v>0.29475700969013668</v>
      </c>
      <c r="S797" s="30">
        <v>0</v>
      </c>
      <c r="T797" s="26">
        <f>ROUND(IF(IFERROR(PROPERTIES[[#This Row],[TE_COEFFICIENT_CALC]],0)=0,PROPERTIES[[#This Row],[TE_COEFFICIENT_MANUAL]],PROPERTIES[[#This Row],[TE_COEFFICIENT_CALC]]),3)</f>
        <v>0.29499999999999998</v>
      </c>
      <c r="U797" s="44">
        <v>40</v>
      </c>
      <c r="V797" s="45">
        <v>0</v>
      </c>
      <c r="W797" s="45">
        <v>0</v>
      </c>
      <c r="X797" s="46">
        <v>0</v>
      </c>
      <c r="Y797" s="38" t="s">
        <v>907</v>
      </c>
      <c r="Z797" s="38" t="s">
        <v>903</v>
      </c>
      <c r="AA797" s="43" t="s">
        <v>921</v>
      </c>
      <c r="AB797" s="45" t="s">
        <v>991</v>
      </c>
      <c r="AC797" s="45" t="s">
        <v>992</v>
      </c>
      <c r="AD797" s="46" t="str">
        <f>SUBSTITUTE(SUBSTITUTE(PROPERTIES[[#This Row],[PURCHASECOST_VALUE]], "PURCHASECOST_", ""), "_VALUE", "")</f>
        <v>DIESELENGINE</v>
      </c>
      <c r="AE797" s="9" t="str" cm="1">
        <f t="array" ref="AE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7" s="43" t="b">
        <v>0</v>
      </c>
    </row>
    <row r="798" spans="1:52">
      <c r="A798" s="2" t="s">
        <v>3028</v>
      </c>
      <c r="B798">
        <v>1962</v>
      </c>
      <c r="C798">
        <v>0</v>
      </c>
      <c r="D798" s="39" t="s">
        <v>1962</v>
      </c>
      <c r="E798" s="39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 s="2" t="s">
        <v>19</v>
      </c>
      <c r="K798" s="39">
        <f>_xlfn.XLOOKUP("LOADINGSPEEDDEF_"&amp;PROPERTIES[[#This Row],[LOADINGSPEED]],LOADINGSPEEDDEF[TYPE],LOADINGSPEEDDEF[SPEED])</f>
        <v>0</v>
      </c>
      <c r="L798">
        <v>45</v>
      </c>
      <c r="M798">
        <v>1</v>
      </c>
      <c r="N798" s="33">
        <v>176</v>
      </c>
      <c r="O798">
        <v>1950</v>
      </c>
      <c r="P798">
        <v>105</v>
      </c>
      <c r="Q798" s="30">
        <v>512</v>
      </c>
      <c r="R798" s="30">
        <f>IFERROR(PROPERTIES[[#This Row],[TE_STARTING_KN]]/(PROPERTIES[[#This Row],[WEIGHT]]*9.81),0)</f>
        <v>0.2965434158094708</v>
      </c>
      <c r="S798" s="30">
        <v>0</v>
      </c>
      <c r="T798" s="26">
        <f>ROUND(IF(IFERROR(PROPERTIES[[#This Row],[TE_COEFFICIENT_CALC]],0)=0,PROPERTIES[[#This Row],[TE_COEFFICIENT_MANUAL]],PROPERTIES[[#This Row],[TE_COEFFICIENT_CALC]]),3)</f>
        <v>0.29699999999999999</v>
      </c>
      <c r="U798" s="44">
        <v>40</v>
      </c>
      <c r="V798" s="45">
        <v>0</v>
      </c>
      <c r="W798" s="45">
        <v>0</v>
      </c>
      <c r="X798" s="46">
        <v>0</v>
      </c>
      <c r="Y798" s="38" t="s">
        <v>907</v>
      </c>
      <c r="Z798" s="38" t="s">
        <v>903</v>
      </c>
      <c r="AA798" s="43" t="s">
        <v>921</v>
      </c>
      <c r="AB798" s="45" t="s">
        <v>991</v>
      </c>
      <c r="AC798" s="45" t="s">
        <v>992</v>
      </c>
      <c r="AD798" s="46" t="str">
        <f>SUBSTITUTE(SUBSTITUTE(PROPERTIES[[#This Row],[PURCHASECOST_VALUE]], "PURCHASECOST_", ""), "_VALUE", "")</f>
        <v>DIESELENGINE</v>
      </c>
      <c r="AE798" s="9" t="str" cm="1">
        <f t="array" ref="AE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798" s="43" t="b">
        <v>0</v>
      </c>
    </row>
    <row r="799" spans="1:52">
      <c r="A799" s="2" t="s">
        <v>3031</v>
      </c>
      <c r="B799">
        <v>1963</v>
      </c>
      <c r="C799">
        <v>0</v>
      </c>
      <c r="D799" s="39" t="s">
        <v>1800</v>
      </c>
      <c r="E799" s="3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 s="2" t="s">
        <v>19</v>
      </c>
      <c r="K799" s="39">
        <f>_xlfn.XLOOKUP("LOADINGSPEEDDEF_"&amp;PROPERTIES[[#This Row],[LOADINGSPEED]],LOADINGSPEEDDEF[TYPE],LOADINGSPEEDDEF[SPEED])</f>
        <v>0</v>
      </c>
      <c r="L799">
        <v>45</v>
      </c>
      <c r="M799">
        <v>1</v>
      </c>
      <c r="N799" s="33">
        <v>60</v>
      </c>
      <c r="O799">
        <v>2200</v>
      </c>
      <c r="P799">
        <v>70</v>
      </c>
      <c r="Q799" s="30">
        <v>137</v>
      </c>
      <c r="R799" s="29">
        <f>IFERROR(PROPERTIES[[#This Row],[TE_STARTING_KN]]/(PROPERTIES[[#This Row],[WEIGHT]]*9.81),0)</f>
        <v>0.2327556914712878</v>
      </c>
      <c r="S799" s="30">
        <v>0</v>
      </c>
      <c r="T799" s="26">
        <f>ROUND(IF(IFERROR(PROPERTIES[[#This Row],[TE_COEFFICIENT_CALC]],0)=0,PROPERTIES[[#This Row],[TE_COEFFICIENT_MANUAL]],PROPERTIES[[#This Row],[TE_COEFFICIENT_CALC]]),3)</f>
        <v>0.23300000000000001</v>
      </c>
      <c r="U799" s="42">
        <v>40</v>
      </c>
      <c r="V799" s="11">
        <v>0</v>
      </c>
      <c r="W799" s="9">
        <v>0</v>
      </c>
      <c r="X799" s="10">
        <v>0</v>
      </c>
      <c r="Y799" s="9" t="s">
        <v>907</v>
      </c>
      <c r="Z799" s="10" t="s">
        <v>903</v>
      </c>
      <c r="AA799" s="10" t="s">
        <v>921</v>
      </c>
      <c r="AB799" s="9" t="s">
        <v>995</v>
      </c>
      <c r="AC799" s="9" t="s">
        <v>996</v>
      </c>
      <c r="AD799" s="46" t="str">
        <f>SUBSTITUTE(SUBSTITUTE(PROPERTIES[[#This Row],[PURCHASECOST_VALUE]], "PURCHASECOST_", ""), "_VALUE", "")</f>
        <v>ELECTRICENGINE</v>
      </c>
      <c r="AE799" s="9" t="str" cm="1">
        <f t="array" ref="AE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9" s="43" t="b">
        <v>0</v>
      </c>
    </row>
    <row r="800" spans="1:52">
      <c r="A800" s="2" t="s">
        <v>3034</v>
      </c>
      <c r="B800">
        <v>1970</v>
      </c>
      <c r="C800">
        <v>0</v>
      </c>
      <c r="D800" s="39" t="s">
        <v>1800</v>
      </c>
      <c r="E800" s="39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 s="2" t="s">
        <v>19</v>
      </c>
      <c r="K800" s="39">
        <f>_xlfn.XLOOKUP("LOADINGSPEEDDEF_"&amp;PROPERTIES[[#This Row],[LOADINGSPEED]],LOADINGSPEEDDEF[TYPE],LOADINGSPEEDDEF[SPEED])</f>
        <v>0</v>
      </c>
      <c r="L800">
        <v>45</v>
      </c>
      <c r="M800">
        <v>1</v>
      </c>
      <c r="N800" s="33">
        <v>130</v>
      </c>
      <c r="O800">
        <v>3600</v>
      </c>
      <c r="P800">
        <v>80</v>
      </c>
      <c r="Q800" s="30">
        <v>380</v>
      </c>
      <c r="R800" s="29">
        <f>IFERROR(PROPERTIES[[#This Row],[TE_STARTING_KN]]/(PROPERTIES[[#This Row],[WEIGHT]]*9.81),0)</f>
        <v>0.29796910530855486</v>
      </c>
      <c r="S800" s="29">
        <v>0</v>
      </c>
      <c r="T800" s="26">
        <f>ROUND(IF(IFERROR(PROPERTIES[[#This Row],[TE_COEFFICIENT_CALC]],0)=0,PROPERTIES[[#This Row],[TE_COEFFICIENT_MANUAL]],PROPERTIES[[#This Row],[TE_COEFFICIENT_CALC]]),3)</f>
        <v>0.29799999999999999</v>
      </c>
      <c r="U800" s="11">
        <v>25</v>
      </c>
      <c r="V800" s="9">
        <v>0</v>
      </c>
      <c r="W800" s="9">
        <v>0</v>
      </c>
      <c r="X800" s="10">
        <v>0</v>
      </c>
      <c r="Y800" t="s">
        <v>907</v>
      </c>
      <c r="Z800" t="s">
        <v>903</v>
      </c>
      <c r="AA800" s="2" t="s">
        <v>921</v>
      </c>
      <c r="AB800" s="9" t="s">
        <v>991</v>
      </c>
      <c r="AC800" s="9" t="s">
        <v>992</v>
      </c>
      <c r="AD800" s="2" t="str">
        <f>SUBSTITUTE(SUBSTITUTE(PROPERTIES[[#This Row],[PURCHASECOST_VALUE]], "PURCHASECOST_", ""), "_VALUE", "")</f>
        <v>DIESELENGINE</v>
      </c>
      <c r="AE800" s="9" t="str" cm="1">
        <f t="array" ref="AE8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0" s="2" t="b">
        <v>0</v>
      </c>
    </row>
    <row r="801" spans="1:32">
      <c r="A801" s="2" t="s">
        <v>3037</v>
      </c>
      <c r="B801">
        <v>1974</v>
      </c>
      <c r="C801">
        <v>0</v>
      </c>
      <c r="D801" s="39" t="s">
        <v>2008</v>
      </c>
      <c r="E801" s="39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 s="2" t="s">
        <v>19</v>
      </c>
      <c r="K801" s="39">
        <f>_xlfn.XLOOKUP("LOADINGSPEEDDEF_"&amp;PROPERTIES[[#This Row],[LOADINGSPEED]],LOADINGSPEEDDEF[TYPE],LOADINGSPEEDDEF[SPEED])</f>
        <v>0</v>
      </c>
      <c r="L801">
        <v>45</v>
      </c>
      <c r="M801">
        <v>1</v>
      </c>
      <c r="N801" s="33">
        <v>120</v>
      </c>
      <c r="O801">
        <v>2321</v>
      </c>
      <c r="P801">
        <v>100</v>
      </c>
      <c r="Q801" s="30">
        <v>250</v>
      </c>
      <c r="R801" s="29">
        <f>IFERROR(PROPERTIES[[#This Row],[TE_STARTING_KN]]/(PROPERTIES[[#This Row],[WEIGHT]]*9.81),0)</f>
        <v>0.21236833163438668</v>
      </c>
      <c r="S801" s="29">
        <v>0</v>
      </c>
      <c r="T801" s="26">
        <f>ROUND(IF(IFERROR(PROPERTIES[[#This Row],[TE_COEFFICIENT_CALC]],0)=0,PROPERTIES[[#This Row],[TE_COEFFICIENT_MANUAL]],PROPERTIES[[#This Row],[TE_COEFFICIENT_CALC]]),3)</f>
        <v>0.21199999999999999</v>
      </c>
      <c r="U801" s="11">
        <v>25</v>
      </c>
      <c r="V801" s="9">
        <v>0</v>
      </c>
      <c r="W801" s="9">
        <v>0</v>
      </c>
      <c r="X801" s="10">
        <v>0</v>
      </c>
      <c r="Y801" t="s">
        <v>907</v>
      </c>
      <c r="Z801" t="s">
        <v>903</v>
      </c>
      <c r="AA801" s="2" t="s">
        <v>921</v>
      </c>
      <c r="AB801" s="9" t="s">
        <v>991</v>
      </c>
      <c r="AC801" s="9" t="s">
        <v>992</v>
      </c>
      <c r="AD801" s="2" t="str">
        <f>SUBSTITUTE(SUBSTITUTE(PROPERTIES[[#This Row],[PURCHASECOST_VALUE]], "PURCHASECOST_", ""), "_VALUE", "")</f>
        <v>DIESELENGINE</v>
      </c>
      <c r="AE801" s="9" t="str" cm="1">
        <f t="array" ref="AE8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1" s="2" t="b">
        <v>0</v>
      </c>
    </row>
    <row r="802" spans="1:32">
      <c r="A802" s="2" t="s">
        <v>3039</v>
      </c>
      <c r="B802">
        <v>1981</v>
      </c>
      <c r="C802">
        <v>0</v>
      </c>
      <c r="D802" s="39" t="s">
        <v>1804</v>
      </c>
      <c r="E802" s="39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 s="2" t="s">
        <v>19</v>
      </c>
      <c r="K802" s="39">
        <f>_xlfn.XLOOKUP("LOADINGSPEEDDEF_"&amp;PROPERTIES[[#This Row],[LOADINGSPEED]],LOADINGSPEEDDEF[TYPE],LOADINGSPEEDDEF[SPEED])</f>
        <v>0</v>
      </c>
      <c r="L802">
        <v>45</v>
      </c>
      <c r="M802">
        <v>1</v>
      </c>
      <c r="N802" s="33">
        <v>95</v>
      </c>
      <c r="O802">
        <v>2250</v>
      </c>
      <c r="P802">
        <v>105</v>
      </c>
      <c r="Q802" s="30">
        <v>231</v>
      </c>
      <c r="R802" s="30">
        <f>IFERROR(PROPERTIES[[#This Row],[TE_STARTING_KN]]/(PROPERTIES[[#This Row],[WEIGHT]]*9.81),0)</f>
        <v>0.24786737485916624</v>
      </c>
      <c r="S802" s="30">
        <v>0</v>
      </c>
      <c r="T802" s="26">
        <f>ROUND(IF(IFERROR(PROPERTIES[[#This Row],[TE_COEFFICIENT_CALC]],0)=0,PROPERTIES[[#This Row],[TE_COEFFICIENT_MANUAL]],PROPERTIES[[#This Row],[TE_COEFFICIENT_CALC]]),3)</f>
        <v>0.248</v>
      </c>
      <c r="U802" s="11">
        <v>25</v>
      </c>
      <c r="V802" s="9">
        <v>0</v>
      </c>
      <c r="W802" s="9">
        <v>0</v>
      </c>
      <c r="X802" s="10">
        <v>0</v>
      </c>
      <c r="Y802" t="s">
        <v>907</v>
      </c>
      <c r="Z802" t="s">
        <v>903</v>
      </c>
      <c r="AA802" s="2" t="s">
        <v>921</v>
      </c>
      <c r="AB802" s="9" t="s">
        <v>991</v>
      </c>
      <c r="AC802" s="9" t="s">
        <v>992</v>
      </c>
      <c r="AD802" s="2" t="str">
        <f>SUBSTITUTE(SUBSTITUTE(PROPERTIES[[#This Row],[PURCHASECOST_VALUE]], "PURCHASECOST_", ""), "_VALUE", "")</f>
        <v>DIESELENGINE</v>
      </c>
      <c r="AE802" s="9" t="str" cm="1">
        <f t="array" ref="AE8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2" s="2" t="b">
        <v>0</v>
      </c>
    </row>
    <row r="803" spans="1:32">
      <c r="A803" s="2" t="s">
        <v>3042</v>
      </c>
      <c r="B803">
        <v>2024</v>
      </c>
      <c r="C803">
        <v>0</v>
      </c>
      <c r="D803" s="39" t="s">
        <v>1988</v>
      </c>
      <c r="E803" s="39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 s="2" t="s">
        <v>19</v>
      </c>
      <c r="K803" s="39">
        <f>_xlfn.XLOOKUP("LOADINGSPEEDDEF_"&amp;PROPERTIES[[#This Row],[LOADINGSPEED]],LOADINGSPEEDDEF[TYPE],LOADINGSPEEDDEF[SPEED])</f>
        <v>0</v>
      </c>
      <c r="L803" t="s">
        <v>20</v>
      </c>
      <c r="M803">
        <v>1</v>
      </c>
      <c r="N803" s="33">
        <v>86</v>
      </c>
      <c r="O803">
        <v>6705</v>
      </c>
      <c r="P803">
        <v>160</v>
      </c>
      <c r="Q803" s="30">
        <v>285</v>
      </c>
      <c r="R803" s="30">
        <f>IFERROR(PROPERTIES[[#This Row],[TE_STARTING_KN]]/(PROPERTIES[[#This Row],[WEIGHT]]*9.81),0)</f>
        <v>0.33781381125097787</v>
      </c>
      <c r="S803" s="30">
        <v>0</v>
      </c>
      <c r="T803" s="26">
        <f>ROUND(IF(IFERROR(PROPERTIES[[#This Row],[TE_COEFFICIENT_CALC]],0)=0,PROPERTIES[[#This Row],[TE_COEFFICIENT_MANUAL]],PROPERTIES[[#This Row],[TE_COEFFICIENT_CALC]]),3)</f>
        <v>0.33800000000000002</v>
      </c>
      <c r="U803" s="42">
        <v>40</v>
      </c>
      <c r="V803" s="11">
        <v>0</v>
      </c>
      <c r="W803" s="9">
        <v>0</v>
      </c>
      <c r="X803" s="10">
        <v>0</v>
      </c>
      <c r="Y803" s="9" t="s">
        <v>907</v>
      </c>
      <c r="Z803" t="s">
        <v>903</v>
      </c>
      <c r="AA803" s="2" t="s">
        <v>921</v>
      </c>
      <c r="AB803" s="9" t="s">
        <v>991</v>
      </c>
      <c r="AC803" s="9" t="s">
        <v>992</v>
      </c>
      <c r="AD803" s="2" t="str">
        <f>SUBSTITUTE(SUBSTITUTE(PROPERTIES[[#This Row],[PURCHASECOST_VALUE]], "PURCHASECOST_", ""), "_VALUE", "")</f>
        <v>DIESELENGINE</v>
      </c>
      <c r="AE803" s="9" t="str" cm="1">
        <f t="array" ref="AE8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03" s="2" t="b">
        <v>0</v>
      </c>
    </row>
    <row r="804" spans="1:32">
      <c r="A804" s="2" t="s">
        <v>3077</v>
      </c>
      <c r="B804">
        <v>1880</v>
      </c>
      <c r="C804">
        <v>1</v>
      </c>
      <c r="D804" s="39" t="s">
        <v>1992</v>
      </c>
      <c r="E804" s="39" t="str">
        <f>_xlfn.XLOOKUP(PROPERTIES[[#This Row],[COUNTRY]],COUNTRIES[COUNTRY_DESCRIPTION],COUNTRIES[COUNTRY_LABEL],"")</f>
        <v>US</v>
      </c>
      <c r="F804" t="s">
        <v>18</v>
      </c>
      <c r="G804" t="s">
        <v>324</v>
      </c>
      <c r="H804">
        <v>48</v>
      </c>
      <c r="I804">
        <v>7</v>
      </c>
      <c r="J804" s="2" t="s">
        <v>325</v>
      </c>
      <c r="K804" s="39">
        <f>_xlfn.XLOOKUP("LOADINGSPEEDDEF_"&amp;PROPERTIES[[#This Row],[LOADINGSPEED]],LOADINGSPEEDDEF[TYPE],LOADINGSPEEDDEF[SPEED])</f>
        <v>120</v>
      </c>
      <c r="L804">
        <v>45</v>
      </c>
      <c r="M804">
        <v>1</v>
      </c>
      <c r="N804" s="33">
        <v>28</v>
      </c>
      <c r="O804">
        <v>200</v>
      </c>
      <c r="P804">
        <v>60</v>
      </c>
      <c r="Q804" s="30">
        <v>25</v>
      </c>
      <c r="R804" s="29">
        <f>IFERROR(PROPERTIES[[#This Row],[TE_STARTING_KN]]/(PROPERTIES[[#This Row],[WEIGHT]]*9.81),0)</f>
        <v>9.1014999271880004E-2</v>
      </c>
      <c r="S804" s="29">
        <v>0.5</v>
      </c>
      <c r="T804" s="26">
        <f>ROUND(IF(IFERROR(PROPERTIES[[#This Row],[TE_COEFFICIENT_CALC]],0)=0,PROPERTIES[[#This Row],[TE_COEFFICIENT_MANUAL]],PROPERTIES[[#This Row],[TE_COEFFICIENT_CALC]]),3)</f>
        <v>9.0999999999999998E-2</v>
      </c>
      <c r="U804" s="11">
        <v>60</v>
      </c>
      <c r="V804" s="37">
        <v>48</v>
      </c>
      <c r="W804" s="9">
        <v>7</v>
      </c>
      <c r="X804" s="10">
        <v>0</v>
      </c>
      <c r="Y804" s="9" t="s">
        <v>909</v>
      </c>
      <c r="Z804" s="10" t="s">
        <v>903</v>
      </c>
      <c r="AA804" s="10" t="s">
        <v>921</v>
      </c>
      <c r="AB804" s="9" t="s">
        <v>993</v>
      </c>
      <c r="AC804" s="9" t="s">
        <v>994</v>
      </c>
      <c r="AD804" s="40" t="str">
        <f>SUBSTITUTE(SUBSTITUTE(PROPERTIES[[#This Row],[PURCHASECOST_VALUE]], "PURCHASECOST_", ""), "_VALUE", "")</f>
        <v>METRO</v>
      </c>
      <c r="AE804" s="9" t="str" cm="1">
        <f t="array" ref="AE8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804" s="10" t="b">
        <v>0</v>
      </c>
    </row>
  </sheetData>
  <phoneticPr fontId="18" type="noConversion"/>
  <conditionalFormatting sqref="R796:T799 R802:T803 R805:T1048576 Q1:S804">
    <cfRule type="cellIs" dxfId="33" priority="17" operator="equal">
      <formula>0</formula>
    </cfRule>
  </conditionalFormatting>
  <conditionalFormatting sqref="AN792:AP1048576 Y1:AA796">
    <cfRule type="cellIs" dxfId="32" priority="13" operator="equal">
      <formula>FALSE</formula>
    </cfRule>
  </conditionalFormatting>
  <conditionalFormatting sqref="AF2:AF796">
    <cfRule type="containsText" dxfId="31" priority="16" operator="containsText" text="FALSE">
      <formula>NOT(ISERROR(SEARCH("FALSE",AF2)))</formula>
    </cfRule>
  </conditionalFormatting>
  <conditionalFormatting sqref="AM790:AO791">
    <cfRule type="cellIs" dxfId="30" priority="18" operator="equal">
      <formula>FALSE</formula>
    </cfRule>
  </conditionalFormatting>
  <conditionalFormatting sqref="Y797:AA797">
    <cfRule type="cellIs" dxfId="29" priority="9" operator="equal">
      <formula>FALSE</formula>
    </cfRule>
  </conditionalFormatting>
  <conditionalFormatting sqref="AF797:AF799">
    <cfRule type="containsText" dxfId="28" priority="10" operator="containsText" text="FALSE">
      <formula>NOT(ISERROR(SEARCH("FALSE",AF797)))</formula>
    </cfRule>
  </conditionalFormatting>
  <conditionalFormatting sqref="Y798:AA798">
    <cfRule type="cellIs" dxfId="27" priority="8" operator="equal">
      <formula>FALSE</formula>
    </cfRule>
  </conditionalFormatting>
  <conditionalFormatting sqref="Y800:AA800">
    <cfRule type="cellIs" dxfId="21" priority="6" operator="equal">
      <formula>FALSE</formula>
    </cfRule>
  </conditionalFormatting>
  <conditionalFormatting sqref="AF800:AF803">
    <cfRule type="containsText" dxfId="20" priority="7" operator="containsText" text="FALSE">
      <formula>NOT(ISERROR(SEARCH("FALSE",AF800)))</formula>
    </cfRule>
  </conditionalFormatting>
  <conditionalFormatting sqref="Y801:AA801">
    <cfRule type="cellIs" dxfId="6" priority="5" operator="equal">
      <formula>FALSE</formula>
    </cfRule>
  </conditionalFormatting>
  <conditionalFormatting sqref="Y802:AA802">
    <cfRule type="cellIs" dxfId="3" priority="4" operator="equal">
      <formula>FALSE</formula>
    </cfRule>
  </conditionalFormatting>
  <conditionalFormatting sqref="Z803:AA803">
    <cfRule type="cellIs" dxfId="2" priority="3" operator="equal">
      <formula>FALSE</formula>
    </cfRule>
  </conditionalFormatting>
  <conditionalFormatting sqref="Y804:AA804">
    <cfRule type="cellIs" dxfId="1" priority="1" operator="equal">
      <formula>FALSE</formula>
    </cfRule>
  </conditionalFormatting>
  <conditionalFormatting sqref="AF804">
    <cfRule type="containsText" dxfId="0" priority="2" operator="containsText" text="FALSE">
      <formula>NOT(ISERROR(SEARCH("FALSE",AF804)))</formula>
    </cfRule>
  </conditionalFormatting>
  <dataValidations count="16">
    <dataValidation type="whole" allowBlank="1" showInputMessage="1" showErrorMessage="1" sqref="C2:C804" xr:uid="{C9FB6BB5-B3CF-40B9-A6CD-3E0B48B95DF5}">
      <formula1>0</formula1>
      <formula2>1</formula2>
    </dataValidation>
    <dataValidation type="whole" operator="greaterThanOrEqual" allowBlank="1" showInputMessage="1" showErrorMessage="1" sqref="M784:M795 H2:H804 M2:M725 O2:P804 M800:M801 V2:X804 M804" xr:uid="{699258F9-37E8-437E-9547-ACEA0AFD7DA4}">
      <formula1>0</formula1>
    </dataValidation>
    <dataValidation type="whole" allowBlank="1" showInputMessage="1" showErrorMessage="1" sqref="I792:I795 I2:I789 I804" xr:uid="{0976A28D-137D-4542-827E-3A73EFE0615E}">
      <formula1>1</formula1>
      <formula2>20</formula2>
    </dataValidation>
    <dataValidation type="decimal" operator="greaterThanOrEqual" allowBlank="1" showInputMessage="1" showErrorMessage="1" sqref="N2:N804 Q2:T804" xr:uid="{F342F512-E760-4CD3-801B-E5B9CF70B7FD}">
      <formula1>0</formula1>
    </dataValidation>
    <dataValidation type="whole" allowBlank="1" showInputMessage="1" showErrorMessage="1" sqref="U2:U795 U797:U798 U800:U802 U804" xr:uid="{7D4429EE-1046-4DE2-A6D7-76E6899E9B8A}">
      <formula1>5</formula1>
      <formula2>100</formula2>
    </dataValidation>
    <dataValidation operator="greaterThanOrEqual" allowBlank="1" showInputMessage="1" showErrorMessage="1" sqref="AI790:AJ791 U796 AJ792:AK1048576 U799 U803 U805:U1048576" xr:uid="{2D963A9D-C2E3-4020-ABFA-FD04EDA25119}"/>
    <dataValidation type="list" allowBlank="1" showInputMessage="1" showErrorMessage="1" sqref="AC2:AC804" xr:uid="{E34DA190-67B0-4000-AB81-045D705EF781}">
      <formula1>INDIRECT("VALID_RUNNINGCOSTVALUE[RUNNINGCOSTVALUE]")</formula1>
    </dataValidation>
    <dataValidation type="whole" allowBlank="1" showInputMessage="1" showErrorMessage="1" sqref="B2:B789 I792:I795 B792 I2:I789 B804 I804" xr:uid="{DEF10C41-55B4-45CA-9782-0B79331628F3}">
      <formula1>1660</formula1>
      <formula2>3000</formula2>
    </dataValidation>
    <dataValidation type="list" allowBlank="1" showInputMessage="1" showErrorMessage="1" sqref="F2:F804" xr:uid="{EB4398F4-10E4-463B-A52E-1F5C116A99EF}">
      <formula1>INDIRECT("VALID_ENGINE_CLASS[ENGINE_CLASS]")</formula1>
    </dataValidation>
    <dataValidation type="list" operator="greaterThanOrEqual" allowBlank="1" showInputMessage="1" showErrorMessage="1" sqref="AB2:AB804" xr:uid="{D83E915C-A301-4BE3-9E12-6790BD0E2284}">
      <formula1>INDIRECT("VALID_PURCHASECOSTVALUE[PURCHASECOSTVALUE]")</formula1>
    </dataValidation>
    <dataValidation type="list" allowBlank="1" showInputMessage="1" showErrorMessage="1" sqref="D2:D804" xr:uid="{33652263-03A3-437A-966A-BE8C0F8BE076}">
      <formula1>INDIRECT("COUNTRIES[COUNTRY_DESCRIPTION]")</formula1>
    </dataValidation>
    <dataValidation type="list" allowBlank="1" showInputMessage="1" showErrorMessage="1" sqref="E2:E804" xr:uid="{588AE673-9464-4BE0-859D-79E758214056}">
      <formula1>INDIRECT("COUNTRIES[COUNTRY_LABEL]")</formula1>
    </dataValidation>
    <dataValidation type="list" allowBlank="1" showInputMessage="1" showErrorMessage="1" sqref="AM790:AP791 AT790:AX791 AU792:AY1048576 AN792:AQ1048576" xr:uid="{9652105D-A1DA-4D87-8399-EE85E90529F0}">
      <formula1>"TRUE"</formula1>
    </dataValidation>
    <dataValidation type="list" allowBlank="1" showInputMessage="1" showErrorMessage="1" sqref="AF2:AF804" xr:uid="{F2DE25A7-EAF4-4DA6-85FD-9F7B7EE18717}">
      <formula1>"TRUE,FALSE"</formula1>
    </dataValidation>
    <dataValidation type="list" allowBlank="1" showInputMessage="1" showErrorMessage="1" sqref="Y2:Z795 Y797:Z798 Y800:Z802 Z803 Y804:Z804" xr:uid="{A6AEDF15-D52E-4DEA-AD86-7127D84AEEAD}">
      <formula1>INDIRECT("VALID_REGIONS[VALID_REGIONS]")</formula1>
    </dataValidation>
    <dataValidation type="list" allowBlank="1" showInputMessage="1" showErrorMessage="1" sqref="AA800:AA804 AA797:AA798 AA2:AA795" xr:uid="{B551DD41-9C48-4DAD-97B1-4A99C17182E4}">
      <formula1>INDIRECT("VALID_CONCEPTS[VALID_CONCEPTS]")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Y2:Z795 Y797:Z798 Y800:Z802 Z803 Y804:Z804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AA800:AA804 AA797:AA798 AA2:AA795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04"/>
  <sheetViews>
    <sheetView zoomScaleNormal="100" workbookViewId="0">
      <pane xSplit="1" ySplit="1" topLeftCell="E551" activePane="bottomRight" state="frozen"/>
      <selection pane="topRight" activeCell="B1" sqref="B1"/>
      <selection pane="bottomLeft" activeCell="A2" sqref="A2"/>
      <selection pane="bottomRight" activeCell="I564" sqref="I564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1753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1756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2849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3000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3002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3006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3008</v>
      </c>
      <c r="B796" s="39"/>
      <c r="C796" s="39"/>
      <c r="D796" s="39"/>
      <c r="E796" s="39"/>
      <c r="F796" s="39"/>
      <c r="G796" s="39"/>
      <c r="H796" s="39"/>
      <c r="I796" s="39"/>
      <c r="J796" s="40"/>
      <c r="K796" s="39"/>
      <c r="L796" s="39"/>
      <c r="M796" s="39"/>
      <c r="N796" s="39"/>
      <c r="O796" s="39"/>
      <c r="P796" s="39"/>
      <c r="Q796" s="39"/>
      <c r="R796" s="39"/>
      <c r="S796" s="2" t="b">
        <v>1</v>
      </c>
      <c r="T796" s="39"/>
      <c r="U796" s="39"/>
      <c r="V796" s="39"/>
      <c r="W796" s="39"/>
      <c r="X796" s="39"/>
      <c r="Y796" s="39"/>
      <c r="Z796" s="39"/>
      <c r="AA796" s="39"/>
      <c r="AB796" s="40"/>
      <c r="AC796" s="39"/>
      <c r="AD796" s="39"/>
      <c r="AE796" s="40"/>
      <c r="AF796" s="40" t="b">
        <f>LEN(_xlfn.CONCAT(TRACK_TYPES[[#This Row],[TRACK_TYPE_STANDARD_GAUGE_RAILTYPE_OHLE]:[TRACK_TYPE_MTRO]]))&gt;0</f>
        <v>1</v>
      </c>
    </row>
    <row r="797" spans="1:46">
      <c r="A797" t="s">
        <v>3026</v>
      </c>
      <c r="B797" s="39"/>
      <c r="C797" s="39"/>
      <c r="D797" s="39"/>
      <c r="E797" s="39"/>
      <c r="F797" s="39"/>
      <c r="G797" s="39"/>
      <c r="H797" s="39"/>
      <c r="I797" s="39"/>
      <c r="J797" s="40"/>
      <c r="K797" s="39"/>
      <c r="L797" s="39"/>
      <c r="M797" s="39"/>
      <c r="N797" s="39"/>
      <c r="O797" s="39"/>
      <c r="P797" s="39"/>
      <c r="Q797" s="39"/>
      <c r="R797" s="39"/>
      <c r="S797" s="40" t="b">
        <v>1</v>
      </c>
      <c r="T797" s="39"/>
      <c r="U797" s="39"/>
      <c r="V797" s="39"/>
      <c r="W797" s="39"/>
      <c r="X797" s="39"/>
      <c r="Y797" s="39"/>
      <c r="Z797" s="39"/>
      <c r="AA797" s="39"/>
      <c r="AB797" s="40"/>
      <c r="AC797" s="39"/>
      <c r="AD797" s="39"/>
      <c r="AE797" s="40"/>
      <c r="AF797" s="40" t="b">
        <f>LEN(_xlfn.CONCAT(TRACK_TYPES[[#This Row],[TRACK_TYPE_STANDARD_GAUGE_RAILTYPE_OHLE]:[TRACK_TYPE_MTRO]]))&gt;0</f>
        <v>1</v>
      </c>
    </row>
    <row r="798" spans="1:46">
      <c r="A798" s="2" t="s">
        <v>3028</v>
      </c>
      <c r="B798" s="39"/>
      <c r="C798" s="39"/>
      <c r="D798" s="39"/>
      <c r="E798" s="39"/>
      <c r="F798" s="39"/>
      <c r="G798" s="39"/>
      <c r="H798" s="39"/>
      <c r="I798" s="39"/>
      <c r="J798" s="40"/>
      <c r="K798" s="39"/>
      <c r="L798" s="39"/>
      <c r="M798" s="39"/>
      <c r="N798" s="39"/>
      <c r="O798" s="39"/>
      <c r="P798" s="39"/>
      <c r="Q798" s="39"/>
      <c r="R798" s="39"/>
      <c r="S798" s="40" t="b">
        <v>1</v>
      </c>
      <c r="T798" s="39"/>
      <c r="U798" s="39"/>
      <c r="V798" s="39"/>
      <c r="W798" s="39"/>
      <c r="X798" s="39"/>
      <c r="Y798" s="39"/>
      <c r="Z798" s="39"/>
      <c r="AA798" s="39"/>
      <c r="AB798" s="40"/>
      <c r="AC798" s="39"/>
      <c r="AD798" s="39"/>
      <c r="AE798" s="40"/>
      <c r="AF798" s="40" t="b">
        <f>LEN(_xlfn.CONCAT(TRACK_TYPES[[#This Row],[TRACK_TYPE_STANDARD_GAUGE_RAILTYPE_OHLE]:[TRACK_TYPE_MTRO]]))&gt;0</f>
        <v>1</v>
      </c>
    </row>
    <row r="799" spans="1:46">
      <c r="A799" s="2" t="s">
        <v>3031</v>
      </c>
      <c r="B799" s="39"/>
      <c r="C799" s="39"/>
      <c r="D799" s="39"/>
      <c r="E799" s="39"/>
      <c r="F799" s="39"/>
      <c r="G799" s="39"/>
      <c r="H799" s="39"/>
      <c r="I799" s="39"/>
      <c r="J799" s="40"/>
      <c r="K799" s="39"/>
      <c r="L799" s="39" t="b">
        <v>1</v>
      </c>
      <c r="M799" s="39"/>
      <c r="N799" s="39"/>
      <c r="O799" s="39"/>
      <c r="P799" s="39"/>
      <c r="Q799" s="39"/>
      <c r="R799" s="39"/>
      <c r="S799" s="40"/>
      <c r="T799" s="39"/>
      <c r="U799" s="39"/>
      <c r="V799" s="39"/>
      <c r="W799" s="39"/>
      <c r="X799" s="39"/>
      <c r="Y799" s="39"/>
      <c r="Z799" s="39"/>
      <c r="AA799" s="39"/>
      <c r="AB799" s="40"/>
      <c r="AC799" s="39"/>
      <c r="AD799" s="39"/>
      <c r="AE799" s="40"/>
      <c r="AF799" s="40" t="b">
        <f>LEN(_xlfn.CONCAT(TRACK_TYPES[[#This Row],[TRACK_TYPE_STANDARD_GAUGE_RAILTYPE_OHLE]:[TRACK_TYPE_MTRO]]))&gt;0</f>
        <v>1</v>
      </c>
    </row>
    <row r="800" spans="1:46">
      <c r="A800" s="2" t="s">
        <v>3034</v>
      </c>
      <c r="B800" s="39"/>
      <c r="C800" s="39"/>
      <c r="D800" s="39"/>
      <c r="E800" s="39"/>
      <c r="F800" s="39"/>
      <c r="G800" s="39"/>
      <c r="H800" s="39"/>
      <c r="I800" s="39"/>
      <c r="J800" s="40"/>
      <c r="K800" s="39"/>
      <c r="L800" s="39"/>
      <c r="M800" s="39"/>
      <c r="N800" s="39"/>
      <c r="O800" s="39"/>
      <c r="P800" s="39"/>
      <c r="Q800" s="39"/>
      <c r="R800" s="39"/>
      <c r="S800" s="40" t="b">
        <v>1</v>
      </c>
      <c r="T800" s="39"/>
      <c r="U800" s="39"/>
      <c r="V800" s="39"/>
      <c r="W800" s="39"/>
      <c r="X800" s="39"/>
      <c r="Y800" s="39"/>
      <c r="Z800" s="39"/>
      <c r="AA800" s="39"/>
      <c r="AB800" s="40"/>
      <c r="AC800" s="39"/>
      <c r="AD800" s="39"/>
      <c r="AE800" s="40"/>
      <c r="AF800" s="40" t="b">
        <f>LEN(_xlfn.CONCAT(TRACK_TYPES[[#This Row],[TRACK_TYPE_STANDARD_GAUGE_RAILTYPE_OHLE]:[TRACK_TYPE_MTRO]]))&gt;0</f>
        <v>1</v>
      </c>
    </row>
    <row r="801" spans="1:32">
      <c r="A801" s="2" t="s">
        <v>3037</v>
      </c>
      <c r="B801" s="39"/>
      <c r="C801" s="39"/>
      <c r="D801" s="39"/>
      <c r="E801" s="39"/>
      <c r="F801" s="39"/>
      <c r="G801" s="39"/>
      <c r="H801" s="39"/>
      <c r="I801" s="39"/>
      <c r="J801" s="40"/>
      <c r="K801" s="39"/>
      <c r="L801" s="39"/>
      <c r="M801" s="39"/>
      <c r="N801" s="39"/>
      <c r="O801" s="39"/>
      <c r="P801" s="39"/>
      <c r="Q801" s="39"/>
      <c r="R801" s="39"/>
      <c r="S801" s="40" t="b">
        <v>1</v>
      </c>
      <c r="T801" s="39"/>
      <c r="U801" s="39"/>
      <c r="V801" s="39"/>
      <c r="W801" s="39"/>
      <c r="X801" s="39"/>
      <c r="Y801" s="39"/>
      <c r="Z801" s="39"/>
      <c r="AA801" s="39"/>
      <c r="AB801" s="40"/>
      <c r="AC801" s="39"/>
      <c r="AD801" s="39"/>
      <c r="AE801" s="40"/>
      <c r="AF801" s="40" t="b">
        <f>LEN(_xlfn.CONCAT(TRACK_TYPES[[#This Row],[TRACK_TYPE_STANDARD_GAUGE_RAILTYPE_OHLE]:[TRACK_TYPE_MTRO]]))&gt;0</f>
        <v>1</v>
      </c>
    </row>
    <row r="802" spans="1:32">
      <c r="A802" s="2" t="s">
        <v>3039</v>
      </c>
      <c r="B802" s="39"/>
      <c r="C802" s="39"/>
      <c r="D802" s="39"/>
      <c r="E802" s="39"/>
      <c r="F802" s="39"/>
      <c r="G802" s="39"/>
      <c r="H802" s="39"/>
      <c r="I802" s="39"/>
      <c r="J802" s="40"/>
      <c r="K802" s="39"/>
      <c r="L802" s="39"/>
      <c r="M802" s="39"/>
      <c r="N802" s="39"/>
      <c r="O802" s="39"/>
      <c r="P802" s="39"/>
      <c r="Q802" s="39"/>
      <c r="R802" s="39"/>
      <c r="S802" s="2" t="b">
        <v>1</v>
      </c>
      <c r="T802" s="39"/>
      <c r="U802" s="39"/>
      <c r="V802" s="39"/>
      <c r="W802" s="39"/>
      <c r="X802" s="39"/>
      <c r="Y802" s="39"/>
      <c r="Z802" s="39"/>
      <c r="AA802" s="39"/>
      <c r="AB802" s="40"/>
      <c r="AC802" s="39"/>
      <c r="AD802" s="39"/>
      <c r="AE802" s="40"/>
      <c r="AF802" s="40" t="b">
        <f>LEN(_xlfn.CONCAT(TRACK_TYPES[[#This Row],[TRACK_TYPE_STANDARD_GAUGE_RAILTYPE_OHLE]:[TRACK_TYPE_MTRO]]))&gt;0</f>
        <v>1</v>
      </c>
    </row>
    <row r="803" spans="1:32">
      <c r="A803" s="2" t="s">
        <v>3042</v>
      </c>
      <c r="B803" s="39"/>
      <c r="C803" s="39" t="b">
        <v>1</v>
      </c>
      <c r="D803" s="39"/>
      <c r="E803" s="39"/>
      <c r="F803" s="39"/>
      <c r="G803" s="39"/>
      <c r="H803" s="39"/>
      <c r="I803" s="39"/>
      <c r="J803" s="40"/>
      <c r="K803" s="39"/>
      <c r="L803" s="39"/>
      <c r="M803" s="39"/>
      <c r="N803" s="39"/>
      <c r="O803" s="39"/>
      <c r="P803" s="39"/>
      <c r="Q803" s="39"/>
      <c r="R803" s="39"/>
      <c r="S803" s="40"/>
      <c r="T803" s="39"/>
      <c r="U803" s="39"/>
      <c r="V803" s="39"/>
      <c r="W803" s="39"/>
      <c r="X803" s="39"/>
      <c r="Y803" s="39"/>
      <c r="Z803" s="39"/>
      <c r="AA803" s="39"/>
      <c r="AB803" s="40"/>
      <c r="AC803" s="39"/>
      <c r="AD803" s="39"/>
      <c r="AE803" s="40"/>
      <c r="AF803" s="40" t="b">
        <f>LEN(_xlfn.CONCAT(TRACK_TYPES[[#This Row],[TRACK_TYPE_STANDARD_GAUGE_RAILTYPE_OHLE]:[TRACK_TYPE_MTRO]]))&gt;0</f>
        <v>1</v>
      </c>
    </row>
    <row r="804" spans="1:32">
      <c r="A804" s="2" t="s">
        <v>3077</v>
      </c>
      <c r="B804" s="39"/>
      <c r="C804" s="39"/>
      <c r="D804" s="39"/>
      <c r="E804" s="39"/>
      <c r="F804" s="39"/>
      <c r="G804" s="39" t="b">
        <v>1</v>
      </c>
      <c r="H804" s="39"/>
      <c r="I804" s="39"/>
      <c r="J804" s="40"/>
      <c r="K804" s="39"/>
      <c r="L804" s="39"/>
      <c r="M804" s="39"/>
      <c r="N804" s="39"/>
      <c r="O804" s="39"/>
      <c r="P804" s="39"/>
      <c r="Q804" s="39"/>
      <c r="R804" s="39"/>
      <c r="S804" s="40"/>
      <c r="T804" s="39"/>
      <c r="U804" s="39"/>
      <c r="V804" s="39"/>
      <c r="W804" s="39"/>
      <c r="X804" s="39"/>
      <c r="Y804" s="39"/>
      <c r="Z804" s="39"/>
      <c r="AA804" s="39"/>
      <c r="AB804" s="40"/>
      <c r="AC804" s="39"/>
      <c r="AD804" s="39"/>
      <c r="AE804" s="40"/>
      <c r="AF804" s="40" t="b">
        <f>LEN(_xlfn.CONCAT(TRACK_TYPES[[#This Row],[TRACK_TYPE_STANDARD_GAUGE_RAILTYPE_OHLE]:[TRACK_TYPE_MTRO]]))&gt;0</f>
        <v>1</v>
      </c>
    </row>
  </sheetData>
  <phoneticPr fontId="18" type="noConversion"/>
  <conditionalFormatting sqref="AH790:AJ1048576 AF1:AF1048576">
    <cfRule type="cellIs" dxfId="26" priority="5" operator="equal">
      <formula>FALSE</formula>
    </cfRule>
  </conditionalFormatting>
  <dataValidations count="1">
    <dataValidation type="list" allowBlank="1" showInputMessage="1" showErrorMessage="1" sqref="AO790:AS1048576 AH790:AK1048576 S2:AF1048576 B2:R804 K805:R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U804"/>
  <sheetViews>
    <sheetView zoomScaleNormal="100" workbookViewId="0">
      <pane xSplit="1" ySplit="1" topLeftCell="B551" activePane="bottomRight" state="frozen"/>
      <selection pane="topRight" activeCell="B1" sqref="B1"/>
      <selection pane="bottomLeft" activeCell="A2" sqref="A2"/>
      <selection pane="bottomRight" activeCell="E564" sqref="E564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6" width="10.84375" bestFit="1" customWidth="1"/>
    <col min="7" max="7" width="22.3046875" bestFit="1" customWidth="1"/>
    <col min="9" max="9" width="17.84375" bestFit="1" customWidth="1"/>
    <col min="10" max="10" width="12" bestFit="1" customWidth="1"/>
    <col min="11" max="11" width="12.3828125" bestFit="1" customWidth="1"/>
    <col min="12" max="12" width="14.765625" bestFit="1" customWidth="1"/>
    <col min="16" max="17" width="18.23046875" bestFit="1" customWidth="1"/>
    <col min="18" max="18" width="22.3046875" bestFit="1" customWidth="1"/>
    <col min="19" max="19" width="19.15234375" style="9" bestFit="1" customWidth="1"/>
    <col min="20" max="20" width="17.4609375" style="10" bestFit="1" customWidth="1"/>
    <col min="21" max="21" width="10" style="11" bestFit="1" customWidth="1"/>
    <col min="22" max="22" width="24" bestFit="1" customWidth="1"/>
    <col min="23" max="23" width="23.69140625" bestFit="1" customWidth="1"/>
    <col min="24" max="24" width="26.69140625" bestFit="1" customWidth="1"/>
    <col min="25" max="25" width="26.921875" bestFit="1" customWidth="1"/>
    <col min="26" max="26" width="19" bestFit="1" customWidth="1"/>
    <col min="27" max="27" width="25.15234375" bestFit="1" customWidth="1"/>
    <col min="28" max="28" width="20.61328125" bestFit="1" customWidth="1"/>
    <col min="29" max="29" width="11.15234375" customWidth="1"/>
    <col min="30" max="31" width="21.3828125" customWidth="1"/>
    <col min="32" max="32" width="20.921875" bestFit="1" customWidth="1"/>
    <col min="33" max="33" width="18.921875" bestFit="1" customWidth="1"/>
    <col min="35" max="37" width="11.15234375" customWidth="1"/>
    <col min="38" max="38" width="11.53515625" bestFit="1" customWidth="1"/>
  </cols>
  <sheetData>
    <row r="1" spans="1:21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1" t="s">
        <v>693</v>
      </c>
      <c r="F1" s="1" t="s">
        <v>713</v>
      </c>
      <c r="G1" s="7" t="s">
        <v>714</v>
      </c>
    </row>
    <row r="2" spans="1:21">
      <c r="A2" s="2" t="s">
        <v>742</v>
      </c>
      <c r="B2" t="b">
        <v>1</v>
      </c>
      <c r="C2" t="b">
        <v>0</v>
      </c>
      <c r="D2" s="2" t="b">
        <v>0</v>
      </c>
      <c r="E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2">
        <v>0</v>
      </c>
      <c r="G2" t="s">
        <v>715</v>
      </c>
      <c r="S2"/>
      <c r="T2"/>
      <c r="U2"/>
    </row>
    <row r="3" spans="1:21">
      <c r="A3" s="2" t="s">
        <v>743</v>
      </c>
      <c r="B3" t="b">
        <v>1</v>
      </c>
      <c r="C3" t="b">
        <v>0</v>
      </c>
      <c r="D3" s="2" t="b">
        <v>0</v>
      </c>
      <c r="E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">
        <v>0</v>
      </c>
      <c r="G3" t="s">
        <v>715</v>
      </c>
      <c r="S3"/>
      <c r="T3"/>
      <c r="U3"/>
    </row>
    <row r="4" spans="1:21">
      <c r="A4" s="2" t="s">
        <v>21</v>
      </c>
      <c r="B4" t="b">
        <v>1</v>
      </c>
      <c r="C4" t="b">
        <v>0</v>
      </c>
      <c r="D4" s="2" t="b">
        <v>0</v>
      </c>
      <c r="E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4">
        <v>-3</v>
      </c>
      <c r="G4" t="s">
        <v>715</v>
      </c>
      <c r="S4"/>
      <c r="T4"/>
      <c r="U4"/>
    </row>
    <row r="5" spans="1:21">
      <c r="A5" s="2" t="s">
        <v>24</v>
      </c>
      <c r="B5" t="b">
        <v>1</v>
      </c>
      <c r="C5" t="b">
        <v>0</v>
      </c>
      <c r="D5" s="2" t="b">
        <v>0</v>
      </c>
      <c r="E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">
        <v>-3</v>
      </c>
      <c r="G5" t="s">
        <v>715</v>
      </c>
      <c r="S5"/>
      <c r="T5"/>
      <c r="U5"/>
    </row>
    <row r="6" spans="1:21">
      <c r="A6" s="2" t="s">
        <v>25</v>
      </c>
      <c r="B6" t="b">
        <v>1</v>
      </c>
      <c r="C6" t="b">
        <v>0</v>
      </c>
      <c r="D6" s="2" t="b">
        <v>0</v>
      </c>
      <c r="E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">
        <v>0</v>
      </c>
      <c r="G6" t="s">
        <v>715</v>
      </c>
      <c r="S6"/>
      <c r="T6"/>
      <c r="U6"/>
    </row>
    <row r="7" spans="1:21">
      <c r="A7" s="2" t="s">
        <v>26</v>
      </c>
      <c r="B7" t="b">
        <v>1</v>
      </c>
      <c r="C7" t="b">
        <v>0</v>
      </c>
      <c r="D7" s="2" t="b">
        <v>0</v>
      </c>
      <c r="E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">
        <v>0</v>
      </c>
      <c r="G7" t="s">
        <v>715</v>
      </c>
      <c r="S7"/>
      <c r="T7"/>
      <c r="U7"/>
    </row>
    <row r="8" spans="1:21">
      <c r="A8" s="2" t="s">
        <v>27</v>
      </c>
      <c r="B8" t="b">
        <v>1</v>
      </c>
      <c r="C8" t="b">
        <v>0</v>
      </c>
      <c r="D8" s="2" t="b">
        <v>0</v>
      </c>
      <c r="E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">
        <v>0</v>
      </c>
      <c r="G8" t="s">
        <v>715</v>
      </c>
      <c r="S8"/>
      <c r="T8"/>
      <c r="U8"/>
    </row>
    <row r="9" spans="1:21">
      <c r="A9" s="2" t="s">
        <v>28</v>
      </c>
      <c r="B9" t="b">
        <v>1</v>
      </c>
      <c r="C9" t="b">
        <v>0</v>
      </c>
      <c r="D9" s="2" t="b">
        <v>0</v>
      </c>
      <c r="E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">
        <v>0</v>
      </c>
      <c r="G9" t="s">
        <v>715</v>
      </c>
      <c r="S9"/>
      <c r="T9"/>
      <c r="U9"/>
    </row>
    <row r="10" spans="1:21">
      <c r="A10" s="2" t="s">
        <v>29</v>
      </c>
      <c r="B10" t="b">
        <v>1</v>
      </c>
      <c r="C10" t="b">
        <v>0</v>
      </c>
      <c r="D10" s="2" t="b">
        <v>0</v>
      </c>
      <c r="E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">
        <v>0</v>
      </c>
      <c r="G10" t="s">
        <v>715</v>
      </c>
      <c r="S10"/>
      <c r="T10"/>
      <c r="U10"/>
    </row>
    <row r="11" spans="1:21">
      <c r="A11" s="2" t="s">
        <v>30</v>
      </c>
      <c r="B11" t="b">
        <v>1</v>
      </c>
      <c r="C11" t="b">
        <v>0</v>
      </c>
      <c r="D11" s="2" t="b">
        <v>0</v>
      </c>
      <c r="E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">
        <v>-3</v>
      </c>
      <c r="G11" t="s">
        <v>715</v>
      </c>
      <c r="S11"/>
      <c r="T11"/>
      <c r="U11"/>
    </row>
    <row r="12" spans="1:21">
      <c r="A12" s="2" t="s">
        <v>33</v>
      </c>
      <c r="B12" t="b">
        <v>1</v>
      </c>
      <c r="C12" t="b">
        <v>0</v>
      </c>
      <c r="D12" s="2" t="b">
        <v>0</v>
      </c>
      <c r="E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2">
        <v>-3</v>
      </c>
      <c r="G12" t="s">
        <v>715</v>
      </c>
      <c r="S12"/>
      <c r="T12"/>
      <c r="U12"/>
    </row>
    <row r="13" spans="1:21">
      <c r="A13" s="2" t="s">
        <v>35</v>
      </c>
      <c r="B13" t="b">
        <v>1</v>
      </c>
      <c r="C13" t="b">
        <v>0</v>
      </c>
      <c r="D13" s="2" t="b">
        <v>0</v>
      </c>
      <c r="E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3">
        <v>-3</v>
      </c>
      <c r="G13" t="s">
        <v>715</v>
      </c>
      <c r="S13"/>
      <c r="T13"/>
      <c r="U13"/>
    </row>
    <row r="14" spans="1:21">
      <c r="A14" s="2" t="s">
        <v>36</v>
      </c>
      <c r="B14" t="b">
        <v>1</v>
      </c>
      <c r="C14" t="b">
        <v>0</v>
      </c>
      <c r="D14" s="2" t="b">
        <v>0</v>
      </c>
      <c r="E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4">
        <v>-3</v>
      </c>
      <c r="G14" t="s">
        <v>715</v>
      </c>
      <c r="S14"/>
      <c r="T14"/>
      <c r="U14"/>
    </row>
    <row r="15" spans="1:21">
      <c r="A15" s="2" t="s">
        <v>37</v>
      </c>
      <c r="B15" t="b">
        <v>1</v>
      </c>
      <c r="C15" t="b">
        <v>0</v>
      </c>
      <c r="D15" s="2" t="b">
        <v>0</v>
      </c>
      <c r="E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5">
        <v>-3</v>
      </c>
      <c r="G15" t="s">
        <v>715</v>
      </c>
      <c r="S15"/>
      <c r="T15"/>
      <c r="U15"/>
    </row>
    <row r="16" spans="1:21">
      <c r="A16" s="2" t="s">
        <v>38</v>
      </c>
      <c r="B16" t="b">
        <v>1</v>
      </c>
      <c r="C16" t="b">
        <v>0</v>
      </c>
      <c r="D16" s="2" t="b">
        <v>0</v>
      </c>
      <c r="E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6">
        <v>-3</v>
      </c>
      <c r="G16" t="s">
        <v>715</v>
      </c>
      <c r="S16"/>
      <c r="T16"/>
      <c r="U16"/>
    </row>
    <row r="17" spans="1:21">
      <c r="A17" s="2" t="s">
        <v>39</v>
      </c>
      <c r="B17" t="b">
        <v>1</v>
      </c>
      <c r="C17" t="b">
        <v>0</v>
      </c>
      <c r="D17" s="2" t="b">
        <v>0</v>
      </c>
      <c r="E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">
        <v>-3</v>
      </c>
      <c r="G17" t="s">
        <v>715</v>
      </c>
      <c r="S17"/>
      <c r="T17"/>
      <c r="U17"/>
    </row>
    <row r="18" spans="1:21">
      <c r="A18" s="2" t="s">
        <v>40</v>
      </c>
      <c r="B18" t="b">
        <v>1</v>
      </c>
      <c r="C18" t="b">
        <v>0</v>
      </c>
      <c r="D18" s="2" t="b">
        <v>0</v>
      </c>
      <c r="E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">
        <v>-3</v>
      </c>
      <c r="G18" t="s">
        <v>715</v>
      </c>
      <c r="S18"/>
      <c r="T18"/>
      <c r="U18"/>
    </row>
    <row r="19" spans="1:21">
      <c r="A19" s="2" t="s">
        <v>41</v>
      </c>
      <c r="B19" t="b">
        <v>1</v>
      </c>
      <c r="C19" t="b">
        <v>0</v>
      </c>
      <c r="D19" s="2" t="b">
        <v>0</v>
      </c>
      <c r="E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">
        <v>-3</v>
      </c>
      <c r="G19" t="s">
        <v>715</v>
      </c>
      <c r="S19"/>
      <c r="T19"/>
      <c r="U19"/>
    </row>
    <row r="20" spans="1:21">
      <c r="A20" s="2" t="s">
        <v>42</v>
      </c>
      <c r="B20" t="b">
        <v>1</v>
      </c>
      <c r="C20" t="b">
        <v>0</v>
      </c>
      <c r="D20" s="2" t="b">
        <v>0</v>
      </c>
      <c r="E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">
        <v>-3</v>
      </c>
      <c r="G20" t="s">
        <v>715</v>
      </c>
      <c r="S20"/>
      <c r="T20"/>
      <c r="U20"/>
    </row>
    <row r="21" spans="1:21">
      <c r="A21" s="2" t="s">
        <v>43</v>
      </c>
      <c r="B21" t="b">
        <v>1</v>
      </c>
      <c r="C21" t="b">
        <v>0</v>
      </c>
      <c r="D21" s="2" t="b">
        <v>0</v>
      </c>
      <c r="E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">
        <v>-3</v>
      </c>
      <c r="G21" t="s">
        <v>715</v>
      </c>
      <c r="S21"/>
      <c r="T21"/>
      <c r="U21"/>
    </row>
    <row r="22" spans="1:21">
      <c r="A22" s="2" t="s">
        <v>44</v>
      </c>
      <c r="B22" t="b">
        <v>1</v>
      </c>
      <c r="C22" t="b">
        <v>0</v>
      </c>
      <c r="D22" s="2" t="b">
        <v>0</v>
      </c>
      <c r="E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">
        <v>-3</v>
      </c>
      <c r="G22" t="s">
        <v>715</v>
      </c>
      <c r="S22"/>
      <c r="T22"/>
      <c r="U22"/>
    </row>
    <row r="23" spans="1:21">
      <c r="A23" s="2" t="s">
        <v>45</v>
      </c>
      <c r="B23" t="b">
        <v>1</v>
      </c>
      <c r="C23" t="b">
        <v>0</v>
      </c>
      <c r="D23" s="2" t="b">
        <v>0</v>
      </c>
      <c r="E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">
        <v>-3</v>
      </c>
      <c r="G23" t="s">
        <v>715</v>
      </c>
      <c r="S23"/>
      <c r="T23"/>
      <c r="U23"/>
    </row>
    <row r="24" spans="1:21">
      <c r="A24" s="2" t="s">
        <v>46</v>
      </c>
      <c r="B24" t="b">
        <v>1</v>
      </c>
      <c r="C24" t="b">
        <v>0</v>
      </c>
      <c r="D24" s="2" t="b">
        <v>0</v>
      </c>
      <c r="E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">
        <v>-3</v>
      </c>
      <c r="G24" t="s">
        <v>715</v>
      </c>
      <c r="S24"/>
      <c r="T24"/>
      <c r="U24"/>
    </row>
    <row r="25" spans="1:21">
      <c r="A25" s="2" t="s">
        <v>47</v>
      </c>
      <c r="B25" t="b">
        <v>1</v>
      </c>
      <c r="C25" t="b">
        <v>0</v>
      </c>
      <c r="D25" s="2" t="b">
        <v>0</v>
      </c>
      <c r="E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">
        <v>-3</v>
      </c>
      <c r="G25" t="s">
        <v>715</v>
      </c>
      <c r="S25"/>
      <c r="T25"/>
      <c r="U25"/>
    </row>
    <row r="26" spans="1:21">
      <c r="A26" s="2" t="s">
        <v>48</v>
      </c>
      <c r="B26" t="b">
        <v>1</v>
      </c>
      <c r="C26" t="b">
        <v>0</v>
      </c>
      <c r="D26" s="2" t="b">
        <v>0</v>
      </c>
      <c r="E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">
        <v>-3</v>
      </c>
      <c r="G26" t="s">
        <v>715</v>
      </c>
      <c r="S26"/>
      <c r="T26"/>
      <c r="U26"/>
    </row>
    <row r="27" spans="1:21">
      <c r="A27" s="2" t="s">
        <v>49</v>
      </c>
      <c r="B27" t="b">
        <v>1</v>
      </c>
      <c r="C27" t="b">
        <v>0</v>
      </c>
      <c r="D27" s="2" t="b">
        <v>0</v>
      </c>
      <c r="E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">
        <v>-3</v>
      </c>
      <c r="G27" t="s">
        <v>715</v>
      </c>
      <c r="S27"/>
      <c r="T27"/>
      <c r="U27"/>
    </row>
    <row r="28" spans="1:21">
      <c r="A28" s="2" t="s">
        <v>50</v>
      </c>
      <c r="B28" t="b">
        <v>1</v>
      </c>
      <c r="C28" t="b">
        <v>0</v>
      </c>
      <c r="D28" s="2" t="b">
        <v>0</v>
      </c>
      <c r="E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">
        <v>0</v>
      </c>
      <c r="G28" t="s">
        <v>715</v>
      </c>
      <c r="S28"/>
      <c r="T28"/>
      <c r="U28"/>
    </row>
    <row r="29" spans="1:21">
      <c r="A29" s="2" t="s">
        <v>51</v>
      </c>
      <c r="B29" t="b">
        <v>1</v>
      </c>
      <c r="C29" t="b">
        <v>0</v>
      </c>
      <c r="D29" s="2" t="b">
        <v>0</v>
      </c>
      <c r="E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">
        <v>0</v>
      </c>
      <c r="G29" t="s">
        <v>715</v>
      </c>
      <c r="S29"/>
      <c r="T29"/>
      <c r="U29"/>
    </row>
    <row r="30" spans="1:21">
      <c r="A30" s="2" t="s">
        <v>52</v>
      </c>
      <c r="B30" t="b">
        <v>1</v>
      </c>
      <c r="C30" t="b">
        <v>0</v>
      </c>
      <c r="D30" s="2" t="b">
        <v>0</v>
      </c>
      <c r="E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">
        <v>0</v>
      </c>
      <c r="G30" t="s">
        <v>715</v>
      </c>
      <c r="S30"/>
      <c r="T30"/>
      <c r="U30"/>
    </row>
    <row r="31" spans="1:21">
      <c r="A31" s="2" t="s">
        <v>53</v>
      </c>
      <c r="B31" t="b">
        <v>1</v>
      </c>
      <c r="C31" t="b">
        <v>0</v>
      </c>
      <c r="D31" s="2" t="b">
        <v>0</v>
      </c>
      <c r="E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1">
        <v>0</v>
      </c>
      <c r="G31" t="s">
        <v>715</v>
      </c>
      <c r="S31"/>
      <c r="T31"/>
      <c r="U31"/>
    </row>
    <row r="32" spans="1:21">
      <c r="A32" s="2" t="s">
        <v>54</v>
      </c>
      <c r="B32" t="b">
        <v>1</v>
      </c>
      <c r="C32" t="b">
        <v>0</v>
      </c>
      <c r="D32" s="2" t="b">
        <v>0</v>
      </c>
      <c r="E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2">
        <v>0</v>
      </c>
      <c r="G32" t="s">
        <v>715</v>
      </c>
      <c r="S32"/>
      <c r="T32"/>
      <c r="U32"/>
    </row>
    <row r="33" spans="1:21">
      <c r="A33" s="2" t="s">
        <v>55</v>
      </c>
      <c r="B33" t="b">
        <v>1</v>
      </c>
      <c r="C33" t="b">
        <v>0</v>
      </c>
      <c r="D33" s="2" t="b">
        <v>0</v>
      </c>
      <c r="E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3">
        <v>0</v>
      </c>
      <c r="G33" t="s">
        <v>715</v>
      </c>
      <c r="S33"/>
      <c r="T33"/>
      <c r="U33"/>
    </row>
    <row r="34" spans="1:21">
      <c r="A34" s="2" t="s">
        <v>56</v>
      </c>
      <c r="B34" t="b">
        <v>1</v>
      </c>
      <c r="C34" t="b">
        <v>0</v>
      </c>
      <c r="D34" s="2" t="b">
        <v>0</v>
      </c>
      <c r="E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4">
        <v>0</v>
      </c>
      <c r="G34" t="s">
        <v>715</v>
      </c>
      <c r="S34"/>
      <c r="T34"/>
      <c r="U34"/>
    </row>
    <row r="35" spans="1:21">
      <c r="A35" s="2" t="s">
        <v>57</v>
      </c>
      <c r="B35" t="b">
        <v>1</v>
      </c>
      <c r="C35" t="b">
        <v>0</v>
      </c>
      <c r="D35" s="2" t="b">
        <v>0</v>
      </c>
      <c r="E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5">
        <v>0</v>
      </c>
      <c r="G35" t="s">
        <v>715</v>
      </c>
      <c r="S35"/>
      <c r="T35"/>
      <c r="U35"/>
    </row>
    <row r="36" spans="1:21">
      <c r="A36" s="2" t="s">
        <v>58</v>
      </c>
      <c r="B36" t="b">
        <v>1</v>
      </c>
      <c r="C36" t="b">
        <v>0</v>
      </c>
      <c r="D36" s="2" t="b">
        <v>0</v>
      </c>
      <c r="E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6">
        <v>0</v>
      </c>
      <c r="G36" t="s">
        <v>715</v>
      </c>
      <c r="S36"/>
      <c r="T36"/>
      <c r="U36"/>
    </row>
    <row r="37" spans="1:21">
      <c r="A37" s="2" t="s">
        <v>59</v>
      </c>
      <c r="B37" t="b">
        <v>1</v>
      </c>
      <c r="C37" t="b">
        <v>0</v>
      </c>
      <c r="D37" s="2" t="b">
        <v>0</v>
      </c>
      <c r="E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7">
        <v>0</v>
      </c>
      <c r="G37" t="s">
        <v>715</v>
      </c>
      <c r="S37"/>
      <c r="T37"/>
      <c r="U37"/>
    </row>
    <row r="38" spans="1:21">
      <c r="A38" s="2" t="s">
        <v>60</v>
      </c>
      <c r="B38" t="b">
        <v>1</v>
      </c>
      <c r="C38" t="b">
        <v>0</v>
      </c>
      <c r="D38" s="2" t="b">
        <v>0</v>
      </c>
      <c r="E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8">
        <v>0</v>
      </c>
      <c r="G38" t="s">
        <v>715</v>
      </c>
      <c r="S38"/>
      <c r="T38"/>
      <c r="U38"/>
    </row>
    <row r="39" spans="1:21">
      <c r="A39" s="2" t="s">
        <v>61</v>
      </c>
      <c r="B39" t="b">
        <v>1</v>
      </c>
      <c r="C39" t="b">
        <v>0</v>
      </c>
      <c r="D39" s="2" t="b">
        <v>0</v>
      </c>
      <c r="E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9">
        <v>0</v>
      </c>
      <c r="G39" t="s">
        <v>715</v>
      </c>
      <c r="S39"/>
      <c r="T39"/>
      <c r="U39"/>
    </row>
    <row r="40" spans="1:21">
      <c r="A40" s="2" t="s">
        <v>62</v>
      </c>
      <c r="B40" t="b">
        <v>1</v>
      </c>
      <c r="C40" t="b">
        <v>0</v>
      </c>
      <c r="D40" s="2" t="b">
        <v>0</v>
      </c>
      <c r="E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0">
        <v>0</v>
      </c>
      <c r="G40" t="s">
        <v>715</v>
      </c>
      <c r="S40"/>
      <c r="T40"/>
      <c r="U40"/>
    </row>
    <row r="41" spans="1:21">
      <c r="A41" s="2" t="s">
        <v>63</v>
      </c>
      <c r="B41" t="b">
        <v>1</v>
      </c>
      <c r="C41" t="b">
        <v>0</v>
      </c>
      <c r="D41" s="2" t="b">
        <v>0</v>
      </c>
      <c r="E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1">
        <v>0</v>
      </c>
      <c r="G41" t="s">
        <v>715</v>
      </c>
      <c r="S41"/>
      <c r="T41"/>
      <c r="U41"/>
    </row>
    <row r="42" spans="1:21">
      <c r="A42" s="2" t="s">
        <v>64</v>
      </c>
      <c r="B42" t="b">
        <v>1</v>
      </c>
      <c r="C42" t="b">
        <v>0</v>
      </c>
      <c r="D42" s="2" t="b">
        <v>0</v>
      </c>
      <c r="E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2">
        <v>0</v>
      </c>
      <c r="G42" t="s">
        <v>715</v>
      </c>
      <c r="S42"/>
      <c r="T42"/>
      <c r="U42"/>
    </row>
    <row r="43" spans="1:21">
      <c r="A43" s="2" t="s">
        <v>65</v>
      </c>
      <c r="B43" t="b">
        <v>1</v>
      </c>
      <c r="C43" t="b">
        <v>0</v>
      </c>
      <c r="D43" s="2" t="b">
        <v>0</v>
      </c>
      <c r="E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3">
        <v>0</v>
      </c>
      <c r="G43" t="s">
        <v>715</v>
      </c>
      <c r="S43"/>
      <c r="T43"/>
      <c r="U43"/>
    </row>
    <row r="44" spans="1:21">
      <c r="A44" s="2" t="s">
        <v>66</v>
      </c>
      <c r="B44" t="b">
        <v>1</v>
      </c>
      <c r="C44" t="b">
        <v>0</v>
      </c>
      <c r="D44" s="2" t="b">
        <v>0</v>
      </c>
      <c r="E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4">
        <v>0</v>
      </c>
      <c r="G44" t="s">
        <v>715</v>
      </c>
      <c r="S44"/>
      <c r="T44"/>
      <c r="U44"/>
    </row>
    <row r="45" spans="1:21">
      <c r="A45" s="2" t="s">
        <v>67</v>
      </c>
      <c r="B45" t="b">
        <v>1</v>
      </c>
      <c r="C45" t="b">
        <v>0</v>
      </c>
      <c r="D45" s="2" t="b">
        <v>0</v>
      </c>
      <c r="E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">
        <v>0</v>
      </c>
      <c r="G45" t="s">
        <v>715</v>
      </c>
      <c r="S45"/>
      <c r="T45"/>
      <c r="U45"/>
    </row>
    <row r="46" spans="1:21">
      <c r="A46" s="2" t="s">
        <v>68</v>
      </c>
      <c r="B46" t="b">
        <v>1</v>
      </c>
      <c r="C46" t="b">
        <v>0</v>
      </c>
      <c r="D46" s="2" t="b">
        <v>0</v>
      </c>
      <c r="E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">
        <v>0</v>
      </c>
      <c r="G46" t="s">
        <v>715</v>
      </c>
      <c r="S46"/>
      <c r="T46"/>
      <c r="U46"/>
    </row>
    <row r="47" spans="1:21">
      <c r="A47" s="2" t="s">
        <v>69</v>
      </c>
      <c r="B47" t="b">
        <v>1</v>
      </c>
      <c r="C47" t="b">
        <v>0</v>
      </c>
      <c r="D47" s="2" t="b">
        <v>0</v>
      </c>
      <c r="E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">
        <v>0</v>
      </c>
      <c r="G47" t="s">
        <v>715</v>
      </c>
      <c r="S47"/>
      <c r="T47"/>
      <c r="U47"/>
    </row>
    <row r="48" spans="1:21">
      <c r="A48" s="2" t="s">
        <v>70</v>
      </c>
      <c r="B48" t="b">
        <v>1</v>
      </c>
      <c r="C48" t="b">
        <v>0</v>
      </c>
      <c r="D48" s="2" t="b">
        <v>0</v>
      </c>
      <c r="E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">
        <v>0</v>
      </c>
      <c r="G48" t="s">
        <v>715</v>
      </c>
      <c r="S48"/>
      <c r="T48"/>
      <c r="U48"/>
    </row>
    <row r="49" spans="1:21">
      <c r="A49" s="2" t="s">
        <v>71</v>
      </c>
      <c r="B49" t="b">
        <v>1</v>
      </c>
      <c r="C49" t="b">
        <v>0</v>
      </c>
      <c r="D49" s="2" t="b">
        <v>0</v>
      </c>
      <c r="E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">
        <v>0</v>
      </c>
      <c r="G49" t="s">
        <v>715</v>
      </c>
      <c r="S49"/>
      <c r="T49"/>
      <c r="U49"/>
    </row>
    <row r="50" spans="1:21">
      <c r="A50" s="2" t="s">
        <v>72</v>
      </c>
      <c r="B50" t="b">
        <v>1</v>
      </c>
      <c r="C50" t="b">
        <v>0</v>
      </c>
      <c r="D50" s="2" t="b">
        <v>0</v>
      </c>
      <c r="E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">
        <v>0</v>
      </c>
      <c r="G50" t="s">
        <v>715</v>
      </c>
      <c r="S50"/>
      <c r="T50"/>
      <c r="U50"/>
    </row>
    <row r="51" spans="1:21">
      <c r="A51" s="2" t="s">
        <v>74</v>
      </c>
      <c r="B51" t="b">
        <v>1</v>
      </c>
      <c r="C51" t="b">
        <v>0</v>
      </c>
      <c r="D51" s="2" t="b">
        <v>0</v>
      </c>
      <c r="E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">
        <v>0</v>
      </c>
      <c r="G51" t="s">
        <v>715</v>
      </c>
      <c r="S51"/>
      <c r="T51"/>
      <c r="U51"/>
    </row>
    <row r="52" spans="1:21">
      <c r="A52" s="2" t="s">
        <v>75</v>
      </c>
      <c r="B52" t="b">
        <v>1</v>
      </c>
      <c r="C52" t="b">
        <v>0</v>
      </c>
      <c r="D52" s="2" t="b">
        <v>0</v>
      </c>
      <c r="E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">
        <v>-3</v>
      </c>
      <c r="G52" t="s">
        <v>715</v>
      </c>
      <c r="S52"/>
      <c r="T52"/>
      <c r="U52"/>
    </row>
    <row r="53" spans="1:21">
      <c r="A53" s="2" t="s">
        <v>76</v>
      </c>
      <c r="B53" t="b">
        <v>1</v>
      </c>
      <c r="C53" t="b">
        <v>0</v>
      </c>
      <c r="D53" s="2" t="b">
        <v>0</v>
      </c>
      <c r="E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">
        <v>-3</v>
      </c>
      <c r="G53" t="s">
        <v>715</v>
      </c>
      <c r="S53"/>
      <c r="T53"/>
      <c r="U53"/>
    </row>
    <row r="54" spans="1:21">
      <c r="A54" s="2" t="s">
        <v>77</v>
      </c>
      <c r="B54" t="b">
        <v>1</v>
      </c>
      <c r="C54" t="b">
        <v>0</v>
      </c>
      <c r="D54" s="2" t="b">
        <v>0</v>
      </c>
      <c r="E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">
        <v>0</v>
      </c>
      <c r="G54" t="s">
        <v>715</v>
      </c>
      <c r="S54"/>
      <c r="T54"/>
      <c r="U54"/>
    </row>
    <row r="55" spans="1:21">
      <c r="A55" s="2" t="s">
        <v>78</v>
      </c>
      <c r="B55" t="b">
        <v>1</v>
      </c>
      <c r="C55" t="b">
        <v>0</v>
      </c>
      <c r="D55" s="2" t="b">
        <v>0</v>
      </c>
      <c r="E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">
        <v>-3</v>
      </c>
      <c r="G55" t="s">
        <v>715</v>
      </c>
      <c r="S55"/>
      <c r="T55"/>
      <c r="U55"/>
    </row>
    <row r="56" spans="1:21">
      <c r="A56" s="2" t="s">
        <v>79</v>
      </c>
      <c r="B56" t="b">
        <v>1</v>
      </c>
      <c r="C56" t="b">
        <v>0</v>
      </c>
      <c r="D56" s="2" t="b">
        <v>0</v>
      </c>
      <c r="E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">
        <v>0</v>
      </c>
      <c r="G56" t="s">
        <v>715</v>
      </c>
      <c r="S56"/>
      <c r="T56"/>
      <c r="U56"/>
    </row>
    <row r="57" spans="1:21">
      <c r="A57" s="2" t="s">
        <v>80</v>
      </c>
      <c r="B57" t="b">
        <v>1</v>
      </c>
      <c r="C57" t="b">
        <v>0</v>
      </c>
      <c r="D57" s="2" t="b">
        <v>0</v>
      </c>
      <c r="E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7">
        <v>0</v>
      </c>
      <c r="G57" t="s">
        <v>715</v>
      </c>
      <c r="S57"/>
      <c r="T57"/>
      <c r="U57"/>
    </row>
    <row r="58" spans="1:21">
      <c r="A58" s="2" t="s">
        <v>81</v>
      </c>
      <c r="B58" t="b">
        <v>1</v>
      </c>
      <c r="C58" t="b">
        <v>0</v>
      </c>
      <c r="D58" s="2" t="b">
        <v>0</v>
      </c>
      <c r="E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8">
        <v>-3</v>
      </c>
      <c r="G58" t="s">
        <v>715</v>
      </c>
      <c r="S58"/>
      <c r="T58"/>
      <c r="U58"/>
    </row>
    <row r="59" spans="1:21">
      <c r="A59" s="2" t="s">
        <v>82</v>
      </c>
      <c r="B59" t="b">
        <v>1</v>
      </c>
      <c r="C59" t="b">
        <v>0</v>
      </c>
      <c r="D59" s="2" t="b">
        <v>0</v>
      </c>
      <c r="E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">
        <v>0</v>
      </c>
      <c r="G59" t="s">
        <v>715</v>
      </c>
      <c r="S59"/>
      <c r="T59"/>
      <c r="U59"/>
    </row>
    <row r="60" spans="1:21">
      <c r="A60" s="2" t="s">
        <v>83</v>
      </c>
      <c r="B60" t="b">
        <v>1</v>
      </c>
      <c r="C60" t="b">
        <v>0</v>
      </c>
      <c r="D60" s="2" t="b">
        <v>0</v>
      </c>
      <c r="E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">
        <v>0</v>
      </c>
      <c r="G60" t="s">
        <v>715</v>
      </c>
      <c r="S60"/>
      <c r="T60"/>
      <c r="U60"/>
    </row>
    <row r="61" spans="1:21">
      <c r="A61" s="2" t="s">
        <v>84</v>
      </c>
      <c r="B61" t="b">
        <v>1</v>
      </c>
      <c r="C61" t="b">
        <v>0</v>
      </c>
      <c r="D61" s="2" t="b">
        <v>0</v>
      </c>
      <c r="E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">
        <v>0</v>
      </c>
      <c r="G61" t="s">
        <v>715</v>
      </c>
      <c r="S61"/>
      <c r="T61"/>
      <c r="U61"/>
    </row>
    <row r="62" spans="1:21">
      <c r="A62" s="2" t="s">
        <v>85</v>
      </c>
      <c r="B62" t="b">
        <v>1</v>
      </c>
      <c r="C62" t="b">
        <v>0</v>
      </c>
      <c r="D62" s="2" t="b">
        <v>0</v>
      </c>
      <c r="E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">
        <v>-3</v>
      </c>
      <c r="G62" t="s">
        <v>715</v>
      </c>
      <c r="S62"/>
      <c r="T62"/>
      <c r="U62"/>
    </row>
    <row r="63" spans="1:21">
      <c r="A63" s="2" t="s">
        <v>86</v>
      </c>
      <c r="B63" t="b">
        <v>1</v>
      </c>
      <c r="C63" t="b">
        <v>0</v>
      </c>
      <c r="D63" s="2" t="b">
        <v>0</v>
      </c>
      <c r="E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">
        <v>0</v>
      </c>
      <c r="G63" t="s">
        <v>715</v>
      </c>
      <c r="S63"/>
      <c r="T63"/>
      <c r="U63"/>
    </row>
    <row r="64" spans="1:21">
      <c r="A64" s="2" t="s">
        <v>87</v>
      </c>
      <c r="B64" t="b">
        <v>1</v>
      </c>
      <c r="C64" t="b">
        <v>0</v>
      </c>
      <c r="D64" s="2" t="b">
        <v>0</v>
      </c>
      <c r="E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">
        <v>0</v>
      </c>
      <c r="G64" t="s">
        <v>715</v>
      </c>
      <c r="S64"/>
      <c r="T64"/>
      <c r="U64"/>
    </row>
    <row r="65" spans="1:21">
      <c r="A65" s="2" t="s">
        <v>88</v>
      </c>
      <c r="B65" t="b">
        <v>1</v>
      </c>
      <c r="C65" t="b">
        <v>0</v>
      </c>
      <c r="D65" s="2" t="b">
        <v>0</v>
      </c>
      <c r="E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5">
        <v>0</v>
      </c>
      <c r="G65" t="s">
        <v>715</v>
      </c>
      <c r="S65"/>
      <c r="T65"/>
      <c r="U65"/>
    </row>
    <row r="66" spans="1:21">
      <c r="A66" s="2" t="s">
        <v>89</v>
      </c>
      <c r="B66" t="b">
        <v>1</v>
      </c>
      <c r="C66" t="b">
        <v>0</v>
      </c>
      <c r="D66" s="2" t="b">
        <v>0</v>
      </c>
      <c r="E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6">
        <v>-3</v>
      </c>
      <c r="G66" t="s">
        <v>715</v>
      </c>
      <c r="S66"/>
      <c r="T66"/>
      <c r="U66"/>
    </row>
    <row r="67" spans="1:21">
      <c r="A67" s="2" t="s">
        <v>90</v>
      </c>
      <c r="B67" t="b">
        <v>1</v>
      </c>
      <c r="C67" t="b">
        <v>0</v>
      </c>
      <c r="D67" s="2" t="b">
        <v>0</v>
      </c>
      <c r="E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7">
        <v>0</v>
      </c>
      <c r="G67" t="s">
        <v>715</v>
      </c>
      <c r="S67"/>
      <c r="T67"/>
      <c r="U67"/>
    </row>
    <row r="68" spans="1:21">
      <c r="A68" s="2" t="s">
        <v>91</v>
      </c>
      <c r="B68" t="b">
        <v>1</v>
      </c>
      <c r="C68" t="b">
        <v>0</v>
      </c>
      <c r="D68" s="2" t="b">
        <v>0</v>
      </c>
      <c r="E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8">
        <v>-3</v>
      </c>
      <c r="G68" t="s">
        <v>715</v>
      </c>
      <c r="S68"/>
      <c r="T68"/>
      <c r="U68"/>
    </row>
    <row r="69" spans="1:21">
      <c r="A69" s="2" t="s">
        <v>92</v>
      </c>
      <c r="B69" t="b">
        <v>1</v>
      </c>
      <c r="C69" t="b">
        <v>0</v>
      </c>
      <c r="D69" s="2" t="b">
        <v>0</v>
      </c>
      <c r="E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9">
        <v>0</v>
      </c>
      <c r="G69" t="s">
        <v>715</v>
      </c>
      <c r="S69"/>
      <c r="T69"/>
      <c r="U69"/>
    </row>
    <row r="70" spans="1:21">
      <c r="A70" s="2" t="s">
        <v>93</v>
      </c>
      <c r="B70" t="b">
        <v>1</v>
      </c>
      <c r="C70" t="b">
        <v>0</v>
      </c>
      <c r="D70" s="2" t="b">
        <v>0</v>
      </c>
      <c r="E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0">
        <v>0</v>
      </c>
      <c r="G70" t="s">
        <v>715</v>
      </c>
      <c r="S70"/>
      <c r="T70"/>
      <c r="U70"/>
    </row>
    <row r="71" spans="1:21">
      <c r="A71" s="2" t="s">
        <v>94</v>
      </c>
      <c r="B71" t="b">
        <v>1</v>
      </c>
      <c r="C71" t="b">
        <v>0</v>
      </c>
      <c r="D71" s="2" t="b">
        <v>0</v>
      </c>
      <c r="E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1">
        <v>-3</v>
      </c>
      <c r="G71" t="s">
        <v>715</v>
      </c>
      <c r="S71"/>
      <c r="T71"/>
      <c r="U71"/>
    </row>
    <row r="72" spans="1:21">
      <c r="A72" s="2" t="s">
        <v>95</v>
      </c>
      <c r="B72" t="b">
        <v>1</v>
      </c>
      <c r="C72" t="b">
        <v>0</v>
      </c>
      <c r="D72" s="2" t="b">
        <v>0</v>
      </c>
      <c r="E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2">
        <v>-3</v>
      </c>
      <c r="G72" t="s">
        <v>715</v>
      </c>
      <c r="S72"/>
      <c r="T72"/>
      <c r="U72"/>
    </row>
    <row r="73" spans="1:21">
      <c r="A73" s="2" t="s">
        <v>96</v>
      </c>
      <c r="B73" t="b">
        <v>1</v>
      </c>
      <c r="C73" t="b">
        <v>0</v>
      </c>
      <c r="D73" s="2" t="b">
        <v>0</v>
      </c>
      <c r="E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3">
        <v>-3</v>
      </c>
      <c r="G73" t="s">
        <v>715</v>
      </c>
      <c r="S73"/>
      <c r="T73"/>
      <c r="U73"/>
    </row>
    <row r="74" spans="1:21">
      <c r="A74" s="2" t="s">
        <v>97</v>
      </c>
      <c r="B74" t="b">
        <v>1</v>
      </c>
      <c r="C74" t="b">
        <v>0</v>
      </c>
      <c r="D74" s="2" t="b">
        <v>0</v>
      </c>
      <c r="E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4">
        <v>0</v>
      </c>
      <c r="G74" t="s">
        <v>715</v>
      </c>
      <c r="S74"/>
      <c r="T74"/>
      <c r="U74"/>
    </row>
    <row r="75" spans="1:21">
      <c r="A75" s="2" t="s">
        <v>98</v>
      </c>
      <c r="B75" t="b">
        <v>1</v>
      </c>
      <c r="C75" t="b">
        <v>0</v>
      </c>
      <c r="D75" s="2" t="b">
        <v>0</v>
      </c>
      <c r="E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5">
        <v>0</v>
      </c>
      <c r="G75" t="s">
        <v>715</v>
      </c>
      <c r="S75"/>
      <c r="T75"/>
      <c r="U75"/>
    </row>
    <row r="76" spans="1:21">
      <c r="A76" s="2" t="s">
        <v>99</v>
      </c>
      <c r="B76" t="b">
        <v>1</v>
      </c>
      <c r="C76" t="b">
        <v>0</v>
      </c>
      <c r="D76" s="2" t="b">
        <v>0</v>
      </c>
      <c r="E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6">
        <v>0</v>
      </c>
      <c r="G76" t="s">
        <v>715</v>
      </c>
      <c r="S76"/>
      <c r="T76"/>
      <c r="U76"/>
    </row>
    <row r="77" spans="1:21">
      <c r="A77" s="2" t="s">
        <v>100</v>
      </c>
      <c r="B77" t="b">
        <v>1</v>
      </c>
      <c r="C77" t="b">
        <v>0</v>
      </c>
      <c r="D77" s="2" t="b">
        <v>0</v>
      </c>
      <c r="E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7">
        <v>0</v>
      </c>
      <c r="G77" t="s">
        <v>715</v>
      </c>
      <c r="S77"/>
      <c r="T77"/>
      <c r="U77"/>
    </row>
    <row r="78" spans="1:21">
      <c r="A78" s="2" t="s">
        <v>101</v>
      </c>
      <c r="B78" t="b">
        <v>1</v>
      </c>
      <c r="C78" t="b">
        <v>0</v>
      </c>
      <c r="D78" s="2" t="b">
        <v>0</v>
      </c>
      <c r="E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8">
        <v>-3</v>
      </c>
      <c r="G78" t="s">
        <v>715</v>
      </c>
      <c r="S78"/>
      <c r="T78"/>
      <c r="U78"/>
    </row>
    <row r="79" spans="1:21">
      <c r="A79" s="2" t="s">
        <v>102</v>
      </c>
      <c r="B79" t="b">
        <v>1</v>
      </c>
      <c r="C79" t="b">
        <v>0</v>
      </c>
      <c r="D79" s="2" t="b">
        <v>0</v>
      </c>
      <c r="E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">
        <v>-3</v>
      </c>
      <c r="G79" t="s">
        <v>715</v>
      </c>
      <c r="S79"/>
      <c r="T79"/>
      <c r="U79"/>
    </row>
    <row r="80" spans="1:21">
      <c r="A80" s="2" t="s">
        <v>103</v>
      </c>
      <c r="B80" t="b">
        <v>1</v>
      </c>
      <c r="C80" t="b">
        <v>0</v>
      </c>
      <c r="D80" s="2" t="b">
        <v>0</v>
      </c>
      <c r="E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0">
        <v>0</v>
      </c>
      <c r="G80" t="s">
        <v>715</v>
      </c>
      <c r="S80"/>
      <c r="T80"/>
      <c r="U80"/>
    </row>
    <row r="81" spans="1:21">
      <c r="A81" s="2" t="s">
        <v>104</v>
      </c>
      <c r="B81" t="b">
        <v>1</v>
      </c>
      <c r="C81" t="b">
        <v>0</v>
      </c>
      <c r="D81" s="2" t="b">
        <v>0</v>
      </c>
      <c r="E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1">
        <v>0</v>
      </c>
      <c r="G81" t="s">
        <v>715</v>
      </c>
      <c r="S81"/>
      <c r="T81"/>
      <c r="U81"/>
    </row>
    <row r="82" spans="1:21">
      <c r="A82" s="2" t="s">
        <v>105</v>
      </c>
      <c r="B82" t="b">
        <v>1</v>
      </c>
      <c r="C82" t="b">
        <v>0</v>
      </c>
      <c r="D82" s="2" t="b">
        <v>0</v>
      </c>
      <c r="E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2">
        <v>-3</v>
      </c>
      <c r="G82" t="s">
        <v>715</v>
      </c>
      <c r="S82"/>
      <c r="T82"/>
      <c r="U82"/>
    </row>
    <row r="83" spans="1:21">
      <c r="A83" s="2" t="s">
        <v>106</v>
      </c>
      <c r="B83" t="b">
        <v>1</v>
      </c>
      <c r="C83" t="b">
        <v>0</v>
      </c>
      <c r="D83" s="2" t="b">
        <v>0</v>
      </c>
      <c r="E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3">
        <v>0</v>
      </c>
      <c r="G83" t="s">
        <v>715</v>
      </c>
      <c r="S83"/>
      <c r="T83"/>
      <c r="U83"/>
    </row>
    <row r="84" spans="1:21">
      <c r="A84" s="2" t="s">
        <v>107</v>
      </c>
      <c r="B84" t="b">
        <v>1</v>
      </c>
      <c r="C84" t="b">
        <v>0</v>
      </c>
      <c r="D84" s="2" t="b">
        <v>0</v>
      </c>
      <c r="E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4">
        <v>-3</v>
      </c>
      <c r="G84" t="s">
        <v>715</v>
      </c>
      <c r="S84"/>
      <c r="T84"/>
      <c r="U84"/>
    </row>
    <row r="85" spans="1:21">
      <c r="A85" s="2" t="s">
        <v>108</v>
      </c>
      <c r="B85" t="b">
        <v>1</v>
      </c>
      <c r="C85" t="b">
        <v>0</v>
      </c>
      <c r="D85" s="2" t="b">
        <v>0</v>
      </c>
      <c r="E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5">
        <v>0</v>
      </c>
      <c r="G85" t="s">
        <v>715</v>
      </c>
      <c r="S85"/>
      <c r="T85"/>
      <c r="U85"/>
    </row>
    <row r="86" spans="1:21">
      <c r="A86" s="2" t="s">
        <v>109</v>
      </c>
      <c r="B86" t="b">
        <v>1</v>
      </c>
      <c r="C86" t="b">
        <v>0</v>
      </c>
      <c r="D86" s="2" t="b">
        <v>0</v>
      </c>
      <c r="E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6">
        <v>0</v>
      </c>
      <c r="G86" t="s">
        <v>715</v>
      </c>
      <c r="S86"/>
      <c r="T86"/>
      <c r="U86"/>
    </row>
    <row r="87" spans="1:21">
      <c r="A87" s="2" t="s">
        <v>110</v>
      </c>
      <c r="B87" t="b">
        <v>1</v>
      </c>
      <c r="C87" t="b">
        <v>0</v>
      </c>
      <c r="D87" s="2" t="b">
        <v>0</v>
      </c>
      <c r="E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7">
        <v>0</v>
      </c>
      <c r="G87" t="s">
        <v>715</v>
      </c>
      <c r="S87"/>
      <c r="T87"/>
      <c r="U87"/>
    </row>
    <row r="88" spans="1:21">
      <c r="A88" s="2" t="s">
        <v>111</v>
      </c>
      <c r="B88" t="b">
        <v>1</v>
      </c>
      <c r="C88" t="b">
        <v>0</v>
      </c>
      <c r="D88" s="2" t="b">
        <v>0</v>
      </c>
      <c r="E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8">
        <v>0</v>
      </c>
      <c r="G88" t="s">
        <v>715</v>
      </c>
      <c r="S88"/>
      <c r="T88"/>
      <c r="U88"/>
    </row>
    <row r="89" spans="1:21">
      <c r="A89" s="2" t="s">
        <v>112</v>
      </c>
      <c r="B89" t="b">
        <v>1</v>
      </c>
      <c r="C89" t="b">
        <v>0</v>
      </c>
      <c r="D89" s="2" t="b">
        <v>0</v>
      </c>
      <c r="E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9">
        <v>-3</v>
      </c>
      <c r="G89" t="s">
        <v>715</v>
      </c>
      <c r="S89"/>
      <c r="T89"/>
      <c r="U89"/>
    </row>
    <row r="90" spans="1:21">
      <c r="A90" s="2" t="s">
        <v>113</v>
      </c>
      <c r="B90" t="b">
        <v>1</v>
      </c>
      <c r="C90" t="b">
        <v>0</v>
      </c>
      <c r="D90" s="2" t="b">
        <v>0</v>
      </c>
      <c r="E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0">
        <v>0</v>
      </c>
      <c r="G90" t="s">
        <v>715</v>
      </c>
      <c r="S90"/>
      <c r="T90"/>
      <c r="U90"/>
    </row>
    <row r="91" spans="1:21">
      <c r="A91" s="2" t="s">
        <v>114</v>
      </c>
      <c r="B91" t="b">
        <v>1</v>
      </c>
      <c r="C91" t="b">
        <v>0</v>
      </c>
      <c r="D91" s="2" t="b">
        <v>0</v>
      </c>
      <c r="E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1">
        <v>0</v>
      </c>
      <c r="G91" t="s">
        <v>715</v>
      </c>
      <c r="S91"/>
      <c r="T91"/>
      <c r="U91"/>
    </row>
    <row r="92" spans="1:21">
      <c r="A92" s="2" t="s">
        <v>115</v>
      </c>
      <c r="B92" t="b">
        <v>1</v>
      </c>
      <c r="C92" t="b">
        <v>0</v>
      </c>
      <c r="D92" s="2" t="b">
        <v>0</v>
      </c>
      <c r="E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2">
        <v>-3</v>
      </c>
      <c r="G92" t="s">
        <v>715</v>
      </c>
      <c r="S92"/>
      <c r="T92"/>
      <c r="U92"/>
    </row>
    <row r="93" spans="1:21">
      <c r="A93" s="2" t="s">
        <v>116</v>
      </c>
      <c r="B93" t="b">
        <v>1</v>
      </c>
      <c r="C93" t="b">
        <v>0</v>
      </c>
      <c r="D93" s="2" t="b">
        <v>0</v>
      </c>
      <c r="E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3">
        <v>0</v>
      </c>
      <c r="G93" t="s">
        <v>715</v>
      </c>
      <c r="S93"/>
      <c r="T93"/>
      <c r="U93"/>
    </row>
    <row r="94" spans="1:21">
      <c r="A94" s="2" t="s">
        <v>117</v>
      </c>
      <c r="B94" t="b">
        <v>1</v>
      </c>
      <c r="C94" t="b">
        <v>0</v>
      </c>
      <c r="D94" s="2" t="b">
        <v>0</v>
      </c>
      <c r="E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4">
        <v>0</v>
      </c>
      <c r="G94" t="s">
        <v>715</v>
      </c>
      <c r="S94"/>
      <c r="T94"/>
      <c r="U94"/>
    </row>
    <row r="95" spans="1:21">
      <c r="A95" s="2" t="s">
        <v>118</v>
      </c>
      <c r="B95" t="b">
        <v>1</v>
      </c>
      <c r="C95" t="b">
        <v>0</v>
      </c>
      <c r="D95" s="2" t="b">
        <v>0</v>
      </c>
      <c r="E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5">
        <v>0</v>
      </c>
      <c r="G95" t="s">
        <v>715</v>
      </c>
      <c r="S95"/>
      <c r="T95"/>
      <c r="U95"/>
    </row>
    <row r="96" spans="1:21">
      <c r="A96" s="2" t="s">
        <v>119</v>
      </c>
      <c r="B96" t="b">
        <v>1</v>
      </c>
      <c r="C96" t="b">
        <v>0</v>
      </c>
      <c r="D96" s="2" t="b">
        <v>0</v>
      </c>
      <c r="E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6">
        <v>0</v>
      </c>
      <c r="G96" t="s">
        <v>715</v>
      </c>
      <c r="S96"/>
      <c r="T96"/>
      <c r="U96"/>
    </row>
    <row r="97" spans="1:21">
      <c r="A97" s="2" t="s">
        <v>120</v>
      </c>
      <c r="B97" t="b">
        <v>1</v>
      </c>
      <c r="C97" t="b">
        <v>0</v>
      </c>
      <c r="D97" s="2" t="b">
        <v>0</v>
      </c>
      <c r="E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7">
        <v>0</v>
      </c>
      <c r="G97" t="s">
        <v>715</v>
      </c>
      <c r="S97"/>
      <c r="T97"/>
      <c r="U97"/>
    </row>
    <row r="98" spans="1:21">
      <c r="A98" s="2" t="s">
        <v>121</v>
      </c>
      <c r="B98" t="b">
        <v>1</v>
      </c>
      <c r="C98" t="b">
        <v>0</v>
      </c>
      <c r="D98" s="2" t="b">
        <v>0</v>
      </c>
      <c r="E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8">
        <v>-3</v>
      </c>
      <c r="G98" t="s">
        <v>715</v>
      </c>
      <c r="S98"/>
      <c r="T98"/>
      <c r="U98"/>
    </row>
    <row r="99" spans="1:21">
      <c r="A99" s="2" t="s">
        <v>122</v>
      </c>
      <c r="B99" t="b">
        <v>1</v>
      </c>
      <c r="C99" t="b">
        <v>0</v>
      </c>
      <c r="D99" s="2" t="b">
        <v>0</v>
      </c>
      <c r="E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9">
        <v>-3</v>
      </c>
      <c r="G99" t="s">
        <v>715</v>
      </c>
      <c r="S99"/>
      <c r="T99"/>
      <c r="U99"/>
    </row>
    <row r="100" spans="1:21">
      <c r="A100" s="2" t="s">
        <v>123</v>
      </c>
      <c r="B100" t="b">
        <v>1</v>
      </c>
      <c r="C100" t="b">
        <v>0</v>
      </c>
      <c r="D100" s="2" t="b">
        <v>0</v>
      </c>
      <c r="E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0">
        <v>0</v>
      </c>
      <c r="G100" t="s">
        <v>715</v>
      </c>
      <c r="S100"/>
      <c r="T100"/>
      <c r="U100"/>
    </row>
    <row r="101" spans="1:21">
      <c r="A101" s="2" t="s">
        <v>124</v>
      </c>
      <c r="B101" t="b">
        <v>1</v>
      </c>
      <c r="C101" t="b">
        <v>0</v>
      </c>
      <c r="D101" s="2" t="b">
        <v>0</v>
      </c>
      <c r="E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1">
        <v>0</v>
      </c>
      <c r="G101" t="s">
        <v>715</v>
      </c>
      <c r="S101"/>
      <c r="T101"/>
      <c r="U101"/>
    </row>
    <row r="102" spans="1:21">
      <c r="A102" s="2" t="s">
        <v>125</v>
      </c>
      <c r="B102" t="b">
        <v>1</v>
      </c>
      <c r="C102" t="b">
        <v>0</v>
      </c>
      <c r="D102" s="2" t="b">
        <v>0</v>
      </c>
      <c r="E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2">
        <v>0</v>
      </c>
      <c r="G102" t="s">
        <v>715</v>
      </c>
      <c r="S102"/>
      <c r="T102"/>
      <c r="U102"/>
    </row>
    <row r="103" spans="1:21">
      <c r="A103" s="2" t="s">
        <v>126</v>
      </c>
      <c r="B103" t="b">
        <v>1</v>
      </c>
      <c r="C103" t="b">
        <v>0</v>
      </c>
      <c r="D103" s="2" t="b">
        <v>0</v>
      </c>
      <c r="E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3">
        <v>0</v>
      </c>
      <c r="G103" t="s">
        <v>715</v>
      </c>
      <c r="S103"/>
      <c r="T103"/>
      <c r="U103"/>
    </row>
    <row r="104" spans="1:21">
      <c r="A104" s="2" t="s">
        <v>127</v>
      </c>
      <c r="B104" t="b">
        <v>1</v>
      </c>
      <c r="C104" t="b">
        <v>0</v>
      </c>
      <c r="D104" s="2" t="b">
        <v>0</v>
      </c>
      <c r="E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4">
        <v>0</v>
      </c>
      <c r="G104" t="s">
        <v>715</v>
      </c>
      <c r="S104"/>
      <c r="T104"/>
      <c r="U104"/>
    </row>
    <row r="105" spans="1:21">
      <c r="A105" s="2" t="s">
        <v>128</v>
      </c>
      <c r="B105" t="b">
        <v>1</v>
      </c>
      <c r="C105" t="b">
        <v>0</v>
      </c>
      <c r="D105" s="2" t="b">
        <v>0</v>
      </c>
      <c r="E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5">
        <v>0</v>
      </c>
      <c r="G105" t="s">
        <v>715</v>
      </c>
      <c r="S105"/>
      <c r="T105"/>
      <c r="U105"/>
    </row>
    <row r="106" spans="1:21">
      <c r="A106" s="2" t="s">
        <v>129</v>
      </c>
      <c r="B106" t="b">
        <v>1</v>
      </c>
      <c r="C106" t="b">
        <v>0</v>
      </c>
      <c r="D106" s="2" t="b">
        <v>0</v>
      </c>
      <c r="E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6">
        <v>0</v>
      </c>
      <c r="G106" t="s">
        <v>715</v>
      </c>
      <c r="S106"/>
      <c r="T106"/>
      <c r="U106"/>
    </row>
    <row r="107" spans="1:21">
      <c r="A107" s="2" t="s">
        <v>130</v>
      </c>
      <c r="B107" t="b">
        <v>1</v>
      </c>
      <c r="C107" t="b">
        <v>0</v>
      </c>
      <c r="D107" s="2" t="b">
        <v>0</v>
      </c>
      <c r="E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7">
        <v>0</v>
      </c>
      <c r="G107" t="s">
        <v>715</v>
      </c>
      <c r="S107"/>
      <c r="T107"/>
      <c r="U107"/>
    </row>
    <row r="108" spans="1:21">
      <c r="A108" s="2" t="s">
        <v>131</v>
      </c>
      <c r="B108" t="b">
        <v>1</v>
      </c>
      <c r="C108" t="b">
        <v>0</v>
      </c>
      <c r="D108" s="2" t="b">
        <v>0</v>
      </c>
      <c r="E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8">
        <v>0</v>
      </c>
      <c r="G108" t="s">
        <v>715</v>
      </c>
      <c r="S108"/>
      <c r="T108"/>
      <c r="U108"/>
    </row>
    <row r="109" spans="1:21">
      <c r="A109" s="2" t="s">
        <v>132</v>
      </c>
      <c r="B109" t="b">
        <v>1</v>
      </c>
      <c r="C109" t="b">
        <v>0</v>
      </c>
      <c r="D109" s="2" t="b">
        <v>0</v>
      </c>
      <c r="E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9">
        <v>0</v>
      </c>
      <c r="G109" t="s">
        <v>715</v>
      </c>
      <c r="S109"/>
      <c r="T109"/>
      <c r="U109"/>
    </row>
    <row r="110" spans="1:21">
      <c r="A110" s="2" t="s">
        <v>133</v>
      </c>
      <c r="B110" t="b">
        <v>1</v>
      </c>
      <c r="C110" t="b">
        <v>0</v>
      </c>
      <c r="D110" s="2" t="b">
        <v>0</v>
      </c>
      <c r="E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0">
        <v>0</v>
      </c>
      <c r="G110" t="s">
        <v>715</v>
      </c>
      <c r="S110"/>
      <c r="T110"/>
      <c r="U110"/>
    </row>
    <row r="111" spans="1:21">
      <c r="A111" s="2" t="s">
        <v>134</v>
      </c>
      <c r="B111" t="b">
        <v>1</v>
      </c>
      <c r="C111" t="b">
        <v>0</v>
      </c>
      <c r="D111" s="2" t="b">
        <v>0</v>
      </c>
      <c r="E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1">
        <v>0</v>
      </c>
      <c r="G111" t="s">
        <v>715</v>
      </c>
      <c r="S111"/>
      <c r="T111"/>
      <c r="U111"/>
    </row>
    <row r="112" spans="1:21">
      <c r="A112" s="2" t="s">
        <v>135</v>
      </c>
      <c r="B112" t="b">
        <v>1</v>
      </c>
      <c r="C112" t="b">
        <v>0</v>
      </c>
      <c r="D112" s="2" t="b">
        <v>0</v>
      </c>
      <c r="E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2">
        <v>0</v>
      </c>
      <c r="G112" t="s">
        <v>715</v>
      </c>
      <c r="S112"/>
      <c r="T112"/>
      <c r="U112"/>
    </row>
    <row r="113" spans="1:21">
      <c r="A113" s="2" t="s">
        <v>136</v>
      </c>
      <c r="B113" t="b">
        <v>1</v>
      </c>
      <c r="C113" t="b">
        <v>0</v>
      </c>
      <c r="D113" s="2" t="b">
        <v>0</v>
      </c>
      <c r="E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3">
        <v>0</v>
      </c>
      <c r="G113" t="s">
        <v>715</v>
      </c>
      <c r="S113"/>
      <c r="T113"/>
      <c r="U113"/>
    </row>
    <row r="114" spans="1:21">
      <c r="A114" s="2" t="s">
        <v>137</v>
      </c>
      <c r="B114" t="b">
        <v>1</v>
      </c>
      <c r="C114" t="b">
        <v>0</v>
      </c>
      <c r="D114" s="2" t="b">
        <v>0</v>
      </c>
      <c r="E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4">
        <v>0</v>
      </c>
      <c r="G114" t="s">
        <v>715</v>
      </c>
      <c r="S114"/>
      <c r="T114"/>
      <c r="U114"/>
    </row>
    <row r="115" spans="1:21">
      <c r="A115" s="2" t="s">
        <v>138</v>
      </c>
      <c r="B115" t="b">
        <v>1</v>
      </c>
      <c r="C115" t="b">
        <v>0</v>
      </c>
      <c r="D115" s="2" t="b">
        <v>0</v>
      </c>
      <c r="E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5">
        <v>0</v>
      </c>
      <c r="G115" t="s">
        <v>715</v>
      </c>
      <c r="S115"/>
      <c r="T115"/>
      <c r="U115"/>
    </row>
    <row r="116" spans="1:21">
      <c r="A116" s="2" t="s">
        <v>139</v>
      </c>
      <c r="B116" t="b">
        <v>1</v>
      </c>
      <c r="C116" t="b">
        <v>0</v>
      </c>
      <c r="D116" s="2" t="b">
        <v>0</v>
      </c>
      <c r="E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6">
        <v>0</v>
      </c>
      <c r="G116" t="s">
        <v>715</v>
      </c>
      <c r="S116"/>
      <c r="T116"/>
      <c r="U116"/>
    </row>
    <row r="117" spans="1:21">
      <c r="A117" s="2" t="s">
        <v>140</v>
      </c>
      <c r="B117" t="b">
        <v>1</v>
      </c>
      <c r="C117" t="b">
        <v>0</v>
      </c>
      <c r="D117" s="2" t="b">
        <v>0</v>
      </c>
      <c r="E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7">
        <v>0</v>
      </c>
      <c r="G117" t="s">
        <v>715</v>
      </c>
      <c r="S117"/>
      <c r="T117"/>
      <c r="U117"/>
    </row>
    <row r="118" spans="1:21">
      <c r="A118" s="2" t="s">
        <v>141</v>
      </c>
      <c r="B118" t="b">
        <v>1</v>
      </c>
      <c r="C118" t="b">
        <v>0</v>
      </c>
      <c r="D118" s="2" t="b">
        <v>0</v>
      </c>
      <c r="E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8">
        <v>0</v>
      </c>
      <c r="G118" t="s">
        <v>715</v>
      </c>
      <c r="S118"/>
      <c r="T118"/>
      <c r="U118"/>
    </row>
    <row r="119" spans="1:21">
      <c r="A119" s="2" t="s">
        <v>142</v>
      </c>
      <c r="B119" t="b">
        <v>1</v>
      </c>
      <c r="C119" t="b">
        <v>0</v>
      </c>
      <c r="D119" s="2" t="b">
        <v>0</v>
      </c>
      <c r="E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9">
        <v>0</v>
      </c>
      <c r="G119" t="s">
        <v>715</v>
      </c>
      <c r="S119"/>
      <c r="T119"/>
      <c r="U119"/>
    </row>
    <row r="120" spans="1:21">
      <c r="A120" s="2" t="s">
        <v>143</v>
      </c>
      <c r="B120" t="b">
        <v>1</v>
      </c>
      <c r="C120" t="b">
        <v>0</v>
      </c>
      <c r="D120" s="2" t="b">
        <v>0</v>
      </c>
      <c r="E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0">
        <v>0</v>
      </c>
      <c r="G120" t="s">
        <v>715</v>
      </c>
      <c r="S120"/>
      <c r="T120"/>
      <c r="U120"/>
    </row>
    <row r="121" spans="1:21">
      <c r="A121" s="2" t="s">
        <v>144</v>
      </c>
      <c r="B121" t="b">
        <v>1</v>
      </c>
      <c r="C121" t="b">
        <v>0</v>
      </c>
      <c r="D121" s="2" t="b">
        <v>0</v>
      </c>
      <c r="E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1">
        <v>0</v>
      </c>
      <c r="G121" t="s">
        <v>715</v>
      </c>
      <c r="S121"/>
      <c r="T121"/>
      <c r="U121"/>
    </row>
    <row r="122" spans="1:21">
      <c r="A122" s="2" t="s">
        <v>145</v>
      </c>
      <c r="B122" t="b">
        <v>1</v>
      </c>
      <c r="C122" t="b">
        <v>0</v>
      </c>
      <c r="D122" s="2" t="b">
        <v>0</v>
      </c>
      <c r="E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2">
        <v>0</v>
      </c>
      <c r="G122" t="s">
        <v>715</v>
      </c>
      <c r="S122"/>
      <c r="T122"/>
      <c r="U122"/>
    </row>
    <row r="123" spans="1:21">
      <c r="A123" s="2" t="s">
        <v>146</v>
      </c>
      <c r="B123" t="b">
        <v>1</v>
      </c>
      <c r="C123" t="b">
        <v>0</v>
      </c>
      <c r="D123" s="2" t="b">
        <v>0</v>
      </c>
      <c r="E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3">
        <v>0</v>
      </c>
      <c r="G123" t="s">
        <v>715</v>
      </c>
      <c r="S123"/>
      <c r="T123"/>
      <c r="U123"/>
    </row>
    <row r="124" spans="1:21">
      <c r="A124" s="2" t="s">
        <v>147</v>
      </c>
      <c r="B124" t="b">
        <v>1</v>
      </c>
      <c r="C124" t="b">
        <v>0</v>
      </c>
      <c r="D124" s="2" t="b">
        <v>0</v>
      </c>
      <c r="E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4">
        <v>0</v>
      </c>
      <c r="G124" t="s">
        <v>715</v>
      </c>
      <c r="S124"/>
      <c r="T124"/>
      <c r="U124"/>
    </row>
    <row r="125" spans="1:21">
      <c r="A125" s="2" t="s">
        <v>148</v>
      </c>
      <c r="B125" t="b">
        <v>1</v>
      </c>
      <c r="C125" t="b">
        <v>0</v>
      </c>
      <c r="D125" s="2" t="b">
        <v>0</v>
      </c>
      <c r="E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5">
        <v>0</v>
      </c>
      <c r="G125" t="s">
        <v>715</v>
      </c>
      <c r="S125"/>
      <c r="T125"/>
      <c r="U125"/>
    </row>
    <row r="126" spans="1:21">
      <c r="A126" s="2" t="s">
        <v>149</v>
      </c>
      <c r="B126" t="b">
        <v>1</v>
      </c>
      <c r="C126" t="b">
        <v>0</v>
      </c>
      <c r="D126" s="2" t="b">
        <v>0</v>
      </c>
      <c r="E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6">
        <v>0</v>
      </c>
      <c r="G126" t="s">
        <v>715</v>
      </c>
      <c r="S126"/>
      <c r="T126"/>
      <c r="U126"/>
    </row>
    <row r="127" spans="1:21">
      <c r="A127" s="2" t="s">
        <v>150</v>
      </c>
      <c r="B127" t="b">
        <v>1</v>
      </c>
      <c r="C127" t="b">
        <v>0</v>
      </c>
      <c r="D127" s="2" t="b">
        <v>0</v>
      </c>
      <c r="E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7">
        <v>0</v>
      </c>
      <c r="G127" t="s">
        <v>715</v>
      </c>
      <c r="S127"/>
      <c r="T127"/>
      <c r="U127"/>
    </row>
    <row r="128" spans="1:21">
      <c r="A128" s="2" t="s">
        <v>151</v>
      </c>
      <c r="B128" t="b">
        <v>1</v>
      </c>
      <c r="C128" t="b">
        <v>0</v>
      </c>
      <c r="D128" s="2" t="b">
        <v>0</v>
      </c>
      <c r="E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8">
        <v>0</v>
      </c>
      <c r="G128" t="s">
        <v>715</v>
      </c>
      <c r="S128"/>
      <c r="T128"/>
      <c r="U128"/>
    </row>
    <row r="129" spans="1:21">
      <c r="A129" s="2" t="s">
        <v>152</v>
      </c>
      <c r="B129" t="b">
        <v>1</v>
      </c>
      <c r="C129" t="b">
        <v>0</v>
      </c>
      <c r="D129" s="2" t="b">
        <v>0</v>
      </c>
      <c r="E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9">
        <v>0</v>
      </c>
      <c r="G129" t="s">
        <v>715</v>
      </c>
      <c r="S129"/>
      <c r="T129"/>
      <c r="U129"/>
    </row>
    <row r="130" spans="1:21">
      <c r="A130" s="2" t="s">
        <v>153</v>
      </c>
      <c r="B130" t="b">
        <v>1</v>
      </c>
      <c r="C130" t="b">
        <v>0</v>
      </c>
      <c r="D130" s="2" t="b">
        <v>0</v>
      </c>
      <c r="E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0">
        <v>0</v>
      </c>
      <c r="G130" t="s">
        <v>715</v>
      </c>
      <c r="S130"/>
      <c r="T130"/>
      <c r="U130"/>
    </row>
    <row r="131" spans="1:21">
      <c r="A131" s="2" t="s">
        <v>154</v>
      </c>
      <c r="B131" t="b">
        <v>1</v>
      </c>
      <c r="C131" t="b">
        <v>0</v>
      </c>
      <c r="D131" s="2" t="b">
        <v>0</v>
      </c>
      <c r="E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1">
        <v>0</v>
      </c>
      <c r="G131" t="s">
        <v>715</v>
      </c>
      <c r="S131"/>
      <c r="T131"/>
      <c r="U131"/>
    </row>
    <row r="132" spans="1:21">
      <c r="A132" s="2" t="s">
        <v>155</v>
      </c>
      <c r="B132" t="b">
        <v>1</v>
      </c>
      <c r="C132" t="b">
        <v>0</v>
      </c>
      <c r="D132" s="2" t="b">
        <v>0</v>
      </c>
      <c r="E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2">
        <v>0</v>
      </c>
      <c r="G132" t="s">
        <v>715</v>
      </c>
      <c r="S132"/>
      <c r="T132"/>
      <c r="U132"/>
    </row>
    <row r="133" spans="1:21">
      <c r="A133" s="2" t="s">
        <v>156</v>
      </c>
      <c r="B133" t="b">
        <v>1</v>
      </c>
      <c r="C133" t="b">
        <v>0</v>
      </c>
      <c r="D133" s="2" t="b">
        <v>0</v>
      </c>
      <c r="E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3">
        <v>0</v>
      </c>
      <c r="G133" t="s">
        <v>715</v>
      </c>
      <c r="S133"/>
      <c r="T133"/>
      <c r="U133"/>
    </row>
    <row r="134" spans="1:21">
      <c r="A134" s="2" t="s">
        <v>157</v>
      </c>
      <c r="B134" t="b">
        <v>1</v>
      </c>
      <c r="C134" t="b">
        <v>0</v>
      </c>
      <c r="D134" s="2" t="b">
        <v>0</v>
      </c>
      <c r="E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4">
        <v>0</v>
      </c>
      <c r="G134" t="s">
        <v>715</v>
      </c>
      <c r="S134"/>
      <c r="T134"/>
      <c r="U134"/>
    </row>
    <row r="135" spans="1:21">
      <c r="A135" s="2" t="s">
        <v>158</v>
      </c>
      <c r="B135" t="b">
        <v>1</v>
      </c>
      <c r="C135" t="b">
        <v>0</v>
      </c>
      <c r="D135" s="2" t="b">
        <v>0</v>
      </c>
      <c r="E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5">
        <v>0</v>
      </c>
      <c r="G135" t="s">
        <v>715</v>
      </c>
      <c r="S135"/>
      <c r="T135"/>
      <c r="U135"/>
    </row>
    <row r="136" spans="1:21">
      <c r="A136" s="2" t="s">
        <v>159</v>
      </c>
      <c r="B136" t="b">
        <v>1</v>
      </c>
      <c r="C136" t="b">
        <v>0</v>
      </c>
      <c r="D136" s="2" t="b">
        <v>0</v>
      </c>
      <c r="E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6">
        <v>0</v>
      </c>
      <c r="G136" t="s">
        <v>715</v>
      </c>
      <c r="S136"/>
      <c r="T136"/>
      <c r="U136"/>
    </row>
    <row r="137" spans="1:21">
      <c r="A137" s="2" t="s">
        <v>160</v>
      </c>
      <c r="B137" t="b">
        <v>1</v>
      </c>
      <c r="C137" t="b">
        <v>0</v>
      </c>
      <c r="D137" s="2" t="b">
        <v>0</v>
      </c>
      <c r="E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7">
        <v>0</v>
      </c>
      <c r="G137" t="s">
        <v>715</v>
      </c>
      <c r="S137"/>
      <c r="T137"/>
      <c r="U137"/>
    </row>
    <row r="138" spans="1:21">
      <c r="A138" s="2" t="s">
        <v>161</v>
      </c>
      <c r="B138" t="b">
        <v>1</v>
      </c>
      <c r="C138" t="b">
        <v>0</v>
      </c>
      <c r="D138" s="2" t="b">
        <v>0</v>
      </c>
      <c r="E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8">
        <v>0</v>
      </c>
      <c r="G138" t="s">
        <v>715</v>
      </c>
      <c r="S138"/>
      <c r="T138"/>
      <c r="U138"/>
    </row>
    <row r="139" spans="1:21">
      <c r="A139" s="2" t="s">
        <v>162</v>
      </c>
      <c r="B139" t="b">
        <v>1</v>
      </c>
      <c r="C139" t="b">
        <v>0</v>
      </c>
      <c r="D139" s="2" t="b">
        <v>0</v>
      </c>
      <c r="E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9">
        <v>0</v>
      </c>
      <c r="G139" t="s">
        <v>715</v>
      </c>
      <c r="S139"/>
      <c r="T139"/>
      <c r="U139"/>
    </row>
    <row r="140" spans="1:21">
      <c r="A140" s="2" t="s">
        <v>163</v>
      </c>
      <c r="B140" t="b">
        <v>1</v>
      </c>
      <c r="C140" t="b">
        <v>0</v>
      </c>
      <c r="D140" s="2" t="b">
        <v>0</v>
      </c>
      <c r="E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0">
        <v>0</v>
      </c>
      <c r="G140" t="s">
        <v>715</v>
      </c>
      <c r="S140"/>
      <c r="T140"/>
      <c r="U140"/>
    </row>
    <row r="141" spans="1:21">
      <c r="A141" s="2" t="s">
        <v>164</v>
      </c>
      <c r="B141" t="b">
        <v>1</v>
      </c>
      <c r="C141" t="b">
        <v>0</v>
      </c>
      <c r="D141" s="2" t="b">
        <v>0</v>
      </c>
      <c r="E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1">
        <v>0</v>
      </c>
      <c r="G141" t="s">
        <v>715</v>
      </c>
      <c r="S141"/>
      <c r="T141"/>
      <c r="U141"/>
    </row>
    <row r="142" spans="1:21">
      <c r="A142" s="2" t="s">
        <v>165</v>
      </c>
      <c r="B142" t="b">
        <v>1</v>
      </c>
      <c r="C142" t="b">
        <v>0</v>
      </c>
      <c r="D142" s="2" t="b">
        <v>0</v>
      </c>
      <c r="E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2">
        <v>0</v>
      </c>
      <c r="G142" t="s">
        <v>715</v>
      </c>
      <c r="S142"/>
      <c r="T142"/>
      <c r="U142"/>
    </row>
    <row r="143" spans="1:21">
      <c r="A143" s="2" t="s">
        <v>166</v>
      </c>
      <c r="B143" t="b">
        <v>1</v>
      </c>
      <c r="C143" t="b">
        <v>0</v>
      </c>
      <c r="D143" s="2" t="b">
        <v>0</v>
      </c>
      <c r="E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3">
        <v>0</v>
      </c>
      <c r="G143" t="s">
        <v>715</v>
      </c>
      <c r="S143"/>
      <c r="T143"/>
      <c r="U143"/>
    </row>
    <row r="144" spans="1:21">
      <c r="A144" s="2" t="s">
        <v>167</v>
      </c>
      <c r="B144" t="b">
        <v>1</v>
      </c>
      <c r="C144" t="b">
        <v>0</v>
      </c>
      <c r="D144" s="2" t="b">
        <v>0</v>
      </c>
      <c r="E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4">
        <v>0</v>
      </c>
      <c r="G144" t="s">
        <v>715</v>
      </c>
      <c r="S144"/>
      <c r="T144"/>
      <c r="U144"/>
    </row>
    <row r="145" spans="1:21">
      <c r="A145" s="2" t="s">
        <v>168</v>
      </c>
      <c r="B145" t="b">
        <v>1</v>
      </c>
      <c r="C145" t="b">
        <v>0</v>
      </c>
      <c r="D145" s="2" t="b">
        <v>0</v>
      </c>
      <c r="E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5">
        <v>0</v>
      </c>
      <c r="G145" t="s">
        <v>715</v>
      </c>
      <c r="S145"/>
      <c r="T145"/>
      <c r="U145"/>
    </row>
    <row r="146" spans="1:21">
      <c r="A146" s="2" t="s">
        <v>169</v>
      </c>
      <c r="B146" t="b">
        <v>1</v>
      </c>
      <c r="C146" t="b">
        <v>0</v>
      </c>
      <c r="D146" s="2" t="b">
        <v>0</v>
      </c>
      <c r="E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6">
        <v>0</v>
      </c>
      <c r="G146" t="s">
        <v>715</v>
      </c>
      <c r="S146"/>
      <c r="T146"/>
      <c r="U146"/>
    </row>
    <row r="147" spans="1:21">
      <c r="A147" s="2" t="s">
        <v>170</v>
      </c>
      <c r="B147" t="b">
        <v>1</v>
      </c>
      <c r="C147" t="b">
        <v>0</v>
      </c>
      <c r="D147" s="2" t="b">
        <v>0</v>
      </c>
      <c r="E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7">
        <v>0</v>
      </c>
      <c r="G147" t="s">
        <v>715</v>
      </c>
      <c r="S147"/>
      <c r="T147"/>
      <c r="U147"/>
    </row>
    <row r="148" spans="1:21">
      <c r="A148" s="2" t="s">
        <v>171</v>
      </c>
      <c r="B148" t="b">
        <v>1</v>
      </c>
      <c r="C148" t="b">
        <v>0</v>
      </c>
      <c r="D148" s="2" t="b">
        <v>0</v>
      </c>
      <c r="E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8">
        <v>0</v>
      </c>
      <c r="G148" t="s">
        <v>715</v>
      </c>
      <c r="S148"/>
      <c r="T148"/>
      <c r="U148"/>
    </row>
    <row r="149" spans="1:21">
      <c r="A149" s="2" t="s">
        <v>172</v>
      </c>
      <c r="B149" t="b">
        <v>1</v>
      </c>
      <c r="C149" t="b">
        <v>0</v>
      </c>
      <c r="D149" s="2" t="b">
        <v>0</v>
      </c>
      <c r="E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9">
        <v>0</v>
      </c>
      <c r="G149" t="s">
        <v>715</v>
      </c>
      <c r="S149"/>
      <c r="T149"/>
      <c r="U149"/>
    </row>
    <row r="150" spans="1:21">
      <c r="A150" s="2" t="s">
        <v>173</v>
      </c>
      <c r="B150" t="b">
        <v>1</v>
      </c>
      <c r="C150" t="b">
        <v>0</v>
      </c>
      <c r="D150" s="2" t="b">
        <v>0</v>
      </c>
      <c r="E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0">
        <v>0</v>
      </c>
      <c r="G150" t="s">
        <v>715</v>
      </c>
      <c r="S150"/>
      <c r="T150"/>
      <c r="U150"/>
    </row>
    <row r="151" spans="1:21">
      <c r="A151" s="2" t="s">
        <v>174</v>
      </c>
      <c r="B151" t="b">
        <v>1</v>
      </c>
      <c r="C151" t="b">
        <v>0</v>
      </c>
      <c r="D151" s="2" t="b">
        <v>0</v>
      </c>
      <c r="E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1">
        <v>0</v>
      </c>
      <c r="G151" t="s">
        <v>715</v>
      </c>
      <c r="S151"/>
      <c r="T151"/>
      <c r="U151"/>
    </row>
    <row r="152" spans="1:21">
      <c r="A152" s="2" t="s">
        <v>175</v>
      </c>
      <c r="B152" t="b">
        <v>1</v>
      </c>
      <c r="C152" t="b">
        <v>0</v>
      </c>
      <c r="D152" s="2" t="b">
        <v>0</v>
      </c>
      <c r="E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2">
        <v>0</v>
      </c>
      <c r="G152" t="s">
        <v>715</v>
      </c>
      <c r="S152"/>
      <c r="T152"/>
      <c r="U152"/>
    </row>
    <row r="153" spans="1:21">
      <c r="A153" s="2" t="s">
        <v>176</v>
      </c>
      <c r="B153" t="b">
        <v>1</v>
      </c>
      <c r="C153" t="b">
        <v>0</v>
      </c>
      <c r="D153" s="2" t="b">
        <v>0</v>
      </c>
      <c r="E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3">
        <v>0</v>
      </c>
      <c r="G153" t="s">
        <v>715</v>
      </c>
      <c r="S153"/>
      <c r="T153"/>
      <c r="U153"/>
    </row>
    <row r="154" spans="1:21">
      <c r="A154" s="2" t="s">
        <v>177</v>
      </c>
      <c r="B154" t="b">
        <v>1</v>
      </c>
      <c r="C154" t="b">
        <v>0</v>
      </c>
      <c r="D154" s="2" t="b">
        <v>0</v>
      </c>
      <c r="E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4">
        <v>0</v>
      </c>
      <c r="G154" t="s">
        <v>715</v>
      </c>
      <c r="S154"/>
      <c r="T154"/>
      <c r="U154"/>
    </row>
    <row r="155" spans="1:21">
      <c r="A155" s="2" t="s">
        <v>178</v>
      </c>
      <c r="B155" t="b">
        <v>1</v>
      </c>
      <c r="C155" t="b">
        <v>0</v>
      </c>
      <c r="D155" s="2" t="b">
        <v>0</v>
      </c>
      <c r="E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5">
        <v>0</v>
      </c>
      <c r="G155" t="s">
        <v>715</v>
      </c>
      <c r="S155"/>
      <c r="T155"/>
      <c r="U155"/>
    </row>
    <row r="156" spans="1:21">
      <c r="A156" s="2" t="s">
        <v>179</v>
      </c>
      <c r="B156" t="b">
        <v>1</v>
      </c>
      <c r="C156" t="b">
        <v>0</v>
      </c>
      <c r="D156" s="2" t="b">
        <v>0</v>
      </c>
      <c r="E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6">
        <v>0</v>
      </c>
      <c r="G156" t="s">
        <v>715</v>
      </c>
      <c r="S156"/>
      <c r="T156"/>
      <c r="U156"/>
    </row>
    <row r="157" spans="1:21">
      <c r="A157" s="2" t="s">
        <v>180</v>
      </c>
      <c r="B157" t="b">
        <v>1</v>
      </c>
      <c r="C157" t="b">
        <v>0</v>
      </c>
      <c r="D157" s="2" t="b">
        <v>0</v>
      </c>
      <c r="E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7">
        <v>0</v>
      </c>
      <c r="G157" t="s">
        <v>715</v>
      </c>
      <c r="S157"/>
      <c r="T157"/>
      <c r="U157"/>
    </row>
    <row r="158" spans="1:21">
      <c r="A158" s="2" t="s">
        <v>181</v>
      </c>
      <c r="B158" t="b">
        <v>1</v>
      </c>
      <c r="C158" t="b">
        <v>0</v>
      </c>
      <c r="D158" s="2" t="b">
        <v>0</v>
      </c>
      <c r="E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8">
        <v>0</v>
      </c>
      <c r="G158" t="s">
        <v>715</v>
      </c>
      <c r="S158"/>
      <c r="T158"/>
      <c r="U158"/>
    </row>
    <row r="159" spans="1:21">
      <c r="A159" s="2" t="s">
        <v>182</v>
      </c>
      <c r="B159" t="b">
        <v>1</v>
      </c>
      <c r="C159" t="b">
        <v>0</v>
      </c>
      <c r="D159" s="2" t="b">
        <v>0</v>
      </c>
      <c r="E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9">
        <v>0</v>
      </c>
      <c r="G159" t="s">
        <v>715</v>
      </c>
      <c r="S159"/>
      <c r="T159"/>
      <c r="U159"/>
    </row>
    <row r="160" spans="1:21">
      <c r="A160" s="2" t="s">
        <v>183</v>
      </c>
      <c r="B160" t="b">
        <v>1</v>
      </c>
      <c r="C160" t="b">
        <v>0</v>
      </c>
      <c r="D160" s="2" t="b">
        <v>0</v>
      </c>
      <c r="E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0">
        <v>0</v>
      </c>
      <c r="G160" t="s">
        <v>715</v>
      </c>
      <c r="S160"/>
      <c r="T160"/>
      <c r="U160"/>
    </row>
    <row r="161" spans="1:21">
      <c r="A161" s="2" t="s">
        <v>184</v>
      </c>
      <c r="B161" t="b">
        <v>1</v>
      </c>
      <c r="C161" t="b">
        <v>0</v>
      </c>
      <c r="D161" s="2" t="b">
        <v>0</v>
      </c>
      <c r="E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1">
        <v>0</v>
      </c>
      <c r="G161" t="s">
        <v>715</v>
      </c>
      <c r="S161"/>
      <c r="T161"/>
      <c r="U161"/>
    </row>
    <row r="162" spans="1:21">
      <c r="A162" s="2" t="s">
        <v>185</v>
      </c>
      <c r="B162" t="b">
        <v>1</v>
      </c>
      <c r="C162" t="b">
        <v>0</v>
      </c>
      <c r="D162" s="2" t="b">
        <v>0</v>
      </c>
      <c r="E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2">
        <v>0</v>
      </c>
      <c r="G162" t="s">
        <v>715</v>
      </c>
      <c r="S162"/>
      <c r="T162"/>
      <c r="U162"/>
    </row>
    <row r="163" spans="1:21">
      <c r="A163" s="2" t="s">
        <v>186</v>
      </c>
      <c r="B163" t="b">
        <v>1</v>
      </c>
      <c r="C163" t="b">
        <v>0</v>
      </c>
      <c r="D163" s="2" t="b">
        <v>0</v>
      </c>
      <c r="E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3">
        <v>0</v>
      </c>
      <c r="G163" t="s">
        <v>715</v>
      </c>
      <c r="S163"/>
      <c r="T163"/>
      <c r="U163"/>
    </row>
    <row r="164" spans="1:21">
      <c r="A164" s="2" t="s">
        <v>187</v>
      </c>
      <c r="B164" t="b">
        <v>1</v>
      </c>
      <c r="C164" t="b">
        <v>0</v>
      </c>
      <c r="D164" s="2" t="b">
        <v>0</v>
      </c>
      <c r="E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4">
        <v>0</v>
      </c>
      <c r="G164" t="s">
        <v>715</v>
      </c>
      <c r="S164"/>
      <c r="T164"/>
      <c r="U164"/>
    </row>
    <row r="165" spans="1:21">
      <c r="A165" s="2" t="s">
        <v>188</v>
      </c>
      <c r="B165" t="b">
        <v>1</v>
      </c>
      <c r="C165" t="b">
        <v>0</v>
      </c>
      <c r="D165" s="2" t="b">
        <v>0</v>
      </c>
      <c r="E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5">
        <v>0</v>
      </c>
      <c r="G165" t="s">
        <v>715</v>
      </c>
      <c r="S165"/>
      <c r="T165"/>
      <c r="U165"/>
    </row>
    <row r="166" spans="1:21">
      <c r="A166" s="2" t="s">
        <v>189</v>
      </c>
      <c r="B166" t="b">
        <v>1</v>
      </c>
      <c r="C166" t="b">
        <v>0</v>
      </c>
      <c r="D166" s="2" t="b">
        <v>0</v>
      </c>
      <c r="E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6">
        <v>0</v>
      </c>
      <c r="G166" t="s">
        <v>715</v>
      </c>
      <c r="S166"/>
      <c r="T166"/>
      <c r="U166"/>
    </row>
    <row r="167" spans="1:21">
      <c r="A167" s="2" t="s">
        <v>190</v>
      </c>
      <c r="B167" t="b">
        <v>1</v>
      </c>
      <c r="C167" t="b">
        <v>0</v>
      </c>
      <c r="D167" s="2" t="b">
        <v>0</v>
      </c>
      <c r="E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7">
        <v>0</v>
      </c>
      <c r="G167" t="s">
        <v>715</v>
      </c>
      <c r="S167"/>
      <c r="T167"/>
      <c r="U167"/>
    </row>
    <row r="168" spans="1:21">
      <c r="A168" s="2" t="s">
        <v>191</v>
      </c>
      <c r="B168" t="b">
        <v>1</v>
      </c>
      <c r="C168" t="b">
        <v>0</v>
      </c>
      <c r="D168" s="2" t="b">
        <v>0</v>
      </c>
      <c r="E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8">
        <v>0</v>
      </c>
      <c r="G168" t="s">
        <v>715</v>
      </c>
      <c r="S168"/>
      <c r="T168"/>
      <c r="U168"/>
    </row>
    <row r="169" spans="1:21">
      <c r="A169" s="2" t="s">
        <v>192</v>
      </c>
      <c r="B169" t="b">
        <v>1</v>
      </c>
      <c r="C169" t="b">
        <v>0</v>
      </c>
      <c r="D169" s="2" t="b">
        <v>0</v>
      </c>
      <c r="E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9">
        <v>0</v>
      </c>
      <c r="G169" t="s">
        <v>715</v>
      </c>
      <c r="S169"/>
      <c r="T169"/>
      <c r="U169"/>
    </row>
    <row r="170" spans="1:21">
      <c r="A170" s="2" t="s">
        <v>193</v>
      </c>
      <c r="B170" t="b">
        <v>1</v>
      </c>
      <c r="C170" t="b">
        <v>0</v>
      </c>
      <c r="D170" s="2" t="b">
        <v>0</v>
      </c>
      <c r="E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0">
        <v>0</v>
      </c>
      <c r="G170" t="s">
        <v>715</v>
      </c>
      <c r="S170"/>
      <c r="T170"/>
      <c r="U170"/>
    </row>
    <row r="171" spans="1:21">
      <c r="A171" s="2" t="s">
        <v>194</v>
      </c>
      <c r="B171" t="b">
        <v>1</v>
      </c>
      <c r="C171" t="b">
        <v>0</v>
      </c>
      <c r="D171" s="2" t="b">
        <v>0</v>
      </c>
      <c r="E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1">
        <v>0</v>
      </c>
      <c r="G171" t="s">
        <v>715</v>
      </c>
      <c r="S171"/>
      <c r="T171"/>
      <c r="U171"/>
    </row>
    <row r="172" spans="1:21">
      <c r="A172" s="2" t="s">
        <v>195</v>
      </c>
      <c r="B172" t="b">
        <v>1</v>
      </c>
      <c r="C172" t="b">
        <v>0</v>
      </c>
      <c r="D172" s="2" t="b">
        <v>0</v>
      </c>
      <c r="E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2">
        <v>0</v>
      </c>
      <c r="G172" t="s">
        <v>715</v>
      </c>
      <c r="S172"/>
      <c r="T172"/>
      <c r="U172"/>
    </row>
    <row r="173" spans="1:21">
      <c r="A173" s="2" t="s">
        <v>196</v>
      </c>
      <c r="B173" t="b">
        <v>1</v>
      </c>
      <c r="C173" t="b">
        <v>0</v>
      </c>
      <c r="D173" s="2" t="b">
        <v>0</v>
      </c>
      <c r="E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3">
        <v>0</v>
      </c>
      <c r="G173" t="s">
        <v>715</v>
      </c>
      <c r="S173"/>
      <c r="T173"/>
      <c r="U173"/>
    </row>
    <row r="174" spans="1:21">
      <c r="A174" s="2" t="s">
        <v>197</v>
      </c>
      <c r="B174" t="b">
        <v>1</v>
      </c>
      <c r="C174" t="b">
        <v>0</v>
      </c>
      <c r="D174" s="2" t="b">
        <v>0</v>
      </c>
      <c r="E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4">
        <v>0</v>
      </c>
      <c r="G174" t="s">
        <v>715</v>
      </c>
      <c r="S174"/>
      <c r="T174"/>
      <c r="U174"/>
    </row>
    <row r="175" spans="1:21">
      <c r="A175" s="2" t="s">
        <v>198</v>
      </c>
      <c r="B175" t="b">
        <v>1</v>
      </c>
      <c r="C175" t="b">
        <v>0</v>
      </c>
      <c r="D175" s="2" t="b">
        <v>0</v>
      </c>
      <c r="E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5">
        <v>0</v>
      </c>
      <c r="G175" t="s">
        <v>715</v>
      </c>
      <c r="S175"/>
      <c r="T175"/>
      <c r="U175"/>
    </row>
    <row r="176" spans="1:21">
      <c r="A176" s="2" t="s">
        <v>199</v>
      </c>
      <c r="B176" t="b">
        <v>1</v>
      </c>
      <c r="C176" t="b">
        <v>0</v>
      </c>
      <c r="D176" s="2" t="b">
        <v>0</v>
      </c>
      <c r="E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6">
        <v>0</v>
      </c>
      <c r="G176" t="s">
        <v>715</v>
      </c>
      <c r="S176"/>
      <c r="T176"/>
      <c r="U176"/>
    </row>
    <row r="177" spans="1:21">
      <c r="A177" s="2" t="s">
        <v>200</v>
      </c>
      <c r="B177" t="b">
        <v>1</v>
      </c>
      <c r="C177" t="b">
        <v>0</v>
      </c>
      <c r="D177" s="2" t="b">
        <v>0</v>
      </c>
      <c r="E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7">
        <v>0</v>
      </c>
      <c r="G177" t="s">
        <v>715</v>
      </c>
      <c r="S177"/>
      <c r="T177"/>
      <c r="U177"/>
    </row>
    <row r="178" spans="1:21">
      <c r="A178" s="2" t="s">
        <v>201</v>
      </c>
      <c r="B178" t="b">
        <v>1</v>
      </c>
      <c r="C178" t="b">
        <v>0</v>
      </c>
      <c r="D178" s="2" t="b">
        <v>0</v>
      </c>
      <c r="E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8">
        <v>0</v>
      </c>
      <c r="G178" t="s">
        <v>715</v>
      </c>
      <c r="S178"/>
      <c r="T178"/>
      <c r="U178"/>
    </row>
    <row r="179" spans="1:21">
      <c r="A179" s="2" t="s">
        <v>202</v>
      </c>
      <c r="B179" t="b">
        <v>1</v>
      </c>
      <c r="C179" t="b">
        <v>0</v>
      </c>
      <c r="D179" s="2" t="b">
        <v>0</v>
      </c>
      <c r="E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9">
        <v>-3</v>
      </c>
      <c r="G179" t="s">
        <v>715</v>
      </c>
      <c r="S179"/>
      <c r="T179"/>
      <c r="U179"/>
    </row>
    <row r="180" spans="1:21">
      <c r="A180" s="2" t="s">
        <v>203</v>
      </c>
      <c r="B180" t="b">
        <v>1</v>
      </c>
      <c r="C180" t="b">
        <v>0</v>
      </c>
      <c r="D180" s="2" t="b">
        <v>0</v>
      </c>
      <c r="E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0">
        <v>-3</v>
      </c>
      <c r="G180" t="s">
        <v>715</v>
      </c>
      <c r="S180"/>
      <c r="T180"/>
      <c r="U180"/>
    </row>
    <row r="181" spans="1:21">
      <c r="A181" s="2" t="s">
        <v>204</v>
      </c>
      <c r="B181" t="b">
        <v>1</v>
      </c>
      <c r="C181" t="b">
        <v>0</v>
      </c>
      <c r="D181" s="2" t="b">
        <v>0</v>
      </c>
      <c r="E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1">
        <v>0</v>
      </c>
      <c r="G181" t="s">
        <v>715</v>
      </c>
      <c r="S181"/>
      <c r="T181"/>
      <c r="U181"/>
    </row>
    <row r="182" spans="1:21">
      <c r="A182" s="2" t="s">
        <v>205</v>
      </c>
      <c r="B182" t="b">
        <v>1</v>
      </c>
      <c r="C182" t="b">
        <v>0</v>
      </c>
      <c r="D182" s="2" t="b">
        <v>0</v>
      </c>
      <c r="E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2">
        <v>0</v>
      </c>
      <c r="G182" t="s">
        <v>715</v>
      </c>
      <c r="S182"/>
      <c r="T182"/>
      <c r="U182"/>
    </row>
    <row r="183" spans="1:21">
      <c r="A183" s="2" t="s">
        <v>206</v>
      </c>
      <c r="B183" t="b">
        <v>1</v>
      </c>
      <c r="C183" t="b">
        <v>0</v>
      </c>
      <c r="D183" s="2" t="b">
        <v>0</v>
      </c>
      <c r="E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3">
        <v>-3</v>
      </c>
      <c r="G183" t="s">
        <v>715</v>
      </c>
      <c r="S183"/>
      <c r="T183"/>
      <c r="U183"/>
    </row>
    <row r="184" spans="1:21">
      <c r="A184" s="2" t="s">
        <v>207</v>
      </c>
      <c r="B184" t="b">
        <v>1</v>
      </c>
      <c r="C184" t="b">
        <v>0</v>
      </c>
      <c r="D184" s="2" t="b">
        <v>0</v>
      </c>
      <c r="E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4">
        <v>0</v>
      </c>
      <c r="G184" t="s">
        <v>715</v>
      </c>
      <c r="S184"/>
      <c r="T184"/>
      <c r="U184"/>
    </row>
    <row r="185" spans="1:21">
      <c r="A185" s="2" t="s">
        <v>208</v>
      </c>
      <c r="B185" t="b">
        <v>1</v>
      </c>
      <c r="C185" t="b">
        <v>0</v>
      </c>
      <c r="D185" s="2" t="b">
        <v>0</v>
      </c>
      <c r="E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5">
        <v>0</v>
      </c>
      <c r="G185" t="s">
        <v>715</v>
      </c>
      <c r="S185"/>
      <c r="T185"/>
      <c r="U185"/>
    </row>
    <row r="186" spans="1:21">
      <c r="A186" s="2" t="s">
        <v>209</v>
      </c>
      <c r="B186" t="b">
        <v>1</v>
      </c>
      <c r="C186" t="b">
        <v>0</v>
      </c>
      <c r="D186" s="2" t="b">
        <v>0</v>
      </c>
      <c r="E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6">
        <v>0</v>
      </c>
      <c r="G186" t="s">
        <v>715</v>
      </c>
      <c r="S186"/>
      <c r="T186"/>
      <c r="U186"/>
    </row>
    <row r="187" spans="1:21">
      <c r="A187" s="2" t="s">
        <v>210</v>
      </c>
      <c r="B187" t="b">
        <v>1</v>
      </c>
      <c r="C187" t="b">
        <v>0</v>
      </c>
      <c r="D187" s="2" t="b">
        <v>0</v>
      </c>
      <c r="E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7">
        <v>0</v>
      </c>
      <c r="G187" t="s">
        <v>715</v>
      </c>
      <c r="S187"/>
      <c r="T187"/>
      <c r="U187"/>
    </row>
    <row r="188" spans="1:21">
      <c r="A188" s="2" t="s">
        <v>211</v>
      </c>
      <c r="B188" t="b">
        <v>1</v>
      </c>
      <c r="C188" t="b">
        <v>0</v>
      </c>
      <c r="D188" s="2" t="b">
        <v>0</v>
      </c>
      <c r="E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8">
        <v>0</v>
      </c>
      <c r="G188" t="s">
        <v>715</v>
      </c>
      <c r="S188"/>
      <c r="T188"/>
      <c r="U188"/>
    </row>
    <row r="189" spans="1:21">
      <c r="A189" s="2" t="s">
        <v>212</v>
      </c>
      <c r="B189" t="b">
        <v>1</v>
      </c>
      <c r="C189" t="b">
        <v>0</v>
      </c>
      <c r="D189" s="2" t="b">
        <v>0</v>
      </c>
      <c r="E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9">
        <v>-3</v>
      </c>
      <c r="G189" t="s">
        <v>715</v>
      </c>
      <c r="S189"/>
      <c r="T189"/>
      <c r="U189"/>
    </row>
    <row r="190" spans="1:21">
      <c r="A190" s="2" t="s">
        <v>213</v>
      </c>
      <c r="B190" t="b">
        <v>1</v>
      </c>
      <c r="C190" t="b">
        <v>0</v>
      </c>
      <c r="D190" s="2" t="b">
        <v>0</v>
      </c>
      <c r="E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0">
        <v>0</v>
      </c>
      <c r="G190" t="s">
        <v>715</v>
      </c>
      <c r="S190"/>
      <c r="T190"/>
      <c r="U190"/>
    </row>
    <row r="191" spans="1:21">
      <c r="A191" s="2" t="s">
        <v>214</v>
      </c>
      <c r="B191" t="b">
        <v>1</v>
      </c>
      <c r="C191" t="b">
        <v>0</v>
      </c>
      <c r="D191" s="2" t="b">
        <v>0</v>
      </c>
      <c r="E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1">
        <v>0</v>
      </c>
      <c r="G191" t="s">
        <v>715</v>
      </c>
      <c r="S191"/>
      <c r="T191"/>
      <c r="U191"/>
    </row>
    <row r="192" spans="1:21">
      <c r="A192" s="2" t="s">
        <v>215</v>
      </c>
      <c r="B192" t="b">
        <v>1</v>
      </c>
      <c r="C192" t="b">
        <v>0</v>
      </c>
      <c r="D192" s="2" t="b">
        <v>0</v>
      </c>
      <c r="E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2">
        <v>0</v>
      </c>
      <c r="G192" t="s">
        <v>715</v>
      </c>
      <c r="S192"/>
      <c r="T192"/>
      <c r="U192"/>
    </row>
    <row r="193" spans="1:21">
      <c r="A193" s="2" t="s">
        <v>216</v>
      </c>
      <c r="B193" t="b">
        <v>1</v>
      </c>
      <c r="C193" t="b">
        <v>0</v>
      </c>
      <c r="D193" s="2" t="b">
        <v>0</v>
      </c>
      <c r="E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3">
        <v>0</v>
      </c>
      <c r="G193" t="s">
        <v>715</v>
      </c>
      <c r="S193"/>
      <c r="T193"/>
      <c r="U193"/>
    </row>
    <row r="194" spans="1:21">
      <c r="A194" s="2" t="s">
        <v>217</v>
      </c>
      <c r="B194" t="b">
        <v>1</v>
      </c>
      <c r="C194" t="b">
        <v>0</v>
      </c>
      <c r="D194" s="2" t="b">
        <v>0</v>
      </c>
      <c r="E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4">
        <v>0</v>
      </c>
      <c r="G194" t="s">
        <v>715</v>
      </c>
      <c r="S194"/>
      <c r="T194"/>
      <c r="U194"/>
    </row>
    <row r="195" spans="1:21">
      <c r="A195" s="2" t="s">
        <v>218</v>
      </c>
      <c r="B195" t="b">
        <v>1</v>
      </c>
      <c r="C195" t="b">
        <v>0</v>
      </c>
      <c r="D195" s="2" t="b">
        <v>0</v>
      </c>
      <c r="E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5">
        <v>0</v>
      </c>
      <c r="G195" t="s">
        <v>715</v>
      </c>
      <c r="S195"/>
      <c r="T195"/>
      <c r="U195"/>
    </row>
    <row r="196" spans="1:21">
      <c r="A196" s="2" t="s">
        <v>219</v>
      </c>
      <c r="B196" t="b">
        <v>1</v>
      </c>
      <c r="C196" t="b">
        <v>0</v>
      </c>
      <c r="D196" s="2" t="b">
        <v>0</v>
      </c>
      <c r="E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6">
        <v>0</v>
      </c>
      <c r="G196" t="s">
        <v>715</v>
      </c>
      <c r="S196"/>
      <c r="T196"/>
      <c r="U196"/>
    </row>
    <row r="197" spans="1:21">
      <c r="A197" s="2" t="s">
        <v>220</v>
      </c>
      <c r="B197" t="b">
        <v>1</v>
      </c>
      <c r="C197" t="b">
        <v>0</v>
      </c>
      <c r="D197" s="2" t="b">
        <v>0</v>
      </c>
      <c r="E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7">
        <v>0</v>
      </c>
      <c r="G197" t="s">
        <v>715</v>
      </c>
      <c r="S197"/>
      <c r="T197"/>
      <c r="U197"/>
    </row>
    <row r="198" spans="1:21">
      <c r="A198" s="2" t="s">
        <v>221</v>
      </c>
      <c r="B198" t="b">
        <v>1</v>
      </c>
      <c r="C198" t="b">
        <v>0</v>
      </c>
      <c r="D198" s="2" t="b">
        <v>0</v>
      </c>
      <c r="E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8">
        <v>0</v>
      </c>
      <c r="G198" t="s">
        <v>715</v>
      </c>
      <c r="S198"/>
      <c r="T198"/>
      <c r="U198"/>
    </row>
    <row r="199" spans="1:21">
      <c r="A199" s="2" t="s">
        <v>222</v>
      </c>
      <c r="B199" t="b">
        <v>1</v>
      </c>
      <c r="C199" t="b">
        <v>0</v>
      </c>
      <c r="D199" s="2" t="b">
        <v>0</v>
      </c>
      <c r="E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9">
        <v>0</v>
      </c>
      <c r="G199" t="s">
        <v>715</v>
      </c>
      <c r="S199"/>
      <c r="T199"/>
      <c r="U199"/>
    </row>
    <row r="200" spans="1:21">
      <c r="A200" s="2" t="s">
        <v>223</v>
      </c>
      <c r="B200" t="b">
        <v>1</v>
      </c>
      <c r="C200" t="b">
        <v>0</v>
      </c>
      <c r="D200" s="2" t="b">
        <v>0</v>
      </c>
      <c r="E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0">
        <v>0</v>
      </c>
      <c r="G200" t="s">
        <v>715</v>
      </c>
      <c r="S200"/>
      <c r="T200"/>
      <c r="U200"/>
    </row>
    <row r="201" spans="1:21">
      <c r="A201" s="2" t="s">
        <v>224</v>
      </c>
      <c r="B201" t="b">
        <v>1</v>
      </c>
      <c r="C201" t="b">
        <v>0</v>
      </c>
      <c r="D201" s="2" t="b">
        <v>0</v>
      </c>
      <c r="E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1">
        <v>0</v>
      </c>
      <c r="G201" t="s">
        <v>715</v>
      </c>
      <c r="S201"/>
      <c r="T201"/>
      <c r="U201"/>
    </row>
    <row r="202" spans="1:21">
      <c r="A202" s="2" t="s">
        <v>225</v>
      </c>
      <c r="B202" t="b">
        <v>1</v>
      </c>
      <c r="C202" t="b">
        <v>0</v>
      </c>
      <c r="D202" s="2" t="b">
        <v>0</v>
      </c>
      <c r="E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2">
        <v>0</v>
      </c>
      <c r="G202" t="s">
        <v>715</v>
      </c>
      <c r="S202"/>
      <c r="T202"/>
      <c r="U202"/>
    </row>
    <row r="203" spans="1:21">
      <c r="A203" s="2" t="s">
        <v>226</v>
      </c>
      <c r="B203" t="b">
        <v>1</v>
      </c>
      <c r="C203" t="b">
        <v>0</v>
      </c>
      <c r="D203" s="2" t="b">
        <v>0</v>
      </c>
      <c r="E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3">
        <v>0</v>
      </c>
      <c r="G203" t="s">
        <v>715</v>
      </c>
      <c r="S203"/>
      <c r="T203"/>
      <c r="U203"/>
    </row>
    <row r="204" spans="1:21">
      <c r="A204" s="2" t="s">
        <v>227</v>
      </c>
      <c r="B204" t="b">
        <v>1</v>
      </c>
      <c r="C204" t="b">
        <v>0</v>
      </c>
      <c r="D204" s="2" t="b">
        <v>0</v>
      </c>
      <c r="E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4">
        <v>0</v>
      </c>
      <c r="G204" t="s">
        <v>715</v>
      </c>
      <c r="S204"/>
      <c r="T204"/>
      <c r="U204"/>
    </row>
    <row r="205" spans="1:21">
      <c r="A205" s="2" t="s">
        <v>228</v>
      </c>
      <c r="B205" t="b">
        <v>1</v>
      </c>
      <c r="C205" t="b">
        <v>0</v>
      </c>
      <c r="D205" s="2" t="b">
        <v>0</v>
      </c>
      <c r="E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5">
        <v>0</v>
      </c>
      <c r="G205" t="s">
        <v>715</v>
      </c>
      <c r="S205"/>
      <c r="T205"/>
      <c r="U205"/>
    </row>
    <row r="206" spans="1:21">
      <c r="A206" s="2" t="s">
        <v>229</v>
      </c>
      <c r="B206" t="b">
        <v>1</v>
      </c>
      <c r="C206" t="b">
        <v>0</v>
      </c>
      <c r="D206" s="2" t="b">
        <v>0</v>
      </c>
      <c r="E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6">
        <v>0</v>
      </c>
      <c r="G206" t="s">
        <v>715</v>
      </c>
      <c r="S206"/>
      <c r="T206"/>
      <c r="U206"/>
    </row>
    <row r="207" spans="1:21">
      <c r="A207" s="2" t="s">
        <v>230</v>
      </c>
      <c r="B207" t="b">
        <v>1</v>
      </c>
      <c r="C207" t="b">
        <v>0</v>
      </c>
      <c r="D207" s="2" t="b">
        <v>0</v>
      </c>
      <c r="E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7">
        <v>0</v>
      </c>
      <c r="G207" t="s">
        <v>715</v>
      </c>
      <c r="S207"/>
      <c r="T207"/>
      <c r="U207"/>
    </row>
    <row r="208" spans="1:21">
      <c r="A208" s="2" t="s">
        <v>231</v>
      </c>
      <c r="B208" t="b">
        <v>1</v>
      </c>
      <c r="C208" t="b">
        <v>0</v>
      </c>
      <c r="D208" s="2" t="b">
        <v>0</v>
      </c>
      <c r="E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8">
        <v>0</v>
      </c>
      <c r="G208" t="s">
        <v>715</v>
      </c>
      <c r="S208"/>
      <c r="T208"/>
      <c r="U208"/>
    </row>
    <row r="209" spans="1:21">
      <c r="A209" s="2" t="s">
        <v>232</v>
      </c>
      <c r="B209" t="b">
        <v>1</v>
      </c>
      <c r="C209" t="b">
        <v>0</v>
      </c>
      <c r="D209" s="2" t="b">
        <v>0</v>
      </c>
      <c r="E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9">
        <v>0</v>
      </c>
      <c r="G209" t="s">
        <v>715</v>
      </c>
      <c r="S209"/>
      <c r="T209"/>
      <c r="U209"/>
    </row>
    <row r="210" spans="1:21">
      <c r="A210" s="2" t="s">
        <v>233</v>
      </c>
      <c r="B210" t="b">
        <v>1</v>
      </c>
      <c r="C210" t="b">
        <v>0</v>
      </c>
      <c r="D210" s="2" t="b">
        <v>0</v>
      </c>
      <c r="E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0">
        <v>0</v>
      </c>
      <c r="G210" t="s">
        <v>715</v>
      </c>
      <c r="S210"/>
      <c r="T210"/>
      <c r="U210"/>
    </row>
    <row r="211" spans="1:21">
      <c r="A211" s="2" t="s">
        <v>234</v>
      </c>
      <c r="B211" t="b">
        <v>1</v>
      </c>
      <c r="C211" t="b">
        <v>0</v>
      </c>
      <c r="D211" s="2" t="b">
        <v>0</v>
      </c>
      <c r="E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1">
        <v>0</v>
      </c>
      <c r="G211" t="s">
        <v>715</v>
      </c>
      <c r="S211"/>
      <c r="T211"/>
      <c r="U211"/>
    </row>
    <row r="212" spans="1:21">
      <c r="A212" s="2" t="s">
        <v>235</v>
      </c>
      <c r="B212" t="b">
        <v>1</v>
      </c>
      <c r="C212" t="b">
        <v>0</v>
      </c>
      <c r="D212" s="2" t="b">
        <v>0</v>
      </c>
      <c r="E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2">
        <v>0</v>
      </c>
      <c r="G212" t="s">
        <v>715</v>
      </c>
      <c r="S212"/>
      <c r="T212"/>
      <c r="U212"/>
    </row>
    <row r="213" spans="1:21">
      <c r="A213" s="2" t="s">
        <v>236</v>
      </c>
      <c r="B213" t="b">
        <v>1</v>
      </c>
      <c r="C213" t="b">
        <v>0</v>
      </c>
      <c r="D213" s="2" t="b">
        <v>0</v>
      </c>
      <c r="E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3">
        <v>0</v>
      </c>
      <c r="G213" t="s">
        <v>715</v>
      </c>
      <c r="S213"/>
      <c r="T213"/>
      <c r="U213"/>
    </row>
    <row r="214" spans="1:21">
      <c r="A214" s="2" t="s">
        <v>237</v>
      </c>
      <c r="B214" t="b">
        <v>1</v>
      </c>
      <c r="C214" t="b">
        <v>0</v>
      </c>
      <c r="D214" s="2" t="b">
        <v>0</v>
      </c>
      <c r="E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4">
        <v>0</v>
      </c>
      <c r="G214" t="s">
        <v>715</v>
      </c>
      <c r="S214"/>
      <c r="T214"/>
      <c r="U214"/>
    </row>
    <row r="215" spans="1:21">
      <c r="A215" s="2" t="s">
        <v>927</v>
      </c>
      <c r="B215" t="b">
        <v>1</v>
      </c>
      <c r="C215" t="b">
        <v>0</v>
      </c>
      <c r="D215" s="2" t="b">
        <v>0</v>
      </c>
      <c r="E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5">
        <v>-3</v>
      </c>
      <c r="G215" t="s">
        <v>715</v>
      </c>
      <c r="S215"/>
      <c r="T215"/>
      <c r="U215"/>
    </row>
    <row r="216" spans="1:21">
      <c r="A216" s="2" t="s">
        <v>238</v>
      </c>
      <c r="B216" t="b">
        <v>1</v>
      </c>
      <c r="C216" t="b">
        <v>0</v>
      </c>
      <c r="D216" s="2" t="b">
        <v>0</v>
      </c>
      <c r="E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6">
        <v>0</v>
      </c>
      <c r="G216" t="s">
        <v>715</v>
      </c>
      <c r="S216"/>
      <c r="T216"/>
      <c r="U216"/>
    </row>
    <row r="217" spans="1:21">
      <c r="A217" s="2" t="s">
        <v>239</v>
      </c>
      <c r="B217" t="b">
        <v>1</v>
      </c>
      <c r="C217" t="b">
        <v>0</v>
      </c>
      <c r="D217" s="2" t="b">
        <v>0</v>
      </c>
      <c r="E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7">
        <v>0</v>
      </c>
      <c r="G217" t="s">
        <v>715</v>
      </c>
      <c r="S217"/>
      <c r="T217"/>
      <c r="U217"/>
    </row>
    <row r="218" spans="1:21">
      <c r="A218" s="2" t="s">
        <v>240</v>
      </c>
      <c r="B218" t="b">
        <v>1</v>
      </c>
      <c r="C218" t="b">
        <v>0</v>
      </c>
      <c r="D218" s="2" t="b">
        <v>0</v>
      </c>
      <c r="E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8">
        <v>0</v>
      </c>
      <c r="G218" t="s">
        <v>715</v>
      </c>
      <c r="S218"/>
      <c r="T218"/>
      <c r="U218"/>
    </row>
    <row r="219" spans="1:21">
      <c r="A219" s="2" t="s">
        <v>241</v>
      </c>
      <c r="B219" t="b">
        <v>1</v>
      </c>
      <c r="C219" t="b">
        <v>0</v>
      </c>
      <c r="D219" s="2" t="b">
        <v>0</v>
      </c>
      <c r="E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9">
        <v>0</v>
      </c>
      <c r="G219" t="s">
        <v>715</v>
      </c>
      <c r="S219"/>
      <c r="T219"/>
      <c r="U219"/>
    </row>
    <row r="220" spans="1:21">
      <c r="A220" s="2" t="s">
        <v>242</v>
      </c>
      <c r="B220" t="b">
        <v>1</v>
      </c>
      <c r="C220" t="b">
        <v>0</v>
      </c>
      <c r="D220" s="2" t="b">
        <v>0</v>
      </c>
      <c r="E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0">
        <v>0</v>
      </c>
      <c r="G220" t="s">
        <v>715</v>
      </c>
      <c r="S220"/>
      <c r="T220"/>
      <c r="U220"/>
    </row>
    <row r="221" spans="1:21">
      <c r="A221" s="2" t="s">
        <v>243</v>
      </c>
      <c r="B221" t="b">
        <v>1</v>
      </c>
      <c r="C221" t="b">
        <v>0</v>
      </c>
      <c r="D221" s="2" t="b">
        <v>0</v>
      </c>
      <c r="E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1">
        <v>0</v>
      </c>
      <c r="G221" t="s">
        <v>715</v>
      </c>
      <c r="S221"/>
      <c r="T221"/>
      <c r="U221"/>
    </row>
    <row r="222" spans="1:21">
      <c r="A222" s="2" t="s">
        <v>244</v>
      </c>
      <c r="B222" t="b">
        <v>1</v>
      </c>
      <c r="C222" t="b">
        <v>0</v>
      </c>
      <c r="D222" s="2" t="b">
        <v>0</v>
      </c>
      <c r="E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2">
        <v>0</v>
      </c>
      <c r="G222" t="s">
        <v>715</v>
      </c>
      <c r="S222"/>
      <c r="T222"/>
      <c r="U222"/>
    </row>
    <row r="223" spans="1:21">
      <c r="A223" s="2" t="s">
        <v>245</v>
      </c>
      <c r="B223" t="b">
        <v>1</v>
      </c>
      <c r="C223" t="b">
        <v>0</v>
      </c>
      <c r="D223" s="2" t="b">
        <v>0</v>
      </c>
      <c r="E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3">
        <v>0</v>
      </c>
      <c r="G223" t="s">
        <v>715</v>
      </c>
      <c r="S223"/>
      <c r="T223"/>
      <c r="U223"/>
    </row>
    <row r="224" spans="1:21">
      <c r="A224" s="2" t="s">
        <v>246</v>
      </c>
      <c r="B224" t="b">
        <v>1</v>
      </c>
      <c r="C224" t="b">
        <v>0</v>
      </c>
      <c r="D224" s="2" t="b">
        <v>0</v>
      </c>
      <c r="E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4">
        <v>0</v>
      </c>
      <c r="G224" t="s">
        <v>715</v>
      </c>
      <c r="S224"/>
      <c r="T224"/>
      <c r="U224"/>
    </row>
    <row r="225" spans="1:21">
      <c r="A225" s="2" t="s">
        <v>247</v>
      </c>
      <c r="B225" t="b">
        <v>1</v>
      </c>
      <c r="C225" t="b">
        <v>0</v>
      </c>
      <c r="D225" s="2" t="b">
        <v>0</v>
      </c>
      <c r="E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5">
        <v>0</v>
      </c>
      <c r="G225" t="s">
        <v>715</v>
      </c>
      <c r="S225"/>
      <c r="T225"/>
      <c r="U225"/>
    </row>
    <row r="226" spans="1:21">
      <c r="A226" s="2" t="s">
        <v>248</v>
      </c>
      <c r="B226" t="b">
        <v>1</v>
      </c>
      <c r="C226" t="b">
        <v>0</v>
      </c>
      <c r="D226" s="2" t="b">
        <v>0</v>
      </c>
      <c r="E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6">
        <v>0</v>
      </c>
      <c r="G226" t="s">
        <v>715</v>
      </c>
      <c r="S226"/>
      <c r="T226"/>
      <c r="U226"/>
    </row>
    <row r="227" spans="1:21">
      <c r="A227" s="2" t="s">
        <v>249</v>
      </c>
      <c r="B227" t="b">
        <v>1</v>
      </c>
      <c r="C227" t="b">
        <v>0</v>
      </c>
      <c r="D227" s="2" t="b">
        <v>0</v>
      </c>
      <c r="E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7">
        <v>0</v>
      </c>
      <c r="G227" t="s">
        <v>715</v>
      </c>
      <c r="S227"/>
      <c r="T227"/>
      <c r="U227"/>
    </row>
    <row r="228" spans="1:21">
      <c r="A228" s="2" t="s">
        <v>250</v>
      </c>
      <c r="B228" t="b">
        <v>1</v>
      </c>
      <c r="C228" t="b">
        <v>0</v>
      </c>
      <c r="D228" s="2" t="b">
        <v>0</v>
      </c>
      <c r="E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8">
        <v>0</v>
      </c>
      <c r="G228" t="s">
        <v>715</v>
      </c>
      <c r="S228"/>
      <c r="T228"/>
      <c r="U228"/>
    </row>
    <row r="229" spans="1:21">
      <c r="A229" s="2" t="s">
        <v>251</v>
      </c>
      <c r="B229" t="b">
        <v>1</v>
      </c>
      <c r="C229" t="b">
        <v>0</v>
      </c>
      <c r="D229" s="2" t="b">
        <v>0</v>
      </c>
      <c r="E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9">
        <v>0</v>
      </c>
      <c r="G229" t="s">
        <v>715</v>
      </c>
      <c r="S229"/>
      <c r="T229"/>
      <c r="U229"/>
    </row>
    <row r="230" spans="1:21">
      <c r="A230" s="2" t="s">
        <v>252</v>
      </c>
      <c r="B230" t="b">
        <v>1</v>
      </c>
      <c r="C230" t="b">
        <v>0</v>
      </c>
      <c r="D230" s="2" t="b">
        <v>0</v>
      </c>
      <c r="E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0">
        <v>0</v>
      </c>
      <c r="G230" t="s">
        <v>715</v>
      </c>
      <c r="S230"/>
      <c r="T230"/>
      <c r="U230"/>
    </row>
    <row r="231" spans="1:21">
      <c r="A231" s="2" t="s">
        <v>253</v>
      </c>
      <c r="B231" t="b">
        <v>1</v>
      </c>
      <c r="C231" t="b">
        <v>0</v>
      </c>
      <c r="D231" s="2" t="b">
        <v>0</v>
      </c>
      <c r="E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1">
        <v>0</v>
      </c>
      <c r="G231" t="s">
        <v>715</v>
      </c>
      <c r="S231"/>
      <c r="T231"/>
      <c r="U231"/>
    </row>
    <row r="232" spans="1:21">
      <c r="A232" s="2" t="s">
        <v>254</v>
      </c>
      <c r="B232" t="b">
        <v>1</v>
      </c>
      <c r="C232" t="b">
        <v>0</v>
      </c>
      <c r="D232" s="2" t="b">
        <v>0</v>
      </c>
      <c r="E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2">
        <v>0</v>
      </c>
      <c r="G232" t="s">
        <v>715</v>
      </c>
      <c r="S232"/>
      <c r="T232"/>
      <c r="U232"/>
    </row>
    <row r="233" spans="1:21">
      <c r="A233" s="2" t="s">
        <v>255</v>
      </c>
      <c r="B233" t="b">
        <v>1</v>
      </c>
      <c r="C233" t="b">
        <v>0</v>
      </c>
      <c r="D233" s="2" t="b">
        <v>0</v>
      </c>
      <c r="E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3">
        <v>0</v>
      </c>
      <c r="G233" t="s">
        <v>715</v>
      </c>
      <c r="S233"/>
      <c r="T233"/>
      <c r="U233"/>
    </row>
    <row r="234" spans="1:21">
      <c r="A234" s="2" t="s">
        <v>256</v>
      </c>
      <c r="B234" t="b">
        <v>1</v>
      </c>
      <c r="C234" t="b">
        <v>0</v>
      </c>
      <c r="D234" s="2" t="b">
        <v>0</v>
      </c>
      <c r="E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4">
        <v>0</v>
      </c>
      <c r="G234" t="s">
        <v>715</v>
      </c>
      <c r="S234"/>
      <c r="T234"/>
      <c r="U234"/>
    </row>
    <row r="235" spans="1:21">
      <c r="A235" s="2" t="s">
        <v>257</v>
      </c>
      <c r="B235" t="b">
        <v>1</v>
      </c>
      <c r="C235" t="b">
        <v>0</v>
      </c>
      <c r="D235" s="2" t="b">
        <v>0</v>
      </c>
      <c r="E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5">
        <v>0</v>
      </c>
      <c r="G235" t="s">
        <v>715</v>
      </c>
      <c r="S235"/>
      <c r="T235"/>
      <c r="U235"/>
    </row>
    <row r="236" spans="1:21">
      <c r="A236" s="2" t="s">
        <v>258</v>
      </c>
      <c r="B236" t="b">
        <v>1</v>
      </c>
      <c r="C236" t="b">
        <v>0</v>
      </c>
      <c r="D236" s="2" t="b">
        <v>0</v>
      </c>
      <c r="E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6">
        <v>0</v>
      </c>
      <c r="G236" t="s">
        <v>715</v>
      </c>
      <c r="S236"/>
      <c r="T236"/>
      <c r="U236"/>
    </row>
    <row r="237" spans="1:21">
      <c r="A237" s="2" t="s">
        <v>259</v>
      </c>
      <c r="B237" t="b">
        <v>1</v>
      </c>
      <c r="C237" t="b">
        <v>0</v>
      </c>
      <c r="D237" s="2" t="b">
        <v>0</v>
      </c>
      <c r="E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7">
        <v>0</v>
      </c>
      <c r="G237" t="s">
        <v>715</v>
      </c>
      <c r="S237"/>
      <c r="T237"/>
      <c r="U237"/>
    </row>
    <row r="238" spans="1:21">
      <c r="A238" s="2" t="s">
        <v>260</v>
      </c>
      <c r="B238" t="b">
        <v>1</v>
      </c>
      <c r="C238" t="b">
        <v>0</v>
      </c>
      <c r="D238" s="2" t="b">
        <v>0</v>
      </c>
      <c r="E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8">
        <v>0</v>
      </c>
      <c r="G238" t="s">
        <v>715</v>
      </c>
      <c r="S238"/>
      <c r="T238"/>
      <c r="U238"/>
    </row>
    <row r="239" spans="1:21">
      <c r="A239" s="2" t="s">
        <v>261</v>
      </c>
      <c r="B239" t="b">
        <v>1</v>
      </c>
      <c r="C239" t="b">
        <v>0</v>
      </c>
      <c r="D239" s="2" t="b">
        <v>0</v>
      </c>
      <c r="E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9">
        <v>0</v>
      </c>
      <c r="G239" t="s">
        <v>715</v>
      </c>
      <c r="S239"/>
      <c r="T239"/>
      <c r="U239"/>
    </row>
    <row r="240" spans="1:21">
      <c r="A240" s="2" t="s">
        <v>262</v>
      </c>
      <c r="B240" t="b">
        <v>1</v>
      </c>
      <c r="C240" t="b">
        <v>0</v>
      </c>
      <c r="D240" s="2" t="b">
        <v>0</v>
      </c>
      <c r="E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0">
        <v>0</v>
      </c>
      <c r="G240" t="s">
        <v>715</v>
      </c>
      <c r="S240"/>
      <c r="T240"/>
      <c r="U240"/>
    </row>
    <row r="241" spans="1:21">
      <c r="A241" s="2" t="s">
        <v>263</v>
      </c>
      <c r="B241" t="b">
        <v>1</v>
      </c>
      <c r="C241" t="b">
        <v>0</v>
      </c>
      <c r="D241" s="2" t="b">
        <v>0</v>
      </c>
      <c r="E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1">
        <v>0</v>
      </c>
      <c r="G241" t="s">
        <v>715</v>
      </c>
      <c r="S241"/>
      <c r="T241"/>
      <c r="U241"/>
    </row>
    <row r="242" spans="1:21">
      <c r="A242" s="2" t="s">
        <v>264</v>
      </c>
      <c r="B242" t="b">
        <v>1</v>
      </c>
      <c r="C242" t="b">
        <v>0</v>
      </c>
      <c r="D242" s="2" t="b">
        <v>0</v>
      </c>
      <c r="E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2">
        <v>0</v>
      </c>
      <c r="G242" t="s">
        <v>715</v>
      </c>
      <c r="S242"/>
      <c r="T242"/>
      <c r="U242"/>
    </row>
    <row r="243" spans="1:21">
      <c r="A243" s="2" t="s">
        <v>265</v>
      </c>
      <c r="B243" t="b">
        <v>1</v>
      </c>
      <c r="C243" t="b">
        <v>0</v>
      </c>
      <c r="D243" s="2" t="b">
        <v>0</v>
      </c>
      <c r="E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3">
        <v>0</v>
      </c>
      <c r="G243" t="s">
        <v>715</v>
      </c>
      <c r="S243"/>
      <c r="T243"/>
      <c r="U243"/>
    </row>
    <row r="244" spans="1:21">
      <c r="A244" s="2" t="s">
        <v>266</v>
      </c>
      <c r="B244" t="b">
        <v>1</v>
      </c>
      <c r="C244" t="b">
        <v>0</v>
      </c>
      <c r="D244" s="2" t="b">
        <v>0</v>
      </c>
      <c r="E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4">
        <v>0</v>
      </c>
      <c r="G244" t="s">
        <v>715</v>
      </c>
      <c r="S244"/>
      <c r="T244"/>
      <c r="U244"/>
    </row>
    <row r="245" spans="1:21">
      <c r="A245" s="2" t="s">
        <v>267</v>
      </c>
      <c r="B245" t="b">
        <v>1</v>
      </c>
      <c r="C245" t="b">
        <v>0</v>
      </c>
      <c r="D245" s="2" t="b">
        <v>0</v>
      </c>
      <c r="E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5">
        <v>0</v>
      </c>
      <c r="G245" t="s">
        <v>715</v>
      </c>
      <c r="S245"/>
      <c r="T245"/>
      <c r="U245"/>
    </row>
    <row r="246" spans="1:21">
      <c r="A246" s="2" t="s">
        <v>268</v>
      </c>
      <c r="B246" t="b">
        <v>1</v>
      </c>
      <c r="C246" t="b">
        <v>0</v>
      </c>
      <c r="D246" s="2" t="b">
        <v>0</v>
      </c>
      <c r="E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6">
        <v>0</v>
      </c>
      <c r="G246" t="s">
        <v>715</v>
      </c>
      <c r="S246"/>
      <c r="T246"/>
      <c r="U246"/>
    </row>
    <row r="247" spans="1:21">
      <c r="A247" s="2" t="s">
        <v>269</v>
      </c>
      <c r="B247" t="b">
        <v>1</v>
      </c>
      <c r="C247" t="b">
        <v>0</v>
      </c>
      <c r="D247" s="2" t="b">
        <v>0</v>
      </c>
      <c r="E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7">
        <v>0</v>
      </c>
      <c r="G247" t="s">
        <v>715</v>
      </c>
      <c r="S247"/>
      <c r="T247"/>
      <c r="U247"/>
    </row>
    <row r="248" spans="1:21">
      <c r="A248" s="2" t="s">
        <v>270</v>
      </c>
      <c r="B248" t="b">
        <v>1</v>
      </c>
      <c r="C248" t="b">
        <v>0</v>
      </c>
      <c r="D248" s="2" t="b">
        <v>0</v>
      </c>
      <c r="E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8">
        <v>0</v>
      </c>
      <c r="G248" t="s">
        <v>715</v>
      </c>
      <c r="S248"/>
      <c r="T248"/>
      <c r="U248"/>
    </row>
    <row r="249" spans="1:21">
      <c r="A249" s="2" t="s">
        <v>271</v>
      </c>
      <c r="B249" t="b">
        <v>1</v>
      </c>
      <c r="C249" t="b">
        <v>0</v>
      </c>
      <c r="D249" s="2" t="b">
        <v>0</v>
      </c>
      <c r="E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9">
        <v>0</v>
      </c>
      <c r="G249" t="s">
        <v>715</v>
      </c>
      <c r="S249"/>
      <c r="T249"/>
      <c r="U249"/>
    </row>
    <row r="250" spans="1:21">
      <c r="A250" s="2" t="s">
        <v>272</v>
      </c>
      <c r="B250" t="b">
        <v>1</v>
      </c>
      <c r="C250" t="b">
        <v>0</v>
      </c>
      <c r="D250" s="2" t="b">
        <v>0</v>
      </c>
      <c r="E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0">
        <v>0</v>
      </c>
      <c r="G250" t="s">
        <v>715</v>
      </c>
      <c r="S250"/>
      <c r="T250"/>
      <c r="U250"/>
    </row>
    <row r="251" spans="1:21">
      <c r="A251" s="2" t="s">
        <v>273</v>
      </c>
      <c r="B251" t="b">
        <v>1</v>
      </c>
      <c r="C251" t="b">
        <v>0</v>
      </c>
      <c r="D251" s="2" t="b">
        <v>0</v>
      </c>
      <c r="E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1">
        <v>0</v>
      </c>
      <c r="G251" t="s">
        <v>715</v>
      </c>
      <c r="S251"/>
      <c r="T251"/>
      <c r="U251"/>
    </row>
    <row r="252" spans="1:21">
      <c r="A252" s="2" t="s">
        <v>274</v>
      </c>
      <c r="B252" t="b">
        <v>1</v>
      </c>
      <c r="C252" t="b">
        <v>0</v>
      </c>
      <c r="D252" s="2" t="b">
        <v>0</v>
      </c>
      <c r="E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2">
        <v>0</v>
      </c>
      <c r="G252" t="s">
        <v>715</v>
      </c>
      <c r="S252"/>
      <c r="T252"/>
      <c r="U252"/>
    </row>
    <row r="253" spans="1:21">
      <c r="A253" s="2" t="s">
        <v>275</v>
      </c>
      <c r="B253" t="b">
        <v>1</v>
      </c>
      <c r="C253" t="b">
        <v>0</v>
      </c>
      <c r="D253" s="2" t="b">
        <v>0</v>
      </c>
      <c r="E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3">
        <v>0</v>
      </c>
      <c r="G253" t="s">
        <v>715</v>
      </c>
      <c r="S253"/>
      <c r="T253"/>
      <c r="U253"/>
    </row>
    <row r="254" spans="1:21">
      <c r="A254" s="2" t="s">
        <v>276</v>
      </c>
      <c r="B254" t="b">
        <v>1</v>
      </c>
      <c r="C254" t="b">
        <v>0</v>
      </c>
      <c r="D254" s="2" t="b">
        <v>0</v>
      </c>
      <c r="E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4">
        <v>0</v>
      </c>
      <c r="G254" t="s">
        <v>715</v>
      </c>
      <c r="S254"/>
      <c r="T254"/>
      <c r="U254"/>
    </row>
    <row r="255" spans="1:21">
      <c r="A255" s="2" t="s">
        <v>277</v>
      </c>
      <c r="B255" t="b">
        <v>1</v>
      </c>
      <c r="C255" t="b">
        <v>0</v>
      </c>
      <c r="D255" s="2" t="b">
        <v>0</v>
      </c>
      <c r="E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5">
        <v>0</v>
      </c>
      <c r="G255" t="s">
        <v>715</v>
      </c>
      <c r="S255"/>
      <c r="T255"/>
      <c r="U255"/>
    </row>
    <row r="256" spans="1:21">
      <c r="A256" s="2" t="s">
        <v>278</v>
      </c>
      <c r="B256" t="b">
        <v>1</v>
      </c>
      <c r="C256" t="b">
        <v>0</v>
      </c>
      <c r="D256" s="2" t="b">
        <v>0</v>
      </c>
      <c r="E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6">
        <v>0</v>
      </c>
      <c r="G256" t="s">
        <v>715</v>
      </c>
      <c r="S256"/>
      <c r="T256"/>
      <c r="U256"/>
    </row>
    <row r="257" spans="1:21">
      <c r="A257" s="2" t="s">
        <v>279</v>
      </c>
      <c r="B257" t="b">
        <v>1</v>
      </c>
      <c r="C257" t="b">
        <v>0</v>
      </c>
      <c r="D257" s="2" t="b">
        <v>0</v>
      </c>
      <c r="E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7">
        <v>0</v>
      </c>
      <c r="G257" t="s">
        <v>715</v>
      </c>
      <c r="S257"/>
      <c r="T257"/>
      <c r="U257"/>
    </row>
    <row r="258" spans="1:21">
      <c r="A258" s="2" t="s">
        <v>280</v>
      </c>
      <c r="B258" t="b">
        <v>1</v>
      </c>
      <c r="C258" t="b">
        <v>0</v>
      </c>
      <c r="D258" s="2" t="b">
        <v>0</v>
      </c>
      <c r="E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8">
        <v>0</v>
      </c>
      <c r="G258" t="s">
        <v>715</v>
      </c>
      <c r="S258"/>
      <c r="T258"/>
      <c r="U258"/>
    </row>
    <row r="259" spans="1:21">
      <c r="A259" s="2" t="s">
        <v>281</v>
      </c>
      <c r="B259" t="b">
        <v>1</v>
      </c>
      <c r="C259" t="b">
        <v>0</v>
      </c>
      <c r="D259" s="2" t="b">
        <v>0</v>
      </c>
      <c r="E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9">
        <v>0</v>
      </c>
      <c r="G259" t="s">
        <v>715</v>
      </c>
      <c r="S259"/>
      <c r="T259"/>
      <c r="U259"/>
    </row>
    <row r="260" spans="1:21">
      <c r="A260" s="2" t="s">
        <v>282</v>
      </c>
      <c r="B260" t="b">
        <v>1</v>
      </c>
      <c r="C260" t="b">
        <v>0</v>
      </c>
      <c r="D260" s="2" t="b">
        <v>0</v>
      </c>
      <c r="E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0">
        <v>0</v>
      </c>
      <c r="G260" t="s">
        <v>715</v>
      </c>
      <c r="S260"/>
      <c r="T260"/>
      <c r="U260"/>
    </row>
    <row r="261" spans="1:21">
      <c r="A261" s="2" t="s">
        <v>283</v>
      </c>
      <c r="B261" t="b">
        <v>1</v>
      </c>
      <c r="C261" t="b">
        <v>0</v>
      </c>
      <c r="D261" s="2" t="b">
        <v>0</v>
      </c>
      <c r="E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1">
        <v>0</v>
      </c>
      <c r="G261" t="s">
        <v>715</v>
      </c>
      <c r="S261"/>
      <c r="T261"/>
      <c r="U261"/>
    </row>
    <row r="262" spans="1:21">
      <c r="A262" s="2" t="s">
        <v>284</v>
      </c>
      <c r="B262" t="b">
        <v>1</v>
      </c>
      <c r="C262" t="b">
        <v>0</v>
      </c>
      <c r="D262" s="2" t="b">
        <v>0</v>
      </c>
      <c r="E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2">
        <v>0</v>
      </c>
      <c r="G262" t="s">
        <v>715</v>
      </c>
      <c r="S262"/>
      <c r="T262"/>
      <c r="U262"/>
    </row>
    <row r="263" spans="1:21">
      <c r="A263" s="2" t="s">
        <v>285</v>
      </c>
      <c r="B263" t="b">
        <v>1</v>
      </c>
      <c r="C263" t="b">
        <v>0</v>
      </c>
      <c r="D263" s="2" t="b">
        <v>0</v>
      </c>
      <c r="E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3">
        <v>0</v>
      </c>
      <c r="G263" t="s">
        <v>715</v>
      </c>
      <c r="S263"/>
      <c r="T263"/>
      <c r="U263"/>
    </row>
    <row r="264" spans="1:21">
      <c r="A264" s="2" t="s">
        <v>286</v>
      </c>
      <c r="B264" t="b">
        <v>1</v>
      </c>
      <c r="C264" t="b">
        <v>0</v>
      </c>
      <c r="D264" s="2" t="b">
        <v>0</v>
      </c>
      <c r="E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4">
        <v>0</v>
      </c>
      <c r="G264" t="s">
        <v>715</v>
      </c>
      <c r="S264"/>
      <c r="T264"/>
      <c r="U264"/>
    </row>
    <row r="265" spans="1:21">
      <c r="A265" s="2" t="s">
        <v>287</v>
      </c>
      <c r="B265" t="b">
        <v>1</v>
      </c>
      <c r="C265" t="b">
        <v>0</v>
      </c>
      <c r="D265" s="2" t="b">
        <v>0</v>
      </c>
      <c r="E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5">
        <v>0</v>
      </c>
      <c r="G265" t="s">
        <v>715</v>
      </c>
      <c r="S265"/>
      <c r="T265"/>
      <c r="U265"/>
    </row>
    <row r="266" spans="1:21">
      <c r="A266" s="2" t="s">
        <v>288</v>
      </c>
      <c r="B266" t="b">
        <v>1</v>
      </c>
      <c r="C266" t="b">
        <v>0</v>
      </c>
      <c r="D266" s="2" t="b">
        <v>0</v>
      </c>
      <c r="E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6">
        <v>0</v>
      </c>
      <c r="G266" t="s">
        <v>715</v>
      </c>
      <c r="S266"/>
      <c r="T266"/>
      <c r="U266"/>
    </row>
    <row r="267" spans="1:21">
      <c r="A267" s="2" t="s">
        <v>289</v>
      </c>
      <c r="B267" t="b">
        <v>1</v>
      </c>
      <c r="C267" t="b">
        <v>0</v>
      </c>
      <c r="D267" s="2" t="b">
        <v>0</v>
      </c>
      <c r="E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7">
        <v>0</v>
      </c>
      <c r="G267" t="s">
        <v>715</v>
      </c>
      <c r="S267"/>
      <c r="T267"/>
      <c r="U267"/>
    </row>
    <row r="268" spans="1:21">
      <c r="A268" s="2" t="s">
        <v>290</v>
      </c>
      <c r="B268" t="b">
        <v>1</v>
      </c>
      <c r="C268" t="b">
        <v>0</v>
      </c>
      <c r="D268" s="2" t="b">
        <v>0</v>
      </c>
      <c r="E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8">
        <v>0</v>
      </c>
      <c r="G268" t="s">
        <v>715</v>
      </c>
      <c r="S268"/>
      <c r="T268"/>
      <c r="U268"/>
    </row>
    <row r="269" spans="1:21">
      <c r="A269" s="2" t="s">
        <v>291</v>
      </c>
      <c r="B269" t="b">
        <v>1</v>
      </c>
      <c r="C269" t="b">
        <v>0</v>
      </c>
      <c r="D269" s="2" t="b">
        <v>0</v>
      </c>
      <c r="E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9">
        <v>0</v>
      </c>
      <c r="G269" t="s">
        <v>715</v>
      </c>
      <c r="S269"/>
      <c r="T269"/>
      <c r="U269"/>
    </row>
    <row r="270" spans="1:21">
      <c r="A270" s="2" t="s">
        <v>292</v>
      </c>
      <c r="B270" t="b">
        <v>1</v>
      </c>
      <c r="C270" t="b">
        <v>0</v>
      </c>
      <c r="D270" s="2" t="b">
        <v>0</v>
      </c>
      <c r="E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0">
        <v>0</v>
      </c>
      <c r="G270" t="s">
        <v>715</v>
      </c>
      <c r="S270"/>
      <c r="T270"/>
      <c r="U270"/>
    </row>
    <row r="271" spans="1:21">
      <c r="A271" s="2" t="s">
        <v>293</v>
      </c>
      <c r="B271" t="b">
        <v>1</v>
      </c>
      <c r="C271" t="b">
        <v>0</v>
      </c>
      <c r="D271" s="2" t="b">
        <v>0</v>
      </c>
      <c r="E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1">
        <v>0</v>
      </c>
      <c r="G271" t="s">
        <v>715</v>
      </c>
      <c r="S271"/>
      <c r="T271"/>
      <c r="U271"/>
    </row>
    <row r="272" spans="1:21">
      <c r="A272" s="2" t="s">
        <v>294</v>
      </c>
      <c r="B272" t="b">
        <v>1</v>
      </c>
      <c r="C272" t="b">
        <v>0</v>
      </c>
      <c r="D272" s="2" t="b">
        <v>0</v>
      </c>
      <c r="E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2">
        <v>0</v>
      </c>
      <c r="G272" t="s">
        <v>715</v>
      </c>
      <c r="S272"/>
      <c r="T272"/>
      <c r="U272"/>
    </row>
    <row r="273" spans="1:21">
      <c r="A273" s="2" t="s">
        <v>295</v>
      </c>
      <c r="B273" t="b">
        <v>1</v>
      </c>
      <c r="C273" t="b">
        <v>0</v>
      </c>
      <c r="D273" s="2" t="b">
        <v>0</v>
      </c>
      <c r="E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3">
        <v>0</v>
      </c>
      <c r="G273" t="s">
        <v>715</v>
      </c>
      <c r="S273"/>
      <c r="T273"/>
      <c r="U273"/>
    </row>
    <row r="274" spans="1:21">
      <c r="A274" s="2" t="s">
        <v>296</v>
      </c>
      <c r="B274" t="b">
        <v>1</v>
      </c>
      <c r="C274" t="b">
        <v>0</v>
      </c>
      <c r="D274" s="2" t="b">
        <v>0</v>
      </c>
      <c r="E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4">
        <v>0</v>
      </c>
      <c r="G274" t="s">
        <v>715</v>
      </c>
      <c r="S274"/>
      <c r="T274"/>
      <c r="U274"/>
    </row>
    <row r="275" spans="1:21">
      <c r="A275" s="2" t="s">
        <v>297</v>
      </c>
      <c r="B275" t="b">
        <v>1</v>
      </c>
      <c r="C275" t="b">
        <v>0</v>
      </c>
      <c r="D275" s="2" t="b">
        <v>0</v>
      </c>
      <c r="E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5">
        <v>0</v>
      </c>
      <c r="G275" t="s">
        <v>715</v>
      </c>
      <c r="S275"/>
      <c r="T275"/>
      <c r="U275"/>
    </row>
    <row r="276" spans="1:21">
      <c r="A276" s="2" t="s">
        <v>298</v>
      </c>
      <c r="B276" t="b">
        <v>1</v>
      </c>
      <c r="C276" t="b">
        <v>0</v>
      </c>
      <c r="D276" s="2" t="b">
        <v>0</v>
      </c>
      <c r="E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6">
        <v>0</v>
      </c>
      <c r="G276" t="s">
        <v>715</v>
      </c>
      <c r="S276"/>
      <c r="T276"/>
      <c r="U276"/>
    </row>
    <row r="277" spans="1:21">
      <c r="A277" s="2" t="s">
        <v>299</v>
      </c>
      <c r="B277" t="b">
        <v>1</v>
      </c>
      <c r="C277" t="b">
        <v>0</v>
      </c>
      <c r="D277" s="2" t="b">
        <v>0</v>
      </c>
      <c r="E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7">
        <v>0</v>
      </c>
      <c r="G277" t="s">
        <v>715</v>
      </c>
      <c r="S277"/>
      <c r="T277"/>
      <c r="U277"/>
    </row>
    <row r="278" spans="1:21">
      <c r="A278" s="2" t="s">
        <v>300</v>
      </c>
      <c r="B278" t="b">
        <v>1</v>
      </c>
      <c r="C278" t="b">
        <v>0</v>
      </c>
      <c r="D278" s="2" t="b">
        <v>0</v>
      </c>
      <c r="E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8">
        <v>0</v>
      </c>
      <c r="G278" t="s">
        <v>715</v>
      </c>
      <c r="S278"/>
      <c r="T278"/>
      <c r="U278"/>
    </row>
    <row r="279" spans="1:21">
      <c r="A279" s="2" t="s">
        <v>301</v>
      </c>
      <c r="B279" t="b">
        <v>1</v>
      </c>
      <c r="C279" t="b">
        <v>0</v>
      </c>
      <c r="D279" s="2" t="b">
        <v>0</v>
      </c>
      <c r="E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9">
        <v>0</v>
      </c>
      <c r="G279" t="s">
        <v>715</v>
      </c>
      <c r="S279"/>
      <c r="T279"/>
      <c r="U279"/>
    </row>
    <row r="280" spans="1:21">
      <c r="A280" s="2" t="s">
        <v>302</v>
      </c>
      <c r="B280" t="b">
        <v>1</v>
      </c>
      <c r="C280" t="b">
        <v>0</v>
      </c>
      <c r="D280" s="2" t="b">
        <v>0</v>
      </c>
      <c r="E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0">
        <v>0</v>
      </c>
      <c r="G280" t="s">
        <v>715</v>
      </c>
      <c r="S280"/>
      <c r="T280"/>
      <c r="U280"/>
    </row>
    <row r="281" spans="1:21">
      <c r="A281" s="2" t="s">
        <v>303</v>
      </c>
      <c r="B281" t="b">
        <v>1</v>
      </c>
      <c r="C281" t="b">
        <v>0</v>
      </c>
      <c r="D281" s="2" t="b">
        <v>0</v>
      </c>
      <c r="E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1">
        <v>0</v>
      </c>
      <c r="G281" t="s">
        <v>715</v>
      </c>
      <c r="S281"/>
      <c r="T281"/>
      <c r="U281"/>
    </row>
    <row r="282" spans="1:21">
      <c r="A282" s="2" t="s">
        <v>304</v>
      </c>
      <c r="B282" t="b">
        <v>1</v>
      </c>
      <c r="C282" t="b">
        <v>0</v>
      </c>
      <c r="D282" s="2" t="b">
        <v>0</v>
      </c>
      <c r="E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2">
        <v>0</v>
      </c>
      <c r="G282" t="s">
        <v>715</v>
      </c>
      <c r="S282"/>
      <c r="T282"/>
      <c r="U282"/>
    </row>
    <row r="283" spans="1:21">
      <c r="A283" s="2" t="s">
        <v>305</v>
      </c>
      <c r="B283" t="b">
        <v>1</v>
      </c>
      <c r="C283" t="b">
        <v>0</v>
      </c>
      <c r="D283" s="2" t="b">
        <v>0</v>
      </c>
      <c r="E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3">
        <v>0</v>
      </c>
      <c r="G283" t="s">
        <v>715</v>
      </c>
      <c r="S283"/>
      <c r="T283"/>
      <c r="U283"/>
    </row>
    <row r="284" spans="1:21">
      <c r="A284" s="2" t="s">
        <v>306</v>
      </c>
      <c r="B284" t="b">
        <v>1</v>
      </c>
      <c r="C284" t="b">
        <v>0</v>
      </c>
      <c r="D284" s="2" t="b">
        <v>0</v>
      </c>
      <c r="E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4">
        <v>0</v>
      </c>
      <c r="G284" t="s">
        <v>715</v>
      </c>
      <c r="S284"/>
      <c r="T284"/>
      <c r="U284"/>
    </row>
    <row r="285" spans="1:21">
      <c r="A285" s="2" t="s">
        <v>307</v>
      </c>
      <c r="B285" t="b">
        <v>1</v>
      </c>
      <c r="C285" t="b">
        <v>0</v>
      </c>
      <c r="D285" s="2" t="b">
        <v>0</v>
      </c>
      <c r="E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5">
        <v>0</v>
      </c>
      <c r="G285" t="s">
        <v>715</v>
      </c>
      <c r="S285"/>
      <c r="T285"/>
      <c r="U285"/>
    </row>
    <row r="286" spans="1:21">
      <c r="A286" s="2" t="s">
        <v>308</v>
      </c>
      <c r="B286" t="b">
        <v>1</v>
      </c>
      <c r="C286" t="b">
        <v>0</v>
      </c>
      <c r="D286" s="2" t="b">
        <v>0</v>
      </c>
      <c r="E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6">
        <v>0</v>
      </c>
      <c r="G286" t="s">
        <v>715</v>
      </c>
      <c r="S286"/>
      <c r="T286"/>
      <c r="U286"/>
    </row>
    <row r="287" spans="1:21">
      <c r="A287" s="2" t="s">
        <v>309</v>
      </c>
      <c r="B287" t="b">
        <v>1</v>
      </c>
      <c r="C287" t="b">
        <v>0</v>
      </c>
      <c r="D287" s="2" t="b">
        <v>0</v>
      </c>
      <c r="E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7">
        <v>0</v>
      </c>
      <c r="G287" t="s">
        <v>715</v>
      </c>
      <c r="S287"/>
      <c r="T287"/>
      <c r="U287"/>
    </row>
    <row r="288" spans="1:21">
      <c r="A288" s="2" t="s">
        <v>310</v>
      </c>
      <c r="B288" t="b">
        <v>1</v>
      </c>
      <c r="C288" t="b">
        <v>0</v>
      </c>
      <c r="D288" s="2" t="b">
        <v>0</v>
      </c>
      <c r="E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8">
        <v>0</v>
      </c>
      <c r="G288" t="s">
        <v>715</v>
      </c>
      <c r="S288"/>
      <c r="T288"/>
      <c r="U288"/>
    </row>
    <row r="289" spans="1:21">
      <c r="A289" s="2" t="s">
        <v>311</v>
      </c>
      <c r="B289" t="b">
        <v>1</v>
      </c>
      <c r="C289" t="b">
        <v>0</v>
      </c>
      <c r="D289" s="2" t="b">
        <v>0</v>
      </c>
      <c r="E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9">
        <v>0</v>
      </c>
      <c r="G289" t="s">
        <v>715</v>
      </c>
      <c r="S289"/>
      <c r="T289"/>
      <c r="U289"/>
    </row>
    <row r="290" spans="1:21">
      <c r="A290" s="2" t="s">
        <v>312</v>
      </c>
      <c r="B290" t="b">
        <v>1</v>
      </c>
      <c r="C290" t="b">
        <v>0</v>
      </c>
      <c r="D290" s="2" t="b">
        <v>0</v>
      </c>
      <c r="E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0">
        <v>0</v>
      </c>
      <c r="G290" t="s">
        <v>715</v>
      </c>
      <c r="S290"/>
      <c r="T290"/>
      <c r="U290"/>
    </row>
    <row r="291" spans="1:21">
      <c r="A291" s="2" t="s">
        <v>313</v>
      </c>
      <c r="B291" t="b">
        <v>1</v>
      </c>
      <c r="C291" t="b">
        <v>0</v>
      </c>
      <c r="D291" s="2" t="b">
        <v>0</v>
      </c>
      <c r="E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1">
        <v>0</v>
      </c>
      <c r="G291" t="s">
        <v>715</v>
      </c>
      <c r="S291"/>
      <c r="T291"/>
      <c r="U291"/>
    </row>
    <row r="292" spans="1:21">
      <c r="A292" s="2" t="s">
        <v>314</v>
      </c>
      <c r="B292" t="b">
        <v>1</v>
      </c>
      <c r="C292" t="b">
        <v>0</v>
      </c>
      <c r="D292" s="2" t="b">
        <v>0</v>
      </c>
      <c r="E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2">
        <v>0</v>
      </c>
      <c r="G292" t="s">
        <v>715</v>
      </c>
      <c r="S292"/>
      <c r="T292"/>
      <c r="U292"/>
    </row>
    <row r="293" spans="1:21">
      <c r="A293" s="2" t="s">
        <v>315</v>
      </c>
      <c r="B293" t="b">
        <v>1</v>
      </c>
      <c r="C293" t="b">
        <v>0</v>
      </c>
      <c r="D293" s="2" t="b">
        <v>0</v>
      </c>
      <c r="E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3">
        <v>0</v>
      </c>
      <c r="G293" t="s">
        <v>715</v>
      </c>
      <c r="S293"/>
      <c r="T293"/>
      <c r="U293"/>
    </row>
    <row r="294" spans="1:21">
      <c r="A294" s="2" t="s">
        <v>316</v>
      </c>
      <c r="B294" t="b">
        <v>1</v>
      </c>
      <c r="C294" t="b">
        <v>0</v>
      </c>
      <c r="D294" s="2" t="b">
        <v>0</v>
      </c>
      <c r="E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4">
        <v>0</v>
      </c>
      <c r="G294" t="s">
        <v>715</v>
      </c>
      <c r="S294"/>
      <c r="T294"/>
      <c r="U294"/>
    </row>
    <row r="295" spans="1:21">
      <c r="A295" s="2" t="s">
        <v>317</v>
      </c>
      <c r="B295" t="b">
        <v>1</v>
      </c>
      <c r="C295" t="b">
        <v>0</v>
      </c>
      <c r="D295" s="2" t="b">
        <v>0</v>
      </c>
      <c r="E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5">
        <v>0</v>
      </c>
      <c r="G295" t="s">
        <v>715</v>
      </c>
      <c r="S295"/>
      <c r="T295"/>
      <c r="U295"/>
    </row>
    <row r="296" spans="1:21">
      <c r="A296" s="2" t="s">
        <v>318</v>
      </c>
      <c r="B296" t="b">
        <v>1</v>
      </c>
      <c r="C296" t="b">
        <v>0</v>
      </c>
      <c r="D296" s="2" t="b">
        <v>0</v>
      </c>
      <c r="E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6">
        <v>0</v>
      </c>
      <c r="G296" t="s">
        <v>715</v>
      </c>
      <c r="S296"/>
      <c r="T296"/>
      <c r="U296"/>
    </row>
    <row r="297" spans="1:21">
      <c r="A297" s="2" t="s">
        <v>319</v>
      </c>
      <c r="B297" t="b">
        <v>1</v>
      </c>
      <c r="C297" t="b">
        <v>0</v>
      </c>
      <c r="D297" s="2" t="b">
        <v>0</v>
      </c>
      <c r="E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7">
        <v>0</v>
      </c>
      <c r="G297" t="s">
        <v>715</v>
      </c>
      <c r="S297"/>
      <c r="T297"/>
      <c r="U297"/>
    </row>
    <row r="298" spans="1:21">
      <c r="A298" s="2" t="s">
        <v>320</v>
      </c>
      <c r="B298" t="b">
        <v>1</v>
      </c>
      <c r="C298" t="b">
        <v>0</v>
      </c>
      <c r="D298" s="2" t="b">
        <v>0</v>
      </c>
      <c r="E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8">
        <v>0</v>
      </c>
      <c r="G298" t="s">
        <v>715</v>
      </c>
      <c r="S298"/>
      <c r="T298"/>
      <c r="U298"/>
    </row>
    <row r="299" spans="1:21">
      <c r="A299" s="2" t="s">
        <v>321</v>
      </c>
      <c r="B299" t="b">
        <v>1</v>
      </c>
      <c r="C299" t="b">
        <v>0</v>
      </c>
      <c r="D299" s="2" t="b">
        <v>0</v>
      </c>
      <c r="E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9">
        <v>0</v>
      </c>
      <c r="G299" t="s">
        <v>715</v>
      </c>
      <c r="S299"/>
      <c r="T299"/>
      <c r="U299"/>
    </row>
    <row r="300" spans="1:21">
      <c r="A300" s="2" t="s">
        <v>322</v>
      </c>
      <c r="B300" t="b">
        <v>1</v>
      </c>
      <c r="C300" t="b">
        <v>0</v>
      </c>
      <c r="D300" s="2" t="b">
        <v>0</v>
      </c>
      <c r="E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0">
        <v>0</v>
      </c>
      <c r="G300" t="s">
        <v>715</v>
      </c>
      <c r="S300"/>
      <c r="T300"/>
      <c r="U300"/>
    </row>
    <row r="301" spans="1:21">
      <c r="A301" s="2" t="s">
        <v>323</v>
      </c>
      <c r="B301" t="b">
        <v>1</v>
      </c>
      <c r="C301" t="b">
        <v>1</v>
      </c>
      <c r="D301" s="2" t="b">
        <v>0</v>
      </c>
      <c r="E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1">
        <v>0</v>
      </c>
      <c r="G301" t="s">
        <v>715</v>
      </c>
      <c r="S301"/>
      <c r="T301"/>
      <c r="U301"/>
    </row>
    <row r="302" spans="1:21">
      <c r="A302" s="2" t="s">
        <v>326</v>
      </c>
      <c r="B302" t="b">
        <v>1</v>
      </c>
      <c r="C302" t="b">
        <v>1</v>
      </c>
      <c r="D302" s="2" t="b">
        <v>0</v>
      </c>
      <c r="E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2">
        <v>0</v>
      </c>
      <c r="G302" t="s">
        <v>715</v>
      </c>
      <c r="S302"/>
      <c r="T302"/>
      <c r="U302"/>
    </row>
    <row r="303" spans="1:21">
      <c r="A303" s="2" t="s">
        <v>327</v>
      </c>
      <c r="B303" t="b">
        <v>1</v>
      </c>
      <c r="C303" t="b">
        <v>1</v>
      </c>
      <c r="D303" s="2" t="b">
        <v>0</v>
      </c>
      <c r="E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3">
        <v>0</v>
      </c>
      <c r="G303" t="s">
        <v>715</v>
      </c>
      <c r="S303"/>
      <c r="T303"/>
      <c r="U303"/>
    </row>
    <row r="304" spans="1:21">
      <c r="A304" s="2" t="s">
        <v>328</v>
      </c>
      <c r="B304" t="b">
        <v>1</v>
      </c>
      <c r="C304" t="b">
        <v>1</v>
      </c>
      <c r="D304" s="2" t="b">
        <v>0</v>
      </c>
      <c r="E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4">
        <v>0</v>
      </c>
      <c r="G304" t="s">
        <v>715</v>
      </c>
      <c r="S304"/>
      <c r="T304"/>
      <c r="U304"/>
    </row>
    <row r="305" spans="1:21">
      <c r="A305" s="2" t="s">
        <v>329</v>
      </c>
      <c r="B305" t="b">
        <v>1</v>
      </c>
      <c r="C305" t="b">
        <v>1</v>
      </c>
      <c r="D305" s="2" t="b">
        <v>0</v>
      </c>
      <c r="E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5">
        <v>0</v>
      </c>
      <c r="G305" t="s">
        <v>715</v>
      </c>
      <c r="S305"/>
      <c r="T305"/>
      <c r="U305"/>
    </row>
    <row r="306" spans="1:21">
      <c r="A306" s="2" t="s">
        <v>330</v>
      </c>
      <c r="B306" t="b">
        <v>1</v>
      </c>
      <c r="C306" t="b">
        <v>1</v>
      </c>
      <c r="D306" s="2" t="b">
        <v>0</v>
      </c>
      <c r="E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6">
        <v>0</v>
      </c>
      <c r="G306" t="s">
        <v>715</v>
      </c>
      <c r="S306"/>
      <c r="T306"/>
      <c r="U306"/>
    </row>
    <row r="307" spans="1:21">
      <c r="A307" s="2" t="s">
        <v>331</v>
      </c>
      <c r="B307" t="b">
        <v>1</v>
      </c>
      <c r="C307" t="b">
        <v>1</v>
      </c>
      <c r="D307" s="2" t="b">
        <v>0</v>
      </c>
      <c r="E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7">
        <v>0</v>
      </c>
      <c r="G307" t="s">
        <v>715</v>
      </c>
      <c r="S307"/>
      <c r="T307"/>
      <c r="U307"/>
    </row>
    <row r="308" spans="1:21">
      <c r="A308" s="2" t="s">
        <v>332</v>
      </c>
      <c r="B308" t="b">
        <v>1</v>
      </c>
      <c r="C308" t="b">
        <v>1</v>
      </c>
      <c r="D308" s="2" t="b">
        <v>0</v>
      </c>
      <c r="E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8">
        <v>0</v>
      </c>
      <c r="G308" t="s">
        <v>715</v>
      </c>
      <c r="S308"/>
      <c r="T308"/>
      <c r="U308"/>
    </row>
    <row r="309" spans="1:21">
      <c r="A309" s="2" t="s">
        <v>333</v>
      </c>
      <c r="B309" t="b">
        <v>1</v>
      </c>
      <c r="C309" t="b">
        <v>1</v>
      </c>
      <c r="D309" s="2" t="b">
        <v>0</v>
      </c>
      <c r="E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9">
        <v>0</v>
      </c>
      <c r="G309" t="s">
        <v>715</v>
      </c>
      <c r="S309"/>
      <c r="T309"/>
      <c r="U309"/>
    </row>
    <row r="310" spans="1:21">
      <c r="A310" s="2" t="s">
        <v>334</v>
      </c>
      <c r="B310" t="b">
        <v>1</v>
      </c>
      <c r="C310" t="b">
        <v>1</v>
      </c>
      <c r="D310" s="2" t="b">
        <v>0</v>
      </c>
      <c r="E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0">
        <v>0</v>
      </c>
      <c r="G310" t="s">
        <v>715</v>
      </c>
      <c r="S310"/>
      <c r="T310"/>
      <c r="U310"/>
    </row>
    <row r="311" spans="1:21">
      <c r="A311" s="2" t="s">
        <v>335</v>
      </c>
      <c r="B311" t="b">
        <v>1</v>
      </c>
      <c r="C311" t="b">
        <v>1</v>
      </c>
      <c r="D311" s="2" t="b">
        <v>0</v>
      </c>
      <c r="E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1">
        <v>0</v>
      </c>
      <c r="G311" t="s">
        <v>715</v>
      </c>
      <c r="S311"/>
      <c r="T311"/>
      <c r="U311"/>
    </row>
    <row r="312" spans="1:21">
      <c r="A312" s="2" t="s">
        <v>336</v>
      </c>
      <c r="B312" t="b">
        <v>1</v>
      </c>
      <c r="C312" t="b">
        <v>1</v>
      </c>
      <c r="D312" s="2" t="b">
        <v>0</v>
      </c>
      <c r="E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2">
        <v>0</v>
      </c>
      <c r="G312" t="s">
        <v>715</v>
      </c>
      <c r="S312"/>
      <c r="T312"/>
      <c r="U312"/>
    </row>
    <row r="313" spans="1:21">
      <c r="A313" s="2" t="s">
        <v>337</v>
      </c>
      <c r="B313" t="b">
        <v>1</v>
      </c>
      <c r="C313" t="b">
        <v>1</v>
      </c>
      <c r="D313" s="2" t="b">
        <v>0</v>
      </c>
      <c r="E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3">
        <v>0</v>
      </c>
      <c r="G313" t="s">
        <v>715</v>
      </c>
      <c r="S313"/>
      <c r="T313"/>
      <c r="U313"/>
    </row>
    <row r="314" spans="1:21">
      <c r="A314" s="2" t="s">
        <v>338</v>
      </c>
      <c r="B314" t="b">
        <v>1</v>
      </c>
      <c r="C314" t="b">
        <v>1</v>
      </c>
      <c r="D314" s="2" t="b">
        <v>0</v>
      </c>
      <c r="E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4">
        <v>0</v>
      </c>
      <c r="G314" t="s">
        <v>715</v>
      </c>
      <c r="S314"/>
      <c r="T314"/>
      <c r="U314"/>
    </row>
    <row r="315" spans="1:21">
      <c r="A315" s="2" t="s">
        <v>339</v>
      </c>
      <c r="B315" t="b">
        <v>1</v>
      </c>
      <c r="C315" t="b">
        <v>1</v>
      </c>
      <c r="D315" s="2" t="b">
        <v>0</v>
      </c>
      <c r="E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5">
        <v>0</v>
      </c>
      <c r="G315" t="s">
        <v>715</v>
      </c>
      <c r="S315"/>
      <c r="T315"/>
      <c r="U315"/>
    </row>
    <row r="316" spans="1:21">
      <c r="A316" s="2" t="s">
        <v>340</v>
      </c>
      <c r="B316" t="b">
        <v>1</v>
      </c>
      <c r="C316" t="b">
        <v>1</v>
      </c>
      <c r="D316" s="2" t="b">
        <v>0</v>
      </c>
      <c r="E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6">
        <v>0</v>
      </c>
      <c r="G316" t="s">
        <v>715</v>
      </c>
      <c r="S316"/>
      <c r="T316"/>
      <c r="U316"/>
    </row>
    <row r="317" spans="1:21">
      <c r="A317" s="2" t="s">
        <v>341</v>
      </c>
      <c r="B317" t="b">
        <v>1</v>
      </c>
      <c r="C317" t="b">
        <v>1</v>
      </c>
      <c r="D317" s="2" t="b">
        <v>0</v>
      </c>
      <c r="E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7">
        <v>0</v>
      </c>
      <c r="G317" t="s">
        <v>715</v>
      </c>
      <c r="S317"/>
      <c r="T317"/>
      <c r="U317"/>
    </row>
    <row r="318" spans="1:21">
      <c r="A318" s="2" t="s">
        <v>342</v>
      </c>
      <c r="B318" t="b">
        <v>1</v>
      </c>
      <c r="C318" t="b">
        <v>1</v>
      </c>
      <c r="D318" s="2" t="b">
        <v>0</v>
      </c>
      <c r="E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8">
        <v>0</v>
      </c>
      <c r="G318" t="s">
        <v>715</v>
      </c>
      <c r="S318"/>
      <c r="T318"/>
      <c r="U318"/>
    </row>
    <row r="319" spans="1:21">
      <c r="A319" s="2" t="s">
        <v>343</v>
      </c>
      <c r="B319" t="b">
        <v>1</v>
      </c>
      <c r="C319" t="b">
        <v>1</v>
      </c>
      <c r="D319" s="2" t="b">
        <v>0</v>
      </c>
      <c r="E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9">
        <v>0</v>
      </c>
      <c r="G319" t="s">
        <v>715</v>
      </c>
      <c r="S319"/>
      <c r="T319"/>
      <c r="U319"/>
    </row>
    <row r="320" spans="1:21">
      <c r="A320" s="2" t="s">
        <v>344</v>
      </c>
      <c r="B320" t="b">
        <v>1</v>
      </c>
      <c r="C320" t="b">
        <v>1</v>
      </c>
      <c r="D320" s="2" t="b">
        <v>0</v>
      </c>
      <c r="E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0">
        <v>0</v>
      </c>
      <c r="G320" t="s">
        <v>715</v>
      </c>
      <c r="S320"/>
      <c r="T320"/>
      <c r="U320"/>
    </row>
    <row r="321" spans="1:21">
      <c r="A321" s="2" t="s">
        <v>345</v>
      </c>
      <c r="B321" t="b">
        <v>1</v>
      </c>
      <c r="C321" t="b">
        <v>1</v>
      </c>
      <c r="D321" s="2" t="b">
        <v>0</v>
      </c>
      <c r="E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1">
        <v>0</v>
      </c>
      <c r="G321" t="s">
        <v>715</v>
      </c>
      <c r="S321"/>
      <c r="T321"/>
      <c r="U321"/>
    </row>
    <row r="322" spans="1:21">
      <c r="A322" s="2" t="s">
        <v>346</v>
      </c>
      <c r="B322" t="b">
        <v>1</v>
      </c>
      <c r="C322" t="b">
        <v>1</v>
      </c>
      <c r="D322" s="2" t="b">
        <v>0</v>
      </c>
      <c r="E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2">
        <v>0</v>
      </c>
      <c r="G322" t="s">
        <v>715</v>
      </c>
      <c r="S322"/>
      <c r="T322"/>
      <c r="U322"/>
    </row>
    <row r="323" spans="1:21">
      <c r="A323" s="2" t="s">
        <v>347</v>
      </c>
      <c r="B323" t="b">
        <v>1</v>
      </c>
      <c r="C323" t="b">
        <v>1</v>
      </c>
      <c r="D323" s="2" t="b">
        <v>0</v>
      </c>
      <c r="E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3">
        <v>0</v>
      </c>
      <c r="G323" t="s">
        <v>715</v>
      </c>
      <c r="S323"/>
      <c r="T323"/>
      <c r="U323"/>
    </row>
    <row r="324" spans="1:21">
      <c r="A324" s="2" t="s">
        <v>348</v>
      </c>
      <c r="B324" t="b">
        <v>1</v>
      </c>
      <c r="C324" t="b">
        <v>1</v>
      </c>
      <c r="D324" s="2" t="b">
        <v>0</v>
      </c>
      <c r="E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4">
        <v>0</v>
      </c>
      <c r="G324" t="s">
        <v>715</v>
      </c>
      <c r="S324"/>
      <c r="T324"/>
      <c r="U324"/>
    </row>
    <row r="325" spans="1:21">
      <c r="A325" s="2" t="s">
        <v>349</v>
      </c>
      <c r="B325" t="b">
        <v>1</v>
      </c>
      <c r="C325" t="b">
        <v>1</v>
      </c>
      <c r="D325" s="2" t="b">
        <v>0</v>
      </c>
      <c r="E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5">
        <v>0</v>
      </c>
      <c r="G325" t="s">
        <v>715</v>
      </c>
      <c r="S325"/>
      <c r="T325"/>
      <c r="U325"/>
    </row>
    <row r="326" spans="1:21">
      <c r="A326" s="2" t="s">
        <v>350</v>
      </c>
      <c r="B326" t="b">
        <v>1</v>
      </c>
      <c r="C326" t="b">
        <v>1</v>
      </c>
      <c r="D326" s="2" t="b">
        <v>0</v>
      </c>
      <c r="E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6">
        <v>0</v>
      </c>
      <c r="G326" t="s">
        <v>715</v>
      </c>
      <c r="S326"/>
      <c r="T326"/>
      <c r="U326"/>
    </row>
    <row r="327" spans="1:21">
      <c r="A327" s="2" t="s">
        <v>351</v>
      </c>
      <c r="B327" t="b">
        <v>1</v>
      </c>
      <c r="C327" t="b">
        <v>1</v>
      </c>
      <c r="D327" s="2" t="b">
        <v>0</v>
      </c>
      <c r="E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7">
        <v>0</v>
      </c>
      <c r="G327" t="s">
        <v>715</v>
      </c>
      <c r="S327"/>
      <c r="T327"/>
      <c r="U327"/>
    </row>
    <row r="328" spans="1:21">
      <c r="A328" s="2" t="s">
        <v>352</v>
      </c>
      <c r="B328" t="b">
        <v>1</v>
      </c>
      <c r="C328" t="b">
        <v>1</v>
      </c>
      <c r="D328" s="2" t="b">
        <v>0</v>
      </c>
      <c r="E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8">
        <v>0</v>
      </c>
      <c r="G328" t="s">
        <v>715</v>
      </c>
      <c r="S328"/>
      <c r="T328"/>
      <c r="U328"/>
    </row>
    <row r="329" spans="1:21">
      <c r="A329" s="2" t="s">
        <v>353</v>
      </c>
      <c r="B329" t="b">
        <v>1</v>
      </c>
      <c r="C329" t="b">
        <v>1</v>
      </c>
      <c r="D329" s="2" t="b">
        <v>0</v>
      </c>
      <c r="E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9">
        <v>0</v>
      </c>
      <c r="G329" t="s">
        <v>715</v>
      </c>
      <c r="S329"/>
      <c r="T329"/>
      <c r="U329"/>
    </row>
    <row r="330" spans="1:21">
      <c r="A330" s="2" t="s">
        <v>354</v>
      </c>
      <c r="B330" t="b">
        <v>1</v>
      </c>
      <c r="C330" t="b">
        <v>1</v>
      </c>
      <c r="D330" s="2" t="b">
        <v>0</v>
      </c>
      <c r="E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0">
        <v>0</v>
      </c>
      <c r="G330" t="s">
        <v>715</v>
      </c>
      <c r="S330"/>
      <c r="T330"/>
      <c r="U330"/>
    </row>
    <row r="331" spans="1:21">
      <c r="A331" s="2" t="s">
        <v>355</v>
      </c>
      <c r="B331" t="b">
        <v>1</v>
      </c>
      <c r="C331" t="b">
        <v>1</v>
      </c>
      <c r="D331" s="2" t="b">
        <v>0</v>
      </c>
      <c r="E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1">
        <v>0</v>
      </c>
      <c r="G331" t="s">
        <v>715</v>
      </c>
      <c r="S331"/>
      <c r="T331"/>
      <c r="U331"/>
    </row>
    <row r="332" spans="1:21">
      <c r="A332" s="2" t="s">
        <v>356</v>
      </c>
      <c r="B332" t="b">
        <v>1</v>
      </c>
      <c r="C332" t="b">
        <v>1</v>
      </c>
      <c r="D332" s="2" t="b">
        <v>0</v>
      </c>
      <c r="E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2">
        <v>0</v>
      </c>
      <c r="G332" t="s">
        <v>715</v>
      </c>
      <c r="S332"/>
      <c r="T332"/>
      <c r="U332"/>
    </row>
    <row r="333" spans="1:21">
      <c r="A333" s="2" t="s">
        <v>357</v>
      </c>
      <c r="B333" t="b">
        <v>1</v>
      </c>
      <c r="C333" t="b">
        <v>1</v>
      </c>
      <c r="D333" s="2" t="b">
        <v>0</v>
      </c>
      <c r="E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3">
        <v>0</v>
      </c>
      <c r="G333" t="s">
        <v>715</v>
      </c>
      <c r="S333"/>
      <c r="T333"/>
      <c r="U333"/>
    </row>
    <row r="334" spans="1:21">
      <c r="A334" s="2" t="s">
        <v>358</v>
      </c>
      <c r="B334" t="b">
        <v>1</v>
      </c>
      <c r="C334" t="b">
        <v>1</v>
      </c>
      <c r="D334" s="2" t="b">
        <v>0</v>
      </c>
      <c r="E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4">
        <v>0</v>
      </c>
      <c r="G334" t="s">
        <v>715</v>
      </c>
      <c r="S334"/>
      <c r="T334"/>
      <c r="U334"/>
    </row>
    <row r="335" spans="1:21">
      <c r="A335" s="2" t="s">
        <v>359</v>
      </c>
      <c r="B335" t="b">
        <v>1</v>
      </c>
      <c r="C335" t="b">
        <v>1</v>
      </c>
      <c r="D335" s="2" t="b">
        <v>0</v>
      </c>
      <c r="E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5">
        <v>0</v>
      </c>
      <c r="G335" t="s">
        <v>715</v>
      </c>
      <c r="S335"/>
      <c r="T335"/>
      <c r="U335"/>
    </row>
    <row r="336" spans="1:21">
      <c r="A336" s="2" t="s">
        <v>360</v>
      </c>
      <c r="B336" t="b">
        <v>1</v>
      </c>
      <c r="C336" t="b">
        <v>1</v>
      </c>
      <c r="D336" s="2" t="b">
        <v>0</v>
      </c>
      <c r="E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6">
        <v>0</v>
      </c>
      <c r="G336" t="s">
        <v>715</v>
      </c>
      <c r="S336"/>
      <c r="T336"/>
      <c r="U336"/>
    </row>
    <row r="337" spans="1:21">
      <c r="A337" s="2" t="s">
        <v>361</v>
      </c>
      <c r="B337" t="b">
        <v>1</v>
      </c>
      <c r="C337" t="b">
        <v>1</v>
      </c>
      <c r="D337" s="2" t="b">
        <v>0</v>
      </c>
      <c r="E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7">
        <v>0</v>
      </c>
      <c r="G337" t="s">
        <v>715</v>
      </c>
      <c r="S337"/>
      <c r="T337"/>
      <c r="U337"/>
    </row>
    <row r="338" spans="1:21">
      <c r="A338" s="2" t="s">
        <v>362</v>
      </c>
      <c r="B338" t="b">
        <v>1</v>
      </c>
      <c r="C338" t="b">
        <v>1</v>
      </c>
      <c r="D338" s="2" t="b">
        <v>0</v>
      </c>
      <c r="E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8">
        <v>0</v>
      </c>
      <c r="G338" t="s">
        <v>715</v>
      </c>
      <c r="S338"/>
      <c r="T338"/>
      <c r="U338"/>
    </row>
    <row r="339" spans="1:21">
      <c r="A339" s="2" t="s">
        <v>363</v>
      </c>
      <c r="B339" t="b">
        <v>1</v>
      </c>
      <c r="C339" t="b">
        <v>1</v>
      </c>
      <c r="D339" s="2" t="b">
        <v>0</v>
      </c>
      <c r="E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9">
        <v>0</v>
      </c>
      <c r="G339" t="s">
        <v>715</v>
      </c>
      <c r="S339"/>
      <c r="T339"/>
      <c r="U339"/>
    </row>
    <row r="340" spans="1:21">
      <c r="A340" s="2" t="s">
        <v>364</v>
      </c>
      <c r="B340" t="b">
        <v>1</v>
      </c>
      <c r="C340" t="b">
        <v>1</v>
      </c>
      <c r="D340" s="2" t="b">
        <v>0</v>
      </c>
      <c r="E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0">
        <v>0</v>
      </c>
      <c r="G340" t="s">
        <v>715</v>
      </c>
      <c r="S340"/>
      <c r="T340"/>
      <c r="U340"/>
    </row>
    <row r="341" spans="1:21">
      <c r="A341" s="2" t="s">
        <v>365</v>
      </c>
      <c r="B341" t="b">
        <v>1</v>
      </c>
      <c r="C341" t="b">
        <v>1</v>
      </c>
      <c r="D341" s="2" t="b">
        <v>0</v>
      </c>
      <c r="E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1">
        <v>0</v>
      </c>
      <c r="G341" t="s">
        <v>715</v>
      </c>
      <c r="S341"/>
      <c r="T341"/>
      <c r="U341"/>
    </row>
    <row r="342" spans="1:21">
      <c r="A342" s="2" t="s">
        <v>366</v>
      </c>
      <c r="B342" t="b">
        <v>1</v>
      </c>
      <c r="C342" t="b">
        <v>1</v>
      </c>
      <c r="D342" s="2" t="b">
        <v>0</v>
      </c>
      <c r="E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2">
        <v>0</v>
      </c>
      <c r="G342" t="s">
        <v>715</v>
      </c>
      <c r="S342"/>
      <c r="T342"/>
      <c r="U342"/>
    </row>
    <row r="343" spans="1:21">
      <c r="A343" s="2" t="s">
        <v>367</v>
      </c>
      <c r="B343" t="b">
        <v>1</v>
      </c>
      <c r="C343" t="b">
        <v>1</v>
      </c>
      <c r="D343" s="2" t="b">
        <v>0</v>
      </c>
      <c r="E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3">
        <v>0</v>
      </c>
      <c r="G343" t="s">
        <v>715</v>
      </c>
      <c r="S343"/>
      <c r="T343"/>
      <c r="U343"/>
    </row>
    <row r="344" spans="1:21">
      <c r="A344" s="2" t="s">
        <v>368</v>
      </c>
      <c r="B344" t="b">
        <v>1</v>
      </c>
      <c r="C344" t="b">
        <v>1</v>
      </c>
      <c r="D344" s="2" t="b">
        <v>0</v>
      </c>
      <c r="E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4">
        <v>0</v>
      </c>
      <c r="G344" t="s">
        <v>715</v>
      </c>
      <c r="S344"/>
      <c r="T344"/>
      <c r="U344"/>
    </row>
    <row r="345" spans="1:21">
      <c r="A345" s="2" t="s">
        <v>369</v>
      </c>
      <c r="B345" t="b">
        <v>1</v>
      </c>
      <c r="C345" t="b">
        <v>1</v>
      </c>
      <c r="D345" s="2" t="b">
        <v>0</v>
      </c>
      <c r="E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5">
        <v>0</v>
      </c>
      <c r="G345" t="s">
        <v>715</v>
      </c>
      <c r="S345"/>
      <c r="T345"/>
      <c r="U345"/>
    </row>
    <row r="346" spans="1:21">
      <c r="A346" s="2" t="s">
        <v>370</v>
      </c>
      <c r="B346" t="b">
        <v>1</v>
      </c>
      <c r="C346" t="b">
        <v>1</v>
      </c>
      <c r="D346" s="2" t="b">
        <v>0</v>
      </c>
      <c r="E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6">
        <v>0</v>
      </c>
      <c r="G346" t="s">
        <v>715</v>
      </c>
      <c r="S346"/>
      <c r="T346"/>
      <c r="U346"/>
    </row>
    <row r="347" spans="1:21">
      <c r="A347" s="2" t="s">
        <v>371</v>
      </c>
      <c r="B347" t="b">
        <v>1</v>
      </c>
      <c r="C347" t="b">
        <v>1</v>
      </c>
      <c r="D347" s="2" t="b">
        <v>0</v>
      </c>
      <c r="E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7">
        <v>0</v>
      </c>
      <c r="G347" t="s">
        <v>715</v>
      </c>
      <c r="S347"/>
      <c r="T347"/>
      <c r="U347"/>
    </row>
    <row r="348" spans="1:21">
      <c r="A348" s="2" t="s">
        <v>372</v>
      </c>
      <c r="B348" t="b">
        <v>1</v>
      </c>
      <c r="C348" t="b">
        <v>1</v>
      </c>
      <c r="D348" s="2" t="b">
        <v>0</v>
      </c>
      <c r="E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8">
        <v>0</v>
      </c>
      <c r="G348" t="s">
        <v>715</v>
      </c>
      <c r="S348"/>
      <c r="T348"/>
      <c r="U348"/>
    </row>
    <row r="349" spans="1:21">
      <c r="A349" s="2" t="s">
        <v>373</v>
      </c>
      <c r="B349" t="b">
        <v>1</v>
      </c>
      <c r="C349" t="b">
        <v>1</v>
      </c>
      <c r="D349" s="2" t="b">
        <v>0</v>
      </c>
      <c r="E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9">
        <v>0</v>
      </c>
      <c r="G349" t="s">
        <v>715</v>
      </c>
      <c r="S349"/>
      <c r="T349"/>
      <c r="U349"/>
    </row>
    <row r="350" spans="1:21">
      <c r="A350" s="2" t="s">
        <v>374</v>
      </c>
      <c r="B350" t="b">
        <v>1</v>
      </c>
      <c r="C350" t="b">
        <v>1</v>
      </c>
      <c r="D350" s="2" t="b">
        <v>0</v>
      </c>
      <c r="E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0">
        <v>0</v>
      </c>
      <c r="G350" t="s">
        <v>715</v>
      </c>
      <c r="S350"/>
      <c r="T350"/>
      <c r="U350"/>
    </row>
    <row r="351" spans="1:21">
      <c r="A351" s="2" t="s">
        <v>375</v>
      </c>
      <c r="B351" t="b">
        <v>1</v>
      </c>
      <c r="C351" t="b">
        <v>1</v>
      </c>
      <c r="D351" s="2" t="b">
        <v>0</v>
      </c>
      <c r="E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1">
        <v>0</v>
      </c>
      <c r="G351" t="s">
        <v>715</v>
      </c>
      <c r="S351"/>
      <c r="T351"/>
      <c r="U351"/>
    </row>
    <row r="352" spans="1:21">
      <c r="A352" s="2" t="s">
        <v>376</v>
      </c>
      <c r="B352" t="b">
        <v>1</v>
      </c>
      <c r="C352" t="b">
        <v>1</v>
      </c>
      <c r="D352" s="2" t="b">
        <v>0</v>
      </c>
      <c r="E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2">
        <v>0</v>
      </c>
      <c r="G352" t="s">
        <v>715</v>
      </c>
      <c r="S352"/>
      <c r="T352"/>
      <c r="U352"/>
    </row>
    <row r="353" spans="1:21">
      <c r="A353" s="2" t="s">
        <v>377</v>
      </c>
      <c r="B353" t="b">
        <v>1</v>
      </c>
      <c r="C353" t="b">
        <v>0</v>
      </c>
      <c r="D353" s="2" t="b">
        <v>0</v>
      </c>
      <c r="E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3">
        <v>-3</v>
      </c>
      <c r="G353" t="s">
        <v>715</v>
      </c>
      <c r="S353"/>
      <c r="T353"/>
      <c r="U353"/>
    </row>
    <row r="354" spans="1:21">
      <c r="A354" s="2" t="s">
        <v>378</v>
      </c>
      <c r="B354" t="b">
        <v>1</v>
      </c>
      <c r="C354" t="b">
        <v>0</v>
      </c>
      <c r="D354" s="2" t="b">
        <v>0</v>
      </c>
      <c r="E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4">
        <v>-3</v>
      </c>
      <c r="G354" t="s">
        <v>715</v>
      </c>
      <c r="S354"/>
      <c r="T354"/>
      <c r="U354"/>
    </row>
    <row r="355" spans="1:21">
      <c r="A355" s="2" t="s">
        <v>379</v>
      </c>
      <c r="B355" t="b">
        <v>1</v>
      </c>
      <c r="C355" t="b">
        <v>0</v>
      </c>
      <c r="D355" s="2" t="b">
        <v>0</v>
      </c>
      <c r="E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5">
        <v>-3</v>
      </c>
      <c r="G355" t="s">
        <v>715</v>
      </c>
      <c r="S355"/>
      <c r="T355"/>
      <c r="U355"/>
    </row>
    <row r="356" spans="1:21">
      <c r="A356" s="2" t="s">
        <v>380</v>
      </c>
      <c r="B356" t="b">
        <v>1</v>
      </c>
      <c r="C356" t="b">
        <v>0</v>
      </c>
      <c r="D356" s="2" t="b">
        <v>0</v>
      </c>
      <c r="E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6">
        <v>-3</v>
      </c>
      <c r="G356" t="s">
        <v>715</v>
      </c>
      <c r="S356"/>
      <c r="T356"/>
      <c r="U356"/>
    </row>
    <row r="357" spans="1:21">
      <c r="A357" s="2" t="s">
        <v>381</v>
      </c>
      <c r="B357" t="b">
        <v>1</v>
      </c>
      <c r="C357" t="b">
        <v>0</v>
      </c>
      <c r="D357" s="2" t="b">
        <v>0</v>
      </c>
      <c r="E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7">
        <v>-3</v>
      </c>
      <c r="G357" t="s">
        <v>715</v>
      </c>
      <c r="S357"/>
      <c r="T357"/>
      <c r="U357"/>
    </row>
    <row r="358" spans="1:21">
      <c r="A358" s="2" t="s">
        <v>382</v>
      </c>
      <c r="B358" t="b">
        <v>1</v>
      </c>
      <c r="C358" t="b">
        <v>0</v>
      </c>
      <c r="D358" s="2" t="b">
        <v>0</v>
      </c>
      <c r="E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8">
        <v>0</v>
      </c>
      <c r="G358" t="s">
        <v>715</v>
      </c>
      <c r="S358"/>
      <c r="T358"/>
      <c r="U358"/>
    </row>
    <row r="359" spans="1:21">
      <c r="A359" s="2" t="s">
        <v>383</v>
      </c>
      <c r="B359" t="b">
        <v>1</v>
      </c>
      <c r="C359" t="b">
        <v>0</v>
      </c>
      <c r="D359" s="2" t="b">
        <v>0</v>
      </c>
      <c r="E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9">
        <v>0</v>
      </c>
      <c r="G359" t="s">
        <v>715</v>
      </c>
      <c r="S359"/>
      <c r="T359"/>
      <c r="U359"/>
    </row>
    <row r="360" spans="1:21">
      <c r="A360" s="2" t="s">
        <v>384</v>
      </c>
      <c r="B360" t="b">
        <v>1</v>
      </c>
      <c r="C360" t="b">
        <v>0</v>
      </c>
      <c r="D360" s="2" t="b">
        <v>0</v>
      </c>
      <c r="E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0">
        <v>0</v>
      </c>
      <c r="G360" t="s">
        <v>715</v>
      </c>
      <c r="S360"/>
      <c r="T360"/>
      <c r="U360"/>
    </row>
    <row r="361" spans="1:21">
      <c r="A361" s="2" t="s">
        <v>385</v>
      </c>
      <c r="B361" t="b">
        <v>1</v>
      </c>
      <c r="C361" t="b">
        <v>0</v>
      </c>
      <c r="D361" s="2" t="b">
        <v>0</v>
      </c>
      <c r="E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1">
        <v>0</v>
      </c>
      <c r="G361" t="s">
        <v>715</v>
      </c>
      <c r="S361"/>
      <c r="T361"/>
      <c r="U361"/>
    </row>
    <row r="362" spans="1:21">
      <c r="A362" s="2" t="s">
        <v>386</v>
      </c>
      <c r="B362" t="b">
        <v>1</v>
      </c>
      <c r="C362" t="b">
        <v>0</v>
      </c>
      <c r="D362" s="2" t="b">
        <v>0</v>
      </c>
      <c r="E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2">
        <v>-3</v>
      </c>
      <c r="G362" t="s">
        <v>715</v>
      </c>
      <c r="S362"/>
      <c r="T362"/>
      <c r="U362"/>
    </row>
    <row r="363" spans="1:21">
      <c r="A363" s="2" t="s">
        <v>387</v>
      </c>
      <c r="B363" t="b">
        <v>1</v>
      </c>
      <c r="C363" t="b">
        <v>0</v>
      </c>
      <c r="D363" s="2" t="b">
        <v>0</v>
      </c>
      <c r="E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3">
        <v>-3</v>
      </c>
      <c r="G363" t="s">
        <v>715</v>
      </c>
      <c r="S363"/>
      <c r="T363"/>
      <c r="U363"/>
    </row>
    <row r="364" spans="1:21">
      <c r="A364" s="2" t="s">
        <v>388</v>
      </c>
      <c r="B364" t="b">
        <v>1</v>
      </c>
      <c r="C364" t="b">
        <v>0</v>
      </c>
      <c r="D364" s="2" t="b">
        <v>0</v>
      </c>
      <c r="E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4">
        <v>0</v>
      </c>
      <c r="G364" t="s">
        <v>715</v>
      </c>
      <c r="S364"/>
      <c r="T364"/>
      <c r="U364"/>
    </row>
    <row r="365" spans="1:21">
      <c r="A365" s="2" t="s">
        <v>389</v>
      </c>
      <c r="B365" t="b">
        <v>1</v>
      </c>
      <c r="C365" t="b">
        <v>0</v>
      </c>
      <c r="D365" s="2" t="b">
        <v>0</v>
      </c>
      <c r="E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5">
        <v>-3</v>
      </c>
      <c r="G365" t="s">
        <v>715</v>
      </c>
      <c r="S365"/>
      <c r="T365"/>
      <c r="U365"/>
    </row>
    <row r="366" spans="1:21">
      <c r="A366" s="2" t="s">
        <v>390</v>
      </c>
      <c r="B366" t="b">
        <v>1</v>
      </c>
      <c r="C366" t="b">
        <v>0</v>
      </c>
      <c r="D366" s="2" t="b">
        <v>0</v>
      </c>
      <c r="E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6">
        <v>0</v>
      </c>
      <c r="G366" t="s">
        <v>715</v>
      </c>
      <c r="S366"/>
      <c r="T366"/>
      <c r="U366"/>
    </row>
    <row r="367" spans="1:21">
      <c r="A367" s="2" t="s">
        <v>391</v>
      </c>
      <c r="B367" t="b">
        <v>1</v>
      </c>
      <c r="C367" t="b">
        <v>0</v>
      </c>
      <c r="D367" s="2" t="b">
        <v>0</v>
      </c>
      <c r="E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7">
        <v>-3</v>
      </c>
      <c r="G367" t="s">
        <v>715</v>
      </c>
      <c r="S367"/>
      <c r="T367"/>
      <c r="U367"/>
    </row>
    <row r="368" spans="1:21">
      <c r="A368" s="2" t="s">
        <v>392</v>
      </c>
      <c r="B368" t="b">
        <v>1</v>
      </c>
      <c r="C368" t="b">
        <v>0</v>
      </c>
      <c r="D368" s="2" t="b">
        <v>0</v>
      </c>
      <c r="E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8">
        <v>0</v>
      </c>
      <c r="G368" t="s">
        <v>715</v>
      </c>
      <c r="S368"/>
      <c r="T368"/>
      <c r="U368"/>
    </row>
    <row r="369" spans="1:21">
      <c r="A369" s="2" t="s">
        <v>393</v>
      </c>
      <c r="B369" t="b">
        <v>1</v>
      </c>
      <c r="C369" t="b">
        <v>0</v>
      </c>
      <c r="D369" s="2" t="b">
        <v>0</v>
      </c>
      <c r="E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9">
        <v>-3</v>
      </c>
      <c r="G369" t="s">
        <v>715</v>
      </c>
      <c r="S369"/>
      <c r="T369"/>
      <c r="U369"/>
    </row>
    <row r="370" spans="1:21">
      <c r="A370" s="2" t="s">
        <v>394</v>
      </c>
      <c r="B370" t="b">
        <v>1</v>
      </c>
      <c r="C370" t="b">
        <v>0</v>
      </c>
      <c r="D370" s="2" t="b">
        <v>0</v>
      </c>
      <c r="E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0">
        <v>-3</v>
      </c>
      <c r="G370" t="s">
        <v>715</v>
      </c>
      <c r="S370"/>
      <c r="T370"/>
      <c r="U370"/>
    </row>
    <row r="371" spans="1:21">
      <c r="A371" s="2" t="s">
        <v>395</v>
      </c>
      <c r="B371" t="b">
        <v>1</v>
      </c>
      <c r="C371" t="b">
        <v>0</v>
      </c>
      <c r="D371" s="2" t="b">
        <v>0</v>
      </c>
      <c r="E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1">
        <v>-3</v>
      </c>
      <c r="G371" t="s">
        <v>715</v>
      </c>
      <c r="S371"/>
      <c r="T371"/>
      <c r="U371"/>
    </row>
    <row r="372" spans="1:21">
      <c r="A372" s="2" t="s">
        <v>396</v>
      </c>
      <c r="B372" t="b">
        <v>1</v>
      </c>
      <c r="C372" t="b">
        <v>0</v>
      </c>
      <c r="D372" s="2" t="b">
        <v>0</v>
      </c>
      <c r="E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2">
        <v>0</v>
      </c>
      <c r="G372" t="s">
        <v>715</v>
      </c>
      <c r="S372"/>
      <c r="T372"/>
      <c r="U372"/>
    </row>
    <row r="373" spans="1:21">
      <c r="A373" s="2" t="s">
        <v>397</v>
      </c>
      <c r="B373" t="b">
        <v>1</v>
      </c>
      <c r="C373" t="b">
        <v>0</v>
      </c>
      <c r="D373" s="2" t="b">
        <v>0</v>
      </c>
      <c r="E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3">
        <v>0</v>
      </c>
      <c r="G373" t="s">
        <v>715</v>
      </c>
      <c r="S373"/>
      <c r="T373"/>
      <c r="U373"/>
    </row>
    <row r="374" spans="1:21">
      <c r="A374" s="2" t="s">
        <v>398</v>
      </c>
      <c r="B374" t="b">
        <v>1</v>
      </c>
      <c r="C374" t="b">
        <v>0</v>
      </c>
      <c r="D374" s="2" t="b">
        <v>0</v>
      </c>
      <c r="E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4">
        <v>0</v>
      </c>
      <c r="G374" t="s">
        <v>715</v>
      </c>
      <c r="S374"/>
      <c r="T374"/>
      <c r="U374"/>
    </row>
    <row r="375" spans="1:21">
      <c r="A375" s="2" t="s">
        <v>399</v>
      </c>
      <c r="B375" t="b">
        <v>1</v>
      </c>
      <c r="C375" t="b">
        <v>0</v>
      </c>
      <c r="D375" s="2" t="b">
        <v>0</v>
      </c>
      <c r="E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5">
        <v>0</v>
      </c>
      <c r="G375" t="s">
        <v>715</v>
      </c>
      <c r="S375"/>
      <c r="T375"/>
      <c r="U375"/>
    </row>
    <row r="376" spans="1:21">
      <c r="A376" s="2" t="s">
        <v>400</v>
      </c>
      <c r="B376" t="b">
        <v>1</v>
      </c>
      <c r="C376" t="b">
        <v>0</v>
      </c>
      <c r="D376" s="2" t="b">
        <v>0</v>
      </c>
      <c r="E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6">
        <v>0</v>
      </c>
      <c r="G376" t="s">
        <v>715</v>
      </c>
      <c r="S376"/>
      <c r="T376"/>
      <c r="U376"/>
    </row>
    <row r="377" spans="1:21">
      <c r="A377" s="2" t="s">
        <v>401</v>
      </c>
      <c r="B377" t="b">
        <v>1</v>
      </c>
      <c r="C377" t="b">
        <v>0</v>
      </c>
      <c r="D377" s="2" t="b">
        <v>0</v>
      </c>
      <c r="E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7">
        <v>0</v>
      </c>
      <c r="G377" t="s">
        <v>715</v>
      </c>
      <c r="S377"/>
      <c r="T377"/>
      <c r="U377"/>
    </row>
    <row r="378" spans="1:21">
      <c r="A378" s="2" t="s">
        <v>402</v>
      </c>
      <c r="B378" t="b">
        <v>1</v>
      </c>
      <c r="C378" t="b">
        <v>0</v>
      </c>
      <c r="D378" s="2" t="b">
        <v>0</v>
      </c>
      <c r="E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8">
        <v>0</v>
      </c>
      <c r="G378" t="s">
        <v>715</v>
      </c>
      <c r="S378"/>
      <c r="T378"/>
      <c r="U378"/>
    </row>
    <row r="379" spans="1:21">
      <c r="A379" s="2" t="s">
        <v>403</v>
      </c>
      <c r="B379" t="b">
        <v>1</v>
      </c>
      <c r="C379" t="b">
        <v>0</v>
      </c>
      <c r="D379" s="2" t="b">
        <v>0</v>
      </c>
      <c r="E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9">
        <v>0</v>
      </c>
      <c r="G379" t="s">
        <v>715</v>
      </c>
      <c r="S379"/>
      <c r="T379"/>
      <c r="U379"/>
    </row>
    <row r="380" spans="1:21">
      <c r="A380" s="2" t="s">
        <v>404</v>
      </c>
      <c r="B380" t="b">
        <v>1</v>
      </c>
      <c r="C380" t="b">
        <v>0</v>
      </c>
      <c r="D380" s="2" t="b">
        <v>0</v>
      </c>
      <c r="E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0">
        <v>0</v>
      </c>
      <c r="G380" t="s">
        <v>715</v>
      </c>
      <c r="S380"/>
      <c r="T380"/>
      <c r="U380"/>
    </row>
    <row r="381" spans="1:21">
      <c r="A381" s="2" t="s">
        <v>405</v>
      </c>
      <c r="B381" t="b">
        <v>1</v>
      </c>
      <c r="C381" t="b">
        <v>0</v>
      </c>
      <c r="D381" s="2" t="b">
        <v>0</v>
      </c>
      <c r="E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1">
        <v>0</v>
      </c>
      <c r="G381" t="s">
        <v>715</v>
      </c>
      <c r="S381"/>
      <c r="T381"/>
      <c r="U381"/>
    </row>
    <row r="382" spans="1:21">
      <c r="A382" s="2" t="s">
        <v>406</v>
      </c>
      <c r="B382" t="b">
        <v>1</v>
      </c>
      <c r="C382" t="b">
        <v>0</v>
      </c>
      <c r="D382" s="2" t="b">
        <v>0</v>
      </c>
      <c r="E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2">
        <v>0</v>
      </c>
      <c r="G382" t="s">
        <v>715</v>
      </c>
      <c r="S382"/>
      <c r="T382"/>
      <c r="U382"/>
    </row>
    <row r="383" spans="1:21">
      <c r="A383" s="2" t="s">
        <v>407</v>
      </c>
      <c r="B383" t="b">
        <v>1</v>
      </c>
      <c r="C383" t="b">
        <v>0</v>
      </c>
      <c r="D383" s="2" t="b">
        <v>0</v>
      </c>
      <c r="E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3">
        <v>0</v>
      </c>
      <c r="G383" t="s">
        <v>715</v>
      </c>
      <c r="S383"/>
      <c r="T383"/>
      <c r="U383"/>
    </row>
    <row r="384" spans="1:21">
      <c r="A384" s="2" t="s">
        <v>408</v>
      </c>
      <c r="B384" t="b">
        <v>1</v>
      </c>
      <c r="C384" t="b">
        <v>0</v>
      </c>
      <c r="D384" s="2" t="b">
        <v>0</v>
      </c>
      <c r="E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4">
        <v>0</v>
      </c>
      <c r="G384" t="s">
        <v>715</v>
      </c>
      <c r="S384"/>
      <c r="T384"/>
      <c r="U384"/>
    </row>
    <row r="385" spans="1:21">
      <c r="A385" s="2" t="s">
        <v>409</v>
      </c>
      <c r="B385" t="b">
        <v>1</v>
      </c>
      <c r="C385" t="b">
        <v>0</v>
      </c>
      <c r="D385" s="2" t="b">
        <v>0</v>
      </c>
      <c r="E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5">
        <v>-3</v>
      </c>
      <c r="G385" t="s">
        <v>715</v>
      </c>
      <c r="S385"/>
      <c r="T385"/>
      <c r="U385"/>
    </row>
    <row r="386" spans="1:21">
      <c r="A386" s="2" t="s">
        <v>410</v>
      </c>
      <c r="B386" t="b">
        <v>1</v>
      </c>
      <c r="C386" t="b">
        <v>0</v>
      </c>
      <c r="D386" s="2" t="b">
        <v>0</v>
      </c>
      <c r="E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6">
        <v>0</v>
      </c>
      <c r="G386" t="s">
        <v>715</v>
      </c>
      <c r="S386"/>
      <c r="T386"/>
      <c r="U386"/>
    </row>
    <row r="387" spans="1:21">
      <c r="A387" s="2" t="s">
        <v>411</v>
      </c>
      <c r="B387" t="b">
        <v>1</v>
      </c>
      <c r="C387" t="b">
        <v>0</v>
      </c>
      <c r="D387" s="2" t="b">
        <v>0</v>
      </c>
      <c r="E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7">
        <v>0</v>
      </c>
      <c r="G387" t="s">
        <v>715</v>
      </c>
      <c r="S387"/>
      <c r="T387"/>
      <c r="U387"/>
    </row>
    <row r="388" spans="1:21">
      <c r="A388" s="2" t="s">
        <v>412</v>
      </c>
      <c r="B388" t="b">
        <v>1</v>
      </c>
      <c r="C388" t="b">
        <v>0</v>
      </c>
      <c r="D388" s="2" t="b">
        <v>0</v>
      </c>
      <c r="E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8">
        <v>0</v>
      </c>
      <c r="G388" t="s">
        <v>715</v>
      </c>
      <c r="S388"/>
      <c r="T388"/>
      <c r="U388"/>
    </row>
    <row r="389" spans="1:21">
      <c r="A389" s="2" t="s">
        <v>413</v>
      </c>
      <c r="B389" t="b">
        <v>1</v>
      </c>
      <c r="C389" t="b">
        <v>0</v>
      </c>
      <c r="D389" s="2" t="b">
        <v>0</v>
      </c>
      <c r="E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9">
        <v>-3</v>
      </c>
      <c r="G389" t="s">
        <v>715</v>
      </c>
      <c r="S389"/>
      <c r="T389"/>
      <c r="U389"/>
    </row>
    <row r="390" spans="1:21">
      <c r="A390" s="2" t="s">
        <v>414</v>
      </c>
      <c r="B390" t="b">
        <v>1</v>
      </c>
      <c r="C390" t="b">
        <v>0</v>
      </c>
      <c r="D390" s="2" t="b">
        <v>0</v>
      </c>
      <c r="E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0">
        <v>0</v>
      </c>
      <c r="G390" t="s">
        <v>715</v>
      </c>
      <c r="S390"/>
      <c r="T390"/>
      <c r="U390"/>
    </row>
    <row r="391" spans="1:21">
      <c r="A391" s="2" t="s">
        <v>415</v>
      </c>
      <c r="B391" t="b">
        <v>1</v>
      </c>
      <c r="C391" t="b">
        <v>0</v>
      </c>
      <c r="D391" s="2" t="b">
        <v>0</v>
      </c>
      <c r="E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1">
        <v>-3</v>
      </c>
      <c r="G391" t="s">
        <v>715</v>
      </c>
      <c r="S391"/>
      <c r="T391"/>
      <c r="U391"/>
    </row>
    <row r="392" spans="1:21">
      <c r="A392" s="2" t="s">
        <v>416</v>
      </c>
      <c r="B392" t="b">
        <v>1</v>
      </c>
      <c r="C392" t="b">
        <v>0</v>
      </c>
      <c r="D392" s="2" t="b">
        <v>0</v>
      </c>
      <c r="E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2">
        <v>-3</v>
      </c>
      <c r="G392" t="s">
        <v>715</v>
      </c>
      <c r="S392"/>
      <c r="T392"/>
      <c r="U392"/>
    </row>
    <row r="393" spans="1:21">
      <c r="A393" s="2" t="s">
        <v>417</v>
      </c>
      <c r="B393" t="b">
        <v>1</v>
      </c>
      <c r="C393" t="b">
        <v>0</v>
      </c>
      <c r="D393" s="2" t="b">
        <v>0</v>
      </c>
      <c r="E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3">
        <v>-3</v>
      </c>
      <c r="G393" t="s">
        <v>715</v>
      </c>
      <c r="S393"/>
      <c r="T393"/>
      <c r="U393"/>
    </row>
    <row r="394" spans="1:21">
      <c r="A394" s="2" t="s">
        <v>418</v>
      </c>
      <c r="B394" t="b">
        <v>1</v>
      </c>
      <c r="C394" t="b">
        <v>0</v>
      </c>
      <c r="D394" s="2" t="b">
        <v>0</v>
      </c>
      <c r="E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4">
        <v>-3</v>
      </c>
      <c r="G394" t="s">
        <v>715</v>
      </c>
      <c r="S394"/>
      <c r="T394"/>
      <c r="U394"/>
    </row>
    <row r="395" spans="1:21">
      <c r="A395" s="2" t="s">
        <v>419</v>
      </c>
      <c r="B395" t="b">
        <v>1</v>
      </c>
      <c r="C395" t="b">
        <v>0</v>
      </c>
      <c r="D395" s="2" t="b">
        <v>0</v>
      </c>
      <c r="E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5">
        <v>0</v>
      </c>
      <c r="G395" t="s">
        <v>715</v>
      </c>
      <c r="S395"/>
      <c r="T395"/>
      <c r="U395"/>
    </row>
    <row r="396" spans="1:21">
      <c r="A396" s="2" t="s">
        <v>420</v>
      </c>
      <c r="B396" t="b">
        <v>1</v>
      </c>
      <c r="C396" t="b">
        <v>0</v>
      </c>
      <c r="D396" s="2" t="b">
        <v>0</v>
      </c>
      <c r="E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6">
        <v>-3</v>
      </c>
      <c r="G396" t="s">
        <v>715</v>
      </c>
      <c r="S396"/>
      <c r="T396"/>
      <c r="U396"/>
    </row>
    <row r="397" spans="1:21">
      <c r="A397" s="2" t="s">
        <v>421</v>
      </c>
      <c r="B397" t="b">
        <v>1</v>
      </c>
      <c r="C397" t="b">
        <v>0</v>
      </c>
      <c r="D397" s="2" t="b">
        <v>0</v>
      </c>
      <c r="E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7">
        <v>-3</v>
      </c>
      <c r="G397" t="s">
        <v>715</v>
      </c>
      <c r="S397"/>
      <c r="T397"/>
      <c r="U397"/>
    </row>
    <row r="398" spans="1:21">
      <c r="A398" s="2" t="s">
        <v>422</v>
      </c>
      <c r="B398" t="b">
        <v>1</v>
      </c>
      <c r="C398" t="b">
        <v>0</v>
      </c>
      <c r="D398" s="2" t="b">
        <v>0</v>
      </c>
      <c r="E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8">
        <v>0</v>
      </c>
      <c r="G398" t="s">
        <v>715</v>
      </c>
      <c r="S398"/>
      <c r="T398"/>
      <c r="U398"/>
    </row>
    <row r="399" spans="1:21">
      <c r="A399" s="2" t="s">
        <v>423</v>
      </c>
      <c r="B399" t="b">
        <v>1</v>
      </c>
      <c r="C399" t="b">
        <v>0</v>
      </c>
      <c r="D399" s="2" t="b">
        <v>0</v>
      </c>
      <c r="E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9">
        <v>-3</v>
      </c>
      <c r="G399" t="s">
        <v>715</v>
      </c>
      <c r="S399"/>
      <c r="T399"/>
      <c r="U399"/>
    </row>
    <row r="400" spans="1:21">
      <c r="A400" s="2" t="s">
        <v>424</v>
      </c>
      <c r="B400" t="b">
        <v>1</v>
      </c>
      <c r="C400" t="b">
        <v>0</v>
      </c>
      <c r="D400" s="2" t="b">
        <v>0</v>
      </c>
      <c r="E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0">
        <v>-3</v>
      </c>
      <c r="G400" t="s">
        <v>715</v>
      </c>
      <c r="S400"/>
      <c r="T400"/>
      <c r="U400"/>
    </row>
    <row r="401" spans="1:21">
      <c r="A401" s="2" t="s">
        <v>425</v>
      </c>
      <c r="B401" t="b">
        <v>1</v>
      </c>
      <c r="C401" t="b">
        <v>0</v>
      </c>
      <c r="D401" s="2" t="b">
        <v>0</v>
      </c>
      <c r="E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1">
        <v>-3</v>
      </c>
      <c r="G401" t="s">
        <v>715</v>
      </c>
      <c r="S401"/>
      <c r="T401"/>
      <c r="U401"/>
    </row>
    <row r="402" spans="1:21">
      <c r="A402" s="2" t="s">
        <v>426</v>
      </c>
      <c r="B402" t="b">
        <v>1</v>
      </c>
      <c r="C402" t="b">
        <v>0</v>
      </c>
      <c r="D402" s="2" t="b">
        <v>0</v>
      </c>
      <c r="E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2">
        <v>-3</v>
      </c>
      <c r="G402" t="s">
        <v>715</v>
      </c>
      <c r="S402"/>
      <c r="T402"/>
      <c r="U402"/>
    </row>
    <row r="403" spans="1:21">
      <c r="A403" s="2" t="s">
        <v>427</v>
      </c>
      <c r="B403" t="b">
        <v>1</v>
      </c>
      <c r="C403" t="b">
        <v>0</v>
      </c>
      <c r="D403" s="2" t="b">
        <v>0</v>
      </c>
      <c r="E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3">
        <v>-3</v>
      </c>
      <c r="G403" t="s">
        <v>715</v>
      </c>
      <c r="S403"/>
      <c r="T403"/>
      <c r="U403"/>
    </row>
    <row r="404" spans="1:21">
      <c r="A404" s="2" t="s">
        <v>428</v>
      </c>
      <c r="B404" t="b">
        <v>1</v>
      </c>
      <c r="C404" t="b">
        <v>0</v>
      </c>
      <c r="D404" s="2" t="b">
        <v>0</v>
      </c>
      <c r="E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4">
        <v>-3</v>
      </c>
      <c r="G404" t="s">
        <v>715</v>
      </c>
      <c r="S404"/>
      <c r="T404"/>
      <c r="U404"/>
    </row>
    <row r="405" spans="1:21">
      <c r="A405" s="2" t="s">
        <v>429</v>
      </c>
      <c r="B405" t="b">
        <v>1</v>
      </c>
      <c r="C405" t="b">
        <v>0</v>
      </c>
      <c r="D405" s="2" t="b">
        <v>0</v>
      </c>
      <c r="E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5">
        <v>0</v>
      </c>
      <c r="G405" t="s">
        <v>715</v>
      </c>
      <c r="S405"/>
      <c r="T405"/>
      <c r="U405"/>
    </row>
    <row r="406" spans="1:21">
      <c r="A406" s="2" t="s">
        <v>430</v>
      </c>
      <c r="B406" t="b">
        <v>1</v>
      </c>
      <c r="C406" t="b">
        <v>0</v>
      </c>
      <c r="D406" s="2" t="b">
        <v>0</v>
      </c>
      <c r="E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6">
        <v>0</v>
      </c>
      <c r="G406" t="s">
        <v>715</v>
      </c>
      <c r="S406"/>
      <c r="T406"/>
      <c r="U406"/>
    </row>
    <row r="407" spans="1:21">
      <c r="A407" s="2" t="s">
        <v>431</v>
      </c>
      <c r="B407" t="b">
        <v>1</v>
      </c>
      <c r="C407" t="b">
        <v>0</v>
      </c>
      <c r="D407" s="2" t="b">
        <v>0</v>
      </c>
      <c r="E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7">
        <v>0</v>
      </c>
      <c r="G407" t="s">
        <v>715</v>
      </c>
      <c r="S407"/>
      <c r="T407"/>
      <c r="U407"/>
    </row>
    <row r="408" spans="1:21">
      <c r="A408" s="2" t="s">
        <v>432</v>
      </c>
      <c r="B408" t="b">
        <v>1</v>
      </c>
      <c r="C408" t="b">
        <v>0</v>
      </c>
      <c r="D408" s="2" t="b">
        <v>0</v>
      </c>
      <c r="E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8">
        <v>0</v>
      </c>
      <c r="G408" t="s">
        <v>715</v>
      </c>
      <c r="S408"/>
      <c r="T408"/>
      <c r="U408"/>
    </row>
    <row r="409" spans="1:21">
      <c r="A409" s="2" t="s">
        <v>433</v>
      </c>
      <c r="B409" t="b">
        <v>1</v>
      </c>
      <c r="C409" t="b">
        <v>0</v>
      </c>
      <c r="D409" s="2" t="b">
        <v>0</v>
      </c>
      <c r="E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9">
        <v>0</v>
      </c>
      <c r="G409" t="s">
        <v>715</v>
      </c>
      <c r="S409"/>
      <c r="T409"/>
      <c r="U409"/>
    </row>
    <row r="410" spans="1:21">
      <c r="A410" s="2" t="s">
        <v>434</v>
      </c>
      <c r="B410" t="b">
        <v>1</v>
      </c>
      <c r="C410" t="b">
        <v>0</v>
      </c>
      <c r="D410" s="2" t="b">
        <v>0</v>
      </c>
      <c r="E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0">
        <v>-3</v>
      </c>
      <c r="G410" t="s">
        <v>715</v>
      </c>
      <c r="S410"/>
      <c r="T410"/>
      <c r="U410"/>
    </row>
    <row r="411" spans="1:21">
      <c r="A411" s="2" t="s">
        <v>435</v>
      </c>
      <c r="B411" t="b">
        <v>1</v>
      </c>
      <c r="C411" t="b">
        <v>0</v>
      </c>
      <c r="D411" s="2" t="b">
        <v>0</v>
      </c>
      <c r="E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1">
        <v>0</v>
      </c>
      <c r="G411" t="s">
        <v>715</v>
      </c>
      <c r="S411"/>
      <c r="T411"/>
      <c r="U411"/>
    </row>
    <row r="412" spans="1:21">
      <c r="A412" s="2" t="s">
        <v>436</v>
      </c>
      <c r="B412" t="b">
        <v>1</v>
      </c>
      <c r="C412" t="b">
        <v>0</v>
      </c>
      <c r="D412" s="2" t="b">
        <v>0</v>
      </c>
      <c r="E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2">
        <v>0</v>
      </c>
      <c r="G412" t="s">
        <v>715</v>
      </c>
      <c r="S412"/>
      <c r="T412"/>
      <c r="U412"/>
    </row>
    <row r="413" spans="1:21">
      <c r="A413" s="2" t="s">
        <v>437</v>
      </c>
      <c r="B413" t="b">
        <v>1</v>
      </c>
      <c r="C413" t="b">
        <v>0</v>
      </c>
      <c r="D413" s="2" t="b">
        <v>0</v>
      </c>
      <c r="E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3">
        <v>0</v>
      </c>
      <c r="G413" t="s">
        <v>715</v>
      </c>
      <c r="S413"/>
      <c r="T413"/>
      <c r="U413"/>
    </row>
    <row r="414" spans="1:21">
      <c r="A414" s="2" t="s">
        <v>438</v>
      </c>
      <c r="B414" t="b">
        <v>1</v>
      </c>
      <c r="C414" t="b">
        <v>0</v>
      </c>
      <c r="D414" s="2" t="b">
        <v>0</v>
      </c>
      <c r="E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4">
        <v>0</v>
      </c>
      <c r="G414" t="s">
        <v>715</v>
      </c>
      <c r="S414"/>
      <c r="T414"/>
      <c r="U414"/>
    </row>
    <row r="415" spans="1:21">
      <c r="A415" s="2" t="s">
        <v>439</v>
      </c>
      <c r="B415" t="b">
        <v>1</v>
      </c>
      <c r="C415" t="b">
        <v>0</v>
      </c>
      <c r="D415" s="2" t="b">
        <v>0</v>
      </c>
      <c r="E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5">
        <v>-3</v>
      </c>
      <c r="G415" t="s">
        <v>715</v>
      </c>
      <c r="S415"/>
      <c r="T415"/>
      <c r="U415"/>
    </row>
    <row r="416" spans="1:21">
      <c r="A416" s="2" t="s">
        <v>440</v>
      </c>
      <c r="B416" t="b">
        <v>1</v>
      </c>
      <c r="C416" t="b">
        <v>0</v>
      </c>
      <c r="D416" s="2" t="b">
        <v>0</v>
      </c>
      <c r="E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6">
        <v>0</v>
      </c>
      <c r="G416" t="s">
        <v>715</v>
      </c>
      <c r="S416"/>
      <c r="T416"/>
      <c r="U416"/>
    </row>
    <row r="417" spans="1:21">
      <c r="A417" s="2" t="s">
        <v>441</v>
      </c>
      <c r="B417" t="b">
        <v>1</v>
      </c>
      <c r="C417" t="b">
        <v>0</v>
      </c>
      <c r="D417" s="2" t="b">
        <v>0</v>
      </c>
      <c r="E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7">
        <v>-3</v>
      </c>
      <c r="G417" t="s">
        <v>715</v>
      </c>
      <c r="S417"/>
      <c r="T417"/>
      <c r="U417"/>
    </row>
    <row r="418" spans="1:21">
      <c r="A418" s="2" t="s">
        <v>442</v>
      </c>
      <c r="B418" t="b">
        <v>1</v>
      </c>
      <c r="C418" t="b">
        <v>0</v>
      </c>
      <c r="D418" s="2" t="b">
        <v>0</v>
      </c>
      <c r="E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8">
        <v>0</v>
      </c>
      <c r="G418" t="s">
        <v>715</v>
      </c>
      <c r="S418"/>
      <c r="T418"/>
      <c r="U418"/>
    </row>
    <row r="419" spans="1:21">
      <c r="A419" s="2" t="s">
        <v>443</v>
      </c>
      <c r="B419" t="b">
        <v>1</v>
      </c>
      <c r="C419" t="b">
        <v>0</v>
      </c>
      <c r="D419" s="2" t="b">
        <v>0</v>
      </c>
      <c r="E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9">
        <v>-3</v>
      </c>
      <c r="G419" t="s">
        <v>715</v>
      </c>
      <c r="S419"/>
      <c r="T419"/>
      <c r="U419"/>
    </row>
    <row r="420" spans="1:21">
      <c r="A420" s="2" t="s">
        <v>444</v>
      </c>
      <c r="B420" t="b">
        <v>1</v>
      </c>
      <c r="C420" t="b">
        <v>0</v>
      </c>
      <c r="D420" s="2" t="b">
        <v>0</v>
      </c>
      <c r="E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0">
        <v>0</v>
      </c>
      <c r="G420" t="s">
        <v>715</v>
      </c>
      <c r="S420"/>
      <c r="T420"/>
      <c r="U420"/>
    </row>
    <row r="421" spans="1:21">
      <c r="A421" s="2" t="s">
        <v>445</v>
      </c>
      <c r="B421" t="b">
        <v>1</v>
      </c>
      <c r="C421" t="b">
        <v>0</v>
      </c>
      <c r="D421" s="2" t="b">
        <v>0</v>
      </c>
      <c r="E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1">
        <v>-3</v>
      </c>
      <c r="G421" t="s">
        <v>715</v>
      </c>
      <c r="S421"/>
      <c r="T421"/>
      <c r="U421"/>
    </row>
    <row r="422" spans="1:21">
      <c r="A422" s="2" t="s">
        <v>446</v>
      </c>
      <c r="B422" t="b">
        <v>1</v>
      </c>
      <c r="C422" t="b">
        <v>0</v>
      </c>
      <c r="D422" s="2" t="b">
        <v>0</v>
      </c>
      <c r="E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2">
        <v>0</v>
      </c>
      <c r="G422" t="s">
        <v>715</v>
      </c>
      <c r="S422"/>
      <c r="T422"/>
      <c r="U422"/>
    </row>
    <row r="423" spans="1:21">
      <c r="A423" s="2" t="s">
        <v>447</v>
      </c>
      <c r="B423" t="b">
        <v>1</v>
      </c>
      <c r="C423" t="b">
        <v>0</v>
      </c>
      <c r="D423" s="2" t="b">
        <v>0</v>
      </c>
      <c r="E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3">
        <v>-3</v>
      </c>
      <c r="G423" t="s">
        <v>715</v>
      </c>
      <c r="S423"/>
      <c r="T423"/>
      <c r="U423"/>
    </row>
    <row r="424" spans="1:21">
      <c r="A424" s="2" t="s">
        <v>448</v>
      </c>
      <c r="B424" t="b">
        <v>1</v>
      </c>
      <c r="C424" t="b">
        <v>0</v>
      </c>
      <c r="D424" s="2" t="b">
        <v>0</v>
      </c>
      <c r="E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4">
        <v>0</v>
      </c>
      <c r="G424" t="s">
        <v>715</v>
      </c>
      <c r="S424"/>
      <c r="T424"/>
      <c r="U424"/>
    </row>
    <row r="425" spans="1:21">
      <c r="A425" s="2" t="s">
        <v>449</v>
      </c>
      <c r="B425" t="b">
        <v>1</v>
      </c>
      <c r="C425" t="b">
        <v>0</v>
      </c>
      <c r="D425" s="2" t="b">
        <v>0</v>
      </c>
      <c r="E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5">
        <v>0</v>
      </c>
      <c r="G425" t="s">
        <v>715</v>
      </c>
      <c r="S425"/>
      <c r="T425"/>
      <c r="U425"/>
    </row>
    <row r="426" spans="1:21">
      <c r="A426" s="2" t="s">
        <v>450</v>
      </c>
      <c r="B426" t="b">
        <v>1</v>
      </c>
      <c r="C426" t="b">
        <v>0</v>
      </c>
      <c r="D426" s="2" t="b">
        <v>0</v>
      </c>
      <c r="E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6">
        <v>-3</v>
      </c>
      <c r="G426" t="s">
        <v>715</v>
      </c>
      <c r="S426"/>
      <c r="T426"/>
      <c r="U426"/>
    </row>
    <row r="427" spans="1:21">
      <c r="A427" s="2" t="s">
        <v>451</v>
      </c>
      <c r="B427" t="b">
        <v>1</v>
      </c>
      <c r="C427" t="b">
        <v>0</v>
      </c>
      <c r="D427" s="2" t="b">
        <v>0</v>
      </c>
      <c r="E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7">
        <v>-3</v>
      </c>
      <c r="G427" t="s">
        <v>715</v>
      </c>
      <c r="S427"/>
      <c r="T427"/>
      <c r="U427"/>
    </row>
    <row r="428" spans="1:21">
      <c r="A428" s="2" t="s">
        <v>452</v>
      </c>
      <c r="B428" t="b">
        <v>1</v>
      </c>
      <c r="C428" t="b">
        <v>0</v>
      </c>
      <c r="D428" s="2" t="b">
        <v>0</v>
      </c>
      <c r="E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8">
        <v>0</v>
      </c>
      <c r="G428" t="s">
        <v>715</v>
      </c>
      <c r="S428"/>
      <c r="T428"/>
      <c r="U428"/>
    </row>
    <row r="429" spans="1:21">
      <c r="A429" s="2" t="s">
        <v>453</v>
      </c>
      <c r="B429" t="b">
        <v>1</v>
      </c>
      <c r="C429" t="b">
        <v>0</v>
      </c>
      <c r="D429" s="2" t="b">
        <v>0</v>
      </c>
      <c r="E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9">
        <v>0</v>
      </c>
      <c r="G429" t="s">
        <v>715</v>
      </c>
      <c r="S429"/>
      <c r="T429"/>
      <c r="U429"/>
    </row>
    <row r="430" spans="1:21">
      <c r="A430" s="2" t="s">
        <v>454</v>
      </c>
      <c r="B430" t="b">
        <v>1</v>
      </c>
      <c r="C430" t="b">
        <v>0</v>
      </c>
      <c r="D430" s="2" t="b">
        <v>0</v>
      </c>
      <c r="E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0">
        <v>0</v>
      </c>
      <c r="G430" t="s">
        <v>715</v>
      </c>
      <c r="S430"/>
      <c r="T430"/>
      <c r="U430"/>
    </row>
    <row r="431" spans="1:21">
      <c r="A431" s="2" t="s">
        <v>455</v>
      </c>
      <c r="B431" t="b">
        <v>1</v>
      </c>
      <c r="C431" t="b">
        <v>0</v>
      </c>
      <c r="D431" s="2" t="b">
        <v>0</v>
      </c>
      <c r="E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1">
        <v>0</v>
      </c>
      <c r="G431" t="s">
        <v>715</v>
      </c>
      <c r="S431"/>
      <c r="T431"/>
      <c r="U431"/>
    </row>
    <row r="432" spans="1:21">
      <c r="A432" s="2" t="s">
        <v>456</v>
      </c>
      <c r="B432" t="b">
        <v>1</v>
      </c>
      <c r="C432" t="b">
        <v>0</v>
      </c>
      <c r="D432" s="2" t="b">
        <v>0</v>
      </c>
      <c r="E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2">
        <v>0</v>
      </c>
      <c r="G432" t="s">
        <v>715</v>
      </c>
      <c r="S432"/>
      <c r="T432"/>
      <c r="U432"/>
    </row>
    <row r="433" spans="1:21">
      <c r="A433" s="2" t="s">
        <v>457</v>
      </c>
      <c r="B433" t="b">
        <v>1</v>
      </c>
      <c r="C433" t="b">
        <v>0</v>
      </c>
      <c r="D433" s="2" t="b">
        <v>0</v>
      </c>
      <c r="E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3">
        <v>0</v>
      </c>
      <c r="G433" t="s">
        <v>715</v>
      </c>
      <c r="S433"/>
      <c r="T433"/>
      <c r="U433"/>
    </row>
    <row r="434" spans="1:21">
      <c r="A434" s="2" t="s">
        <v>458</v>
      </c>
      <c r="B434" t="b">
        <v>1</v>
      </c>
      <c r="C434" t="b">
        <v>0</v>
      </c>
      <c r="D434" s="2" t="b">
        <v>0</v>
      </c>
      <c r="E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4">
        <v>0</v>
      </c>
      <c r="G434" t="s">
        <v>715</v>
      </c>
      <c r="S434"/>
      <c r="T434"/>
      <c r="U434"/>
    </row>
    <row r="435" spans="1:21">
      <c r="A435" s="2" t="s">
        <v>459</v>
      </c>
      <c r="B435" t="b">
        <v>1</v>
      </c>
      <c r="C435" t="b">
        <v>0</v>
      </c>
      <c r="D435" s="2" t="b">
        <v>0</v>
      </c>
      <c r="E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5">
        <v>0</v>
      </c>
      <c r="G435" t="s">
        <v>715</v>
      </c>
      <c r="S435"/>
      <c r="T435"/>
      <c r="U435"/>
    </row>
    <row r="436" spans="1:21">
      <c r="A436" s="2" t="s">
        <v>460</v>
      </c>
      <c r="B436" t="b">
        <v>1</v>
      </c>
      <c r="C436" t="b">
        <v>0</v>
      </c>
      <c r="D436" s="2" t="b">
        <v>0</v>
      </c>
      <c r="E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6">
        <v>0</v>
      </c>
      <c r="G436" t="s">
        <v>715</v>
      </c>
      <c r="S436"/>
      <c r="T436"/>
      <c r="U436"/>
    </row>
    <row r="437" spans="1:21">
      <c r="A437" s="2" t="s">
        <v>461</v>
      </c>
      <c r="B437" t="b">
        <v>1</v>
      </c>
      <c r="C437" t="b">
        <v>0</v>
      </c>
      <c r="D437" s="2" t="b">
        <v>0</v>
      </c>
      <c r="E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7">
        <v>-3</v>
      </c>
      <c r="G437" t="s">
        <v>715</v>
      </c>
      <c r="S437"/>
      <c r="T437"/>
      <c r="U437"/>
    </row>
    <row r="438" spans="1:21">
      <c r="A438" s="2" t="s">
        <v>462</v>
      </c>
      <c r="B438" t="b">
        <v>1</v>
      </c>
      <c r="C438" t="b">
        <v>0</v>
      </c>
      <c r="D438" s="2" t="b">
        <v>0</v>
      </c>
      <c r="E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8">
        <v>-3</v>
      </c>
      <c r="G438" t="s">
        <v>715</v>
      </c>
      <c r="S438"/>
      <c r="T438"/>
      <c r="U438"/>
    </row>
    <row r="439" spans="1:21">
      <c r="A439" s="2" t="s">
        <v>463</v>
      </c>
      <c r="B439" t="b">
        <v>1</v>
      </c>
      <c r="C439" t="b">
        <v>0</v>
      </c>
      <c r="D439" s="2" t="b">
        <v>0</v>
      </c>
      <c r="E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9">
        <v>0</v>
      </c>
      <c r="G439" t="s">
        <v>715</v>
      </c>
      <c r="S439"/>
      <c r="T439"/>
      <c r="U439"/>
    </row>
    <row r="440" spans="1:21">
      <c r="A440" s="2" t="s">
        <v>464</v>
      </c>
      <c r="B440" t="b">
        <v>1</v>
      </c>
      <c r="C440" t="b">
        <v>0</v>
      </c>
      <c r="D440" s="2" t="b">
        <v>0</v>
      </c>
      <c r="E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0">
        <v>-3</v>
      </c>
      <c r="G440" t="s">
        <v>715</v>
      </c>
      <c r="S440"/>
      <c r="T440"/>
      <c r="U440"/>
    </row>
    <row r="441" spans="1:21">
      <c r="A441" s="2" t="s">
        <v>465</v>
      </c>
      <c r="B441" t="b">
        <v>1</v>
      </c>
      <c r="C441" t="b">
        <v>0</v>
      </c>
      <c r="D441" s="2" t="b">
        <v>0</v>
      </c>
      <c r="E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1">
        <v>0</v>
      </c>
      <c r="G441" t="s">
        <v>715</v>
      </c>
      <c r="S441"/>
      <c r="T441"/>
      <c r="U441"/>
    </row>
    <row r="442" spans="1:21">
      <c r="A442" s="2" t="s">
        <v>466</v>
      </c>
      <c r="B442" t="b">
        <v>1</v>
      </c>
      <c r="C442" t="b">
        <v>0</v>
      </c>
      <c r="D442" s="2" t="b">
        <v>0</v>
      </c>
      <c r="E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2">
        <v>0</v>
      </c>
      <c r="G442" t="s">
        <v>715</v>
      </c>
      <c r="S442"/>
      <c r="T442"/>
      <c r="U442"/>
    </row>
    <row r="443" spans="1:21">
      <c r="A443" s="2" t="s">
        <v>467</v>
      </c>
      <c r="B443" t="b">
        <v>1</v>
      </c>
      <c r="C443" t="b">
        <v>0</v>
      </c>
      <c r="D443" s="2" t="b">
        <v>0</v>
      </c>
      <c r="E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3">
        <v>0</v>
      </c>
      <c r="G443" t="s">
        <v>715</v>
      </c>
      <c r="S443"/>
      <c r="T443"/>
      <c r="U443"/>
    </row>
    <row r="444" spans="1:21">
      <c r="A444" s="2" t="s">
        <v>468</v>
      </c>
      <c r="B444" t="b">
        <v>1</v>
      </c>
      <c r="C444" t="b">
        <v>0</v>
      </c>
      <c r="D444" s="2" t="b">
        <v>0</v>
      </c>
      <c r="E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4">
        <v>0</v>
      </c>
      <c r="G444" t="s">
        <v>715</v>
      </c>
      <c r="S444"/>
      <c r="T444"/>
      <c r="U444"/>
    </row>
    <row r="445" spans="1:21">
      <c r="A445" s="2" t="s">
        <v>469</v>
      </c>
      <c r="B445" t="b">
        <v>1</v>
      </c>
      <c r="C445" t="b">
        <v>0</v>
      </c>
      <c r="D445" s="2" t="b">
        <v>0</v>
      </c>
      <c r="E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5">
        <v>-3</v>
      </c>
      <c r="G445" t="s">
        <v>715</v>
      </c>
      <c r="S445"/>
      <c r="T445"/>
      <c r="U445"/>
    </row>
    <row r="446" spans="1:21">
      <c r="A446" s="2" t="s">
        <v>470</v>
      </c>
      <c r="B446" t="b">
        <v>1</v>
      </c>
      <c r="C446" t="b">
        <v>0</v>
      </c>
      <c r="D446" s="2" t="b">
        <v>0</v>
      </c>
      <c r="E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6">
        <v>-3</v>
      </c>
      <c r="G446" t="s">
        <v>715</v>
      </c>
      <c r="S446"/>
      <c r="T446"/>
      <c r="U446"/>
    </row>
    <row r="447" spans="1:21">
      <c r="A447" s="2" t="s">
        <v>471</v>
      </c>
      <c r="B447" t="b">
        <v>1</v>
      </c>
      <c r="C447" t="b">
        <v>0</v>
      </c>
      <c r="D447" s="2" t="b">
        <v>0</v>
      </c>
      <c r="E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7">
        <v>0</v>
      </c>
      <c r="G447" t="s">
        <v>715</v>
      </c>
      <c r="S447"/>
      <c r="T447"/>
      <c r="U447"/>
    </row>
    <row r="448" spans="1:21">
      <c r="A448" s="2" t="s">
        <v>472</v>
      </c>
      <c r="B448" t="b">
        <v>1</v>
      </c>
      <c r="C448" t="b">
        <v>0</v>
      </c>
      <c r="D448" s="2" t="b">
        <v>0</v>
      </c>
      <c r="E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8">
        <v>0</v>
      </c>
      <c r="G448" t="s">
        <v>715</v>
      </c>
      <c r="S448"/>
      <c r="T448"/>
      <c r="U448"/>
    </row>
    <row r="449" spans="1:21">
      <c r="A449" s="2" t="s">
        <v>473</v>
      </c>
      <c r="B449" t="b">
        <v>1</v>
      </c>
      <c r="C449" t="b">
        <v>0</v>
      </c>
      <c r="D449" s="2" t="b">
        <v>0</v>
      </c>
      <c r="E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9">
        <v>-3</v>
      </c>
      <c r="G449" t="s">
        <v>715</v>
      </c>
      <c r="S449"/>
      <c r="T449"/>
      <c r="U449"/>
    </row>
    <row r="450" spans="1:21">
      <c r="A450" s="2" t="s">
        <v>474</v>
      </c>
      <c r="B450" t="b">
        <v>1</v>
      </c>
      <c r="C450" t="b">
        <v>0</v>
      </c>
      <c r="D450" s="2" t="b">
        <v>0</v>
      </c>
      <c r="E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0">
        <v>0</v>
      </c>
      <c r="G450" t="s">
        <v>715</v>
      </c>
      <c r="S450"/>
      <c r="T450"/>
      <c r="U450"/>
    </row>
    <row r="451" spans="1:21">
      <c r="A451" s="2" t="s">
        <v>475</v>
      </c>
      <c r="B451" t="b">
        <v>1</v>
      </c>
      <c r="C451" t="b">
        <v>0</v>
      </c>
      <c r="D451" s="2" t="b">
        <v>0</v>
      </c>
      <c r="E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1">
        <v>-3</v>
      </c>
      <c r="G451" t="s">
        <v>715</v>
      </c>
      <c r="S451"/>
      <c r="T451"/>
      <c r="U451"/>
    </row>
    <row r="452" spans="1:21">
      <c r="A452" s="2" t="s">
        <v>476</v>
      </c>
      <c r="B452" t="b">
        <v>1</v>
      </c>
      <c r="C452" t="b">
        <v>0</v>
      </c>
      <c r="D452" s="2" t="b">
        <v>0</v>
      </c>
      <c r="E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2">
        <v>-3</v>
      </c>
      <c r="G452" t="s">
        <v>715</v>
      </c>
      <c r="S452"/>
      <c r="T452"/>
      <c r="U452"/>
    </row>
    <row r="453" spans="1:21">
      <c r="A453" s="2" t="s">
        <v>477</v>
      </c>
      <c r="B453" t="b">
        <v>1</v>
      </c>
      <c r="C453" t="b">
        <v>1</v>
      </c>
      <c r="D453" s="2" t="b">
        <v>0</v>
      </c>
      <c r="E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3">
        <v>0</v>
      </c>
      <c r="G453" t="s">
        <v>715</v>
      </c>
      <c r="S453"/>
      <c r="T453"/>
      <c r="U453"/>
    </row>
    <row r="454" spans="1:21">
      <c r="A454" s="2" t="s">
        <v>479</v>
      </c>
      <c r="B454" t="b">
        <v>1</v>
      </c>
      <c r="C454" t="b">
        <v>1</v>
      </c>
      <c r="D454" s="2" t="b">
        <v>0</v>
      </c>
      <c r="E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4">
        <v>0</v>
      </c>
      <c r="G454" t="s">
        <v>715</v>
      </c>
      <c r="S454"/>
      <c r="T454"/>
      <c r="U454"/>
    </row>
    <row r="455" spans="1:21">
      <c r="A455" s="2" t="s">
        <v>480</v>
      </c>
      <c r="B455" t="b">
        <v>1</v>
      </c>
      <c r="C455" t="b">
        <v>1</v>
      </c>
      <c r="D455" s="2" t="b">
        <v>0</v>
      </c>
      <c r="E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5">
        <v>0</v>
      </c>
      <c r="G455" t="s">
        <v>715</v>
      </c>
      <c r="S455"/>
      <c r="T455"/>
      <c r="U455"/>
    </row>
    <row r="456" spans="1:21">
      <c r="A456" s="2" t="s">
        <v>481</v>
      </c>
      <c r="B456" t="b">
        <v>1</v>
      </c>
      <c r="C456" t="b">
        <v>1</v>
      </c>
      <c r="D456" s="2" t="b">
        <v>0</v>
      </c>
      <c r="E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6">
        <v>0</v>
      </c>
      <c r="G456" t="s">
        <v>715</v>
      </c>
      <c r="S456"/>
      <c r="T456"/>
      <c r="U456"/>
    </row>
    <row r="457" spans="1:21">
      <c r="A457" s="2" t="s">
        <v>482</v>
      </c>
      <c r="B457" t="b">
        <v>1</v>
      </c>
      <c r="C457" t="b">
        <v>1</v>
      </c>
      <c r="D457" s="2" t="b">
        <v>0</v>
      </c>
      <c r="E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7">
        <v>0</v>
      </c>
      <c r="G457" t="s">
        <v>715</v>
      </c>
      <c r="S457"/>
      <c r="T457"/>
      <c r="U457"/>
    </row>
    <row r="458" spans="1:21">
      <c r="A458" s="2" t="s">
        <v>483</v>
      </c>
      <c r="B458" t="b">
        <v>1</v>
      </c>
      <c r="C458" t="b">
        <v>1</v>
      </c>
      <c r="D458" s="2" t="b">
        <v>0</v>
      </c>
      <c r="E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8">
        <v>0</v>
      </c>
      <c r="G458" t="s">
        <v>715</v>
      </c>
      <c r="S458"/>
      <c r="T458"/>
      <c r="U458"/>
    </row>
    <row r="459" spans="1:21">
      <c r="A459" s="2" t="s">
        <v>484</v>
      </c>
      <c r="B459" t="b">
        <v>1</v>
      </c>
      <c r="C459" t="b">
        <v>1</v>
      </c>
      <c r="D459" s="2" t="b">
        <v>0</v>
      </c>
      <c r="E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9">
        <v>0</v>
      </c>
      <c r="G459" t="s">
        <v>715</v>
      </c>
      <c r="S459"/>
      <c r="T459"/>
      <c r="U459"/>
    </row>
    <row r="460" spans="1:21">
      <c r="A460" s="2" t="s">
        <v>485</v>
      </c>
      <c r="B460" t="b">
        <v>1</v>
      </c>
      <c r="C460" t="b">
        <v>1</v>
      </c>
      <c r="D460" s="2" t="b">
        <v>0</v>
      </c>
      <c r="E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0">
        <v>0</v>
      </c>
      <c r="G460" t="s">
        <v>715</v>
      </c>
      <c r="S460"/>
      <c r="T460"/>
      <c r="U460"/>
    </row>
    <row r="461" spans="1:21">
      <c r="A461" s="2" t="s">
        <v>486</v>
      </c>
      <c r="B461" t="b">
        <v>1</v>
      </c>
      <c r="C461" t="b">
        <v>1</v>
      </c>
      <c r="D461" s="2" t="b">
        <v>0</v>
      </c>
      <c r="E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1">
        <v>0</v>
      </c>
      <c r="G461" t="s">
        <v>715</v>
      </c>
      <c r="S461"/>
      <c r="T461"/>
      <c r="U461"/>
    </row>
    <row r="462" spans="1:21">
      <c r="A462" s="2" t="s">
        <v>487</v>
      </c>
      <c r="B462" t="b">
        <v>1</v>
      </c>
      <c r="C462" t="b">
        <v>1</v>
      </c>
      <c r="D462" s="2" t="b">
        <v>0</v>
      </c>
      <c r="E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2">
        <v>0</v>
      </c>
      <c r="G462" t="s">
        <v>715</v>
      </c>
      <c r="S462"/>
      <c r="T462"/>
      <c r="U462"/>
    </row>
    <row r="463" spans="1:21">
      <c r="A463" s="2" t="s">
        <v>488</v>
      </c>
      <c r="B463" t="b">
        <v>1</v>
      </c>
      <c r="C463" t="b">
        <v>1</v>
      </c>
      <c r="D463" s="2" t="b">
        <v>0</v>
      </c>
      <c r="E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3">
        <v>0</v>
      </c>
      <c r="G463" t="s">
        <v>715</v>
      </c>
      <c r="S463"/>
      <c r="T463"/>
      <c r="U463"/>
    </row>
    <row r="464" spans="1:21">
      <c r="A464" s="2" t="s">
        <v>489</v>
      </c>
      <c r="B464" t="b">
        <v>1</v>
      </c>
      <c r="C464" t="b">
        <v>1</v>
      </c>
      <c r="D464" s="2" t="b">
        <v>0</v>
      </c>
      <c r="E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4">
        <v>0</v>
      </c>
      <c r="G464" t="s">
        <v>715</v>
      </c>
      <c r="S464"/>
      <c r="T464"/>
      <c r="U464"/>
    </row>
    <row r="465" spans="1:21">
      <c r="A465" s="2" t="s">
        <v>490</v>
      </c>
      <c r="B465" t="b">
        <v>1</v>
      </c>
      <c r="C465" t="b">
        <v>1</v>
      </c>
      <c r="D465" s="2" t="b">
        <v>0</v>
      </c>
      <c r="E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5">
        <v>0</v>
      </c>
      <c r="G465" t="s">
        <v>715</v>
      </c>
      <c r="S465"/>
      <c r="T465"/>
      <c r="U465"/>
    </row>
    <row r="466" spans="1:21">
      <c r="A466" s="2" t="s">
        <v>491</v>
      </c>
      <c r="B466" t="b">
        <v>1</v>
      </c>
      <c r="C466" t="b">
        <v>1</v>
      </c>
      <c r="D466" s="2" t="b">
        <v>0</v>
      </c>
      <c r="E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6">
        <v>0</v>
      </c>
      <c r="G466" t="s">
        <v>715</v>
      </c>
      <c r="S466"/>
      <c r="T466"/>
      <c r="U466"/>
    </row>
    <row r="467" spans="1:21">
      <c r="A467" s="2" t="s">
        <v>492</v>
      </c>
      <c r="B467" t="b">
        <v>1</v>
      </c>
      <c r="C467" t="b">
        <v>1</v>
      </c>
      <c r="D467" s="2" t="b">
        <v>0</v>
      </c>
      <c r="E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7">
        <v>0</v>
      </c>
      <c r="G467" t="s">
        <v>715</v>
      </c>
      <c r="S467"/>
      <c r="T467"/>
      <c r="U467"/>
    </row>
    <row r="468" spans="1:21">
      <c r="A468" s="2" t="s">
        <v>493</v>
      </c>
      <c r="B468" t="b">
        <v>1</v>
      </c>
      <c r="C468" t="b">
        <v>1</v>
      </c>
      <c r="D468" s="2" t="b">
        <v>0</v>
      </c>
      <c r="E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8">
        <v>0</v>
      </c>
      <c r="G468" t="s">
        <v>715</v>
      </c>
      <c r="S468"/>
      <c r="T468"/>
      <c r="U468"/>
    </row>
    <row r="469" spans="1:21">
      <c r="A469" s="2" t="s">
        <v>494</v>
      </c>
      <c r="B469" t="b">
        <v>1</v>
      </c>
      <c r="C469" t="b">
        <v>1</v>
      </c>
      <c r="D469" s="2" t="b">
        <v>0</v>
      </c>
      <c r="E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9">
        <v>0</v>
      </c>
      <c r="G469" t="s">
        <v>715</v>
      </c>
      <c r="S469"/>
      <c r="T469"/>
      <c r="U469"/>
    </row>
    <row r="470" spans="1:21">
      <c r="A470" s="2" t="s">
        <v>495</v>
      </c>
      <c r="B470" t="b">
        <v>1</v>
      </c>
      <c r="C470" t="b">
        <v>1</v>
      </c>
      <c r="D470" s="2" t="b">
        <v>0</v>
      </c>
      <c r="E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0">
        <v>0</v>
      </c>
      <c r="G470" t="s">
        <v>715</v>
      </c>
      <c r="S470"/>
      <c r="T470"/>
      <c r="U470"/>
    </row>
    <row r="471" spans="1:21">
      <c r="A471" s="2" t="s">
        <v>496</v>
      </c>
      <c r="B471" t="b">
        <v>1</v>
      </c>
      <c r="C471" t="b">
        <v>1</v>
      </c>
      <c r="D471" s="2" t="b">
        <v>0</v>
      </c>
      <c r="E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1">
        <v>0</v>
      </c>
      <c r="G471" t="s">
        <v>715</v>
      </c>
      <c r="S471"/>
      <c r="T471"/>
      <c r="U471"/>
    </row>
    <row r="472" spans="1:21">
      <c r="A472" s="2" t="s">
        <v>497</v>
      </c>
      <c r="B472" t="b">
        <v>1</v>
      </c>
      <c r="C472" t="b">
        <v>1</v>
      </c>
      <c r="D472" s="2" t="b">
        <v>0</v>
      </c>
      <c r="E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2">
        <v>0</v>
      </c>
      <c r="G472" t="s">
        <v>715</v>
      </c>
      <c r="S472"/>
      <c r="T472"/>
      <c r="U472"/>
    </row>
    <row r="473" spans="1:21">
      <c r="A473" s="2" t="s">
        <v>498</v>
      </c>
      <c r="B473" t="b">
        <v>1</v>
      </c>
      <c r="C473" t="b">
        <v>1</v>
      </c>
      <c r="D473" s="2" t="b">
        <v>0</v>
      </c>
      <c r="E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3">
        <v>0</v>
      </c>
      <c r="G473" t="s">
        <v>715</v>
      </c>
      <c r="S473"/>
      <c r="T473"/>
      <c r="U473"/>
    </row>
    <row r="474" spans="1:21">
      <c r="A474" s="2" t="s">
        <v>499</v>
      </c>
      <c r="B474" t="b">
        <v>1</v>
      </c>
      <c r="C474" t="b">
        <v>1</v>
      </c>
      <c r="D474" s="2" t="b">
        <v>0</v>
      </c>
      <c r="E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4">
        <v>0</v>
      </c>
      <c r="G474" t="s">
        <v>715</v>
      </c>
      <c r="S474"/>
      <c r="T474"/>
      <c r="U474"/>
    </row>
    <row r="475" spans="1:21">
      <c r="A475" s="2" t="s">
        <v>500</v>
      </c>
      <c r="B475" t="b">
        <v>1</v>
      </c>
      <c r="C475" t="b">
        <v>1</v>
      </c>
      <c r="D475" s="2" t="b">
        <v>0</v>
      </c>
      <c r="E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5">
        <v>0</v>
      </c>
      <c r="G475" t="s">
        <v>715</v>
      </c>
      <c r="S475"/>
      <c r="T475"/>
      <c r="U475"/>
    </row>
    <row r="476" spans="1:21">
      <c r="A476" s="2" t="s">
        <v>501</v>
      </c>
      <c r="B476" t="b">
        <v>1</v>
      </c>
      <c r="C476" t="b">
        <v>1</v>
      </c>
      <c r="D476" s="2" t="b">
        <v>0</v>
      </c>
      <c r="E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6">
        <v>0</v>
      </c>
      <c r="G476" t="s">
        <v>715</v>
      </c>
      <c r="S476"/>
      <c r="T476"/>
      <c r="U476"/>
    </row>
    <row r="477" spans="1:21">
      <c r="A477" s="2" t="s">
        <v>502</v>
      </c>
      <c r="B477" t="b">
        <v>1</v>
      </c>
      <c r="C477" t="b">
        <v>1</v>
      </c>
      <c r="D477" s="2" t="b">
        <v>0</v>
      </c>
      <c r="E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7">
        <v>0</v>
      </c>
      <c r="G477" t="s">
        <v>715</v>
      </c>
      <c r="S477"/>
      <c r="T477"/>
      <c r="U477"/>
    </row>
    <row r="478" spans="1:21">
      <c r="A478" s="2" t="s">
        <v>503</v>
      </c>
      <c r="B478" t="b">
        <v>1</v>
      </c>
      <c r="C478" t="b">
        <v>1</v>
      </c>
      <c r="D478" s="2" t="b">
        <v>0</v>
      </c>
      <c r="E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8">
        <v>0</v>
      </c>
      <c r="G478" t="s">
        <v>715</v>
      </c>
      <c r="S478"/>
      <c r="T478"/>
      <c r="U478"/>
    </row>
    <row r="479" spans="1:21">
      <c r="A479" s="2" t="s">
        <v>504</v>
      </c>
      <c r="B479" t="b">
        <v>1</v>
      </c>
      <c r="C479" t="b">
        <v>1</v>
      </c>
      <c r="D479" s="2" t="b">
        <v>0</v>
      </c>
      <c r="E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9">
        <v>0</v>
      </c>
      <c r="G479" t="s">
        <v>715</v>
      </c>
      <c r="S479"/>
      <c r="T479"/>
      <c r="U479"/>
    </row>
    <row r="480" spans="1:21">
      <c r="A480" s="2" t="s">
        <v>505</v>
      </c>
      <c r="B480" t="b">
        <v>1</v>
      </c>
      <c r="C480" t="b">
        <v>1</v>
      </c>
      <c r="D480" s="2" t="b">
        <v>0</v>
      </c>
      <c r="E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0">
        <v>0</v>
      </c>
      <c r="G480" t="s">
        <v>715</v>
      </c>
      <c r="S480"/>
      <c r="T480"/>
      <c r="U480"/>
    </row>
    <row r="481" spans="1:21">
      <c r="A481" s="2" t="s">
        <v>506</v>
      </c>
      <c r="B481" t="b">
        <v>1</v>
      </c>
      <c r="C481" t="b">
        <v>1</v>
      </c>
      <c r="D481" s="2" t="b">
        <v>0</v>
      </c>
      <c r="E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1">
        <v>0</v>
      </c>
      <c r="G481" t="s">
        <v>715</v>
      </c>
      <c r="S481"/>
      <c r="T481"/>
      <c r="U481"/>
    </row>
    <row r="482" spans="1:21">
      <c r="A482" s="2" t="s">
        <v>507</v>
      </c>
      <c r="B482" t="b">
        <v>1</v>
      </c>
      <c r="C482" t="b">
        <v>1</v>
      </c>
      <c r="D482" s="2" t="b">
        <v>0</v>
      </c>
      <c r="E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2">
        <v>0</v>
      </c>
      <c r="G482" t="s">
        <v>715</v>
      </c>
      <c r="S482"/>
      <c r="T482"/>
      <c r="U482"/>
    </row>
    <row r="483" spans="1:21">
      <c r="A483" s="2" t="s">
        <v>508</v>
      </c>
      <c r="B483" t="b">
        <v>1</v>
      </c>
      <c r="C483" t="b">
        <v>1</v>
      </c>
      <c r="D483" s="2" t="b">
        <v>0</v>
      </c>
      <c r="E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3">
        <v>0</v>
      </c>
      <c r="G483" t="s">
        <v>715</v>
      </c>
      <c r="S483"/>
      <c r="T483"/>
      <c r="U483"/>
    </row>
    <row r="484" spans="1:21">
      <c r="A484" s="2" t="s">
        <v>509</v>
      </c>
      <c r="B484" t="b">
        <v>1</v>
      </c>
      <c r="C484" t="b">
        <v>1</v>
      </c>
      <c r="D484" s="2" t="b">
        <v>0</v>
      </c>
      <c r="E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4">
        <v>0</v>
      </c>
      <c r="G484" t="s">
        <v>715</v>
      </c>
      <c r="S484"/>
      <c r="T484"/>
      <c r="U484"/>
    </row>
    <row r="485" spans="1:21">
      <c r="A485" s="2" t="s">
        <v>510</v>
      </c>
      <c r="B485" t="b">
        <v>1</v>
      </c>
      <c r="C485" t="b">
        <v>1</v>
      </c>
      <c r="D485" s="2" t="b">
        <v>0</v>
      </c>
      <c r="E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5">
        <v>0</v>
      </c>
      <c r="G485" t="s">
        <v>715</v>
      </c>
      <c r="S485"/>
      <c r="T485"/>
      <c r="U485"/>
    </row>
    <row r="486" spans="1:21">
      <c r="A486" s="2" t="s">
        <v>511</v>
      </c>
      <c r="B486" t="b">
        <v>1</v>
      </c>
      <c r="C486" t="b">
        <v>1</v>
      </c>
      <c r="D486" s="2" t="b">
        <v>0</v>
      </c>
      <c r="E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6">
        <v>0</v>
      </c>
      <c r="G486" t="s">
        <v>715</v>
      </c>
      <c r="S486"/>
      <c r="T486"/>
      <c r="U486"/>
    </row>
    <row r="487" spans="1:21">
      <c r="A487" s="2" t="s">
        <v>512</v>
      </c>
      <c r="B487" t="b">
        <v>1</v>
      </c>
      <c r="C487" t="b">
        <v>1</v>
      </c>
      <c r="D487" s="2" t="b">
        <v>0</v>
      </c>
      <c r="E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7">
        <v>0</v>
      </c>
      <c r="G487" t="s">
        <v>715</v>
      </c>
      <c r="S487"/>
      <c r="T487"/>
      <c r="U487"/>
    </row>
    <row r="488" spans="1:21">
      <c r="A488" s="2" t="s">
        <v>513</v>
      </c>
      <c r="B488" t="b">
        <v>1</v>
      </c>
      <c r="C488" t="b">
        <v>1</v>
      </c>
      <c r="D488" s="2" t="b">
        <v>0</v>
      </c>
      <c r="E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8">
        <v>0</v>
      </c>
      <c r="G488" t="s">
        <v>715</v>
      </c>
      <c r="S488"/>
      <c r="T488"/>
      <c r="U488"/>
    </row>
    <row r="489" spans="1:21">
      <c r="A489" s="2" t="s">
        <v>514</v>
      </c>
      <c r="B489" t="b">
        <v>1</v>
      </c>
      <c r="C489" t="b">
        <v>1</v>
      </c>
      <c r="D489" s="2" t="b">
        <v>0</v>
      </c>
      <c r="E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9">
        <v>0</v>
      </c>
      <c r="G489" t="s">
        <v>715</v>
      </c>
      <c r="S489"/>
      <c r="T489"/>
      <c r="U489"/>
    </row>
    <row r="490" spans="1:21">
      <c r="A490" s="2" t="s">
        <v>515</v>
      </c>
      <c r="B490" t="b">
        <v>1</v>
      </c>
      <c r="C490" t="b">
        <v>1</v>
      </c>
      <c r="D490" s="2" t="b">
        <v>0</v>
      </c>
      <c r="E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0">
        <v>0</v>
      </c>
      <c r="G490" t="s">
        <v>715</v>
      </c>
      <c r="S490"/>
      <c r="T490"/>
      <c r="U490"/>
    </row>
    <row r="491" spans="1:21">
      <c r="A491" s="2" t="s">
        <v>516</v>
      </c>
      <c r="B491" t="b">
        <v>1</v>
      </c>
      <c r="C491" t="b">
        <v>1</v>
      </c>
      <c r="D491" s="2" t="b">
        <v>0</v>
      </c>
      <c r="E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1">
        <v>0</v>
      </c>
      <c r="G491" t="s">
        <v>715</v>
      </c>
      <c r="S491"/>
      <c r="T491"/>
      <c r="U491"/>
    </row>
    <row r="492" spans="1:21">
      <c r="A492" s="2" t="s">
        <v>517</v>
      </c>
      <c r="B492" t="b">
        <v>1</v>
      </c>
      <c r="C492" t="b">
        <v>1</v>
      </c>
      <c r="D492" s="2" t="b">
        <v>0</v>
      </c>
      <c r="E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2">
        <v>0</v>
      </c>
      <c r="G492" t="s">
        <v>715</v>
      </c>
      <c r="S492"/>
      <c r="T492"/>
      <c r="U492"/>
    </row>
    <row r="493" spans="1:21">
      <c r="A493" s="2" t="s">
        <v>518</v>
      </c>
      <c r="B493" t="b">
        <v>1</v>
      </c>
      <c r="C493" t="b">
        <v>1</v>
      </c>
      <c r="D493" s="2" t="b">
        <v>0</v>
      </c>
      <c r="E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3">
        <v>0</v>
      </c>
      <c r="G493" t="s">
        <v>715</v>
      </c>
      <c r="S493"/>
      <c r="T493"/>
      <c r="U493"/>
    </row>
    <row r="494" spans="1:21">
      <c r="A494" s="2" t="s">
        <v>519</v>
      </c>
      <c r="B494" t="b">
        <v>1</v>
      </c>
      <c r="C494" t="b">
        <v>1</v>
      </c>
      <c r="D494" s="2" t="b">
        <v>0</v>
      </c>
      <c r="E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4">
        <v>0</v>
      </c>
      <c r="G494" t="s">
        <v>715</v>
      </c>
      <c r="S494"/>
      <c r="T494"/>
      <c r="U494"/>
    </row>
    <row r="495" spans="1:21">
      <c r="A495" s="2" t="s">
        <v>520</v>
      </c>
      <c r="B495" t="b">
        <v>1</v>
      </c>
      <c r="C495" t="b">
        <v>1</v>
      </c>
      <c r="D495" s="2" t="b">
        <v>0</v>
      </c>
      <c r="E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5">
        <v>0</v>
      </c>
      <c r="G495" t="s">
        <v>715</v>
      </c>
      <c r="S495"/>
      <c r="T495"/>
      <c r="U495"/>
    </row>
    <row r="496" spans="1:21">
      <c r="A496" s="2" t="s">
        <v>521</v>
      </c>
      <c r="B496" t="b">
        <v>1</v>
      </c>
      <c r="C496" t="b">
        <v>1</v>
      </c>
      <c r="D496" s="2" t="b">
        <v>0</v>
      </c>
      <c r="E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6">
        <v>0</v>
      </c>
      <c r="G496" t="s">
        <v>715</v>
      </c>
      <c r="S496"/>
      <c r="T496"/>
      <c r="U496"/>
    </row>
    <row r="497" spans="1:21">
      <c r="A497" s="2" t="s">
        <v>522</v>
      </c>
      <c r="B497" t="b">
        <v>1</v>
      </c>
      <c r="C497" t="b">
        <v>1</v>
      </c>
      <c r="D497" s="2" t="b">
        <v>0</v>
      </c>
      <c r="E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7">
        <v>0</v>
      </c>
      <c r="G497" t="s">
        <v>715</v>
      </c>
      <c r="S497"/>
      <c r="T497"/>
      <c r="U497"/>
    </row>
    <row r="498" spans="1:21">
      <c r="A498" s="2" t="s">
        <v>523</v>
      </c>
      <c r="B498" t="b">
        <v>1</v>
      </c>
      <c r="C498" t="b">
        <v>1</v>
      </c>
      <c r="D498" s="2" t="b">
        <v>0</v>
      </c>
      <c r="E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8">
        <v>0</v>
      </c>
      <c r="G498" t="s">
        <v>715</v>
      </c>
      <c r="S498"/>
      <c r="T498"/>
      <c r="U498"/>
    </row>
    <row r="499" spans="1:21">
      <c r="A499" s="2" t="s">
        <v>524</v>
      </c>
      <c r="B499" t="b">
        <v>1</v>
      </c>
      <c r="C499" t="b">
        <v>1</v>
      </c>
      <c r="D499" s="2" t="b">
        <v>0</v>
      </c>
      <c r="E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9">
        <v>0</v>
      </c>
      <c r="G499" t="s">
        <v>715</v>
      </c>
      <c r="S499"/>
      <c r="T499"/>
      <c r="U499"/>
    </row>
    <row r="500" spans="1:21">
      <c r="A500" s="2" t="s">
        <v>525</v>
      </c>
      <c r="B500" t="b">
        <v>1</v>
      </c>
      <c r="C500" t="b">
        <v>1</v>
      </c>
      <c r="D500" s="2" t="b">
        <v>0</v>
      </c>
      <c r="E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0">
        <v>0</v>
      </c>
      <c r="G500" t="s">
        <v>715</v>
      </c>
      <c r="S500"/>
      <c r="T500"/>
      <c r="U500"/>
    </row>
    <row r="501" spans="1:21">
      <c r="A501" s="2" t="s">
        <v>526</v>
      </c>
      <c r="B501" t="b">
        <v>1</v>
      </c>
      <c r="C501" t="b">
        <v>1</v>
      </c>
      <c r="D501" s="2" t="b">
        <v>0</v>
      </c>
      <c r="E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1">
        <v>0</v>
      </c>
      <c r="G501" t="s">
        <v>715</v>
      </c>
      <c r="S501"/>
      <c r="T501"/>
      <c r="U501"/>
    </row>
    <row r="502" spans="1:21">
      <c r="A502" s="2" t="s">
        <v>527</v>
      </c>
      <c r="B502" t="b">
        <v>1</v>
      </c>
      <c r="C502" t="b">
        <v>1</v>
      </c>
      <c r="D502" s="2" t="b">
        <v>0</v>
      </c>
      <c r="E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2">
        <v>0</v>
      </c>
      <c r="G502" t="s">
        <v>715</v>
      </c>
      <c r="S502"/>
      <c r="T502"/>
      <c r="U502"/>
    </row>
    <row r="503" spans="1:21">
      <c r="A503" s="2" t="s">
        <v>528</v>
      </c>
      <c r="B503" t="b">
        <v>1</v>
      </c>
      <c r="C503" t="b">
        <v>1</v>
      </c>
      <c r="D503" s="2" t="b">
        <v>0</v>
      </c>
      <c r="E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3">
        <v>0</v>
      </c>
      <c r="G503" t="s">
        <v>715</v>
      </c>
      <c r="S503"/>
      <c r="T503"/>
      <c r="U503"/>
    </row>
    <row r="504" spans="1:21">
      <c r="A504" s="2" t="s">
        <v>529</v>
      </c>
      <c r="B504" t="b">
        <v>1</v>
      </c>
      <c r="C504" t="b">
        <v>1</v>
      </c>
      <c r="D504" s="2" t="b">
        <v>0</v>
      </c>
      <c r="E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4">
        <v>0</v>
      </c>
      <c r="G504" t="s">
        <v>715</v>
      </c>
      <c r="S504"/>
      <c r="T504"/>
      <c r="U504"/>
    </row>
    <row r="505" spans="1:21">
      <c r="A505" s="2" t="s">
        <v>530</v>
      </c>
      <c r="B505" t="b">
        <v>1</v>
      </c>
      <c r="C505" t="b">
        <v>1</v>
      </c>
      <c r="D505" s="2" t="b">
        <v>0</v>
      </c>
      <c r="E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5">
        <v>0</v>
      </c>
      <c r="G505" t="s">
        <v>715</v>
      </c>
      <c r="S505"/>
      <c r="T505"/>
      <c r="U505"/>
    </row>
    <row r="506" spans="1:21">
      <c r="A506" s="2" t="s">
        <v>532</v>
      </c>
      <c r="B506" t="b">
        <v>1</v>
      </c>
      <c r="C506" t="b">
        <v>1</v>
      </c>
      <c r="D506" s="2" t="b">
        <v>0</v>
      </c>
      <c r="E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6">
        <v>0</v>
      </c>
      <c r="G506" t="s">
        <v>715</v>
      </c>
      <c r="S506"/>
      <c r="T506"/>
      <c r="U506"/>
    </row>
    <row r="507" spans="1:21">
      <c r="A507" s="2" t="s">
        <v>533</v>
      </c>
      <c r="B507" t="b">
        <v>1</v>
      </c>
      <c r="C507" t="b">
        <v>1</v>
      </c>
      <c r="D507" s="2" t="b">
        <v>0</v>
      </c>
      <c r="E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7">
        <v>0</v>
      </c>
      <c r="G507" t="s">
        <v>715</v>
      </c>
      <c r="S507"/>
      <c r="T507"/>
      <c r="U507"/>
    </row>
    <row r="508" spans="1:21">
      <c r="A508" s="2" t="s">
        <v>534</v>
      </c>
      <c r="B508" t="b">
        <v>1</v>
      </c>
      <c r="C508" t="b">
        <v>1</v>
      </c>
      <c r="D508" s="2" t="b">
        <v>0</v>
      </c>
      <c r="E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8">
        <v>0</v>
      </c>
      <c r="G508" t="s">
        <v>715</v>
      </c>
      <c r="S508"/>
      <c r="T508"/>
      <c r="U508"/>
    </row>
    <row r="509" spans="1:21">
      <c r="A509" s="2" t="s">
        <v>535</v>
      </c>
      <c r="B509" t="b">
        <v>1</v>
      </c>
      <c r="C509" t="b">
        <v>1</v>
      </c>
      <c r="D509" s="2" t="b">
        <v>0</v>
      </c>
      <c r="E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9">
        <v>0</v>
      </c>
      <c r="G509" t="s">
        <v>715</v>
      </c>
      <c r="S509"/>
      <c r="T509"/>
      <c r="U509"/>
    </row>
    <row r="510" spans="1:21">
      <c r="A510" s="2" t="s">
        <v>536</v>
      </c>
      <c r="B510" t="b">
        <v>1</v>
      </c>
      <c r="C510" t="b">
        <v>1</v>
      </c>
      <c r="D510" s="2" t="b">
        <v>0</v>
      </c>
      <c r="E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0">
        <v>0</v>
      </c>
      <c r="G510" t="s">
        <v>715</v>
      </c>
      <c r="S510"/>
      <c r="T510"/>
      <c r="U510"/>
    </row>
    <row r="511" spans="1:21">
      <c r="A511" s="2" t="s">
        <v>537</v>
      </c>
      <c r="B511" t="b">
        <v>1</v>
      </c>
      <c r="C511" t="b">
        <v>1</v>
      </c>
      <c r="D511" s="2" t="b">
        <v>0</v>
      </c>
      <c r="E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1">
        <v>0</v>
      </c>
      <c r="G511" t="s">
        <v>715</v>
      </c>
      <c r="S511"/>
      <c r="T511"/>
      <c r="U511"/>
    </row>
    <row r="512" spans="1:21">
      <c r="A512" s="2" t="s">
        <v>538</v>
      </c>
      <c r="B512" t="b">
        <v>1</v>
      </c>
      <c r="C512" t="b">
        <v>1</v>
      </c>
      <c r="D512" s="2" t="b">
        <v>0</v>
      </c>
      <c r="E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2">
        <v>0</v>
      </c>
      <c r="G512" t="s">
        <v>715</v>
      </c>
      <c r="S512"/>
      <c r="T512"/>
      <c r="U512"/>
    </row>
    <row r="513" spans="1:21">
      <c r="A513" s="2" t="s">
        <v>539</v>
      </c>
      <c r="B513" t="b">
        <v>1</v>
      </c>
      <c r="C513" t="b">
        <v>1</v>
      </c>
      <c r="D513" s="2" t="b">
        <v>0</v>
      </c>
      <c r="E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3">
        <v>0</v>
      </c>
      <c r="G513" t="s">
        <v>715</v>
      </c>
      <c r="S513"/>
      <c r="T513"/>
      <c r="U513"/>
    </row>
    <row r="514" spans="1:21">
      <c r="A514" s="2" t="s">
        <v>540</v>
      </c>
      <c r="B514" t="b">
        <v>1</v>
      </c>
      <c r="C514" t="b">
        <v>1</v>
      </c>
      <c r="D514" s="2" t="b">
        <v>0</v>
      </c>
      <c r="E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4">
        <v>0</v>
      </c>
      <c r="G514" t="s">
        <v>715</v>
      </c>
      <c r="S514"/>
      <c r="T514"/>
      <c r="U514"/>
    </row>
    <row r="515" spans="1:21">
      <c r="A515" s="2" t="s">
        <v>541</v>
      </c>
      <c r="B515" t="b">
        <v>1</v>
      </c>
      <c r="C515" t="b">
        <v>1</v>
      </c>
      <c r="D515" s="2" t="b">
        <v>0</v>
      </c>
      <c r="E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5">
        <v>0</v>
      </c>
      <c r="G515" t="s">
        <v>715</v>
      </c>
      <c r="S515"/>
      <c r="T515"/>
      <c r="U515"/>
    </row>
    <row r="516" spans="1:21">
      <c r="A516" s="2" t="s">
        <v>542</v>
      </c>
      <c r="B516" t="b">
        <v>1</v>
      </c>
      <c r="C516" t="b">
        <v>1</v>
      </c>
      <c r="D516" s="2" t="b">
        <v>0</v>
      </c>
      <c r="E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6">
        <v>0</v>
      </c>
      <c r="G516" t="s">
        <v>715</v>
      </c>
      <c r="S516"/>
      <c r="T516"/>
      <c r="U516"/>
    </row>
    <row r="517" spans="1:21">
      <c r="A517" s="2" t="s">
        <v>543</v>
      </c>
      <c r="B517" t="b">
        <v>1</v>
      </c>
      <c r="C517" t="b">
        <v>1</v>
      </c>
      <c r="D517" s="2" t="b">
        <v>0</v>
      </c>
      <c r="E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7">
        <v>0</v>
      </c>
      <c r="G517" t="s">
        <v>715</v>
      </c>
      <c r="S517"/>
      <c r="T517"/>
      <c r="U517"/>
    </row>
    <row r="518" spans="1:21">
      <c r="A518" s="2" t="s">
        <v>544</v>
      </c>
      <c r="B518" t="b">
        <v>1</v>
      </c>
      <c r="C518" t="b">
        <v>1</v>
      </c>
      <c r="D518" s="2" t="b">
        <v>0</v>
      </c>
      <c r="E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8">
        <v>0</v>
      </c>
      <c r="G518" t="s">
        <v>715</v>
      </c>
      <c r="S518"/>
      <c r="T518"/>
      <c r="U518"/>
    </row>
    <row r="519" spans="1:21">
      <c r="A519" s="2" t="s">
        <v>545</v>
      </c>
      <c r="B519" t="b">
        <v>1</v>
      </c>
      <c r="C519" t="b">
        <v>1</v>
      </c>
      <c r="D519" s="2" t="b">
        <v>0</v>
      </c>
      <c r="E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9">
        <v>0</v>
      </c>
      <c r="G519" t="s">
        <v>715</v>
      </c>
      <c r="S519"/>
      <c r="T519"/>
      <c r="U519"/>
    </row>
    <row r="520" spans="1:21">
      <c r="A520" s="2" t="s">
        <v>546</v>
      </c>
      <c r="B520" t="b">
        <v>1</v>
      </c>
      <c r="C520" t="b">
        <v>1</v>
      </c>
      <c r="D520" s="2" t="b">
        <v>0</v>
      </c>
      <c r="E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0">
        <v>0</v>
      </c>
      <c r="G520" t="s">
        <v>715</v>
      </c>
      <c r="S520"/>
      <c r="T520"/>
      <c r="U520"/>
    </row>
    <row r="521" spans="1:21">
      <c r="A521" s="2" t="s">
        <v>547</v>
      </c>
      <c r="B521" t="b">
        <v>1</v>
      </c>
      <c r="C521" t="b">
        <v>1</v>
      </c>
      <c r="D521" s="2" t="b">
        <v>0</v>
      </c>
      <c r="E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1">
        <v>0</v>
      </c>
      <c r="G521" t="s">
        <v>715</v>
      </c>
      <c r="S521"/>
      <c r="T521"/>
      <c r="U521"/>
    </row>
    <row r="522" spans="1:21">
      <c r="A522" s="2" t="s">
        <v>548</v>
      </c>
      <c r="B522" t="b">
        <v>1</v>
      </c>
      <c r="C522" t="b">
        <v>1</v>
      </c>
      <c r="D522" s="2" t="b">
        <v>0</v>
      </c>
      <c r="E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2">
        <v>0</v>
      </c>
      <c r="G522" t="s">
        <v>715</v>
      </c>
      <c r="S522"/>
      <c r="T522"/>
      <c r="U522"/>
    </row>
    <row r="523" spans="1:21">
      <c r="A523" s="2" t="s">
        <v>549</v>
      </c>
      <c r="B523" t="b">
        <v>1</v>
      </c>
      <c r="C523" t="b">
        <v>1</v>
      </c>
      <c r="D523" s="2" t="b">
        <v>0</v>
      </c>
      <c r="E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3">
        <v>0</v>
      </c>
      <c r="G523" t="s">
        <v>715</v>
      </c>
      <c r="S523"/>
      <c r="T523"/>
      <c r="U523"/>
    </row>
    <row r="524" spans="1:21">
      <c r="A524" s="2" t="s">
        <v>550</v>
      </c>
      <c r="B524" t="b">
        <v>1</v>
      </c>
      <c r="C524" t="b">
        <v>1</v>
      </c>
      <c r="D524" s="2" t="b">
        <v>0</v>
      </c>
      <c r="E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4">
        <v>0</v>
      </c>
      <c r="G524" t="s">
        <v>715</v>
      </c>
      <c r="S524"/>
      <c r="T524"/>
      <c r="U524"/>
    </row>
    <row r="525" spans="1:21">
      <c r="A525" s="2" t="s">
        <v>551</v>
      </c>
      <c r="B525" t="b">
        <v>1</v>
      </c>
      <c r="C525" t="b">
        <v>1</v>
      </c>
      <c r="D525" s="2" t="b">
        <v>0</v>
      </c>
      <c r="E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5">
        <v>0</v>
      </c>
      <c r="G525" t="s">
        <v>715</v>
      </c>
      <c r="S525"/>
      <c r="T525"/>
      <c r="U525"/>
    </row>
    <row r="526" spans="1:21">
      <c r="A526" s="2" t="s">
        <v>552</v>
      </c>
      <c r="B526" t="b">
        <v>1</v>
      </c>
      <c r="C526" t="b">
        <v>1</v>
      </c>
      <c r="D526" s="2" t="b">
        <v>0</v>
      </c>
      <c r="E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6">
        <v>0</v>
      </c>
      <c r="G526" t="s">
        <v>715</v>
      </c>
      <c r="S526"/>
      <c r="T526"/>
      <c r="U526"/>
    </row>
    <row r="527" spans="1:21">
      <c r="A527" s="2" t="s">
        <v>553</v>
      </c>
      <c r="B527" t="b">
        <v>1</v>
      </c>
      <c r="C527" t="b">
        <v>1</v>
      </c>
      <c r="D527" s="2" t="b">
        <v>0</v>
      </c>
      <c r="E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7">
        <v>0</v>
      </c>
      <c r="G527" t="s">
        <v>715</v>
      </c>
      <c r="S527"/>
      <c r="T527"/>
      <c r="U527"/>
    </row>
    <row r="528" spans="1:21">
      <c r="A528" s="2" t="s">
        <v>554</v>
      </c>
      <c r="B528" t="b">
        <v>1</v>
      </c>
      <c r="C528" t="b">
        <v>1</v>
      </c>
      <c r="D528" s="2" t="b">
        <v>0</v>
      </c>
      <c r="E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8">
        <v>0</v>
      </c>
      <c r="G528" t="s">
        <v>715</v>
      </c>
      <c r="S528"/>
      <c r="T528"/>
      <c r="U528"/>
    </row>
    <row r="529" spans="1:21">
      <c r="A529" s="2" t="s">
        <v>555</v>
      </c>
      <c r="B529" t="b">
        <v>1</v>
      </c>
      <c r="C529" t="b">
        <v>1</v>
      </c>
      <c r="D529" s="2" t="b">
        <v>0</v>
      </c>
      <c r="E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9">
        <v>0</v>
      </c>
      <c r="G529" t="s">
        <v>715</v>
      </c>
      <c r="S529"/>
      <c r="T529"/>
      <c r="U529"/>
    </row>
    <row r="530" spans="1:21">
      <c r="A530" s="2" t="s">
        <v>556</v>
      </c>
      <c r="B530" t="b">
        <v>1</v>
      </c>
      <c r="C530" t="b">
        <v>1</v>
      </c>
      <c r="D530" s="2" t="b">
        <v>0</v>
      </c>
      <c r="E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0">
        <v>0</v>
      </c>
      <c r="G530" t="s">
        <v>715</v>
      </c>
      <c r="S530"/>
      <c r="T530"/>
      <c r="U530"/>
    </row>
    <row r="531" spans="1:21">
      <c r="A531" s="2" t="s">
        <v>557</v>
      </c>
      <c r="B531" t="b">
        <v>1</v>
      </c>
      <c r="C531" t="b">
        <v>1</v>
      </c>
      <c r="D531" s="2" t="b">
        <v>0</v>
      </c>
      <c r="E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1">
        <v>0</v>
      </c>
      <c r="G531" t="s">
        <v>715</v>
      </c>
      <c r="S531"/>
      <c r="T531"/>
      <c r="U531"/>
    </row>
    <row r="532" spans="1:21">
      <c r="A532" s="2" t="s">
        <v>558</v>
      </c>
      <c r="B532" t="b">
        <v>1</v>
      </c>
      <c r="C532" t="b">
        <v>1</v>
      </c>
      <c r="D532" s="2" t="b">
        <v>0</v>
      </c>
      <c r="E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2">
        <v>0</v>
      </c>
      <c r="G532" t="s">
        <v>715</v>
      </c>
      <c r="S532"/>
      <c r="T532"/>
      <c r="U532"/>
    </row>
    <row r="533" spans="1:21">
      <c r="A533" s="2" t="s">
        <v>559</v>
      </c>
      <c r="B533" t="b">
        <v>1</v>
      </c>
      <c r="C533" t="b">
        <v>1</v>
      </c>
      <c r="D533" s="2" t="b">
        <v>0</v>
      </c>
      <c r="E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3">
        <v>0</v>
      </c>
      <c r="G533" t="s">
        <v>715</v>
      </c>
      <c r="S533"/>
      <c r="T533"/>
      <c r="U533"/>
    </row>
    <row r="534" spans="1:21">
      <c r="A534" s="2" t="s">
        <v>560</v>
      </c>
      <c r="B534" t="b">
        <v>1</v>
      </c>
      <c r="C534" t="b">
        <v>1</v>
      </c>
      <c r="D534" s="2" t="b">
        <v>0</v>
      </c>
      <c r="E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4">
        <v>0</v>
      </c>
      <c r="G534" t="s">
        <v>715</v>
      </c>
      <c r="S534"/>
      <c r="T534"/>
      <c r="U534"/>
    </row>
    <row r="535" spans="1:21">
      <c r="A535" s="2" t="s">
        <v>561</v>
      </c>
      <c r="B535" t="b">
        <v>1</v>
      </c>
      <c r="C535" t="b">
        <v>1</v>
      </c>
      <c r="D535" s="2" t="b">
        <v>0</v>
      </c>
      <c r="E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5">
        <v>0</v>
      </c>
      <c r="G535" t="s">
        <v>715</v>
      </c>
      <c r="S535"/>
      <c r="T535"/>
      <c r="U535"/>
    </row>
    <row r="536" spans="1:21">
      <c r="A536" s="2" t="s">
        <v>562</v>
      </c>
      <c r="B536" t="b">
        <v>1</v>
      </c>
      <c r="C536" t="b">
        <v>1</v>
      </c>
      <c r="D536" s="2" t="b">
        <v>0</v>
      </c>
      <c r="E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6">
        <v>0</v>
      </c>
      <c r="G536" t="s">
        <v>715</v>
      </c>
      <c r="S536"/>
      <c r="T536"/>
      <c r="U536"/>
    </row>
    <row r="537" spans="1:21">
      <c r="A537" s="2" t="s">
        <v>563</v>
      </c>
      <c r="B537" t="b">
        <v>1</v>
      </c>
      <c r="C537" t="b">
        <v>1</v>
      </c>
      <c r="D537" s="2" t="b">
        <v>0</v>
      </c>
      <c r="E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7">
        <v>0</v>
      </c>
      <c r="G537" t="s">
        <v>715</v>
      </c>
      <c r="S537"/>
      <c r="T537"/>
      <c r="U537"/>
    </row>
    <row r="538" spans="1:21">
      <c r="A538" s="2" t="s">
        <v>564</v>
      </c>
      <c r="B538" t="b">
        <v>1</v>
      </c>
      <c r="C538" t="b">
        <v>1</v>
      </c>
      <c r="D538" s="2" t="b">
        <v>0</v>
      </c>
      <c r="E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8">
        <v>0</v>
      </c>
      <c r="G538" t="s">
        <v>715</v>
      </c>
      <c r="S538"/>
      <c r="T538"/>
      <c r="U538"/>
    </row>
    <row r="539" spans="1:21">
      <c r="A539" s="2" t="s">
        <v>565</v>
      </c>
      <c r="B539" t="b">
        <v>1</v>
      </c>
      <c r="C539" t="b">
        <v>1</v>
      </c>
      <c r="D539" s="2" t="b">
        <v>0</v>
      </c>
      <c r="E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9">
        <v>0</v>
      </c>
      <c r="G539" t="s">
        <v>715</v>
      </c>
      <c r="S539"/>
      <c r="T539"/>
      <c r="U539"/>
    </row>
    <row r="540" spans="1:21">
      <c r="A540" s="2" t="s">
        <v>566</v>
      </c>
      <c r="B540" t="b">
        <v>1</v>
      </c>
      <c r="C540" t="b">
        <v>1</v>
      </c>
      <c r="D540" s="2" t="b">
        <v>0</v>
      </c>
      <c r="E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0">
        <v>0</v>
      </c>
      <c r="G540" t="s">
        <v>715</v>
      </c>
      <c r="S540"/>
      <c r="T540"/>
      <c r="U540"/>
    </row>
    <row r="541" spans="1:21">
      <c r="A541" s="2" t="s">
        <v>567</v>
      </c>
      <c r="B541" t="b">
        <v>1</v>
      </c>
      <c r="C541" t="b">
        <v>1</v>
      </c>
      <c r="D541" s="2" t="b">
        <v>0</v>
      </c>
      <c r="E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1">
        <v>0</v>
      </c>
      <c r="G541" t="s">
        <v>715</v>
      </c>
      <c r="S541"/>
      <c r="T541"/>
      <c r="U541"/>
    </row>
    <row r="542" spans="1:21">
      <c r="A542" s="2" t="s">
        <v>568</v>
      </c>
      <c r="B542" t="b">
        <v>1</v>
      </c>
      <c r="C542" t="b">
        <v>1</v>
      </c>
      <c r="D542" s="2" t="b">
        <v>0</v>
      </c>
      <c r="E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2">
        <v>-3</v>
      </c>
      <c r="G542" t="s">
        <v>715</v>
      </c>
      <c r="S542"/>
      <c r="T542"/>
      <c r="U542"/>
    </row>
    <row r="543" spans="1:21">
      <c r="A543" s="2" t="s">
        <v>569</v>
      </c>
      <c r="B543" t="b">
        <v>1</v>
      </c>
      <c r="C543" t="b">
        <v>1</v>
      </c>
      <c r="D543" s="2" t="b">
        <v>0</v>
      </c>
      <c r="E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3">
        <v>0</v>
      </c>
      <c r="G543" t="s">
        <v>715</v>
      </c>
      <c r="S543"/>
      <c r="T543"/>
      <c r="U543"/>
    </row>
    <row r="544" spans="1:21">
      <c r="A544" s="2" t="s">
        <v>570</v>
      </c>
      <c r="B544" t="b">
        <v>1</v>
      </c>
      <c r="C544" t="b">
        <v>1</v>
      </c>
      <c r="D544" s="2" t="b">
        <v>0</v>
      </c>
      <c r="E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4">
        <v>0</v>
      </c>
      <c r="G544" t="s">
        <v>715</v>
      </c>
      <c r="S544"/>
      <c r="T544"/>
      <c r="U544"/>
    </row>
    <row r="545" spans="1:21">
      <c r="A545" s="2" t="s">
        <v>571</v>
      </c>
      <c r="B545" t="b">
        <v>1</v>
      </c>
      <c r="C545" t="b">
        <v>1</v>
      </c>
      <c r="D545" s="2" t="b">
        <v>0</v>
      </c>
      <c r="E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5">
        <v>0</v>
      </c>
      <c r="G545" t="s">
        <v>715</v>
      </c>
      <c r="S545"/>
      <c r="T545"/>
      <c r="U545"/>
    </row>
    <row r="546" spans="1:21">
      <c r="A546" s="2" t="s">
        <v>572</v>
      </c>
      <c r="B546" t="b">
        <v>1</v>
      </c>
      <c r="C546" t="b">
        <v>1</v>
      </c>
      <c r="D546" s="2" t="b">
        <v>0</v>
      </c>
      <c r="E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6">
        <v>0</v>
      </c>
      <c r="G546" t="s">
        <v>715</v>
      </c>
      <c r="S546"/>
      <c r="T546"/>
      <c r="U546"/>
    </row>
    <row r="547" spans="1:21">
      <c r="A547" s="2" t="s">
        <v>573</v>
      </c>
      <c r="B547" t="b">
        <v>1</v>
      </c>
      <c r="C547" t="b">
        <v>1</v>
      </c>
      <c r="D547" s="2" t="b">
        <v>0</v>
      </c>
      <c r="E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7">
        <v>0</v>
      </c>
      <c r="G547" t="s">
        <v>715</v>
      </c>
      <c r="S547"/>
      <c r="T547"/>
      <c r="U547"/>
    </row>
    <row r="548" spans="1:21">
      <c r="A548" s="2" t="s">
        <v>574</v>
      </c>
      <c r="B548" t="b">
        <v>1</v>
      </c>
      <c r="C548" t="b">
        <v>1</v>
      </c>
      <c r="D548" s="2" t="b">
        <v>0</v>
      </c>
      <c r="E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8">
        <v>0</v>
      </c>
      <c r="G548" t="s">
        <v>715</v>
      </c>
      <c r="S548"/>
      <c r="T548"/>
      <c r="U548"/>
    </row>
    <row r="549" spans="1:21">
      <c r="A549" s="2" t="s">
        <v>575</v>
      </c>
      <c r="B549" t="b">
        <v>1</v>
      </c>
      <c r="C549" t="b">
        <v>1</v>
      </c>
      <c r="D549" s="2" t="b">
        <v>0</v>
      </c>
      <c r="E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9">
        <v>0</v>
      </c>
      <c r="G549" t="s">
        <v>715</v>
      </c>
      <c r="S549"/>
      <c r="T549"/>
      <c r="U549"/>
    </row>
    <row r="550" spans="1:21">
      <c r="A550" s="2" t="s">
        <v>576</v>
      </c>
      <c r="B550" t="b">
        <v>1</v>
      </c>
      <c r="C550" t="b">
        <v>1</v>
      </c>
      <c r="D550" s="2" t="b">
        <v>0</v>
      </c>
      <c r="E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0">
        <v>0</v>
      </c>
      <c r="G550" t="s">
        <v>715</v>
      </c>
      <c r="S550"/>
      <c r="T550"/>
      <c r="U550"/>
    </row>
    <row r="551" spans="1:21">
      <c r="A551" s="2" t="s">
        <v>577</v>
      </c>
      <c r="B551" t="b">
        <v>1</v>
      </c>
      <c r="C551" t="b">
        <v>1</v>
      </c>
      <c r="D551" s="2" t="b">
        <v>0</v>
      </c>
      <c r="E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1">
        <v>0</v>
      </c>
      <c r="G551" t="s">
        <v>715</v>
      </c>
      <c r="S551"/>
      <c r="T551"/>
      <c r="U551"/>
    </row>
    <row r="552" spans="1:21">
      <c r="A552" s="2" t="s">
        <v>578</v>
      </c>
      <c r="B552" t="b">
        <v>1</v>
      </c>
      <c r="C552" t="b">
        <v>1</v>
      </c>
      <c r="D552" s="2" t="b">
        <v>0</v>
      </c>
      <c r="E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2">
        <v>0</v>
      </c>
      <c r="G552" t="s">
        <v>715</v>
      </c>
      <c r="S552"/>
      <c r="T552"/>
      <c r="U552"/>
    </row>
    <row r="553" spans="1:21">
      <c r="A553" s="2" t="s">
        <v>579</v>
      </c>
      <c r="B553" t="b">
        <v>1</v>
      </c>
      <c r="C553" t="b">
        <v>1</v>
      </c>
      <c r="D553" s="2" t="b">
        <v>0</v>
      </c>
      <c r="E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3">
        <v>0</v>
      </c>
      <c r="G553" t="s">
        <v>715</v>
      </c>
      <c r="S553"/>
      <c r="T553"/>
      <c r="U553"/>
    </row>
    <row r="554" spans="1:21">
      <c r="A554" s="2" t="s">
        <v>580</v>
      </c>
      <c r="B554" t="b">
        <v>1</v>
      </c>
      <c r="C554" t="b">
        <v>1</v>
      </c>
      <c r="D554" s="2" t="b">
        <v>0</v>
      </c>
      <c r="E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4">
        <v>0</v>
      </c>
      <c r="G554" t="s">
        <v>715</v>
      </c>
      <c r="S554"/>
      <c r="T554"/>
      <c r="U554"/>
    </row>
    <row r="555" spans="1:21">
      <c r="A555" s="2" t="s">
        <v>581</v>
      </c>
      <c r="B555" t="b">
        <v>1</v>
      </c>
      <c r="C555" t="b">
        <v>1</v>
      </c>
      <c r="D555" s="2" t="b">
        <v>0</v>
      </c>
      <c r="E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5">
        <v>0</v>
      </c>
      <c r="G555" t="s">
        <v>715</v>
      </c>
      <c r="S555"/>
      <c r="T555"/>
      <c r="U555"/>
    </row>
    <row r="556" spans="1:21">
      <c r="A556" s="2" t="s">
        <v>582</v>
      </c>
      <c r="B556" t="b">
        <v>1</v>
      </c>
      <c r="C556" t="b">
        <v>1</v>
      </c>
      <c r="D556" s="2" t="b">
        <v>0</v>
      </c>
      <c r="E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6">
        <v>0</v>
      </c>
      <c r="G556" t="s">
        <v>715</v>
      </c>
      <c r="S556"/>
      <c r="T556"/>
      <c r="U556"/>
    </row>
    <row r="557" spans="1:21">
      <c r="A557" s="2" t="s">
        <v>583</v>
      </c>
      <c r="B557" t="b">
        <v>1</v>
      </c>
      <c r="C557" t="b">
        <v>1</v>
      </c>
      <c r="D557" s="2" t="b">
        <v>0</v>
      </c>
      <c r="E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7">
        <v>0</v>
      </c>
      <c r="G557" t="s">
        <v>715</v>
      </c>
      <c r="S557"/>
      <c r="T557"/>
      <c r="U557"/>
    </row>
    <row r="558" spans="1:21">
      <c r="A558" s="2" t="s">
        <v>584</v>
      </c>
      <c r="B558" t="b">
        <v>1</v>
      </c>
      <c r="C558" t="b">
        <v>1</v>
      </c>
      <c r="D558" s="2" t="b">
        <v>0</v>
      </c>
      <c r="E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8">
        <v>0</v>
      </c>
      <c r="G558" t="s">
        <v>715</v>
      </c>
      <c r="S558"/>
      <c r="T558"/>
      <c r="U558"/>
    </row>
    <row r="559" spans="1:21">
      <c r="A559" s="2" t="s">
        <v>585</v>
      </c>
      <c r="B559" t="b">
        <v>1</v>
      </c>
      <c r="C559" t="b">
        <v>1</v>
      </c>
      <c r="D559" s="2" t="b">
        <v>0</v>
      </c>
      <c r="E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9">
        <v>-3</v>
      </c>
      <c r="G559" t="s">
        <v>715</v>
      </c>
      <c r="S559"/>
      <c r="T559"/>
      <c r="U559"/>
    </row>
    <row r="560" spans="1:21">
      <c r="A560" s="2" t="s">
        <v>586</v>
      </c>
      <c r="B560" t="b">
        <v>1</v>
      </c>
      <c r="C560" t="b">
        <v>1</v>
      </c>
      <c r="D560" s="2" t="b">
        <v>0</v>
      </c>
      <c r="E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0">
        <v>0</v>
      </c>
      <c r="G560" t="s">
        <v>715</v>
      </c>
      <c r="S560"/>
      <c r="T560"/>
      <c r="U560"/>
    </row>
    <row r="561" spans="1:21">
      <c r="A561" s="2" t="s">
        <v>587</v>
      </c>
      <c r="B561" t="b">
        <v>1</v>
      </c>
      <c r="C561" t="b">
        <v>1</v>
      </c>
      <c r="D561" s="2" t="b">
        <v>0</v>
      </c>
      <c r="E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1">
        <v>0</v>
      </c>
      <c r="G561" t="s">
        <v>715</v>
      </c>
      <c r="S561"/>
      <c r="T561"/>
      <c r="U561"/>
    </row>
    <row r="562" spans="1:21">
      <c r="A562" s="2" t="s">
        <v>588</v>
      </c>
      <c r="B562" t="b">
        <v>1</v>
      </c>
      <c r="C562" t="b">
        <v>1</v>
      </c>
      <c r="D562" s="2" t="b">
        <v>0</v>
      </c>
      <c r="E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2">
        <v>0</v>
      </c>
      <c r="G562" t="s">
        <v>715</v>
      </c>
      <c r="S562"/>
      <c r="T562"/>
      <c r="U562"/>
    </row>
    <row r="563" spans="1:21">
      <c r="A563" s="2" t="s">
        <v>589</v>
      </c>
      <c r="B563" t="b">
        <v>1</v>
      </c>
      <c r="C563" t="b">
        <v>1</v>
      </c>
      <c r="D563" s="2" t="b">
        <v>0</v>
      </c>
      <c r="E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3">
        <v>0</v>
      </c>
      <c r="G563" t="s">
        <v>715</v>
      </c>
      <c r="S563"/>
      <c r="T563"/>
      <c r="U563"/>
    </row>
    <row r="564" spans="1:21">
      <c r="A564" s="2" t="s">
        <v>590</v>
      </c>
      <c r="B564" t="b">
        <v>1</v>
      </c>
      <c r="C564" t="b">
        <v>0</v>
      </c>
      <c r="D564" s="2" t="b">
        <v>0</v>
      </c>
      <c r="E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4">
        <v>0</v>
      </c>
      <c r="G564" t="s">
        <v>715</v>
      </c>
      <c r="S564"/>
      <c r="T564"/>
      <c r="U564"/>
    </row>
    <row r="565" spans="1:21">
      <c r="A565" s="2" t="s">
        <v>591</v>
      </c>
      <c r="B565" t="b">
        <v>1</v>
      </c>
      <c r="C565" t="b">
        <v>0</v>
      </c>
      <c r="D565" s="2" t="b">
        <v>0</v>
      </c>
      <c r="E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5">
        <v>0</v>
      </c>
      <c r="G565" t="s">
        <v>715</v>
      </c>
      <c r="S565"/>
      <c r="T565"/>
      <c r="U565"/>
    </row>
    <row r="566" spans="1:21">
      <c r="A566" s="2" t="s">
        <v>592</v>
      </c>
      <c r="B566" t="b">
        <v>1</v>
      </c>
      <c r="C566" t="b">
        <v>0</v>
      </c>
      <c r="D566" s="2" t="b">
        <v>0</v>
      </c>
      <c r="E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6">
        <v>0</v>
      </c>
      <c r="G566" t="s">
        <v>715</v>
      </c>
      <c r="S566"/>
      <c r="T566"/>
      <c r="U566"/>
    </row>
    <row r="567" spans="1:21">
      <c r="A567" s="2" t="s">
        <v>593</v>
      </c>
      <c r="B567" t="b">
        <v>1</v>
      </c>
      <c r="C567" t="b">
        <v>0</v>
      </c>
      <c r="D567" s="2" t="b">
        <v>0</v>
      </c>
      <c r="E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7">
        <v>0</v>
      </c>
      <c r="G567" t="s">
        <v>715</v>
      </c>
      <c r="S567"/>
      <c r="T567"/>
      <c r="U567"/>
    </row>
    <row r="568" spans="1:21">
      <c r="A568" s="2" t="s">
        <v>594</v>
      </c>
      <c r="B568" t="b">
        <v>1</v>
      </c>
      <c r="C568" t="b">
        <v>0</v>
      </c>
      <c r="D568" s="2" t="b">
        <v>0</v>
      </c>
      <c r="E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8">
        <v>0</v>
      </c>
      <c r="G568" t="s">
        <v>715</v>
      </c>
      <c r="S568"/>
      <c r="T568"/>
      <c r="U568"/>
    </row>
    <row r="569" spans="1:21">
      <c r="A569" s="2" t="s">
        <v>595</v>
      </c>
      <c r="B569" t="b">
        <v>1</v>
      </c>
      <c r="C569" t="b">
        <v>0</v>
      </c>
      <c r="D569" s="2" t="b">
        <v>0</v>
      </c>
      <c r="E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9">
        <v>0</v>
      </c>
      <c r="G569" t="s">
        <v>715</v>
      </c>
      <c r="S569"/>
      <c r="T569"/>
      <c r="U569"/>
    </row>
    <row r="570" spans="1:21">
      <c r="A570" s="2" t="s">
        <v>596</v>
      </c>
      <c r="B570" t="b">
        <v>1</v>
      </c>
      <c r="C570" t="b">
        <v>1</v>
      </c>
      <c r="D570" s="2" t="b">
        <v>0</v>
      </c>
      <c r="E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0">
        <v>0</v>
      </c>
      <c r="G570" t="s">
        <v>715</v>
      </c>
      <c r="S570"/>
      <c r="T570"/>
      <c r="U570"/>
    </row>
    <row r="571" spans="1:21">
      <c r="A571" s="2" t="s">
        <v>597</v>
      </c>
      <c r="B571" t="b">
        <v>1</v>
      </c>
      <c r="C571" t="b">
        <v>1</v>
      </c>
      <c r="D571" s="2" t="b">
        <v>0</v>
      </c>
      <c r="E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1">
        <v>0</v>
      </c>
      <c r="G571" t="s">
        <v>715</v>
      </c>
      <c r="S571"/>
      <c r="T571"/>
      <c r="U571"/>
    </row>
    <row r="572" spans="1:21">
      <c r="A572" s="2" t="s">
        <v>901</v>
      </c>
      <c r="B572" t="b">
        <v>1</v>
      </c>
      <c r="C572" t="b">
        <v>0</v>
      </c>
      <c r="D572" s="2" t="b">
        <v>1</v>
      </c>
      <c r="E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2">
        <v>0</v>
      </c>
      <c r="G572" t="s">
        <v>715</v>
      </c>
      <c r="S572"/>
      <c r="T572"/>
      <c r="U572"/>
    </row>
    <row r="573" spans="1:21">
      <c r="A573" s="2" t="s">
        <v>884</v>
      </c>
      <c r="B573" t="b">
        <v>1</v>
      </c>
      <c r="C573" t="b">
        <v>0</v>
      </c>
      <c r="D573" s="2" t="b">
        <v>1</v>
      </c>
      <c r="E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3">
        <v>0</v>
      </c>
      <c r="G573" t="s">
        <v>715</v>
      </c>
      <c r="S573"/>
      <c r="T573"/>
      <c r="U573"/>
    </row>
    <row r="574" spans="1:21">
      <c r="A574" s="2" t="s">
        <v>885</v>
      </c>
      <c r="B574" t="b">
        <v>1</v>
      </c>
      <c r="C574" t="b">
        <v>0</v>
      </c>
      <c r="D574" s="2" t="b">
        <v>1</v>
      </c>
      <c r="E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4">
        <v>0</v>
      </c>
      <c r="G574" t="s">
        <v>715</v>
      </c>
      <c r="S574"/>
      <c r="T574"/>
      <c r="U574"/>
    </row>
    <row r="575" spans="1:21">
      <c r="A575" s="2" t="s">
        <v>886</v>
      </c>
      <c r="B575" t="b">
        <v>1</v>
      </c>
      <c r="C575" t="b">
        <v>0</v>
      </c>
      <c r="D575" s="2" t="b">
        <v>1</v>
      </c>
      <c r="E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5">
        <v>0</v>
      </c>
      <c r="G575" t="s">
        <v>715</v>
      </c>
      <c r="S575"/>
      <c r="T575"/>
      <c r="U575"/>
    </row>
    <row r="576" spans="1:21">
      <c r="A576" s="2" t="s">
        <v>887</v>
      </c>
      <c r="B576" t="b">
        <v>1</v>
      </c>
      <c r="C576" t="b">
        <v>0</v>
      </c>
      <c r="D576" s="2" t="b">
        <v>1</v>
      </c>
      <c r="E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6">
        <v>0</v>
      </c>
      <c r="G576" t="s">
        <v>715</v>
      </c>
      <c r="S576"/>
      <c r="T576"/>
      <c r="U576"/>
    </row>
    <row r="577" spans="1:21">
      <c r="A577" s="2" t="s">
        <v>888</v>
      </c>
      <c r="B577" t="b">
        <v>1</v>
      </c>
      <c r="C577" t="b">
        <v>0</v>
      </c>
      <c r="D577" s="2" t="b">
        <v>1</v>
      </c>
      <c r="E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7">
        <v>0</v>
      </c>
      <c r="G577" t="s">
        <v>715</v>
      </c>
      <c r="S577"/>
      <c r="T577"/>
      <c r="U577"/>
    </row>
    <row r="578" spans="1:21">
      <c r="A578" s="2" t="s">
        <v>889</v>
      </c>
      <c r="B578" t="b">
        <v>1</v>
      </c>
      <c r="C578" t="b">
        <v>0</v>
      </c>
      <c r="D578" s="2" t="b">
        <v>1</v>
      </c>
      <c r="E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8">
        <v>0</v>
      </c>
      <c r="G578" t="s">
        <v>715</v>
      </c>
      <c r="S578"/>
      <c r="T578"/>
      <c r="U578"/>
    </row>
    <row r="579" spans="1:21">
      <c r="A579" s="2" t="s">
        <v>890</v>
      </c>
      <c r="B579" t="b">
        <v>1</v>
      </c>
      <c r="C579" t="b">
        <v>0</v>
      </c>
      <c r="D579" s="2" t="b">
        <v>1</v>
      </c>
      <c r="E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9">
        <v>0</v>
      </c>
      <c r="G579" t="s">
        <v>715</v>
      </c>
      <c r="S579"/>
      <c r="T579"/>
      <c r="U579"/>
    </row>
    <row r="580" spans="1:21">
      <c r="A580" s="2" t="s">
        <v>891</v>
      </c>
      <c r="B580" t="b">
        <v>1</v>
      </c>
      <c r="C580" t="b">
        <v>0</v>
      </c>
      <c r="D580" s="2" t="b">
        <v>1</v>
      </c>
      <c r="E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0">
        <v>0</v>
      </c>
      <c r="G580" t="s">
        <v>715</v>
      </c>
      <c r="S580"/>
      <c r="T580"/>
      <c r="U580"/>
    </row>
    <row r="581" spans="1:21">
      <c r="A581" s="2" t="s">
        <v>892</v>
      </c>
      <c r="B581" t="b">
        <v>1</v>
      </c>
      <c r="C581" t="b">
        <v>0</v>
      </c>
      <c r="D581" s="2" t="b">
        <v>1</v>
      </c>
      <c r="E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1">
        <v>0</v>
      </c>
      <c r="G581" t="s">
        <v>715</v>
      </c>
      <c r="S581"/>
      <c r="T581"/>
      <c r="U581"/>
    </row>
    <row r="582" spans="1:21">
      <c r="A582" s="2" t="s">
        <v>893</v>
      </c>
      <c r="B582" t="b">
        <v>1</v>
      </c>
      <c r="C582" t="b">
        <v>0</v>
      </c>
      <c r="D582" s="2" t="b">
        <v>1</v>
      </c>
      <c r="E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2">
        <v>0</v>
      </c>
      <c r="G582" t="s">
        <v>715</v>
      </c>
      <c r="S582"/>
      <c r="T582"/>
      <c r="U582"/>
    </row>
    <row r="583" spans="1:21">
      <c r="A583" s="2" t="s">
        <v>894</v>
      </c>
      <c r="B583" t="b">
        <v>1</v>
      </c>
      <c r="C583" t="b">
        <v>0</v>
      </c>
      <c r="D583" s="2" t="b">
        <v>1</v>
      </c>
      <c r="E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3">
        <v>0</v>
      </c>
      <c r="G583" t="s">
        <v>715</v>
      </c>
      <c r="S583"/>
      <c r="T583"/>
      <c r="U583"/>
    </row>
    <row r="584" spans="1:21">
      <c r="A584" s="2" t="s">
        <v>895</v>
      </c>
      <c r="B584" t="b">
        <v>1</v>
      </c>
      <c r="C584" t="b">
        <v>0</v>
      </c>
      <c r="D584" s="2" t="b">
        <v>1</v>
      </c>
      <c r="E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4">
        <v>0</v>
      </c>
      <c r="G584" t="s">
        <v>715</v>
      </c>
      <c r="S584"/>
      <c r="T584"/>
      <c r="U584"/>
    </row>
    <row r="585" spans="1:21">
      <c r="A585" s="2" t="s">
        <v>896</v>
      </c>
      <c r="B585" t="b">
        <v>1</v>
      </c>
      <c r="C585" t="b">
        <v>0</v>
      </c>
      <c r="D585" s="2" t="b">
        <v>1</v>
      </c>
      <c r="E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5">
        <v>0</v>
      </c>
      <c r="G585" t="s">
        <v>715</v>
      </c>
      <c r="S585"/>
      <c r="T585"/>
      <c r="U585"/>
    </row>
    <row r="586" spans="1:21">
      <c r="A586" s="2" t="s">
        <v>897</v>
      </c>
      <c r="B586" t="b">
        <v>1</v>
      </c>
      <c r="C586" t="b">
        <v>0</v>
      </c>
      <c r="D586" s="2" t="b">
        <v>1</v>
      </c>
      <c r="E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6">
        <v>0</v>
      </c>
      <c r="G586" t="s">
        <v>715</v>
      </c>
      <c r="S586"/>
      <c r="T586"/>
      <c r="U586"/>
    </row>
    <row r="587" spans="1:21">
      <c r="A587" s="2" t="s">
        <v>609</v>
      </c>
      <c r="B587" t="b">
        <v>1</v>
      </c>
      <c r="C587" t="b">
        <v>0</v>
      </c>
      <c r="D587" s="2" t="b">
        <v>0</v>
      </c>
      <c r="E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7">
        <v>0</v>
      </c>
      <c r="G587" t="s">
        <v>715</v>
      </c>
      <c r="S587"/>
      <c r="T587"/>
      <c r="U587"/>
    </row>
    <row r="588" spans="1:21">
      <c r="A588" s="2" t="s">
        <v>610</v>
      </c>
      <c r="B588" t="b">
        <v>1</v>
      </c>
      <c r="C588" t="b">
        <v>0</v>
      </c>
      <c r="D588" s="2" t="b">
        <v>0</v>
      </c>
      <c r="E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8">
        <v>0</v>
      </c>
      <c r="G588" t="s">
        <v>715</v>
      </c>
      <c r="S588"/>
      <c r="T588"/>
      <c r="U588"/>
    </row>
    <row r="589" spans="1:21">
      <c r="A589" s="2" t="s">
        <v>611</v>
      </c>
      <c r="B589" t="b">
        <v>1</v>
      </c>
      <c r="C589" t="b">
        <v>0</v>
      </c>
      <c r="D589" s="2" t="b">
        <v>0</v>
      </c>
      <c r="E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9">
        <v>0</v>
      </c>
      <c r="G589" t="s">
        <v>715</v>
      </c>
      <c r="S589"/>
      <c r="T589"/>
      <c r="U589"/>
    </row>
    <row r="590" spans="1:21">
      <c r="A590" s="2" t="s">
        <v>612</v>
      </c>
      <c r="B590" t="b">
        <v>1</v>
      </c>
      <c r="C590" t="b">
        <v>0</v>
      </c>
      <c r="D590" s="2" t="b">
        <v>0</v>
      </c>
      <c r="E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0">
        <v>0</v>
      </c>
      <c r="G590" t="s">
        <v>715</v>
      </c>
      <c r="S590"/>
      <c r="T590"/>
      <c r="U590"/>
    </row>
    <row r="591" spans="1:21">
      <c r="A591" s="2" t="s">
        <v>613</v>
      </c>
      <c r="B591" t="b">
        <v>1</v>
      </c>
      <c r="C591" t="b">
        <v>0</v>
      </c>
      <c r="D591" s="2" t="b">
        <v>0</v>
      </c>
      <c r="E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1">
        <v>0</v>
      </c>
      <c r="G591" t="s">
        <v>715</v>
      </c>
      <c r="S591"/>
      <c r="T591"/>
      <c r="U591"/>
    </row>
    <row r="592" spans="1:21">
      <c r="A592" s="2" t="s">
        <v>614</v>
      </c>
      <c r="B592" t="b">
        <v>1</v>
      </c>
      <c r="C592" t="b">
        <v>0</v>
      </c>
      <c r="D592" s="2" t="b">
        <v>0</v>
      </c>
      <c r="E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2">
        <v>-3</v>
      </c>
      <c r="G592" t="s">
        <v>715</v>
      </c>
      <c r="S592"/>
      <c r="T592"/>
      <c r="U592"/>
    </row>
    <row r="593" spans="1:21">
      <c r="A593" s="2" t="s">
        <v>615</v>
      </c>
      <c r="B593" t="b">
        <v>1</v>
      </c>
      <c r="C593" t="b">
        <v>0</v>
      </c>
      <c r="D593" s="2" t="b">
        <v>0</v>
      </c>
      <c r="E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3">
        <v>0</v>
      </c>
      <c r="G593" t="s">
        <v>715</v>
      </c>
      <c r="S593"/>
      <c r="T593"/>
      <c r="U593"/>
    </row>
    <row r="594" spans="1:21">
      <c r="A594" s="2" t="s">
        <v>616</v>
      </c>
      <c r="B594" t="b">
        <v>1</v>
      </c>
      <c r="C594" t="b">
        <v>0</v>
      </c>
      <c r="D594" s="2" t="b">
        <v>0</v>
      </c>
      <c r="E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4">
        <v>0</v>
      </c>
      <c r="G594" t="s">
        <v>715</v>
      </c>
      <c r="S594"/>
      <c r="T594"/>
      <c r="U594"/>
    </row>
    <row r="595" spans="1:21">
      <c r="A595" s="2" t="s">
        <v>617</v>
      </c>
      <c r="B595" t="b">
        <v>1</v>
      </c>
      <c r="C595" t="b">
        <v>0</v>
      </c>
      <c r="D595" s="2" t="b">
        <v>0</v>
      </c>
      <c r="E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5">
        <v>0</v>
      </c>
      <c r="G595" t="s">
        <v>715</v>
      </c>
      <c r="S595"/>
      <c r="T595"/>
      <c r="U595"/>
    </row>
    <row r="596" spans="1:21">
      <c r="A596" s="2" t="s">
        <v>618</v>
      </c>
      <c r="B596" t="b">
        <v>1</v>
      </c>
      <c r="C596" t="b">
        <v>0</v>
      </c>
      <c r="D596" s="2" t="b">
        <v>0</v>
      </c>
      <c r="E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6">
        <v>0</v>
      </c>
      <c r="G596" t="s">
        <v>715</v>
      </c>
      <c r="S596"/>
      <c r="T596"/>
      <c r="U596"/>
    </row>
    <row r="597" spans="1:21">
      <c r="A597" s="2" t="s">
        <v>619</v>
      </c>
      <c r="B597" t="b">
        <v>1</v>
      </c>
      <c r="C597" t="b">
        <v>0</v>
      </c>
      <c r="D597" s="2" t="b">
        <v>0</v>
      </c>
      <c r="E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7">
        <v>0</v>
      </c>
      <c r="G597" t="s">
        <v>715</v>
      </c>
      <c r="S597"/>
      <c r="T597"/>
      <c r="U597"/>
    </row>
    <row r="598" spans="1:21">
      <c r="A598" s="2" t="s">
        <v>620</v>
      </c>
      <c r="B598" t="b">
        <v>1</v>
      </c>
      <c r="C598" t="b">
        <v>0</v>
      </c>
      <c r="D598" s="2" t="b">
        <v>0</v>
      </c>
      <c r="E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8">
        <v>0</v>
      </c>
      <c r="G598" t="s">
        <v>715</v>
      </c>
      <c r="S598"/>
      <c r="T598"/>
      <c r="U598"/>
    </row>
    <row r="599" spans="1:21">
      <c r="A599" s="2" t="s">
        <v>621</v>
      </c>
      <c r="B599" t="b">
        <v>1</v>
      </c>
      <c r="C599" t="b">
        <v>0</v>
      </c>
      <c r="D599" s="2" t="b">
        <v>0</v>
      </c>
      <c r="E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9">
        <v>0</v>
      </c>
      <c r="G599" t="s">
        <v>715</v>
      </c>
      <c r="S599"/>
      <c r="T599"/>
      <c r="U599"/>
    </row>
    <row r="600" spans="1:21">
      <c r="A600" s="2" t="s">
        <v>622</v>
      </c>
      <c r="B600" t="b">
        <v>1</v>
      </c>
      <c r="C600" t="b">
        <v>0</v>
      </c>
      <c r="D600" s="2" t="b">
        <v>0</v>
      </c>
      <c r="E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0">
        <v>0</v>
      </c>
      <c r="G600" t="s">
        <v>715</v>
      </c>
      <c r="S600"/>
      <c r="T600"/>
      <c r="U600"/>
    </row>
    <row r="601" spans="1:21">
      <c r="A601" s="2" t="s">
        <v>623</v>
      </c>
      <c r="B601" t="b">
        <v>1</v>
      </c>
      <c r="C601" t="b">
        <v>0</v>
      </c>
      <c r="D601" s="2" t="b">
        <v>0</v>
      </c>
      <c r="E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1">
        <v>0</v>
      </c>
      <c r="G601" t="s">
        <v>715</v>
      </c>
      <c r="S601"/>
      <c r="T601"/>
      <c r="U601"/>
    </row>
    <row r="602" spans="1:21">
      <c r="A602" s="2" t="s">
        <v>624</v>
      </c>
      <c r="B602" t="b">
        <v>1</v>
      </c>
      <c r="C602" t="b">
        <v>0</v>
      </c>
      <c r="D602" s="2" t="b">
        <v>0</v>
      </c>
      <c r="E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2">
        <v>0</v>
      </c>
      <c r="G602" t="s">
        <v>715</v>
      </c>
      <c r="S602"/>
      <c r="T602"/>
      <c r="U602"/>
    </row>
    <row r="603" spans="1:21">
      <c r="A603" s="2" t="s">
        <v>625</v>
      </c>
      <c r="B603" t="b">
        <v>1</v>
      </c>
      <c r="C603" t="b">
        <v>0</v>
      </c>
      <c r="D603" s="2" t="b">
        <v>0</v>
      </c>
      <c r="E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03">
        <v>0</v>
      </c>
      <c r="G603" t="s">
        <v>715</v>
      </c>
      <c r="S603"/>
      <c r="T603"/>
      <c r="U603"/>
    </row>
    <row r="604" spans="1:21">
      <c r="A604" s="2" t="s">
        <v>626</v>
      </c>
      <c r="B604" t="b">
        <v>1</v>
      </c>
      <c r="C604" t="b">
        <v>0</v>
      </c>
      <c r="D604" s="2" t="b">
        <v>0</v>
      </c>
      <c r="E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4">
        <v>-3</v>
      </c>
      <c r="G604" t="s">
        <v>715</v>
      </c>
      <c r="S604"/>
      <c r="T604"/>
      <c r="U604"/>
    </row>
    <row r="605" spans="1:21">
      <c r="A605" s="2" t="s">
        <v>627</v>
      </c>
      <c r="B605" t="b">
        <v>1</v>
      </c>
      <c r="C605" t="b">
        <v>0</v>
      </c>
      <c r="D605" s="2" t="b">
        <v>0</v>
      </c>
      <c r="E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5">
        <v>0</v>
      </c>
      <c r="G605" t="s">
        <v>715</v>
      </c>
      <c r="S605"/>
      <c r="T605"/>
      <c r="U605"/>
    </row>
    <row r="606" spans="1:21">
      <c r="A606" s="2" t="s">
        <v>628</v>
      </c>
      <c r="B606" t="b">
        <v>1</v>
      </c>
      <c r="C606" t="b">
        <v>0</v>
      </c>
      <c r="D606" s="2" t="b">
        <v>0</v>
      </c>
      <c r="E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6">
        <v>-3</v>
      </c>
      <c r="G606" t="s">
        <v>715</v>
      </c>
      <c r="S606"/>
      <c r="T606"/>
      <c r="U606"/>
    </row>
    <row r="607" spans="1:21">
      <c r="A607" s="2" t="s">
        <v>629</v>
      </c>
      <c r="B607" t="b">
        <v>1</v>
      </c>
      <c r="C607" t="b">
        <v>0</v>
      </c>
      <c r="D607" s="2" t="b">
        <v>0</v>
      </c>
      <c r="E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7">
        <v>0</v>
      </c>
      <c r="G607" t="s">
        <v>715</v>
      </c>
      <c r="S607"/>
      <c r="T607"/>
      <c r="U607"/>
    </row>
    <row r="608" spans="1:21">
      <c r="A608" s="2" t="s">
        <v>630</v>
      </c>
      <c r="B608" t="b">
        <v>1</v>
      </c>
      <c r="C608" t="b">
        <v>0</v>
      </c>
      <c r="D608" s="2" t="b">
        <v>0</v>
      </c>
      <c r="E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8">
        <v>0</v>
      </c>
      <c r="G608" t="s">
        <v>715</v>
      </c>
      <c r="S608"/>
      <c r="T608"/>
      <c r="U608"/>
    </row>
    <row r="609" spans="1:21">
      <c r="A609" s="2" t="s">
        <v>631</v>
      </c>
      <c r="B609" t="b">
        <v>1</v>
      </c>
      <c r="C609" t="b">
        <v>0</v>
      </c>
      <c r="D609" s="2" t="b">
        <v>0</v>
      </c>
      <c r="E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9">
        <v>0</v>
      </c>
      <c r="G609" t="s">
        <v>715</v>
      </c>
      <c r="S609"/>
      <c r="T609"/>
      <c r="U609"/>
    </row>
    <row r="610" spans="1:21">
      <c r="A610" s="2" t="s">
        <v>632</v>
      </c>
      <c r="B610" t="b">
        <v>1</v>
      </c>
      <c r="C610" t="b">
        <v>0</v>
      </c>
      <c r="D610" s="2" t="b">
        <v>0</v>
      </c>
      <c r="E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0">
        <v>0</v>
      </c>
      <c r="G610" t="s">
        <v>715</v>
      </c>
      <c r="S610"/>
      <c r="T610"/>
      <c r="U610"/>
    </row>
    <row r="611" spans="1:21">
      <c r="A611" s="2" t="s">
        <v>633</v>
      </c>
      <c r="B611" t="b">
        <v>1</v>
      </c>
      <c r="C611" t="b">
        <v>0</v>
      </c>
      <c r="D611" s="2" t="b">
        <v>0</v>
      </c>
      <c r="E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1">
        <v>-3</v>
      </c>
      <c r="G611" t="s">
        <v>715</v>
      </c>
      <c r="S611"/>
      <c r="T611"/>
      <c r="U611"/>
    </row>
    <row r="612" spans="1:21">
      <c r="A612" s="2" t="s">
        <v>634</v>
      </c>
      <c r="B612" t="b">
        <v>1</v>
      </c>
      <c r="C612" t="b">
        <v>0</v>
      </c>
      <c r="D612" s="2" t="b">
        <v>0</v>
      </c>
      <c r="E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2">
        <v>0</v>
      </c>
      <c r="G612" t="s">
        <v>715</v>
      </c>
      <c r="S612"/>
      <c r="T612"/>
      <c r="U612"/>
    </row>
    <row r="613" spans="1:21">
      <c r="A613" s="2" t="s">
        <v>635</v>
      </c>
      <c r="B613" t="b">
        <v>1</v>
      </c>
      <c r="C613" t="b">
        <v>0</v>
      </c>
      <c r="D613" s="2" t="b">
        <v>0</v>
      </c>
      <c r="E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3">
        <v>0</v>
      </c>
      <c r="G613" t="s">
        <v>715</v>
      </c>
      <c r="S613"/>
      <c r="T613"/>
      <c r="U613"/>
    </row>
    <row r="614" spans="1:21">
      <c r="A614" s="2" t="s">
        <v>636</v>
      </c>
      <c r="B614" t="b">
        <v>1</v>
      </c>
      <c r="C614" t="b">
        <v>0</v>
      </c>
      <c r="D614" s="2" t="b">
        <v>0</v>
      </c>
      <c r="E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4">
        <v>0</v>
      </c>
      <c r="G614" t="s">
        <v>715</v>
      </c>
      <c r="S614"/>
      <c r="T614"/>
      <c r="U614"/>
    </row>
    <row r="615" spans="1:21">
      <c r="A615" s="2" t="s">
        <v>637</v>
      </c>
      <c r="B615" t="b">
        <v>1</v>
      </c>
      <c r="C615" t="b">
        <v>0</v>
      </c>
      <c r="D615" s="2" t="b">
        <v>0</v>
      </c>
      <c r="E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5">
        <v>0</v>
      </c>
      <c r="G615" t="s">
        <v>715</v>
      </c>
      <c r="S615"/>
      <c r="T615"/>
      <c r="U615"/>
    </row>
    <row r="616" spans="1:21">
      <c r="A616" s="2" t="s">
        <v>638</v>
      </c>
      <c r="B616" t="b">
        <v>1</v>
      </c>
      <c r="C616" t="b">
        <v>0</v>
      </c>
      <c r="D616" s="2" t="b">
        <v>0</v>
      </c>
      <c r="E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6">
        <v>0</v>
      </c>
      <c r="G616" t="s">
        <v>715</v>
      </c>
      <c r="S616"/>
      <c r="T616"/>
      <c r="U616"/>
    </row>
    <row r="617" spans="1:21">
      <c r="A617" s="2" t="s">
        <v>639</v>
      </c>
      <c r="B617" t="b">
        <v>1</v>
      </c>
      <c r="C617" t="b">
        <v>0</v>
      </c>
      <c r="D617" s="2" t="b">
        <v>0</v>
      </c>
      <c r="E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7">
        <v>0</v>
      </c>
      <c r="G617" t="s">
        <v>715</v>
      </c>
      <c r="S617"/>
      <c r="T617"/>
      <c r="U617"/>
    </row>
    <row r="618" spans="1:21">
      <c r="A618" s="2" t="s">
        <v>640</v>
      </c>
      <c r="B618" t="b">
        <v>1</v>
      </c>
      <c r="C618" t="b">
        <v>1</v>
      </c>
      <c r="D618" s="2" t="b">
        <v>0</v>
      </c>
      <c r="E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8">
        <v>0</v>
      </c>
      <c r="G618" t="s">
        <v>715</v>
      </c>
      <c r="S618"/>
      <c r="T618"/>
      <c r="U618"/>
    </row>
    <row r="619" spans="1:21">
      <c r="A619" s="2" t="s">
        <v>641</v>
      </c>
      <c r="B619" t="b">
        <v>1</v>
      </c>
      <c r="C619" t="b">
        <v>1</v>
      </c>
      <c r="D619" s="2" t="b">
        <v>0</v>
      </c>
      <c r="E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9">
        <v>0</v>
      </c>
      <c r="G619" t="s">
        <v>715</v>
      </c>
      <c r="S619"/>
      <c r="T619"/>
      <c r="U619"/>
    </row>
    <row r="620" spans="1:21">
      <c r="A620" s="2" t="s">
        <v>642</v>
      </c>
      <c r="B620" t="b">
        <v>1</v>
      </c>
      <c r="C620" t="b">
        <v>1</v>
      </c>
      <c r="D620" s="2" t="b">
        <v>0</v>
      </c>
      <c r="E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0">
        <v>-3</v>
      </c>
      <c r="G620" t="s">
        <v>715</v>
      </c>
      <c r="S620"/>
      <c r="T620"/>
      <c r="U620"/>
    </row>
    <row r="621" spans="1:21">
      <c r="A621" s="2" t="s">
        <v>643</v>
      </c>
      <c r="B621" t="b">
        <v>1</v>
      </c>
      <c r="C621" t="b">
        <v>1</v>
      </c>
      <c r="D621" s="2" t="b">
        <v>0</v>
      </c>
      <c r="E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1">
        <v>0</v>
      </c>
      <c r="G621" t="s">
        <v>715</v>
      </c>
      <c r="S621"/>
      <c r="T621"/>
      <c r="U621"/>
    </row>
    <row r="622" spans="1:21">
      <c r="A622" s="2" t="s">
        <v>644</v>
      </c>
      <c r="B622" t="b">
        <v>1</v>
      </c>
      <c r="C622" t="b">
        <v>1</v>
      </c>
      <c r="D622" s="2" t="b">
        <v>0</v>
      </c>
      <c r="E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2">
        <v>0</v>
      </c>
      <c r="G622" t="s">
        <v>715</v>
      </c>
      <c r="S622"/>
      <c r="T622"/>
      <c r="U622"/>
    </row>
    <row r="623" spans="1:21">
      <c r="A623" s="2" t="s">
        <v>645</v>
      </c>
      <c r="B623" t="b">
        <v>1</v>
      </c>
      <c r="C623" t="b">
        <v>1</v>
      </c>
      <c r="D623" s="2" t="b">
        <v>0</v>
      </c>
      <c r="E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3">
        <v>0</v>
      </c>
      <c r="G623" t="s">
        <v>715</v>
      </c>
      <c r="S623"/>
      <c r="T623"/>
      <c r="U623"/>
    </row>
    <row r="624" spans="1:21">
      <c r="A624" s="2" t="s">
        <v>646</v>
      </c>
      <c r="B624" t="b">
        <v>1</v>
      </c>
      <c r="C624" t="b">
        <v>1</v>
      </c>
      <c r="D624" s="2" t="b">
        <v>0</v>
      </c>
      <c r="E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4">
        <v>0</v>
      </c>
      <c r="G624" t="s">
        <v>715</v>
      </c>
      <c r="S624"/>
      <c r="T624"/>
      <c r="U624"/>
    </row>
    <row r="625" spans="1:21">
      <c r="A625" s="2" t="s">
        <v>647</v>
      </c>
      <c r="B625" t="b">
        <v>1</v>
      </c>
      <c r="C625" t="b">
        <v>1</v>
      </c>
      <c r="D625" s="2" t="b">
        <v>0</v>
      </c>
      <c r="E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5">
        <v>0</v>
      </c>
      <c r="G625" t="s">
        <v>715</v>
      </c>
      <c r="S625"/>
      <c r="T625"/>
      <c r="U625"/>
    </row>
    <row r="626" spans="1:21">
      <c r="A626" s="2" t="s">
        <v>648</v>
      </c>
      <c r="B626" t="b">
        <v>1</v>
      </c>
      <c r="C626" t="b">
        <v>1</v>
      </c>
      <c r="D626" s="2" t="b">
        <v>0</v>
      </c>
      <c r="E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6">
        <v>0</v>
      </c>
      <c r="G626" t="s">
        <v>715</v>
      </c>
      <c r="S626"/>
      <c r="T626"/>
      <c r="U626"/>
    </row>
    <row r="627" spans="1:21">
      <c r="A627" s="2" t="s">
        <v>649</v>
      </c>
      <c r="B627" t="b">
        <v>1</v>
      </c>
      <c r="C627" t="b">
        <v>1</v>
      </c>
      <c r="D627" s="2" t="b">
        <v>0</v>
      </c>
      <c r="E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7">
        <v>0</v>
      </c>
      <c r="G627" t="s">
        <v>715</v>
      </c>
      <c r="S627"/>
      <c r="T627"/>
      <c r="U627"/>
    </row>
    <row r="628" spans="1:21">
      <c r="A628" s="2" t="s">
        <v>650</v>
      </c>
      <c r="B628" t="b">
        <v>1</v>
      </c>
      <c r="C628" t="b">
        <v>1</v>
      </c>
      <c r="D628" s="2" t="b">
        <v>0</v>
      </c>
      <c r="E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8">
        <v>0</v>
      </c>
      <c r="G628" t="s">
        <v>715</v>
      </c>
      <c r="S628"/>
      <c r="T628"/>
      <c r="U628"/>
    </row>
    <row r="629" spans="1:21">
      <c r="A629" s="2" t="s">
        <v>651</v>
      </c>
      <c r="B629" t="b">
        <v>1</v>
      </c>
      <c r="C629" t="b">
        <v>0</v>
      </c>
      <c r="D629" s="2" t="b">
        <v>0</v>
      </c>
      <c r="E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9">
        <v>0</v>
      </c>
      <c r="G629" t="s">
        <v>715</v>
      </c>
      <c r="S629"/>
      <c r="T629"/>
      <c r="U629"/>
    </row>
    <row r="630" spans="1:21">
      <c r="A630" s="2" t="s">
        <v>652</v>
      </c>
      <c r="B630" t="b">
        <v>1</v>
      </c>
      <c r="C630" t="b">
        <v>0</v>
      </c>
      <c r="D630" s="2" t="b">
        <v>0</v>
      </c>
      <c r="E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0">
        <v>0</v>
      </c>
      <c r="G630" t="s">
        <v>715</v>
      </c>
      <c r="S630"/>
      <c r="T630"/>
      <c r="U630"/>
    </row>
    <row r="631" spans="1:21">
      <c r="A631" s="2" t="s">
        <v>653</v>
      </c>
      <c r="B631" t="b">
        <v>1</v>
      </c>
      <c r="C631" t="b">
        <v>0</v>
      </c>
      <c r="D631" s="2" t="b">
        <v>0</v>
      </c>
      <c r="E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1">
        <v>-3</v>
      </c>
      <c r="G631" t="s">
        <v>715</v>
      </c>
      <c r="S631"/>
      <c r="T631"/>
      <c r="U631"/>
    </row>
    <row r="632" spans="1:21">
      <c r="A632" s="2" t="s">
        <v>654</v>
      </c>
      <c r="B632" t="b">
        <v>1</v>
      </c>
      <c r="C632" t="b">
        <v>0</v>
      </c>
      <c r="D632" s="2" t="b">
        <v>0</v>
      </c>
      <c r="E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2">
        <v>0</v>
      </c>
      <c r="G632" t="s">
        <v>715</v>
      </c>
      <c r="S632"/>
      <c r="T632"/>
      <c r="U632"/>
    </row>
    <row r="633" spans="1:21">
      <c r="A633" s="2" t="s">
        <v>655</v>
      </c>
      <c r="B633" t="b">
        <v>1</v>
      </c>
      <c r="C633" t="b">
        <v>0</v>
      </c>
      <c r="D633" s="2" t="b">
        <v>0</v>
      </c>
      <c r="E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3">
        <v>0</v>
      </c>
      <c r="G633" t="s">
        <v>715</v>
      </c>
      <c r="S633"/>
      <c r="T633"/>
      <c r="U633"/>
    </row>
    <row r="634" spans="1:21">
      <c r="A634" s="2" t="s">
        <v>656</v>
      </c>
      <c r="B634" t="b">
        <v>1</v>
      </c>
      <c r="C634" t="b">
        <v>0</v>
      </c>
      <c r="D634" s="2" t="b">
        <v>0</v>
      </c>
      <c r="E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4">
        <v>0</v>
      </c>
      <c r="G634" t="s">
        <v>715</v>
      </c>
      <c r="S634"/>
      <c r="T634"/>
      <c r="U634"/>
    </row>
    <row r="635" spans="1:21">
      <c r="A635" s="2" t="s">
        <v>657</v>
      </c>
      <c r="B635" t="b">
        <v>1</v>
      </c>
      <c r="C635" t="b">
        <v>0</v>
      </c>
      <c r="D635" s="2" t="b">
        <v>0</v>
      </c>
      <c r="E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5">
        <v>0</v>
      </c>
      <c r="G635" t="s">
        <v>715</v>
      </c>
      <c r="S635"/>
      <c r="T635"/>
      <c r="U635"/>
    </row>
    <row r="636" spans="1:21">
      <c r="A636" s="2" t="s">
        <v>658</v>
      </c>
      <c r="B636" t="b">
        <v>1</v>
      </c>
      <c r="C636" t="b">
        <v>0</v>
      </c>
      <c r="D636" s="2" t="b">
        <v>0</v>
      </c>
      <c r="E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6">
        <v>0</v>
      </c>
      <c r="G636" t="s">
        <v>715</v>
      </c>
      <c r="S636"/>
      <c r="T636"/>
      <c r="U636"/>
    </row>
    <row r="637" spans="1:21">
      <c r="A637" s="2" t="s">
        <v>659</v>
      </c>
      <c r="B637" t="b">
        <v>1</v>
      </c>
      <c r="C637" t="b">
        <v>0</v>
      </c>
      <c r="D637" s="2" t="b">
        <v>0</v>
      </c>
      <c r="E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7">
        <v>-3</v>
      </c>
      <c r="G637" t="s">
        <v>715</v>
      </c>
      <c r="S637"/>
      <c r="T637"/>
      <c r="U637"/>
    </row>
    <row r="638" spans="1:21">
      <c r="A638" s="2" t="s">
        <v>660</v>
      </c>
      <c r="B638" t="b">
        <v>1</v>
      </c>
      <c r="C638" t="b">
        <v>0</v>
      </c>
      <c r="D638" s="2" t="b">
        <v>0</v>
      </c>
      <c r="E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8">
        <v>-3</v>
      </c>
      <c r="G638" t="s">
        <v>715</v>
      </c>
      <c r="S638"/>
      <c r="T638"/>
      <c r="U638"/>
    </row>
    <row r="639" spans="1:21">
      <c r="A639" s="2" t="s">
        <v>661</v>
      </c>
      <c r="B639" t="b">
        <v>1</v>
      </c>
      <c r="C639" t="b">
        <v>0</v>
      </c>
      <c r="D639" s="2" t="b">
        <v>0</v>
      </c>
      <c r="E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9">
        <v>-3</v>
      </c>
      <c r="G639" t="s">
        <v>715</v>
      </c>
      <c r="S639"/>
      <c r="T639"/>
      <c r="U639"/>
    </row>
    <row r="640" spans="1:21">
      <c r="A640" s="2" t="s">
        <v>662</v>
      </c>
      <c r="B640" t="b">
        <v>1</v>
      </c>
      <c r="C640" t="b">
        <v>0</v>
      </c>
      <c r="D640" s="2" t="b">
        <v>0</v>
      </c>
      <c r="E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0">
        <v>-3</v>
      </c>
      <c r="G640" t="s">
        <v>715</v>
      </c>
      <c r="S640"/>
      <c r="T640"/>
      <c r="U640"/>
    </row>
    <row r="641" spans="1:21">
      <c r="A641" s="2" t="s">
        <v>663</v>
      </c>
      <c r="B641" t="b">
        <v>1</v>
      </c>
      <c r="C641" t="b">
        <v>0</v>
      </c>
      <c r="D641" s="2" t="b">
        <v>0</v>
      </c>
      <c r="E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1">
        <v>0</v>
      </c>
      <c r="G641" t="s">
        <v>715</v>
      </c>
      <c r="S641"/>
      <c r="T641"/>
      <c r="U641"/>
    </row>
    <row r="642" spans="1:21">
      <c r="A642" s="2" t="s">
        <v>664</v>
      </c>
      <c r="B642" t="b">
        <v>1</v>
      </c>
      <c r="C642" t="b">
        <v>0</v>
      </c>
      <c r="D642" s="2" t="b">
        <v>0</v>
      </c>
      <c r="E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2">
        <v>0</v>
      </c>
      <c r="G642" t="s">
        <v>715</v>
      </c>
      <c r="S642"/>
      <c r="T642"/>
      <c r="U642"/>
    </row>
    <row r="643" spans="1:21">
      <c r="A643" s="2" t="s">
        <v>665</v>
      </c>
      <c r="B643" t="b">
        <v>1</v>
      </c>
      <c r="C643" t="b">
        <v>0</v>
      </c>
      <c r="D643" s="2" t="b">
        <v>0</v>
      </c>
      <c r="E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3">
        <v>-3</v>
      </c>
      <c r="G643" t="s">
        <v>715</v>
      </c>
      <c r="S643"/>
      <c r="T643"/>
      <c r="U643"/>
    </row>
    <row r="644" spans="1:21">
      <c r="A644" s="2" t="s">
        <v>666</v>
      </c>
      <c r="B644" t="b">
        <v>1</v>
      </c>
      <c r="C644" t="b">
        <v>0</v>
      </c>
      <c r="D644" s="2" t="b">
        <v>0</v>
      </c>
      <c r="E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4">
        <v>-3</v>
      </c>
      <c r="G644" t="s">
        <v>715</v>
      </c>
      <c r="S644"/>
      <c r="T644"/>
      <c r="U644"/>
    </row>
    <row r="645" spans="1:21">
      <c r="A645" s="2" t="s">
        <v>667</v>
      </c>
      <c r="B645" t="b">
        <v>1</v>
      </c>
      <c r="C645" t="b">
        <v>1</v>
      </c>
      <c r="D645" s="2" t="b">
        <v>0</v>
      </c>
      <c r="E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5">
        <v>0</v>
      </c>
      <c r="G645" t="s">
        <v>715</v>
      </c>
      <c r="S645"/>
      <c r="T645"/>
      <c r="U645"/>
    </row>
    <row r="646" spans="1:21">
      <c r="A646" s="2" t="s">
        <v>668</v>
      </c>
      <c r="B646" t="b">
        <v>1</v>
      </c>
      <c r="C646" t="b">
        <v>1</v>
      </c>
      <c r="D646" s="2" t="b">
        <v>0</v>
      </c>
      <c r="E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6">
        <v>0</v>
      </c>
      <c r="G646" t="s">
        <v>715</v>
      </c>
      <c r="S646"/>
      <c r="T646"/>
      <c r="U646"/>
    </row>
    <row r="647" spans="1:21">
      <c r="A647" s="2" t="s">
        <v>669</v>
      </c>
      <c r="B647" t="b">
        <v>1</v>
      </c>
      <c r="C647" t="b">
        <v>1</v>
      </c>
      <c r="D647" s="2" t="b">
        <v>0</v>
      </c>
      <c r="E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7">
        <v>0</v>
      </c>
      <c r="G647" t="s">
        <v>715</v>
      </c>
      <c r="S647"/>
      <c r="T647"/>
      <c r="U647"/>
    </row>
    <row r="648" spans="1:21">
      <c r="A648" s="2" t="s">
        <v>670</v>
      </c>
      <c r="B648" t="b">
        <v>1</v>
      </c>
      <c r="C648" t="b">
        <v>1</v>
      </c>
      <c r="D648" s="2" t="b">
        <v>0</v>
      </c>
      <c r="E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8">
        <v>0</v>
      </c>
      <c r="G648" t="s">
        <v>715</v>
      </c>
      <c r="S648"/>
      <c r="T648"/>
      <c r="U648"/>
    </row>
    <row r="649" spans="1:21">
      <c r="A649" s="2" t="s">
        <v>745</v>
      </c>
      <c r="B649" t="b">
        <v>1</v>
      </c>
      <c r="C649" t="b">
        <v>0</v>
      </c>
      <c r="D649" s="2" t="b">
        <v>0</v>
      </c>
      <c r="E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49">
        <v>0</v>
      </c>
      <c r="G649" t="s">
        <v>715</v>
      </c>
      <c r="S649"/>
      <c r="T649"/>
      <c r="U649"/>
    </row>
    <row r="650" spans="1:21">
      <c r="A650" s="2" t="s">
        <v>744</v>
      </c>
      <c r="B650" t="b">
        <v>1</v>
      </c>
      <c r="C650" t="b">
        <v>0</v>
      </c>
      <c r="D650" s="2" t="b">
        <v>0</v>
      </c>
      <c r="E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0">
        <v>0</v>
      </c>
      <c r="G650" t="s">
        <v>715</v>
      </c>
      <c r="S650"/>
      <c r="T650"/>
      <c r="U650"/>
    </row>
    <row r="651" spans="1:21">
      <c r="A651" s="2" t="s">
        <v>746</v>
      </c>
      <c r="B651" t="b">
        <v>1</v>
      </c>
      <c r="C651" t="b">
        <v>0</v>
      </c>
      <c r="D651" s="2" t="b">
        <v>0</v>
      </c>
      <c r="E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1">
        <v>0</v>
      </c>
      <c r="G651" t="s">
        <v>715</v>
      </c>
      <c r="S651"/>
      <c r="T651"/>
      <c r="U651"/>
    </row>
    <row r="652" spans="1:21">
      <c r="A652" s="2" t="s">
        <v>747</v>
      </c>
      <c r="B652" t="b">
        <v>1</v>
      </c>
      <c r="C652" t="b">
        <v>0</v>
      </c>
      <c r="D652" s="2" t="b">
        <v>0</v>
      </c>
      <c r="E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2">
        <v>0</v>
      </c>
      <c r="G652" t="s">
        <v>715</v>
      </c>
      <c r="S652"/>
      <c r="T652"/>
      <c r="U652"/>
    </row>
    <row r="653" spans="1:21">
      <c r="A653" s="2" t="s">
        <v>748</v>
      </c>
      <c r="B653" t="b">
        <v>1</v>
      </c>
      <c r="C653" t="b">
        <v>0</v>
      </c>
      <c r="D653" s="2" t="b">
        <v>0</v>
      </c>
      <c r="E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3">
        <v>0</v>
      </c>
      <c r="G653" t="s">
        <v>715</v>
      </c>
      <c r="S653"/>
      <c r="T653"/>
      <c r="U653"/>
    </row>
    <row r="654" spans="1:21">
      <c r="A654" s="2" t="s">
        <v>749</v>
      </c>
      <c r="B654" t="b">
        <v>1</v>
      </c>
      <c r="C654" t="b">
        <v>0</v>
      </c>
      <c r="D654" s="2" t="b">
        <v>0</v>
      </c>
      <c r="E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4">
        <v>0</v>
      </c>
      <c r="G654" t="s">
        <v>715</v>
      </c>
      <c r="S654"/>
      <c r="T654"/>
      <c r="U654"/>
    </row>
    <row r="655" spans="1:21">
      <c r="A655" s="2" t="s">
        <v>751</v>
      </c>
      <c r="B655" t="b">
        <v>1</v>
      </c>
      <c r="C655" t="b">
        <v>0</v>
      </c>
      <c r="D655" s="2" t="b">
        <v>1</v>
      </c>
      <c r="E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5">
        <v>0</v>
      </c>
      <c r="G655" t="s">
        <v>715</v>
      </c>
      <c r="S655"/>
      <c r="T655"/>
      <c r="U655"/>
    </row>
    <row r="656" spans="1:21">
      <c r="A656" s="2" t="s">
        <v>752</v>
      </c>
      <c r="B656" t="b">
        <v>1</v>
      </c>
      <c r="C656" t="b">
        <v>0</v>
      </c>
      <c r="D656" s="2" t="b">
        <v>1</v>
      </c>
      <c r="E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6">
        <v>0</v>
      </c>
      <c r="G656" t="s">
        <v>715</v>
      </c>
      <c r="S656"/>
      <c r="T656"/>
      <c r="U656"/>
    </row>
    <row r="657" spans="1:21">
      <c r="A657" s="2" t="s">
        <v>753</v>
      </c>
      <c r="B657" t="b">
        <v>1</v>
      </c>
      <c r="C657" t="b">
        <v>0</v>
      </c>
      <c r="D657" s="2" t="b">
        <v>1</v>
      </c>
      <c r="E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7">
        <v>0</v>
      </c>
      <c r="G657" t="s">
        <v>715</v>
      </c>
      <c r="S657"/>
      <c r="T657"/>
      <c r="U657"/>
    </row>
    <row r="658" spans="1:21">
      <c r="A658" s="2" t="s">
        <v>754</v>
      </c>
      <c r="B658" t="b">
        <v>1</v>
      </c>
      <c r="C658" t="b">
        <v>0</v>
      </c>
      <c r="D658" s="2" t="b">
        <v>1</v>
      </c>
      <c r="E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8">
        <v>0</v>
      </c>
      <c r="G658" t="s">
        <v>715</v>
      </c>
      <c r="S658"/>
      <c r="T658"/>
      <c r="U658"/>
    </row>
    <row r="659" spans="1:21">
      <c r="A659" s="2" t="s">
        <v>826</v>
      </c>
      <c r="B659" t="b">
        <v>1</v>
      </c>
      <c r="C659" t="b">
        <v>0</v>
      </c>
      <c r="D659" s="2" t="b">
        <v>1</v>
      </c>
      <c r="E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9">
        <v>0</v>
      </c>
      <c r="G659" t="s">
        <v>715</v>
      </c>
      <c r="S659"/>
      <c r="T659"/>
      <c r="U659"/>
    </row>
    <row r="660" spans="1:21">
      <c r="A660" s="2" t="s">
        <v>827</v>
      </c>
      <c r="B660" t="b">
        <v>1</v>
      </c>
      <c r="C660" t="b">
        <v>0</v>
      </c>
      <c r="D660" s="2" t="b">
        <v>1</v>
      </c>
      <c r="E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0">
        <v>0</v>
      </c>
      <c r="G660" t="s">
        <v>715</v>
      </c>
      <c r="S660"/>
      <c r="T660"/>
      <c r="U660"/>
    </row>
    <row r="661" spans="1:21">
      <c r="A661" s="2" t="s">
        <v>828</v>
      </c>
      <c r="B661" t="b">
        <v>1</v>
      </c>
      <c r="C661" t="b">
        <v>0</v>
      </c>
      <c r="D661" s="2" t="b">
        <v>1</v>
      </c>
      <c r="E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1">
        <v>0</v>
      </c>
      <c r="G661" t="s">
        <v>715</v>
      </c>
      <c r="S661"/>
      <c r="T661"/>
      <c r="U661"/>
    </row>
    <row r="662" spans="1:21">
      <c r="A662" s="2" t="s">
        <v>829</v>
      </c>
      <c r="B662" t="b">
        <v>1</v>
      </c>
      <c r="C662" t="b">
        <v>0</v>
      </c>
      <c r="D662" s="2" t="b">
        <v>1</v>
      </c>
      <c r="E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2">
        <v>0</v>
      </c>
      <c r="G662" t="s">
        <v>715</v>
      </c>
      <c r="S662"/>
      <c r="T662"/>
      <c r="U662"/>
    </row>
    <row r="663" spans="1:21">
      <c r="A663" s="2" t="s">
        <v>830</v>
      </c>
      <c r="B663" t="b">
        <v>1</v>
      </c>
      <c r="C663" t="b">
        <v>0</v>
      </c>
      <c r="D663" s="2" t="b">
        <v>1</v>
      </c>
      <c r="E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3">
        <v>0</v>
      </c>
      <c r="G663" t="s">
        <v>715</v>
      </c>
      <c r="S663"/>
      <c r="T663"/>
      <c r="U663"/>
    </row>
    <row r="664" spans="1:21">
      <c r="A664" s="2" t="s">
        <v>831</v>
      </c>
      <c r="B664" t="b">
        <v>1</v>
      </c>
      <c r="C664" t="b">
        <v>0</v>
      </c>
      <c r="D664" s="2" t="b">
        <v>1</v>
      </c>
      <c r="E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4">
        <v>0</v>
      </c>
      <c r="G664" t="s">
        <v>715</v>
      </c>
      <c r="S664"/>
      <c r="T664"/>
      <c r="U664"/>
    </row>
    <row r="665" spans="1:21">
      <c r="A665" s="2" t="s">
        <v>832</v>
      </c>
      <c r="B665" t="b">
        <v>1</v>
      </c>
      <c r="C665" t="b">
        <v>0</v>
      </c>
      <c r="D665" s="2" t="b">
        <v>1</v>
      </c>
      <c r="E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5">
        <v>0</v>
      </c>
      <c r="G665" t="s">
        <v>715</v>
      </c>
      <c r="S665"/>
      <c r="T665"/>
      <c r="U665"/>
    </row>
    <row r="666" spans="1:21">
      <c r="A666" s="2" t="s">
        <v>833</v>
      </c>
      <c r="B666" t="b">
        <v>1</v>
      </c>
      <c r="C666" t="b">
        <v>0</v>
      </c>
      <c r="D666" s="2" t="b">
        <v>1</v>
      </c>
      <c r="E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6">
        <v>0</v>
      </c>
      <c r="G666" t="s">
        <v>715</v>
      </c>
      <c r="S666"/>
      <c r="T666"/>
      <c r="U666"/>
    </row>
    <row r="667" spans="1:21">
      <c r="A667" s="2" t="s">
        <v>834</v>
      </c>
      <c r="B667" t="b">
        <v>1</v>
      </c>
      <c r="C667" t="b">
        <v>0</v>
      </c>
      <c r="D667" s="2" t="b">
        <v>1</v>
      </c>
      <c r="E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7">
        <v>0</v>
      </c>
      <c r="G667" t="s">
        <v>715</v>
      </c>
      <c r="S667"/>
      <c r="T667"/>
      <c r="U667"/>
    </row>
    <row r="668" spans="1:21">
      <c r="A668" s="2" t="s">
        <v>835</v>
      </c>
      <c r="B668" t="b">
        <v>1</v>
      </c>
      <c r="C668" t="b">
        <v>0</v>
      </c>
      <c r="D668" s="2" t="b">
        <v>1</v>
      </c>
      <c r="E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8">
        <v>0</v>
      </c>
      <c r="G668" t="s">
        <v>715</v>
      </c>
      <c r="S668"/>
      <c r="T668"/>
      <c r="U668"/>
    </row>
    <row r="669" spans="1:21">
      <c r="A669" s="2" t="s">
        <v>836</v>
      </c>
      <c r="B669" t="b">
        <v>1</v>
      </c>
      <c r="C669" t="b">
        <v>0</v>
      </c>
      <c r="D669" s="2" t="b">
        <v>1</v>
      </c>
      <c r="E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9">
        <v>0</v>
      </c>
      <c r="G669" t="s">
        <v>715</v>
      </c>
      <c r="S669"/>
      <c r="T669"/>
      <c r="U669"/>
    </row>
    <row r="670" spans="1:21">
      <c r="A670" s="2" t="s">
        <v>837</v>
      </c>
      <c r="B670" t="b">
        <v>1</v>
      </c>
      <c r="C670" t="b">
        <v>0</v>
      </c>
      <c r="D670" s="2" t="b">
        <v>1</v>
      </c>
      <c r="E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0">
        <v>0</v>
      </c>
      <c r="G670" t="s">
        <v>715</v>
      </c>
      <c r="S670"/>
      <c r="T670"/>
      <c r="U670"/>
    </row>
    <row r="671" spans="1:21">
      <c r="A671" s="2" t="s">
        <v>838</v>
      </c>
      <c r="B671" t="b">
        <v>1</v>
      </c>
      <c r="C671" t="b">
        <v>0</v>
      </c>
      <c r="D671" s="2" t="b">
        <v>1</v>
      </c>
      <c r="E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1">
        <v>0</v>
      </c>
      <c r="G671" t="s">
        <v>715</v>
      </c>
      <c r="S671"/>
      <c r="T671"/>
      <c r="U671"/>
    </row>
    <row r="672" spans="1:21">
      <c r="A672" s="2" t="s">
        <v>839</v>
      </c>
      <c r="B672" t="b">
        <v>1</v>
      </c>
      <c r="C672" t="b">
        <v>0</v>
      </c>
      <c r="D672" s="2" t="b">
        <v>1</v>
      </c>
      <c r="E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2">
        <v>0</v>
      </c>
      <c r="G672" t="s">
        <v>715</v>
      </c>
      <c r="S672"/>
      <c r="T672"/>
      <c r="U672"/>
    </row>
    <row r="673" spans="1:21">
      <c r="A673" s="2" t="s">
        <v>840</v>
      </c>
      <c r="B673" t="b">
        <v>1</v>
      </c>
      <c r="C673" t="b">
        <v>0</v>
      </c>
      <c r="D673" s="2" t="b">
        <v>1</v>
      </c>
      <c r="E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3">
        <v>0</v>
      </c>
      <c r="G673" t="s">
        <v>715</v>
      </c>
      <c r="S673"/>
      <c r="T673"/>
      <c r="U673"/>
    </row>
    <row r="674" spans="1:21">
      <c r="A674" s="2" t="s">
        <v>841</v>
      </c>
      <c r="B674" t="b">
        <v>1</v>
      </c>
      <c r="C674" t="b">
        <v>0</v>
      </c>
      <c r="D674" s="2" t="b">
        <v>1</v>
      </c>
      <c r="E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4">
        <v>0</v>
      </c>
      <c r="G674" t="s">
        <v>715</v>
      </c>
      <c r="S674"/>
      <c r="T674"/>
      <c r="U674"/>
    </row>
    <row r="675" spans="1:21">
      <c r="A675" s="2" t="s">
        <v>842</v>
      </c>
      <c r="B675" t="b">
        <v>1</v>
      </c>
      <c r="C675" t="b">
        <v>0</v>
      </c>
      <c r="D675" s="2" t="b">
        <v>1</v>
      </c>
      <c r="E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5">
        <v>0</v>
      </c>
      <c r="G675" t="s">
        <v>715</v>
      </c>
      <c r="S675"/>
      <c r="T675"/>
      <c r="U675"/>
    </row>
    <row r="676" spans="1:21">
      <c r="A676" s="2" t="s">
        <v>843</v>
      </c>
      <c r="B676" t="b">
        <v>1</v>
      </c>
      <c r="C676" t="b">
        <v>0</v>
      </c>
      <c r="D676" s="2" t="b">
        <v>1</v>
      </c>
      <c r="E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6">
        <v>0</v>
      </c>
      <c r="G676" t="s">
        <v>715</v>
      </c>
      <c r="S676"/>
      <c r="T676"/>
      <c r="U676"/>
    </row>
    <row r="677" spans="1:21">
      <c r="A677" s="2" t="s">
        <v>844</v>
      </c>
      <c r="B677" t="b">
        <v>1</v>
      </c>
      <c r="C677" t="b">
        <v>0</v>
      </c>
      <c r="D677" s="2" t="b">
        <v>1</v>
      </c>
      <c r="E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7">
        <v>0</v>
      </c>
      <c r="G677" t="s">
        <v>715</v>
      </c>
      <c r="S677"/>
      <c r="T677"/>
      <c r="U677"/>
    </row>
    <row r="678" spans="1:21">
      <c r="A678" s="2" t="s">
        <v>845</v>
      </c>
      <c r="B678" t="b">
        <v>1</v>
      </c>
      <c r="C678" t="b">
        <v>0</v>
      </c>
      <c r="D678" s="2" t="b">
        <v>1</v>
      </c>
      <c r="E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8">
        <v>0</v>
      </c>
      <c r="G678" t="s">
        <v>715</v>
      </c>
      <c r="S678"/>
      <c r="T678"/>
      <c r="U678"/>
    </row>
    <row r="679" spans="1:21">
      <c r="A679" s="2" t="s">
        <v>846</v>
      </c>
      <c r="B679" t="b">
        <v>1</v>
      </c>
      <c r="C679" t="b">
        <v>0</v>
      </c>
      <c r="D679" s="2" t="b">
        <v>1</v>
      </c>
      <c r="E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9">
        <v>0</v>
      </c>
      <c r="G679" t="s">
        <v>715</v>
      </c>
      <c r="S679"/>
      <c r="T679"/>
      <c r="U679"/>
    </row>
    <row r="680" spans="1:21">
      <c r="A680" s="2" t="s">
        <v>847</v>
      </c>
      <c r="B680" t="b">
        <v>1</v>
      </c>
      <c r="C680" t="b">
        <v>0</v>
      </c>
      <c r="D680" s="2" t="b">
        <v>1</v>
      </c>
      <c r="E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0">
        <v>0</v>
      </c>
      <c r="G680" t="s">
        <v>715</v>
      </c>
      <c r="S680"/>
      <c r="T680"/>
      <c r="U680"/>
    </row>
    <row r="681" spans="1:21">
      <c r="A681" s="2" t="s">
        <v>848</v>
      </c>
      <c r="B681" t="b">
        <v>1</v>
      </c>
      <c r="C681" t="b">
        <v>0</v>
      </c>
      <c r="D681" s="2" t="b">
        <v>1</v>
      </c>
      <c r="E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1">
        <v>0</v>
      </c>
      <c r="G681" t="s">
        <v>715</v>
      </c>
      <c r="S681"/>
      <c r="T681"/>
      <c r="U681"/>
    </row>
    <row r="682" spans="1:21">
      <c r="A682" s="2" t="s">
        <v>849</v>
      </c>
      <c r="B682" t="b">
        <v>1</v>
      </c>
      <c r="C682" t="b">
        <v>0</v>
      </c>
      <c r="D682" s="2" t="b">
        <v>1</v>
      </c>
      <c r="E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2">
        <v>0</v>
      </c>
      <c r="G682" t="s">
        <v>715</v>
      </c>
      <c r="S682"/>
      <c r="T682"/>
      <c r="U682"/>
    </row>
    <row r="683" spans="1:21">
      <c r="A683" s="2" t="s">
        <v>850</v>
      </c>
      <c r="B683" t="b">
        <v>1</v>
      </c>
      <c r="C683" t="b">
        <v>0</v>
      </c>
      <c r="D683" s="2" t="b">
        <v>1</v>
      </c>
      <c r="E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3">
        <v>0</v>
      </c>
      <c r="G683" t="s">
        <v>715</v>
      </c>
      <c r="S683"/>
      <c r="T683"/>
      <c r="U683"/>
    </row>
    <row r="684" spans="1:21">
      <c r="A684" s="2" t="s">
        <v>851</v>
      </c>
      <c r="B684" t="b">
        <v>1</v>
      </c>
      <c r="C684" t="b">
        <v>0</v>
      </c>
      <c r="D684" s="2" t="b">
        <v>1</v>
      </c>
      <c r="E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4">
        <v>0</v>
      </c>
      <c r="G684" t="s">
        <v>715</v>
      </c>
      <c r="S684"/>
      <c r="T684"/>
      <c r="U684"/>
    </row>
    <row r="685" spans="1:21">
      <c r="A685" s="2" t="s">
        <v>852</v>
      </c>
      <c r="B685" t="b">
        <v>1</v>
      </c>
      <c r="C685" t="b">
        <v>0</v>
      </c>
      <c r="D685" s="2" t="b">
        <v>1</v>
      </c>
      <c r="E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5">
        <v>0</v>
      </c>
      <c r="G685" t="s">
        <v>715</v>
      </c>
      <c r="S685"/>
      <c r="T685"/>
      <c r="U685"/>
    </row>
    <row r="686" spans="1:21">
      <c r="A686" s="2" t="s">
        <v>853</v>
      </c>
      <c r="B686" t="b">
        <v>1</v>
      </c>
      <c r="C686" t="b">
        <v>0</v>
      </c>
      <c r="D686" s="2" t="b">
        <v>1</v>
      </c>
      <c r="E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6">
        <v>0</v>
      </c>
      <c r="G686" t="s">
        <v>715</v>
      </c>
      <c r="S686"/>
      <c r="T686"/>
      <c r="U686"/>
    </row>
    <row r="687" spans="1:21">
      <c r="A687" s="2" t="s">
        <v>854</v>
      </c>
      <c r="B687" t="b">
        <v>1</v>
      </c>
      <c r="C687" t="b">
        <v>0</v>
      </c>
      <c r="D687" s="2" t="b">
        <v>1</v>
      </c>
      <c r="E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7">
        <v>0</v>
      </c>
      <c r="G687" t="s">
        <v>715</v>
      </c>
      <c r="S687"/>
      <c r="T687"/>
      <c r="U687"/>
    </row>
    <row r="688" spans="1:21">
      <c r="A688" s="2" t="s">
        <v>855</v>
      </c>
      <c r="B688" t="b">
        <v>1</v>
      </c>
      <c r="C688" t="b">
        <v>0</v>
      </c>
      <c r="D688" s="2" t="b">
        <v>1</v>
      </c>
      <c r="E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8">
        <v>0</v>
      </c>
      <c r="G688" t="s">
        <v>715</v>
      </c>
      <c r="S688"/>
      <c r="T688"/>
      <c r="U688"/>
    </row>
    <row r="689" spans="1:21">
      <c r="A689" s="2" t="s">
        <v>856</v>
      </c>
      <c r="B689" t="b">
        <v>1</v>
      </c>
      <c r="C689" t="b">
        <v>0</v>
      </c>
      <c r="D689" s="2" t="b">
        <v>1</v>
      </c>
      <c r="E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9">
        <v>0</v>
      </c>
      <c r="G689" t="s">
        <v>715</v>
      </c>
      <c r="S689"/>
      <c r="T689"/>
      <c r="U689"/>
    </row>
    <row r="690" spans="1:21">
      <c r="A690" s="2" t="s">
        <v>857</v>
      </c>
      <c r="B690" t="b">
        <v>1</v>
      </c>
      <c r="C690" t="b">
        <v>0</v>
      </c>
      <c r="D690" s="2" t="b">
        <v>1</v>
      </c>
      <c r="E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0">
        <v>0</v>
      </c>
      <c r="G690" t="s">
        <v>715</v>
      </c>
      <c r="S690"/>
      <c r="T690"/>
      <c r="U690"/>
    </row>
    <row r="691" spans="1:21">
      <c r="A691" s="2" t="s">
        <v>858</v>
      </c>
      <c r="B691" t="b">
        <v>1</v>
      </c>
      <c r="C691" t="b">
        <v>0</v>
      </c>
      <c r="D691" s="2" t="b">
        <v>1</v>
      </c>
      <c r="E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1">
        <v>0</v>
      </c>
      <c r="G691" t="s">
        <v>715</v>
      </c>
      <c r="S691"/>
      <c r="T691"/>
      <c r="U691"/>
    </row>
    <row r="692" spans="1:21">
      <c r="A692" s="2" t="s">
        <v>859</v>
      </c>
      <c r="B692" t="b">
        <v>1</v>
      </c>
      <c r="C692" t="b">
        <v>0</v>
      </c>
      <c r="D692" s="2" t="b">
        <v>1</v>
      </c>
      <c r="E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2">
        <v>0</v>
      </c>
      <c r="G692" t="s">
        <v>715</v>
      </c>
      <c r="S692"/>
      <c r="T692"/>
      <c r="U692"/>
    </row>
    <row r="693" spans="1:21">
      <c r="A693" s="2" t="s">
        <v>860</v>
      </c>
      <c r="B693" t="b">
        <v>1</v>
      </c>
      <c r="C693" t="b">
        <v>0</v>
      </c>
      <c r="D693" s="2" t="b">
        <v>1</v>
      </c>
      <c r="E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3">
        <v>0</v>
      </c>
      <c r="G693" t="s">
        <v>715</v>
      </c>
      <c r="S693"/>
      <c r="T693"/>
      <c r="U693"/>
    </row>
    <row r="694" spans="1:21">
      <c r="A694" s="2" t="s">
        <v>861</v>
      </c>
      <c r="B694" t="b">
        <v>1</v>
      </c>
      <c r="C694" t="b">
        <v>0</v>
      </c>
      <c r="D694" s="2" t="b">
        <v>1</v>
      </c>
      <c r="E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4">
        <v>0</v>
      </c>
      <c r="G694" t="s">
        <v>715</v>
      </c>
      <c r="S694"/>
      <c r="T694"/>
      <c r="U694"/>
    </row>
    <row r="695" spans="1:21">
      <c r="A695" s="2" t="s">
        <v>862</v>
      </c>
      <c r="B695" t="b">
        <v>1</v>
      </c>
      <c r="C695" t="b">
        <v>0</v>
      </c>
      <c r="D695" s="2" t="b">
        <v>1</v>
      </c>
      <c r="E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5">
        <v>0</v>
      </c>
      <c r="G695" t="s">
        <v>715</v>
      </c>
      <c r="S695"/>
      <c r="T695"/>
      <c r="U695"/>
    </row>
    <row r="696" spans="1:21">
      <c r="A696" s="2" t="s">
        <v>863</v>
      </c>
      <c r="B696" t="b">
        <v>1</v>
      </c>
      <c r="C696" t="b">
        <v>0</v>
      </c>
      <c r="D696" s="2" t="b">
        <v>1</v>
      </c>
      <c r="E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6">
        <v>0</v>
      </c>
      <c r="G696" t="s">
        <v>715</v>
      </c>
      <c r="S696"/>
      <c r="T696"/>
      <c r="U696"/>
    </row>
    <row r="697" spans="1:21">
      <c r="A697" s="2" t="s">
        <v>864</v>
      </c>
      <c r="B697" t="b">
        <v>1</v>
      </c>
      <c r="C697" t="b">
        <v>0</v>
      </c>
      <c r="D697" s="2" t="b">
        <v>1</v>
      </c>
      <c r="E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7">
        <v>0</v>
      </c>
      <c r="G697" t="s">
        <v>715</v>
      </c>
      <c r="S697"/>
      <c r="T697"/>
      <c r="U697"/>
    </row>
    <row r="698" spans="1:21">
      <c r="A698" s="2" t="s">
        <v>865</v>
      </c>
      <c r="B698" t="b">
        <v>1</v>
      </c>
      <c r="C698" t="b">
        <v>0</v>
      </c>
      <c r="D698" s="2" t="b">
        <v>1</v>
      </c>
      <c r="E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8">
        <v>0</v>
      </c>
      <c r="G698" t="s">
        <v>715</v>
      </c>
      <c r="S698"/>
      <c r="T698"/>
      <c r="U698"/>
    </row>
    <row r="699" spans="1:21">
      <c r="A699" s="2" t="s">
        <v>866</v>
      </c>
      <c r="B699" t="b">
        <v>1</v>
      </c>
      <c r="C699" t="b">
        <v>0</v>
      </c>
      <c r="D699" s="2" t="b">
        <v>1</v>
      </c>
      <c r="E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9">
        <v>0</v>
      </c>
      <c r="G699" t="s">
        <v>715</v>
      </c>
      <c r="S699"/>
      <c r="T699"/>
      <c r="U699"/>
    </row>
    <row r="700" spans="1:21">
      <c r="A700" s="2" t="s">
        <v>867</v>
      </c>
      <c r="B700" t="b">
        <v>1</v>
      </c>
      <c r="C700" t="b">
        <v>0</v>
      </c>
      <c r="D700" s="2" t="b">
        <v>1</v>
      </c>
      <c r="E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0">
        <v>0</v>
      </c>
      <c r="G700" t="s">
        <v>715</v>
      </c>
      <c r="S700"/>
      <c r="T700"/>
      <c r="U700"/>
    </row>
    <row r="701" spans="1:21">
      <c r="A701" s="2" t="s">
        <v>868</v>
      </c>
      <c r="B701" t="b">
        <v>1</v>
      </c>
      <c r="C701" t="b">
        <v>0</v>
      </c>
      <c r="D701" s="2" t="b">
        <v>1</v>
      </c>
      <c r="E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1">
        <v>0</v>
      </c>
      <c r="G701" t="s">
        <v>715</v>
      </c>
      <c r="S701"/>
      <c r="T701"/>
      <c r="U701"/>
    </row>
    <row r="702" spans="1:21">
      <c r="A702" s="2" t="s">
        <v>869</v>
      </c>
      <c r="B702" t="b">
        <v>1</v>
      </c>
      <c r="C702" t="b">
        <v>0</v>
      </c>
      <c r="D702" s="2" t="b">
        <v>1</v>
      </c>
      <c r="E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2">
        <v>0</v>
      </c>
      <c r="G702" t="s">
        <v>715</v>
      </c>
      <c r="S702"/>
      <c r="T702"/>
      <c r="U702"/>
    </row>
    <row r="703" spans="1:21">
      <c r="A703" s="2" t="s">
        <v>870</v>
      </c>
      <c r="B703" t="b">
        <v>1</v>
      </c>
      <c r="C703" t="b">
        <v>0</v>
      </c>
      <c r="D703" s="2" t="b">
        <v>1</v>
      </c>
      <c r="E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3">
        <v>0</v>
      </c>
      <c r="G703" t="s">
        <v>715</v>
      </c>
      <c r="S703"/>
      <c r="T703"/>
      <c r="U703"/>
    </row>
    <row r="704" spans="1:21">
      <c r="A704" s="2" t="s">
        <v>871</v>
      </c>
      <c r="B704" t="b">
        <v>1</v>
      </c>
      <c r="C704" t="b">
        <v>0</v>
      </c>
      <c r="D704" s="2" t="b">
        <v>1</v>
      </c>
      <c r="E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4">
        <v>0</v>
      </c>
      <c r="G704" t="s">
        <v>715</v>
      </c>
      <c r="S704"/>
      <c r="T704"/>
      <c r="U704"/>
    </row>
    <row r="705" spans="1:21">
      <c r="A705" s="2" t="s">
        <v>872</v>
      </c>
      <c r="B705" t="b">
        <v>1</v>
      </c>
      <c r="C705" t="b">
        <v>0</v>
      </c>
      <c r="D705" s="2" t="b">
        <v>1</v>
      </c>
      <c r="E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5">
        <v>0</v>
      </c>
      <c r="G705" t="s">
        <v>715</v>
      </c>
      <c r="S705"/>
      <c r="T705"/>
      <c r="U705"/>
    </row>
    <row r="706" spans="1:21">
      <c r="A706" s="2" t="s">
        <v>873</v>
      </c>
      <c r="B706" t="b">
        <v>1</v>
      </c>
      <c r="C706" t="b">
        <v>0</v>
      </c>
      <c r="D706" s="2" t="b">
        <v>1</v>
      </c>
      <c r="E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6">
        <v>0</v>
      </c>
      <c r="G706" t="s">
        <v>715</v>
      </c>
      <c r="S706"/>
      <c r="T706"/>
      <c r="U706"/>
    </row>
    <row r="707" spans="1:21">
      <c r="A707" s="2" t="s">
        <v>874</v>
      </c>
      <c r="B707" t="b">
        <v>1</v>
      </c>
      <c r="C707" t="b">
        <v>0</v>
      </c>
      <c r="D707" s="2" t="b">
        <v>1</v>
      </c>
      <c r="E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7">
        <v>0</v>
      </c>
      <c r="G707" t="s">
        <v>715</v>
      </c>
      <c r="S707"/>
      <c r="T707"/>
      <c r="U707"/>
    </row>
    <row r="708" spans="1:21">
      <c r="A708" s="2" t="s">
        <v>875</v>
      </c>
      <c r="B708" t="b">
        <v>1</v>
      </c>
      <c r="C708" t="b">
        <v>0</v>
      </c>
      <c r="D708" s="2" t="b">
        <v>1</v>
      </c>
      <c r="E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8">
        <v>0</v>
      </c>
      <c r="G708" t="s">
        <v>715</v>
      </c>
      <c r="S708"/>
      <c r="T708"/>
      <c r="U708"/>
    </row>
    <row r="709" spans="1:21">
      <c r="A709" s="2" t="s">
        <v>876</v>
      </c>
      <c r="B709" t="b">
        <v>1</v>
      </c>
      <c r="C709" t="b">
        <v>0</v>
      </c>
      <c r="D709" s="2" t="b">
        <v>1</v>
      </c>
      <c r="E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9">
        <v>0</v>
      </c>
      <c r="G709" t="s">
        <v>715</v>
      </c>
      <c r="S709"/>
      <c r="T709"/>
      <c r="U709"/>
    </row>
    <row r="710" spans="1:21">
      <c r="A710" s="2" t="s">
        <v>877</v>
      </c>
      <c r="B710" t="b">
        <v>1</v>
      </c>
      <c r="C710" t="b">
        <v>0</v>
      </c>
      <c r="D710" s="2" t="b">
        <v>1</v>
      </c>
      <c r="E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0">
        <v>0</v>
      </c>
      <c r="G710" t="s">
        <v>715</v>
      </c>
      <c r="S710"/>
      <c r="T710"/>
      <c r="U710"/>
    </row>
    <row r="711" spans="1:21">
      <c r="A711" s="2" t="s">
        <v>878</v>
      </c>
      <c r="B711" t="b">
        <v>1</v>
      </c>
      <c r="C711" t="b">
        <v>0</v>
      </c>
      <c r="D711" s="2" t="b">
        <v>1</v>
      </c>
      <c r="E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1">
        <v>0</v>
      </c>
      <c r="G711" t="s">
        <v>715</v>
      </c>
      <c r="S711"/>
      <c r="T711"/>
      <c r="U711"/>
    </row>
    <row r="712" spans="1:21">
      <c r="A712" s="2" t="s">
        <v>879</v>
      </c>
      <c r="B712" t="b">
        <v>1</v>
      </c>
      <c r="C712" t="b">
        <v>0</v>
      </c>
      <c r="D712" s="2" t="b">
        <v>1</v>
      </c>
      <c r="E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2">
        <v>0</v>
      </c>
      <c r="G712" t="s">
        <v>715</v>
      </c>
      <c r="S712"/>
      <c r="T712"/>
      <c r="U712"/>
    </row>
    <row r="713" spans="1:21">
      <c r="A713" s="2" t="s">
        <v>880</v>
      </c>
      <c r="B713" t="b">
        <v>1</v>
      </c>
      <c r="C713" t="b">
        <v>0</v>
      </c>
      <c r="D713" s="2" t="b">
        <v>1</v>
      </c>
      <c r="E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3">
        <v>0</v>
      </c>
      <c r="G713" t="s">
        <v>715</v>
      </c>
      <c r="S713"/>
      <c r="T713"/>
      <c r="U713"/>
    </row>
    <row r="714" spans="1:21">
      <c r="A714" s="2" t="s">
        <v>881</v>
      </c>
      <c r="B714" t="b">
        <v>1</v>
      </c>
      <c r="C714" t="b">
        <v>0</v>
      </c>
      <c r="D714" s="2" t="b">
        <v>1</v>
      </c>
      <c r="E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4">
        <v>0</v>
      </c>
      <c r="G714" t="s">
        <v>715</v>
      </c>
      <c r="S714"/>
      <c r="T714"/>
      <c r="U714"/>
    </row>
    <row r="715" spans="1:21">
      <c r="A715" s="2" t="s">
        <v>882</v>
      </c>
      <c r="B715" t="b">
        <v>1</v>
      </c>
      <c r="C715" t="b">
        <v>0</v>
      </c>
      <c r="D715" s="2" t="b">
        <v>1</v>
      </c>
      <c r="E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5">
        <v>0</v>
      </c>
      <c r="G715" t="s">
        <v>715</v>
      </c>
      <c r="S715"/>
      <c r="T715"/>
      <c r="U715"/>
    </row>
    <row r="716" spans="1:21">
      <c r="A716" s="2" t="s">
        <v>883</v>
      </c>
      <c r="B716" t="b">
        <v>1</v>
      </c>
      <c r="C716" t="b">
        <v>0</v>
      </c>
      <c r="D716" s="2" t="b">
        <v>1</v>
      </c>
      <c r="E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6">
        <v>0</v>
      </c>
      <c r="G716" t="s">
        <v>715</v>
      </c>
      <c r="S716"/>
      <c r="T716"/>
      <c r="U716"/>
    </row>
    <row r="717" spans="1:21">
      <c r="A717" s="2" t="s">
        <v>898</v>
      </c>
      <c r="B717" t="b">
        <v>1</v>
      </c>
      <c r="C717" t="b">
        <v>0</v>
      </c>
      <c r="D717" s="2" t="b">
        <v>1</v>
      </c>
      <c r="E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7">
        <v>0</v>
      </c>
      <c r="G717" t="s">
        <v>715</v>
      </c>
      <c r="S717"/>
      <c r="T717"/>
      <c r="U717"/>
    </row>
    <row r="718" spans="1:21">
      <c r="A718" s="2" t="s">
        <v>899</v>
      </c>
      <c r="B718" t="b">
        <v>1</v>
      </c>
      <c r="C718" t="b">
        <v>0</v>
      </c>
      <c r="D718" s="2" t="b">
        <v>1</v>
      </c>
      <c r="E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8">
        <v>0</v>
      </c>
      <c r="G718" t="s">
        <v>715</v>
      </c>
      <c r="S718"/>
      <c r="T718"/>
      <c r="U718"/>
    </row>
    <row r="719" spans="1:21">
      <c r="A719" s="2" t="s">
        <v>755</v>
      </c>
      <c r="B719" t="b">
        <v>1</v>
      </c>
      <c r="C719" t="b">
        <v>0</v>
      </c>
      <c r="D719" s="2" t="b">
        <v>0</v>
      </c>
      <c r="E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9">
        <v>0</v>
      </c>
      <c r="G719" t="s">
        <v>715</v>
      </c>
      <c r="S719"/>
      <c r="T719"/>
      <c r="U719"/>
    </row>
    <row r="720" spans="1:21">
      <c r="A720" s="2" t="s">
        <v>756</v>
      </c>
      <c r="B720" t="b">
        <v>1</v>
      </c>
      <c r="C720" t="b">
        <v>0</v>
      </c>
      <c r="D720" s="2" t="b">
        <v>0</v>
      </c>
      <c r="E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0">
        <v>0</v>
      </c>
      <c r="G720" t="s">
        <v>715</v>
      </c>
      <c r="S720"/>
      <c r="T720"/>
      <c r="U720"/>
    </row>
    <row r="721" spans="1:21">
      <c r="A721" s="2" t="s">
        <v>757</v>
      </c>
      <c r="B721" t="b">
        <v>1</v>
      </c>
      <c r="C721" t="b">
        <v>0</v>
      </c>
      <c r="D721" s="2" t="b">
        <v>0</v>
      </c>
      <c r="E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1">
        <v>0</v>
      </c>
      <c r="G721" t="s">
        <v>715</v>
      </c>
      <c r="S721"/>
      <c r="T721"/>
      <c r="U721"/>
    </row>
    <row r="722" spans="1:21">
      <c r="A722" s="2" t="s">
        <v>758</v>
      </c>
      <c r="B722" t="b">
        <v>1</v>
      </c>
      <c r="C722" t="b">
        <v>0</v>
      </c>
      <c r="D722" s="2" t="b">
        <v>0</v>
      </c>
      <c r="E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2">
        <v>0</v>
      </c>
      <c r="G722" t="s">
        <v>715</v>
      </c>
      <c r="S722"/>
      <c r="T722"/>
      <c r="U722"/>
    </row>
    <row r="723" spans="1:21">
      <c r="A723" s="2" t="s">
        <v>759</v>
      </c>
      <c r="B723" t="b">
        <v>1</v>
      </c>
      <c r="C723" t="b">
        <v>0</v>
      </c>
      <c r="D723" s="2" t="b">
        <v>0</v>
      </c>
      <c r="E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3">
        <v>0</v>
      </c>
      <c r="G723" t="s">
        <v>715</v>
      </c>
      <c r="S723"/>
      <c r="T723"/>
      <c r="U723"/>
    </row>
    <row r="724" spans="1:21">
      <c r="A724" s="2" t="s">
        <v>760</v>
      </c>
      <c r="B724" t="b">
        <v>1</v>
      </c>
      <c r="C724" t="b">
        <v>0</v>
      </c>
      <c r="D724" s="2" t="b">
        <v>0</v>
      </c>
      <c r="E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4">
        <v>0</v>
      </c>
      <c r="G724" t="s">
        <v>715</v>
      </c>
      <c r="S724"/>
      <c r="T724"/>
      <c r="U724"/>
    </row>
    <row r="725" spans="1:21">
      <c r="A725" s="2" t="s">
        <v>761</v>
      </c>
      <c r="B725" t="b">
        <v>1</v>
      </c>
      <c r="C725" t="b">
        <v>0</v>
      </c>
      <c r="D725" s="2" t="b">
        <v>0</v>
      </c>
      <c r="E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5">
        <v>0</v>
      </c>
      <c r="G725" t="s">
        <v>715</v>
      </c>
      <c r="S725"/>
      <c r="T725"/>
      <c r="U725"/>
    </row>
    <row r="726" spans="1:21">
      <c r="A726" s="2" t="s">
        <v>762</v>
      </c>
      <c r="B726" t="b">
        <v>1</v>
      </c>
      <c r="C726" t="b">
        <v>0</v>
      </c>
      <c r="D726" s="2" t="b">
        <v>0</v>
      </c>
      <c r="E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6">
        <v>0</v>
      </c>
      <c r="G726" t="s">
        <v>715</v>
      </c>
      <c r="S726"/>
      <c r="T726"/>
      <c r="U726"/>
    </row>
    <row r="727" spans="1:21">
      <c r="A727" s="2" t="s">
        <v>763</v>
      </c>
      <c r="B727" t="b">
        <v>1</v>
      </c>
      <c r="C727" t="b">
        <v>0</v>
      </c>
      <c r="D727" s="2" t="b">
        <v>0</v>
      </c>
      <c r="E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7">
        <v>0</v>
      </c>
      <c r="G727" t="s">
        <v>715</v>
      </c>
      <c r="S727"/>
      <c r="T727"/>
      <c r="U727"/>
    </row>
    <row r="728" spans="1:21">
      <c r="A728" s="2" t="s">
        <v>764</v>
      </c>
      <c r="B728" t="b">
        <v>1</v>
      </c>
      <c r="C728" t="b">
        <v>0</v>
      </c>
      <c r="D728" s="2" t="b">
        <v>0</v>
      </c>
      <c r="E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8">
        <v>0</v>
      </c>
      <c r="G728" t="s">
        <v>715</v>
      </c>
      <c r="S728"/>
      <c r="T728"/>
      <c r="U728"/>
    </row>
    <row r="729" spans="1:21">
      <c r="A729" s="2" t="s">
        <v>765</v>
      </c>
      <c r="B729" t="b">
        <v>1</v>
      </c>
      <c r="C729" t="b">
        <v>0</v>
      </c>
      <c r="D729" s="2" t="b">
        <v>0</v>
      </c>
      <c r="E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9">
        <v>0</v>
      </c>
      <c r="G729" t="s">
        <v>715</v>
      </c>
      <c r="S729"/>
      <c r="T729"/>
      <c r="U729"/>
    </row>
    <row r="730" spans="1:21">
      <c r="A730" s="2" t="s">
        <v>766</v>
      </c>
      <c r="B730" t="b">
        <v>1</v>
      </c>
      <c r="C730" t="b">
        <v>0</v>
      </c>
      <c r="D730" s="2" t="b">
        <v>0</v>
      </c>
      <c r="E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0">
        <v>0</v>
      </c>
      <c r="G730" t="s">
        <v>715</v>
      </c>
      <c r="S730"/>
      <c r="T730"/>
      <c r="U730"/>
    </row>
    <row r="731" spans="1:21">
      <c r="A731" s="2" t="s">
        <v>767</v>
      </c>
      <c r="B731" t="b">
        <v>1</v>
      </c>
      <c r="C731" t="b">
        <v>0</v>
      </c>
      <c r="D731" s="2" t="b">
        <v>0</v>
      </c>
      <c r="E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1">
        <v>0</v>
      </c>
      <c r="G731" t="s">
        <v>715</v>
      </c>
      <c r="S731"/>
      <c r="T731"/>
      <c r="U731"/>
    </row>
    <row r="732" spans="1:21">
      <c r="A732" s="2" t="s">
        <v>768</v>
      </c>
      <c r="B732" t="b">
        <v>1</v>
      </c>
      <c r="C732" t="b">
        <v>0</v>
      </c>
      <c r="D732" s="2" t="b">
        <v>0</v>
      </c>
      <c r="E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2">
        <v>0</v>
      </c>
      <c r="G732" t="s">
        <v>715</v>
      </c>
      <c r="S732"/>
      <c r="T732"/>
      <c r="U732"/>
    </row>
    <row r="733" spans="1:21">
      <c r="A733" s="2" t="s">
        <v>769</v>
      </c>
      <c r="B733" t="b">
        <v>1</v>
      </c>
      <c r="C733" t="b">
        <v>0</v>
      </c>
      <c r="D733" s="2" t="b">
        <v>0</v>
      </c>
      <c r="E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3">
        <v>0</v>
      </c>
      <c r="G733" t="s">
        <v>715</v>
      </c>
      <c r="S733"/>
      <c r="T733"/>
      <c r="U733"/>
    </row>
    <row r="734" spans="1:21">
      <c r="A734" s="2" t="s">
        <v>770</v>
      </c>
      <c r="B734" t="b">
        <v>1</v>
      </c>
      <c r="C734" t="b">
        <v>0</v>
      </c>
      <c r="D734" s="2" t="b">
        <v>0</v>
      </c>
      <c r="E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4">
        <v>0</v>
      </c>
      <c r="G734" t="s">
        <v>715</v>
      </c>
      <c r="S734"/>
      <c r="T734"/>
      <c r="U734"/>
    </row>
    <row r="735" spans="1:21">
      <c r="A735" s="2" t="s">
        <v>771</v>
      </c>
      <c r="B735" t="b">
        <v>1</v>
      </c>
      <c r="C735" t="b">
        <v>0</v>
      </c>
      <c r="D735" s="2" t="b">
        <v>0</v>
      </c>
      <c r="E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5">
        <v>0</v>
      </c>
      <c r="G735" t="s">
        <v>715</v>
      </c>
      <c r="S735"/>
      <c r="T735"/>
      <c r="U735"/>
    </row>
    <row r="736" spans="1:21">
      <c r="A736" s="2" t="s">
        <v>772</v>
      </c>
      <c r="B736" t="b">
        <v>1</v>
      </c>
      <c r="C736" t="b">
        <v>0</v>
      </c>
      <c r="D736" s="2" t="b">
        <v>0</v>
      </c>
      <c r="E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6">
        <v>0</v>
      </c>
      <c r="G736" t="s">
        <v>715</v>
      </c>
      <c r="S736"/>
      <c r="T736"/>
      <c r="U736"/>
    </row>
    <row r="737" spans="1:21">
      <c r="A737" s="2" t="s">
        <v>773</v>
      </c>
      <c r="B737" t="b">
        <v>1</v>
      </c>
      <c r="C737" t="b">
        <v>0</v>
      </c>
      <c r="D737" s="2" t="b">
        <v>0</v>
      </c>
      <c r="E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7">
        <v>0</v>
      </c>
      <c r="G737" t="s">
        <v>715</v>
      </c>
      <c r="S737"/>
      <c r="T737"/>
      <c r="U737"/>
    </row>
    <row r="738" spans="1:21">
      <c r="A738" s="2" t="s">
        <v>774</v>
      </c>
      <c r="B738" t="b">
        <v>1</v>
      </c>
      <c r="C738" t="b">
        <v>0</v>
      </c>
      <c r="D738" s="2" t="b">
        <v>0</v>
      </c>
      <c r="E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8">
        <v>0</v>
      </c>
      <c r="G738" t="s">
        <v>715</v>
      </c>
      <c r="S738"/>
      <c r="T738"/>
      <c r="U738"/>
    </row>
    <row r="739" spans="1:21">
      <c r="A739" s="2" t="s">
        <v>775</v>
      </c>
      <c r="B739" t="b">
        <v>1</v>
      </c>
      <c r="C739" t="b">
        <v>0</v>
      </c>
      <c r="D739" s="2" t="b">
        <v>0</v>
      </c>
      <c r="E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9">
        <v>0</v>
      </c>
      <c r="G739" t="s">
        <v>715</v>
      </c>
      <c r="S739"/>
      <c r="T739"/>
      <c r="U739"/>
    </row>
    <row r="740" spans="1:21">
      <c r="A740" s="2" t="s">
        <v>776</v>
      </c>
      <c r="B740" t="b">
        <v>1</v>
      </c>
      <c r="C740" t="b">
        <v>0</v>
      </c>
      <c r="D740" s="2" t="b">
        <v>0</v>
      </c>
      <c r="E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0">
        <v>0</v>
      </c>
      <c r="G740" t="s">
        <v>715</v>
      </c>
      <c r="S740"/>
      <c r="T740"/>
      <c r="U740"/>
    </row>
    <row r="741" spans="1:21">
      <c r="A741" s="2" t="s">
        <v>777</v>
      </c>
      <c r="B741" t="b">
        <v>1</v>
      </c>
      <c r="C741" t="b">
        <v>0</v>
      </c>
      <c r="D741" s="2" t="b">
        <v>0</v>
      </c>
      <c r="E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1">
        <v>0</v>
      </c>
      <c r="G741" t="s">
        <v>715</v>
      </c>
      <c r="S741"/>
      <c r="T741"/>
      <c r="U741"/>
    </row>
    <row r="742" spans="1:21">
      <c r="A742" s="2" t="s">
        <v>778</v>
      </c>
      <c r="B742" t="b">
        <v>1</v>
      </c>
      <c r="C742" t="b">
        <v>0</v>
      </c>
      <c r="D742" s="2" t="b">
        <v>0</v>
      </c>
      <c r="E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2">
        <v>0</v>
      </c>
      <c r="G742" t="s">
        <v>715</v>
      </c>
      <c r="S742"/>
      <c r="T742"/>
      <c r="U742"/>
    </row>
    <row r="743" spans="1:21">
      <c r="A743" s="2" t="s">
        <v>779</v>
      </c>
      <c r="B743" t="b">
        <v>1</v>
      </c>
      <c r="C743" t="b">
        <v>0</v>
      </c>
      <c r="D743" s="2" t="b">
        <v>0</v>
      </c>
      <c r="E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3">
        <v>0</v>
      </c>
      <c r="G743" t="s">
        <v>715</v>
      </c>
      <c r="S743"/>
      <c r="T743"/>
      <c r="U743"/>
    </row>
    <row r="744" spans="1:21">
      <c r="A744" s="2" t="s">
        <v>780</v>
      </c>
      <c r="B744" t="b">
        <v>1</v>
      </c>
      <c r="C744" t="b">
        <v>0</v>
      </c>
      <c r="D744" s="2" t="b">
        <v>0</v>
      </c>
      <c r="E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4">
        <v>0</v>
      </c>
      <c r="G744" t="s">
        <v>715</v>
      </c>
      <c r="S744"/>
      <c r="T744"/>
      <c r="U744"/>
    </row>
    <row r="745" spans="1:21">
      <c r="A745" s="2" t="s">
        <v>781</v>
      </c>
      <c r="B745" t="b">
        <v>1</v>
      </c>
      <c r="C745" t="b">
        <v>0</v>
      </c>
      <c r="D745" s="2" t="b">
        <v>0</v>
      </c>
      <c r="E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5">
        <v>0</v>
      </c>
      <c r="G745" t="s">
        <v>715</v>
      </c>
      <c r="S745"/>
      <c r="T745"/>
      <c r="U745"/>
    </row>
    <row r="746" spans="1:21">
      <c r="A746" s="2" t="s">
        <v>782</v>
      </c>
      <c r="B746" t="b">
        <v>1</v>
      </c>
      <c r="C746" t="b">
        <v>0</v>
      </c>
      <c r="D746" s="2" t="b">
        <v>0</v>
      </c>
      <c r="E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6">
        <v>0</v>
      </c>
      <c r="G746" t="s">
        <v>715</v>
      </c>
      <c r="S746"/>
      <c r="T746"/>
      <c r="U746"/>
    </row>
    <row r="747" spans="1:21">
      <c r="A747" s="2" t="s">
        <v>783</v>
      </c>
      <c r="B747" t="b">
        <v>1</v>
      </c>
      <c r="C747" t="b">
        <v>0</v>
      </c>
      <c r="D747" s="2" t="b">
        <v>0</v>
      </c>
      <c r="E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7">
        <v>0</v>
      </c>
      <c r="G747" t="s">
        <v>715</v>
      </c>
      <c r="S747"/>
      <c r="T747"/>
      <c r="U747"/>
    </row>
    <row r="748" spans="1:21">
      <c r="A748" s="2" t="s">
        <v>784</v>
      </c>
      <c r="B748" t="b">
        <v>1</v>
      </c>
      <c r="C748" t="b">
        <v>0</v>
      </c>
      <c r="D748" s="2" t="b">
        <v>0</v>
      </c>
      <c r="E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8">
        <v>0</v>
      </c>
      <c r="G748" t="s">
        <v>715</v>
      </c>
      <c r="S748"/>
      <c r="T748"/>
      <c r="U748"/>
    </row>
    <row r="749" spans="1:21">
      <c r="A749" s="2" t="s">
        <v>785</v>
      </c>
      <c r="B749" t="b">
        <v>1</v>
      </c>
      <c r="C749" t="b">
        <v>0</v>
      </c>
      <c r="D749" s="2" t="b">
        <v>0</v>
      </c>
      <c r="E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9">
        <v>0</v>
      </c>
      <c r="G749" t="s">
        <v>715</v>
      </c>
      <c r="S749"/>
      <c r="T749"/>
      <c r="U749"/>
    </row>
    <row r="750" spans="1:21">
      <c r="A750" s="2" t="s">
        <v>786</v>
      </c>
      <c r="B750" t="b">
        <v>1</v>
      </c>
      <c r="C750" t="b">
        <v>0</v>
      </c>
      <c r="D750" s="2" t="b">
        <v>0</v>
      </c>
      <c r="E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0">
        <v>0</v>
      </c>
      <c r="G750" t="s">
        <v>715</v>
      </c>
      <c r="S750"/>
      <c r="T750"/>
      <c r="U750"/>
    </row>
    <row r="751" spans="1:21">
      <c r="A751" s="2" t="s">
        <v>787</v>
      </c>
      <c r="B751" t="b">
        <v>1</v>
      </c>
      <c r="C751" t="b">
        <v>0</v>
      </c>
      <c r="D751" s="2" t="b">
        <v>0</v>
      </c>
      <c r="E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1">
        <v>0</v>
      </c>
      <c r="G751" t="s">
        <v>715</v>
      </c>
      <c r="S751"/>
      <c r="T751"/>
      <c r="U751"/>
    </row>
    <row r="752" spans="1:21">
      <c r="A752" s="2" t="s">
        <v>788</v>
      </c>
      <c r="B752" t="b">
        <v>1</v>
      </c>
      <c r="C752" t="b">
        <v>0</v>
      </c>
      <c r="D752" s="2" t="b">
        <v>0</v>
      </c>
      <c r="E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2">
        <v>0</v>
      </c>
      <c r="G752" t="s">
        <v>715</v>
      </c>
      <c r="S752"/>
      <c r="T752"/>
      <c r="U752"/>
    </row>
    <row r="753" spans="1:21">
      <c r="A753" s="2" t="s">
        <v>789</v>
      </c>
      <c r="B753" t="b">
        <v>1</v>
      </c>
      <c r="C753" t="b">
        <v>0</v>
      </c>
      <c r="D753" s="2" t="b">
        <v>0</v>
      </c>
      <c r="E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3">
        <v>0</v>
      </c>
      <c r="G753" t="s">
        <v>715</v>
      </c>
      <c r="S753"/>
      <c r="T753"/>
      <c r="U753"/>
    </row>
    <row r="754" spans="1:21">
      <c r="A754" s="2" t="s">
        <v>790</v>
      </c>
      <c r="B754" t="b">
        <v>1</v>
      </c>
      <c r="C754" t="b">
        <v>0</v>
      </c>
      <c r="D754" s="2" t="b">
        <v>0</v>
      </c>
      <c r="E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4">
        <v>0</v>
      </c>
      <c r="G754" t="s">
        <v>715</v>
      </c>
      <c r="S754"/>
      <c r="T754"/>
      <c r="U754"/>
    </row>
    <row r="755" spans="1:21">
      <c r="A755" s="2" t="s">
        <v>791</v>
      </c>
      <c r="B755" t="b">
        <v>1</v>
      </c>
      <c r="C755" t="b">
        <v>0</v>
      </c>
      <c r="D755" s="2" t="b">
        <v>0</v>
      </c>
      <c r="E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5">
        <v>0</v>
      </c>
      <c r="G755" t="s">
        <v>715</v>
      </c>
      <c r="S755"/>
      <c r="T755"/>
      <c r="U755"/>
    </row>
    <row r="756" spans="1:21">
      <c r="A756" s="2" t="s">
        <v>792</v>
      </c>
      <c r="B756" t="b">
        <v>1</v>
      </c>
      <c r="C756" t="b">
        <v>0</v>
      </c>
      <c r="D756" s="2" t="b">
        <v>0</v>
      </c>
      <c r="E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6">
        <v>0</v>
      </c>
      <c r="G756" t="s">
        <v>715</v>
      </c>
      <c r="S756"/>
      <c r="T756"/>
      <c r="U756"/>
    </row>
    <row r="757" spans="1:21">
      <c r="A757" s="2" t="s">
        <v>793</v>
      </c>
      <c r="B757" t="b">
        <v>1</v>
      </c>
      <c r="C757" t="b">
        <v>0</v>
      </c>
      <c r="D757" s="2" t="b">
        <v>0</v>
      </c>
      <c r="E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7">
        <v>0</v>
      </c>
      <c r="G757" t="s">
        <v>715</v>
      </c>
      <c r="S757"/>
      <c r="T757"/>
      <c r="U757"/>
    </row>
    <row r="758" spans="1:21">
      <c r="A758" s="2" t="s">
        <v>794</v>
      </c>
      <c r="B758" t="b">
        <v>1</v>
      </c>
      <c r="C758" t="b">
        <v>0</v>
      </c>
      <c r="D758" s="2" t="b">
        <v>0</v>
      </c>
      <c r="E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8">
        <v>0</v>
      </c>
      <c r="G758" t="s">
        <v>715</v>
      </c>
      <c r="S758"/>
      <c r="T758"/>
      <c r="U758"/>
    </row>
    <row r="759" spans="1:21">
      <c r="A759" s="2" t="s">
        <v>795</v>
      </c>
      <c r="B759" t="b">
        <v>1</v>
      </c>
      <c r="C759" t="b">
        <v>0</v>
      </c>
      <c r="D759" s="2" t="b">
        <v>0</v>
      </c>
      <c r="E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9">
        <v>0</v>
      </c>
      <c r="G759" t="s">
        <v>715</v>
      </c>
      <c r="S759"/>
      <c r="T759"/>
      <c r="U759"/>
    </row>
    <row r="760" spans="1:21">
      <c r="A760" s="2" t="s">
        <v>796</v>
      </c>
      <c r="B760" t="b">
        <v>1</v>
      </c>
      <c r="C760" t="b">
        <v>0</v>
      </c>
      <c r="D760" s="2" t="b">
        <v>0</v>
      </c>
      <c r="E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0">
        <v>0</v>
      </c>
      <c r="G760" t="s">
        <v>715</v>
      </c>
      <c r="S760"/>
      <c r="T760"/>
      <c r="U760"/>
    </row>
    <row r="761" spans="1:21">
      <c r="A761" s="2" t="s">
        <v>797</v>
      </c>
      <c r="B761" t="b">
        <v>1</v>
      </c>
      <c r="C761" t="b">
        <v>0</v>
      </c>
      <c r="D761" s="2" t="b">
        <v>0</v>
      </c>
      <c r="E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1">
        <v>0</v>
      </c>
      <c r="G761" t="s">
        <v>715</v>
      </c>
      <c r="S761"/>
      <c r="T761"/>
      <c r="U761"/>
    </row>
    <row r="762" spans="1:21">
      <c r="A762" s="2" t="s">
        <v>798</v>
      </c>
      <c r="B762" t="b">
        <v>1</v>
      </c>
      <c r="C762" t="b">
        <v>0</v>
      </c>
      <c r="D762" s="2" t="b">
        <v>0</v>
      </c>
      <c r="E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2">
        <v>0</v>
      </c>
      <c r="G762" t="s">
        <v>715</v>
      </c>
      <c r="S762"/>
      <c r="T762"/>
      <c r="U762"/>
    </row>
    <row r="763" spans="1:21">
      <c r="A763" s="2" t="s">
        <v>799</v>
      </c>
      <c r="B763" t="b">
        <v>1</v>
      </c>
      <c r="C763" t="b">
        <v>0</v>
      </c>
      <c r="D763" s="2" t="b">
        <v>0</v>
      </c>
      <c r="E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3">
        <v>0</v>
      </c>
      <c r="G763" t="s">
        <v>715</v>
      </c>
      <c r="S763"/>
      <c r="T763"/>
      <c r="U763"/>
    </row>
    <row r="764" spans="1:21">
      <c r="A764" s="2" t="s">
        <v>800</v>
      </c>
      <c r="B764" t="b">
        <v>1</v>
      </c>
      <c r="C764" t="b">
        <v>0</v>
      </c>
      <c r="D764" s="2" t="b">
        <v>0</v>
      </c>
      <c r="E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4">
        <v>0</v>
      </c>
      <c r="G764" t="s">
        <v>715</v>
      </c>
      <c r="S764"/>
      <c r="T764"/>
      <c r="U764"/>
    </row>
    <row r="765" spans="1:21">
      <c r="A765" s="2" t="s">
        <v>801</v>
      </c>
      <c r="B765" t="b">
        <v>1</v>
      </c>
      <c r="C765" t="b">
        <v>0</v>
      </c>
      <c r="D765" s="2" t="b">
        <v>0</v>
      </c>
      <c r="E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5">
        <v>0</v>
      </c>
      <c r="G765" t="s">
        <v>715</v>
      </c>
      <c r="S765"/>
      <c r="T765"/>
      <c r="U765"/>
    </row>
    <row r="766" spans="1:21">
      <c r="A766" s="2" t="s">
        <v>802</v>
      </c>
      <c r="B766" t="b">
        <v>1</v>
      </c>
      <c r="C766" t="b">
        <v>0</v>
      </c>
      <c r="D766" s="2" t="b">
        <v>0</v>
      </c>
      <c r="E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6">
        <v>0</v>
      </c>
      <c r="G766" t="s">
        <v>715</v>
      </c>
      <c r="S766"/>
      <c r="T766"/>
      <c r="U766"/>
    </row>
    <row r="767" spans="1:21">
      <c r="A767" s="2" t="s">
        <v>803</v>
      </c>
      <c r="B767" t="b">
        <v>1</v>
      </c>
      <c r="C767" t="b">
        <v>0</v>
      </c>
      <c r="D767" s="2" t="b">
        <v>0</v>
      </c>
      <c r="E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7">
        <v>0</v>
      </c>
      <c r="G767" t="s">
        <v>715</v>
      </c>
      <c r="S767"/>
      <c r="T767"/>
      <c r="U767"/>
    </row>
    <row r="768" spans="1:21">
      <c r="A768" s="2" t="s">
        <v>804</v>
      </c>
      <c r="B768" t="b">
        <v>1</v>
      </c>
      <c r="C768" t="b">
        <v>0</v>
      </c>
      <c r="D768" s="2" t="b">
        <v>0</v>
      </c>
      <c r="E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8">
        <v>0</v>
      </c>
      <c r="G768" t="s">
        <v>715</v>
      </c>
      <c r="S768"/>
      <c r="T768"/>
      <c r="U768"/>
    </row>
    <row r="769" spans="1:21">
      <c r="A769" s="2" t="s">
        <v>805</v>
      </c>
      <c r="B769" t="b">
        <v>1</v>
      </c>
      <c r="C769" t="b">
        <v>0</v>
      </c>
      <c r="D769" s="2" t="b">
        <v>0</v>
      </c>
      <c r="E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9">
        <v>0</v>
      </c>
      <c r="G769" t="s">
        <v>715</v>
      </c>
      <c r="S769"/>
      <c r="T769"/>
      <c r="U769"/>
    </row>
    <row r="770" spans="1:21">
      <c r="A770" s="2" t="s">
        <v>806</v>
      </c>
      <c r="B770" t="b">
        <v>1</v>
      </c>
      <c r="C770" t="b">
        <v>0</v>
      </c>
      <c r="D770" s="2" t="b">
        <v>0</v>
      </c>
      <c r="E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0">
        <v>0</v>
      </c>
      <c r="G770" t="s">
        <v>715</v>
      </c>
      <c r="S770"/>
      <c r="T770"/>
      <c r="U770"/>
    </row>
    <row r="771" spans="1:21">
      <c r="A771" s="2" t="s">
        <v>807</v>
      </c>
      <c r="B771" t="b">
        <v>1</v>
      </c>
      <c r="C771" t="b">
        <v>0</v>
      </c>
      <c r="D771" s="2" t="b">
        <v>0</v>
      </c>
      <c r="E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1">
        <v>0</v>
      </c>
      <c r="G771" t="s">
        <v>715</v>
      </c>
      <c r="S771"/>
      <c r="T771"/>
      <c r="U771"/>
    </row>
    <row r="772" spans="1:21">
      <c r="A772" s="2" t="s">
        <v>808</v>
      </c>
      <c r="B772" t="b">
        <v>1</v>
      </c>
      <c r="C772" t="b">
        <v>0</v>
      </c>
      <c r="D772" s="2" t="b">
        <v>0</v>
      </c>
      <c r="E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2">
        <v>0</v>
      </c>
      <c r="G772" t="s">
        <v>715</v>
      </c>
      <c r="S772"/>
      <c r="T772"/>
      <c r="U772"/>
    </row>
    <row r="773" spans="1:21">
      <c r="A773" s="2" t="s">
        <v>809</v>
      </c>
      <c r="B773" t="b">
        <v>1</v>
      </c>
      <c r="C773" t="b">
        <v>0</v>
      </c>
      <c r="D773" s="2" t="b">
        <v>0</v>
      </c>
      <c r="E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3">
        <v>0</v>
      </c>
      <c r="G773" t="s">
        <v>715</v>
      </c>
      <c r="S773"/>
      <c r="T773"/>
      <c r="U773"/>
    </row>
    <row r="774" spans="1:21">
      <c r="A774" s="2" t="s">
        <v>810</v>
      </c>
      <c r="B774" t="b">
        <v>1</v>
      </c>
      <c r="C774" t="b">
        <v>0</v>
      </c>
      <c r="D774" s="2" t="b">
        <v>0</v>
      </c>
      <c r="E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4">
        <v>0</v>
      </c>
      <c r="G774" t="s">
        <v>715</v>
      </c>
      <c r="S774"/>
      <c r="T774"/>
      <c r="U774"/>
    </row>
    <row r="775" spans="1:21">
      <c r="A775" s="2" t="s">
        <v>811</v>
      </c>
      <c r="B775" t="b">
        <v>1</v>
      </c>
      <c r="C775" t="b">
        <v>0</v>
      </c>
      <c r="D775" s="2" t="b">
        <v>0</v>
      </c>
      <c r="E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5">
        <v>0</v>
      </c>
      <c r="G775" t="s">
        <v>715</v>
      </c>
      <c r="S775"/>
      <c r="T775"/>
      <c r="U775"/>
    </row>
    <row r="776" spans="1:21">
      <c r="A776" s="2" t="s">
        <v>812</v>
      </c>
      <c r="B776" t="b">
        <v>1</v>
      </c>
      <c r="C776" t="b">
        <v>0</v>
      </c>
      <c r="D776" s="2" t="b">
        <v>0</v>
      </c>
      <c r="E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6">
        <v>0</v>
      </c>
      <c r="G776" t="s">
        <v>715</v>
      </c>
      <c r="S776"/>
      <c r="T776"/>
      <c r="U776"/>
    </row>
    <row r="777" spans="1:21">
      <c r="A777" s="2" t="s">
        <v>813</v>
      </c>
      <c r="B777" t="b">
        <v>1</v>
      </c>
      <c r="C777" t="b">
        <v>0</v>
      </c>
      <c r="D777" s="2" t="b">
        <v>0</v>
      </c>
      <c r="E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7">
        <v>0</v>
      </c>
      <c r="G777" t="s">
        <v>715</v>
      </c>
      <c r="S777"/>
      <c r="T777"/>
      <c r="U777"/>
    </row>
    <row r="778" spans="1:21">
      <c r="A778" s="2" t="s">
        <v>814</v>
      </c>
      <c r="B778" t="b">
        <v>1</v>
      </c>
      <c r="C778" t="b">
        <v>0</v>
      </c>
      <c r="D778" s="2" t="b">
        <v>0</v>
      </c>
      <c r="E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8">
        <v>0</v>
      </c>
      <c r="G778" t="s">
        <v>715</v>
      </c>
      <c r="S778"/>
      <c r="T778"/>
      <c r="U778"/>
    </row>
    <row r="779" spans="1:21">
      <c r="A779" s="2" t="s">
        <v>815</v>
      </c>
      <c r="B779" t="b">
        <v>1</v>
      </c>
      <c r="C779" t="b">
        <v>0</v>
      </c>
      <c r="D779" s="2" t="b">
        <v>0</v>
      </c>
      <c r="E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9">
        <v>0</v>
      </c>
      <c r="G779" t="s">
        <v>715</v>
      </c>
      <c r="S779"/>
      <c r="T779"/>
      <c r="U779"/>
    </row>
    <row r="780" spans="1:21">
      <c r="A780" s="2" t="s">
        <v>816</v>
      </c>
      <c r="B780" t="b">
        <v>1</v>
      </c>
      <c r="C780" t="b">
        <v>0</v>
      </c>
      <c r="D780" s="2" t="b">
        <v>0</v>
      </c>
      <c r="E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0">
        <v>0</v>
      </c>
      <c r="G780" t="s">
        <v>715</v>
      </c>
      <c r="S780"/>
      <c r="T780"/>
      <c r="U780"/>
    </row>
    <row r="781" spans="1:21">
      <c r="A781" s="2" t="s">
        <v>817</v>
      </c>
      <c r="B781" t="b">
        <v>1</v>
      </c>
      <c r="C781" t="b">
        <v>0</v>
      </c>
      <c r="D781" s="2" t="b">
        <v>0</v>
      </c>
      <c r="E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1">
        <v>0</v>
      </c>
      <c r="G781" t="s">
        <v>715</v>
      </c>
      <c r="S781"/>
      <c r="T781"/>
      <c r="U781"/>
    </row>
    <row r="782" spans="1:21">
      <c r="A782" s="2" t="s">
        <v>818</v>
      </c>
      <c r="B782" t="b">
        <v>1</v>
      </c>
      <c r="C782" t="b">
        <v>0</v>
      </c>
      <c r="D782" s="2" t="b">
        <v>0</v>
      </c>
      <c r="E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2">
        <v>0</v>
      </c>
      <c r="G782" t="s">
        <v>715</v>
      </c>
      <c r="S782"/>
      <c r="T782"/>
      <c r="U782"/>
    </row>
    <row r="783" spans="1:21">
      <c r="A783" s="2" t="s">
        <v>819</v>
      </c>
      <c r="B783" t="b">
        <v>1</v>
      </c>
      <c r="C783" t="b">
        <v>0</v>
      </c>
      <c r="D783" s="2" t="b">
        <v>0</v>
      </c>
      <c r="E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3">
        <v>0</v>
      </c>
      <c r="G783" t="s">
        <v>715</v>
      </c>
      <c r="S783"/>
      <c r="T783"/>
      <c r="U783"/>
    </row>
    <row r="784" spans="1:21">
      <c r="A784" s="2" t="s">
        <v>820</v>
      </c>
      <c r="B784" t="b">
        <v>1</v>
      </c>
      <c r="C784" t="b">
        <v>0</v>
      </c>
      <c r="D784" s="2" t="b">
        <v>0</v>
      </c>
      <c r="E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4">
        <v>0</v>
      </c>
      <c r="G784" t="s">
        <v>715</v>
      </c>
      <c r="S784"/>
      <c r="T784"/>
      <c r="U784"/>
    </row>
    <row r="785" spans="1:21">
      <c r="A785" s="2" t="s">
        <v>821</v>
      </c>
      <c r="B785" t="b">
        <v>1</v>
      </c>
      <c r="C785" t="b">
        <v>0</v>
      </c>
      <c r="D785" s="2" t="b">
        <v>0</v>
      </c>
      <c r="E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5">
        <v>0</v>
      </c>
      <c r="G785" t="s">
        <v>715</v>
      </c>
      <c r="S785"/>
      <c r="T785"/>
      <c r="U785"/>
    </row>
    <row r="786" spans="1:21">
      <c r="A786" s="2" t="s">
        <v>822</v>
      </c>
      <c r="B786" t="b">
        <v>1</v>
      </c>
      <c r="C786" t="b">
        <v>0</v>
      </c>
      <c r="D786" s="2" t="b">
        <v>0</v>
      </c>
      <c r="E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6">
        <v>0</v>
      </c>
      <c r="G786" t="s">
        <v>715</v>
      </c>
      <c r="S786"/>
      <c r="T786"/>
      <c r="U786"/>
    </row>
    <row r="787" spans="1:21">
      <c r="A787" s="2" t="s">
        <v>823</v>
      </c>
      <c r="B787" t="b">
        <v>1</v>
      </c>
      <c r="C787" t="b">
        <v>0</v>
      </c>
      <c r="D787" s="2" t="b">
        <v>0</v>
      </c>
      <c r="E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7">
        <v>0</v>
      </c>
      <c r="G787" t="s">
        <v>715</v>
      </c>
      <c r="S787"/>
      <c r="T787"/>
      <c r="U787"/>
    </row>
    <row r="788" spans="1:21">
      <c r="A788" s="2" t="s">
        <v>824</v>
      </c>
      <c r="B788" t="b">
        <v>1</v>
      </c>
      <c r="C788" t="b">
        <v>0</v>
      </c>
      <c r="D788" s="2" t="b">
        <v>0</v>
      </c>
      <c r="E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8">
        <v>0</v>
      </c>
      <c r="G788" t="s">
        <v>715</v>
      </c>
      <c r="S788"/>
      <c r="T788"/>
      <c r="U788"/>
    </row>
    <row r="789" spans="1:21">
      <c r="A789" s="2" t="s">
        <v>825</v>
      </c>
      <c r="B789" t="b">
        <v>1</v>
      </c>
      <c r="C789" t="b">
        <v>0</v>
      </c>
      <c r="D789" s="2" t="b">
        <v>0</v>
      </c>
      <c r="E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9">
        <v>0</v>
      </c>
      <c r="G789" t="s">
        <v>715</v>
      </c>
      <c r="S789"/>
      <c r="T789"/>
      <c r="U789"/>
    </row>
    <row r="790" spans="1:21">
      <c r="A790" s="2" t="s">
        <v>1753</v>
      </c>
      <c r="B790" t="b">
        <v>1</v>
      </c>
      <c r="C790" t="b">
        <v>0</v>
      </c>
      <c r="D790" s="2" t="b">
        <v>0</v>
      </c>
      <c r="E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0">
        <v>0</v>
      </c>
      <c r="G790" t="s">
        <v>715</v>
      </c>
    </row>
    <row r="791" spans="1:21">
      <c r="A791" s="2" t="s">
        <v>1756</v>
      </c>
      <c r="B791" t="b">
        <v>1</v>
      </c>
      <c r="C791" t="b">
        <v>0</v>
      </c>
      <c r="D791" s="2" t="b">
        <v>0</v>
      </c>
      <c r="E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1">
        <v>0</v>
      </c>
      <c r="G791" t="s">
        <v>715</v>
      </c>
    </row>
    <row r="792" spans="1:21">
      <c r="A792" s="2" t="s">
        <v>2849</v>
      </c>
      <c r="B792" t="b">
        <v>1</v>
      </c>
      <c r="C792" t="b">
        <v>1</v>
      </c>
      <c r="D792" s="2" t="b">
        <v>0</v>
      </c>
      <c r="E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2">
        <v>0</v>
      </c>
      <c r="G792" t="s">
        <v>715</v>
      </c>
    </row>
    <row r="793" spans="1:21">
      <c r="A793" s="2" t="s">
        <v>3000</v>
      </c>
      <c r="B793" t="b">
        <v>1</v>
      </c>
      <c r="C793" t="b">
        <v>0</v>
      </c>
      <c r="D793" s="2" t="b">
        <v>0</v>
      </c>
      <c r="E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3">
        <v>0</v>
      </c>
      <c r="G793" t="s">
        <v>715</v>
      </c>
    </row>
    <row r="794" spans="1:21">
      <c r="A794" s="2" t="s">
        <v>3002</v>
      </c>
      <c r="B794" t="b">
        <v>1</v>
      </c>
      <c r="C794" t="b">
        <v>0</v>
      </c>
      <c r="D794" s="2" t="b">
        <v>0</v>
      </c>
      <c r="E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4">
        <v>0</v>
      </c>
      <c r="G794" t="s">
        <v>715</v>
      </c>
    </row>
    <row r="795" spans="1:21">
      <c r="A795" t="s">
        <v>3006</v>
      </c>
      <c r="B795" t="b">
        <v>1</v>
      </c>
      <c r="C795" t="b">
        <v>0</v>
      </c>
      <c r="D795" s="2" t="b">
        <v>0</v>
      </c>
      <c r="E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5">
        <v>0</v>
      </c>
      <c r="G795" t="s">
        <v>715</v>
      </c>
    </row>
    <row r="796" spans="1:21">
      <c r="A796" t="s">
        <v>3008</v>
      </c>
      <c r="B796" t="b">
        <v>1</v>
      </c>
      <c r="C796" t="b">
        <v>0</v>
      </c>
      <c r="D796" s="2" t="b">
        <v>0</v>
      </c>
      <c r="E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6">
        <v>0</v>
      </c>
      <c r="G796" t="s">
        <v>715</v>
      </c>
    </row>
    <row r="797" spans="1:21">
      <c r="A797" s="2" t="s">
        <v>3026</v>
      </c>
      <c r="B797" t="b">
        <v>1</v>
      </c>
      <c r="C797" t="b">
        <v>0</v>
      </c>
      <c r="D797" s="2" t="b">
        <v>0</v>
      </c>
      <c r="E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7">
        <v>0</v>
      </c>
      <c r="G797" t="s">
        <v>715</v>
      </c>
    </row>
    <row r="798" spans="1:21">
      <c r="A798" s="2" t="s">
        <v>3028</v>
      </c>
      <c r="B798" t="b">
        <v>1</v>
      </c>
      <c r="C798" t="b">
        <v>0</v>
      </c>
      <c r="D798" s="2" t="b">
        <v>0</v>
      </c>
      <c r="E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8">
        <v>0</v>
      </c>
      <c r="G798" t="s">
        <v>715</v>
      </c>
    </row>
    <row r="799" spans="1:21">
      <c r="A799" s="2" t="s">
        <v>3031</v>
      </c>
      <c r="B799" t="b">
        <v>1</v>
      </c>
      <c r="C799" t="b">
        <v>0</v>
      </c>
      <c r="D799" s="2" t="b">
        <v>0</v>
      </c>
      <c r="E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9">
        <v>0</v>
      </c>
      <c r="G799" t="s">
        <v>715</v>
      </c>
    </row>
    <row r="800" spans="1:21">
      <c r="A800" s="2" t="s">
        <v>3034</v>
      </c>
      <c r="B800" t="b">
        <v>1</v>
      </c>
      <c r="C800" t="b">
        <v>0</v>
      </c>
      <c r="D800" s="2" t="b">
        <v>0</v>
      </c>
      <c r="E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800">
        <v>0</v>
      </c>
      <c r="G800" t="s">
        <v>715</v>
      </c>
    </row>
    <row r="801" spans="1:7">
      <c r="A801" s="2" t="s">
        <v>3037</v>
      </c>
      <c r="B801" t="b">
        <v>1</v>
      </c>
      <c r="C801" t="b">
        <v>0</v>
      </c>
      <c r="D801" s="2" t="b">
        <v>0</v>
      </c>
      <c r="E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801">
        <v>0</v>
      </c>
      <c r="G801" t="s">
        <v>715</v>
      </c>
    </row>
    <row r="802" spans="1:7">
      <c r="A802" s="2" t="s">
        <v>3039</v>
      </c>
      <c r="B802" t="b">
        <v>1</v>
      </c>
      <c r="C802" t="b">
        <v>0</v>
      </c>
      <c r="D802" s="2" t="b">
        <v>0</v>
      </c>
      <c r="E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802">
        <v>0</v>
      </c>
      <c r="G802" t="s">
        <v>715</v>
      </c>
    </row>
    <row r="803" spans="1:7">
      <c r="A803" s="2" t="s">
        <v>3042</v>
      </c>
      <c r="B803" t="b">
        <v>1</v>
      </c>
      <c r="C803" t="b">
        <v>0</v>
      </c>
      <c r="D803" s="2" t="b">
        <v>0</v>
      </c>
      <c r="E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803">
        <v>0</v>
      </c>
      <c r="G803" t="s">
        <v>715</v>
      </c>
    </row>
    <row r="804" spans="1:7">
      <c r="A804" s="2" t="s">
        <v>3077</v>
      </c>
      <c r="B804" s="39" t="b">
        <v>1</v>
      </c>
      <c r="C804" s="39" t="b">
        <v>1</v>
      </c>
      <c r="D804" s="40" t="b">
        <v>0</v>
      </c>
      <c r="E804" s="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804" s="39">
        <v>0</v>
      </c>
      <c r="G804" t="s">
        <v>715</v>
      </c>
    </row>
  </sheetData>
  <conditionalFormatting sqref="I790:K1048576">
    <cfRule type="cellIs" dxfId="5" priority="2" operator="equal">
      <formula>FALSE</formula>
    </cfRule>
  </conditionalFormatting>
  <conditionalFormatting sqref="B1:D1048576">
    <cfRule type="cellIs" dxfId="4" priority="1" operator="equal">
      <formula>FALSE</formula>
    </cfRule>
  </conditionalFormatting>
  <dataValidations count="2">
    <dataValidation type="list" allowBlank="1" showInputMessage="1" showErrorMessage="1" sqref="P790:T1048576 I790:L1048576" xr:uid="{7A86589D-A25B-450D-959D-091B54853275}">
      <formula1>"TRUE"</formula1>
    </dataValidation>
    <dataValidation type="list" allowBlank="1" showInputMessage="1" showErrorMessage="1" sqref="B1:D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04"/>
  <sheetViews>
    <sheetView zoomScaleNormal="100" workbookViewId="0">
      <pane xSplit="1" ySplit="1" topLeftCell="B663" activePane="bottomRight" state="frozen"/>
      <selection activeCell="Q19" sqref="Q19"/>
      <selection pane="topRight" activeCell="Q19" sqref="Q19"/>
      <selection pane="bottomLeft" activeCell="Q19" sqref="Q19"/>
      <selection pane="bottomRight" activeCell="C676" sqref="C676:D676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1748</v>
      </c>
      <c r="C1" s="1" t="s">
        <v>1720</v>
      </c>
      <c r="D1" s="1" t="s">
        <v>1730</v>
      </c>
    </row>
    <row r="2" spans="1:13">
      <c r="A2" s="2" t="s">
        <v>530</v>
      </c>
      <c r="B2" t="s">
        <v>1749</v>
      </c>
      <c r="C2" t="s">
        <v>1721</v>
      </c>
      <c r="D2" t="s">
        <v>1731</v>
      </c>
      <c r="K2"/>
      <c r="L2"/>
      <c r="M2"/>
    </row>
    <row r="3" spans="1:13">
      <c r="A3" s="2" t="s">
        <v>299</v>
      </c>
      <c r="B3" t="s">
        <v>1749</v>
      </c>
      <c r="C3" t="s">
        <v>1722</v>
      </c>
      <c r="D3" t="s">
        <v>1731</v>
      </c>
      <c r="K3"/>
      <c r="L3"/>
      <c r="M3"/>
    </row>
    <row r="4" spans="1:13">
      <c r="A4" s="2" t="s">
        <v>265</v>
      </c>
      <c r="B4" t="s">
        <v>1749</v>
      </c>
      <c r="C4" t="s">
        <v>1722</v>
      </c>
      <c r="D4" t="s">
        <v>1731</v>
      </c>
      <c r="K4"/>
      <c r="L4"/>
      <c r="M4"/>
    </row>
    <row r="5" spans="1:13">
      <c r="A5" s="2" t="s">
        <v>290</v>
      </c>
      <c r="B5" t="s">
        <v>1749</v>
      </c>
      <c r="C5" t="s">
        <v>1722</v>
      </c>
      <c r="D5" t="s">
        <v>1731</v>
      </c>
      <c r="K5"/>
      <c r="L5"/>
      <c r="M5"/>
    </row>
    <row r="6" spans="1:13">
      <c r="A6" s="2" t="s">
        <v>246</v>
      </c>
      <c r="B6" t="s">
        <v>1749</v>
      </c>
      <c r="C6" t="s">
        <v>1722</v>
      </c>
      <c r="D6" t="s">
        <v>1731</v>
      </c>
      <c r="K6"/>
      <c r="L6"/>
      <c r="M6"/>
    </row>
    <row r="7" spans="1:13">
      <c r="A7" s="2" t="s">
        <v>229</v>
      </c>
      <c r="B7" t="s">
        <v>1749</v>
      </c>
      <c r="C7" t="s">
        <v>1722</v>
      </c>
      <c r="D7" t="s">
        <v>1731</v>
      </c>
      <c r="K7"/>
      <c r="L7"/>
      <c r="M7"/>
    </row>
    <row r="8" spans="1:13">
      <c r="A8" s="2" t="s">
        <v>296</v>
      </c>
      <c r="B8" t="s">
        <v>1749</v>
      </c>
      <c r="C8" t="s">
        <v>1722</v>
      </c>
      <c r="D8" t="s">
        <v>1731</v>
      </c>
      <c r="K8"/>
      <c r="L8"/>
      <c r="M8"/>
    </row>
    <row r="9" spans="1:13">
      <c r="A9" s="2" t="s">
        <v>297</v>
      </c>
      <c r="B9" t="s">
        <v>1749</v>
      </c>
      <c r="C9" t="s">
        <v>1722</v>
      </c>
      <c r="D9" t="s">
        <v>1731</v>
      </c>
      <c r="K9"/>
      <c r="L9"/>
      <c r="M9"/>
    </row>
    <row r="10" spans="1:13">
      <c r="A10" s="2" t="s">
        <v>243</v>
      </c>
      <c r="B10" t="s">
        <v>1749</v>
      </c>
      <c r="C10" t="s">
        <v>1722</v>
      </c>
      <c r="D10" t="s">
        <v>1731</v>
      </c>
      <c r="K10"/>
      <c r="L10"/>
      <c r="M10"/>
    </row>
    <row r="11" spans="1:13">
      <c r="A11" s="2" t="s">
        <v>231</v>
      </c>
      <c r="B11" t="s">
        <v>1749</v>
      </c>
      <c r="C11" t="s">
        <v>1722</v>
      </c>
      <c r="D11" t="s">
        <v>1731</v>
      </c>
      <c r="K11"/>
      <c r="L11"/>
      <c r="M11"/>
    </row>
    <row r="12" spans="1:13">
      <c r="A12" s="2" t="s">
        <v>273</v>
      </c>
      <c r="B12" t="s">
        <v>1749</v>
      </c>
      <c r="C12" t="s">
        <v>1722</v>
      </c>
      <c r="D12" t="s">
        <v>1731</v>
      </c>
      <c r="K12"/>
      <c r="L12"/>
      <c r="M12"/>
    </row>
    <row r="13" spans="1:13">
      <c r="A13" s="2" t="s">
        <v>200</v>
      </c>
      <c r="B13" t="s">
        <v>1749</v>
      </c>
      <c r="C13" t="s">
        <v>1722</v>
      </c>
      <c r="D13" t="s">
        <v>1731</v>
      </c>
      <c r="K13"/>
      <c r="L13"/>
      <c r="M13"/>
    </row>
    <row r="14" spans="1:13">
      <c r="A14" s="2" t="s">
        <v>320</v>
      </c>
      <c r="B14" t="s">
        <v>1749</v>
      </c>
      <c r="C14" t="s">
        <v>1722</v>
      </c>
      <c r="D14" t="s">
        <v>1731</v>
      </c>
      <c r="K14"/>
      <c r="L14"/>
      <c r="M14"/>
    </row>
    <row r="15" spans="1:13">
      <c r="A15" s="2" t="s">
        <v>279</v>
      </c>
      <c r="B15" t="s">
        <v>1749</v>
      </c>
      <c r="C15" t="s">
        <v>1722</v>
      </c>
      <c r="D15" t="s">
        <v>1731</v>
      </c>
      <c r="K15"/>
      <c r="L15"/>
      <c r="M15"/>
    </row>
    <row r="16" spans="1:13">
      <c r="A16" s="2" t="s">
        <v>318</v>
      </c>
      <c r="B16" t="s">
        <v>1749</v>
      </c>
      <c r="C16" t="s">
        <v>1723</v>
      </c>
      <c r="D16" t="s">
        <v>1732</v>
      </c>
      <c r="K16"/>
      <c r="L16"/>
      <c r="M16"/>
    </row>
    <row r="17" spans="1:13">
      <c r="A17" s="2" t="s">
        <v>234</v>
      </c>
      <c r="B17" t="s">
        <v>1749</v>
      </c>
      <c r="C17" t="s">
        <v>1722</v>
      </c>
      <c r="D17" t="s">
        <v>1731</v>
      </c>
      <c r="K17"/>
      <c r="L17"/>
      <c r="M17"/>
    </row>
    <row r="18" spans="1:13">
      <c r="A18" s="2" t="s">
        <v>263</v>
      </c>
      <c r="B18" t="s">
        <v>1749</v>
      </c>
      <c r="C18" t="s">
        <v>1729</v>
      </c>
      <c r="D18" t="s">
        <v>1732</v>
      </c>
      <c r="K18"/>
      <c r="L18"/>
      <c r="M18"/>
    </row>
    <row r="19" spans="1:13">
      <c r="A19" s="2" t="s">
        <v>269</v>
      </c>
      <c r="B19" t="s">
        <v>1749</v>
      </c>
      <c r="C19" t="s">
        <v>1722</v>
      </c>
      <c r="D19" t="s">
        <v>1731</v>
      </c>
      <c r="K19"/>
      <c r="L19"/>
      <c r="M19"/>
    </row>
    <row r="20" spans="1:13">
      <c r="A20" s="2" t="s">
        <v>281</v>
      </c>
      <c r="B20" t="s">
        <v>1749</v>
      </c>
      <c r="C20" t="s">
        <v>1722</v>
      </c>
      <c r="D20" t="s">
        <v>1731</v>
      </c>
      <c r="K20"/>
      <c r="L20"/>
      <c r="M20"/>
    </row>
    <row r="21" spans="1:13">
      <c r="A21" s="2" t="s">
        <v>210</v>
      </c>
      <c r="B21" t="s">
        <v>1749</v>
      </c>
      <c r="C21" t="s">
        <v>1722</v>
      </c>
      <c r="D21" t="s">
        <v>1731</v>
      </c>
      <c r="K21"/>
      <c r="L21"/>
      <c r="M21"/>
    </row>
    <row r="22" spans="1:13">
      <c r="A22" s="2" t="s">
        <v>305</v>
      </c>
      <c r="B22" t="s">
        <v>1749</v>
      </c>
      <c r="C22" t="s">
        <v>1723</v>
      </c>
      <c r="D22" t="s">
        <v>1731</v>
      </c>
      <c r="K22"/>
      <c r="L22"/>
      <c r="M22"/>
    </row>
    <row r="23" spans="1:13">
      <c r="A23" s="2" t="s">
        <v>224</v>
      </c>
      <c r="B23" t="s">
        <v>1749</v>
      </c>
      <c r="C23" t="s">
        <v>1722</v>
      </c>
      <c r="D23" t="s">
        <v>1731</v>
      </c>
      <c r="K23"/>
      <c r="L23"/>
      <c r="M23"/>
    </row>
    <row r="24" spans="1:13">
      <c r="A24" s="2" t="s">
        <v>247</v>
      </c>
      <c r="B24" t="s">
        <v>1749</v>
      </c>
      <c r="C24" t="s">
        <v>1722</v>
      </c>
      <c r="D24" t="s">
        <v>1731</v>
      </c>
      <c r="K24"/>
      <c r="L24"/>
      <c r="M24"/>
    </row>
    <row r="25" spans="1:13">
      <c r="A25" s="2" t="s">
        <v>215</v>
      </c>
      <c r="B25" t="s">
        <v>1749</v>
      </c>
      <c r="C25" t="s">
        <v>1729</v>
      </c>
      <c r="D25" t="s">
        <v>1732</v>
      </c>
      <c r="K25"/>
      <c r="L25"/>
      <c r="M25"/>
    </row>
    <row r="26" spans="1:13">
      <c r="A26" s="2" t="s">
        <v>221</v>
      </c>
      <c r="B26" t="s">
        <v>1749</v>
      </c>
      <c r="C26" t="s">
        <v>1729</v>
      </c>
      <c r="D26" t="s">
        <v>1736</v>
      </c>
      <c r="K26"/>
      <c r="L26"/>
      <c r="M26"/>
    </row>
    <row r="27" spans="1:13">
      <c r="A27" s="2" t="s">
        <v>291</v>
      </c>
      <c r="B27" t="s">
        <v>1749</v>
      </c>
      <c r="C27" t="s">
        <v>1722</v>
      </c>
      <c r="D27" t="s">
        <v>1731</v>
      </c>
      <c r="K27"/>
      <c r="L27"/>
      <c r="M27"/>
    </row>
    <row r="28" spans="1:13">
      <c r="A28" s="2" t="s">
        <v>267</v>
      </c>
      <c r="B28" t="s">
        <v>1749</v>
      </c>
      <c r="C28" t="s">
        <v>1722</v>
      </c>
      <c r="D28" t="s">
        <v>1731</v>
      </c>
      <c r="K28"/>
      <c r="L28"/>
      <c r="M28"/>
    </row>
    <row r="29" spans="1:13">
      <c r="A29" s="2" t="s">
        <v>204</v>
      </c>
      <c r="B29" t="s">
        <v>1749</v>
      </c>
      <c r="C29" t="s">
        <v>1722</v>
      </c>
      <c r="D29" t="s">
        <v>1731</v>
      </c>
      <c r="K29"/>
      <c r="L29"/>
      <c r="M29"/>
    </row>
    <row r="30" spans="1:13">
      <c r="A30" s="2" t="s">
        <v>294</v>
      </c>
      <c r="B30" t="s">
        <v>1749</v>
      </c>
      <c r="C30" t="s">
        <v>1722</v>
      </c>
      <c r="D30" t="s">
        <v>1731</v>
      </c>
      <c r="K30"/>
      <c r="L30"/>
      <c r="M30"/>
    </row>
    <row r="31" spans="1:13">
      <c r="A31" s="2" t="s">
        <v>222</v>
      </c>
      <c r="B31" t="s">
        <v>1749</v>
      </c>
      <c r="C31" t="s">
        <v>1722</v>
      </c>
      <c r="D31" t="s">
        <v>1731</v>
      </c>
      <c r="K31"/>
      <c r="L31"/>
      <c r="M31"/>
    </row>
    <row r="32" spans="1:13">
      <c r="A32" s="2" t="s">
        <v>258</v>
      </c>
      <c r="B32" t="s">
        <v>1749</v>
      </c>
      <c r="C32" t="s">
        <v>1729</v>
      </c>
      <c r="D32" t="s">
        <v>1735</v>
      </c>
      <c r="K32"/>
      <c r="L32"/>
      <c r="M32"/>
    </row>
    <row r="33" spans="1:13">
      <c r="A33" s="2" t="s">
        <v>237</v>
      </c>
      <c r="B33" t="s">
        <v>1749</v>
      </c>
      <c r="C33" t="s">
        <v>1722</v>
      </c>
      <c r="D33" t="s">
        <v>1731</v>
      </c>
      <c r="K33"/>
      <c r="L33"/>
      <c r="M33"/>
    </row>
    <row r="34" spans="1:13">
      <c r="A34" s="2" t="s">
        <v>211</v>
      </c>
      <c r="B34" t="s">
        <v>1749</v>
      </c>
      <c r="C34" t="s">
        <v>1722</v>
      </c>
      <c r="D34" t="s">
        <v>1731</v>
      </c>
      <c r="K34"/>
      <c r="L34"/>
      <c r="M34"/>
    </row>
    <row r="35" spans="1:13">
      <c r="A35" s="2" t="s">
        <v>208</v>
      </c>
      <c r="B35" t="s">
        <v>1749</v>
      </c>
      <c r="C35" t="s">
        <v>1722</v>
      </c>
      <c r="D35" t="s">
        <v>1731</v>
      </c>
      <c r="K35"/>
      <c r="L35"/>
      <c r="M35"/>
    </row>
    <row r="36" spans="1:13">
      <c r="A36" s="2" t="s">
        <v>287</v>
      </c>
      <c r="B36" t="s">
        <v>1749</v>
      </c>
      <c r="C36" t="s">
        <v>1722</v>
      </c>
      <c r="D36" t="s">
        <v>1731</v>
      </c>
      <c r="K36"/>
      <c r="L36"/>
      <c r="M36"/>
    </row>
    <row r="37" spans="1:13">
      <c r="A37" s="2" t="s">
        <v>212</v>
      </c>
      <c r="B37" t="s">
        <v>1749</v>
      </c>
      <c r="C37" t="s">
        <v>1723</v>
      </c>
      <c r="D37" t="s">
        <v>1732</v>
      </c>
      <c r="K37"/>
      <c r="L37"/>
      <c r="M37"/>
    </row>
    <row r="38" spans="1:13">
      <c r="A38" s="2" t="s">
        <v>292</v>
      </c>
      <c r="B38" t="s">
        <v>1749</v>
      </c>
      <c r="C38" t="s">
        <v>1722</v>
      </c>
      <c r="D38" t="s">
        <v>1731</v>
      </c>
      <c r="K38"/>
      <c r="L38"/>
      <c r="M38"/>
    </row>
    <row r="39" spans="1:13">
      <c r="A39" s="2" t="s">
        <v>278</v>
      </c>
      <c r="B39" t="s">
        <v>1749</v>
      </c>
      <c r="C39" t="s">
        <v>1722</v>
      </c>
      <c r="D39" t="s">
        <v>1731</v>
      </c>
      <c r="K39"/>
      <c r="L39"/>
      <c r="M39"/>
    </row>
    <row r="40" spans="1:13">
      <c r="A40" s="2" t="s">
        <v>238</v>
      </c>
      <c r="B40" t="s">
        <v>1749</v>
      </c>
      <c r="C40" t="s">
        <v>1722</v>
      </c>
      <c r="D40" t="s">
        <v>1731</v>
      </c>
      <c r="K40"/>
      <c r="L40"/>
      <c r="M40"/>
    </row>
    <row r="41" spans="1:13">
      <c r="A41" s="2" t="s">
        <v>252</v>
      </c>
      <c r="B41" t="s">
        <v>1749</v>
      </c>
      <c r="C41" t="s">
        <v>1722</v>
      </c>
      <c r="D41" t="s">
        <v>1731</v>
      </c>
      <c r="K41"/>
      <c r="L41"/>
      <c r="M41"/>
    </row>
    <row r="42" spans="1:13">
      <c r="A42" s="2" t="s">
        <v>255</v>
      </c>
      <c r="B42" t="s">
        <v>1749</v>
      </c>
      <c r="C42" t="s">
        <v>1722</v>
      </c>
      <c r="D42" t="s">
        <v>1731</v>
      </c>
      <c r="K42"/>
      <c r="L42"/>
      <c r="M42"/>
    </row>
    <row r="43" spans="1:13">
      <c r="A43" s="2" t="s">
        <v>235</v>
      </c>
      <c r="B43" t="s">
        <v>1749</v>
      </c>
      <c r="C43" t="s">
        <v>1722</v>
      </c>
      <c r="D43" t="s">
        <v>1731</v>
      </c>
      <c r="K43"/>
      <c r="L43"/>
      <c r="M43"/>
    </row>
    <row r="44" spans="1:13">
      <c r="A44" s="2" t="s">
        <v>218</v>
      </c>
      <c r="B44" t="s">
        <v>1749</v>
      </c>
      <c r="C44" t="s">
        <v>1722</v>
      </c>
      <c r="D44" t="s">
        <v>1731</v>
      </c>
      <c r="K44"/>
      <c r="L44"/>
      <c r="M44"/>
    </row>
    <row r="45" spans="1:13">
      <c r="A45" s="2" t="s">
        <v>225</v>
      </c>
      <c r="B45" t="s">
        <v>1749</v>
      </c>
      <c r="C45" t="s">
        <v>1722</v>
      </c>
      <c r="D45" t="s">
        <v>1731</v>
      </c>
      <c r="K45"/>
      <c r="L45"/>
      <c r="M45"/>
    </row>
    <row r="46" spans="1:13">
      <c r="A46" s="2" t="s">
        <v>315</v>
      </c>
      <c r="B46" t="s">
        <v>1749</v>
      </c>
      <c r="C46" t="s">
        <v>1722</v>
      </c>
      <c r="D46" t="s">
        <v>1731</v>
      </c>
      <c r="K46"/>
      <c r="L46"/>
      <c r="M46"/>
    </row>
    <row r="47" spans="1:13">
      <c r="A47" s="2" t="s">
        <v>232</v>
      </c>
      <c r="B47" t="s">
        <v>1749</v>
      </c>
      <c r="C47" t="s">
        <v>1722</v>
      </c>
      <c r="D47" t="s">
        <v>1731</v>
      </c>
      <c r="K47"/>
      <c r="L47"/>
      <c r="M47"/>
    </row>
    <row r="48" spans="1:13">
      <c r="A48" s="2" t="s">
        <v>301</v>
      </c>
      <c r="B48" t="s">
        <v>1749</v>
      </c>
      <c r="C48" t="s">
        <v>1722</v>
      </c>
      <c r="D48" t="s">
        <v>1731</v>
      </c>
      <c r="K48"/>
      <c r="L48"/>
      <c r="M48"/>
    </row>
    <row r="49" spans="1:13">
      <c r="A49" s="2" t="s">
        <v>219</v>
      </c>
      <c r="B49" t="s">
        <v>1749</v>
      </c>
      <c r="C49" t="s">
        <v>1722</v>
      </c>
      <c r="D49" t="s">
        <v>1731</v>
      </c>
      <c r="K49"/>
      <c r="L49"/>
      <c r="M49"/>
    </row>
    <row r="50" spans="1:13">
      <c r="A50" s="2" t="s">
        <v>241</v>
      </c>
      <c r="B50" t="s">
        <v>1749</v>
      </c>
      <c r="C50" t="s">
        <v>1722</v>
      </c>
      <c r="D50" t="s">
        <v>1731</v>
      </c>
      <c r="K50"/>
      <c r="L50"/>
      <c r="M50"/>
    </row>
    <row r="51" spans="1:13">
      <c r="A51" s="2" t="s">
        <v>285</v>
      </c>
      <c r="B51" t="s">
        <v>1749</v>
      </c>
      <c r="C51" t="s">
        <v>1722</v>
      </c>
      <c r="D51" t="s">
        <v>1731</v>
      </c>
      <c r="K51"/>
      <c r="L51"/>
      <c r="M51"/>
    </row>
    <row r="52" spans="1:13">
      <c r="A52" s="2" t="s">
        <v>313</v>
      </c>
      <c r="B52" t="s">
        <v>1749</v>
      </c>
      <c r="C52" t="s">
        <v>1722</v>
      </c>
      <c r="D52" t="s">
        <v>1731</v>
      </c>
      <c r="K52"/>
      <c r="L52"/>
      <c r="M52"/>
    </row>
    <row r="53" spans="1:13">
      <c r="A53" s="2" t="s">
        <v>216</v>
      </c>
      <c r="B53" t="s">
        <v>1749</v>
      </c>
      <c r="C53" t="s">
        <v>1722</v>
      </c>
      <c r="D53" t="s">
        <v>1731</v>
      </c>
      <c r="K53"/>
      <c r="L53"/>
      <c r="M53"/>
    </row>
    <row r="54" spans="1:13">
      <c r="A54" s="2" t="s">
        <v>253</v>
      </c>
      <c r="B54" t="s">
        <v>1749</v>
      </c>
      <c r="C54" t="s">
        <v>1722</v>
      </c>
      <c r="D54" t="s">
        <v>1731</v>
      </c>
      <c r="K54"/>
      <c r="L54"/>
      <c r="M54"/>
    </row>
    <row r="55" spans="1:13">
      <c r="A55" s="2" t="s">
        <v>198</v>
      </c>
      <c r="B55" t="s">
        <v>1749</v>
      </c>
      <c r="C55" t="s">
        <v>1729</v>
      </c>
      <c r="D55" t="s">
        <v>1732</v>
      </c>
      <c r="K55"/>
      <c r="L55"/>
      <c r="M55"/>
    </row>
    <row r="56" spans="1:13">
      <c r="A56" s="2" t="s">
        <v>195</v>
      </c>
      <c r="B56" t="s">
        <v>1749</v>
      </c>
      <c r="C56" t="s">
        <v>1722</v>
      </c>
      <c r="D56" t="s">
        <v>1731</v>
      </c>
      <c r="K56"/>
      <c r="L56"/>
      <c r="M56"/>
    </row>
    <row r="57" spans="1:13">
      <c r="A57" s="2" t="s">
        <v>256</v>
      </c>
      <c r="B57" t="s">
        <v>1749</v>
      </c>
      <c r="C57" t="s">
        <v>1722</v>
      </c>
      <c r="D57" t="s">
        <v>1731</v>
      </c>
      <c r="K57"/>
      <c r="L57"/>
      <c r="M57"/>
    </row>
    <row r="58" spans="1:13">
      <c r="A58" s="2" t="s">
        <v>214</v>
      </c>
      <c r="B58" t="s">
        <v>1749</v>
      </c>
      <c r="C58" t="s">
        <v>1722</v>
      </c>
      <c r="D58" t="s">
        <v>1731</v>
      </c>
      <c r="K58"/>
      <c r="L58"/>
      <c r="M58"/>
    </row>
    <row r="59" spans="1:13">
      <c r="A59" s="2" t="s">
        <v>213</v>
      </c>
      <c r="B59" t="s">
        <v>1749</v>
      </c>
      <c r="C59" t="s">
        <v>1722</v>
      </c>
      <c r="D59" t="s">
        <v>1731</v>
      </c>
      <c r="K59"/>
      <c r="L59"/>
      <c r="M59"/>
    </row>
    <row r="60" spans="1:13">
      <c r="A60" s="2" t="s">
        <v>226</v>
      </c>
      <c r="B60" t="s">
        <v>1749</v>
      </c>
      <c r="C60" t="s">
        <v>1722</v>
      </c>
      <c r="D60" t="s">
        <v>1731</v>
      </c>
      <c r="K60"/>
      <c r="L60"/>
      <c r="M60"/>
    </row>
    <row r="61" spans="1:13">
      <c r="A61" s="2" t="s">
        <v>289</v>
      </c>
      <c r="B61" t="s">
        <v>1749</v>
      </c>
      <c r="C61" t="s">
        <v>1722</v>
      </c>
      <c r="D61" t="s">
        <v>1731</v>
      </c>
      <c r="K61"/>
      <c r="L61"/>
      <c r="M61"/>
    </row>
    <row r="62" spans="1:13">
      <c r="A62" s="2" t="s">
        <v>250</v>
      </c>
      <c r="B62" t="s">
        <v>1749</v>
      </c>
      <c r="C62" t="s">
        <v>1722</v>
      </c>
      <c r="D62" t="s">
        <v>1731</v>
      </c>
      <c r="K62"/>
      <c r="L62"/>
      <c r="M62"/>
    </row>
    <row r="63" spans="1:13">
      <c r="A63" s="2" t="s">
        <v>271</v>
      </c>
      <c r="B63" t="s">
        <v>1749</v>
      </c>
      <c r="C63" t="s">
        <v>1722</v>
      </c>
      <c r="D63" t="s">
        <v>1731</v>
      </c>
      <c r="K63"/>
      <c r="L63"/>
      <c r="M63"/>
    </row>
    <row r="64" spans="1:13">
      <c r="A64" s="2" t="s">
        <v>266</v>
      </c>
      <c r="B64" t="s">
        <v>1749</v>
      </c>
      <c r="C64" t="s">
        <v>1722</v>
      </c>
      <c r="D64" t="s">
        <v>1731</v>
      </c>
      <c r="K64"/>
      <c r="L64"/>
      <c r="M64"/>
    </row>
    <row r="65" spans="1:13">
      <c r="A65" s="2" t="s">
        <v>283</v>
      </c>
      <c r="B65" t="s">
        <v>1749</v>
      </c>
      <c r="C65" t="s">
        <v>1722</v>
      </c>
      <c r="D65" t="s">
        <v>1731</v>
      </c>
      <c r="K65"/>
      <c r="L65"/>
      <c r="M65"/>
    </row>
    <row r="66" spans="1:13">
      <c r="A66" s="2" t="s">
        <v>286</v>
      </c>
      <c r="B66" t="s">
        <v>1749</v>
      </c>
      <c r="C66" t="s">
        <v>1722</v>
      </c>
      <c r="D66" t="s">
        <v>1731</v>
      </c>
      <c r="K66"/>
      <c r="L66"/>
      <c r="M66"/>
    </row>
    <row r="67" spans="1:13">
      <c r="A67" s="2" t="s">
        <v>310</v>
      </c>
      <c r="B67" t="s">
        <v>1749</v>
      </c>
      <c r="C67" t="s">
        <v>1722</v>
      </c>
      <c r="D67" t="s">
        <v>1731</v>
      </c>
      <c r="K67"/>
      <c r="L67"/>
      <c r="M67"/>
    </row>
    <row r="68" spans="1:13">
      <c r="A68" s="2" t="s">
        <v>272</v>
      </c>
      <c r="B68" t="s">
        <v>1749</v>
      </c>
      <c r="C68" t="s">
        <v>1722</v>
      </c>
      <c r="D68" t="s">
        <v>1731</v>
      </c>
      <c r="K68"/>
      <c r="L68"/>
      <c r="M68"/>
    </row>
    <row r="69" spans="1:13">
      <c r="A69" s="2" t="s">
        <v>276</v>
      </c>
      <c r="B69" t="s">
        <v>1749</v>
      </c>
      <c r="C69" t="s">
        <v>1722</v>
      </c>
      <c r="D69" t="s">
        <v>1731</v>
      </c>
      <c r="K69"/>
      <c r="L69"/>
      <c r="M69"/>
    </row>
    <row r="70" spans="1:13">
      <c r="A70" s="2" t="s">
        <v>625</v>
      </c>
      <c r="B70" t="s">
        <v>1749</v>
      </c>
      <c r="C70" t="s">
        <v>1722</v>
      </c>
      <c r="D70" t="s">
        <v>1731</v>
      </c>
      <c r="K70"/>
      <c r="L70"/>
      <c r="M70"/>
    </row>
    <row r="71" spans="1:13">
      <c r="A71" s="2" t="s">
        <v>209</v>
      </c>
      <c r="B71" t="s">
        <v>1749</v>
      </c>
      <c r="C71" t="s">
        <v>1729</v>
      </c>
      <c r="D71" t="s">
        <v>1732</v>
      </c>
      <c r="K71"/>
      <c r="L71"/>
      <c r="M71"/>
    </row>
    <row r="72" spans="1:13">
      <c r="A72" s="2" t="s">
        <v>268</v>
      </c>
      <c r="B72" t="s">
        <v>1749</v>
      </c>
      <c r="C72" t="s">
        <v>1722</v>
      </c>
      <c r="D72" t="s">
        <v>1731</v>
      </c>
      <c r="K72"/>
      <c r="L72"/>
      <c r="M72"/>
    </row>
    <row r="73" spans="1:13">
      <c r="A73" s="2" t="s">
        <v>303</v>
      </c>
      <c r="B73" t="s">
        <v>1749</v>
      </c>
      <c r="C73" t="s">
        <v>1722</v>
      </c>
      <c r="D73" t="s">
        <v>1731</v>
      </c>
      <c r="K73"/>
      <c r="L73"/>
      <c r="M73"/>
    </row>
    <row r="74" spans="1:13">
      <c r="A74" s="2" t="s">
        <v>197</v>
      </c>
      <c r="B74" t="s">
        <v>1749</v>
      </c>
      <c r="C74" t="s">
        <v>1722</v>
      </c>
      <c r="D74" t="s">
        <v>1731</v>
      </c>
      <c r="K74"/>
      <c r="L74"/>
      <c r="M74"/>
    </row>
    <row r="75" spans="1:13">
      <c r="A75" s="2" t="s">
        <v>205</v>
      </c>
      <c r="B75" t="s">
        <v>1749</v>
      </c>
      <c r="C75" t="s">
        <v>1729</v>
      </c>
      <c r="D75" t="s">
        <v>1732</v>
      </c>
      <c r="K75"/>
      <c r="L75"/>
      <c r="M75"/>
    </row>
    <row r="76" spans="1:13">
      <c r="A76" s="2" t="s">
        <v>314</v>
      </c>
      <c r="B76" t="s">
        <v>1749</v>
      </c>
      <c r="C76" t="s">
        <v>1722</v>
      </c>
      <c r="D76" t="s">
        <v>1731</v>
      </c>
      <c r="K76"/>
      <c r="L76"/>
      <c r="M76"/>
    </row>
    <row r="77" spans="1:13">
      <c r="A77" s="2" t="s">
        <v>319</v>
      </c>
      <c r="B77" t="s">
        <v>1749</v>
      </c>
      <c r="C77" t="s">
        <v>1722</v>
      </c>
      <c r="D77" t="s">
        <v>1731</v>
      </c>
      <c r="K77"/>
      <c r="L77"/>
      <c r="M77"/>
    </row>
    <row r="78" spans="1:13">
      <c r="A78" s="2" t="s">
        <v>277</v>
      </c>
      <c r="B78" t="s">
        <v>1749</v>
      </c>
      <c r="C78" t="s">
        <v>1722</v>
      </c>
      <c r="D78" t="s">
        <v>1731</v>
      </c>
      <c r="K78"/>
      <c r="L78"/>
      <c r="M78"/>
    </row>
    <row r="79" spans="1:13">
      <c r="A79" s="2" t="s">
        <v>239</v>
      </c>
      <c r="B79" t="s">
        <v>1749</v>
      </c>
      <c r="C79" t="s">
        <v>1729</v>
      </c>
      <c r="D79" t="s">
        <v>1736</v>
      </c>
      <c r="K79"/>
      <c r="L79"/>
      <c r="M79"/>
    </row>
    <row r="80" spans="1:13">
      <c r="A80" s="2" t="s">
        <v>293</v>
      </c>
      <c r="B80" t="s">
        <v>1749</v>
      </c>
      <c r="C80" t="s">
        <v>1722</v>
      </c>
      <c r="D80" t="s">
        <v>1731</v>
      </c>
      <c r="K80"/>
      <c r="L80"/>
      <c r="M80"/>
    </row>
    <row r="81" spans="1:13">
      <c r="A81" s="2" t="s">
        <v>295</v>
      </c>
      <c r="B81" t="s">
        <v>1749</v>
      </c>
      <c r="C81" t="s">
        <v>1722</v>
      </c>
      <c r="D81" t="s">
        <v>1731</v>
      </c>
      <c r="K81"/>
      <c r="L81"/>
      <c r="M81"/>
    </row>
    <row r="82" spans="1:13">
      <c r="A82" s="2" t="s">
        <v>306</v>
      </c>
      <c r="B82" t="s">
        <v>1749</v>
      </c>
      <c r="C82" t="s">
        <v>1722</v>
      </c>
      <c r="D82" t="s">
        <v>1731</v>
      </c>
      <c r="K82"/>
      <c r="L82"/>
      <c r="M82"/>
    </row>
    <row r="83" spans="1:13">
      <c r="A83" s="2" t="s">
        <v>312</v>
      </c>
      <c r="B83" t="s">
        <v>1749</v>
      </c>
      <c r="C83" t="s">
        <v>1722</v>
      </c>
      <c r="D83" t="s">
        <v>1731</v>
      </c>
      <c r="K83"/>
      <c r="L83"/>
      <c r="M83"/>
    </row>
    <row r="84" spans="1:13">
      <c r="A84" s="2" t="s">
        <v>240</v>
      </c>
      <c r="B84" t="s">
        <v>1749</v>
      </c>
      <c r="C84" t="s">
        <v>1722</v>
      </c>
      <c r="D84" t="s">
        <v>1731</v>
      </c>
      <c r="K84"/>
      <c r="L84"/>
      <c r="M84"/>
    </row>
    <row r="85" spans="1:13">
      <c r="A85" s="2" t="s">
        <v>220</v>
      </c>
      <c r="B85" t="s">
        <v>1749</v>
      </c>
      <c r="C85" t="s">
        <v>1722</v>
      </c>
      <c r="D85" t="s">
        <v>1731</v>
      </c>
      <c r="K85"/>
      <c r="L85"/>
      <c r="M85"/>
    </row>
    <row r="86" spans="1:13">
      <c r="A86" s="2" t="s">
        <v>228</v>
      </c>
      <c r="B86" t="s">
        <v>1749</v>
      </c>
      <c r="C86" t="s">
        <v>1722</v>
      </c>
      <c r="D86" t="s">
        <v>1731</v>
      </c>
      <c r="K86"/>
      <c r="L86"/>
      <c r="M86"/>
    </row>
    <row r="87" spans="1:13">
      <c r="A87" s="2" t="s">
        <v>311</v>
      </c>
      <c r="B87" t="s">
        <v>1749</v>
      </c>
      <c r="C87" t="s">
        <v>1722</v>
      </c>
      <c r="D87" t="s">
        <v>1731</v>
      </c>
      <c r="K87"/>
      <c r="L87"/>
      <c r="M87"/>
    </row>
    <row r="88" spans="1:13">
      <c r="A88" s="2" t="s">
        <v>257</v>
      </c>
      <c r="B88" t="s">
        <v>1749</v>
      </c>
      <c r="C88" t="s">
        <v>1729</v>
      </c>
      <c r="D88" t="s">
        <v>1732</v>
      </c>
      <c r="K88"/>
      <c r="L88"/>
      <c r="M88"/>
    </row>
    <row r="89" spans="1:13">
      <c r="A89" s="2" t="s">
        <v>254</v>
      </c>
      <c r="B89" t="s">
        <v>1749</v>
      </c>
      <c r="C89" t="s">
        <v>1729</v>
      </c>
      <c r="D89" t="s">
        <v>1735</v>
      </c>
      <c r="K89"/>
      <c r="L89"/>
      <c r="M89"/>
    </row>
    <row r="90" spans="1:13">
      <c r="A90" s="2" t="s">
        <v>230</v>
      </c>
      <c r="B90" t="s">
        <v>1749</v>
      </c>
      <c r="C90" t="s">
        <v>1722</v>
      </c>
      <c r="D90" t="s">
        <v>1731</v>
      </c>
      <c r="K90"/>
      <c r="L90"/>
      <c r="M90"/>
    </row>
    <row r="91" spans="1:13">
      <c r="A91" s="2" t="s">
        <v>223</v>
      </c>
      <c r="B91" t="s">
        <v>1749</v>
      </c>
      <c r="C91" t="s">
        <v>1722</v>
      </c>
      <c r="D91" t="s">
        <v>1731</v>
      </c>
      <c r="K91"/>
      <c r="L91"/>
      <c r="M91"/>
    </row>
    <row r="92" spans="1:13">
      <c r="A92" s="2" t="s">
        <v>242</v>
      </c>
      <c r="B92" t="s">
        <v>1749</v>
      </c>
      <c r="C92" t="s">
        <v>1722</v>
      </c>
      <c r="D92" t="s">
        <v>1731</v>
      </c>
      <c r="K92"/>
      <c r="L92"/>
      <c r="M92"/>
    </row>
    <row r="93" spans="1:13">
      <c r="A93" s="2" t="s">
        <v>282</v>
      </c>
      <c r="B93" t="s">
        <v>1749</v>
      </c>
      <c r="C93" t="s">
        <v>1722</v>
      </c>
      <c r="D93" t="s">
        <v>1731</v>
      </c>
      <c r="K93"/>
      <c r="L93"/>
      <c r="M93"/>
    </row>
    <row r="94" spans="1:13">
      <c r="A94" s="2" t="s">
        <v>309</v>
      </c>
      <c r="B94" t="s">
        <v>1749</v>
      </c>
      <c r="C94" t="s">
        <v>1722</v>
      </c>
      <c r="D94" t="s">
        <v>1731</v>
      </c>
      <c r="K94"/>
      <c r="L94"/>
      <c r="M94"/>
    </row>
    <row r="95" spans="1:13">
      <c r="A95" s="2" t="s">
        <v>316</v>
      </c>
      <c r="B95" t="s">
        <v>1749</v>
      </c>
      <c r="C95" t="s">
        <v>1722</v>
      </c>
      <c r="D95" t="s">
        <v>1731</v>
      </c>
      <c r="K95"/>
      <c r="L95"/>
      <c r="M95"/>
    </row>
    <row r="96" spans="1:13">
      <c r="A96" s="2" t="s">
        <v>298</v>
      </c>
      <c r="B96" t="s">
        <v>1749</v>
      </c>
      <c r="C96" t="s">
        <v>1722</v>
      </c>
      <c r="D96" t="s">
        <v>1731</v>
      </c>
      <c r="K96"/>
      <c r="L96"/>
      <c r="M96"/>
    </row>
    <row r="97" spans="1:13">
      <c r="A97" s="2" t="s">
        <v>275</v>
      </c>
      <c r="B97" t="s">
        <v>1749</v>
      </c>
      <c r="C97" t="s">
        <v>1722</v>
      </c>
      <c r="D97" t="s">
        <v>1731</v>
      </c>
      <c r="K97"/>
      <c r="L97"/>
      <c r="M97"/>
    </row>
    <row r="98" spans="1:13">
      <c r="A98" s="2" t="s">
        <v>317</v>
      </c>
      <c r="B98" t="s">
        <v>1749</v>
      </c>
      <c r="C98" t="s">
        <v>1722</v>
      </c>
      <c r="D98" t="s">
        <v>1731</v>
      </c>
      <c r="K98"/>
      <c r="L98"/>
      <c r="M98"/>
    </row>
    <row r="99" spans="1:13">
      <c r="A99" s="2" t="s">
        <v>288</v>
      </c>
      <c r="B99" t="s">
        <v>1749</v>
      </c>
      <c r="C99" t="s">
        <v>1722</v>
      </c>
      <c r="D99" t="s">
        <v>1731</v>
      </c>
      <c r="K99"/>
      <c r="L99"/>
      <c r="M99"/>
    </row>
    <row r="100" spans="1:13">
      <c r="A100" s="2" t="s">
        <v>270</v>
      </c>
      <c r="B100" t="s">
        <v>1749</v>
      </c>
      <c r="C100" t="s">
        <v>1722</v>
      </c>
      <c r="D100" t="s">
        <v>1731</v>
      </c>
      <c r="K100"/>
      <c r="L100"/>
      <c r="M100"/>
    </row>
    <row r="101" spans="1:13">
      <c r="A101" s="2" t="s">
        <v>236</v>
      </c>
      <c r="B101" t="s">
        <v>1749</v>
      </c>
      <c r="C101" t="s">
        <v>1722</v>
      </c>
      <c r="D101" t="s">
        <v>1731</v>
      </c>
      <c r="K101"/>
      <c r="L101"/>
      <c r="M101"/>
    </row>
    <row r="102" spans="1:13">
      <c r="A102" s="2" t="s">
        <v>199</v>
      </c>
      <c r="B102" t="s">
        <v>1749</v>
      </c>
      <c r="C102" t="s">
        <v>1722</v>
      </c>
      <c r="D102" t="s">
        <v>1731</v>
      </c>
      <c r="K102"/>
      <c r="L102"/>
      <c r="M102"/>
    </row>
    <row r="103" spans="1:13">
      <c r="A103" s="2" t="s">
        <v>300</v>
      </c>
      <c r="B103" t="s">
        <v>1749</v>
      </c>
      <c r="C103" t="s">
        <v>1722</v>
      </c>
      <c r="D103" t="s">
        <v>1731</v>
      </c>
      <c r="K103"/>
      <c r="L103"/>
      <c r="M103"/>
    </row>
    <row r="104" spans="1:13">
      <c r="A104" s="2" t="s">
        <v>302</v>
      </c>
      <c r="B104" t="s">
        <v>1749</v>
      </c>
      <c r="C104" t="s">
        <v>1722</v>
      </c>
      <c r="D104" t="s">
        <v>1731</v>
      </c>
      <c r="K104"/>
      <c r="L104"/>
      <c r="M104"/>
    </row>
    <row r="105" spans="1:13">
      <c r="A105" s="2" t="s">
        <v>245</v>
      </c>
      <c r="B105" t="s">
        <v>1749</v>
      </c>
      <c r="C105" t="s">
        <v>1722</v>
      </c>
      <c r="D105" t="s">
        <v>1731</v>
      </c>
      <c r="K105"/>
      <c r="L105"/>
      <c r="M105"/>
    </row>
    <row r="106" spans="1:13">
      <c r="A106" s="2" t="s">
        <v>227</v>
      </c>
      <c r="B106" t="s">
        <v>1749</v>
      </c>
      <c r="C106" t="s">
        <v>1729</v>
      </c>
      <c r="D106" t="s">
        <v>1732</v>
      </c>
      <c r="K106"/>
      <c r="L106"/>
      <c r="M106"/>
    </row>
    <row r="107" spans="1:13">
      <c r="A107" s="2" t="s">
        <v>280</v>
      </c>
      <c r="B107" t="s">
        <v>1749</v>
      </c>
      <c r="C107" t="s">
        <v>1722</v>
      </c>
      <c r="D107" t="s">
        <v>1731</v>
      </c>
      <c r="K107"/>
      <c r="L107"/>
      <c r="M107"/>
    </row>
    <row r="108" spans="1:13">
      <c r="A108" s="2" t="s">
        <v>248</v>
      </c>
      <c r="B108" t="s">
        <v>1749</v>
      </c>
      <c r="C108" t="s">
        <v>1722</v>
      </c>
      <c r="D108" t="s">
        <v>1731</v>
      </c>
      <c r="K108"/>
      <c r="L108"/>
      <c r="M108"/>
    </row>
    <row r="109" spans="1:13">
      <c r="A109" s="2" t="s">
        <v>249</v>
      </c>
      <c r="B109" t="s">
        <v>1749</v>
      </c>
      <c r="C109" t="s">
        <v>1722</v>
      </c>
      <c r="D109" t="s">
        <v>1731</v>
      </c>
      <c r="K109"/>
      <c r="L109"/>
      <c r="M109"/>
    </row>
    <row r="110" spans="1:13">
      <c r="A110" s="2" t="s">
        <v>321</v>
      </c>
      <c r="B110" t="s">
        <v>1749</v>
      </c>
      <c r="C110" t="s">
        <v>1722</v>
      </c>
      <c r="D110" t="s">
        <v>1731</v>
      </c>
      <c r="K110"/>
      <c r="L110"/>
      <c r="M110"/>
    </row>
    <row r="111" spans="1:13">
      <c r="A111" s="2" t="s">
        <v>262</v>
      </c>
      <c r="B111" t="s">
        <v>1749</v>
      </c>
      <c r="C111" t="s">
        <v>1729</v>
      </c>
      <c r="D111" t="s">
        <v>1732</v>
      </c>
      <c r="K111"/>
      <c r="L111"/>
      <c r="M111"/>
    </row>
    <row r="112" spans="1:13">
      <c r="A112" s="2" t="s">
        <v>259</v>
      </c>
      <c r="B112" t="s">
        <v>1749</v>
      </c>
      <c r="C112" t="s">
        <v>1729</v>
      </c>
      <c r="D112" t="s">
        <v>1732</v>
      </c>
      <c r="K112"/>
      <c r="L112"/>
      <c r="M112"/>
    </row>
    <row r="113" spans="1:13">
      <c r="A113" s="2" t="s">
        <v>308</v>
      </c>
      <c r="B113" t="s">
        <v>1749</v>
      </c>
      <c r="C113" t="s">
        <v>1723</v>
      </c>
      <c r="D113" t="s">
        <v>1731</v>
      </c>
      <c r="K113"/>
      <c r="L113"/>
      <c r="M113"/>
    </row>
    <row r="114" spans="1:13">
      <c r="A114" s="2" t="s">
        <v>307</v>
      </c>
      <c r="B114" t="s">
        <v>1749</v>
      </c>
      <c r="C114" t="s">
        <v>1724</v>
      </c>
      <c r="D114" t="s">
        <v>1731</v>
      </c>
      <c r="K114"/>
      <c r="L114"/>
      <c r="M114"/>
    </row>
    <row r="115" spans="1:13">
      <c r="A115" s="2" t="s">
        <v>304</v>
      </c>
      <c r="B115" t="s">
        <v>1749</v>
      </c>
      <c r="C115" t="s">
        <v>1722</v>
      </c>
      <c r="D115" t="s">
        <v>1731</v>
      </c>
      <c r="K115"/>
      <c r="L115"/>
      <c r="M115"/>
    </row>
    <row r="116" spans="1:13">
      <c r="A116" s="2" t="s">
        <v>251</v>
      </c>
      <c r="B116" t="s">
        <v>1749</v>
      </c>
      <c r="C116" t="s">
        <v>1722</v>
      </c>
      <c r="D116" t="s">
        <v>1731</v>
      </c>
      <c r="K116"/>
      <c r="L116"/>
      <c r="M116"/>
    </row>
    <row r="117" spans="1:13">
      <c r="A117" s="2" t="s">
        <v>207</v>
      </c>
      <c r="B117" t="s">
        <v>1749</v>
      </c>
      <c r="C117" t="s">
        <v>1722</v>
      </c>
      <c r="D117" t="s">
        <v>1731</v>
      </c>
      <c r="K117"/>
      <c r="L117"/>
      <c r="M117"/>
    </row>
    <row r="118" spans="1:13">
      <c r="A118" s="2" t="s">
        <v>322</v>
      </c>
      <c r="B118" t="s">
        <v>1749</v>
      </c>
      <c r="C118" t="s">
        <v>1722</v>
      </c>
      <c r="D118" t="s">
        <v>1731</v>
      </c>
      <c r="K118"/>
      <c r="L118"/>
      <c r="M118"/>
    </row>
    <row r="119" spans="1:13">
      <c r="A119" s="2" t="s">
        <v>217</v>
      </c>
      <c r="B119" t="s">
        <v>1749</v>
      </c>
      <c r="C119" t="s">
        <v>1722</v>
      </c>
      <c r="D119" t="s">
        <v>1731</v>
      </c>
      <c r="K119"/>
      <c r="L119"/>
      <c r="M119"/>
    </row>
    <row r="120" spans="1:13">
      <c r="A120" s="2" t="s">
        <v>244</v>
      </c>
      <c r="B120" t="s">
        <v>1749</v>
      </c>
      <c r="C120" t="s">
        <v>1729</v>
      </c>
      <c r="D120" t="s">
        <v>1736</v>
      </c>
      <c r="K120"/>
      <c r="L120"/>
      <c r="M120"/>
    </row>
    <row r="121" spans="1:13">
      <c r="A121" s="2" t="s">
        <v>927</v>
      </c>
      <c r="B121" t="s">
        <v>1749</v>
      </c>
      <c r="C121" t="s">
        <v>1729</v>
      </c>
      <c r="D121" t="s">
        <v>1736</v>
      </c>
      <c r="K121"/>
      <c r="L121"/>
      <c r="M121"/>
    </row>
    <row r="122" spans="1:13">
      <c r="A122" s="2" t="s">
        <v>202</v>
      </c>
      <c r="B122" t="s">
        <v>1749</v>
      </c>
      <c r="C122" t="s">
        <v>1723</v>
      </c>
      <c r="D122" t="s">
        <v>1732</v>
      </c>
      <c r="K122"/>
      <c r="L122"/>
      <c r="M122"/>
    </row>
    <row r="123" spans="1:13">
      <c r="A123" s="2" t="s">
        <v>196</v>
      </c>
      <c r="B123" t="s">
        <v>1749</v>
      </c>
      <c r="C123" t="s">
        <v>1722</v>
      </c>
      <c r="D123" t="s">
        <v>1731</v>
      </c>
      <c r="K123"/>
      <c r="L123"/>
      <c r="M123"/>
    </row>
    <row r="124" spans="1:13">
      <c r="A124" s="2" t="s">
        <v>284</v>
      </c>
      <c r="B124" t="s">
        <v>1749</v>
      </c>
      <c r="C124" t="s">
        <v>1722</v>
      </c>
      <c r="D124" t="s">
        <v>1731</v>
      </c>
      <c r="K124"/>
      <c r="L124"/>
      <c r="M124"/>
    </row>
    <row r="125" spans="1:13">
      <c r="A125" s="2" t="s">
        <v>261</v>
      </c>
      <c r="B125" t="s">
        <v>1749</v>
      </c>
      <c r="C125" t="s">
        <v>1722</v>
      </c>
      <c r="D125" t="s">
        <v>1731</v>
      </c>
      <c r="K125"/>
      <c r="L125"/>
      <c r="M125"/>
    </row>
    <row r="126" spans="1:13">
      <c r="A126" s="2" t="s">
        <v>206</v>
      </c>
      <c r="B126" t="s">
        <v>1749</v>
      </c>
      <c r="C126" t="s">
        <v>1723</v>
      </c>
      <c r="D126" t="s">
        <v>1732</v>
      </c>
      <c r="K126"/>
      <c r="L126"/>
      <c r="M126"/>
    </row>
    <row r="127" spans="1:13">
      <c r="A127" s="2" t="s">
        <v>264</v>
      </c>
      <c r="B127" t="s">
        <v>1749</v>
      </c>
      <c r="C127" t="s">
        <v>1722</v>
      </c>
      <c r="D127" t="s">
        <v>1731</v>
      </c>
      <c r="K127"/>
      <c r="L127"/>
      <c r="M127"/>
    </row>
    <row r="128" spans="1:13">
      <c r="A128" s="2" t="s">
        <v>260</v>
      </c>
      <c r="B128" t="s">
        <v>1749</v>
      </c>
      <c r="C128" t="s">
        <v>1722</v>
      </c>
      <c r="D128" t="s">
        <v>1731</v>
      </c>
      <c r="K128"/>
      <c r="L128"/>
      <c r="M128"/>
    </row>
    <row r="129" spans="1:13">
      <c r="A129" s="2" t="s">
        <v>233</v>
      </c>
      <c r="B129" t="s">
        <v>1749</v>
      </c>
      <c r="C129" t="s">
        <v>1725</v>
      </c>
      <c r="D129" t="s">
        <v>1731</v>
      </c>
      <c r="K129"/>
      <c r="L129"/>
      <c r="M129"/>
    </row>
    <row r="130" spans="1:13">
      <c r="A130" s="2" t="s">
        <v>203</v>
      </c>
      <c r="B130" t="s">
        <v>1749</v>
      </c>
      <c r="C130" t="s">
        <v>1723</v>
      </c>
      <c r="D130" t="s">
        <v>1732</v>
      </c>
      <c r="K130"/>
      <c r="L130"/>
      <c r="M130"/>
    </row>
    <row r="131" spans="1:13">
      <c r="A131" s="2" t="s">
        <v>201</v>
      </c>
      <c r="B131" t="s">
        <v>1749</v>
      </c>
      <c r="C131" t="s">
        <v>1722</v>
      </c>
      <c r="D131" t="s">
        <v>1731</v>
      </c>
      <c r="K131"/>
      <c r="L131"/>
      <c r="M131"/>
    </row>
    <row r="132" spans="1:13">
      <c r="A132" s="2" t="s">
        <v>274</v>
      </c>
      <c r="B132" t="s">
        <v>1749</v>
      </c>
      <c r="C132" t="s">
        <v>1722</v>
      </c>
      <c r="D132" t="s">
        <v>1731</v>
      </c>
      <c r="K132"/>
      <c r="L132"/>
      <c r="M132"/>
    </row>
    <row r="133" spans="1:13">
      <c r="A133" s="2" t="s">
        <v>520</v>
      </c>
      <c r="B133" t="s">
        <v>1749</v>
      </c>
      <c r="C133" t="s">
        <v>1726</v>
      </c>
      <c r="D133" t="s">
        <v>1731</v>
      </c>
      <c r="K133"/>
      <c r="L133"/>
      <c r="M133"/>
    </row>
    <row r="134" spans="1:13">
      <c r="A134" s="2" t="s">
        <v>525</v>
      </c>
      <c r="B134" t="s">
        <v>1749</v>
      </c>
      <c r="C134" t="s">
        <v>1726</v>
      </c>
      <c r="D134" t="s">
        <v>1731</v>
      </c>
      <c r="K134"/>
      <c r="L134"/>
      <c r="M134"/>
    </row>
    <row r="135" spans="1:13">
      <c r="A135" s="2" t="s">
        <v>497</v>
      </c>
      <c r="B135" t="s">
        <v>1749</v>
      </c>
      <c r="C135" t="s">
        <v>1726</v>
      </c>
      <c r="D135" t="s">
        <v>1731</v>
      </c>
      <c r="K135"/>
      <c r="L135"/>
      <c r="M135"/>
    </row>
    <row r="136" spans="1:13">
      <c r="A136" s="2" t="s">
        <v>479</v>
      </c>
      <c r="B136" t="s">
        <v>1749</v>
      </c>
      <c r="C136" t="s">
        <v>1726</v>
      </c>
      <c r="D136" t="s">
        <v>1731</v>
      </c>
      <c r="K136"/>
      <c r="L136"/>
      <c r="M136"/>
    </row>
    <row r="137" spans="1:13">
      <c r="A137" s="2" t="s">
        <v>508</v>
      </c>
      <c r="B137" t="s">
        <v>1749</v>
      </c>
      <c r="C137" t="s">
        <v>1726</v>
      </c>
      <c r="D137" t="s">
        <v>1731</v>
      </c>
      <c r="K137"/>
      <c r="L137"/>
      <c r="M137"/>
    </row>
    <row r="138" spans="1:13">
      <c r="A138" s="2" t="s">
        <v>482</v>
      </c>
      <c r="B138" t="s">
        <v>1749</v>
      </c>
      <c r="C138" t="s">
        <v>1726</v>
      </c>
      <c r="D138" t="s">
        <v>1731</v>
      </c>
      <c r="K138"/>
      <c r="L138"/>
      <c r="M138"/>
    </row>
    <row r="139" spans="1:13">
      <c r="A139" s="2" t="s">
        <v>523</v>
      </c>
      <c r="B139" t="s">
        <v>1749</v>
      </c>
      <c r="C139" t="s">
        <v>1726</v>
      </c>
      <c r="D139" t="s">
        <v>1731</v>
      </c>
      <c r="K139"/>
      <c r="L139"/>
      <c r="M139"/>
    </row>
    <row r="140" spans="1:13">
      <c r="A140" s="2" t="s">
        <v>507</v>
      </c>
      <c r="B140" t="s">
        <v>1749</v>
      </c>
      <c r="C140" t="s">
        <v>1726</v>
      </c>
      <c r="D140" t="s">
        <v>1731</v>
      </c>
      <c r="K140"/>
      <c r="L140"/>
      <c r="M140"/>
    </row>
    <row r="141" spans="1:13">
      <c r="A141" s="2" t="s">
        <v>496</v>
      </c>
      <c r="B141" t="s">
        <v>1749</v>
      </c>
      <c r="C141" t="s">
        <v>1726</v>
      </c>
      <c r="D141" t="s">
        <v>1731</v>
      </c>
      <c r="K141"/>
      <c r="L141"/>
      <c r="M141"/>
    </row>
    <row r="142" spans="1:13">
      <c r="A142" s="2" t="s">
        <v>515</v>
      </c>
      <c r="B142" t="s">
        <v>1749</v>
      </c>
      <c r="C142" t="s">
        <v>1726</v>
      </c>
      <c r="D142" t="s">
        <v>1731</v>
      </c>
      <c r="K142"/>
      <c r="L142"/>
      <c r="M142"/>
    </row>
    <row r="143" spans="1:13">
      <c r="A143" s="2" t="s">
        <v>513</v>
      </c>
      <c r="B143" t="s">
        <v>1749</v>
      </c>
      <c r="C143" t="s">
        <v>1726</v>
      </c>
      <c r="D143" t="s">
        <v>1731</v>
      </c>
      <c r="K143"/>
      <c r="L143"/>
      <c r="M143"/>
    </row>
    <row r="144" spans="1:13">
      <c r="A144" s="2" t="s">
        <v>485</v>
      </c>
      <c r="B144" t="s">
        <v>1749</v>
      </c>
      <c r="C144" t="s">
        <v>1726</v>
      </c>
      <c r="D144" t="s">
        <v>1731</v>
      </c>
      <c r="K144"/>
      <c r="L144"/>
      <c r="M144"/>
    </row>
    <row r="145" spans="1:13">
      <c r="A145" s="2" t="s">
        <v>524</v>
      </c>
      <c r="B145" t="s">
        <v>1749</v>
      </c>
      <c r="C145" t="s">
        <v>1726</v>
      </c>
      <c r="D145" t="s">
        <v>1731</v>
      </c>
      <c r="K145"/>
      <c r="L145"/>
      <c r="M145"/>
    </row>
    <row r="146" spans="1:13">
      <c r="A146" s="2" t="s">
        <v>488</v>
      </c>
      <c r="B146" t="s">
        <v>1749</v>
      </c>
      <c r="C146" t="s">
        <v>1726</v>
      </c>
      <c r="D146" t="s">
        <v>1731</v>
      </c>
      <c r="K146"/>
      <c r="L146"/>
      <c r="M146"/>
    </row>
    <row r="147" spans="1:13">
      <c r="A147" s="2" t="s">
        <v>512</v>
      </c>
      <c r="B147" t="s">
        <v>1749</v>
      </c>
      <c r="C147" t="s">
        <v>1726</v>
      </c>
      <c r="D147" t="s">
        <v>1731</v>
      </c>
      <c r="K147"/>
      <c r="L147"/>
      <c r="M147"/>
    </row>
    <row r="148" spans="1:13">
      <c r="A148" s="2" t="s">
        <v>500</v>
      </c>
      <c r="B148" t="s">
        <v>1749</v>
      </c>
      <c r="C148" t="s">
        <v>1726</v>
      </c>
      <c r="D148" t="s">
        <v>1731</v>
      </c>
      <c r="K148"/>
      <c r="L148"/>
      <c r="M148"/>
    </row>
    <row r="149" spans="1:13">
      <c r="A149" s="2" t="s">
        <v>503</v>
      </c>
      <c r="B149" t="s">
        <v>1749</v>
      </c>
      <c r="C149" t="s">
        <v>1726</v>
      </c>
      <c r="D149" t="s">
        <v>1731</v>
      </c>
      <c r="K149"/>
      <c r="L149"/>
      <c r="M149"/>
    </row>
    <row r="150" spans="1:13">
      <c r="A150" s="2" t="s">
        <v>480</v>
      </c>
      <c r="B150" t="s">
        <v>1749</v>
      </c>
      <c r="C150" t="s">
        <v>1726</v>
      </c>
      <c r="D150" t="s">
        <v>1731</v>
      </c>
      <c r="K150"/>
      <c r="L150"/>
      <c r="M150"/>
    </row>
    <row r="151" spans="1:13">
      <c r="A151" s="2" t="s">
        <v>494</v>
      </c>
      <c r="B151" t="s">
        <v>1749</v>
      </c>
      <c r="C151" t="s">
        <v>1726</v>
      </c>
      <c r="D151" t="s">
        <v>1731</v>
      </c>
      <c r="K151"/>
      <c r="L151"/>
      <c r="M151"/>
    </row>
    <row r="152" spans="1:13">
      <c r="A152" s="2" t="s">
        <v>499</v>
      </c>
      <c r="B152" t="s">
        <v>1749</v>
      </c>
      <c r="C152" t="s">
        <v>1726</v>
      </c>
      <c r="D152" t="s">
        <v>1731</v>
      </c>
      <c r="K152"/>
      <c r="L152"/>
      <c r="M152"/>
    </row>
    <row r="153" spans="1:13">
      <c r="A153" s="2" t="s">
        <v>517</v>
      </c>
      <c r="B153" t="s">
        <v>1749</v>
      </c>
      <c r="C153" t="s">
        <v>1726</v>
      </c>
      <c r="D153" t="s">
        <v>1731</v>
      </c>
      <c r="K153"/>
      <c r="L153"/>
      <c r="M153"/>
    </row>
    <row r="154" spans="1:13">
      <c r="A154" s="2" t="s">
        <v>516</v>
      </c>
      <c r="B154" t="s">
        <v>1749</v>
      </c>
      <c r="C154" t="s">
        <v>1726</v>
      </c>
      <c r="D154" t="s">
        <v>1731</v>
      </c>
      <c r="K154"/>
      <c r="L154"/>
      <c r="M154"/>
    </row>
    <row r="155" spans="1:13">
      <c r="A155" s="2" t="s">
        <v>492</v>
      </c>
      <c r="B155" t="s">
        <v>1749</v>
      </c>
      <c r="C155" t="s">
        <v>1726</v>
      </c>
      <c r="D155" t="s">
        <v>1731</v>
      </c>
      <c r="K155"/>
      <c r="L155"/>
      <c r="M155"/>
    </row>
    <row r="156" spans="1:13">
      <c r="A156" s="2" t="s">
        <v>519</v>
      </c>
      <c r="B156" t="s">
        <v>1749</v>
      </c>
      <c r="C156" t="s">
        <v>1726</v>
      </c>
      <c r="D156" t="s">
        <v>1731</v>
      </c>
      <c r="K156"/>
      <c r="L156"/>
      <c r="M156"/>
    </row>
    <row r="157" spans="1:13">
      <c r="A157" s="2" t="s">
        <v>493</v>
      </c>
      <c r="B157" t="s">
        <v>1749</v>
      </c>
      <c r="C157" t="s">
        <v>1726</v>
      </c>
      <c r="D157" t="s">
        <v>1731</v>
      </c>
      <c r="K157"/>
      <c r="L157"/>
      <c r="M157"/>
    </row>
    <row r="158" spans="1:13">
      <c r="A158" s="2" t="s">
        <v>477</v>
      </c>
      <c r="B158" t="s">
        <v>1749</v>
      </c>
      <c r="C158" t="s">
        <v>1726</v>
      </c>
      <c r="D158" t="s">
        <v>1731</v>
      </c>
      <c r="K158"/>
      <c r="L158"/>
      <c r="M158"/>
    </row>
    <row r="159" spans="1:13">
      <c r="A159" s="2" t="s">
        <v>481</v>
      </c>
      <c r="B159" t="s">
        <v>1749</v>
      </c>
      <c r="C159" t="s">
        <v>1726</v>
      </c>
      <c r="D159" t="s">
        <v>1731</v>
      </c>
      <c r="K159"/>
      <c r="L159"/>
      <c r="M159"/>
    </row>
    <row r="160" spans="1:13">
      <c r="A160" s="2" t="s">
        <v>483</v>
      </c>
      <c r="B160" t="s">
        <v>1749</v>
      </c>
      <c r="C160" t="s">
        <v>1726</v>
      </c>
      <c r="D160" t="s">
        <v>1731</v>
      </c>
      <c r="K160"/>
      <c r="L160"/>
      <c r="M160"/>
    </row>
    <row r="161" spans="1:13">
      <c r="A161" s="2" t="s">
        <v>522</v>
      </c>
      <c r="B161" t="s">
        <v>1749</v>
      </c>
      <c r="C161" t="s">
        <v>1726</v>
      </c>
      <c r="D161" t="s">
        <v>1731</v>
      </c>
      <c r="K161"/>
      <c r="L161"/>
      <c r="M161"/>
    </row>
    <row r="162" spans="1:13">
      <c r="A162" s="2" t="s">
        <v>505</v>
      </c>
      <c r="B162" t="s">
        <v>1749</v>
      </c>
      <c r="C162" t="s">
        <v>1726</v>
      </c>
      <c r="D162" t="s">
        <v>1731</v>
      </c>
      <c r="K162"/>
      <c r="L162"/>
      <c r="M162"/>
    </row>
    <row r="163" spans="1:13">
      <c r="A163" s="2" t="s">
        <v>506</v>
      </c>
      <c r="B163" t="s">
        <v>1749</v>
      </c>
      <c r="C163" t="s">
        <v>1726</v>
      </c>
      <c r="D163" t="s">
        <v>1731</v>
      </c>
      <c r="K163"/>
      <c r="L163"/>
      <c r="M163"/>
    </row>
    <row r="164" spans="1:13">
      <c r="A164" s="2" t="s">
        <v>526</v>
      </c>
      <c r="B164" t="s">
        <v>1749</v>
      </c>
      <c r="C164" t="s">
        <v>1726</v>
      </c>
      <c r="D164" t="s">
        <v>1731</v>
      </c>
      <c r="K164"/>
      <c r="L164"/>
      <c r="M164"/>
    </row>
    <row r="165" spans="1:13">
      <c r="A165" s="2" t="s">
        <v>502</v>
      </c>
      <c r="B165" t="s">
        <v>1749</v>
      </c>
      <c r="C165" t="s">
        <v>1726</v>
      </c>
      <c r="D165" t="s">
        <v>1731</v>
      </c>
      <c r="K165"/>
      <c r="L165"/>
      <c r="M165"/>
    </row>
    <row r="166" spans="1:13">
      <c r="A166" s="2" t="s">
        <v>509</v>
      </c>
      <c r="B166" t="s">
        <v>1749</v>
      </c>
      <c r="C166" t="s">
        <v>1726</v>
      </c>
      <c r="D166" t="s">
        <v>1731</v>
      </c>
      <c r="K166"/>
      <c r="L166"/>
      <c r="M166"/>
    </row>
    <row r="167" spans="1:13">
      <c r="A167" s="2" t="s">
        <v>518</v>
      </c>
      <c r="B167" t="s">
        <v>1749</v>
      </c>
      <c r="C167" t="s">
        <v>1726</v>
      </c>
      <c r="D167" t="s">
        <v>1731</v>
      </c>
      <c r="K167"/>
      <c r="L167"/>
      <c r="M167"/>
    </row>
    <row r="168" spans="1:13">
      <c r="A168" s="2" t="s">
        <v>484</v>
      </c>
      <c r="B168" t="s">
        <v>1749</v>
      </c>
      <c r="C168" t="s">
        <v>1726</v>
      </c>
      <c r="D168" t="s">
        <v>1731</v>
      </c>
      <c r="K168"/>
      <c r="L168"/>
      <c r="M168"/>
    </row>
    <row r="169" spans="1:13">
      <c r="A169" s="2" t="s">
        <v>495</v>
      </c>
      <c r="B169" t="s">
        <v>1749</v>
      </c>
      <c r="C169" t="s">
        <v>1726</v>
      </c>
      <c r="D169" t="s">
        <v>1731</v>
      </c>
      <c r="K169"/>
      <c r="L169"/>
      <c r="M169"/>
    </row>
    <row r="170" spans="1:13">
      <c r="A170" s="2" t="s">
        <v>527</v>
      </c>
      <c r="B170" t="s">
        <v>1749</v>
      </c>
      <c r="C170" t="s">
        <v>1726</v>
      </c>
      <c r="D170" t="s">
        <v>1731</v>
      </c>
      <c r="K170"/>
      <c r="L170"/>
      <c r="M170"/>
    </row>
    <row r="171" spans="1:13">
      <c r="A171" s="2" t="s">
        <v>528</v>
      </c>
      <c r="B171" t="s">
        <v>1749</v>
      </c>
      <c r="C171" t="s">
        <v>1726</v>
      </c>
      <c r="D171" t="s">
        <v>1731</v>
      </c>
      <c r="K171"/>
      <c r="L171"/>
      <c r="M171"/>
    </row>
    <row r="172" spans="1:13">
      <c r="A172" s="2" t="s">
        <v>498</v>
      </c>
      <c r="B172" t="s">
        <v>1749</v>
      </c>
      <c r="C172" t="s">
        <v>1726</v>
      </c>
      <c r="D172" t="s">
        <v>1731</v>
      </c>
      <c r="K172"/>
      <c r="L172"/>
      <c r="M172"/>
    </row>
    <row r="173" spans="1:13">
      <c r="A173" s="2" t="s">
        <v>486</v>
      </c>
      <c r="B173" t="s">
        <v>1749</v>
      </c>
      <c r="C173" t="s">
        <v>1726</v>
      </c>
      <c r="D173" t="s">
        <v>1731</v>
      </c>
      <c r="K173"/>
      <c r="L173"/>
      <c r="M173"/>
    </row>
    <row r="174" spans="1:13">
      <c r="A174" s="2" t="s">
        <v>511</v>
      </c>
      <c r="B174" t="s">
        <v>1749</v>
      </c>
      <c r="C174" t="s">
        <v>1726</v>
      </c>
      <c r="D174" t="s">
        <v>1731</v>
      </c>
      <c r="K174"/>
      <c r="L174"/>
      <c r="M174"/>
    </row>
    <row r="175" spans="1:13">
      <c r="A175" s="2" t="s">
        <v>529</v>
      </c>
      <c r="B175" t="s">
        <v>1749</v>
      </c>
      <c r="C175" t="s">
        <v>1726</v>
      </c>
      <c r="D175" t="s">
        <v>1731</v>
      </c>
      <c r="K175"/>
      <c r="L175"/>
      <c r="M175"/>
    </row>
    <row r="176" spans="1:13">
      <c r="A176" s="2" t="s">
        <v>490</v>
      </c>
      <c r="B176" t="s">
        <v>1749</v>
      </c>
      <c r="C176" t="s">
        <v>1726</v>
      </c>
      <c r="D176" t="s">
        <v>1731</v>
      </c>
      <c r="K176"/>
      <c r="L176"/>
      <c r="M176"/>
    </row>
    <row r="177" spans="1:13">
      <c r="A177" s="2" t="s">
        <v>510</v>
      </c>
      <c r="B177" t="s">
        <v>1749</v>
      </c>
      <c r="C177" t="s">
        <v>1726</v>
      </c>
      <c r="D177" t="s">
        <v>1731</v>
      </c>
      <c r="K177"/>
      <c r="L177"/>
      <c r="M177"/>
    </row>
    <row r="178" spans="1:13">
      <c r="A178" s="2" t="s">
        <v>489</v>
      </c>
      <c r="B178" t="s">
        <v>1749</v>
      </c>
      <c r="C178" t="s">
        <v>1726</v>
      </c>
      <c r="D178" t="s">
        <v>1731</v>
      </c>
      <c r="K178"/>
      <c r="L178"/>
      <c r="M178"/>
    </row>
    <row r="179" spans="1:13">
      <c r="A179" s="2" t="s">
        <v>521</v>
      </c>
      <c r="B179" t="s">
        <v>1749</v>
      </c>
      <c r="C179" t="s">
        <v>1726</v>
      </c>
      <c r="D179" t="s">
        <v>1731</v>
      </c>
      <c r="K179"/>
      <c r="L179"/>
      <c r="M179"/>
    </row>
    <row r="180" spans="1:13">
      <c r="A180" s="2" t="s">
        <v>501</v>
      </c>
      <c r="B180" t="s">
        <v>1749</v>
      </c>
      <c r="C180" t="s">
        <v>1726</v>
      </c>
      <c r="D180" t="s">
        <v>1731</v>
      </c>
      <c r="K180"/>
      <c r="L180"/>
      <c r="M180"/>
    </row>
    <row r="181" spans="1:13">
      <c r="A181" s="2" t="s">
        <v>504</v>
      </c>
      <c r="B181" t="s">
        <v>1749</v>
      </c>
      <c r="C181" t="s">
        <v>1726</v>
      </c>
      <c r="D181" t="s">
        <v>1731</v>
      </c>
      <c r="K181"/>
      <c r="L181"/>
      <c r="M181"/>
    </row>
    <row r="182" spans="1:13">
      <c r="A182" s="2" t="s">
        <v>491</v>
      </c>
      <c r="B182" t="s">
        <v>1749</v>
      </c>
      <c r="C182" t="s">
        <v>1726</v>
      </c>
      <c r="D182" t="s">
        <v>1731</v>
      </c>
      <c r="K182"/>
      <c r="L182"/>
      <c r="M182"/>
    </row>
    <row r="183" spans="1:13">
      <c r="A183" s="2" t="s">
        <v>514</v>
      </c>
      <c r="B183" t="s">
        <v>1749</v>
      </c>
      <c r="C183" t="s">
        <v>1726</v>
      </c>
      <c r="D183" t="s">
        <v>1731</v>
      </c>
      <c r="K183"/>
      <c r="L183"/>
      <c r="M183"/>
    </row>
    <row r="184" spans="1:13">
      <c r="A184" s="2" t="s">
        <v>487</v>
      </c>
      <c r="B184" t="s">
        <v>1749</v>
      </c>
      <c r="C184" t="s">
        <v>1726</v>
      </c>
      <c r="D184" t="s">
        <v>1731</v>
      </c>
      <c r="K184"/>
      <c r="L184"/>
      <c r="M184"/>
    </row>
    <row r="185" spans="1:13">
      <c r="A185" s="2" t="s">
        <v>438</v>
      </c>
      <c r="B185" t="s">
        <v>1750</v>
      </c>
      <c r="C185" t="s">
        <v>1722</v>
      </c>
      <c r="D185" t="s">
        <v>1731</v>
      </c>
      <c r="K185"/>
      <c r="L185"/>
      <c r="M185"/>
    </row>
    <row r="186" spans="1:13">
      <c r="A186" s="2" t="s">
        <v>630</v>
      </c>
      <c r="B186" t="s">
        <v>1750</v>
      </c>
      <c r="C186" t="s">
        <v>1722</v>
      </c>
      <c r="D186" t="s">
        <v>1731</v>
      </c>
      <c r="K186"/>
      <c r="L186"/>
      <c r="M186"/>
    </row>
    <row r="187" spans="1:13">
      <c r="A187" s="2" t="s">
        <v>382</v>
      </c>
      <c r="B187" t="s">
        <v>1750</v>
      </c>
      <c r="C187" t="s">
        <v>1722</v>
      </c>
      <c r="D187" t="s">
        <v>1731</v>
      </c>
      <c r="K187"/>
      <c r="L187"/>
      <c r="M187"/>
    </row>
    <row r="188" spans="1:13">
      <c r="A188" s="2" t="s">
        <v>420</v>
      </c>
      <c r="B188" t="s">
        <v>1750</v>
      </c>
      <c r="C188" t="s">
        <v>1722</v>
      </c>
      <c r="D188" t="s">
        <v>1731</v>
      </c>
      <c r="K188"/>
      <c r="L188"/>
      <c r="M188"/>
    </row>
    <row r="189" spans="1:13">
      <c r="A189" s="2" t="s">
        <v>427</v>
      </c>
      <c r="B189" t="s">
        <v>1750</v>
      </c>
      <c r="C189" t="s">
        <v>1722</v>
      </c>
      <c r="D189" t="s">
        <v>1731</v>
      </c>
      <c r="K189"/>
      <c r="L189"/>
      <c r="M189"/>
    </row>
    <row r="190" spans="1:13">
      <c r="A190" s="2" t="s">
        <v>428</v>
      </c>
      <c r="B190" t="s">
        <v>1750</v>
      </c>
      <c r="C190" t="s">
        <v>1722</v>
      </c>
      <c r="D190" t="s">
        <v>1731</v>
      </c>
      <c r="K190"/>
      <c r="L190"/>
      <c r="M190"/>
    </row>
    <row r="191" spans="1:13">
      <c r="A191" s="2" t="s">
        <v>415</v>
      </c>
      <c r="B191" t="s">
        <v>1750</v>
      </c>
      <c r="C191" t="s">
        <v>1729</v>
      </c>
      <c r="D191" t="s">
        <v>1732</v>
      </c>
      <c r="K191"/>
      <c r="L191"/>
      <c r="M191"/>
    </row>
    <row r="192" spans="1:13">
      <c r="A192" s="2" t="s">
        <v>404</v>
      </c>
      <c r="B192" t="s">
        <v>1750</v>
      </c>
      <c r="C192" t="s">
        <v>1722</v>
      </c>
      <c r="D192" t="s">
        <v>1731</v>
      </c>
      <c r="K192"/>
      <c r="L192"/>
      <c r="M192"/>
    </row>
    <row r="193" spans="1:13">
      <c r="A193" s="2" t="s">
        <v>476</v>
      </c>
      <c r="B193" t="s">
        <v>1750</v>
      </c>
      <c r="C193" t="s">
        <v>1722</v>
      </c>
      <c r="D193" t="s">
        <v>1731</v>
      </c>
      <c r="K193"/>
      <c r="L193"/>
      <c r="M193"/>
    </row>
    <row r="194" spans="1:13">
      <c r="A194" s="2" t="s">
        <v>636</v>
      </c>
      <c r="B194" t="s">
        <v>1750</v>
      </c>
      <c r="C194" t="s">
        <v>1722</v>
      </c>
      <c r="D194" t="s">
        <v>1731</v>
      </c>
      <c r="K194"/>
      <c r="L194"/>
      <c r="M194"/>
    </row>
    <row r="195" spans="1:13">
      <c r="A195" s="2" t="s">
        <v>657</v>
      </c>
      <c r="B195" t="s">
        <v>1750</v>
      </c>
      <c r="C195" t="s">
        <v>1722</v>
      </c>
      <c r="D195" t="s">
        <v>1731</v>
      </c>
      <c r="K195"/>
      <c r="L195"/>
      <c r="M195"/>
    </row>
    <row r="196" spans="1:13">
      <c r="A196" s="2" t="s">
        <v>460</v>
      </c>
      <c r="B196" t="s">
        <v>1750</v>
      </c>
      <c r="C196" t="s">
        <v>1722</v>
      </c>
      <c r="D196" t="s">
        <v>1731</v>
      </c>
      <c r="K196"/>
      <c r="L196"/>
      <c r="M196"/>
    </row>
    <row r="197" spans="1:13">
      <c r="A197" s="2" t="s">
        <v>407</v>
      </c>
      <c r="B197" t="s">
        <v>1750</v>
      </c>
      <c r="C197" t="s">
        <v>1722</v>
      </c>
      <c r="D197" t="s">
        <v>1731</v>
      </c>
      <c r="K197"/>
      <c r="L197"/>
      <c r="M197"/>
    </row>
    <row r="198" spans="1:13">
      <c r="A198" s="2" t="s">
        <v>411</v>
      </c>
      <c r="B198" t="s">
        <v>1750</v>
      </c>
      <c r="C198" t="s">
        <v>1722</v>
      </c>
      <c r="D198" t="s">
        <v>1731</v>
      </c>
      <c r="K198"/>
      <c r="L198"/>
      <c r="M198"/>
    </row>
    <row r="199" spans="1:13">
      <c r="A199" s="2" t="s">
        <v>393</v>
      </c>
      <c r="B199" t="s">
        <v>1750</v>
      </c>
      <c r="C199" t="s">
        <v>1722</v>
      </c>
      <c r="D199" t="s">
        <v>1731</v>
      </c>
      <c r="K199"/>
      <c r="L199"/>
      <c r="M199"/>
    </row>
    <row r="200" spans="1:13">
      <c r="A200" s="2" t="s">
        <v>406</v>
      </c>
      <c r="B200" t="s">
        <v>1750</v>
      </c>
      <c r="C200" t="s">
        <v>1725</v>
      </c>
      <c r="D200" t="s">
        <v>1731</v>
      </c>
      <c r="K200"/>
      <c r="L200"/>
      <c r="M200"/>
    </row>
    <row r="201" spans="1:13">
      <c r="A201" s="2" t="s">
        <v>443</v>
      </c>
      <c r="B201" t="s">
        <v>1750</v>
      </c>
      <c r="C201" t="s">
        <v>1722</v>
      </c>
      <c r="D201" t="s">
        <v>1731</v>
      </c>
      <c r="K201"/>
      <c r="L201"/>
      <c r="M201"/>
    </row>
    <row r="202" spans="1:13">
      <c r="A202" s="2" t="s">
        <v>442</v>
      </c>
      <c r="B202" t="s">
        <v>1750</v>
      </c>
      <c r="C202" t="s">
        <v>1722</v>
      </c>
      <c r="D202" t="s">
        <v>1731</v>
      </c>
      <c r="K202"/>
      <c r="L202"/>
      <c r="M202"/>
    </row>
    <row r="203" spans="1:13">
      <c r="A203" s="2" t="s">
        <v>441</v>
      </c>
      <c r="B203" t="s">
        <v>1750</v>
      </c>
      <c r="C203" t="s">
        <v>1722</v>
      </c>
      <c r="D203" t="s">
        <v>1731</v>
      </c>
      <c r="K203"/>
      <c r="L203"/>
      <c r="M203"/>
    </row>
    <row r="204" spans="1:13">
      <c r="A204" s="2" t="s">
        <v>440</v>
      </c>
      <c r="B204" t="s">
        <v>1750</v>
      </c>
      <c r="C204" t="s">
        <v>1722</v>
      </c>
      <c r="D204" t="s">
        <v>1731</v>
      </c>
      <c r="K204"/>
      <c r="L204"/>
      <c r="M204"/>
    </row>
    <row r="205" spans="1:13">
      <c r="A205" s="2" t="s">
        <v>439</v>
      </c>
      <c r="B205" t="s">
        <v>1750</v>
      </c>
      <c r="C205" t="s">
        <v>1722</v>
      </c>
      <c r="D205" t="s">
        <v>1731</v>
      </c>
      <c r="K205"/>
      <c r="L205"/>
      <c r="M205"/>
    </row>
    <row r="206" spans="1:13">
      <c r="A206" s="2" t="s">
        <v>445</v>
      </c>
      <c r="B206" t="s">
        <v>1750</v>
      </c>
      <c r="C206" t="s">
        <v>1722</v>
      </c>
      <c r="D206" t="s">
        <v>1731</v>
      </c>
      <c r="K206"/>
      <c r="L206"/>
      <c r="M206"/>
    </row>
    <row r="207" spans="1:13">
      <c r="A207" s="2" t="s">
        <v>412</v>
      </c>
      <c r="B207" t="s">
        <v>1750</v>
      </c>
      <c r="C207" t="s">
        <v>1722</v>
      </c>
      <c r="D207" t="s">
        <v>1731</v>
      </c>
      <c r="K207"/>
      <c r="L207"/>
      <c r="M207"/>
    </row>
    <row r="208" spans="1:13">
      <c r="A208" s="2" t="s">
        <v>468</v>
      </c>
      <c r="B208" t="s">
        <v>1750</v>
      </c>
      <c r="C208" t="s">
        <v>1722</v>
      </c>
      <c r="D208" t="s">
        <v>1731</v>
      </c>
      <c r="K208"/>
      <c r="L208"/>
      <c r="M208"/>
    </row>
    <row r="209" spans="1:13">
      <c r="A209" s="2" t="s">
        <v>452</v>
      </c>
      <c r="B209" t="s">
        <v>1750</v>
      </c>
      <c r="C209" t="s">
        <v>1722</v>
      </c>
      <c r="D209" t="s">
        <v>1731</v>
      </c>
      <c r="K209"/>
      <c r="L209"/>
      <c r="M209"/>
    </row>
    <row r="210" spans="1:13">
      <c r="A210" s="2" t="s">
        <v>661</v>
      </c>
      <c r="B210" t="s">
        <v>1750</v>
      </c>
      <c r="C210" t="s">
        <v>1722</v>
      </c>
      <c r="D210" t="s">
        <v>1731</v>
      </c>
      <c r="K210"/>
      <c r="L210"/>
      <c r="M210"/>
    </row>
    <row r="211" spans="1:13">
      <c r="A211" s="2" t="s">
        <v>461</v>
      </c>
      <c r="B211" t="s">
        <v>1750</v>
      </c>
      <c r="C211" t="s">
        <v>1722</v>
      </c>
      <c r="D211" t="s">
        <v>1731</v>
      </c>
      <c r="K211"/>
      <c r="L211"/>
      <c r="M211"/>
    </row>
    <row r="212" spans="1:13">
      <c r="A212" s="2" t="s">
        <v>463</v>
      </c>
      <c r="B212" t="s">
        <v>1750</v>
      </c>
      <c r="C212" t="s">
        <v>1722</v>
      </c>
      <c r="D212" t="s">
        <v>1731</v>
      </c>
      <c r="K212"/>
      <c r="L212"/>
      <c r="M212"/>
    </row>
    <row r="213" spans="1:13">
      <c r="A213" s="2" t="s">
        <v>462</v>
      </c>
      <c r="B213" t="s">
        <v>1750</v>
      </c>
      <c r="C213" t="s">
        <v>1722</v>
      </c>
      <c r="D213" t="s">
        <v>1731</v>
      </c>
      <c r="K213"/>
      <c r="L213"/>
      <c r="M213"/>
    </row>
    <row r="214" spans="1:13">
      <c r="A214" s="2" t="s">
        <v>387</v>
      </c>
      <c r="B214" t="s">
        <v>1750</v>
      </c>
      <c r="C214" t="s">
        <v>1722</v>
      </c>
      <c r="D214" t="s">
        <v>1731</v>
      </c>
      <c r="K214"/>
      <c r="L214"/>
      <c r="M214"/>
    </row>
    <row r="215" spans="1:13">
      <c r="A215" s="2" t="s">
        <v>475</v>
      </c>
      <c r="B215" t="s">
        <v>1750</v>
      </c>
      <c r="C215" t="s">
        <v>1722</v>
      </c>
      <c r="D215" t="s">
        <v>1731</v>
      </c>
      <c r="K215"/>
      <c r="L215"/>
      <c r="M215"/>
    </row>
    <row r="216" spans="1:13">
      <c r="A216" s="2" t="s">
        <v>421</v>
      </c>
      <c r="B216" t="s">
        <v>1750</v>
      </c>
      <c r="C216" t="s">
        <v>1722</v>
      </c>
      <c r="D216" t="s">
        <v>1731</v>
      </c>
      <c r="K216"/>
      <c r="L216"/>
      <c r="M216"/>
    </row>
    <row r="217" spans="1:13">
      <c r="A217" s="2" t="s">
        <v>418</v>
      </c>
      <c r="B217" t="s">
        <v>1750</v>
      </c>
      <c r="C217" t="s">
        <v>1722</v>
      </c>
      <c r="D217" t="s">
        <v>1731</v>
      </c>
      <c r="K217"/>
      <c r="L217"/>
      <c r="M217"/>
    </row>
    <row r="218" spans="1:13">
      <c r="A218" s="2" t="s">
        <v>416</v>
      </c>
      <c r="B218" t="s">
        <v>1750</v>
      </c>
      <c r="C218" t="s">
        <v>1722</v>
      </c>
      <c r="D218" t="s">
        <v>1731</v>
      </c>
      <c r="K218"/>
      <c r="L218"/>
      <c r="M218"/>
    </row>
    <row r="219" spans="1:13">
      <c r="A219" s="2" t="s">
        <v>464</v>
      </c>
      <c r="B219" t="s">
        <v>1750</v>
      </c>
      <c r="C219" t="s">
        <v>1722</v>
      </c>
      <c r="D219" t="s">
        <v>1731</v>
      </c>
      <c r="K219"/>
      <c r="L219"/>
      <c r="M219"/>
    </row>
    <row r="220" spans="1:13">
      <c r="A220" s="2" t="s">
        <v>470</v>
      </c>
      <c r="B220" t="s">
        <v>1750</v>
      </c>
      <c r="C220" t="s">
        <v>1722</v>
      </c>
      <c r="D220" t="s">
        <v>1731</v>
      </c>
      <c r="K220"/>
      <c r="L220"/>
      <c r="M220"/>
    </row>
    <row r="221" spans="1:13">
      <c r="A221" s="2" t="s">
        <v>422</v>
      </c>
      <c r="B221" t="s">
        <v>1750</v>
      </c>
      <c r="C221" t="s">
        <v>1722</v>
      </c>
      <c r="D221" t="s">
        <v>1731</v>
      </c>
      <c r="K221"/>
      <c r="L221"/>
      <c r="M221"/>
    </row>
    <row r="222" spans="1:13">
      <c r="A222" s="2" t="s">
        <v>434</v>
      </c>
      <c r="B222" t="s">
        <v>1750</v>
      </c>
      <c r="C222" t="s">
        <v>1729</v>
      </c>
      <c r="D222" t="s">
        <v>1732</v>
      </c>
      <c r="K222"/>
      <c r="L222"/>
      <c r="M222"/>
    </row>
    <row r="223" spans="1:13">
      <c r="A223" s="2" t="s">
        <v>446</v>
      </c>
      <c r="B223" t="s">
        <v>1750</v>
      </c>
      <c r="C223" t="s">
        <v>1722</v>
      </c>
      <c r="D223" t="s">
        <v>1731</v>
      </c>
      <c r="K223"/>
      <c r="L223"/>
      <c r="M223"/>
    </row>
    <row r="224" spans="1:13">
      <c r="A224" s="2" t="s">
        <v>660</v>
      </c>
      <c r="B224" t="s">
        <v>1750</v>
      </c>
      <c r="C224" t="s">
        <v>1722</v>
      </c>
      <c r="D224" t="s">
        <v>1731</v>
      </c>
      <c r="K224"/>
      <c r="L224"/>
      <c r="M224"/>
    </row>
    <row r="225" spans="1:13">
      <c r="A225" s="2" t="s">
        <v>386</v>
      </c>
      <c r="B225" t="s">
        <v>1750</v>
      </c>
      <c r="C225" t="s">
        <v>1729</v>
      </c>
      <c r="D225" t="s">
        <v>1732</v>
      </c>
      <c r="K225"/>
      <c r="L225"/>
      <c r="M225"/>
    </row>
    <row r="226" spans="1:13">
      <c r="A226" s="2" t="s">
        <v>409</v>
      </c>
      <c r="B226" t="s">
        <v>1750</v>
      </c>
      <c r="C226" t="s">
        <v>1722</v>
      </c>
      <c r="D226" t="s">
        <v>1731</v>
      </c>
      <c r="K226"/>
      <c r="L226"/>
      <c r="M226"/>
    </row>
    <row r="227" spans="1:13">
      <c r="A227" s="2" t="s">
        <v>388</v>
      </c>
      <c r="B227" t="s">
        <v>1750</v>
      </c>
      <c r="C227" t="s">
        <v>1722</v>
      </c>
      <c r="D227" t="s">
        <v>1731</v>
      </c>
      <c r="K227"/>
      <c r="L227"/>
      <c r="M227"/>
    </row>
    <row r="228" spans="1:13">
      <c r="A228" s="2" t="s">
        <v>401</v>
      </c>
      <c r="B228" t="s">
        <v>1750</v>
      </c>
      <c r="C228" t="s">
        <v>1722</v>
      </c>
      <c r="D228" t="s">
        <v>1731</v>
      </c>
      <c r="K228"/>
      <c r="L228"/>
      <c r="M228"/>
    </row>
    <row r="229" spans="1:13">
      <c r="A229" s="2" t="s">
        <v>394</v>
      </c>
      <c r="B229" t="s">
        <v>1750</v>
      </c>
      <c r="C229" t="s">
        <v>1722</v>
      </c>
      <c r="D229" t="s">
        <v>1731</v>
      </c>
      <c r="K229"/>
      <c r="L229"/>
      <c r="M229"/>
    </row>
    <row r="230" spans="1:13">
      <c r="A230" s="2" t="s">
        <v>402</v>
      </c>
      <c r="B230" t="s">
        <v>1750</v>
      </c>
      <c r="C230" t="s">
        <v>1722</v>
      </c>
      <c r="D230" t="s">
        <v>1731</v>
      </c>
      <c r="K230"/>
      <c r="L230"/>
      <c r="M230"/>
    </row>
    <row r="231" spans="1:13">
      <c r="A231" s="2" t="s">
        <v>453</v>
      </c>
      <c r="B231" t="s">
        <v>1750</v>
      </c>
      <c r="C231" t="s">
        <v>1722</v>
      </c>
      <c r="D231" t="s">
        <v>1731</v>
      </c>
      <c r="K231"/>
      <c r="L231"/>
      <c r="M231"/>
    </row>
    <row r="232" spans="1:13">
      <c r="A232" s="2" t="s">
        <v>471</v>
      </c>
      <c r="B232" t="s">
        <v>1750</v>
      </c>
      <c r="C232" t="s">
        <v>1729</v>
      </c>
      <c r="D232" t="s">
        <v>1732</v>
      </c>
      <c r="K232"/>
      <c r="L232"/>
      <c r="M232"/>
    </row>
    <row r="233" spans="1:13">
      <c r="A233" s="2" t="s">
        <v>403</v>
      </c>
      <c r="B233" t="s">
        <v>1750</v>
      </c>
      <c r="C233" t="s">
        <v>1722</v>
      </c>
      <c r="D233" t="s">
        <v>1731</v>
      </c>
      <c r="K233"/>
      <c r="L233"/>
      <c r="M233"/>
    </row>
    <row r="234" spans="1:13">
      <c r="A234" s="2" t="s">
        <v>400</v>
      </c>
      <c r="B234" t="s">
        <v>1750</v>
      </c>
      <c r="C234" t="s">
        <v>1729</v>
      </c>
      <c r="D234" t="s">
        <v>1735</v>
      </c>
      <c r="K234"/>
      <c r="L234"/>
      <c r="M234"/>
    </row>
    <row r="235" spans="1:13">
      <c r="A235" s="2" t="s">
        <v>385</v>
      </c>
      <c r="B235" t="s">
        <v>1750</v>
      </c>
      <c r="C235" t="s">
        <v>1722</v>
      </c>
      <c r="D235" t="s">
        <v>1731</v>
      </c>
      <c r="K235"/>
      <c r="L235"/>
      <c r="M235"/>
    </row>
    <row r="236" spans="1:13">
      <c r="A236" s="2" t="s">
        <v>378</v>
      </c>
      <c r="B236" t="s">
        <v>1750</v>
      </c>
      <c r="C236" t="s">
        <v>1722</v>
      </c>
      <c r="D236" t="s">
        <v>1731</v>
      </c>
      <c r="K236"/>
      <c r="L236"/>
      <c r="M236"/>
    </row>
    <row r="237" spans="1:13">
      <c r="A237" s="2" t="s">
        <v>379</v>
      </c>
      <c r="B237" t="s">
        <v>1750</v>
      </c>
      <c r="C237" t="s">
        <v>1722</v>
      </c>
      <c r="D237" t="s">
        <v>1731</v>
      </c>
      <c r="K237"/>
      <c r="L237"/>
      <c r="M237"/>
    </row>
    <row r="238" spans="1:13">
      <c r="A238" s="2" t="s">
        <v>628</v>
      </c>
      <c r="B238" t="s">
        <v>1750</v>
      </c>
      <c r="C238" t="s">
        <v>1722</v>
      </c>
      <c r="D238" t="s">
        <v>1731</v>
      </c>
      <c r="K238"/>
      <c r="L238"/>
      <c r="M238"/>
    </row>
    <row r="239" spans="1:13">
      <c r="A239" s="2" t="s">
        <v>472</v>
      </c>
      <c r="B239" t="s">
        <v>1750</v>
      </c>
      <c r="C239" t="s">
        <v>1722</v>
      </c>
      <c r="D239" t="s">
        <v>1731</v>
      </c>
      <c r="K239"/>
      <c r="L239"/>
      <c r="M239"/>
    </row>
    <row r="240" spans="1:13">
      <c r="A240" s="2" t="s">
        <v>627</v>
      </c>
      <c r="B240" t="s">
        <v>1750</v>
      </c>
      <c r="C240" t="s">
        <v>1729</v>
      </c>
      <c r="D240" t="s">
        <v>1735</v>
      </c>
      <c r="K240"/>
      <c r="L240"/>
      <c r="M240"/>
    </row>
    <row r="241" spans="1:13">
      <c r="A241" s="2" t="s">
        <v>465</v>
      </c>
      <c r="B241" t="s">
        <v>1750</v>
      </c>
      <c r="C241" t="s">
        <v>1729</v>
      </c>
      <c r="D241" t="s">
        <v>1735</v>
      </c>
      <c r="K241"/>
      <c r="L241"/>
      <c r="M241"/>
    </row>
    <row r="242" spans="1:13">
      <c r="A242" s="2" t="s">
        <v>662</v>
      </c>
      <c r="B242" t="s">
        <v>1750</v>
      </c>
      <c r="C242" t="s">
        <v>1722</v>
      </c>
      <c r="D242" t="s">
        <v>1731</v>
      </c>
      <c r="K242"/>
      <c r="L242"/>
      <c r="M242"/>
    </row>
    <row r="243" spans="1:13">
      <c r="A243" s="2" t="s">
        <v>663</v>
      </c>
      <c r="B243" t="s">
        <v>1750</v>
      </c>
      <c r="C243" t="s">
        <v>1729</v>
      </c>
      <c r="D243" t="s">
        <v>1735</v>
      </c>
      <c r="K243"/>
      <c r="L243"/>
      <c r="M243"/>
    </row>
    <row r="244" spans="1:13">
      <c r="A244" s="2" t="s">
        <v>454</v>
      </c>
      <c r="B244" t="s">
        <v>1750</v>
      </c>
      <c r="C244" t="s">
        <v>1722</v>
      </c>
      <c r="D244" t="s">
        <v>1731</v>
      </c>
      <c r="K244"/>
      <c r="L244"/>
      <c r="M244"/>
    </row>
    <row r="245" spans="1:13">
      <c r="A245" s="2" t="s">
        <v>457</v>
      </c>
      <c r="B245" t="s">
        <v>1750</v>
      </c>
      <c r="C245" t="s">
        <v>1722</v>
      </c>
      <c r="D245" t="s">
        <v>1731</v>
      </c>
      <c r="K245"/>
      <c r="L245"/>
      <c r="M245"/>
    </row>
    <row r="246" spans="1:13">
      <c r="A246" s="2" t="s">
        <v>458</v>
      </c>
      <c r="B246" t="s">
        <v>1750</v>
      </c>
      <c r="C246" t="s">
        <v>1722</v>
      </c>
      <c r="D246" t="s">
        <v>1731</v>
      </c>
      <c r="K246"/>
      <c r="L246"/>
      <c r="M246"/>
    </row>
    <row r="247" spans="1:13">
      <c r="A247" s="2" t="s">
        <v>408</v>
      </c>
      <c r="B247" t="s">
        <v>1750</v>
      </c>
      <c r="C247" t="s">
        <v>1722</v>
      </c>
      <c r="D247" t="s">
        <v>1731</v>
      </c>
      <c r="K247"/>
      <c r="L247"/>
      <c r="M247"/>
    </row>
    <row r="248" spans="1:13">
      <c r="A248" s="2" t="s">
        <v>455</v>
      </c>
      <c r="B248" t="s">
        <v>1750</v>
      </c>
      <c r="C248" t="s">
        <v>1722</v>
      </c>
      <c r="D248" t="s">
        <v>1731</v>
      </c>
      <c r="K248"/>
      <c r="L248"/>
      <c r="M248"/>
    </row>
    <row r="249" spans="1:13">
      <c r="A249" s="2" t="s">
        <v>380</v>
      </c>
      <c r="B249" t="s">
        <v>1750</v>
      </c>
      <c r="C249" t="s">
        <v>1722</v>
      </c>
      <c r="D249" t="s">
        <v>1731</v>
      </c>
      <c r="K249"/>
      <c r="L249"/>
      <c r="M249"/>
    </row>
    <row r="250" spans="1:13">
      <c r="A250" s="2" t="s">
        <v>381</v>
      </c>
      <c r="B250" t="s">
        <v>1750</v>
      </c>
      <c r="C250" t="s">
        <v>1722</v>
      </c>
      <c r="D250" t="s">
        <v>1731</v>
      </c>
      <c r="K250"/>
      <c r="L250"/>
      <c r="M250"/>
    </row>
    <row r="251" spans="1:13">
      <c r="A251" s="2" t="s">
        <v>459</v>
      </c>
      <c r="B251" t="s">
        <v>1750</v>
      </c>
      <c r="C251" t="s">
        <v>1722</v>
      </c>
      <c r="D251" t="s">
        <v>1731</v>
      </c>
      <c r="K251"/>
      <c r="L251"/>
      <c r="M251"/>
    </row>
    <row r="252" spans="1:13">
      <c r="A252" s="2" t="s">
        <v>629</v>
      </c>
      <c r="B252" t="s">
        <v>1750</v>
      </c>
      <c r="C252" t="s">
        <v>1722</v>
      </c>
      <c r="D252" t="s">
        <v>1731</v>
      </c>
      <c r="K252"/>
      <c r="L252"/>
      <c r="M252"/>
    </row>
    <row r="253" spans="1:13">
      <c r="A253" s="2" t="s">
        <v>639</v>
      </c>
      <c r="B253" t="s">
        <v>1750</v>
      </c>
      <c r="C253" t="s">
        <v>1722</v>
      </c>
      <c r="D253" t="s">
        <v>1731</v>
      </c>
      <c r="K253"/>
      <c r="L253"/>
      <c r="M253"/>
    </row>
    <row r="254" spans="1:13">
      <c r="A254" s="2" t="s">
        <v>417</v>
      </c>
      <c r="B254" t="s">
        <v>1750</v>
      </c>
      <c r="C254" t="s">
        <v>1722</v>
      </c>
      <c r="D254" t="s">
        <v>1731</v>
      </c>
      <c r="K254"/>
      <c r="L254"/>
      <c r="M254"/>
    </row>
    <row r="255" spans="1:13">
      <c r="A255" s="2" t="s">
        <v>433</v>
      </c>
      <c r="B255" t="s">
        <v>1750</v>
      </c>
      <c r="C255" t="s">
        <v>1722</v>
      </c>
      <c r="D255" t="s">
        <v>1731</v>
      </c>
      <c r="K255"/>
      <c r="L255"/>
      <c r="M255"/>
    </row>
    <row r="256" spans="1:13">
      <c r="A256" s="2" t="s">
        <v>413</v>
      </c>
      <c r="B256" t="s">
        <v>1750</v>
      </c>
      <c r="C256" t="s">
        <v>1722</v>
      </c>
      <c r="D256" t="s">
        <v>1731</v>
      </c>
      <c r="K256"/>
      <c r="L256"/>
      <c r="M256"/>
    </row>
    <row r="257" spans="1:13">
      <c r="A257" s="2" t="s">
        <v>398</v>
      </c>
      <c r="B257" t="s">
        <v>1750</v>
      </c>
      <c r="C257" t="s">
        <v>1722</v>
      </c>
      <c r="D257" t="s">
        <v>1731</v>
      </c>
      <c r="K257"/>
      <c r="L257"/>
      <c r="M257"/>
    </row>
    <row r="258" spans="1:13">
      <c r="A258" s="2" t="s">
        <v>397</v>
      </c>
      <c r="B258" t="s">
        <v>1750</v>
      </c>
      <c r="C258" t="s">
        <v>1729</v>
      </c>
      <c r="D258" t="s">
        <v>1735</v>
      </c>
      <c r="K258"/>
      <c r="L258"/>
      <c r="M258"/>
    </row>
    <row r="259" spans="1:13">
      <c r="A259" s="2" t="s">
        <v>396</v>
      </c>
      <c r="B259" t="s">
        <v>1750</v>
      </c>
      <c r="C259" t="s">
        <v>1722</v>
      </c>
      <c r="D259" t="s">
        <v>1731</v>
      </c>
      <c r="K259"/>
      <c r="L259"/>
      <c r="M259"/>
    </row>
    <row r="260" spans="1:13">
      <c r="A260" s="2" t="s">
        <v>447</v>
      </c>
      <c r="B260" t="s">
        <v>1750</v>
      </c>
      <c r="C260" t="s">
        <v>1722</v>
      </c>
      <c r="D260" t="s">
        <v>1731</v>
      </c>
      <c r="K260"/>
      <c r="L260"/>
      <c r="M260"/>
    </row>
    <row r="261" spans="1:13">
      <c r="A261" s="2" t="s">
        <v>448</v>
      </c>
      <c r="B261" t="s">
        <v>1750</v>
      </c>
      <c r="C261" t="s">
        <v>1722</v>
      </c>
      <c r="D261" t="s">
        <v>1731</v>
      </c>
      <c r="K261"/>
      <c r="L261"/>
      <c r="M261"/>
    </row>
    <row r="262" spans="1:13">
      <c r="A262" s="2" t="s">
        <v>655</v>
      </c>
      <c r="B262" t="s">
        <v>1750</v>
      </c>
      <c r="C262" t="s">
        <v>1722</v>
      </c>
      <c r="D262" t="s">
        <v>1731</v>
      </c>
      <c r="K262"/>
      <c r="L262"/>
      <c r="M262"/>
    </row>
    <row r="263" spans="1:13">
      <c r="A263" s="2" t="s">
        <v>664</v>
      </c>
      <c r="B263" t="s">
        <v>1750</v>
      </c>
      <c r="C263" t="s">
        <v>1722</v>
      </c>
      <c r="D263" t="s">
        <v>1731</v>
      </c>
      <c r="K263"/>
      <c r="L263"/>
      <c r="M263"/>
    </row>
    <row r="264" spans="1:13">
      <c r="A264" s="2" t="s">
        <v>652</v>
      </c>
      <c r="B264" t="s">
        <v>1750</v>
      </c>
      <c r="C264" t="s">
        <v>1729</v>
      </c>
      <c r="D264" t="s">
        <v>1735</v>
      </c>
      <c r="K264"/>
      <c r="L264"/>
      <c r="M264"/>
    </row>
    <row r="265" spans="1:13">
      <c r="A265" s="2" t="s">
        <v>651</v>
      </c>
      <c r="B265" t="s">
        <v>1750</v>
      </c>
      <c r="C265" t="s">
        <v>1729</v>
      </c>
      <c r="D265" t="s">
        <v>1735</v>
      </c>
      <c r="K265"/>
      <c r="L265"/>
      <c r="M265"/>
    </row>
    <row r="266" spans="1:13">
      <c r="A266" s="2" t="s">
        <v>653</v>
      </c>
      <c r="B266" t="s">
        <v>1750</v>
      </c>
      <c r="C266" t="s">
        <v>1722</v>
      </c>
      <c r="D266" t="s">
        <v>1731</v>
      </c>
      <c r="K266"/>
      <c r="L266"/>
      <c r="M266"/>
    </row>
    <row r="267" spans="1:13">
      <c r="A267" s="2" t="s">
        <v>659</v>
      </c>
      <c r="B267" t="s">
        <v>1750</v>
      </c>
      <c r="C267" t="s">
        <v>1722</v>
      </c>
      <c r="D267" t="s">
        <v>1731</v>
      </c>
      <c r="K267"/>
      <c r="L267"/>
      <c r="M267"/>
    </row>
    <row r="268" spans="1:13">
      <c r="A268" s="2" t="s">
        <v>658</v>
      </c>
      <c r="B268" t="s">
        <v>1750</v>
      </c>
      <c r="C268" t="s">
        <v>1729</v>
      </c>
      <c r="D268" t="s">
        <v>1735</v>
      </c>
      <c r="K268"/>
      <c r="L268"/>
      <c r="M268"/>
    </row>
    <row r="269" spans="1:13">
      <c r="A269" s="2" t="s">
        <v>399</v>
      </c>
      <c r="B269" t="s">
        <v>1750</v>
      </c>
      <c r="C269" t="s">
        <v>1722</v>
      </c>
      <c r="D269" t="s">
        <v>1731</v>
      </c>
      <c r="K269"/>
      <c r="L269"/>
      <c r="M269"/>
    </row>
    <row r="270" spans="1:13">
      <c r="A270" s="2" t="s">
        <v>638</v>
      </c>
      <c r="B270" t="s">
        <v>1750</v>
      </c>
      <c r="C270" t="s">
        <v>1722</v>
      </c>
      <c r="D270" t="s">
        <v>1731</v>
      </c>
      <c r="K270"/>
      <c r="L270"/>
      <c r="M270"/>
    </row>
    <row r="271" spans="1:13">
      <c r="A271" s="2" t="s">
        <v>449</v>
      </c>
      <c r="B271" t="s">
        <v>1750</v>
      </c>
      <c r="C271" t="s">
        <v>1722</v>
      </c>
      <c r="D271" t="s">
        <v>1731</v>
      </c>
      <c r="K271"/>
      <c r="L271"/>
      <c r="M271"/>
    </row>
    <row r="272" spans="1:13">
      <c r="A272" s="2" t="s">
        <v>631</v>
      </c>
      <c r="B272" t="s">
        <v>1750</v>
      </c>
      <c r="C272" t="s">
        <v>1722</v>
      </c>
      <c r="D272" t="s">
        <v>1731</v>
      </c>
      <c r="K272"/>
      <c r="L272"/>
      <c r="M272"/>
    </row>
    <row r="273" spans="1:13">
      <c r="A273" s="2" t="s">
        <v>632</v>
      </c>
      <c r="B273" t="s">
        <v>1750</v>
      </c>
      <c r="C273" t="s">
        <v>1722</v>
      </c>
      <c r="D273" t="s">
        <v>1731</v>
      </c>
      <c r="K273"/>
      <c r="L273"/>
      <c r="M273"/>
    </row>
    <row r="274" spans="1:13">
      <c r="A274" s="2" t="s">
        <v>633</v>
      </c>
      <c r="B274" t="s">
        <v>1750</v>
      </c>
      <c r="C274" t="s">
        <v>1722</v>
      </c>
      <c r="D274" t="s">
        <v>1731</v>
      </c>
      <c r="K274"/>
      <c r="L274"/>
      <c r="M274"/>
    </row>
    <row r="275" spans="1:13">
      <c r="A275" s="2" t="s">
        <v>637</v>
      </c>
      <c r="B275" t="s">
        <v>1750</v>
      </c>
      <c r="C275" t="s">
        <v>1722</v>
      </c>
      <c r="D275" t="s">
        <v>1731</v>
      </c>
      <c r="K275"/>
      <c r="L275"/>
      <c r="M275"/>
    </row>
    <row r="276" spans="1:13">
      <c r="A276" s="2" t="s">
        <v>410</v>
      </c>
      <c r="B276" t="s">
        <v>1750</v>
      </c>
      <c r="C276" t="s">
        <v>1722</v>
      </c>
      <c r="D276" t="s">
        <v>1731</v>
      </c>
      <c r="K276"/>
      <c r="L276"/>
      <c r="M276"/>
    </row>
    <row r="277" spans="1:13">
      <c r="A277" s="2" t="s">
        <v>395</v>
      </c>
      <c r="B277" t="s">
        <v>1750</v>
      </c>
      <c r="C277" t="s">
        <v>1722</v>
      </c>
      <c r="D277" t="s">
        <v>1731</v>
      </c>
      <c r="K277"/>
      <c r="L277"/>
      <c r="M277"/>
    </row>
    <row r="278" spans="1:13">
      <c r="A278" s="2" t="s">
        <v>450</v>
      </c>
      <c r="B278" t="s">
        <v>1750</v>
      </c>
      <c r="C278" t="s">
        <v>1722</v>
      </c>
      <c r="D278" t="s">
        <v>1731</v>
      </c>
      <c r="K278"/>
      <c r="L278"/>
      <c r="M278"/>
    </row>
    <row r="279" spans="1:13">
      <c r="A279" s="2" t="s">
        <v>405</v>
      </c>
      <c r="B279" t="s">
        <v>1750</v>
      </c>
      <c r="C279" t="s">
        <v>1722</v>
      </c>
      <c r="D279" t="s">
        <v>1731</v>
      </c>
      <c r="K279"/>
      <c r="L279"/>
      <c r="M279"/>
    </row>
    <row r="280" spans="1:13">
      <c r="A280" s="2" t="s">
        <v>469</v>
      </c>
      <c r="B280" t="s">
        <v>1750</v>
      </c>
      <c r="C280" t="s">
        <v>1722</v>
      </c>
      <c r="D280" t="s">
        <v>1731</v>
      </c>
      <c r="K280"/>
      <c r="L280"/>
      <c r="M280"/>
    </row>
    <row r="281" spans="1:13">
      <c r="A281" s="2" t="s">
        <v>429</v>
      </c>
      <c r="B281" t="s">
        <v>1750</v>
      </c>
      <c r="C281" t="s">
        <v>1723</v>
      </c>
      <c r="D281" t="s">
        <v>1735</v>
      </c>
      <c r="K281"/>
      <c r="L281"/>
      <c r="M281"/>
    </row>
    <row r="282" spans="1:13">
      <c r="A282" s="2" t="s">
        <v>430</v>
      </c>
      <c r="B282" t="s">
        <v>1750</v>
      </c>
      <c r="C282" t="s">
        <v>1729</v>
      </c>
      <c r="D282" t="s">
        <v>1735</v>
      </c>
      <c r="K282"/>
      <c r="L282"/>
      <c r="M282"/>
    </row>
    <row r="283" spans="1:13">
      <c r="A283" s="2" t="s">
        <v>432</v>
      </c>
      <c r="B283" t="s">
        <v>1750</v>
      </c>
      <c r="C283" t="s">
        <v>1722</v>
      </c>
      <c r="D283" t="s">
        <v>1731</v>
      </c>
      <c r="K283"/>
      <c r="L283"/>
      <c r="M283"/>
    </row>
    <row r="284" spans="1:13">
      <c r="A284" s="2" t="s">
        <v>431</v>
      </c>
      <c r="B284" t="s">
        <v>1750</v>
      </c>
      <c r="C284" t="s">
        <v>1723</v>
      </c>
      <c r="D284" t="s">
        <v>1734</v>
      </c>
      <c r="K284"/>
      <c r="L284"/>
      <c r="M284"/>
    </row>
    <row r="285" spans="1:13">
      <c r="A285" s="2" t="s">
        <v>423</v>
      </c>
      <c r="B285" t="s">
        <v>1750</v>
      </c>
      <c r="C285" t="s">
        <v>1722</v>
      </c>
      <c r="D285" t="s">
        <v>1731</v>
      </c>
      <c r="K285"/>
      <c r="L285"/>
      <c r="M285"/>
    </row>
    <row r="286" spans="1:13">
      <c r="A286" s="2" t="s">
        <v>626</v>
      </c>
      <c r="B286" t="s">
        <v>1750</v>
      </c>
      <c r="C286" t="s">
        <v>1722</v>
      </c>
      <c r="D286" t="s">
        <v>1731</v>
      </c>
      <c r="K286"/>
      <c r="L286"/>
      <c r="M286"/>
    </row>
    <row r="287" spans="1:13">
      <c r="A287" s="2" t="s">
        <v>634</v>
      </c>
      <c r="B287" t="s">
        <v>1750</v>
      </c>
      <c r="C287" t="s">
        <v>1722</v>
      </c>
      <c r="D287" t="s">
        <v>1731</v>
      </c>
      <c r="K287"/>
      <c r="L287"/>
      <c r="M287"/>
    </row>
    <row r="288" spans="1:13">
      <c r="A288" s="2" t="s">
        <v>635</v>
      </c>
      <c r="B288" t="s">
        <v>1750</v>
      </c>
      <c r="C288" t="s">
        <v>1729</v>
      </c>
      <c r="D288" t="s">
        <v>1732</v>
      </c>
      <c r="K288"/>
      <c r="L288"/>
      <c r="M288"/>
    </row>
    <row r="289" spans="1:13">
      <c r="A289" s="2" t="s">
        <v>424</v>
      </c>
      <c r="B289" t="s">
        <v>1750</v>
      </c>
      <c r="C289" t="s">
        <v>1722</v>
      </c>
      <c r="D289" t="s">
        <v>1731</v>
      </c>
      <c r="K289"/>
      <c r="L289"/>
      <c r="M289"/>
    </row>
    <row r="290" spans="1:13">
      <c r="A290" s="2" t="s">
        <v>426</v>
      </c>
      <c r="B290" t="s">
        <v>1750</v>
      </c>
      <c r="C290" t="s">
        <v>1722</v>
      </c>
      <c r="D290" t="s">
        <v>1731</v>
      </c>
      <c r="K290"/>
      <c r="L290"/>
      <c r="M290"/>
    </row>
    <row r="291" spans="1:13">
      <c r="A291" s="2" t="s">
        <v>425</v>
      </c>
      <c r="B291" t="s">
        <v>1750</v>
      </c>
      <c r="C291" t="s">
        <v>1722</v>
      </c>
      <c r="D291" t="s">
        <v>1731</v>
      </c>
      <c r="K291"/>
      <c r="L291"/>
      <c r="M291"/>
    </row>
    <row r="292" spans="1:13">
      <c r="A292" s="2" t="s">
        <v>389</v>
      </c>
      <c r="B292" t="s">
        <v>1750</v>
      </c>
      <c r="C292" t="s">
        <v>1722</v>
      </c>
      <c r="D292" t="s">
        <v>1731</v>
      </c>
      <c r="K292"/>
      <c r="L292"/>
      <c r="M292"/>
    </row>
    <row r="293" spans="1:13">
      <c r="A293" s="2" t="s">
        <v>456</v>
      </c>
      <c r="B293" t="s">
        <v>1750</v>
      </c>
      <c r="C293" t="s">
        <v>1722</v>
      </c>
      <c r="D293" t="s">
        <v>1731</v>
      </c>
      <c r="K293"/>
      <c r="L293"/>
      <c r="M293"/>
    </row>
    <row r="294" spans="1:13">
      <c r="A294" s="2" t="s">
        <v>473</v>
      </c>
      <c r="B294" t="s">
        <v>1750</v>
      </c>
      <c r="C294" t="s">
        <v>1722</v>
      </c>
      <c r="D294" t="s">
        <v>1731</v>
      </c>
      <c r="K294"/>
      <c r="L294"/>
      <c r="M294"/>
    </row>
    <row r="295" spans="1:13">
      <c r="A295" s="2" t="s">
        <v>390</v>
      </c>
      <c r="B295" t="s">
        <v>1750</v>
      </c>
      <c r="C295" t="s">
        <v>1722</v>
      </c>
      <c r="D295" t="s">
        <v>1731</v>
      </c>
      <c r="K295"/>
      <c r="L295"/>
      <c r="M295"/>
    </row>
    <row r="296" spans="1:13">
      <c r="A296" s="2" t="s">
        <v>377</v>
      </c>
      <c r="B296" t="s">
        <v>1750</v>
      </c>
      <c r="C296" t="s">
        <v>1722</v>
      </c>
      <c r="D296" t="s">
        <v>1731</v>
      </c>
      <c r="K296"/>
      <c r="L296"/>
      <c r="M296"/>
    </row>
    <row r="297" spans="1:13">
      <c r="A297" s="2" t="s">
        <v>383</v>
      </c>
      <c r="B297" t="s">
        <v>1750</v>
      </c>
      <c r="C297" t="s">
        <v>1722</v>
      </c>
      <c r="D297" t="s">
        <v>1731</v>
      </c>
      <c r="K297"/>
      <c r="L297"/>
      <c r="M297"/>
    </row>
    <row r="298" spans="1:13">
      <c r="A298" s="2" t="s">
        <v>656</v>
      </c>
      <c r="B298" t="s">
        <v>1750</v>
      </c>
      <c r="C298" t="s">
        <v>1723</v>
      </c>
      <c r="D298" t="s">
        <v>1731</v>
      </c>
      <c r="K298"/>
      <c r="L298"/>
      <c r="M298"/>
    </row>
    <row r="299" spans="1:13">
      <c r="A299" s="2" t="s">
        <v>654</v>
      </c>
      <c r="B299" t="s">
        <v>1750</v>
      </c>
      <c r="C299" t="s">
        <v>1723</v>
      </c>
      <c r="D299" t="s">
        <v>1731</v>
      </c>
      <c r="K299"/>
      <c r="L299"/>
      <c r="M299"/>
    </row>
    <row r="300" spans="1:13">
      <c r="A300" s="2" t="s">
        <v>451</v>
      </c>
      <c r="B300" t="s">
        <v>1750</v>
      </c>
      <c r="C300" t="s">
        <v>1722</v>
      </c>
      <c r="D300" t="s">
        <v>1731</v>
      </c>
      <c r="K300"/>
      <c r="L300"/>
      <c r="M300"/>
    </row>
    <row r="301" spans="1:13">
      <c r="A301" s="2" t="s">
        <v>474</v>
      </c>
      <c r="B301" t="s">
        <v>1750</v>
      </c>
      <c r="C301" t="s">
        <v>1722</v>
      </c>
      <c r="D301" t="s">
        <v>1731</v>
      </c>
      <c r="K301"/>
      <c r="L301"/>
      <c r="M301"/>
    </row>
    <row r="302" spans="1:13">
      <c r="A302" s="2" t="s">
        <v>466</v>
      </c>
      <c r="B302" t="s">
        <v>1750</v>
      </c>
      <c r="C302" t="s">
        <v>1722</v>
      </c>
      <c r="D302" t="s">
        <v>1731</v>
      </c>
      <c r="K302"/>
      <c r="L302"/>
      <c r="M302"/>
    </row>
    <row r="303" spans="1:13">
      <c r="A303" s="2" t="s">
        <v>467</v>
      </c>
      <c r="B303" t="s">
        <v>1750</v>
      </c>
      <c r="C303" t="s">
        <v>1722</v>
      </c>
      <c r="D303" t="s">
        <v>1731</v>
      </c>
      <c r="K303"/>
      <c r="L303"/>
      <c r="M303"/>
    </row>
    <row r="304" spans="1:13">
      <c r="A304" s="2" t="s">
        <v>436</v>
      </c>
      <c r="B304" t="s">
        <v>1750</v>
      </c>
      <c r="C304" t="s">
        <v>1725</v>
      </c>
      <c r="D304" t="s">
        <v>1731</v>
      </c>
      <c r="K304"/>
      <c r="L304"/>
      <c r="M304"/>
    </row>
    <row r="305" spans="1:13">
      <c r="A305" s="2" t="s">
        <v>392</v>
      </c>
      <c r="B305" t="s">
        <v>1750</v>
      </c>
      <c r="C305" t="s">
        <v>1725</v>
      </c>
      <c r="D305" t="s">
        <v>1731</v>
      </c>
      <c r="K305"/>
      <c r="L305"/>
      <c r="M305"/>
    </row>
    <row r="306" spans="1:13">
      <c r="A306" s="2" t="s">
        <v>391</v>
      </c>
      <c r="B306" t="s">
        <v>1750</v>
      </c>
      <c r="C306" t="s">
        <v>1722</v>
      </c>
      <c r="D306" t="s">
        <v>1731</v>
      </c>
      <c r="K306"/>
      <c r="L306"/>
      <c r="M306"/>
    </row>
    <row r="307" spans="1:13">
      <c r="A307" s="2" t="s">
        <v>384</v>
      </c>
      <c r="B307" t="s">
        <v>1750</v>
      </c>
      <c r="C307" t="s">
        <v>1722</v>
      </c>
      <c r="D307" t="s">
        <v>1731</v>
      </c>
      <c r="K307"/>
      <c r="L307"/>
      <c r="M307"/>
    </row>
    <row r="308" spans="1:13">
      <c r="A308" s="2" t="s">
        <v>414</v>
      </c>
      <c r="B308" t="s">
        <v>1750</v>
      </c>
      <c r="C308" t="s">
        <v>1724</v>
      </c>
      <c r="D308" t="s">
        <v>1733</v>
      </c>
      <c r="K308"/>
      <c r="L308"/>
      <c r="M308"/>
    </row>
    <row r="309" spans="1:13">
      <c r="A309" s="2" t="s">
        <v>419</v>
      </c>
      <c r="B309" t="s">
        <v>1750</v>
      </c>
      <c r="C309" t="s">
        <v>1725</v>
      </c>
      <c r="D309" t="s">
        <v>1731</v>
      </c>
      <c r="K309"/>
      <c r="L309"/>
      <c r="M309"/>
    </row>
    <row r="310" spans="1:13">
      <c r="A310" s="2" t="s">
        <v>437</v>
      </c>
      <c r="B310" t="s">
        <v>1750</v>
      </c>
      <c r="C310" t="s">
        <v>1722</v>
      </c>
      <c r="D310" t="s">
        <v>1731</v>
      </c>
      <c r="K310"/>
      <c r="L310"/>
      <c r="M310"/>
    </row>
    <row r="311" spans="1:13">
      <c r="A311" s="2" t="s">
        <v>444</v>
      </c>
      <c r="B311" t="s">
        <v>1750</v>
      </c>
      <c r="C311" t="s">
        <v>1722</v>
      </c>
      <c r="D311" t="s">
        <v>1731</v>
      </c>
      <c r="K311"/>
      <c r="L311"/>
      <c r="M311"/>
    </row>
    <row r="312" spans="1:13">
      <c r="A312" s="2" t="s">
        <v>435</v>
      </c>
      <c r="B312" t="s">
        <v>1750</v>
      </c>
      <c r="C312" t="s">
        <v>1723</v>
      </c>
      <c r="D312" t="s">
        <v>1731</v>
      </c>
      <c r="K312"/>
      <c r="L312"/>
      <c r="M312"/>
    </row>
    <row r="313" spans="1:13">
      <c r="A313" s="2" t="s">
        <v>650</v>
      </c>
      <c r="B313" t="s">
        <v>1751</v>
      </c>
      <c r="C313" t="s">
        <v>1726</v>
      </c>
      <c r="D313" t="s">
        <v>1735</v>
      </c>
      <c r="K313"/>
      <c r="L313"/>
      <c r="M313"/>
    </row>
    <row r="314" spans="1:13">
      <c r="A314" s="2" t="s">
        <v>532</v>
      </c>
      <c r="B314" t="s">
        <v>1750</v>
      </c>
      <c r="C314" t="s">
        <v>1726</v>
      </c>
      <c r="D314" t="s">
        <v>1731</v>
      </c>
      <c r="K314"/>
      <c r="L314"/>
      <c r="M314"/>
    </row>
    <row r="315" spans="1:13">
      <c r="A315" s="2" t="s">
        <v>643</v>
      </c>
      <c r="B315" t="s">
        <v>1750</v>
      </c>
      <c r="C315" t="s">
        <v>1726</v>
      </c>
      <c r="D315" t="s">
        <v>1731</v>
      </c>
      <c r="K315"/>
      <c r="L315"/>
      <c r="M315"/>
    </row>
    <row r="316" spans="1:13">
      <c r="A316" s="2" t="s">
        <v>642</v>
      </c>
      <c r="B316" t="s">
        <v>1750</v>
      </c>
      <c r="C316" t="s">
        <v>1726</v>
      </c>
      <c r="D316" t="s">
        <v>1731</v>
      </c>
      <c r="K316"/>
      <c r="L316"/>
      <c r="M316"/>
    </row>
    <row r="317" spans="1:13">
      <c r="A317" s="2" t="s">
        <v>644</v>
      </c>
      <c r="B317" t="s">
        <v>1750</v>
      </c>
      <c r="C317" t="s">
        <v>1726</v>
      </c>
      <c r="D317" t="s">
        <v>1731</v>
      </c>
      <c r="K317"/>
      <c r="L317"/>
      <c r="M317"/>
    </row>
    <row r="318" spans="1:13">
      <c r="A318" s="2" t="s">
        <v>551</v>
      </c>
      <c r="B318" t="s">
        <v>1750</v>
      </c>
      <c r="C318" t="s">
        <v>1726</v>
      </c>
      <c r="D318" t="s">
        <v>1731</v>
      </c>
      <c r="K318"/>
      <c r="L318"/>
      <c r="M318"/>
    </row>
    <row r="319" spans="1:13">
      <c r="A319" s="2" t="s">
        <v>552</v>
      </c>
      <c r="B319" t="s">
        <v>1750</v>
      </c>
      <c r="C319" t="s">
        <v>1726</v>
      </c>
      <c r="D319" t="s">
        <v>1731</v>
      </c>
      <c r="K319"/>
      <c r="L319"/>
      <c r="M319"/>
    </row>
    <row r="320" spans="1:13">
      <c r="A320" s="2" t="s">
        <v>553</v>
      </c>
      <c r="B320" t="s">
        <v>1750</v>
      </c>
      <c r="C320" t="s">
        <v>1726</v>
      </c>
      <c r="D320" t="s">
        <v>1731</v>
      </c>
      <c r="K320"/>
      <c r="L320"/>
      <c r="M320"/>
    </row>
    <row r="321" spans="1:13">
      <c r="A321" s="2" t="s">
        <v>563</v>
      </c>
      <c r="B321" t="s">
        <v>1750</v>
      </c>
      <c r="C321" t="s">
        <v>1726</v>
      </c>
      <c r="D321" t="s">
        <v>1731</v>
      </c>
      <c r="K321"/>
      <c r="L321"/>
      <c r="M321"/>
    </row>
    <row r="322" spans="1:13">
      <c r="A322" s="2" t="s">
        <v>648</v>
      </c>
      <c r="B322" t="s">
        <v>1750</v>
      </c>
      <c r="C322" t="s">
        <v>1726</v>
      </c>
      <c r="D322" t="s">
        <v>1731</v>
      </c>
      <c r="K322"/>
      <c r="L322"/>
      <c r="M322"/>
    </row>
    <row r="323" spans="1:13">
      <c r="A323" s="2" t="s">
        <v>647</v>
      </c>
      <c r="B323" t="s">
        <v>1750</v>
      </c>
      <c r="C323" t="s">
        <v>1726</v>
      </c>
      <c r="D323" t="s">
        <v>1731</v>
      </c>
      <c r="K323"/>
      <c r="L323"/>
      <c r="M323"/>
    </row>
    <row r="324" spans="1:13">
      <c r="A324" s="2" t="s">
        <v>576</v>
      </c>
      <c r="B324" t="s">
        <v>1751</v>
      </c>
      <c r="C324" t="s">
        <v>1726</v>
      </c>
      <c r="D324" t="s">
        <v>1735</v>
      </c>
      <c r="K324"/>
      <c r="L324"/>
      <c r="M324"/>
    </row>
    <row r="325" spans="1:13">
      <c r="A325" s="2" t="s">
        <v>669</v>
      </c>
      <c r="B325" t="s">
        <v>1750</v>
      </c>
      <c r="C325" t="s">
        <v>1726</v>
      </c>
      <c r="D325" t="s">
        <v>1731</v>
      </c>
      <c r="K325"/>
      <c r="L325"/>
      <c r="M325"/>
    </row>
    <row r="326" spans="1:13">
      <c r="A326" s="2" t="s">
        <v>587</v>
      </c>
      <c r="B326" t="s">
        <v>1750</v>
      </c>
      <c r="C326" t="s">
        <v>1726</v>
      </c>
      <c r="D326" t="s">
        <v>1731</v>
      </c>
      <c r="K326"/>
      <c r="L326"/>
      <c r="M326"/>
    </row>
    <row r="327" spans="1:13">
      <c r="A327" s="2" t="s">
        <v>533</v>
      </c>
      <c r="B327" t="s">
        <v>1751</v>
      </c>
      <c r="C327" t="s">
        <v>1726</v>
      </c>
      <c r="D327" t="s">
        <v>1735</v>
      </c>
      <c r="K327"/>
      <c r="L327"/>
      <c r="M327"/>
    </row>
    <row r="328" spans="1:13">
      <c r="A328" s="2" t="s">
        <v>534</v>
      </c>
      <c r="B328" t="s">
        <v>1751</v>
      </c>
      <c r="C328" t="s">
        <v>1726</v>
      </c>
      <c r="D328" t="s">
        <v>1735</v>
      </c>
      <c r="K328"/>
      <c r="L328"/>
      <c r="M328"/>
    </row>
    <row r="329" spans="1:13">
      <c r="A329" s="2" t="s">
        <v>567</v>
      </c>
      <c r="B329" t="s">
        <v>1750</v>
      </c>
      <c r="C329" t="s">
        <v>1726</v>
      </c>
      <c r="D329" t="s">
        <v>1736</v>
      </c>
      <c r="K329"/>
      <c r="L329"/>
      <c r="M329"/>
    </row>
    <row r="330" spans="1:13">
      <c r="A330" s="2" t="s">
        <v>564</v>
      </c>
      <c r="B330" t="s">
        <v>1750</v>
      </c>
      <c r="C330" t="s">
        <v>1726</v>
      </c>
      <c r="D330" t="s">
        <v>1731</v>
      </c>
      <c r="K330"/>
      <c r="L330"/>
      <c r="M330"/>
    </row>
    <row r="331" spans="1:13">
      <c r="A331" s="2" t="s">
        <v>565</v>
      </c>
      <c r="B331" t="s">
        <v>1750</v>
      </c>
      <c r="C331" t="s">
        <v>1726</v>
      </c>
      <c r="D331" t="s">
        <v>1731</v>
      </c>
      <c r="K331"/>
      <c r="L331"/>
      <c r="M331"/>
    </row>
    <row r="332" spans="1:13">
      <c r="A332" s="2" t="s">
        <v>585</v>
      </c>
      <c r="B332" t="s">
        <v>1750</v>
      </c>
      <c r="C332" t="s">
        <v>1726</v>
      </c>
      <c r="D332" t="s">
        <v>1736</v>
      </c>
      <c r="K332"/>
      <c r="L332"/>
      <c r="M332"/>
    </row>
    <row r="333" spans="1:13">
      <c r="A333" s="2" t="s">
        <v>584</v>
      </c>
      <c r="B333" t="s">
        <v>1751</v>
      </c>
      <c r="C333" t="s">
        <v>1726</v>
      </c>
      <c r="D333" t="s">
        <v>1734</v>
      </c>
      <c r="K333"/>
      <c r="L333"/>
      <c r="M333"/>
    </row>
    <row r="334" spans="1:13">
      <c r="A334" s="2" t="s">
        <v>586</v>
      </c>
      <c r="B334" t="s">
        <v>1751</v>
      </c>
      <c r="C334" t="s">
        <v>1726</v>
      </c>
      <c r="D334" t="s">
        <v>1734</v>
      </c>
      <c r="K334"/>
      <c r="L334"/>
      <c r="M334"/>
    </row>
    <row r="335" spans="1:13">
      <c r="A335" s="2" t="s">
        <v>562</v>
      </c>
      <c r="B335" t="s">
        <v>1751</v>
      </c>
      <c r="C335" t="s">
        <v>1726</v>
      </c>
      <c r="D335" t="s">
        <v>1735</v>
      </c>
      <c r="K335"/>
      <c r="L335"/>
      <c r="M335"/>
    </row>
    <row r="336" spans="1:13">
      <c r="A336" s="2" t="s">
        <v>554</v>
      </c>
      <c r="B336" t="s">
        <v>1751</v>
      </c>
      <c r="C336" t="s">
        <v>1726</v>
      </c>
      <c r="D336" t="s">
        <v>1735</v>
      </c>
      <c r="K336"/>
      <c r="L336"/>
      <c r="M336"/>
    </row>
    <row r="337" spans="1:13">
      <c r="A337" s="2" t="s">
        <v>566</v>
      </c>
      <c r="B337" t="s">
        <v>1750</v>
      </c>
      <c r="C337" t="s">
        <v>1726</v>
      </c>
      <c r="D337" t="s">
        <v>1731</v>
      </c>
      <c r="K337"/>
      <c r="L337"/>
      <c r="M337"/>
    </row>
    <row r="338" spans="1:13">
      <c r="A338" s="2" t="s">
        <v>535</v>
      </c>
      <c r="B338" t="s">
        <v>1750</v>
      </c>
      <c r="C338" t="s">
        <v>1726</v>
      </c>
      <c r="D338" t="s">
        <v>1731</v>
      </c>
      <c r="K338"/>
      <c r="L338"/>
      <c r="M338"/>
    </row>
    <row r="339" spans="1:13">
      <c r="A339" s="2" t="s">
        <v>550</v>
      </c>
      <c r="B339" t="s">
        <v>1750</v>
      </c>
      <c r="C339" t="s">
        <v>1726</v>
      </c>
      <c r="D339" t="s">
        <v>1731</v>
      </c>
      <c r="K339"/>
      <c r="L339"/>
      <c r="M339"/>
    </row>
    <row r="340" spans="1:13">
      <c r="A340" s="2" t="s">
        <v>547</v>
      </c>
      <c r="B340" t="s">
        <v>1750</v>
      </c>
      <c r="C340" t="s">
        <v>1726</v>
      </c>
      <c r="D340" t="s">
        <v>1731</v>
      </c>
      <c r="K340"/>
      <c r="L340"/>
      <c r="M340"/>
    </row>
    <row r="341" spans="1:13">
      <c r="A341" s="2" t="s">
        <v>544</v>
      </c>
      <c r="B341" t="s">
        <v>1750</v>
      </c>
      <c r="C341" t="s">
        <v>1726</v>
      </c>
      <c r="D341" t="s">
        <v>1731</v>
      </c>
      <c r="K341"/>
      <c r="L341"/>
      <c r="M341"/>
    </row>
    <row r="342" spans="1:13">
      <c r="A342" s="2" t="s">
        <v>545</v>
      </c>
      <c r="B342" t="s">
        <v>1751</v>
      </c>
      <c r="C342" t="s">
        <v>1726</v>
      </c>
      <c r="D342" t="s">
        <v>1735</v>
      </c>
      <c r="K342"/>
      <c r="L342"/>
      <c r="M342"/>
    </row>
    <row r="343" spans="1:13">
      <c r="A343" s="2" t="s">
        <v>546</v>
      </c>
      <c r="B343" t="s">
        <v>1750</v>
      </c>
      <c r="C343" t="s">
        <v>1726</v>
      </c>
      <c r="D343" t="s">
        <v>1731</v>
      </c>
      <c r="K343"/>
      <c r="L343"/>
      <c r="M343"/>
    </row>
    <row r="344" spans="1:13">
      <c r="A344" s="2" t="s">
        <v>578</v>
      </c>
      <c r="B344" t="s">
        <v>1751</v>
      </c>
      <c r="C344" t="s">
        <v>1726</v>
      </c>
      <c r="D344" t="s">
        <v>1734</v>
      </c>
      <c r="K344"/>
      <c r="L344"/>
      <c r="M344"/>
    </row>
    <row r="345" spans="1:13">
      <c r="A345" s="2" t="s">
        <v>579</v>
      </c>
      <c r="B345" t="s">
        <v>1751</v>
      </c>
      <c r="C345" t="s">
        <v>1726</v>
      </c>
      <c r="D345" t="s">
        <v>1734</v>
      </c>
      <c r="K345"/>
      <c r="L345"/>
      <c r="M345"/>
    </row>
    <row r="346" spans="1:13">
      <c r="A346" s="2" t="s">
        <v>568</v>
      </c>
      <c r="B346" t="s">
        <v>1751</v>
      </c>
      <c r="C346" t="s">
        <v>1726</v>
      </c>
      <c r="D346" t="s">
        <v>1735</v>
      </c>
      <c r="K346"/>
      <c r="L346"/>
      <c r="M346"/>
    </row>
    <row r="347" spans="1:13">
      <c r="A347" s="2" t="s">
        <v>569</v>
      </c>
      <c r="B347" t="s">
        <v>1751</v>
      </c>
      <c r="C347" t="s">
        <v>1726</v>
      </c>
      <c r="D347" t="s">
        <v>1735</v>
      </c>
      <c r="K347"/>
      <c r="L347"/>
      <c r="M347"/>
    </row>
    <row r="348" spans="1:13">
      <c r="A348" s="2" t="s">
        <v>570</v>
      </c>
      <c r="B348" t="s">
        <v>1751</v>
      </c>
      <c r="C348" t="s">
        <v>1726</v>
      </c>
      <c r="D348" t="s">
        <v>1735</v>
      </c>
      <c r="K348"/>
      <c r="L348"/>
      <c r="M348"/>
    </row>
    <row r="349" spans="1:13">
      <c r="A349" s="2" t="s">
        <v>641</v>
      </c>
      <c r="B349" t="s">
        <v>1751</v>
      </c>
      <c r="C349" t="s">
        <v>1726</v>
      </c>
      <c r="D349" t="s">
        <v>1735</v>
      </c>
      <c r="K349"/>
      <c r="L349"/>
      <c r="M349"/>
    </row>
    <row r="350" spans="1:13">
      <c r="A350" s="2" t="s">
        <v>640</v>
      </c>
      <c r="B350" t="s">
        <v>1751</v>
      </c>
      <c r="C350" t="s">
        <v>1726</v>
      </c>
      <c r="D350" t="s">
        <v>1735</v>
      </c>
      <c r="K350"/>
      <c r="L350"/>
      <c r="M350"/>
    </row>
    <row r="351" spans="1:13">
      <c r="A351" s="2" t="s">
        <v>571</v>
      </c>
      <c r="B351" t="s">
        <v>1750</v>
      </c>
      <c r="C351" t="s">
        <v>1726</v>
      </c>
      <c r="D351" t="s">
        <v>1731</v>
      </c>
      <c r="K351"/>
      <c r="L351"/>
      <c r="M351"/>
    </row>
    <row r="352" spans="1:13">
      <c r="A352" s="2" t="s">
        <v>572</v>
      </c>
      <c r="B352" t="s">
        <v>1750</v>
      </c>
      <c r="C352" t="s">
        <v>1726</v>
      </c>
      <c r="D352" t="s">
        <v>1731</v>
      </c>
      <c r="K352"/>
      <c r="L352"/>
      <c r="M352"/>
    </row>
    <row r="353" spans="1:13">
      <c r="A353" s="2" t="s">
        <v>548</v>
      </c>
      <c r="B353" t="s">
        <v>1750</v>
      </c>
      <c r="C353" t="s">
        <v>1726</v>
      </c>
      <c r="D353" t="s">
        <v>1731</v>
      </c>
      <c r="K353"/>
      <c r="L353"/>
      <c r="M353"/>
    </row>
    <row r="354" spans="1:13">
      <c r="A354" s="2" t="s">
        <v>581</v>
      </c>
      <c r="B354" t="s">
        <v>1751</v>
      </c>
      <c r="C354" t="s">
        <v>1726</v>
      </c>
      <c r="D354" t="s">
        <v>1734</v>
      </c>
      <c r="K354"/>
      <c r="L354"/>
      <c r="M354"/>
    </row>
    <row r="355" spans="1:13">
      <c r="A355" s="2" t="s">
        <v>541</v>
      </c>
      <c r="B355" t="s">
        <v>1750</v>
      </c>
      <c r="C355" t="s">
        <v>1726</v>
      </c>
      <c r="D355" t="s">
        <v>1731</v>
      </c>
      <c r="K355"/>
      <c r="L355"/>
      <c r="M355"/>
    </row>
    <row r="356" spans="1:13">
      <c r="A356" s="2" t="s">
        <v>580</v>
      </c>
      <c r="B356" t="s">
        <v>1750</v>
      </c>
      <c r="C356" t="s">
        <v>1726</v>
      </c>
      <c r="D356" t="s">
        <v>1731</v>
      </c>
      <c r="K356"/>
      <c r="L356"/>
      <c r="M356"/>
    </row>
    <row r="357" spans="1:13">
      <c r="A357" s="2" t="s">
        <v>540</v>
      </c>
      <c r="B357" t="s">
        <v>1750</v>
      </c>
      <c r="C357" t="s">
        <v>1726</v>
      </c>
      <c r="D357" t="s">
        <v>1731</v>
      </c>
      <c r="K357"/>
      <c r="L357"/>
      <c r="M357"/>
    </row>
    <row r="358" spans="1:13">
      <c r="A358" s="2" t="s">
        <v>536</v>
      </c>
      <c r="B358" t="s">
        <v>1750</v>
      </c>
      <c r="C358" t="s">
        <v>1726</v>
      </c>
      <c r="D358" t="s">
        <v>1731</v>
      </c>
      <c r="K358"/>
      <c r="L358"/>
      <c r="M358"/>
    </row>
    <row r="359" spans="1:13">
      <c r="A359" s="2" t="s">
        <v>537</v>
      </c>
      <c r="B359" t="s">
        <v>1750</v>
      </c>
      <c r="C359" t="s">
        <v>1726</v>
      </c>
      <c r="D359" t="s">
        <v>1731</v>
      </c>
      <c r="K359"/>
      <c r="L359"/>
      <c r="M359"/>
    </row>
    <row r="360" spans="1:13">
      <c r="A360" s="2" t="s">
        <v>538</v>
      </c>
      <c r="B360" t="s">
        <v>1750</v>
      </c>
      <c r="C360" t="s">
        <v>1726</v>
      </c>
      <c r="D360" t="s">
        <v>1731</v>
      </c>
      <c r="K360"/>
      <c r="L360"/>
      <c r="M360"/>
    </row>
    <row r="361" spans="1:13">
      <c r="A361" s="2" t="s">
        <v>542</v>
      </c>
      <c r="B361" t="s">
        <v>1750</v>
      </c>
      <c r="C361" t="s">
        <v>1726</v>
      </c>
      <c r="D361" t="s">
        <v>1731</v>
      </c>
      <c r="K361"/>
      <c r="L361"/>
      <c r="M361"/>
    </row>
    <row r="362" spans="1:13">
      <c r="A362" s="2" t="s">
        <v>539</v>
      </c>
      <c r="B362" t="s">
        <v>1750</v>
      </c>
      <c r="C362" t="s">
        <v>1726</v>
      </c>
      <c r="D362" t="s">
        <v>1731</v>
      </c>
      <c r="K362"/>
      <c r="L362"/>
      <c r="M362"/>
    </row>
    <row r="363" spans="1:13">
      <c r="A363" s="2" t="s">
        <v>645</v>
      </c>
      <c r="B363" t="s">
        <v>1750</v>
      </c>
      <c r="C363" t="s">
        <v>1726</v>
      </c>
      <c r="D363" t="s">
        <v>1731</v>
      </c>
      <c r="K363"/>
      <c r="L363"/>
      <c r="M363"/>
    </row>
    <row r="364" spans="1:13">
      <c r="A364" s="2" t="s">
        <v>556</v>
      </c>
      <c r="B364" t="s">
        <v>1750</v>
      </c>
      <c r="C364" t="s">
        <v>1726</v>
      </c>
      <c r="D364" t="s">
        <v>1731</v>
      </c>
      <c r="K364"/>
      <c r="L364"/>
      <c r="M364"/>
    </row>
    <row r="365" spans="1:13">
      <c r="A365" s="2" t="s">
        <v>555</v>
      </c>
      <c r="B365" t="s">
        <v>1751</v>
      </c>
      <c r="C365" t="s">
        <v>1726</v>
      </c>
      <c r="D365" t="s">
        <v>1735</v>
      </c>
      <c r="K365"/>
      <c r="L365"/>
      <c r="M365"/>
    </row>
    <row r="366" spans="1:13">
      <c r="A366" s="2" t="s">
        <v>549</v>
      </c>
      <c r="B366" t="s">
        <v>1751</v>
      </c>
      <c r="C366" t="s">
        <v>1726</v>
      </c>
      <c r="D366" t="s">
        <v>1735</v>
      </c>
      <c r="K366"/>
      <c r="L366"/>
      <c r="M366"/>
    </row>
    <row r="367" spans="1:13">
      <c r="A367" s="2" t="s">
        <v>543</v>
      </c>
      <c r="B367" t="s">
        <v>1750</v>
      </c>
      <c r="C367" t="s">
        <v>1726</v>
      </c>
      <c r="D367" t="s">
        <v>1731</v>
      </c>
      <c r="K367"/>
      <c r="L367"/>
      <c r="M367"/>
    </row>
    <row r="368" spans="1:13">
      <c r="A368" s="2" t="s">
        <v>573</v>
      </c>
      <c r="B368" t="s">
        <v>1750</v>
      </c>
      <c r="C368" t="s">
        <v>1726</v>
      </c>
      <c r="D368" t="s">
        <v>1731</v>
      </c>
      <c r="K368"/>
      <c r="L368"/>
      <c r="M368"/>
    </row>
    <row r="369" spans="1:13">
      <c r="A369" s="2" t="s">
        <v>667</v>
      </c>
      <c r="B369" t="s">
        <v>1751</v>
      </c>
      <c r="C369" t="s">
        <v>1726</v>
      </c>
      <c r="D369" t="s">
        <v>1735</v>
      </c>
      <c r="K369"/>
      <c r="L369"/>
      <c r="M369"/>
    </row>
    <row r="370" spans="1:13">
      <c r="A370" s="2" t="s">
        <v>670</v>
      </c>
      <c r="B370" t="s">
        <v>1751</v>
      </c>
      <c r="C370" t="s">
        <v>1726</v>
      </c>
      <c r="D370" t="s">
        <v>1735</v>
      </c>
      <c r="K370"/>
      <c r="L370"/>
      <c r="M370"/>
    </row>
    <row r="371" spans="1:13">
      <c r="A371" s="2" t="s">
        <v>668</v>
      </c>
      <c r="B371" t="s">
        <v>1750</v>
      </c>
      <c r="C371" t="s">
        <v>1726</v>
      </c>
      <c r="D371" t="s">
        <v>1731</v>
      </c>
      <c r="K371"/>
      <c r="L371"/>
      <c r="M371"/>
    </row>
    <row r="372" spans="1:13">
      <c r="A372" s="2" t="s">
        <v>574</v>
      </c>
      <c r="B372" t="s">
        <v>1750</v>
      </c>
      <c r="C372" t="s">
        <v>1726</v>
      </c>
      <c r="D372" t="s">
        <v>1731</v>
      </c>
      <c r="K372"/>
      <c r="L372"/>
      <c r="M372"/>
    </row>
    <row r="373" spans="1:13">
      <c r="A373" s="2" t="s">
        <v>646</v>
      </c>
      <c r="B373" t="s">
        <v>1750</v>
      </c>
      <c r="C373" t="s">
        <v>1726</v>
      </c>
      <c r="D373" t="s">
        <v>1731</v>
      </c>
      <c r="K373"/>
      <c r="L373"/>
      <c r="M373"/>
    </row>
    <row r="374" spans="1:13">
      <c r="A374" s="2" t="s">
        <v>588</v>
      </c>
      <c r="B374" t="s">
        <v>1750</v>
      </c>
      <c r="C374" t="s">
        <v>1726</v>
      </c>
      <c r="D374" t="s">
        <v>1731</v>
      </c>
      <c r="K374"/>
      <c r="L374"/>
      <c r="M374"/>
    </row>
    <row r="375" spans="1:13">
      <c r="A375" s="2" t="s">
        <v>557</v>
      </c>
      <c r="B375" t="s">
        <v>1750</v>
      </c>
      <c r="C375" t="s">
        <v>1726</v>
      </c>
      <c r="D375" t="s">
        <v>1731</v>
      </c>
      <c r="K375"/>
      <c r="L375"/>
      <c r="M375"/>
    </row>
    <row r="376" spans="1:13">
      <c r="A376" s="2" t="s">
        <v>558</v>
      </c>
      <c r="B376" t="s">
        <v>1751</v>
      </c>
      <c r="C376" t="s">
        <v>1726</v>
      </c>
      <c r="D376" t="s">
        <v>1735</v>
      </c>
      <c r="K376"/>
      <c r="L376"/>
      <c r="M376"/>
    </row>
    <row r="377" spans="1:13">
      <c r="A377" s="2" t="s">
        <v>560</v>
      </c>
      <c r="B377" t="s">
        <v>1750</v>
      </c>
      <c r="C377" t="s">
        <v>1726</v>
      </c>
      <c r="D377" t="s">
        <v>1731</v>
      </c>
      <c r="K377"/>
      <c r="L377"/>
      <c r="M377"/>
    </row>
    <row r="378" spans="1:13">
      <c r="A378" s="2" t="s">
        <v>582</v>
      </c>
      <c r="B378" t="s">
        <v>1751</v>
      </c>
      <c r="C378" t="s">
        <v>1726</v>
      </c>
      <c r="D378" t="s">
        <v>1735</v>
      </c>
      <c r="K378"/>
      <c r="L378"/>
      <c r="M378"/>
    </row>
    <row r="379" spans="1:13">
      <c r="A379" s="2" t="s">
        <v>559</v>
      </c>
      <c r="B379" t="s">
        <v>1750</v>
      </c>
      <c r="C379" t="s">
        <v>1726</v>
      </c>
      <c r="D379" t="s">
        <v>1731</v>
      </c>
      <c r="K379"/>
      <c r="L379"/>
      <c r="M379"/>
    </row>
    <row r="380" spans="1:13">
      <c r="A380" s="2" t="s">
        <v>649</v>
      </c>
      <c r="B380" t="s">
        <v>1751</v>
      </c>
      <c r="C380" t="s">
        <v>1726</v>
      </c>
      <c r="D380" t="s">
        <v>1735</v>
      </c>
      <c r="K380"/>
      <c r="L380"/>
      <c r="M380"/>
    </row>
    <row r="381" spans="1:13">
      <c r="A381" s="2" t="s">
        <v>575</v>
      </c>
      <c r="B381" t="s">
        <v>1750</v>
      </c>
      <c r="C381" t="s">
        <v>1726</v>
      </c>
      <c r="D381" t="s">
        <v>1731</v>
      </c>
      <c r="K381"/>
      <c r="L381"/>
      <c r="M381"/>
    </row>
    <row r="382" spans="1:13">
      <c r="A382" s="2" t="s">
        <v>589</v>
      </c>
      <c r="B382" t="s">
        <v>1750</v>
      </c>
      <c r="C382" t="s">
        <v>1726</v>
      </c>
      <c r="D382" t="s">
        <v>1731</v>
      </c>
      <c r="K382"/>
      <c r="L382"/>
      <c r="M382"/>
    </row>
    <row r="383" spans="1:13">
      <c r="A383" s="2" t="s">
        <v>561</v>
      </c>
      <c r="B383" t="s">
        <v>1750</v>
      </c>
      <c r="C383" t="s">
        <v>1726</v>
      </c>
      <c r="D383" t="s">
        <v>1731</v>
      </c>
      <c r="K383"/>
      <c r="L383"/>
      <c r="M383"/>
    </row>
    <row r="384" spans="1:13">
      <c r="A384" s="2" t="s">
        <v>583</v>
      </c>
      <c r="B384" t="s">
        <v>1750</v>
      </c>
      <c r="C384" t="s">
        <v>1726</v>
      </c>
      <c r="D384" t="s">
        <v>1731</v>
      </c>
      <c r="K384"/>
      <c r="L384"/>
      <c r="M384"/>
    </row>
    <row r="385" spans="1:13">
      <c r="A385" s="2" t="s">
        <v>577</v>
      </c>
      <c r="B385" t="s">
        <v>1750</v>
      </c>
      <c r="C385" t="s">
        <v>1726</v>
      </c>
      <c r="D385" t="s">
        <v>1731</v>
      </c>
      <c r="K385"/>
      <c r="L385"/>
      <c r="M385"/>
    </row>
    <row r="386" spans="1:13">
      <c r="A386" s="2" t="s">
        <v>596</v>
      </c>
      <c r="B386" t="s">
        <v>1749</v>
      </c>
      <c r="C386" t="s">
        <v>1726</v>
      </c>
      <c r="D386" t="s">
        <v>1731</v>
      </c>
      <c r="K386"/>
      <c r="L386"/>
      <c r="M386"/>
    </row>
    <row r="387" spans="1:13">
      <c r="A387" s="2" t="s">
        <v>595</v>
      </c>
      <c r="B387" t="s">
        <v>1749</v>
      </c>
      <c r="C387" t="s">
        <v>1722</v>
      </c>
      <c r="D387" t="s">
        <v>1731</v>
      </c>
      <c r="K387"/>
      <c r="L387"/>
      <c r="M387"/>
    </row>
    <row r="388" spans="1:13">
      <c r="A388" s="2" t="s">
        <v>597</v>
      </c>
      <c r="B388" t="s">
        <v>1749</v>
      </c>
      <c r="C388" t="s">
        <v>1726</v>
      </c>
      <c r="D388" t="s">
        <v>1731</v>
      </c>
      <c r="K388"/>
      <c r="L388"/>
      <c r="M388"/>
    </row>
    <row r="389" spans="1:13">
      <c r="A389" s="2" t="s">
        <v>742</v>
      </c>
      <c r="B389" t="s">
        <v>1749</v>
      </c>
      <c r="C389" t="s">
        <v>1722</v>
      </c>
      <c r="D389" t="s">
        <v>1736</v>
      </c>
      <c r="K389"/>
      <c r="L389"/>
      <c r="M389"/>
    </row>
    <row r="390" spans="1:13">
      <c r="A390" s="2" t="s">
        <v>743</v>
      </c>
      <c r="B390" t="s">
        <v>1749</v>
      </c>
      <c r="C390" t="s">
        <v>1722</v>
      </c>
      <c r="D390" t="s">
        <v>1736</v>
      </c>
      <c r="K390"/>
      <c r="L390"/>
      <c r="M390"/>
    </row>
    <row r="391" spans="1:13">
      <c r="A391" s="2" t="s">
        <v>901</v>
      </c>
      <c r="B391" t="s">
        <v>1749</v>
      </c>
      <c r="C391" t="s">
        <v>1728</v>
      </c>
      <c r="D391" t="s">
        <v>1733</v>
      </c>
      <c r="K391"/>
      <c r="L391"/>
      <c r="M391"/>
    </row>
    <row r="392" spans="1:13">
      <c r="A392" s="2" t="s">
        <v>884</v>
      </c>
      <c r="B392" t="s">
        <v>1749</v>
      </c>
      <c r="C392" t="s">
        <v>1728</v>
      </c>
      <c r="D392" t="s">
        <v>1735</v>
      </c>
      <c r="K392"/>
      <c r="L392"/>
      <c r="M392"/>
    </row>
    <row r="393" spans="1:13">
      <c r="A393" s="2" t="s">
        <v>885</v>
      </c>
      <c r="B393" t="s">
        <v>1749</v>
      </c>
      <c r="C393" t="s">
        <v>1728</v>
      </c>
      <c r="D393" t="s">
        <v>1732</v>
      </c>
      <c r="K393"/>
      <c r="L393"/>
      <c r="M393"/>
    </row>
    <row r="394" spans="1:13">
      <c r="A394" s="2" t="s">
        <v>886</v>
      </c>
      <c r="B394" t="s">
        <v>1749</v>
      </c>
      <c r="C394" t="s">
        <v>1728</v>
      </c>
      <c r="D394" t="s">
        <v>1734</v>
      </c>
      <c r="K394"/>
      <c r="L394"/>
      <c r="M394"/>
    </row>
    <row r="395" spans="1:13">
      <c r="A395" s="2" t="s">
        <v>887</v>
      </c>
      <c r="B395" t="s">
        <v>1749</v>
      </c>
      <c r="C395" t="s">
        <v>1728</v>
      </c>
      <c r="D395" t="s">
        <v>1736</v>
      </c>
      <c r="K395"/>
      <c r="L395"/>
      <c r="M395"/>
    </row>
    <row r="396" spans="1:13">
      <c r="A396" s="2" t="s">
        <v>888</v>
      </c>
      <c r="B396" t="s">
        <v>1749</v>
      </c>
      <c r="C396" t="s">
        <v>1728</v>
      </c>
      <c r="D396" t="s">
        <v>1737</v>
      </c>
      <c r="K396"/>
      <c r="L396"/>
      <c r="M396"/>
    </row>
    <row r="397" spans="1:13">
      <c r="A397" s="2" t="s">
        <v>889</v>
      </c>
      <c r="B397" t="s">
        <v>1749</v>
      </c>
      <c r="C397" t="s">
        <v>1728</v>
      </c>
      <c r="D397" t="s">
        <v>1739</v>
      </c>
      <c r="K397"/>
      <c r="L397"/>
      <c r="M397"/>
    </row>
    <row r="398" spans="1:13">
      <c r="A398" s="2" t="s">
        <v>890</v>
      </c>
      <c r="B398" t="s">
        <v>1749</v>
      </c>
      <c r="C398" t="s">
        <v>1728</v>
      </c>
      <c r="D398" t="s">
        <v>1744</v>
      </c>
      <c r="K398"/>
      <c r="L398"/>
      <c r="M398"/>
    </row>
    <row r="399" spans="1:13">
      <c r="A399" s="2" t="s">
        <v>891</v>
      </c>
      <c r="B399" t="s">
        <v>1749</v>
      </c>
      <c r="C399" t="s">
        <v>1728</v>
      </c>
      <c r="D399" t="s">
        <v>1745</v>
      </c>
      <c r="K399"/>
      <c r="L399"/>
      <c r="M399"/>
    </row>
    <row r="400" spans="1:13">
      <c r="A400" s="2" t="s">
        <v>892</v>
      </c>
      <c r="B400" t="s">
        <v>1749</v>
      </c>
      <c r="C400" t="s">
        <v>1728</v>
      </c>
      <c r="D400" t="s">
        <v>1738</v>
      </c>
      <c r="K400"/>
      <c r="L400"/>
      <c r="M400"/>
    </row>
    <row r="401" spans="1:13">
      <c r="A401" s="2" t="s">
        <v>893</v>
      </c>
      <c r="B401" t="s">
        <v>1749</v>
      </c>
      <c r="C401" t="s">
        <v>1728</v>
      </c>
      <c r="D401" t="s">
        <v>1738</v>
      </c>
      <c r="K401"/>
      <c r="L401"/>
      <c r="M401"/>
    </row>
    <row r="402" spans="1:13">
      <c r="A402" s="2" t="s">
        <v>894</v>
      </c>
      <c r="B402" t="s">
        <v>1749</v>
      </c>
      <c r="C402" t="s">
        <v>1728</v>
      </c>
      <c r="D402" t="s">
        <v>1732</v>
      </c>
      <c r="K402"/>
      <c r="L402"/>
      <c r="M402"/>
    </row>
    <row r="403" spans="1:13">
      <c r="A403" s="2" t="s">
        <v>895</v>
      </c>
      <c r="B403" t="s">
        <v>1749</v>
      </c>
      <c r="C403" t="s">
        <v>1728</v>
      </c>
      <c r="D403" t="s">
        <v>1732</v>
      </c>
      <c r="K403"/>
      <c r="L403"/>
      <c r="M403"/>
    </row>
    <row r="404" spans="1:13">
      <c r="A404" s="2" t="s">
        <v>896</v>
      </c>
      <c r="B404" t="s">
        <v>1749</v>
      </c>
      <c r="C404" t="s">
        <v>1727</v>
      </c>
      <c r="D404" t="s">
        <v>1731</v>
      </c>
      <c r="K404"/>
      <c r="L404"/>
      <c r="M404"/>
    </row>
    <row r="405" spans="1:13">
      <c r="A405" s="2" t="s">
        <v>897</v>
      </c>
      <c r="B405" t="s">
        <v>1749</v>
      </c>
      <c r="C405" t="s">
        <v>1728</v>
      </c>
      <c r="D405" t="s">
        <v>1740</v>
      </c>
      <c r="K405"/>
      <c r="L405"/>
      <c r="M405"/>
    </row>
    <row r="406" spans="1:13">
      <c r="A406" s="2" t="s">
        <v>372</v>
      </c>
      <c r="B406" t="s">
        <v>1749</v>
      </c>
      <c r="C406" t="s">
        <v>1726</v>
      </c>
      <c r="D406" t="s">
        <v>1733</v>
      </c>
      <c r="K406"/>
      <c r="L406"/>
      <c r="M406"/>
    </row>
    <row r="407" spans="1:13">
      <c r="A407" s="2" t="s">
        <v>366</v>
      </c>
      <c r="B407" t="s">
        <v>1749</v>
      </c>
      <c r="C407" t="s">
        <v>1726</v>
      </c>
      <c r="D407" t="s">
        <v>1733</v>
      </c>
      <c r="K407"/>
      <c r="L407"/>
      <c r="M407"/>
    </row>
    <row r="408" spans="1:13">
      <c r="A408" s="2" t="s">
        <v>323</v>
      </c>
      <c r="B408" t="s">
        <v>1749</v>
      </c>
      <c r="C408" t="s">
        <v>1726</v>
      </c>
      <c r="D408" t="s">
        <v>1733</v>
      </c>
      <c r="K408"/>
      <c r="L408"/>
      <c r="M408"/>
    </row>
    <row r="409" spans="1:13">
      <c r="A409" s="2" t="s">
        <v>369</v>
      </c>
      <c r="B409" t="s">
        <v>1749</v>
      </c>
      <c r="C409" t="s">
        <v>1726</v>
      </c>
      <c r="D409" t="s">
        <v>1733</v>
      </c>
      <c r="K409"/>
      <c r="L409"/>
      <c r="M409"/>
    </row>
    <row r="410" spans="1:13">
      <c r="A410" s="2" t="s">
        <v>339</v>
      </c>
      <c r="B410" t="s">
        <v>1749</v>
      </c>
      <c r="C410" t="s">
        <v>1726</v>
      </c>
      <c r="D410" t="s">
        <v>1733</v>
      </c>
      <c r="K410"/>
      <c r="L410"/>
      <c r="M410"/>
    </row>
    <row r="411" spans="1:13">
      <c r="A411" s="2" t="s">
        <v>332</v>
      </c>
      <c r="B411" t="s">
        <v>1749</v>
      </c>
      <c r="C411" t="s">
        <v>1726</v>
      </c>
      <c r="D411" t="s">
        <v>1733</v>
      </c>
      <c r="K411"/>
      <c r="L411"/>
      <c r="M411"/>
    </row>
    <row r="412" spans="1:13">
      <c r="A412" s="2" t="s">
        <v>368</v>
      </c>
      <c r="B412" t="s">
        <v>1749</v>
      </c>
      <c r="C412" t="s">
        <v>1726</v>
      </c>
      <c r="D412" t="s">
        <v>1733</v>
      </c>
      <c r="K412"/>
      <c r="L412"/>
      <c r="M412"/>
    </row>
    <row r="413" spans="1:13">
      <c r="A413" s="2" t="s">
        <v>367</v>
      </c>
      <c r="B413" t="s">
        <v>1749</v>
      </c>
      <c r="C413" t="s">
        <v>1726</v>
      </c>
      <c r="D413" t="s">
        <v>1733</v>
      </c>
      <c r="K413"/>
      <c r="L413"/>
      <c r="M413"/>
    </row>
    <row r="414" spans="1:13">
      <c r="A414" s="2" t="s">
        <v>365</v>
      </c>
      <c r="B414" t="s">
        <v>1749</v>
      </c>
      <c r="C414" t="s">
        <v>1726</v>
      </c>
      <c r="D414" t="s">
        <v>1733</v>
      </c>
      <c r="K414"/>
      <c r="L414"/>
      <c r="M414"/>
    </row>
    <row r="415" spans="1:13">
      <c r="A415" s="2" t="s">
        <v>342</v>
      </c>
      <c r="B415" t="s">
        <v>1749</v>
      </c>
      <c r="C415" t="s">
        <v>1726</v>
      </c>
      <c r="D415" t="s">
        <v>1733</v>
      </c>
      <c r="K415"/>
      <c r="L415"/>
      <c r="M415"/>
    </row>
    <row r="416" spans="1:13">
      <c r="A416" s="2" t="s">
        <v>338</v>
      </c>
      <c r="B416" t="s">
        <v>1749</v>
      </c>
      <c r="C416" t="s">
        <v>1726</v>
      </c>
      <c r="D416" t="s">
        <v>1733</v>
      </c>
      <c r="K416"/>
      <c r="L416"/>
      <c r="M416"/>
    </row>
    <row r="417" spans="1:13">
      <c r="A417" s="2" t="s">
        <v>328</v>
      </c>
      <c r="B417" t="s">
        <v>1749</v>
      </c>
      <c r="C417" t="s">
        <v>1726</v>
      </c>
      <c r="D417" t="s">
        <v>1733</v>
      </c>
      <c r="K417"/>
      <c r="L417"/>
      <c r="M417"/>
    </row>
    <row r="418" spans="1:13">
      <c r="A418" s="2" t="s">
        <v>349</v>
      </c>
      <c r="B418" t="s">
        <v>1749</v>
      </c>
      <c r="C418" t="s">
        <v>1726</v>
      </c>
      <c r="D418" t="s">
        <v>1733</v>
      </c>
      <c r="K418"/>
      <c r="L418"/>
      <c r="M418"/>
    </row>
    <row r="419" spans="1:13">
      <c r="A419" s="2" t="s">
        <v>357</v>
      </c>
      <c r="B419" t="s">
        <v>1749</v>
      </c>
      <c r="C419" t="s">
        <v>1726</v>
      </c>
      <c r="D419" t="s">
        <v>1733</v>
      </c>
      <c r="K419"/>
      <c r="L419"/>
      <c r="M419"/>
    </row>
    <row r="420" spans="1:13">
      <c r="A420" s="2" t="s">
        <v>373</v>
      </c>
      <c r="B420" t="s">
        <v>1749</v>
      </c>
      <c r="C420" t="s">
        <v>1726</v>
      </c>
      <c r="D420" t="s">
        <v>1733</v>
      </c>
      <c r="K420"/>
      <c r="L420"/>
      <c r="M420"/>
    </row>
    <row r="421" spans="1:13">
      <c r="A421" s="2" t="s">
        <v>327</v>
      </c>
      <c r="B421" t="s">
        <v>1749</v>
      </c>
      <c r="C421" t="s">
        <v>1726</v>
      </c>
      <c r="D421" t="s">
        <v>1733</v>
      </c>
      <c r="K421"/>
      <c r="L421"/>
      <c r="M421"/>
    </row>
    <row r="422" spans="1:13">
      <c r="A422" s="2" t="s">
        <v>333</v>
      </c>
      <c r="B422" t="s">
        <v>1749</v>
      </c>
      <c r="C422" t="s">
        <v>1726</v>
      </c>
      <c r="D422" t="s">
        <v>1733</v>
      </c>
      <c r="K422"/>
      <c r="L422"/>
      <c r="M422"/>
    </row>
    <row r="423" spans="1:13">
      <c r="A423" s="2" t="s">
        <v>356</v>
      </c>
      <c r="B423" t="s">
        <v>1749</v>
      </c>
      <c r="C423" t="s">
        <v>1726</v>
      </c>
      <c r="D423" t="s">
        <v>1733</v>
      </c>
      <c r="K423"/>
      <c r="L423"/>
      <c r="M423"/>
    </row>
    <row r="424" spans="1:13">
      <c r="A424" s="2" t="s">
        <v>330</v>
      </c>
      <c r="B424" t="s">
        <v>1749</v>
      </c>
      <c r="C424" t="s">
        <v>1726</v>
      </c>
      <c r="D424" t="s">
        <v>1733</v>
      </c>
      <c r="K424"/>
      <c r="L424"/>
      <c r="M424"/>
    </row>
    <row r="425" spans="1:13">
      <c r="A425" s="2" t="s">
        <v>362</v>
      </c>
      <c r="B425" t="s">
        <v>1749</v>
      </c>
      <c r="C425" t="s">
        <v>1726</v>
      </c>
      <c r="D425" t="s">
        <v>1733</v>
      </c>
      <c r="K425"/>
      <c r="L425"/>
      <c r="M425"/>
    </row>
    <row r="426" spans="1:13">
      <c r="A426" s="2" t="s">
        <v>371</v>
      </c>
      <c r="B426" t="s">
        <v>1749</v>
      </c>
      <c r="C426" t="s">
        <v>1726</v>
      </c>
      <c r="D426" t="s">
        <v>1733</v>
      </c>
      <c r="K426"/>
      <c r="L426"/>
      <c r="M426"/>
    </row>
    <row r="427" spans="1:13">
      <c r="A427" s="2" t="s">
        <v>359</v>
      </c>
      <c r="B427" t="s">
        <v>1749</v>
      </c>
      <c r="C427" t="s">
        <v>1726</v>
      </c>
      <c r="D427" t="s">
        <v>1733</v>
      </c>
      <c r="K427"/>
      <c r="L427"/>
      <c r="M427"/>
    </row>
    <row r="428" spans="1:13">
      <c r="A428" s="2" t="s">
        <v>353</v>
      </c>
      <c r="B428" t="s">
        <v>1749</v>
      </c>
      <c r="C428" t="s">
        <v>1726</v>
      </c>
      <c r="D428" t="s">
        <v>1733</v>
      </c>
      <c r="K428"/>
      <c r="L428"/>
      <c r="M428"/>
    </row>
    <row r="429" spans="1:13">
      <c r="A429" s="2" t="s">
        <v>341</v>
      </c>
      <c r="B429" t="s">
        <v>1749</v>
      </c>
      <c r="C429" t="s">
        <v>1726</v>
      </c>
      <c r="D429" t="s">
        <v>1733</v>
      </c>
      <c r="K429"/>
      <c r="L429"/>
      <c r="M429"/>
    </row>
    <row r="430" spans="1:13">
      <c r="A430" s="2" t="s">
        <v>745</v>
      </c>
      <c r="B430" t="s">
        <v>1749</v>
      </c>
      <c r="C430" t="s">
        <v>1722</v>
      </c>
      <c r="D430" t="s">
        <v>1736</v>
      </c>
      <c r="K430"/>
      <c r="L430"/>
      <c r="M430"/>
    </row>
    <row r="431" spans="1:13">
      <c r="A431" s="2" t="s">
        <v>744</v>
      </c>
      <c r="B431" t="s">
        <v>1749</v>
      </c>
      <c r="C431" t="s">
        <v>1722</v>
      </c>
      <c r="D431" t="s">
        <v>1736</v>
      </c>
      <c r="K431"/>
      <c r="L431"/>
      <c r="M431"/>
    </row>
    <row r="432" spans="1:13">
      <c r="A432" s="2" t="s">
        <v>348</v>
      </c>
      <c r="B432" t="s">
        <v>1749</v>
      </c>
      <c r="C432" t="s">
        <v>1726</v>
      </c>
      <c r="D432" t="s">
        <v>1733</v>
      </c>
      <c r="K432"/>
      <c r="L432"/>
      <c r="M432"/>
    </row>
    <row r="433" spans="1:13">
      <c r="A433" s="2" t="s">
        <v>335</v>
      </c>
      <c r="B433" t="s">
        <v>1749</v>
      </c>
      <c r="C433" t="s">
        <v>1726</v>
      </c>
      <c r="D433" t="s">
        <v>1733</v>
      </c>
      <c r="K433"/>
      <c r="L433"/>
      <c r="M433"/>
    </row>
    <row r="434" spans="1:13">
      <c r="A434" s="2" t="s">
        <v>364</v>
      </c>
      <c r="B434" t="s">
        <v>1749</v>
      </c>
      <c r="C434" t="s">
        <v>1726</v>
      </c>
      <c r="D434" t="s">
        <v>1733</v>
      </c>
      <c r="K434"/>
      <c r="L434"/>
      <c r="M434"/>
    </row>
    <row r="435" spans="1:13">
      <c r="A435" s="2" t="s">
        <v>337</v>
      </c>
      <c r="B435" t="s">
        <v>1749</v>
      </c>
      <c r="C435" t="s">
        <v>1726</v>
      </c>
      <c r="D435" t="s">
        <v>1733</v>
      </c>
      <c r="K435"/>
      <c r="L435"/>
      <c r="M435"/>
    </row>
    <row r="436" spans="1:13">
      <c r="A436" s="2" t="s">
        <v>352</v>
      </c>
      <c r="B436" t="s">
        <v>1749</v>
      </c>
      <c r="C436" t="s">
        <v>1726</v>
      </c>
      <c r="D436" t="s">
        <v>1733</v>
      </c>
      <c r="K436"/>
      <c r="L436"/>
      <c r="M436"/>
    </row>
    <row r="437" spans="1:13">
      <c r="A437" s="2" t="s">
        <v>331</v>
      </c>
      <c r="B437" t="s">
        <v>1749</v>
      </c>
      <c r="C437" t="s">
        <v>1726</v>
      </c>
      <c r="D437" t="s">
        <v>1733</v>
      </c>
      <c r="K437"/>
      <c r="L437"/>
      <c r="M437"/>
    </row>
    <row r="438" spans="1:13">
      <c r="A438" s="2" t="s">
        <v>329</v>
      </c>
      <c r="B438" t="s">
        <v>1749</v>
      </c>
      <c r="C438" t="s">
        <v>1726</v>
      </c>
      <c r="D438" t="s">
        <v>1733</v>
      </c>
      <c r="K438"/>
      <c r="L438"/>
      <c r="M438"/>
    </row>
    <row r="439" spans="1:13">
      <c r="A439" s="2" t="s">
        <v>344</v>
      </c>
      <c r="B439" t="s">
        <v>1749</v>
      </c>
      <c r="C439" t="s">
        <v>1726</v>
      </c>
      <c r="D439" t="s">
        <v>1733</v>
      </c>
      <c r="K439"/>
      <c r="L439"/>
      <c r="M439"/>
    </row>
    <row r="440" spans="1:13">
      <c r="A440" s="2" t="s">
        <v>340</v>
      </c>
      <c r="B440" t="s">
        <v>1749</v>
      </c>
      <c r="C440" t="s">
        <v>1726</v>
      </c>
      <c r="D440" t="s">
        <v>1733</v>
      </c>
      <c r="K440"/>
      <c r="L440"/>
      <c r="M440"/>
    </row>
    <row r="441" spans="1:13">
      <c r="A441" s="2" t="s">
        <v>350</v>
      </c>
      <c r="B441" t="s">
        <v>1749</v>
      </c>
      <c r="C441" t="s">
        <v>1726</v>
      </c>
      <c r="D441" t="s">
        <v>1733</v>
      </c>
      <c r="K441"/>
      <c r="L441"/>
      <c r="M441"/>
    </row>
    <row r="442" spans="1:13">
      <c r="A442" s="2" t="s">
        <v>360</v>
      </c>
      <c r="B442" t="s">
        <v>1749</v>
      </c>
      <c r="C442" t="s">
        <v>1726</v>
      </c>
      <c r="D442" t="s">
        <v>1733</v>
      </c>
      <c r="K442"/>
      <c r="L442"/>
      <c r="M442"/>
    </row>
    <row r="443" spans="1:13">
      <c r="A443" s="2" t="s">
        <v>363</v>
      </c>
      <c r="B443" t="s">
        <v>1749</v>
      </c>
      <c r="C443" t="s">
        <v>1726</v>
      </c>
      <c r="D443" t="s">
        <v>1733</v>
      </c>
      <c r="K443"/>
      <c r="L443"/>
      <c r="M443"/>
    </row>
    <row r="444" spans="1:13">
      <c r="A444" s="2" t="s">
        <v>354</v>
      </c>
      <c r="B444" t="s">
        <v>1749</v>
      </c>
      <c r="C444" t="s">
        <v>1726</v>
      </c>
      <c r="D444" t="s">
        <v>1733</v>
      </c>
      <c r="K444"/>
      <c r="L444"/>
      <c r="M444"/>
    </row>
    <row r="445" spans="1:13">
      <c r="A445" s="2" t="s">
        <v>351</v>
      </c>
      <c r="B445" t="s">
        <v>1749</v>
      </c>
      <c r="C445" t="s">
        <v>1726</v>
      </c>
      <c r="D445" t="s">
        <v>1733</v>
      </c>
      <c r="K445"/>
      <c r="L445"/>
      <c r="M445"/>
    </row>
    <row r="446" spans="1:13">
      <c r="A446" s="2" t="s">
        <v>370</v>
      </c>
      <c r="B446" t="s">
        <v>1749</v>
      </c>
      <c r="C446" t="s">
        <v>1726</v>
      </c>
      <c r="D446" t="s">
        <v>1733</v>
      </c>
      <c r="K446"/>
      <c r="L446"/>
      <c r="M446"/>
    </row>
    <row r="447" spans="1:13">
      <c r="A447" s="2" t="s">
        <v>336</v>
      </c>
      <c r="B447" t="s">
        <v>1749</v>
      </c>
      <c r="C447" t="s">
        <v>1726</v>
      </c>
      <c r="D447" t="s">
        <v>1733</v>
      </c>
      <c r="K447"/>
      <c r="L447"/>
      <c r="M447"/>
    </row>
    <row r="448" spans="1:13">
      <c r="A448" s="2" t="s">
        <v>347</v>
      </c>
      <c r="B448" t="s">
        <v>1749</v>
      </c>
      <c r="C448" t="s">
        <v>1726</v>
      </c>
      <c r="D448" t="s">
        <v>1733</v>
      </c>
      <c r="K448"/>
      <c r="L448"/>
      <c r="M448"/>
    </row>
    <row r="449" spans="1:13">
      <c r="A449" s="2" t="s">
        <v>343</v>
      </c>
      <c r="B449" t="s">
        <v>1749</v>
      </c>
      <c r="C449" t="s">
        <v>1726</v>
      </c>
      <c r="D449" t="s">
        <v>1733</v>
      </c>
      <c r="K449"/>
      <c r="L449"/>
      <c r="M449"/>
    </row>
    <row r="450" spans="1:13">
      <c r="A450" s="2" t="s">
        <v>375</v>
      </c>
      <c r="B450" t="s">
        <v>1749</v>
      </c>
      <c r="C450" t="s">
        <v>1726</v>
      </c>
      <c r="D450" t="s">
        <v>1733</v>
      </c>
      <c r="K450"/>
      <c r="L450"/>
      <c r="M450"/>
    </row>
    <row r="451" spans="1:13">
      <c r="A451" s="2" t="s">
        <v>376</v>
      </c>
      <c r="B451" t="s">
        <v>1749</v>
      </c>
      <c r="C451" t="s">
        <v>1726</v>
      </c>
      <c r="D451" t="s">
        <v>1733</v>
      </c>
      <c r="K451"/>
      <c r="L451"/>
      <c r="M451"/>
    </row>
    <row r="452" spans="1:13">
      <c r="A452" s="2" t="s">
        <v>345</v>
      </c>
      <c r="B452" t="s">
        <v>1749</v>
      </c>
      <c r="C452" t="s">
        <v>1726</v>
      </c>
      <c r="D452" t="s">
        <v>1733</v>
      </c>
      <c r="K452"/>
      <c r="L452"/>
      <c r="M452"/>
    </row>
    <row r="453" spans="1:13">
      <c r="A453" s="2" t="s">
        <v>374</v>
      </c>
      <c r="B453" t="s">
        <v>1749</v>
      </c>
      <c r="C453" t="s">
        <v>1726</v>
      </c>
      <c r="D453" t="s">
        <v>1733</v>
      </c>
      <c r="K453"/>
      <c r="L453"/>
      <c r="M453"/>
    </row>
    <row r="454" spans="1:13">
      <c r="A454" s="2" t="s">
        <v>346</v>
      </c>
      <c r="B454" t="s">
        <v>1749</v>
      </c>
      <c r="C454" t="s">
        <v>1726</v>
      </c>
      <c r="D454" t="s">
        <v>1733</v>
      </c>
      <c r="K454"/>
      <c r="L454"/>
      <c r="M454"/>
    </row>
    <row r="455" spans="1:13">
      <c r="A455" s="2" t="s">
        <v>358</v>
      </c>
      <c r="B455" t="s">
        <v>1749</v>
      </c>
      <c r="C455" t="s">
        <v>1726</v>
      </c>
      <c r="D455" t="s">
        <v>1733</v>
      </c>
      <c r="K455"/>
      <c r="L455"/>
      <c r="M455"/>
    </row>
    <row r="456" spans="1:13">
      <c r="A456" s="2" t="s">
        <v>326</v>
      </c>
      <c r="B456" t="s">
        <v>1749</v>
      </c>
      <c r="C456" t="s">
        <v>1726</v>
      </c>
      <c r="D456" t="s">
        <v>1733</v>
      </c>
      <c r="K456"/>
      <c r="L456"/>
      <c r="M456"/>
    </row>
    <row r="457" spans="1:13">
      <c r="A457" s="2" t="s">
        <v>361</v>
      </c>
      <c r="B457" t="s">
        <v>1749</v>
      </c>
      <c r="C457" t="s">
        <v>1726</v>
      </c>
      <c r="D457" t="s">
        <v>1733</v>
      </c>
      <c r="K457"/>
      <c r="L457"/>
      <c r="M457"/>
    </row>
    <row r="458" spans="1:13">
      <c r="A458" s="2" t="s">
        <v>334</v>
      </c>
      <c r="B458" t="s">
        <v>1749</v>
      </c>
      <c r="C458" t="s">
        <v>1726</v>
      </c>
      <c r="D458" t="s">
        <v>1733</v>
      </c>
      <c r="K458"/>
      <c r="L458"/>
      <c r="M458"/>
    </row>
    <row r="459" spans="1:13">
      <c r="A459" s="2" t="s">
        <v>355</v>
      </c>
      <c r="B459" t="s">
        <v>1749</v>
      </c>
      <c r="C459" t="s">
        <v>1726</v>
      </c>
      <c r="D459" t="s">
        <v>1733</v>
      </c>
      <c r="K459"/>
      <c r="L459"/>
      <c r="M459"/>
    </row>
    <row r="460" spans="1:13">
      <c r="A460" s="2" t="s">
        <v>758</v>
      </c>
      <c r="B460" t="s">
        <v>1749</v>
      </c>
      <c r="C460" t="s">
        <v>1728</v>
      </c>
      <c r="D460" t="s">
        <v>1731</v>
      </c>
      <c r="K460"/>
      <c r="L460"/>
      <c r="M460"/>
    </row>
    <row r="461" spans="1:13">
      <c r="A461" s="2" t="s">
        <v>760</v>
      </c>
      <c r="B461" t="s">
        <v>1749</v>
      </c>
      <c r="C461" t="s">
        <v>1728</v>
      </c>
      <c r="D461" t="s">
        <v>1731</v>
      </c>
      <c r="K461"/>
      <c r="L461"/>
      <c r="M461"/>
    </row>
    <row r="462" spans="1:13">
      <c r="A462" s="2" t="s">
        <v>759</v>
      </c>
      <c r="B462" t="s">
        <v>1749</v>
      </c>
      <c r="C462" t="s">
        <v>1728</v>
      </c>
      <c r="D462" t="s">
        <v>1731</v>
      </c>
      <c r="K462"/>
      <c r="L462"/>
      <c r="M462"/>
    </row>
    <row r="463" spans="1:13">
      <c r="A463" s="2" t="s">
        <v>755</v>
      </c>
      <c r="B463" t="s">
        <v>1749</v>
      </c>
      <c r="C463" t="s">
        <v>1728</v>
      </c>
      <c r="D463" t="s">
        <v>1731</v>
      </c>
      <c r="K463"/>
      <c r="L463"/>
      <c r="M463"/>
    </row>
    <row r="464" spans="1:13">
      <c r="A464" s="2" t="s">
        <v>757</v>
      </c>
      <c r="B464" t="s">
        <v>1749</v>
      </c>
      <c r="C464" t="s">
        <v>1728</v>
      </c>
      <c r="D464" t="s">
        <v>1731</v>
      </c>
      <c r="K464"/>
      <c r="L464"/>
      <c r="M464"/>
    </row>
    <row r="465" spans="1:13">
      <c r="A465" s="2" t="s">
        <v>756</v>
      </c>
      <c r="B465" t="s">
        <v>1749</v>
      </c>
      <c r="C465" t="s">
        <v>1728</v>
      </c>
      <c r="D465" t="s">
        <v>1731</v>
      </c>
      <c r="K465"/>
      <c r="L465"/>
      <c r="M465"/>
    </row>
    <row r="466" spans="1:13">
      <c r="A466" s="2" t="s">
        <v>761</v>
      </c>
      <c r="B466" t="s">
        <v>1749</v>
      </c>
      <c r="C466" t="s">
        <v>1728</v>
      </c>
      <c r="D466" t="s">
        <v>1731</v>
      </c>
      <c r="K466"/>
      <c r="L466"/>
      <c r="M466"/>
    </row>
    <row r="467" spans="1:13">
      <c r="A467" s="2" t="s">
        <v>763</v>
      </c>
      <c r="B467" t="s">
        <v>1749</v>
      </c>
      <c r="C467" t="s">
        <v>1728</v>
      </c>
      <c r="D467" t="s">
        <v>1731</v>
      </c>
      <c r="K467"/>
      <c r="L467"/>
      <c r="M467"/>
    </row>
    <row r="468" spans="1:13">
      <c r="A468" s="2" t="s">
        <v>762</v>
      </c>
      <c r="B468" t="s">
        <v>1749</v>
      </c>
      <c r="C468" t="s">
        <v>1728</v>
      </c>
      <c r="D468" t="s">
        <v>1731</v>
      </c>
      <c r="K468"/>
      <c r="L468"/>
      <c r="M468"/>
    </row>
    <row r="469" spans="1:13">
      <c r="A469" s="2" t="s">
        <v>764</v>
      </c>
      <c r="B469" t="s">
        <v>1749</v>
      </c>
      <c r="C469" t="s">
        <v>1728</v>
      </c>
      <c r="D469" t="s">
        <v>1731</v>
      </c>
      <c r="K469"/>
      <c r="L469"/>
      <c r="M469"/>
    </row>
    <row r="470" spans="1:13">
      <c r="A470" s="2" t="s">
        <v>765</v>
      </c>
      <c r="B470" t="s">
        <v>1749</v>
      </c>
      <c r="C470" t="s">
        <v>1728</v>
      </c>
      <c r="D470" t="s">
        <v>1731</v>
      </c>
      <c r="K470"/>
      <c r="L470"/>
      <c r="M470"/>
    </row>
    <row r="471" spans="1:13">
      <c r="A471" s="2" t="s">
        <v>770</v>
      </c>
      <c r="B471" t="s">
        <v>1749</v>
      </c>
      <c r="C471" t="s">
        <v>1728</v>
      </c>
      <c r="D471" t="s">
        <v>1731</v>
      </c>
      <c r="K471"/>
      <c r="L471"/>
      <c r="M471"/>
    </row>
    <row r="472" spans="1:13">
      <c r="A472" s="2" t="s">
        <v>772</v>
      </c>
      <c r="B472" t="s">
        <v>1749</v>
      </c>
      <c r="C472" t="s">
        <v>1728</v>
      </c>
      <c r="D472" t="s">
        <v>1731</v>
      </c>
      <c r="K472"/>
      <c r="L472"/>
      <c r="M472"/>
    </row>
    <row r="473" spans="1:13">
      <c r="A473" s="2" t="s">
        <v>771</v>
      </c>
      <c r="B473" t="s">
        <v>1749</v>
      </c>
      <c r="C473" t="s">
        <v>1728</v>
      </c>
      <c r="D473" t="s">
        <v>1731</v>
      </c>
      <c r="K473"/>
      <c r="L473"/>
      <c r="M473"/>
    </row>
    <row r="474" spans="1:13">
      <c r="A474" s="2" t="s">
        <v>773</v>
      </c>
      <c r="B474" t="s">
        <v>1749</v>
      </c>
      <c r="C474" t="s">
        <v>1728</v>
      </c>
      <c r="D474" t="s">
        <v>1731</v>
      </c>
      <c r="K474"/>
      <c r="L474"/>
      <c r="M474"/>
    </row>
    <row r="475" spans="1:13">
      <c r="A475" s="2" t="s">
        <v>775</v>
      </c>
      <c r="B475" t="s">
        <v>1749</v>
      </c>
      <c r="C475" t="s">
        <v>1728</v>
      </c>
      <c r="D475" t="s">
        <v>1731</v>
      </c>
      <c r="K475"/>
      <c r="L475"/>
      <c r="M475"/>
    </row>
    <row r="476" spans="1:13">
      <c r="A476" s="2" t="s">
        <v>774</v>
      </c>
      <c r="B476" t="s">
        <v>1749</v>
      </c>
      <c r="C476" t="s">
        <v>1728</v>
      </c>
      <c r="D476" t="s">
        <v>1731</v>
      </c>
      <c r="K476"/>
      <c r="L476"/>
      <c r="M476"/>
    </row>
    <row r="477" spans="1:13">
      <c r="A477" s="2" t="s">
        <v>767</v>
      </c>
      <c r="B477" t="s">
        <v>1749</v>
      </c>
      <c r="C477" t="s">
        <v>1728</v>
      </c>
      <c r="D477" t="s">
        <v>1731</v>
      </c>
      <c r="K477"/>
      <c r="L477"/>
      <c r="M477"/>
    </row>
    <row r="478" spans="1:13">
      <c r="A478" s="2" t="s">
        <v>766</v>
      </c>
      <c r="B478" t="s">
        <v>1749</v>
      </c>
      <c r="C478" t="s">
        <v>1728</v>
      </c>
      <c r="D478" t="s">
        <v>1731</v>
      </c>
      <c r="K478"/>
      <c r="L478"/>
      <c r="M478"/>
    </row>
    <row r="479" spans="1:13">
      <c r="A479" s="2" t="s">
        <v>769</v>
      </c>
      <c r="B479" t="s">
        <v>1749</v>
      </c>
      <c r="C479" t="s">
        <v>1728</v>
      </c>
      <c r="D479" t="s">
        <v>1731</v>
      </c>
      <c r="K479"/>
      <c r="L479"/>
      <c r="M479"/>
    </row>
    <row r="480" spans="1:13">
      <c r="A480" s="2" t="s">
        <v>768</v>
      </c>
      <c r="B480" t="s">
        <v>1749</v>
      </c>
      <c r="C480" t="s">
        <v>1728</v>
      </c>
      <c r="D480" t="s">
        <v>1731</v>
      </c>
      <c r="K480"/>
      <c r="L480"/>
      <c r="M480"/>
    </row>
    <row r="481" spans="1:13">
      <c r="A481" s="2" t="s">
        <v>779</v>
      </c>
      <c r="B481" t="s">
        <v>1749</v>
      </c>
      <c r="C481" t="s">
        <v>1728</v>
      </c>
      <c r="D481" t="s">
        <v>1731</v>
      </c>
      <c r="K481"/>
      <c r="L481"/>
      <c r="M481"/>
    </row>
    <row r="482" spans="1:13">
      <c r="A482" s="2" t="s">
        <v>781</v>
      </c>
      <c r="B482" t="s">
        <v>1749</v>
      </c>
      <c r="C482" t="s">
        <v>1728</v>
      </c>
      <c r="D482" t="s">
        <v>1731</v>
      </c>
      <c r="K482"/>
      <c r="L482"/>
      <c r="M482"/>
    </row>
    <row r="483" spans="1:13">
      <c r="A483" s="2" t="s">
        <v>780</v>
      </c>
      <c r="B483" t="s">
        <v>1749</v>
      </c>
      <c r="C483" t="s">
        <v>1728</v>
      </c>
      <c r="D483" t="s">
        <v>1731</v>
      </c>
      <c r="K483"/>
      <c r="L483"/>
      <c r="M483"/>
    </row>
    <row r="484" spans="1:13">
      <c r="A484" s="2" t="s">
        <v>790</v>
      </c>
      <c r="B484" t="s">
        <v>1749</v>
      </c>
      <c r="C484" t="s">
        <v>1728</v>
      </c>
      <c r="D484" t="s">
        <v>1731</v>
      </c>
      <c r="K484"/>
      <c r="L484"/>
      <c r="M484"/>
    </row>
    <row r="485" spans="1:13">
      <c r="A485" s="2" t="s">
        <v>782</v>
      </c>
      <c r="B485" t="s">
        <v>1749</v>
      </c>
      <c r="C485" t="s">
        <v>1728</v>
      </c>
      <c r="D485" t="s">
        <v>1731</v>
      </c>
      <c r="K485"/>
      <c r="L485"/>
      <c r="M485"/>
    </row>
    <row r="486" spans="1:13">
      <c r="A486" s="2" t="s">
        <v>792</v>
      </c>
      <c r="B486" t="s">
        <v>1749</v>
      </c>
      <c r="C486" t="s">
        <v>1728</v>
      </c>
      <c r="D486" t="s">
        <v>1731</v>
      </c>
      <c r="K486"/>
      <c r="L486"/>
      <c r="M486"/>
    </row>
    <row r="487" spans="1:13">
      <c r="A487" s="2" t="s">
        <v>793</v>
      </c>
      <c r="B487" t="s">
        <v>1749</v>
      </c>
      <c r="C487" t="s">
        <v>1728</v>
      </c>
      <c r="D487" t="s">
        <v>1732</v>
      </c>
      <c r="K487"/>
      <c r="L487"/>
      <c r="M487"/>
    </row>
    <row r="488" spans="1:13">
      <c r="A488" s="2" t="s">
        <v>795</v>
      </c>
      <c r="B488" t="s">
        <v>1749</v>
      </c>
      <c r="C488" t="s">
        <v>1728</v>
      </c>
      <c r="D488" t="s">
        <v>1731</v>
      </c>
      <c r="K488"/>
      <c r="L488"/>
      <c r="M488"/>
    </row>
    <row r="489" spans="1:13">
      <c r="A489" s="2" t="s">
        <v>794</v>
      </c>
      <c r="B489" t="s">
        <v>1749</v>
      </c>
      <c r="C489" t="s">
        <v>1728</v>
      </c>
      <c r="D489" t="s">
        <v>1732</v>
      </c>
      <c r="K489"/>
      <c r="L489"/>
      <c r="M489"/>
    </row>
    <row r="490" spans="1:13">
      <c r="A490" s="2" t="s">
        <v>783</v>
      </c>
      <c r="B490" t="s">
        <v>1749</v>
      </c>
      <c r="C490" t="s">
        <v>1728</v>
      </c>
      <c r="D490" t="s">
        <v>1731</v>
      </c>
      <c r="K490"/>
      <c r="L490"/>
      <c r="M490"/>
    </row>
    <row r="491" spans="1:13">
      <c r="A491" s="2" t="s">
        <v>785</v>
      </c>
      <c r="B491" t="s">
        <v>1749</v>
      </c>
      <c r="C491" t="s">
        <v>1728</v>
      </c>
      <c r="D491" t="s">
        <v>1731</v>
      </c>
      <c r="K491"/>
      <c r="L491"/>
      <c r="M491"/>
    </row>
    <row r="492" spans="1:13">
      <c r="A492" s="2" t="s">
        <v>784</v>
      </c>
      <c r="B492" t="s">
        <v>1749</v>
      </c>
      <c r="C492" t="s">
        <v>1728</v>
      </c>
      <c r="D492" t="s">
        <v>1731</v>
      </c>
      <c r="K492"/>
      <c r="L492"/>
      <c r="M492"/>
    </row>
    <row r="493" spans="1:13">
      <c r="A493" s="2" t="s">
        <v>776</v>
      </c>
      <c r="B493" t="s">
        <v>1749</v>
      </c>
      <c r="C493" t="s">
        <v>1728</v>
      </c>
      <c r="D493" t="s">
        <v>1731</v>
      </c>
      <c r="K493"/>
      <c r="L493"/>
      <c r="M493"/>
    </row>
    <row r="494" spans="1:13">
      <c r="A494" s="2" t="s">
        <v>778</v>
      </c>
      <c r="B494" t="s">
        <v>1749</v>
      </c>
      <c r="C494" t="s">
        <v>1728</v>
      </c>
      <c r="D494" t="s">
        <v>1731</v>
      </c>
      <c r="K494"/>
      <c r="L494"/>
      <c r="M494"/>
    </row>
    <row r="495" spans="1:13">
      <c r="A495" s="2" t="s">
        <v>777</v>
      </c>
      <c r="B495" t="s">
        <v>1749</v>
      </c>
      <c r="C495" t="s">
        <v>1728</v>
      </c>
      <c r="D495" t="s">
        <v>1731</v>
      </c>
      <c r="K495"/>
      <c r="L495"/>
      <c r="M495"/>
    </row>
    <row r="496" spans="1:13">
      <c r="A496" s="2" t="s">
        <v>787</v>
      </c>
      <c r="B496" t="s">
        <v>1749</v>
      </c>
      <c r="C496" t="s">
        <v>1728</v>
      </c>
      <c r="D496" t="s">
        <v>1731</v>
      </c>
      <c r="K496"/>
      <c r="L496"/>
      <c r="M496"/>
    </row>
    <row r="497" spans="1:13">
      <c r="A497" s="2" t="s">
        <v>786</v>
      </c>
      <c r="B497" t="s">
        <v>1749</v>
      </c>
      <c r="C497" t="s">
        <v>1728</v>
      </c>
      <c r="D497" t="s">
        <v>1731</v>
      </c>
      <c r="K497"/>
      <c r="L497"/>
      <c r="M497"/>
    </row>
    <row r="498" spans="1:13">
      <c r="A498" s="2" t="s">
        <v>791</v>
      </c>
      <c r="B498" t="s">
        <v>1749</v>
      </c>
      <c r="C498" t="s">
        <v>1728</v>
      </c>
      <c r="D498" t="s">
        <v>1731</v>
      </c>
      <c r="K498"/>
      <c r="L498"/>
      <c r="M498"/>
    </row>
    <row r="499" spans="1:13">
      <c r="A499" s="2" t="s">
        <v>788</v>
      </c>
      <c r="B499" t="s">
        <v>1749</v>
      </c>
      <c r="C499" t="s">
        <v>1728</v>
      </c>
      <c r="D499" t="s">
        <v>1731</v>
      </c>
      <c r="K499"/>
      <c r="L499"/>
      <c r="M499"/>
    </row>
    <row r="500" spans="1:13">
      <c r="A500" s="2" t="s">
        <v>789</v>
      </c>
      <c r="B500" t="s">
        <v>1749</v>
      </c>
      <c r="C500" t="s">
        <v>1728</v>
      </c>
      <c r="D500" t="s">
        <v>1731</v>
      </c>
      <c r="K500"/>
      <c r="L500"/>
      <c r="M500"/>
    </row>
    <row r="501" spans="1:13">
      <c r="A501" s="2" t="s">
        <v>807</v>
      </c>
      <c r="B501" t="s">
        <v>1749</v>
      </c>
      <c r="C501" t="s">
        <v>1728</v>
      </c>
      <c r="D501" t="s">
        <v>1731</v>
      </c>
      <c r="K501"/>
      <c r="L501"/>
      <c r="M501"/>
    </row>
    <row r="502" spans="1:13">
      <c r="A502" s="2" t="s">
        <v>806</v>
      </c>
      <c r="B502" t="s">
        <v>1749</v>
      </c>
      <c r="C502" t="s">
        <v>1728</v>
      </c>
      <c r="D502" t="s">
        <v>1731</v>
      </c>
      <c r="K502"/>
      <c r="L502"/>
      <c r="M502"/>
    </row>
    <row r="503" spans="1:13">
      <c r="A503" s="2" t="s">
        <v>811</v>
      </c>
      <c r="B503" t="s">
        <v>1749</v>
      </c>
      <c r="C503" t="s">
        <v>1728</v>
      </c>
      <c r="D503" t="s">
        <v>1731</v>
      </c>
      <c r="K503"/>
      <c r="L503"/>
      <c r="M503"/>
    </row>
    <row r="504" spans="1:13">
      <c r="A504" s="2" t="s">
        <v>808</v>
      </c>
      <c r="B504" t="s">
        <v>1749</v>
      </c>
      <c r="C504" t="s">
        <v>1728</v>
      </c>
      <c r="D504" t="s">
        <v>1731</v>
      </c>
      <c r="K504"/>
      <c r="L504"/>
      <c r="M504"/>
    </row>
    <row r="505" spans="1:13">
      <c r="A505" s="2" t="s">
        <v>800</v>
      </c>
      <c r="B505" t="s">
        <v>1749</v>
      </c>
      <c r="C505" t="s">
        <v>1728</v>
      </c>
      <c r="D505" t="s">
        <v>1731</v>
      </c>
      <c r="K505"/>
      <c r="L505"/>
      <c r="M505"/>
    </row>
    <row r="506" spans="1:13">
      <c r="A506" s="2" t="s">
        <v>796</v>
      </c>
      <c r="B506" t="s">
        <v>1749</v>
      </c>
      <c r="C506" t="s">
        <v>1728</v>
      </c>
      <c r="D506" t="s">
        <v>1731</v>
      </c>
      <c r="K506"/>
      <c r="L506"/>
      <c r="M506"/>
    </row>
    <row r="507" spans="1:13">
      <c r="A507" s="2" t="s">
        <v>799</v>
      </c>
      <c r="B507" t="s">
        <v>1749</v>
      </c>
      <c r="C507" t="s">
        <v>1728</v>
      </c>
      <c r="D507" t="s">
        <v>1731</v>
      </c>
      <c r="K507"/>
      <c r="L507"/>
      <c r="M507"/>
    </row>
    <row r="508" spans="1:13">
      <c r="A508" s="2" t="s">
        <v>810</v>
      </c>
      <c r="B508" t="s">
        <v>1749</v>
      </c>
      <c r="C508" t="s">
        <v>1728</v>
      </c>
      <c r="D508" t="s">
        <v>1731</v>
      </c>
      <c r="K508"/>
      <c r="L508"/>
      <c r="M508"/>
    </row>
    <row r="509" spans="1:13">
      <c r="A509" s="2" t="s">
        <v>809</v>
      </c>
      <c r="B509" t="s">
        <v>1749</v>
      </c>
      <c r="C509" t="s">
        <v>1728</v>
      </c>
      <c r="D509" t="s">
        <v>1731</v>
      </c>
      <c r="K509"/>
      <c r="L509"/>
      <c r="M509"/>
    </row>
    <row r="510" spans="1:13">
      <c r="A510" s="2" t="s">
        <v>797</v>
      </c>
      <c r="B510" t="s">
        <v>1749</v>
      </c>
      <c r="C510" t="s">
        <v>1728</v>
      </c>
      <c r="D510" t="s">
        <v>1731</v>
      </c>
      <c r="K510"/>
      <c r="L510"/>
      <c r="M510"/>
    </row>
    <row r="511" spans="1:13">
      <c r="A511" s="2" t="s">
        <v>801</v>
      </c>
      <c r="B511" t="s">
        <v>1749</v>
      </c>
      <c r="C511" t="s">
        <v>1728</v>
      </c>
      <c r="D511" t="s">
        <v>1731</v>
      </c>
      <c r="K511"/>
      <c r="L511"/>
      <c r="M511"/>
    </row>
    <row r="512" spans="1:13">
      <c r="A512" s="2" t="s">
        <v>803</v>
      </c>
      <c r="B512" t="s">
        <v>1749</v>
      </c>
      <c r="C512" t="s">
        <v>1728</v>
      </c>
      <c r="D512" t="s">
        <v>1731</v>
      </c>
      <c r="K512"/>
      <c r="L512"/>
      <c r="M512"/>
    </row>
    <row r="513" spans="1:13">
      <c r="A513" s="2" t="s">
        <v>802</v>
      </c>
      <c r="B513" t="s">
        <v>1749</v>
      </c>
      <c r="C513" t="s">
        <v>1728</v>
      </c>
      <c r="D513" t="s">
        <v>1731</v>
      </c>
      <c r="K513"/>
      <c r="L513"/>
      <c r="M513"/>
    </row>
    <row r="514" spans="1:13">
      <c r="A514" s="2" t="s">
        <v>798</v>
      </c>
      <c r="B514" t="s">
        <v>1749</v>
      </c>
      <c r="C514" t="s">
        <v>1728</v>
      </c>
      <c r="D514" t="s">
        <v>1731</v>
      </c>
      <c r="K514"/>
      <c r="L514"/>
      <c r="M514"/>
    </row>
    <row r="515" spans="1:13">
      <c r="A515" s="2" t="s">
        <v>805</v>
      </c>
      <c r="B515" t="s">
        <v>1749</v>
      </c>
      <c r="C515" t="s">
        <v>1728</v>
      </c>
      <c r="D515" t="s">
        <v>1731</v>
      </c>
      <c r="K515"/>
      <c r="L515"/>
      <c r="M515"/>
    </row>
    <row r="516" spans="1:13">
      <c r="A516" s="2" t="s">
        <v>804</v>
      </c>
      <c r="B516" t="s">
        <v>1749</v>
      </c>
      <c r="C516" t="s">
        <v>1728</v>
      </c>
      <c r="D516" t="s">
        <v>1731</v>
      </c>
      <c r="K516"/>
      <c r="L516"/>
      <c r="M516"/>
    </row>
    <row r="517" spans="1:13">
      <c r="A517" s="2" t="s">
        <v>812</v>
      </c>
      <c r="B517" t="s">
        <v>1749</v>
      </c>
      <c r="C517" t="s">
        <v>1728</v>
      </c>
      <c r="D517" t="s">
        <v>1731</v>
      </c>
      <c r="K517"/>
      <c r="L517"/>
      <c r="M517"/>
    </row>
    <row r="518" spans="1:13">
      <c r="A518" s="2" t="s">
        <v>816</v>
      </c>
      <c r="B518" t="s">
        <v>1749</v>
      </c>
      <c r="C518" t="s">
        <v>1728</v>
      </c>
      <c r="D518" t="s">
        <v>1731</v>
      </c>
      <c r="K518"/>
      <c r="L518"/>
      <c r="M518"/>
    </row>
    <row r="519" spans="1:13">
      <c r="A519" s="2" t="s">
        <v>817</v>
      </c>
      <c r="B519" t="s">
        <v>1749</v>
      </c>
      <c r="C519" t="s">
        <v>1728</v>
      </c>
      <c r="D519" t="s">
        <v>1731</v>
      </c>
      <c r="K519"/>
      <c r="L519"/>
      <c r="M519"/>
    </row>
    <row r="520" spans="1:13">
      <c r="A520" s="2" t="s">
        <v>814</v>
      </c>
      <c r="B520" t="s">
        <v>1749</v>
      </c>
      <c r="C520" t="s">
        <v>1728</v>
      </c>
      <c r="D520" t="s">
        <v>1731</v>
      </c>
      <c r="K520"/>
      <c r="L520"/>
      <c r="M520"/>
    </row>
    <row r="521" spans="1:13">
      <c r="A521" s="2" t="s">
        <v>815</v>
      </c>
      <c r="B521" t="s">
        <v>1749</v>
      </c>
      <c r="C521" t="s">
        <v>1728</v>
      </c>
      <c r="D521" t="s">
        <v>1731</v>
      </c>
      <c r="K521"/>
      <c r="L521"/>
      <c r="M521"/>
    </row>
    <row r="522" spans="1:13">
      <c r="A522" s="2" t="s">
        <v>813</v>
      </c>
      <c r="B522" t="s">
        <v>1749</v>
      </c>
      <c r="C522" t="s">
        <v>1728</v>
      </c>
      <c r="D522" t="s">
        <v>1731</v>
      </c>
      <c r="K522"/>
      <c r="L522"/>
      <c r="M522"/>
    </row>
    <row r="523" spans="1:13">
      <c r="A523" s="2" t="s">
        <v>818</v>
      </c>
      <c r="B523" t="s">
        <v>1749</v>
      </c>
      <c r="C523" t="s">
        <v>1728</v>
      </c>
      <c r="D523" t="s">
        <v>1731</v>
      </c>
      <c r="K523"/>
      <c r="L523"/>
      <c r="M523"/>
    </row>
    <row r="524" spans="1:13">
      <c r="A524" s="2" t="s">
        <v>819</v>
      </c>
      <c r="B524" t="s">
        <v>1749</v>
      </c>
      <c r="C524" t="s">
        <v>1728</v>
      </c>
      <c r="D524" t="s">
        <v>1731</v>
      </c>
      <c r="K524"/>
      <c r="L524"/>
      <c r="M524"/>
    </row>
    <row r="525" spans="1:13">
      <c r="A525" s="2" t="s">
        <v>821</v>
      </c>
      <c r="B525" t="s">
        <v>1749</v>
      </c>
      <c r="C525" t="s">
        <v>1728</v>
      </c>
      <c r="D525" t="s">
        <v>1731</v>
      </c>
      <c r="K525"/>
      <c r="L525"/>
      <c r="M525"/>
    </row>
    <row r="526" spans="1:13">
      <c r="A526" s="2" t="s">
        <v>820</v>
      </c>
      <c r="B526" t="s">
        <v>1749</v>
      </c>
      <c r="C526" t="s">
        <v>1728</v>
      </c>
      <c r="D526" t="s">
        <v>1731</v>
      </c>
      <c r="K526"/>
      <c r="L526"/>
      <c r="M526"/>
    </row>
    <row r="527" spans="1:13">
      <c r="A527" s="2" t="s">
        <v>822</v>
      </c>
      <c r="B527" t="s">
        <v>1749</v>
      </c>
      <c r="C527" t="s">
        <v>1728</v>
      </c>
      <c r="D527" t="s">
        <v>1731</v>
      </c>
      <c r="K527"/>
      <c r="L527"/>
      <c r="M527"/>
    </row>
    <row r="528" spans="1:13">
      <c r="A528" s="2" t="s">
        <v>823</v>
      </c>
      <c r="B528" t="s">
        <v>1749</v>
      </c>
      <c r="C528" t="s">
        <v>1728</v>
      </c>
      <c r="D528" t="s">
        <v>1731</v>
      </c>
      <c r="K528"/>
      <c r="L528"/>
      <c r="M528"/>
    </row>
    <row r="529" spans="1:13">
      <c r="A529" s="2" t="s">
        <v>824</v>
      </c>
      <c r="B529" t="s">
        <v>1749</v>
      </c>
      <c r="C529" t="s">
        <v>1728</v>
      </c>
      <c r="D529" t="s">
        <v>1731</v>
      </c>
      <c r="K529"/>
      <c r="L529"/>
      <c r="M529"/>
    </row>
    <row r="530" spans="1:13">
      <c r="A530" s="2" t="s">
        <v>825</v>
      </c>
      <c r="B530" t="s">
        <v>1749</v>
      </c>
      <c r="C530" t="s">
        <v>1728</v>
      </c>
      <c r="D530" t="s">
        <v>1731</v>
      </c>
      <c r="K530"/>
      <c r="L530"/>
      <c r="M530"/>
    </row>
    <row r="531" spans="1:13">
      <c r="A531" s="2" t="s">
        <v>746</v>
      </c>
      <c r="B531" t="s">
        <v>1749</v>
      </c>
      <c r="C531" t="s">
        <v>1722</v>
      </c>
      <c r="D531" t="s">
        <v>1736</v>
      </c>
      <c r="K531"/>
      <c r="L531"/>
      <c r="M531"/>
    </row>
    <row r="532" spans="1:13">
      <c r="A532" s="2" t="s">
        <v>747</v>
      </c>
      <c r="B532" t="s">
        <v>1749</v>
      </c>
      <c r="C532" t="s">
        <v>1722</v>
      </c>
      <c r="D532" t="s">
        <v>1736</v>
      </c>
      <c r="K532"/>
      <c r="L532"/>
      <c r="M532"/>
    </row>
    <row r="533" spans="1:13">
      <c r="A533" s="2" t="s">
        <v>748</v>
      </c>
      <c r="B533" t="s">
        <v>1749</v>
      </c>
      <c r="C533" t="s">
        <v>1722</v>
      </c>
      <c r="D533" t="s">
        <v>1736</v>
      </c>
      <c r="K533"/>
      <c r="L533"/>
      <c r="M533"/>
    </row>
    <row r="534" spans="1:13">
      <c r="A534" s="2" t="s">
        <v>749</v>
      </c>
      <c r="B534" t="s">
        <v>1749</v>
      </c>
      <c r="C534" t="s">
        <v>1722</v>
      </c>
      <c r="D534" t="s">
        <v>1736</v>
      </c>
      <c r="K534"/>
      <c r="L534"/>
      <c r="M534"/>
    </row>
    <row r="535" spans="1:13">
      <c r="A535" s="2" t="s">
        <v>752</v>
      </c>
      <c r="B535" t="s">
        <v>1749</v>
      </c>
      <c r="C535" t="s">
        <v>1728</v>
      </c>
      <c r="D535" t="s">
        <v>1733</v>
      </c>
      <c r="K535"/>
      <c r="L535"/>
      <c r="M535"/>
    </row>
    <row r="536" spans="1:13">
      <c r="A536" s="2" t="s">
        <v>751</v>
      </c>
      <c r="B536" t="s">
        <v>1749</v>
      </c>
      <c r="C536" t="s">
        <v>1728</v>
      </c>
      <c r="D536" t="s">
        <v>1739</v>
      </c>
      <c r="K536"/>
      <c r="L536"/>
      <c r="M536"/>
    </row>
    <row r="537" spans="1:13">
      <c r="A537" s="2" t="s">
        <v>754</v>
      </c>
      <c r="B537" t="s">
        <v>1749</v>
      </c>
      <c r="C537" t="s">
        <v>1728</v>
      </c>
      <c r="D537" t="s">
        <v>1747</v>
      </c>
      <c r="K537"/>
      <c r="L537"/>
      <c r="M537"/>
    </row>
    <row r="538" spans="1:13">
      <c r="A538" s="2" t="s">
        <v>753</v>
      </c>
      <c r="B538" t="s">
        <v>1749</v>
      </c>
      <c r="C538" t="s">
        <v>1728</v>
      </c>
      <c r="D538" t="s">
        <v>1740</v>
      </c>
      <c r="K538"/>
      <c r="L538"/>
      <c r="M538"/>
    </row>
    <row r="539" spans="1:13">
      <c r="A539" s="2" t="s">
        <v>827</v>
      </c>
      <c r="B539" t="s">
        <v>1749</v>
      </c>
      <c r="C539" t="s">
        <v>1728</v>
      </c>
      <c r="D539" t="s">
        <v>1733</v>
      </c>
      <c r="K539"/>
      <c r="L539"/>
      <c r="M539"/>
    </row>
    <row r="540" spans="1:13">
      <c r="A540" s="2" t="s">
        <v>828</v>
      </c>
      <c r="B540" t="s">
        <v>1749</v>
      </c>
      <c r="C540" t="s">
        <v>1728</v>
      </c>
      <c r="D540" t="s">
        <v>1746</v>
      </c>
      <c r="K540"/>
      <c r="L540"/>
      <c r="M540"/>
    </row>
    <row r="541" spans="1:13">
      <c r="A541" s="2" t="s">
        <v>826</v>
      </c>
      <c r="B541" t="s">
        <v>1749</v>
      </c>
      <c r="C541" t="s">
        <v>1728</v>
      </c>
      <c r="D541" t="s">
        <v>1739</v>
      </c>
      <c r="K541"/>
      <c r="L541"/>
      <c r="M541"/>
    </row>
    <row r="542" spans="1:13">
      <c r="A542" s="2" t="s">
        <v>832</v>
      </c>
      <c r="B542" t="s">
        <v>1749</v>
      </c>
      <c r="C542" t="s">
        <v>1728</v>
      </c>
      <c r="D542" t="s">
        <v>1738</v>
      </c>
      <c r="K542"/>
      <c r="L542"/>
      <c r="M542"/>
    </row>
    <row r="543" spans="1:13">
      <c r="A543" s="2" t="s">
        <v>830</v>
      </c>
      <c r="B543" t="s">
        <v>1749</v>
      </c>
      <c r="C543" t="s">
        <v>1728</v>
      </c>
      <c r="D543" t="s">
        <v>1742</v>
      </c>
      <c r="K543"/>
      <c r="L543"/>
      <c r="M543"/>
    </row>
    <row r="544" spans="1:13">
      <c r="A544" s="2" t="s">
        <v>831</v>
      </c>
      <c r="B544" t="s">
        <v>1749</v>
      </c>
      <c r="C544" t="s">
        <v>1728</v>
      </c>
      <c r="D544" t="s">
        <v>1732</v>
      </c>
      <c r="K544"/>
      <c r="L544"/>
      <c r="M544"/>
    </row>
    <row r="545" spans="1:13">
      <c r="A545" s="2" t="s">
        <v>829</v>
      </c>
      <c r="B545" t="s">
        <v>1749</v>
      </c>
      <c r="C545" t="s">
        <v>1728</v>
      </c>
      <c r="D545" t="s">
        <v>1741</v>
      </c>
      <c r="K545"/>
      <c r="L545"/>
      <c r="M545"/>
    </row>
    <row r="546" spans="1:13">
      <c r="A546" s="2" t="s">
        <v>834</v>
      </c>
      <c r="B546" t="s">
        <v>1749</v>
      </c>
      <c r="C546" t="s">
        <v>1728</v>
      </c>
      <c r="D546" t="s">
        <v>1733</v>
      </c>
      <c r="K546"/>
      <c r="L546"/>
      <c r="M546"/>
    </row>
    <row r="547" spans="1:13">
      <c r="A547" s="2" t="s">
        <v>835</v>
      </c>
      <c r="B547" t="s">
        <v>1749</v>
      </c>
      <c r="C547" t="s">
        <v>1728</v>
      </c>
      <c r="D547" t="s">
        <v>1743</v>
      </c>
      <c r="K547"/>
      <c r="L547"/>
      <c r="M547"/>
    </row>
    <row r="548" spans="1:13">
      <c r="A548" s="2" t="s">
        <v>833</v>
      </c>
      <c r="B548" t="s">
        <v>1749</v>
      </c>
      <c r="C548" t="s">
        <v>1728</v>
      </c>
      <c r="D548" t="s">
        <v>1739</v>
      </c>
      <c r="K548"/>
      <c r="L548"/>
      <c r="M548"/>
    </row>
    <row r="549" spans="1:13">
      <c r="A549" s="2" t="s">
        <v>840</v>
      </c>
      <c r="B549" t="s">
        <v>1749</v>
      </c>
      <c r="C549" t="s">
        <v>1728</v>
      </c>
      <c r="D549" t="s">
        <v>1738</v>
      </c>
      <c r="K549"/>
      <c r="L549"/>
      <c r="M549"/>
    </row>
    <row r="550" spans="1:13">
      <c r="A550" s="2" t="s">
        <v>837</v>
      </c>
      <c r="B550" t="s">
        <v>1749</v>
      </c>
      <c r="C550" t="s">
        <v>1728</v>
      </c>
      <c r="D550" t="s">
        <v>1742</v>
      </c>
      <c r="K550"/>
      <c r="L550"/>
      <c r="M550"/>
    </row>
    <row r="551" spans="1:13">
      <c r="A551" s="2" t="s">
        <v>838</v>
      </c>
      <c r="B551" t="s">
        <v>1749</v>
      </c>
      <c r="C551" t="s">
        <v>1728</v>
      </c>
      <c r="D551" t="s">
        <v>1732</v>
      </c>
      <c r="K551"/>
      <c r="L551"/>
      <c r="M551"/>
    </row>
    <row r="552" spans="1:13">
      <c r="A552" s="2" t="s">
        <v>839</v>
      </c>
      <c r="B552" t="s">
        <v>1749</v>
      </c>
      <c r="C552" t="s">
        <v>1728</v>
      </c>
      <c r="D552" t="s">
        <v>1732</v>
      </c>
      <c r="K552"/>
      <c r="L552"/>
      <c r="M552"/>
    </row>
    <row r="553" spans="1:13">
      <c r="A553" s="2" t="s">
        <v>836</v>
      </c>
      <c r="B553" t="s">
        <v>1749</v>
      </c>
      <c r="C553" t="s">
        <v>1728</v>
      </c>
      <c r="D553" t="s">
        <v>1740</v>
      </c>
      <c r="K553"/>
      <c r="L553"/>
      <c r="M553"/>
    </row>
    <row r="554" spans="1:13">
      <c r="A554" s="2" t="s">
        <v>843</v>
      </c>
      <c r="B554" t="s">
        <v>1749</v>
      </c>
      <c r="C554" t="s">
        <v>1728</v>
      </c>
      <c r="D554" t="s">
        <v>1733</v>
      </c>
      <c r="K554"/>
      <c r="L554"/>
      <c r="M554"/>
    </row>
    <row r="555" spans="1:13">
      <c r="A555" s="2" t="s">
        <v>844</v>
      </c>
      <c r="B555" t="s">
        <v>1749</v>
      </c>
      <c r="C555" t="s">
        <v>1728</v>
      </c>
      <c r="D555" t="s">
        <v>1743</v>
      </c>
      <c r="K555"/>
      <c r="L555"/>
      <c r="M555"/>
    </row>
    <row r="556" spans="1:13">
      <c r="A556" s="2" t="s">
        <v>851</v>
      </c>
      <c r="B556" t="s">
        <v>1749</v>
      </c>
      <c r="C556" t="s">
        <v>1728</v>
      </c>
      <c r="D556" t="s">
        <v>1732</v>
      </c>
      <c r="K556"/>
      <c r="L556"/>
      <c r="M556"/>
    </row>
    <row r="557" spans="1:13">
      <c r="A557" s="2" t="s">
        <v>853</v>
      </c>
      <c r="B557" t="s">
        <v>1749</v>
      </c>
      <c r="C557" t="s">
        <v>1728</v>
      </c>
      <c r="D557" t="s">
        <v>1734</v>
      </c>
      <c r="K557"/>
      <c r="L557"/>
      <c r="M557"/>
    </row>
    <row r="558" spans="1:13">
      <c r="A558" s="2" t="s">
        <v>852</v>
      </c>
      <c r="B558" t="s">
        <v>1749</v>
      </c>
      <c r="C558" t="s">
        <v>1728</v>
      </c>
      <c r="D558" t="s">
        <v>1736</v>
      </c>
      <c r="K558"/>
      <c r="L558"/>
      <c r="M558"/>
    </row>
    <row r="559" spans="1:13">
      <c r="A559" s="2" t="s">
        <v>841</v>
      </c>
      <c r="B559" t="s">
        <v>1749</v>
      </c>
      <c r="C559" t="s">
        <v>1728</v>
      </c>
      <c r="D559" t="s">
        <v>1739</v>
      </c>
      <c r="K559"/>
      <c r="L559"/>
      <c r="M559"/>
    </row>
    <row r="560" spans="1:13">
      <c r="A560" s="2" t="s">
        <v>846</v>
      </c>
      <c r="B560" t="s">
        <v>1749</v>
      </c>
      <c r="C560" t="s">
        <v>1728</v>
      </c>
      <c r="D560" t="s">
        <v>1744</v>
      </c>
      <c r="K560"/>
      <c r="L560"/>
      <c r="M560"/>
    </row>
    <row r="561" spans="1:13">
      <c r="A561" s="2" t="s">
        <v>842</v>
      </c>
      <c r="B561" t="s">
        <v>1749</v>
      </c>
      <c r="C561" t="s">
        <v>1728</v>
      </c>
      <c r="D561" t="s">
        <v>1745</v>
      </c>
      <c r="K561"/>
      <c r="L561"/>
      <c r="M561"/>
    </row>
    <row r="562" spans="1:13">
      <c r="A562" s="2" t="s">
        <v>849</v>
      </c>
      <c r="B562" t="s">
        <v>1749</v>
      </c>
      <c r="C562" t="s">
        <v>1728</v>
      </c>
      <c r="D562" t="s">
        <v>1738</v>
      </c>
      <c r="K562"/>
      <c r="L562"/>
      <c r="M562"/>
    </row>
    <row r="563" spans="1:13">
      <c r="A563" s="2" t="s">
        <v>850</v>
      </c>
      <c r="B563" t="s">
        <v>1749</v>
      </c>
      <c r="C563" t="s">
        <v>1728</v>
      </c>
      <c r="D563" t="s">
        <v>1738</v>
      </c>
      <c r="K563"/>
      <c r="L563"/>
      <c r="M563"/>
    </row>
    <row r="564" spans="1:13">
      <c r="A564" s="2" t="s">
        <v>847</v>
      </c>
      <c r="B564" t="s">
        <v>1749</v>
      </c>
      <c r="C564" t="s">
        <v>1728</v>
      </c>
      <c r="D564" t="s">
        <v>1732</v>
      </c>
      <c r="K564"/>
      <c r="L564"/>
      <c r="M564"/>
    </row>
    <row r="565" spans="1:13">
      <c r="A565" s="2" t="s">
        <v>848</v>
      </c>
      <c r="B565" t="s">
        <v>1749</v>
      </c>
      <c r="C565" t="s">
        <v>1728</v>
      </c>
      <c r="D565" t="s">
        <v>1732</v>
      </c>
      <c r="K565"/>
      <c r="L565"/>
      <c r="M565"/>
    </row>
    <row r="566" spans="1:13">
      <c r="A566" s="2" t="s">
        <v>845</v>
      </c>
      <c r="B566" t="s">
        <v>1749</v>
      </c>
      <c r="C566" t="s">
        <v>1728</v>
      </c>
      <c r="D566" t="s">
        <v>1740</v>
      </c>
      <c r="K566"/>
      <c r="L566"/>
      <c r="M566"/>
    </row>
    <row r="567" spans="1:13">
      <c r="A567" s="2" t="s">
        <v>856</v>
      </c>
      <c r="B567" t="s">
        <v>1749</v>
      </c>
      <c r="C567" t="s">
        <v>1728</v>
      </c>
      <c r="D567" t="s">
        <v>1733</v>
      </c>
      <c r="K567"/>
      <c r="L567"/>
      <c r="M567"/>
    </row>
    <row r="568" spans="1:13">
      <c r="A568" s="2" t="s">
        <v>857</v>
      </c>
      <c r="B568" t="s">
        <v>1749</v>
      </c>
      <c r="C568" t="s">
        <v>1728</v>
      </c>
      <c r="D568" t="s">
        <v>1735</v>
      </c>
      <c r="K568"/>
      <c r="L568"/>
      <c r="M568"/>
    </row>
    <row r="569" spans="1:13">
      <c r="A569" s="2" t="s">
        <v>864</v>
      </c>
      <c r="B569" t="s">
        <v>1749</v>
      </c>
      <c r="C569" t="s">
        <v>1728</v>
      </c>
      <c r="D569" t="s">
        <v>1732</v>
      </c>
      <c r="K569"/>
      <c r="L569"/>
      <c r="M569"/>
    </row>
    <row r="570" spans="1:13">
      <c r="A570" s="2" t="s">
        <v>866</v>
      </c>
      <c r="B570" t="s">
        <v>1749</v>
      </c>
      <c r="C570" t="s">
        <v>1728</v>
      </c>
      <c r="D570" t="s">
        <v>1734</v>
      </c>
      <c r="K570"/>
      <c r="L570"/>
      <c r="M570"/>
    </row>
    <row r="571" spans="1:13">
      <c r="A571" s="2" t="s">
        <v>865</v>
      </c>
      <c r="B571" t="s">
        <v>1749</v>
      </c>
      <c r="C571" t="s">
        <v>1728</v>
      </c>
      <c r="D571" t="s">
        <v>1736</v>
      </c>
      <c r="K571"/>
      <c r="L571"/>
      <c r="M571"/>
    </row>
    <row r="572" spans="1:13">
      <c r="A572" s="2" t="s">
        <v>867</v>
      </c>
      <c r="B572" t="s">
        <v>1749</v>
      </c>
      <c r="C572" t="s">
        <v>1728</v>
      </c>
      <c r="D572" t="s">
        <v>1737</v>
      </c>
      <c r="K572"/>
      <c r="L572"/>
      <c r="M572"/>
    </row>
    <row r="573" spans="1:13">
      <c r="A573" s="2" t="s">
        <v>854</v>
      </c>
      <c r="B573" t="s">
        <v>1749</v>
      </c>
      <c r="C573" t="s">
        <v>1728</v>
      </c>
      <c r="D573" t="s">
        <v>1739</v>
      </c>
      <c r="K573"/>
      <c r="L573"/>
      <c r="M573"/>
    </row>
    <row r="574" spans="1:13">
      <c r="A574" s="2" t="s">
        <v>859</v>
      </c>
      <c r="B574" t="s">
        <v>1749</v>
      </c>
      <c r="C574" t="s">
        <v>1728</v>
      </c>
      <c r="D574" t="s">
        <v>1744</v>
      </c>
      <c r="K574"/>
      <c r="L574"/>
      <c r="M574"/>
    </row>
    <row r="575" spans="1:13">
      <c r="A575" s="2" t="s">
        <v>855</v>
      </c>
      <c r="B575" t="s">
        <v>1749</v>
      </c>
      <c r="C575" t="s">
        <v>1728</v>
      </c>
      <c r="D575" t="s">
        <v>1745</v>
      </c>
      <c r="K575"/>
      <c r="L575"/>
      <c r="M575"/>
    </row>
    <row r="576" spans="1:13">
      <c r="A576" s="2" t="s">
        <v>862</v>
      </c>
      <c r="B576" t="s">
        <v>1749</v>
      </c>
      <c r="C576" t="s">
        <v>1728</v>
      </c>
      <c r="D576" t="s">
        <v>1738</v>
      </c>
      <c r="K576"/>
      <c r="L576"/>
      <c r="M576"/>
    </row>
    <row r="577" spans="1:13">
      <c r="A577" s="2" t="s">
        <v>863</v>
      </c>
      <c r="B577" t="s">
        <v>1749</v>
      </c>
      <c r="C577" t="s">
        <v>1728</v>
      </c>
      <c r="D577" t="s">
        <v>1738</v>
      </c>
      <c r="K577"/>
      <c r="L577"/>
      <c r="M577"/>
    </row>
    <row r="578" spans="1:13">
      <c r="A578" s="2" t="s">
        <v>860</v>
      </c>
      <c r="B578" t="s">
        <v>1749</v>
      </c>
      <c r="C578" t="s">
        <v>1728</v>
      </c>
      <c r="D578" t="s">
        <v>1732</v>
      </c>
      <c r="K578"/>
      <c r="L578"/>
      <c r="M578"/>
    </row>
    <row r="579" spans="1:13">
      <c r="A579" s="2" t="s">
        <v>861</v>
      </c>
      <c r="B579" t="s">
        <v>1749</v>
      </c>
      <c r="C579" t="s">
        <v>1728</v>
      </c>
      <c r="D579" t="s">
        <v>1732</v>
      </c>
      <c r="K579"/>
      <c r="L579"/>
      <c r="M579"/>
    </row>
    <row r="580" spans="1:13">
      <c r="A580" s="2" t="s">
        <v>868</v>
      </c>
      <c r="B580" t="s">
        <v>1749</v>
      </c>
      <c r="C580" t="s">
        <v>1727</v>
      </c>
      <c r="D580" t="s">
        <v>1731</v>
      </c>
      <c r="K580"/>
      <c r="L580"/>
      <c r="M580"/>
    </row>
    <row r="581" spans="1:13">
      <c r="A581" s="2" t="s">
        <v>858</v>
      </c>
      <c r="B581" t="s">
        <v>1749</v>
      </c>
      <c r="C581" t="s">
        <v>1728</v>
      </c>
      <c r="D581" t="s">
        <v>1740</v>
      </c>
      <c r="K581"/>
      <c r="L581"/>
      <c r="M581"/>
    </row>
    <row r="582" spans="1:13">
      <c r="A582" s="2" t="s">
        <v>871</v>
      </c>
      <c r="B582" t="s">
        <v>1749</v>
      </c>
      <c r="C582" t="s">
        <v>1728</v>
      </c>
      <c r="D582" t="s">
        <v>1733</v>
      </c>
      <c r="K582"/>
      <c r="L582"/>
      <c r="M582"/>
    </row>
    <row r="583" spans="1:13">
      <c r="A583" s="2" t="s">
        <v>872</v>
      </c>
      <c r="B583" t="s">
        <v>1749</v>
      </c>
      <c r="C583" t="s">
        <v>1728</v>
      </c>
      <c r="D583" t="s">
        <v>1735</v>
      </c>
      <c r="K583"/>
      <c r="L583"/>
      <c r="M583"/>
    </row>
    <row r="584" spans="1:13">
      <c r="A584" s="2" t="s">
        <v>879</v>
      </c>
      <c r="B584" t="s">
        <v>1749</v>
      </c>
      <c r="C584" t="s">
        <v>1728</v>
      </c>
      <c r="D584" t="s">
        <v>1732</v>
      </c>
      <c r="K584"/>
      <c r="L584"/>
      <c r="M584"/>
    </row>
    <row r="585" spans="1:13">
      <c r="A585" s="2" t="s">
        <v>881</v>
      </c>
      <c r="B585" t="s">
        <v>1749</v>
      </c>
      <c r="C585" t="s">
        <v>1728</v>
      </c>
      <c r="D585" t="s">
        <v>1734</v>
      </c>
      <c r="K585"/>
      <c r="L585"/>
      <c r="M585"/>
    </row>
    <row r="586" spans="1:13">
      <c r="A586" s="2" t="s">
        <v>880</v>
      </c>
      <c r="B586" t="s">
        <v>1749</v>
      </c>
      <c r="C586" t="s">
        <v>1728</v>
      </c>
      <c r="D586" t="s">
        <v>1736</v>
      </c>
      <c r="K586"/>
      <c r="L586"/>
      <c r="M586"/>
    </row>
    <row r="587" spans="1:13">
      <c r="A587" s="2" t="s">
        <v>882</v>
      </c>
      <c r="B587" t="s">
        <v>1749</v>
      </c>
      <c r="C587" t="s">
        <v>1728</v>
      </c>
      <c r="D587" t="s">
        <v>1737</v>
      </c>
      <c r="K587"/>
      <c r="L587"/>
      <c r="M587"/>
    </row>
    <row r="588" spans="1:13">
      <c r="A588" s="2" t="s">
        <v>869</v>
      </c>
      <c r="B588" t="s">
        <v>1749</v>
      </c>
      <c r="C588" t="s">
        <v>1728</v>
      </c>
      <c r="D588" t="s">
        <v>1739</v>
      </c>
      <c r="K588"/>
      <c r="L588"/>
      <c r="M588"/>
    </row>
    <row r="589" spans="1:13">
      <c r="A589" s="2" t="s">
        <v>874</v>
      </c>
      <c r="B589" t="s">
        <v>1749</v>
      </c>
      <c r="C589" t="s">
        <v>1728</v>
      </c>
      <c r="D589" t="s">
        <v>1744</v>
      </c>
      <c r="K589"/>
      <c r="L589"/>
      <c r="M589"/>
    </row>
    <row r="590" spans="1:13">
      <c r="A590" s="2" t="s">
        <v>870</v>
      </c>
      <c r="B590" t="s">
        <v>1749</v>
      </c>
      <c r="C590" t="s">
        <v>1728</v>
      </c>
      <c r="D590" t="s">
        <v>1745</v>
      </c>
      <c r="K590"/>
      <c r="L590"/>
      <c r="M590"/>
    </row>
    <row r="591" spans="1:13">
      <c r="A591" s="2" t="s">
        <v>877</v>
      </c>
      <c r="B591" t="s">
        <v>1749</v>
      </c>
      <c r="C591" t="s">
        <v>1728</v>
      </c>
      <c r="D591" t="s">
        <v>1738</v>
      </c>
      <c r="K591"/>
      <c r="L591"/>
      <c r="M591"/>
    </row>
    <row r="592" spans="1:13">
      <c r="A592" s="2" t="s">
        <v>878</v>
      </c>
      <c r="B592" t="s">
        <v>1749</v>
      </c>
      <c r="C592" t="s">
        <v>1728</v>
      </c>
      <c r="D592" t="s">
        <v>1738</v>
      </c>
      <c r="K592"/>
      <c r="L592"/>
      <c r="M592"/>
    </row>
    <row r="593" spans="1:13">
      <c r="A593" s="2" t="s">
        <v>875</v>
      </c>
      <c r="B593" t="s">
        <v>1749</v>
      </c>
      <c r="C593" t="s">
        <v>1728</v>
      </c>
      <c r="D593" t="s">
        <v>1732</v>
      </c>
      <c r="K593"/>
      <c r="L593"/>
      <c r="M593"/>
    </row>
    <row r="594" spans="1:13">
      <c r="A594" s="2" t="s">
        <v>876</v>
      </c>
      <c r="B594" t="s">
        <v>1749</v>
      </c>
      <c r="C594" t="s">
        <v>1728</v>
      </c>
      <c r="D594" t="s">
        <v>1732</v>
      </c>
      <c r="K594"/>
      <c r="L594"/>
      <c r="M594"/>
    </row>
    <row r="595" spans="1:13">
      <c r="A595" s="2" t="s">
        <v>883</v>
      </c>
      <c r="B595" t="s">
        <v>1749</v>
      </c>
      <c r="C595" t="s">
        <v>1727</v>
      </c>
      <c r="D595" t="s">
        <v>1731</v>
      </c>
      <c r="K595"/>
      <c r="L595"/>
      <c r="M595"/>
    </row>
    <row r="596" spans="1:13">
      <c r="A596" s="2" t="s">
        <v>873</v>
      </c>
      <c r="B596" t="s">
        <v>1749</v>
      </c>
      <c r="C596" t="s">
        <v>1728</v>
      </c>
      <c r="D596" t="s">
        <v>1740</v>
      </c>
      <c r="K596"/>
      <c r="L596"/>
      <c r="M596"/>
    </row>
    <row r="597" spans="1:13">
      <c r="A597" s="2" t="s">
        <v>898</v>
      </c>
      <c r="B597" t="s">
        <v>1749</v>
      </c>
      <c r="C597" t="s">
        <v>1728</v>
      </c>
      <c r="D597" t="s">
        <v>1752</v>
      </c>
      <c r="K597"/>
      <c r="L597"/>
      <c r="M597"/>
    </row>
    <row r="598" spans="1:13">
      <c r="A598" s="2" t="s">
        <v>899</v>
      </c>
      <c r="B598" t="s">
        <v>1749</v>
      </c>
      <c r="C598" t="s">
        <v>1728</v>
      </c>
      <c r="D598" t="s">
        <v>1752</v>
      </c>
      <c r="K598"/>
      <c r="L598"/>
      <c r="M598"/>
    </row>
    <row r="599" spans="1:13">
      <c r="A599" s="2" t="s">
        <v>612</v>
      </c>
      <c r="B599" t="s">
        <v>1749</v>
      </c>
      <c r="C599" t="s">
        <v>1722</v>
      </c>
      <c r="D599" t="s">
        <v>1732</v>
      </c>
      <c r="K599"/>
      <c r="L599"/>
      <c r="M599"/>
    </row>
    <row r="600" spans="1:13">
      <c r="A600" s="2" t="s">
        <v>62</v>
      </c>
      <c r="B600" t="s">
        <v>1749</v>
      </c>
      <c r="C600" t="s">
        <v>1722</v>
      </c>
      <c r="D600" t="s">
        <v>1732</v>
      </c>
      <c r="K600"/>
      <c r="L600"/>
      <c r="M600"/>
    </row>
    <row r="601" spans="1:13">
      <c r="A601" s="2" t="s">
        <v>33</v>
      </c>
      <c r="B601" t="s">
        <v>1749</v>
      </c>
      <c r="C601" t="s">
        <v>1722</v>
      </c>
      <c r="D601" t="s">
        <v>1732</v>
      </c>
      <c r="K601"/>
      <c r="L601"/>
      <c r="M601"/>
    </row>
    <row r="602" spans="1:13">
      <c r="A602" s="2" t="s">
        <v>55</v>
      </c>
      <c r="B602" t="s">
        <v>1749</v>
      </c>
      <c r="C602" t="s">
        <v>1722</v>
      </c>
      <c r="D602" t="s">
        <v>1732</v>
      </c>
      <c r="K602"/>
      <c r="L602"/>
      <c r="M602"/>
    </row>
    <row r="603" spans="1:13">
      <c r="A603" s="2" t="s">
        <v>50</v>
      </c>
      <c r="B603" t="s">
        <v>1749</v>
      </c>
      <c r="C603" t="s">
        <v>1722</v>
      </c>
      <c r="D603" t="s">
        <v>1732</v>
      </c>
      <c r="K603"/>
      <c r="L603"/>
      <c r="M603"/>
    </row>
    <row r="604" spans="1:13">
      <c r="A604" s="2" t="s">
        <v>37</v>
      </c>
      <c r="B604" t="s">
        <v>1749</v>
      </c>
      <c r="C604" t="s">
        <v>1722</v>
      </c>
      <c r="D604" t="s">
        <v>1732</v>
      </c>
      <c r="K604"/>
      <c r="L604"/>
      <c r="M604"/>
    </row>
    <row r="605" spans="1:13">
      <c r="A605" s="2" t="s">
        <v>45</v>
      </c>
      <c r="B605" t="s">
        <v>1749</v>
      </c>
      <c r="C605" t="s">
        <v>1722</v>
      </c>
      <c r="D605" t="s">
        <v>1732</v>
      </c>
      <c r="K605"/>
      <c r="L605"/>
      <c r="M605"/>
    </row>
    <row r="606" spans="1:13">
      <c r="A606" s="2" t="s">
        <v>64</v>
      </c>
      <c r="B606" t="s">
        <v>1749</v>
      </c>
      <c r="C606" t="s">
        <v>1722</v>
      </c>
      <c r="D606" t="s">
        <v>1732</v>
      </c>
      <c r="K606"/>
      <c r="L606"/>
      <c r="M606"/>
    </row>
    <row r="607" spans="1:13">
      <c r="A607" s="2" t="s">
        <v>65</v>
      </c>
      <c r="B607" t="s">
        <v>1749</v>
      </c>
      <c r="C607" t="s">
        <v>1722</v>
      </c>
      <c r="D607" t="s">
        <v>1732</v>
      </c>
      <c r="K607"/>
      <c r="L607"/>
      <c r="M607"/>
    </row>
    <row r="608" spans="1:13">
      <c r="A608" s="2" t="s">
        <v>611</v>
      </c>
      <c r="B608" t="s">
        <v>1749</v>
      </c>
      <c r="C608" t="s">
        <v>1722</v>
      </c>
      <c r="D608" t="s">
        <v>1732</v>
      </c>
      <c r="K608"/>
      <c r="L608"/>
      <c r="M608"/>
    </row>
    <row r="609" spans="1:13">
      <c r="A609" s="2" t="s">
        <v>47</v>
      </c>
      <c r="B609" t="s">
        <v>1749</v>
      </c>
      <c r="C609" t="s">
        <v>1722</v>
      </c>
      <c r="D609" t="s">
        <v>1732</v>
      </c>
      <c r="K609"/>
      <c r="L609"/>
      <c r="M609"/>
    </row>
    <row r="610" spans="1:13">
      <c r="A610" s="2" t="s">
        <v>70</v>
      </c>
      <c r="B610" t="s">
        <v>1749</v>
      </c>
      <c r="C610" t="s">
        <v>1722</v>
      </c>
      <c r="D610" t="s">
        <v>1732</v>
      </c>
      <c r="K610"/>
      <c r="L610"/>
      <c r="M610"/>
    </row>
    <row r="611" spans="1:13">
      <c r="A611" s="2" t="s">
        <v>56</v>
      </c>
      <c r="B611" t="s">
        <v>1749</v>
      </c>
      <c r="C611" t="s">
        <v>1722</v>
      </c>
      <c r="D611" t="s">
        <v>1732</v>
      </c>
      <c r="K611"/>
      <c r="L611"/>
      <c r="M611"/>
    </row>
    <row r="612" spans="1:13">
      <c r="A612" s="2" t="s">
        <v>60</v>
      </c>
      <c r="B612" t="s">
        <v>1749</v>
      </c>
      <c r="C612" t="s">
        <v>1722</v>
      </c>
      <c r="D612" t="s">
        <v>1732</v>
      </c>
      <c r="K612"/>
      <c r="L612"/>
      <c r="M612"/>
    </row>
    <row r="613" spans="1:13">
      <c r="A613" s="2" t="s">
        <v>58</v>
      </c>
      <c r="B613" t="s">
        <v>1749</v>
      </c>
      <c r="C613" t="s">
        <v>1722</v>
      </c>
      <c r="D613" t="s">
        <v>1732</v>
      </c>
      <c r="K613"/>
      <c r="L613"/>
      <c r="M613"/>
    </row>
    <row r="614" spans="1:13">
      <c r="A614" s="2" t="s">
        <v>613</v>
      </c>
      <c r="B614" t="s">
        <v>1749</v>
      </c>
      <c r="C614" t="s">
        <v>1722</v>
      </c>
      <c r="D614" t="s">
        <v>1732</v>
      </c>
      <c r="K614"/>
      <c r="L614"/>
      <c r="M614"/>
    </row>
    <row r="615" spans="1:13">
      <c r="A615" s="2" t="s">
        <v>69</v>
      </c>
      <c r="B615" t="s">
        <v>1749</v>
      </c>
      <c r="C615" t="s">
        <v>1722</v>
      </c>
      <c r="D615" t="s">
        <v>1732</v>
      </c>
      <c r="K615"/>
      <c r="L615"/>
      <c r="M615"/>
    </row>
    <row r="616" spans="1:13">
      <c r="A616" s="2" t="s">
        <v>665</v>
      </c>
      <c r="B616" t="s">
        <v>1749</v>
      </c>
      <c r="C616" t="s">
        <v>1722</v>
      </c>
      <c r="D616" t="s">
        <v>1732</v>
      </c>
      <c r="K616"/>
      <c r="L616"/>
      <c r="M616"/>
    </row>
    <row r="617" spans="1:13">
      <c r="A617" s="2" t="s">
        <v>54</v>
      </c>
      <c r="B617" t="s">
        <v>1749</v>
      </c>
      <c r="C617" t="s">
        <v>1722</v>
      </c>
      <c r="D617" t="s">
        <v>1732</v>
      </c>
      <c r="K617"/>
      <c r="L617"/>
      <c r="M617"/>
    </row>
    <row r="618" spans="1:13">
      <c r="A618" s="2" t="s">
        <v>48</v>
      </c>
      <c r="B618" t="s">
        <v>1749</v>
      </c>
      <c r="C618" t="s">
        <v>1722</v>
      </c>
      <c r="D618" t="s">
        <v>1732</v>
      </c>
      <c r="K618"/>
      <c r="L618"/>
      <c r="M618"/>
    </row>
    <row r="619" spans="1:13">
      <c r="A619" s="2" t="s">
        <v>35</v>
      </c>
      <c r="B619" t="s">
        <v>1749</v>
      </c>
      <c r="C619" t="s">
        <v>1722</v>
      </c>
      <c r="D619" t="s">
        <v>1732</v>
      </c>
      <c r="K619"/>
      <c r="L619"/>
      <c r="M619"/>
    </row>
    <row r="620" spans="1:13">
      <c r="A620" s="2" t="s">
        <v>41</v>
      </c>
      <c r="B620" t="s">
        <v>1749</v>
      </c>
      <c r="C620" t="s">
        <v>1722</v>
      </c>
      <c r="D620" t="s">
        <v>1732</v>
      </c>
      <c r="K620"/>
      <c r="L620"/>
      <c r="M620"/>
    </row>
    <row r="621" spans="1:13">
      <c r="A621" s="2" t="s">
        <v>42</v>
      </c>
      <c r="B621" t="s">
        <v>1749</v>
      </c>
      <c r="C621" t="s">
        <v>1722</v>
      </c>
      <c r="D621" t="s">
        <v>1732</v>
      </c>
      <c r="K621"/>
      <c r="L621"/>
      <c r="M621"/>
    </row>
    <row r="622" spans="1:13">
      <c r="A622" s="2" t="s">
        <v>52</v>
      </c>
      <c r="B622" t="s">
        <v>1749</v>
      </c>
      <c r="C622" t="s">
        <v>1725</v>
      </c>
      <c r="D622" t="s">
        <v>1731</v>
      </c>
      <c r="K622"/>
      <c r="L622"/>
      <c r="M622"/>
    </row>
    <row r="623" spans="1:13">
      <c r="A623" s="2" t="s">
        <v>57</v>
      </c>
      <c r="B623" t="s">
        <v>1749</v>
      </c>
      <c r="C623" t="s">
        <v>1729</v>
      </c>
      <c r="D623" t="s">
        <v>1732</v>
      </c>
      <c r="K623"/>
      <c r="L623"/>
      <c r="M623"/>
    </row>
    <row r="624" spans="1:13">
      <c r="A624" s="2" t="s">
        <v>66</v>
      </c>
      <c r="B624" t="s">
        <v>1749</v>
      </c>
      <c r="C624" t="s">
        <v>1722</v>
      </c>
      <c r="D624" t="s">
        <v>1732</v>
      </c>
      <c r="K624"/>
      <c r="L624"/>
      <c r="M624"/>
    </row>
    <row r="625" spans="1:13">
      <c r="A625" s="2" t="s">
        <v>71</v>
      </c>
      <c r="B625" t="s">
        <v>1749</v>
      </c>
      <c r="C625" t="s">
        <v>1722</v>
      </c>
      <c r="D625" t="s">
        <v>1732</v>
      </c>
      <c r="K625"/>
      <c r="L625"/>
      <c r="M625"/>
    </row>
    <row r="626" spans="1:13">
      <c r="A626" s="2" t="s">
        <v>610</v>
      </c>
      <c r="B626" t="s">
        <v>1749</v>
      </c>
      <c r="C626" t="s">
        <v>1722</v>
      </c>
      <c r="D626" t="s">
        <v>1732</v>
      </c>
      <c r="K626"/>
      <c r="L626"/>
      <c r="M626"/>
    </row>
    <row r="627" spans="1:13">
      <c r="A627" s="2" t="s">
        <v>609</v>
      </c>
      <c r="B627" t="s">
        <v>1749</v>
      </c>
      <c r="C627" t="s">
        <v>1722</v>
      </c>
      <c r="D627" t="s">
        <v>1732</v>
      </c>
      <c r="K627"/>
      <c r="L627"/>
      <c r="M627"/>
    </row>
    <row r="628" spans="1:13">
      <c r="A628" s="2" t="s">
        <v>49</v>
      </c>
      <c r="B628" t="s">
        <v>1749</v>
      </c>
      <c r="C628" t="s">
        <v>1722</v>
      </c>
      <c r="D628" t="s">
        <v>1732</v>
      </c>
      <c r="K628"/>
      <c r="L628"/>
      <c r="M628"/>
    </row>
    <row r="629" spans="1:13">
      <c r="A629" s="2" t="s">
        <v>43</v>
      </c>
      <c r="B629" t="s">
        <v>1749</v>
      </c>
      <c r="C629" t="s">
        <v>1722</v>
      </c>
      <c r="D629" t="s">
        <v>1732</v>
      </c>
      <c r="K629"/>
      <c r="L629"/>
      <c r="M629"/>
    </row>
    <row r="630" spans="1:13">
      <c r="A630" s="2" t="s">
        <v>44</v>
      </c>
      <c r="B630" t="s">
        <v>1749</v>
      </c>
      <c r="C630" t="s">
        <v>1722</v>
      </c>
      <c r="D630" t="s">
        <v>1732</v>
      </c>
      <c r="K630"/>
      <c r="L630"/>
      <c r="M630"/>
    </row>
    <row r="631" spans="1:13">
      <c r="A631" s="2" t="s">
        <v>61</v>
      </c>
      <c r="B631" t="s">
        <v>1749</v>
      </c>
      <c r="C631" t="s">
        <v>1722</v>
      </c>
      <c r="D631" t="s">
        <v>1732</v>
      </c>
      <c r="K631"/>
      <c r="L631"/>
      <c r="M631"/>
    </row>
    <row r="632" spans="1:13">
      <c r="A632" s="2" t="s">
        <v>38</v>
      </c>
      <c r="B632" t="s">
        <v>1749</v>
      </c>
      <c r="C632" t="s">
        <v>1722</v>
      </c>
      <c r="D632" t="s">
        <v>1732</v>
      </c>
      <c r="K632"/>
      <c r="L632"/>
      <c r="M632"/>
    </row>
    <row r="633" spans="1:13">
      <c r="A633" s="2" t="s">
        <v>59</v>
      </c>
      <c r="B633" t="s">
        <v>1749</v>
      </c>
      <c r="C633" t="s">
        <v>1722</v>
      </c>
      <c r="D633" t="s">
        <v>1732</v>
      </c>
      <c r="K633"/>
      <c r="L633"/>
      <c r="M633"/>
    </row>
    <row r="634" spans="1:13">
      <c r="A634" s="2" t="s">
        <v>39</v>
      </c>
      <c r="B634" t="s">
        <v>1749</v>
      </c>
      <c r="C634" t="s">
        <v>1722</v>
      </c>
      <c r="D634" t="s">
        <v>1732</v>
      </c>
      <c r="K634"/>
      <c r="L634"/>
      <c r="M634"/>
    </row>
    <row r="635" spans="1:13">
      <c r="A635" s="2" t="s">
        <v>63</v>
      </c>
      <c r="B635" t="s">
        <v>1749</v>
      </c>
      <c r="C635" t="s">
        <v>1722</v>
      </c>
      <c r="D635" t="s">
        <v>1732</v>
      </c>
      <c r="K635"/>
      <c r="L635"/>
      <c r="M635"/>
    </row>
    <row r="636" spans="1:13">
      <c r="A636" s="2" t="s">
        <v>666</v>
      </c>
      <c r="B636" t="s">
        <v>1749</v>
      </c>
      <c r="C636" t="s">
        <v>1722</v>
      </c>
      <c r="D636" t="s">
        <v>1732</v>
      </c>
      <c r="K636"/>
      <c r="L636"/>
      <c r="M636"/>
    </row>
    <row r="637" spans="1:13">
      <c r="A637" s="2" t="s">
        <v>67</v>
      </c>
      <c r="B637" t="s">
        <v>1749</v>
      </c>
      <c r="C637" t="s">
        <v>1722</v>
      </c>
      <c r="D637" t="s">
        <v>1732</v>
      </c>
      <c r="K637"/>
      <c r="L637"/>
      <c r="M637"/>
    </row>
    <row r="638" spans="1:13">
      <c r="A638" s="2" t="s">
        <v>53</v>
      </c>
      <c r="B638" t="s">
        <v>1749</v>
      </c>
      <c r="C638" t="s">
        <v>1722</v>
      </c>
      <c r="D638" t="s">
        <v>1732</v>
      </c>
      <c r="K638"/>
      <c r="L638"/>
      <c r="M638"/>
    </row>
    <row r="639" spans="1:13">
      <c r="A639" s="2" t="s">
        <v>46</v>
      </c>
      <c r="B639" t="s">
        <v>1749</v>
      </c>
      <c r="C639" t="s">
        <v>1722</v>
      </c>
      <c r="D639" t="s">
        <v>1732</v>
      </c>
      <c r="K639"/>
      <c r="L639"/>
      <c r="M639"/>
    </row>
    <row r="640" spans="1:13">
      <c r="A640" s="2" t="s">
        <v>36</v>
      </c>
      <c r="B640" t="s">
        <v>1749</v>
      </c>
      <c r="C640" t="s">
        <v>1722</v>
      </c>
      <c r="D640" t="s">
        <v>1732</v>
      </c>
      <c r="K640"/>
      <c r="L640"/>
      <c r="M640"/>
    </row>
    <row r="641" spans="1:13">
      <c r="A641" s="2" t="s">
        <v>40</v>
      </c>
      <c r="B641" t="s">
        <v>1749</v>
      </c>
      <c r="C641" t="s">
        <v>1722</v>
      </c>
      <c r="D641" t="s">
        <v>1732</v>
      </c>
      <c r="K641"/>
      <c r="L641"/>
      <c r="M641"/>
    </row>
    <row r="642" spans="1:13">
      <c r="A642" s="2" t="s">
        <v>68</v>
      </c>
      <c r="B642" t="s">
        <v>1749</v>
      </c>
      <c r="C642" t="s">
        <v>1722</v>
      </c>
      <c r="D642" t="s">
        <v>1732</v>
      </c>
      <c r="K642"/>
      <c r="L642"/>
      <c r="M642"/>
    </row>
    <row r="643" spans="1:13">
      <c r="A643" s="2" t="s">
        <v>51</v>
      </c>
      <c r="B643" t="s">
        <v>1749</v>
      </c>
      <c r="C643" t="s">
        <v>1722</v>
      </c>
      <c r="D643" t="s">
        <v>1732</v>
      </c>
      <c r="K643"/>
      <c r="L643"/>
      <c r="M643"/>
    </row>
    <row r="644" spans="1:13">
      <c r="A644" s="2" t="s">
        <v>84</v>
      </c>
      <c r="B644" t="s">
        <v>1749</v>
      </c>
      <c r="C644" t="s">
        <v>1722</v>
      </c>
      <c r="D644" t="s">
        <v>1732</v>
      </c>
      <c r="K644"/>
      <c r="L644"/>
      <c r="M644"/>
    </row>
    <row r="645" spans="1:13">
      <c r="A645" s="2" t="s">
        <v>83</v>
      </c>
      <c r="B645" t="s">
        <v>1749</v>
      </c>
      <c r="C645" t="s">
        <v>1722</v>
      </c>
      <c r="D645" t="s">
        <v>1732</v>
      </c>
      <c r="K645"/>
      <c r="L645"/>
      <c r="M645"/>
    </row>
    <row r="646" spans="1:13">
      <c r="A646" s="2" t="s">
        <v>72</v>
      </c>
      <c r="B646" t="s">
        <v>1749</v>
      </c>
      <c r="C646" t="s">
        <v>1722</v>
      </c>
      <c r="D646" t="s">
        <v>1732</v>
      </c>
      <c r="K646"/>
      <c r="L646"/>
      <c r="M646"/>
    </row>
    <row r="647" spans="1:13">
      <c r="A647" s="2" t="s">
        <v>74</v>
      </c>
      <c r="B647" t="s">
        <v>1749</v>
      </c>
      <c r="C647" t="s">
        <v>1722</v>
      </c>
      <c r="D647" t="s">
        <v>1732</v>
      </c>
      <c r="K647"/>
      <c r="L647"/>
      <c r="M647"/>
    </row>
    <row r="648" spans="1:13">
      <c r="A648" s="2" t="s">
        <v>75</v>
      </c>
      <c r="B648" t="s">
        <v>1749</v>
      </c>
      <c r="C648" t="s">
        <v>1722</v>
      </c>
      <c r="D648" t="s">
        <v>1732</v>
      </c>
      <c r="K648"/>
      <c r="L648"/>
      <c r="M648"/>
    </row>
    <row r="649" spans="1:13">
      <c r="A649" s="2" t="s">
        <v>76</v>
      </c>
      <c r="B649" t="s">
        <v>1749</v>
      </c>
      <c r="C649" t="s">
        <v>1722</v>
      </c>
      <c r="D649" t="s">
        <v>1732</v>
      </c>
      <c r="K649"/>
      <c r="L649"/>
      <c r="M649"/>
    </row>
    <row r="650" spans="1:13">
      <c r="A650" s="2" t="s">
        <v>85</v>
      </c>
      <c r="B650" t="s">
        <v>1749</v>
      </c>
      <c r="C650" t="s">
        <v>1722</v>
      </c>
      <c r="D650" t="s">
        <v>1732</v>
      </c>
      <c r="K650"/>
      <c r="L650"/>
      <c r="M650"/>
    </row>
    <row r="651" spans="1:13">
      <c r="A651" s="2" t="s">
        <v>79</v>
      </c>
      <c r="B651" t="s">
        <v>1749</v>
      </c>
      <c r="C651" t="s">
        <v>1722</v>
      </c>
      <c r="D651" t="s">
        <v>1732</v>
      </c>
      <c r="K651"/>
      <c r="L651"/>
      <c r="M651"/>
    </row>
    <row r="652" spans="1:13">
      <c r="A652" s="2" t="s">
        <v>78</v>
      </c>
      <c r="B652" t="s">
        <v>1749</v>
      </c>
      <c r="C652" t="s">
        <v>1722</v>
      </c>
      <c r="D652" t="s">
        <v>1732</v>
      </c>
      <c r="K652"/>
      <c r="L652"/>
      <c r="M652"/>
    </row>
    <row r="653" spans="1:13">
      <c r="A653" s="2" t="s">
        <v>80</v>
      </c>
      <c r="B653" t="s">
        <v>1749</v>
      </c>
      <c r="C653" t="s">
        <v>1722</v>
      </c>
      <c r="D653" t="s">
        <v>1732</v>
      </c>
      <c r="K653"/>
      <c r="L653"/>
      <c r="M653"/>
    </row>
    <row r="654" spans="1:13">
      <c r="A654" s="2" t="s">
        <v>618</v>
      </c>
      <c r="B654" t="s">
        <v>1749</v>
      </c>
      <c r="C654" t="s">
        <v>1722</v>
      </c>
      <c r="D654" t="s">
        <v>1732</v>
      </c>
      <c r="K654"/>
      <c r="L654"/>
      <c r="M654"/>
    </row>
    <row r="655" spans="1:13">
      <c r="A655" s="2" t="s">
        <v>81</v>
      </c>
      <c r="B655" t="s">
        <v>1749</v>
      </c>
      <c r="C655" t="s">
        <v>1722</v>
      </c>
      <c r="D655" t="s">
        <v>1732</v>
      </c>
      <c r="K655"/>
      <c r="L655"/>
      <c r="M655"/>
    </row>
    <row r="656" spans="1:13">
      <c r="A656" s="2" t="s">
        <v>82</v>
      </c>
      <c r="B656" t="s">
        <v>1749</v>
      </c>
      <c r="C656" t="s">
        <v>1722</v>
      </c>
      <c r="D656" t="s">
        <v>1732</v>
      </c>
      <c r="K656"/>
      <c r="L656"/>
      <c r="M656"/>
    </row>
    <row r="657" spans="1:13">
      <c r="A657" s="2" t="s">
        <v>77</v>
      </c>
      <c r="B657" t="s">
        <v>1749</v>
      </c>
      <c r="C657" t="s">
        <v>1722</v>
      </c>
      <c r="D657" t="s">
        <v>1732</v>
      </c>
      <c r="K657"/>
      <c r="L657"/>
      <c r="M657"/>
    </row>
    <row r="658" spans="1:13">
      <c r="A658" s="2" t="s">
        <v>617</v>
      </c>
      <c r="B658" t="s">
        <v>1749</v>
      </c>
      <c r="C658" t="s">
        <v>1722</v>
      </c>
      <c r="D658" t="s">
        <v>1732</v>
      </c>
      <c r="K658"/>
      <c r="L658"/>
      <c r="M658"/>
    </row>
    <row r="659" spans="1:13">
      <c r="A659" s="2" t="s">
        <v>86</v>
      </c>
      <c r="B659" t="s">
        <v>1749</v>
      </c>
      <c r="C659" t="s">
        <v>1722</v>
      </c>
      <c r="D659" t="s">
        <v>1732</v>
      </c>
      <c r="K659"/>
      <c r="L659"/>
      <c r="M659"/>
    </row>
    <row r="660" spans="1:13">
      <c r="A660" s="2" t="s">
        <v>614</v>
      </c>
      <c r="B660" t="s">
        <v>1749</v>
      </c>
      <c r="C660" t="s">
        <v>1722</v>
      </c>
      <c r="D660" t="s">
        <v>1732</v>
      </c>
      <c r="K660"/>
      <c r="L660"/>
      <c r="M660"/>
    </row>
    <row r="661" spans="1:13">
      <c r="A661" s="2" t="s">
        <v>616</v>
      </c>
      <c r="B661" t="s">
        <v>1749</v>
      </c>
      <c r="C661" t="s">
        <v>1722</v>
      </c>
      <c r="D661" t="s">
        <v>1732</v>
      </c>
      <c r="K661"/>
      <c r="L661"/>
      <c r="M661"/>
    </row>
    <row r="662" spans="1:13">
      <c r="A662" s="2" t="s">
        <v>615</v>
      </c>
      <c r="B662" t="s">
        <v>1749</v>
      </c>
      <c r="C662" t="s">
        <v>1722</v>
      </c>
      <c r="D662" t="s">
        <v>1732</v>
      </c>
      <c r="K662"/>
      <c r="L662"/>
      <c r="M662"/>
    </row>
    <row r="663" spans="1:13">
      <c r="A663" s="2" t="s">
        <v>87</v>
      </c>
      <c r="B663" t="s">
        <v>1749</v>
      </c>
      <c r="C663" t="s">
        <v>1722</v>
      </c>
      <c r="D663" t="s">
        <v>1732</v>
      </c>
      <c r="K663"/>
      <c r="L663"/>
      <c r="M663"/>
    </row>
    <row r="664" spans="1:13">
      <c r="A664" s="2" t="s">
        <v>88</v>
      </c>
      <c r="B664" t="s">
        <v>1749</v>
      </c>
      <c r="C664" t="s">
        <v>1722</v>
      </c>
      <c r="D664" t="s">
        <v>1732</v>
      </c>
      <c r="K664"/>
      <c r="L664"/>
      <c r="M664"/>
    </row>
    <row r="665" spans="1:13">
      <c r="A665" s="2" t="s">
        <v>594</v>
      </c>
      <c r="B665" t="s">
        <v>1749</v>
      </c>
      <c r="C665" t="s">
        <v>1725</v>
      </c>
      <c r="D665" t="s">
        <v>1732</v>
      </c>
      <c r="K665"/>
      <c r="L665"/>
      <c r="M665"/>
    </row>
    <row r="666" spans="1:13">
      <c r="A666" s="2" t="s">
        <v>29</v>
      </c>
      <c r="B666" t="s">
        <v>1749</v>
      </c>
      <c r="C666" t="s">
        <v>1729</v>
      </c>
      <c r="D666" t="s">
        <v>1732</v>
      </c>
      <c r="K666"/>
      <c r="L666"/>
      <c r="M666"/>
    </row>
    <row r="667" spans="1:13">
      <c r="A667" s="2" t="s">
        <v>25</v>
      </c>
      <c r="B667" t="s">
        <v>1749</v>
      </c>
      <c r="C667" t="s">
        <v>1729</v>
      </c>
      <c r="D667" t="s">
        <v>1732</v>
      </c>
      <c r="K667"/>
      <c r="L667"/>
      <c r="M667"/>
    </row>
    <row r="668" spans="1:13">
      <c r="A668" s="2" t="s">
        <v>30</v>
      </c>
      <c r="B668" t="s">
        <v>1749</v>
      </c>
      <c r="C668" t="s">
        <v>1729</v>
      </c>
      <c r="D668" t="s">
        <v>1732</v>
      </c>
      <c r="K668"/>
      <c r="L668"/>
      <c r="M668"/>
    </row>
    <row r="669" spans="1:13">
      <c r="A669" s="2" t="s">
        <v>21</v>
      </c>
      <c r="B669" t="s">
        <v>1749</v>
      </c>
      <c r="C669" t="s">
        <v>1722</v>
      </c>
      <c r="D669" t="s">
        <v>1732</v>
      </c>
      <c r="K669"/>
      <c r="L669"/>
      <c r="M669"/>
    </row>
    <row r="670" spans="1:13">
      <c r="A670" s="2" t="s">
        <v>27</v>
      </c>
      <c r="B670" t="s">
        <v>1749</v>
      </c>
      <c r="C670" t="s">
        <v>1722</v>
      </c>
      <c r="D670" t="s">
        <v>1732</v>
      </c>
      <c r="K670"/>
      <c r="L670"/>
      <c r="M670"/>
    </row>
    <row r="671" spans="1:13">
      <c r="A671" s="2" t="s">
        <v>24</v>
      </c>
      <c r="B671" t="s">
        <v>1749</v>
      </c>
      <c r="C671" t="s">
        <v>1729</v>
      </c>
      <c r="D671" t="s">
        <v>1732</v>
      </c>
      <c r="K671"/>
      <c r="L671"/>
      <c r="M671"/>
    </row>
    <row r="672" spans="1:13">
      <c r="A672" s="2" t="s">
        <v>28</v>
      </c>
      <c r="B672" t="s">
        <v>1749</v>
      </c>
      <c r="C672" t="s">
        <v>1724</v>
      </c>
      <c r="D672" t="s">
        <v>1732</v>
      </c>
      <c r="K672"/>
      <c r="L672"/>
      <c r="M672"/>
    </row>
    <row r="673" spans="1:13">
      <c r="A673" s="2" t="s">
        <v>26</v>
      </c>
      <c r="B673" t="s">
        <v>1749</v>
      </c>
      <c r="C673" t="s">
        <v>1729</v>
      </c>
      <c r="D673" t="s">
        <v>1732</v>
      </c>
      <c r="K673"/>
      <c r="L673"/>
      <c r="M673"/>
    </row>
    <row r="674" spans="1:13">
      <c r="A674" s="2" t="s">
        <v>593</v>
      </c>
      <c r="B674" t="s">
        <v>1749</v>
      </c>
      <c r="C674" t="s">
        <v>1722</v>
      </c>
      <c r="D674" t="s">
        <v>1735</v>
      </c>
      <c r="K674"/>
      <c r="L674"/>
      <c r="M674"/>
    </row>
    <row r="675" spans="1:13">
      <c r="A675" s="2" t="s">
        <v>591</v>
      </c>
      <c r="B675" t="s">
        <v>1749</v>
      </c>
      <c r="C675" t="s">
        <v>1722</v>
      </c>
      <c r="D675" t="s">
        <v>1735</v>
      </c>
      <c r="K675"/>
      <c r="L675"/>
      <c r="M675"/>
    </row>
    <row r="676" spans="1:13">
      <c r="A676" s="2" t="s">
        <v>590</v>
      </c>
      <c r="B676" t="s">
        <v>1749</v>
      </c>
      <c r="C676" t="s">
        <v>1722</v>
      </c>
      <c r="D676" t="s">
        <v>1735</v>
      </c>
      <c r="K676"/>
      <c r="L676"/>
      <c r="M676"/>
    </row>
    <row r="677" spans="1:13">
      <c r="A677" s="2" t="s">
        <v>592</v>
      </c>
      <c r="B677" t="s">
        <v>1749</v>
      </c>
      <c r="C677" t="s">
        <v>1722</v>
      </c>
      <c r="D677" t="s">
        <v>1734</v>
      </c>
      <c r="K677"/>
      <c r="L677"/>
      <c r="M677"/>
    </row>
    <row r="678" spans="1:13">
      <c r="A678" s="2" t="s">
        <v>178</v>
      </c>
      <c r="B678" t="s">
        <v>1749</v>
      </c>
      <c r="C678" t="s">
        <v>1729</v>
      </c>
      <c r="D678" t="s">
        <v>1734</v>
      </c>
      <c r="K678"/>
      <c r="L678"/>
      <c r="M678"/>
    </row>
    <row r="679" spans="1:13">
      <c r="A679" s="2" t="s">
        <v>141</v>
      </c>
      <c r="B679" t="s">
        <v>1749</v>
      </c>
      <c r="C679" t="s">
        <v>1729</v>
      </c>
      <c r="D679" t="s">
        <v>1731</v>
      </c>
      <c r="K679"/>
      <c r="L679"/>
      <c r="M679"/>
    </row>
    <row r="680" spans="1:13">
      <c r="A680" s="2" t="s">
        <v>160</v>
      </c>
      <c r="B680" t="s">
        <v>1749</v>
      </c>
      <c r="C680" t="s">
        <v>1729</v>
      </c>
      <c r="D680" t="s">
        <v>1731</v>
      </c>
      <c r="K680"/>
      <c r="L680"/>
      <c r="M680"/>
    </row>
    <row r="681" spans="1:13">
      <c r="A681" s="2" t="s">
        <v>190</v>
      </c>
      <c r="B681" t="s">
        <v>1749</v>
      </c>
      <c r="C681" t="s">
        <v>1729</v>
      </c>
      <c r="D681" t="s">
        <v>1733</v>
      </c>
      <c r="K681"/>
      <c r="L681"/>
      <c r="M681"/>
    </row>
    <row r="682" spans="1:13">
      <c r="A682" s="2" t="s">
        <v>103</v>
      </c>
      <c r="B682" t="s">
        <v>1749</v>
      </c>
      <c r="C682" t="s">
        <v>1729</v>
      </c>
      <c r="D682" t="s">
        <v>1731</v>
      </c>
      <c r="K682"/>
      <c r="L682"/>
      <c r="M682"/>
    </row>
    <row r="683" spans="1:13">
      <c r="A683" s="2" t="s">
        <v>158</v>
      </c>
      <c r="B683" t="s">
        <v>1749</v>
      </c>
      <c r="C683" t="s">
        <v>1723</v>
      </c>
      <c r="D683" t="s">
        <v>1733</v>
      </c>
      <c r="K683"/>
      <c r="L683"/>
      <c r="M683"/>
    </row>
    <row r="684" spans="1:13">
      <c r="A684" s="2" t="s">
        <v>191</v>
      </c>
      <c r="B684" t="s">
        <v>1749</v>
      </c>
      <c r="C684" t="s">
        <v>1729</v>
      </c>
      <c r="D684" t="s">
        <v>1731</v>
      </c>
      <c r="K684"/>
      <c r="L684"/>
      <c r="M684"/>
    </row>
    <row r="685" spans="1:13">
      <c r="A685" s="2" t="s">
        <v>156</v>
      </c>
      <c r="B685" t="s">
        <v>1749</v>
      </c>
      <c r="C685" t="s">
        <v>1729</v>
      </c>
      <c r="D685" t="s">
        <v>1731</v>
      </c>
      <c r="K685"/>
      <c r="L685"/>
      <c r="M685"/>
    </row>
    <row r="686" spans="1:13">
      <c r="A686" s="2" t="s">
        <v>131</v>
      </c>
      <c r="B686" t="s">
        <v>1749</v>
      </c>
      <c r="C686" t="s">
        <v>1729</v>
      </c>
      <c r="D686" t="s">
        <v>1731</v>
      </c>
      <c r="K686"/>
      <c r="L686"/>
      <c r="M686"/>
    </row>
    <row r="687" spans="1:13">
      <c r="A687" s="2" t="s">
        <v>127</v>
      </c>
      <c r="B687" t="s">
        <v>1749</v>
      </c>
      <c r="C687" t="s">
        <v>1729</v>
      </c>
      <c r="D687" t="s">
        <v>1731</v>
      </c>
      <c r="K687"/>
      <c r="L687"/>
      <c r="M687"/>
    </row>
    <row r="688" spans="1:13">
      <c r="A688" s="2" t="s">
        <v>157</v>
      </c>
      <c r="B688" t="s">
        <v>1749</v>
      </c>
      <c r="C688" t="s">
        <v>1729</v>
      </c>
      <c r="D688" t="s">
        <v>1731</v>
      </c>
      <c r="K688"/>
      <c r="L688"/>
      <c r="M688"/>
    </row>
    <row r="689" spans="1:13">
      <c r="A689" s="2" t="s">
        <v>152</v>
      </c>
      <c r="B689" t="s">
        <v>1749</v>
      </c>
      <c r="C689" t="s">
        <v>1729</v>
      </c>
      <c r="D689" t="s">
        <v>1731</v>
      </c>
      <c r="K689"/>
      <c r="L689"/>
      <c r="M689"/>
    </row>
    <row r="690" spans="1:13">
      <c r="A690" s="2" t="s">
        <v>99</v>
      </c>
      <c r="B690" t="s">
        <v>1749</v>
      </c>
      <c r="C690" t="s">
        <v>1729</v>
      </c>
      <c r="D690" t="s">
        <v>1733</v>
      </c>
      <c r="K690"/>
      <c r="L690"/>
      <c r="M690"/>
    </row>
    <row r="691" spans="1:13">
      <c r="A691" s="2" t="s">
        <v>186</v>
      </c>
      <c r="B691" t="s">
        <v>1749</v>
      </c>
      <c r="C691" t="s">
        <v>1729</v>
      </c>
      <c r="D691" t="s">
        <v>1731</v>
      </c>
      <c r="K691"/>
      <c r="L691"/>
      <c r="M691"/>
    </row>
    <row r="692" spans="1:13">
      <c r="A692" s="2" t="s">
        <v>95</v>
      </c>
      <c r="B692" t="s">
        <v>1749</v>
      </c>
      <c r="C692" t="s">
        <v>1729</v>
      </c>
      <c r="D692" t="s">
        <v>1733</v>
      </c>
      <c r="K692"/>
      <c r="L692"/>
      <c r="M692"/>
    </row>
    <row r="693" spans="1:13">
      <c r="A693" s="2" t="s">
        <v>89</v>
      </c>
      <c r="B693" t="s">
        <v>1749</v>
      </c>
      <c r="C693" t="s">
        <v>1729</v>
      </c>
      <c r="D693" t="s">
        <v>1733</v>
      </c>
      <c r="K693"/>
      <c r="L693"/>
      <c r="M693"/>
    </row>
    <row r="694" spans="1:13">
      <c r="A694" s="2" t="s">
        <v>192</v>
      </c>
      <c r="B694" t="s">
        <v>1749</v>
      </c>
      <c r="C694" t="s">
        <v>1729</v>
      </c>
      <c r="D694" t="s">
        <v>1731</v>
      </c>
      <c r="K694"/>
      <c r="L694"/>
      <c r="M694"/>
    </row>
    <row r="695" spans="1:13">
      <c r="A695" s="2" t="s">
        <v>144</v>
      </c>
      <c r="B695" t="s">
        <v>1749</v>
      </c>
      <c r="C695" t="s">
        <v>1729</v>
      </c>
      <c r="D695" t="s">
        <v>1731</v>
      </c>
      <c r="K695"/>
      <c r="L695"/>
      <c r="M695"/>
    </row>
    <row r="696" spans="1:13">
      <c r="A696" s="2" t="s">
        <v>132</v>
      </c>
      <c r="B696" t="s">
        <v>1749</v>
      </c>
      <c r="C696" t="s">
        <v>1729</v>
      </c>
      <c r="D696" t="s">
        <v>1731</v>
      </c>
      <c r="K696"/>
      <c r="L696"/>
      <c r="M696"/>
    </row>
    <row r="697" spans="1:13">
      <c r="A697" s="2" t="s">
        <v>147</v>
      </c>
      <c r="B697" t="s">
        <v>1749</v>
      </c>
      <c r="C697" t="s">
        <v>1729</v>
      </c>
      <c r="D697" t="s">
        <v>1731</v>
      </c>
      <c r="K697"/>
      <c r="L697"/>
      <c r="M697"/>
    </row>
    <row r="698" spans="1:13">
      <c r="A698" s="2" t="s">
        <v>114</v>
      </c>
      <c r="B698" t="s">
        <v>1749</v>
      </c>
      <c r="C698" t="s">
        <v>1729</v>
      </c>
      <c r="D698" t="s">
        <v>1731</v>
      </c>
      <c r="K698"/>
      <c r="L698"/>
      <c r="M698"/>
    </row>
    <row r="699" spans="1:13">
      <c r="A699" s="2" t="s">
        <v>193</v>
      </c>
      <c r="B699" t="s">
        <v>1749</v>
      </c>
      <c r="C699" t="s">
        <v>1729</v>
      </c>
      <c r="D699" t="s">
        <v>1731</v>
      </c>
      <c r="K699"/>
      <c r="L699"/>
      <c r="M699"/>
    </row>
    <row r="700" spans="1:13">
      <c r="A700" s="2" t="s">
        <v>171</v>
      </c>
      <c r="B700" t="s">
        <v>1749</v>
      </c>
      <c r="C700" t="s">
        <v>1729</v>
      </c>
      <c r="D700" t="s">
        <v>1731</v>
      </c>
      <c r="K700"/>
      <c r="L700"/>
      <c r="M700"/>
    </row>
    <row r="701" spans="1:13">
      <c r="A701" s="2" t="s">
        <v>194</v>
      </c>
      <c r="B701" t="s">
        <v>1749</v>
      </c>
      <c r="C701" t="s">
        <v>1729</v>
      </c>
      <c r="D701" t="s">
        <v>1731</v>
      </c>
      <c r="K701"/>
      <c r="L701"/>
      <c r="M701"/>
    </row>
    <row r="702" spans="1:13">
      <c r="A702" s="2" t="s">
        <v>182</v>
      </c>
      <c r="B702" t="s">
        <v>1749</v>
      </c>
      <c r="C702" t="s">
        <v>1729</v>
      </c>
      <c r="D702" t="s">
        <v>1731</v>
      </c>
      <c r="K702"/>
      <c r="L702"/>
      <c r="M702"/>
    </row>
    <row r="703" spans="1:13">
      <c r="A703" s="2" t="s">
        <v>101</v>
      </c>
      <c r="B703" t="s">
        <v>1749</v>
      </c>
      <c r="C703" t="s">
        <v>1729</v>
      </c>
      <c r="D703" t="s">
        <v>1733</v>
      </c>
      <c r="K703"/>
      <c r="L703"/>
      <c r="M703"/>
    </row>
    <row r="704" spans="1:13">
      <c r="A704" s="2" t="s">
        <v>184</v>
      </c>
      <c r="B704" t="s">
        <v>1749</v>
      </c>
      <c r="C704" t="s">
        <v>1729</v>
      </c>
      <c r="D704" t="s">
        <v>1731</v>
      </c>
      <c r="K704"/>
      <c r="L704"/>
      <c r="M704"/>
    </row>
    <row r="705" spans="1:13">
      <c r="A705" s="2" t="s">
        <v>180</v>
      </c>
      <c r="B705" t="s">
        <v>1749</v>
      </c>
      <c r="C705" t="s">
        <v>1729</v>
      </c>
      <c r="D705" t="s">
        <v>1731</v>
      </c>
      <c r="K705"/>
      <c r="L705"/>
      <c r="M705"/>
    </row>
    <row r="706" spans="1:13">
      <c r="A706" s="2" t="s">
        <v>115</v>
      </c>
      <c r="B706" t="s">
        <v>1749</v>
      </c>
      <c r="C706" t="s">
        <v>1729</v>
      </c>
      <c r="D706" t="s">
        <v>1731</v>
      </c>
      <c r="K706"/>
      <c r="L706"/>
      <c r="M706"/>
    </row>
    <row r="707" spans="1:13">
      <c r="A707" s="2" t="s">
        <v>150</v>
      </c>
      <c r="B707" t="s">
        <v>1749</v>
      </c>
      <c r="C707" t="s">
        <v>1729</v>
      </c>
      <c r="D707" t="s">
        <v>1733</v>
      </c>
      <c r="K707"/>
      <c r="L707"/>
      <c r="M707"/>
    </row>
    <row r="708" spans="1:13">
      <c r="A708" s="2" t="s">
        <v>163</v>
      </c>
      <c r="B708" t="s">
        <v>1749</v>
      </c>
      <c r="C708" t="s">
        <v>1729</v>
      </c>
      <c r="D708" t="s">
        <v>1734</v>
      </c>
      <c r="K708"/>
      <c r="L708"/>
      <c r="M708"/>
    </row>
    <row r="709" spans="1:13">
      <c r="A709" s="2" t="s">
        <v>104</v>
      </c>
      <c r="B709" t="s">
        <v>1749</v>
      </c>
      <c r="C709" t="s">
        <v>1729</v>
      </c>
      <c r="D709" t="s">
        <v>1731</v>
      </c>
      <c r="K709"/>
      <c r="L709"/>
      <c r="M709"/>
    </row>
    <row r="710" spans="1:13">
      <c r="A710" s="2" t="s">
        <v>105</v>
      </c>
      <c r="B710" t="s">
        <v>1749</v>
      </c>
      <c r="C710" t="s">
        <v>1729</v>
      </c>
      <c r="D710" t="s">
        <v>1733</v>
      </c>
      <c r="K710"/>
      <c r="L710"/>
      <c r="M710"/>
    </row>
    <row r="711" spans="1:13">
      <c r="A711" s="2" t="s">
        <v>120</v>
      </c>
      <c r="B711" t="s">
        <v>1749</v>
      </c>
      <c r="C711" t="s">
        <v>1729</v>
      </c>
      <c r="D711" t="s">
        <v>1731</v>
      </c>
      <c r="K711"/>
      <c r="L711"/>
      <c r="M711"/>
    </row>
    <row r="712" spans="1:13">
      <c r="A712" s="2" t="s">
        <v>154</v>
      </c>
      <c r="B712" t="s">
        <v>1749</v>
      </c>
      <c r="C712" t="s">
        <v>1729</v>
      </c>
      <c r="D712" t="s">
        <v>1731</v>
      </c>
      <c r="K712"/>
      <c r="L712"/>
      <c r="M712"/>
    </row>
    <row r="713" spans="1:13">
      <c r="A713" s="2" t="s">
        <v>116</v>
      </c>
      <c r="B713" t="s">
        <v>1749</v>
      </c>
      <c r="C713" t="s">
        <v>1729</v>
      </c>
      <c r="D713" t="s">
        <v>1731</v>
      </c>
      <c r="K713"/>
      <c r="L713"/>
      <c r="M713"/>
    </row>
    <row r="714" spans="1:13">
      <c r="A714" s="2" t="s">
        <v>153</v>
      </c>
      <c r="B714" t="s">
        <v>1749</v>
      </c>
      <c r="C714" t="s">
        <v>1729</v>
      </c>
      <c r="D714" t="s">
        <v>1733</v>
      </c>
      <c r="K714"/>
      <c r="L714"/>
      <c r="M714"/>
    </row>
    <row r="715" spans="1:13">
      <c r="A715" s="2" t="s">
        <v>136</v>
      </c>
      <c r="B715" t="s">
        <v>1749</v>
      </c>
      <c r="C715" t="s">
        <v>1729</v>
      </c>
      <c r="D715" t="s">
        <v>1731</v>
      </c>
      <c r="K715"/>
      <c r="L715"/>
      <c r="M715"/>
    </row>
    <row r="716" spans="1:13">
      <c r="A716" s="2" t="s">
        <v>110</v>
      </c>
      <c r="B716" t="s">
        <v>1749</v>
      </c>
      <c r="C716" t="s">
        <v>1729</v>
      </c>
      <c r="D716" t="s">
        <v>1731</v>
      </c>
      <c r="K716"/>
      <c r="L716"/>
      <c r="M716"/>
    </row>
    <row r="717" spans="1:13">
      <c r="A717" s="2" t="s">
        <v>135</v>
      </c>
      <c r="B717" t="s">
        <v>1749</v>
      </c>
      <c r="C717" t="s">
        <v>1729</v>
      </c>
      <c r="D717" t="s">
        <v>1733</v>
      </c>
      <c r="K717"/>
      <c r="L717"/>
      <c r="M717"/>
    </row>
    <row r="718" spans="1:13">
      <c r="A718" s="2" t="s">
        <v>143</v>
      </c>
      <c r="B718" t="s">
        <v>1749</v>
      </c>
      <c r="C718" t="s">
        <v>1729</v>
      </c>
      <c r="D718" t="s">
        <v>1731</v>
      </c>
      <c r="K718"/>
      <c r="L718"/>
      <c r="M718"/>
    </row>
    <row r="719" spans="1:13">
      <c r="A719" s="2" t="s">
        <v>177</v>
      </c>
      <c r="B719" t="s">
        <v>1749</v>
      </c>
      <c r="C719" t="s">
        <v>1729</v>
      </c>
      <c r="D719" t="s">
        <v>1731</v>
      </c>
      <c r="K719"/>
      <c r="L719"/>
      <c r="M719"/>
    </row>
    <row r="720" spans="1:13">
      <c r="A720" s="2" t="s">
        <v>183</v>
      </c>
      <c r="B720" t="s">
        <v>1749</v>
      </c>
      <c r="C720" t="s">
        <v>1729</v>
      </c>
      <c r="D720" t="s">
        <v>1734</v>
      </c>
      <c r="K720"/>
      <c r="L720"/>
      <c r="M720"/>
    </row>
    <row r="721" spans="1:13">
      <c r="A721" s="2" t="s">
        <v>94</v>
      </c>
      <c r="B721" t="s">
        <v>1749</v>
      </c>
      <c r="C721" t="s">
        <v>1729</v>
      </c>
      <c r="D721" t="s">
        <v>1733</v>
      </c>
      <c r="K721"/>
      <c r="L721"/>
      <c r="M721"/>
    </row>
    <row r="722" spans="1:13">
      <c r="A722" s="2" t="s">
        <v>170</v>
      </c>
      <c r="B722" t="s">
        <v>1749</v>
      </c>
      <c r="C722" t="s">
        <v>1729</v>
      </c>
      <c r="D722" t="s">
        <v>1731</v>
      </c>
      <c r="K722"/>
      <c r="L722"/>
      <c r="M722"/>
    </row>
    <row r="723" spans="1:13">
      <c r="A723" s="2" t="s">
        <v>169</v>
      </c>
      <c r="B723" t="s">
        <v>1749</v>
      </c>
      <c r="C723" t="s">
        <v>1729</v>
      </c>
      <c r="D723" t="s">
        <v>1734</v>
      </c>
      <c r="K723"/>
      <c r="L723"/>
      <c r="M723"/>
    </row>
    <row r="724" spans="1:13">
      <c r="A724" s="2" t="s">
        <v>148</v>
      </c>
      <c r="B724" t="s">
        <v>1749</v>
      </c>
      <c r="C724" t="s">
        <v>1729</v>
      </c>
      <c r="D724" t="s">
        <v>1731</v>
      </c>
      <c r="K724"/>
      <c r="L724"/>
      <c r="M724"/>
    </row>
    <row r="725" spans="1:13">
      <c r="A725" s="2" t="s">
        <v>149</v>
      </c>
      <c r="B725" t="s">
        <v>1749</v>
      </c>
      <c r="C725" t="s">
        <v>1729</v>
      </c>
      <c r="D725" t="s">
        <v>1731</v>
      </c>
      <c r="K725"/>
      <c r="L725"/>
      <c r="M725"/>
    </row>
    <row r="726" spans="1:13">
      <c r="A726" s="2" t="s">
        <v>145</v>
      </c>
      <c r="B726" t="s">
        <v>1749</v>
      </c>
      <c r="C726" t="s">
        <v>1729</v>
      </c>
      <c r="D726" t="s">
        <v>1731</v>
      </c>
      <c r="K726"/>
      <c r="L726"/>
      <c r="M726"/>
    </row>
    <row r="727" spans="1:13">
      <c r="A727" s="2" t="s">
        <v>188</v>
      </c>
      <c r="B727" t="s">
        <v>1749</v>
      </c>
      <c r="C727" t="s">
        <v>1729</v>
      </c>
      <c r="D727" t="s">
        <v>1731</v>
      </c>
      <c r="K727"/>
      <c r="L727"/>
      <c r="M727"/>
    </row>
    <row r="728" spans="1:13">
      <c r="A728" s="2" t="s">
        <v>174</v>
      </c>
      <c r="B728" t="s">
        <v>1749</v>
      </c>
      <c r="C728" t="s">
        <v>1729</v>
      </c>
      <c r="D728" t="s">
        <v>1731</v>
      </c>
      <c r="K728"/>
      <c r="L728"/>
      <c r="M728"/>
    </row>
    <row r="729" spans="1:13">
      <c r="A729" s="2" t="s">
        <v>175</v>
      </c>
      <c r="B729" t="s">
        <v>1749</v>
      </c>
      <c r="C729" t="s">
        <v>1729</v>
      </c>
      <c r="D729" t="s">
        <v>1731</v>
      </c>
      <c r="K729"/>
      <c r="L729"/>
      <c r="M729"/>
    </row>
    <row r="730" spans="1:13">
      <c r="A730" s="2" t="s">
        <v>176</v>
      </c>
      <c r="B730" t="s">
        <v>1749</v>
      </c>
      <c r="C730" t="s">
        <v>1729</v>
      </c>
      <c r="D730" t="s">
        <v>1731</v>
      </c>
      <c r="K730"/>
      <c r="L730"/>
      <c r="M730"/>
    </row>
    <row r="731" spans="1:13">
      <c r="A731" s="2" t="s">
        <v>102</v>
      </c>
      <c r="B731" t="s">
        <v>1749</v>
      </c>
      <c r="C731" t="s">
        <v>1729</v>
      </c>
      <c r="D731" t="s">
        <v>1733</v>
      </c>
      <c r="K731"/>
      <c r="L731"/>
      <c r="M731"/>
    </row>
    <row r="732" spans="1:13">
      <c r="A732" s="2" t="s">
        <v>121</v>
      </c>
      <c r="B732" t="s">
        <v>1749</v>
      </c>
      <c r="C732" t="s">
        <v>1729</v>
      </c>
      <c r="D732" t="s">
        <v>1733</v>
      </c>
      <c r="K732"/>
      <c r="L732"/>
      <c r="M732"/>
    </row>
    <row r="733" spans="1:13">
      <c r="A733" s="2" t="s">
        <v>621</v>
      </c>
      <c r="B733" t="s">
        <v>1749</v>
      </c>
      <c r="C733" t="s">
        <v>1729</v>
      </c>
      <c r="D733" t="s">
        <v>1731</v>
      </c>
      <c r="K733"/>
      <c r="L733"/>
      <c r="M733"/>
    </row>
    <row r="734" spans="1:13">
      <c r="A734" s="2" t="s">
        <v>622</v>
      </c>
      <c r="B734" t="s">
        <v>1749</v>
      </c>
      <c r="C734" t="s">
        <v>1729</v>
      </c>
      <c r="D734" t="s">
        <v>1734</v>
      </c>
      <c r="K734"/>
      <c r="L734"/>
      <c r="M734"/>
    </row>
    <row r="735" spans="1:13">
      <c r="A735" s="2" t="s">
        <v>623</v>
      </c>
      <c r="B735" t="s">
        <v>1749</v>
      </c>
      <c r="C735" t="s">
        <v>1729</v>
      </c>
      <c r="D735" t="s">
        <v>1731</v>
      </c>
      <c r="K735"/>
      <c r="L735"/>
      <c r="M735"/>
    </row>
    <row r="736" spans="1:13">
      <c r="A736" s="2" t="s">
        <v>620</v>
      </c>
      <c r="B736" t="s">
        <v>1749</v>
      </c>
      <c r="C736" t="s">
        <v>1729</v>
      </c>
      <c r="D736" t="s">
        <v>1733</v>
      </c>
      <c r="K736"/>
      <c r="L736"/>
      <c r="M736"/>
    </row>
    <row r="737" spans="1:13">
      <c r="A737" s="2" t="s">
        <v>624</v>
      </c>
      <c r="B737" t="s">
        <v>1749</v>
      </c>
      <c r="C737" t="s">
        <v>1729</v>
      </c>
      <c r="D737" t="s">
        <v>1731</v>
      </c>
      <c r="K737"/>
      <c r="L737"/>
      <c r="M737"/>
    </row>
    <row r="738" spans="1:13">
      <c r="A738" s="2" t="s">
        <v>165</v>
      </c>
      <c r="B738" t="s">
        <v>1749</v>
      </c>
      <c r="C738" t="s">
        <v>1729</v>
      </c>
      <c r="D738" t="s">
        <v>1731</v>
      </c>
      <c r="K738"/>
      <c r="L738"/>
      <c r="M738"/>
    </row>
    <row r="739" spans="1:13">
      <c r="A739" s="2" t="s">
        <v>164</v>
      </c>
      <c r="B739" t="s">
        <v>1749</v>
      </c>
      <c r="C739" t="s">
        <v>1729</v>
      </c>
      <c r="D739" t="s">
        <v>1731</v>
      </c>
      <c r="K739"/>
      <c r="L739"/>
      <c r="M739"/>
    </row>
    <row r="740" spans="1:13">
      <c r="A740" s="2" t="s">
        <v>168</v>
      </c>
      <c r="B740" t="s">
        <v>1749</v>
      </c>
      <c r="C740" t="s">
        <v>1729</v>
      </c>
      <c r="D740" t="s">
        <v>1731</v>
      </c>
      <c r="K740"/>
      <c r="L740"/>
      <c r="M740"/>
    </row>
    <row r="741" spans="1:13">
      <c r="A741" s="2" t="s">
        <v>162</v>
      </c>
      <c r="B741" t="s">
        <v>1749</v>
      </c>
      <c r="C741" t="s">
        <v>1729</v>
      </c>
      <c r="D741" t="s">
        <v>1731</v>
      </c>
      <c r="K741"/>
      <c r="L741"/>
      <c r="M741"/>
    </row>
    <row r="742" spans="1:13">
      <c r="A742" s="2" t="s">
        <v>125</v>
      </c>
      <c r="B742" t="s">
        <v>1749</v>
      </c>
      <c r="C742" t="s">
        <v>1729</v>
      </c>
      <c r="D742" t="s">
        <v>1731</v>
      </c>
      <c r="K742"/>
      <c r="L742"/>
      <c r="M742"/>
    </row>
    <row r="743" spans="1:13">
      <c r="A743" s="2" t="s">
        <v>108</v>
      </c>
      <c r="B743" t="s">
        <v>1749</v>
      </c>
      <c r="C743" t="s">
        <v>1729</v>
      </c>
      <c r="D743" t="s">
        <v>1733</v>
      </c>
      <c r="K743"/>
      <c r="L743"/>
      <c r="M743"/>
    </row>
    <row r="744" spans="1:13">
      <c r="A744" s="2" t="s">
        <v>129</v>
      </c>
      <c r="B744" t="s">
        <v>1749</v>
      </c>
      <c r="C744" t="s">
        <v>1729</v>
      </c>
      <c r="D744" t="s">
        <v>1731</v>
      </c>
      <c r="K744"/>
      <c r="L744"/>
      <c r="M744"/>
    </row>
    <row r="745" spans="1:13">
      <c r="A745" s="2" t="s">
        <v>139</v>
      </c>
      <c r="B745" t="s">
        <v>1749</v>
      </c>
      <c r="C745" t="s">
        <v>1729</v>
      </c>
      <c r="D745" t="s">
        <v>1733</v>
      </c>
      <c r="K745"/>
      <c r="L745"/>
      <c r="M745"/>
    </row>
    <row r="746" spans="1:13">
      <c r="A746" s="2" t="s">
        <v>155</v>
      </c>
      <c r="B746" t="s">
        <v>1749</v>
      </c>
      <c r="C746" t="s">
        <v>1729</v>
      </c>
      <c r="D746" t="s">
        <v>1734</v>
      </c>
      <c r="K746"/>
      <c r="L746"/>
      <c r="M746"/>
    </row>
    <row r="747" spans="1:13">
      <c r="A747" s="2" t="s">
        <v>100</v>
      </c>
      <c r="B747" t="s">
        <v>1749</v>
      </c>
      <c r="C747" t="s">
        <v>1729</v>
      </c>
      <c r="D747" t="s">
        <v>1731</v>
      </c>
      <c r="K747"/>
      <c r="L747"/>
      <c r="M747"/>
    </row>
    <row r="748" spans="1:13">
      <c r="A748" s="2" t="s">
        <v>137</v>
      </c>
      <c r="B748" t="s">
        <v>1749</v>
      </c>
      <c r="C748" t="s">
        <v>1729</v>
      </c>
      <c r="D748" t="s">
        <v>1733</v>
      </c>
      <c r="K748"/>
      <c r="L748"/>
      <c r="M748"/>
    </row>
    <row r="749" spans="1:13">
      <c r="A749" s="2" t="s">
        <v>185</v>
      </c>
      <c r="B749" t="s">
        <v>1749</v>
      </c>
      <c r="C749" t="s">
        <v>1729</v>
      </c>
      <c r="D749" t="s">
        <v>1731</v>
      </c>
      <c r="K749"/>
      <c r="L749"/>
      <c r="M749"/>
    </row>
    <row r="750" spans="1:13">
      <c r="A750" s="2" t="s">
        <v>181</v>
      </c>
      <c r="B750" t="s">
        <v>1749</v>
      </c>
      <c r="C750" t="s">
        <v>1729</v>
      </c>
      <c r="D750" t="s">
        <v>1731</v>
      </c>
      <c r="K750"/>
      <c r="L750"/>
      <c r="M750"/>
    </row>
    <row r="751" spans="1:13">
      <c r="A751" s="2" t="s">
        <v>122</v>
      </c>
      <c r="B751" t="s">
        <v>1749</v>
      </c>
      <c r="C751" t="s">
        <v>1729</v>
      </c>
      <c r="D751" t="s">
        <v>1733</v>
      </c>
      <c r="K751"/>
      <c r="L751"/>
      <c r="M751"/>
    </row>
    <row r="752" spans="1:13">
      <c r="A752" s="2" t="s">
        <v>112</v>
      </c>
      <c r="B752" t="s">
        <v>1749</v>
      </c>
      <c r="C752" t="s">
        <v>1729</v>
      </c>
      <c r="D752" t="s">
        <v>1733</v>
      </c>
      <c r="K752"/>
      <c r="L752"/>
      <c r="M752"/>
    </row>
    <row r="753" spans="1:13">
      <c r="A753" s="2" t="s">
        <v>173</v>
      </c>
      <c r="B753" t="s">
        <v>1749</v>
      </c>
      <c r="C753" t="s">
        <v>1729</v>
      </c>
      <c r="D753" t="s">
        <v>1731</v>
      </c>
      <c r="K753"/>
      <c r="L753"/>
      <c r="M753"/>
    </row>
    <row r="754" spans="1:13">
      <c r="A754" s="2" t="s">
        <v>119</v>
      </c>
      <c r="B754" t="s">
        <v>1749</v>
      </c>
      <c r="C754" t="s">
        <v>1729</v>
      </c>
      <c r="D754" t="s">
        <v>1731</v>
      </c>
      <c r="K754"/>
      <c r="L754"/>
      <c r="M754"/>
    </row>
    <row r="755" spans="1:13">
      <c r="A755" s="2" t="s">
        <v>172</v>
      </c>
      <c r="B755" t="s">
        <v>1749</v>
      </c>
      <c r="C755" t="s">
        <v>1729</v>
      </c>
      <c r="D755" t="s">
        <v>1731</v>
      </c>
      <c r="K755"/>
      <c r="L755"/>
      <c r="M755"/>
    </row>
    <row r="756" spans="1:13">
      <c r="A756" s="2" t="s">
        <v>161</v>
      </c>
      <c r="B756" t="s">
        <v>1749</v>
      </c>
      <c r="C756" t="s">
        <v>1729</v>
      </c>
      <c r="D756" t="s">
        <v>1734</v>
      </c>
      <c r="K756"/>
      <c r="L756"/>
      <c r="M756"/>
    </row>
    <row r="757" spans="1:13">
      <c r="A757" s="2" t="s">
        <v>130</v>
      </c>
      <c r="B757" t="s">
        <v>1749</v>
      </c>
      <c r="C757" t="s">
        <v>1729</v>
      </c>
      <c r="D757" t="s">
        <v>1733</v>
      </c>
      <c r="K757"/>
      <c r="L757"/>
      <c r="M757"/>
    </row>
    <row r="758" spans="1:13">
      <c r="A758" s="2" t="s">
        <v>133</v>
      </c>
      <c r="B758" t="s">
        <v>1749</v>
      </c>
      <c r="C758" t="s">
        <v>1729</v>
      </c>
      <c r="D758" t="s">
        <v>1733</v>
      </c>
      <c r="K758"/>
      <c r="L758"/>
      <c r="M758"/>
    </row>
    <row r="759" spans="1:13">
      <c r="A759" s="2" t="s">
        <v>118</v>
      </c>
      <c r="B759" t="s">
        <v>1749</v>
      </c>
      <c r="C759" t="s">
        <v>1729</v>
      </c>
      <c r="D759" t="s">
        <v>1731</v>
      </c>
      <c r="K759"/>
      <c r="L759"/>
      <c r="M759"/>
    </row>
    <row r="760" spans="1:13">
      <c r="A760" s="2" t="s">
        <v>167</v>
      </c>
      <c r="B760" t="s">
        <v>1749</v>
      </c>
      <c r="C760" t="s">
        <v>1723</v>
      </c>
      <c r="D760" t="s">
        <v>1733</v>
      </c>
      <c r="K760"/>
      <c r="L760"/>
      <c r="M760"/>
    </row>
    <row r="761" spans="1:13">
      <c r="A761" s="2" t="s">
        <v>140</v>
      </c>
      <c r="B761" t="s">
        <v>1749</v>
      </c>
      <c r="C761" t="s">
        <v>1729</v>
      </c>
      <c r="D761" t="s">
        <v>1731</v>
      </c>
      <c r="K761"/>
      <c r="L761"/>
      <c r="M761"/>
    </row>
    <row r="762" spans="1:13">
      <c r="A762" s="2" t="s">
        <v>179</v>
      </c>
      <c r="B762" t="s">
        <v>1749</v>
      </c>
      <c r="C762" t="s">
        <v>1729</v>
      </c>
      <c r="D762" t="s">
        <v>1731</v>
      </c>
      <c r="K762"/>
      <c r="L762"/>
      <c r="M762"/>
    </row>
    <row r="763" spans="1:13">
      <c r="A763" s="2" t="s">
        <v>134</v>
      </c>
      <c r="B763" t="s">
        <v>1749</v>
      </c>
      <c r="C763" t="s">
        <v>1729</v>
      </c>
      <c r="D763" t="s">
        <v>1731</v>
      </c>
      <c r="K763"/>
      <c r="L763"/>
      <c r="M763"/>
    </row>
    <row r="764" spans="1:13">
      <c r="A764" s="2" t="s">
        <v>619</v>
      </c>
      <c r="B764" t="s">
        <v>1749</v>
      </c>
      <c r="C764" t="s">
        <v>1729</v>
      </c>
      <c r="D764" t="s">
        <v>1733</v>
      </c>
      <c r="K764"/>
      <c r="L764"/>
      <c r="M764"/>
    </row>
    <row r="765" spans="1:13">
      <c r="A765" s="2" t="s">
        <v>97</v>
      </c>
      <c r="B765" t="s">
        <v>1749</v>
      </c>
      <c r="C765" t="s">
        <v>1729</v>
      </c>
      <c r="D765" t="s">
        <v>1731</v>
      </c>
      <c r="K765"/>
      <c r="L765"/>
      <c r="M765"/>
    </row>
    <row r="766" spans="1:13">
      <c r="A766" s="2" t="s">
        <v>123</v>
      </c>
      <c r="B766" t="s">
        <v>1749</v>
      </c>
      <c r="C766" t="s">
        <v>1729</v>
      </c>
      <c r="D766" t="s">
        <v>1731</v>
      </c>
      <c r="K766"/>
      <c r="L766"/>
      <c r="M766"/>
    </row>
    <row r="767" spans="1:13">
      <c r="A767" s="2" t="s">
        <v>98</v>
      </c>
      <c r="B767" t="s">
        <v>1749</v>
      </c>
      <c r="C767" t="s">
        <v>1729</v>
      </c>
      <c r="D767" t="s">
        <v>1733</v>
      </c>
      <c r="K767"/>
      <c r="L767"/>
      <c r="M767"/>
    </row>
    <row r="768" spans="1:13">
      <c r="A768" s="2" t="s">
        <v>91</v>
      </c>
      <c r="B768" t="s">
        <v>1749</v>
      </c>
      <c r="C768" t="s">
        <v>1729</v>
      </c>
      <c r="D768" t="s">
        <v>1733</v>
      </c>
      <c r="K768"/>
      <c r="L768"/>
      <c r="M768"/>
    </row>
    <row r="769" spans="1:13">
      <c r="A769" s="2" t="s">
        <v>96</v>
      </c>
      <c r="B769" t="s">
        <v>1749</v>
      </c>
      <c r="C769" t="s">
        <v>1729</v>
      </c>
      <c r="D769" t="s">
        <v>1733</v>
      </c>
      <c r="K769"/>
      <c r="L769"/>
      <c r="M769"/>
    </row>
    <row r="770" spans="1:13">
      <c r="A770" s="2" t="s">
        <v>151</v>
      </c>
      <c r="B770" t="s">
        <v>1749</v>
      </c>
      <c r="C770" t="s">
        <v>1729</v>
      </c>
      <c r="D770" t="s">
        <v>1733</v>
      </c>
      <c r="K770"/>
      <c r="L770"/>
      <c r="M770"/>
    </row>
    <row r="771" spans="1:13">
      <c r="A771" s="2" t="s">
        <v>106</v>
      </c>
      <c r="B771" t="s">
        <v>1749</v>
      </c>
      <c r="C771" t="s">
        <v>1729</v>
      </c>
      <c r="D771" t="s">
        <v>1731</v>
      </c>
      <c r="K771"/>
      <c r="L771"/>
      <c r="M771"/>
    </row>
    <row r="772" spans="1:13">
      <c r="A772" s="2" t="s">
        <v>107</v>
      </c>
      <c r="B772" t="s">
        <v>1749</v>
      </c>
      <c r="C772" t="s">
        <v>1729</v>
      </c>
      <c r="D772" t="s">
        <v>1733</v>
      </c>
      <c r="K772"/>
      <c r="L772"/>
      <c r="M772"/>
    </row>
    <row r="773" spans="1:13">
      <c r="A773" s="2" t="s">
        <v>126</v>
      </c>
      <c r="B773" t="s">
        <v>1749</v>
      </c>
      <c r="C773" t="s">
        <v>1729</v>
      </c>
      <c r="D773" t="s">
        <v>1731</v>
      </c>
      <c r="K773"/>
      <c r="L773"/>
      <c r="M773"/>
    </row>
    <row r="774" spans="1:13">
      <c r="A774" s="2" t="s">
        <v>111</v>
      </c>
      <c r="B774" t="s">
        <v>1749</v>
      </c>
      <c r="C774" t="s">
        <v>1729</v>
      </c>
      <c r="D774" t="s">
        <v>1731</v>
      </c>
      <c r="K774"/>
      <c r="L774"/>
      <c r="M774"/>
    </row>
    <row r="775" spans="1:13">
      <c r="A775" s="2" t="s">
        <v>117</v>
      </c>
      <c r="B775" t="s">
        <v>1749</v>
      </c>
      <c r="C775" t="s">
        <v>1729</v>
      </c>
      <c r="D775" t="s">
        <v>1731</v>
      </c>
      <c r="K775"/>
      <c r="L775"/>
      <c r="M775"/>
    </row>
    <row r="776" spans="1:13">
      <c r="A776" s="2" t="s">
        <v>113</v>
      </c>
      <c r="B776" t="s">
        <v>1749</v>
      </c>
      <c r="C776" t="s">
        <v>1729</v>
      </c>
      <c r="D776" t="s">
        <v>1731</v>
      </c>
      <c r="K776"/>
      <c r="L776"/>
      <c r="M776"/>
    </row>
    <row r="777" spans="1:13">
      <c r="A777" s="2" t="s">
        <v>142</v>
      </c>
      <c r="B777" t="s">
        <v>1749</v>
      </c>
      <c r="C777" t="s">
        <v>1729</v>
      </c>
      <c r="D777" t="s">
        <v>1733</v>
      </c>
      <c r="K777"/>
      <c r="L777"/>
      <c r="M777"/>
    </row>
    <row r="778" spans="1:13">
      <c r="A778" s="2" t="s">
        <v>159</v>
      </c>
      <c r="B778" t="s">
        <v>1749</v>
      </c>
      <c r="C778" t="s">
        <v>1729</v>
      </c>
      <c r="D778" t="s">
        <v>1731</v>
      </c>
      <c r="K778"/>
      <c r="L778"/>
      <c r="M778"/>
    </row>
    <row r="779" spans="1:13">
      <c r="A779" s="2" t="s">
        <v>93</v>
      </c>
      <c r="B779" t="s">
        <v>1749</v>
      </c>
      <c r="C779" t="s">
        <v>1729</v>
      </c>
      <c r="D779" t="s">
        <v>1731</v>
      </c>
      <c r="K779"/>
      <c r="L779"/>
      <c r="M779"/>
    </row>
    <row r="780" spans="1:13">
      <c r="A780" s="2" t="s">
        <v>90</v>
      </c>
      <c r="B780" t="s">
        <v>1749</v>
      </c>
      <c r="C780" t="s">
        <v>1729</v>
      </c>
      <c r="D780" t="s">
        <v>1731</v>
      </c>
      <c r="K780"/>
      <c r="L780"/>
      <c r="M780"/>
    </row>
    <row r="781" spans="1:13">
      <c r="A781" s="2" t="s">
        <v>92</v>
      </c>
      <c r="B781" t="s">
        <v>1749</v>
      </c>
      <c r="C781" t="s">
        <v>1729</v>
      </c>
      <c r="D781" t="s">
        <v>1731</v>
      </c>
      <c r="K781"/>
      <c r="L781"/>
      <c r="M781"/>
    </row>
    <row r="782" spans="1:13">
      <c r="A782" s="2" t="s">
        <v>109</v>
      </c>
      <c r="B782" t="s">
        <v>1749</v>
      </c>
      <c r="C782" t="s">
        <v>1729</v>
      </c>
      <c r="D782" t="s">
        <v>1731</v>
      </c>
      <c r="K782"/>
      <c r="L782"/>
      <c r="M782"/>
    </row>
    <row r="783" spans="1:13">
      <c r="A783" s="2" t="s">
        <v>128</v>
      </c>
      <c r="B783" t="s">
        <v>1749</v>
      </c>
      <c r="C783" t="s">
        <v>1729</v>
      </c>
      <c r="D783" t="s">
        <v>1731</v>
      </c>
      <c r="K783"/>
      <c r="L783"/>
      <c r="M783"/>
    </row>
    <row r="784" spans="1:13">
      <c r="A784" s="2" t="s">
        <v>189</v>
      </c>
      <c r="B784" t="s">
        <v>1749</v>
      </c>
      <c r="C784" t="s">
        <v>1729</v>
      </c>
      <c r="D784" t="s">
        <v>1731</v>
      </c>
      <c r="K784"/>
      <c r="L784"/>
      <c r="M784"/>
    </row>
    <row r="785" spans="1:13">
      <c r="A785" s="2" t="s">
        <v>138</v>
      </c>
      <c r="B785" t="s">
        <v>1749</v>
      </c>
      <c r="C785" t="s">
        <v>1729</v>
      </c>
      <c r="D785" t="s">
        <v>1731</v>
      </c>
      <c r="K785"/>
      <c r="L785"/>
      <c r="M785"/>
    </row>
    <row r="786" spans="1:13">
      <c r="A786" s="2" t="s">
        <v>146</v>
      </c>
      <c r="B786" t="s">
        <v>1749</v>
      </c>
      <c r="C786" t="s">
        <v>1729</v>
      </c>
      <c r="D786" t="s">
        <v>1731</v>
      </c>
      <c r="K786"/>
      <c r="L786"/>
      <c r="M786"/>
    </row>
    <row r="787" spans="1:13">
      <c r="A787" s="2" t="s">
        <v>187</v>
      </c>
      <c r="B787" t="s">
        <v>1749</v>
      </c>
      <c r="C787" t="s">
        <v>1729</v>
      </c>
      <c r="D787" t="s">
        <v>1731</v>
      </c>
      <c r="K787"/>
      <c r="L787"/>
      <c r="M787"/>
    </row>
    <row r="788" spans="1:13">
      <c r="A788" s="2" t="s">
        <v>124</v>
      </c>
      <c r="B788" t="s">
        <v>1749</v>
      </c>
      <c r="C788" t="s">
        <v>1729</v>
      </c>
      <c r="D788" t="s">
        <v>1737</v>
      </c>
      <c r="K788"/>
      <c r="L788"/>
      <c r="M788"/>
    </row>
    <row r="789" spans="1:13">
      <c r="A789" s="2" t="s">
        <v>166</v>
      </c>
      <c r="B789" t="s">
        <v>1749</v>
      </c>
      <c r="C789" t="s">
        <v>1723</v>
      </c>
      <c r="D789" t="s">
        <v>1733</v>
      </c>
      <c r="K789"/>
      <c r="L789"/>
      <c r="M789"/>
    </row>
    <row r="790" spans="1:13">
      <c r="A790" s="2" t="s">
        <v>1753</v>
      </c>
      <c r="B790" t="s">
        <v>1749</v>
      </c>
      <c r="C790" t="s">
        <v>1722</v>
      </c>
      <c r="D790" t="s">
        <v>1731</v>
      </c>
    </row>
    <row r="791" spans="1:13">
      <c r="A791" s="2" t="s">
        <v>1756</v>
      </c>
      <c r="B791" t="s">
        <v>1749</v>
      </c>
      <c r="C791" t="s">
        <v>1729</v>
      </c>
      <c r="D791" t="s">
        <v>1731</v>
      </c>
    </row>
    <row r="792" spans="1:13">
      <c r="A792" s="2" t="s">
        <v>2849</v>
      </c>
      <c r="B792" t="s">
        <v>1750</v>
      </c>
      <c r="C792" t="s">
        <v>1721</v>
      </c>
      <c r="D792" t="s">
        <v>1732</v>
      </c>
    </row>
    <row r="793" spans="1:13">
      <c r="A793" s="2" t="s">
        <v>3000</v>
      </c>
      <c r="B793" t="s">
        <v>1749</v>
      </c>
      <c r="C793" t="s">
        <v>1729</v>
      </c>
      <c r="D793" t="s">
        <v>1732</v>
      </c>
    </row>
    <row r="794" spans="1:13">
      <c r="A794" s="2" t="s">
        <v>3002</v>
      </c>
      <c r="B794" t="s">
        <v>1749</v>
      </c>
      <c r="C794" t="s">
        <v>1722</v>
      </c>
      <c r="D794" t="s">
        <v>1732</v>
      </c>
    </row>
    <row r="795" spans="1:13">
      <c r="A795" t="s">
        <v>3006</v>
      </c>
      <c r="B795" t="s">
        <v>1749</v>
      </c>
      <c r="C795" t="s">
        <v>1729</v>
      </c>
      <c r="D795" t="s">
        <v>1731</v>
      </c>
    </row>
    <row r="796" spans="1:13">
      <c r="A796" t="s">
        <v>3008</v>
      </c>
      <c r="B796" s="39" t="s">
        <v>1749</v>
      </c>
      <c r="C796" t="s">
        <v>1729</v>
      </c>
      <c r="D796" t="s">
        <v>1731</v>
      </c>
    </row>
    <row r="797" spans="1:13">
      <c r="A797" s="2" t="s">
        <v>3026</v>
      </c>
      <c r="B797" t="s">
        <v>1749</v>
      </c>
      <c r="C797" t="s">
        <v>1722</v>
      </c>
      <c r="D797" t="s">
        <v>1731</v>
      </c>
    </row>
    <row r="798" spans="1:13">
      <c r="A798" s="2" t="s">
        <v>3028</v>
      </c>
      <c r="B798" t="s">
        <v>1749</v>
      </c>
      <c r="C798" s="39" t="s">
        <v>1725</v>
      </c>
      <c r="D798" s="39" t="s">
        <v>1731</v>
      </c>
    </row>
    <row r="799" spans="1:13">
      <c r="A799" s="2" t="s">
        <v>3031</v>
      </c>
      <c r="B799" t="s">
        <v>1750</v>
      </c>
      <c r="C799" t="s">
        <v>1722</v>
      </c>
      <c r="D799" t="s">
        <v>1731</v>
      </c>
    </row>
    <row r="800" spans="1:13">
      <c r="A800" s="2" t="s">
        <v>3034</v>
      </c>
      <c r="B800" t="s">
        <v>1749</v>
      </c>
      <c r="C800" t="s">
        <v>1722</v>
      </c>
      <c r="D800" t="s">
        <v>1731</v>
      </c>
    </row>
    <row r="801" spans="1:4">
      <c r="A801" s="2" t="s">
        <v>3037</v>
      </c>
      <c r="B801" t="s">
        <v>1749</v>
      </c>
      <c r="C801" t="s">
        <v>1722</v>
      </c>
      <c r="D801" t="s">
        <v>1731</v>
      </c>
    </row>
    <row r="802" spans="1:4">
      <c r="A802" s="2" t="s">
        <v>3039</v>
      </c>
      <c r="B802" t="s">
        <v>1749</v>
      </c>
      <c r="C802" t="s">
        <v>1722</v>
      </c>
      <c r="D802" t="s">
        <v>1731</v>
      </c>
    </row>
    <row r="803" spans="1:4">
      <c r="A803" s="2" t="s">
        <v>3042</v>
      </c>
      <c r="B803" t="s">
        <v>1750</v>
      </c>
      <c r="C803" t="s">
        <v>1722</v>
      </c>
      <c r="D803" t="s">
        <v>1731</v>
      </c>
    </row>
    <row r="804" spans="1:4">
      <c r="A804" s="2" t="s">
        <v>3077</v>
      </c>
      <c r="B804" s="39" t="s">
        <v>1749</v>
      </c>
      <c r="C804" s="39" t="s">
        <v>1726</v>
      </c>
      <c r="D804" s="39" t="s">
        <v>1733</v>
      </c>
    </row>
  </sheetData>
  <conditionalFormatting sqref="B1:C1048576">
    <cfRule type="containsText" dxfId="25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20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</cols>
  <sheetData>
    <row r="3" spans="1:18">
      <c r="A3" s="34" t="s">
        <v>2982</v>
      </c>
      <c r="C3" s="34" t="s">
        <v>2279</v>
      </c>
    </row>
    <row r="4" spans="1:18">
      <c r="A4" s="34" t="s">
        <v>2991</v>
      </c>
      <c r="B4" s="34" t="s">
        <v>907</v>
      </c>
      <c r="C4" t="s">
        <v>2983</v>
      </c>
      <c r="D4" t="s">
        <v>2977</v>
      </c>
      <c r="E4" t="s">
        <v>2988</v>
      </c>
      <c r="F4" t="s">
        <v>2985</v>
      </c>
      <c r="G4" t="s">
        <v>2978</v>
      </c>
      <c r="H4" t="s">
        <v>2984</v>
      </c>
      <c r="I4" t="s">
        <v>2979</v>
      </c>
      <c r="J4" t="s">
        <v>2989</v>
      </c>
      <c r="K4" t="s">
        <v>2980</v>
      </c>
      <c r="L4" t="s">
        <v>2981</v>
      </c>
      <c r="M4" t="s">
        <v>2994</v>
      </c>
      <c r="N4" t="s">
        <v>2995</v>
      </c>
      <c r="O4" t="s">
        <v>2996</v>
      </c>
      <c r="P4" t="s">
        <v>2997</v>
      </c>
      <c r="Q4" t="s">
        <v>2998</v>
      </c>
      <c r="R4" t="s">
        <v>2999</v>
      </c>
    </row>
    <row r="5" spans="1:18">
      <c r="A5">
        <v>1660</v>
      </c>
      <c r="B5" t="s">
        <v>2993</v>
      </c>
      <c r="M5">
        <v>2</v>
      </c>
    </row>
    <row r="6" spans="1:18">
      <c r="A6">
        <v>1820</v>
      </c>
      <c r="B6" t="s">
        <v>2993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2993</v>
      </c>
      <c r="N7">
        <v>2</v>
      </c>
      <c r="O7">
        <v>2</v>
      </c>
      <c r="P7">
        <v>2</v>
      </c>
    </row>
    <row r="8" spans="1:18">
      <c r="A8">
        <v>1860</v>
      </c>
      <c r="B8" t="s">
        <v>2993</v>
      </c>
      <c r="K8">
        <v>2</v>
      </c>
    </row>
    <row r="9" spans="1:18">
      <c r="A9">
        <v>1880</v>
      </c>
      <c r="B9" t="s">
        <v>2993</v>
      </c>
      <c r="K9">
        <v>2</v>
      </c>
      <c r="M9">
        <v>4</v>
      </c>
    </row>
    <row r="10" spans="1:18">
      <c r="A10">
        <v>1900</v>
      </c>
      <c r="B10" t="s">
        <v>2993</v>
      </c>
      <c r="C10">
        <v>1</v>
      </c>
      <c r="G10">
        <v>1</v>
      </c>
      <c r="J10">
        <v>4</v>
      </c>
      <c r="K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2993</v>
      </c>
      <c r="C11">
        <v>2</v>
      </c>
      <c r="F11">
        <v>1</v>
      </c>
      <c r="H11">
        <v>3</v>
      </c>
      <c r="K11">
        <v>1</v>
      </c>
      <c r="M11">
        <v>8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2993</v>
      </c>
      <c r="C12">
        <v>1</v>
      </c>
      <c r="F12">
        <v>5</v>
      </c>
      <c r="G12">
        <v>4</v>
      </c>
      <c r="H12">
        <v>1</v>
      </c>
      <c r="K12">
        <v>1</v>
      </c>
      <c r="M12">
        <v>7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2993</v>
      </c>
      <c r="C13">
        <v>2</v>
      </c>
      <c r="F13">
        <v>7</v>
      </c>
      <c r="H13">
        <v>1</v>
      </c>
      <c r="M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2993</v>
      </c>
      <c r="C14">
        <v>1</v>
      </c>
      <c r="D14">
        <v>1</v>
      </c>
      <c r="F14">
        <v>1</v>
      </c>
      <c r="G14">
        <v>1</v>
      </c>
      <c r="H14">
        <v>1</v>
      </c>
      <c r="I14">
        <v>1</v>
      </c>
      <c r="J14">
        <v>2</v>
      </c>
      <c r="M14">
        <v>8</v>
      </c>
      <c r="P14">
        <v>1</v>
      </c>
      <c r="Q14">
        <v>1</v>
      </c>
    </row>
    <row r="15" spans="1:18">
      <c r="A15">
        <v>2000</v>
      </c>
      <c r="B15" t="s">
        <v>2993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M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2993</v>
      </c>
      <c r="M16">
        <v>14</v>
      </c>
      <c r="N16">
        <v>1</v>
      </c>
      <c r="P16">
        <v>1</v>
      </c>
      <c r="Q16">
        <v>1</v>
      </c>
      <c r="R16">
        <v>3</v>
      </c>
    </row>
    <row r="17" spans="1:12">
      <c r="A17">
        <v>2040</v>
      </c>
      <c r="B17" t="s">
        <v>2993</v>
      </c>
      <c r="L17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25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2982</v>
      </c>
      <c r="C3" s="34" t="s">
        <v>2279</v>
      </c>
    </row>
    <row r="4" spans="1:18">
      <c r="A4" s="34" t="s">
        <v>2991</v>
      </c>
      <c r="B4" s="34" t="s">
        <v>909</v>
      </c>
      <c r="C4" t="s">
        <v>2983</v>
      </c>
      <c r="D4" t="s">
        <v>2977</v>
      </c>
      <c r="E4" t="s">
        <v>2988</v>
      </c>
      <c r="F4" t="s">
        <v>2985</v>
      </c>
      <c r="G4" t="s">
        <v>2978</v>
      </c>
      <c r="H4" t="s">
        <v>2979</v>
      </c>
      <c r="I4" t="s">
        <v>2989</v>
      </c>
      <c r="J4" t="s">
        <v>2980</v>
      </c>
      <c r="K4" t="s">
        <v>2981</v>
      </c>
      <c r="L4" t="s">
        <v>2990</v>
      </c>
      <c r="M4" t="s">
        <v>2994</v>
      </c>
      <c r="N4" t="s">
        <v>2995</v>
      </c>
      <c r="O4" t="s">
        <v>2996</v>
      </c>
      <c r="P4" t="s">
        <v>2997</v>
      </c>
      <c r="Q4" t="s">
        <v>2998</v>
      </c>
      <c r="R4" t="s">
        <v>2999</v>
      </c>
    </row>
    <row r="5" spans="1:18">
      <c r="A5">
        <v>1660</v>
      </c>
      <c r="B5" t="s">
        <v>2993</v>
      </c>
      <c r="M5">
        <v>1</v>
      </c>
    </row>
    <row r="6" spans="1:18">
      <c r="A6">
        <v>1820</v>
      </c>
      <c r="B6" t="s">
        <v>2993</v>
      </c>
      <c r="M6">
        <v>4</v>
      </c>
      <c r="O6">
        <v>1</v>
      </c>
      <c r="P6">
        <v>1</v>
      </c>
    </row>
    <row r="7" spans="1:18">
      <c r="A7">
        <v>1840</v>
      </c>
      <c r="B7" t="s">
        <v>2993</v>
      </c>
      <c r="F7">
        <v>1</v>
      </c>
      <c r="O7">
        <v>1</v>
      </c>
      <c r="P7">
        <v>1</v>
      </c>
    </row>
    <row r="8" spans="1:18">
      <c r="A8">
        <v>1860</v>
      </c>
      <c r="B8" t="s">
        <v>2993</v>
      </c>
      <c r="F8">
        <v>3</v>
      </c>
    </row>
    <row r="9" spans="1:18">
      <c r="A9">
        <v>1880</v>
      </c>
      <c r="B9" t="s">
        <v>2993</v>
      </c>
      <c r="E9">
        <v>1</v>
      </c>
      <c r="F9">
        <v>1</v>
      </c>
      <c r="H9">
        <v>1</v>
      </c>
      <c r="M9">
        <v>3</v>
      </c>
    </row>
    <row r="10" spans="1:18">
      <c r="A10">
        <v>1900</v>
      </c>
      <c r="B10" t="s">
        <v>2993</v>
      </c>
      <c r="C10">
        <v>2</v>
      </c>
      <c r="F10">
        <v>2</v>
      </c>
      <c r="G10">
        <v>3</v>
      </c>
      <c r="H10">
        <v>2</v>
      </c>
      <c r="I10">
        <v>4</v>
      </c>
      <c r="M10">
        <v>3</v>
      </c>
      <c r="O10">
        <v>1</v>
      </c>
      <c r="P10">
        <v>1</v>
      </c>
    </row>
    <row r="11" spans="1:18">
      <c r="A11">
        <v>1920</v>
      </c>
      <c r="B11" t="s">
        <v>2993</v>
      </c>
      <c r="C11">
        <v>1</v>
      </c>
      <c r="E11">
        <v>4</v>
      </c>
      <c r="F11">
        <v>2</v>
      </c>
      <c r="G11">
        <v>2</v>
      </c>
      <c r="H11">
        <v>1</v>
      </c>
      <c r="J11">
        <v>2</v>
      </c>
      <c r="M11">
        <v>6</v>
      </c>
      <c r="O11">
        <v>3</v>
      </c>
      <c r="P11">
        <v>2</v>
      </c>
    </row>
    <row r="12" spans="1:18">
      <c r="A12">
        <v>1940</v>
      </c>
      <c r="B12" t="s">
        <v>2993</v>
      </c>
      <c r="C12">
        <v>1</v>
      </c>
      <c r="E12">
        <v>4</v>
      </c>
      <c r="F12">
        <v>7</v>
      </c>
      <c r="G12">
        <v>3</v>
      </c>
      <c r="H12">
        <v>2</v>
      </c>
      <c r="M12">
        <v>5</v>
      </c>
      <c r="O12">
        <v>2</v>
      </c>
      <c r="P12">
        <v>1</v>
      </c>
    </row>
    <row r="13" spans="1:18">
      <c r="A13">
        <v>1960</v>
      </c>
      <c r="B13" t="s">
        <v>2993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M13">
        <v>5</v>
      </c>
      <c r="P13">
        <v>1</v>
      </c>
      <c r="Q13">
        <v>5</v>
      </c>
    </row>
    <row r="14" spans="1:18">
      <c r="A14">
        <v>1980</v>
      </c>
      <c r="B14" t="s">
        <v>2993</v>
      </c>
      <c r="E14">
        <v>3</v>
      </c>
      <c r="F14">
        <v>1</v>
      </c>
      <c r="G14">
        <v>2</v>
      </c>
      <c r="H14">
        <v>2</v>
      </c>
      <c r="I14">
        <v>2</v>
      </c>
      <c r="L14">
        <v>1</v>
      </c>
      <c r="M14">
        <v>7</v>
      </c>
      <c r="P14">
        <v>1</v>
      </c>
      <c r="Q14">
        <v>3</v>
      </c>
    </row>
    <row r="15" spans="1:18">
      <c r="A15">
        <v>2000</v>
      </c>
      <c r="B15" t="s">
        <v>2993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M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2993</v>
      </c>
      <c r="M16">
        <v>10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2993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6.53515625" bestFit="1" customWidth="1"/>
    <col min="13" max="13" width="15.4609375" bestFit="1" customWidth="1"/>
    <col min="14" max="14" width="13.84375" bestFit="1" customWidth="1"/>
    <col min="15" max="15" width="10.07421875" bestFit="1" customWidth="1"/>
    <col min="16" max="16" width="13.15234375" bestFit="1" customWidth="1"/>
    <col min="17" max="17" width="8.9218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2982</v>
      </c>
      <c r="C3" s="34" t="s">
        <v>2279</v>
      </c>
    </row>
    <row r="4" spans="1:17">
      <c r="A4" s="34" t="s">
        <v>2991</v>
      </c>
      <c r="B4" s="34" t="s">
        <v>911</v>
      </c>
      <c r="C4" t="s">
        <v>2983</v>
      </c>
      <c r="D4" t="s">
        <v>2988</v>
      </c>
      <c r="E4" t="s">
        <v>2985</v>
      </c>
      <c r="F4" t="s">
        <v>2978</v>
      </c>
      <c r="G4" t="s">
        <v>2984</v>
      </c>
      <c r="H4" t="s">
        <v>2979</v>
      </c>
      <c r="I4" t="s">
        <v>2989</v>
      </c>
      <c r="J4" t="s">
        <v>2980</v>
      </c>
      <c r="K4" t="s">
        <v>2981</v>
      </c>
      <c r="L4" t="s">
        <v>2994</v>
      </c>
      <c r="M4" t="s">
        <v>2995</v>
      </c>
      <c r="N4" t="s">
        <v>2996</v>
      </c>
      <c r="O4" t="s">
        <v>2997</v>
      </c>
      <c r="P4" t="s">
        <v>2998</v>
      </c>
      <c r="Q4" t="s">
        <v>2999</v>
      </c>
    </row>
    <row r="5" spans="1:17">
      <c r="A5">
        <v>1660</v>
      </c>
      <c r="B5" t="s">
        <v>2993</v>
      </c>
      <c r="L5">
        <v>1</v>
      </c>
    </row>
    <row r="6" spans="1:17">
      <c r="A6">
        <v>1820</v>
      </c>
      <c r="B6" t="s">
        <v>2993</v>
      </c>
      <c r="L6">
        <v>4</v>
      </c>
      <c r="N6">
        <v>1</v>
      </c>
      <c r="O6">
        <v>1</v>
      </c>
    </row>
    <row r="7" spans="1:17">
      <c r="A7">
        <v>1840</v>
      </c>
      <c r="B7" t="s">
        <v>2993</v>
      </c>
      <c r="N7">
        <v>1</v>
      </c>
      <c r="O7">
        <v>1</v>
      </c>
    </row>
    <row r="8" spans="1:17">
      <c r="A8">
        <v>1860</v>
      </c>
      <c r="B8" t="s">
        <v>2993</v>
      </c>
      <c r="J8">
        <v>1</v>
      </c>
    </row>
    <row r="9" spans="1:17">
      <c r="A9">
        <v>1880</v>
      </c>
      <c r="B9" t="s">
        <v>2993</v>
      </c>
      <c r="L9">
        <v>3</v>
      </c>
    </row>
    <row r="10" spans="1:17">
      <c r="A10">
        <v>1900</v>
      </c>
      <c r="B10" t="s">
        <v>2993</v>
      </c>
      <c r="E10">
        <v>1</v>
      </c>
      <c r="G10">
        <v>1</v>
      </c>
      <c r="H10">
        <v>1</v>
      </c>
      <c r="I10">
        <v>4</v>
      </c>
      <c r="L10">
        <v>3</v>
      </c>
      <c r="N10">
        <v>1</v>
      </c>
      <c r="O10">
        <v>1</v>
      </c>
    </row>
    <row r="11" spans="1:17">
      <c r="A11">
        <v>1920</v>
      </c>
      <c r="B11" t="s">
        <v>2993</v>
      </c>
      <c r="C11">
        <v>1</v>
      </c>
      <c r="D11">
        <v>1</v>
      </c>
      <c r="E11">
        <v>2</v>
      </c>
      <c r="F11">
        <v>1</v>
      </c>
      <c r="L11">
        <v>6</v>
      </c>
      <c r="N11">
        <v>3</v>
      </c>
      <c r="O11">
        <v>2</v>
      </c>
    </row>
    <row r="12" spans="1:17">
      <c r="A12">
        <v>1940</v>
      </c>
      <c r="B12" t="s">
        <v>2993</v>
      </c>
      <c r="E12">
        <v>3</v>
      </c>
      <c r="F12">
        <v>2</v>
      </c>
      <c r="L12">
        <v>5</v>
      </c>
      <c r="N12">
        <v>2</v>
      </c>
      <c r="O12">
        <v>1</v>
      </c>
    </row>
    <row r="13" spans="1:17">
      <c r="A13">
        <v>1960</v>
      </c>
      <c r="B13" t="s">
        <v>2993</v>
      </c>
      <c r="C13">
        <v>2</v>
      </c>
      <c r="E13">
        <v>4</v>
      </c>
      <c r="F13">
        <v>2</v>
      </c>
      <c r="G13">
        <v>2</v>
      </c>
      <c r="H13">
        <v>1</v>
      </c>
      <c r="L13">
        <v>5</v>
      </c>
      <c r="O13">
        <v>1</v>
      </c>
      <c r="P13">
        <v>5</v>
      </c>
    </row>
    <row r="14" spans="1:17">
      <c r="A14">
        <v>1980</v>
      </c>
      <c r="B14" t="s">
        <v>2993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L14">
        <v>7</v>
      </c>
      <c r="O14">
        <v>1</v>
      </c>
      <c r="P14">
        <v>3</v>
      </c>
    </row>
    <row r="15" spans="1:17">
      <c r="A15">
        <v>2000</v>
      </c>
      <c r="B15" t="s">
        <v>2993</v>
      </c>
      <c r="C15">
        <v>2</v>
      </c>
      <c r="E15">
        <v>1</v>
      </c>
      <c r="G15">
        <v>1</v>
      </c>
      <c r="H15">
        <v>2</v>
      </c>
      <c r="I15">
        <v>2</v>
      </c>
      <c r="L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2993</v>
      </c>
      <c r="L16">
        <v>10</v>
      </c>
      <c r="M16">
        <v>1</v>
      </c>
      <c r="O16">
        <v>1</v>
      </c>
      <c r="P16">
        <v>1</v>
      </c>
      <c r="Q16">
        <v>3</v>
      </c>
    </row>
    <row r="17" spans="1:11">
      <c r="A17">
        <v>2040</v>
      </c>
      <c r="B17" t="s">
        <v>2993</v>
      </c>
      <c r="K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14.765625" bestFit="1" customWidth="1"/>
    <col min="13" max="13" width="20" bestFit="1" customWidth="1"/>
    <col min="14" max="14" width="6.53515625" bestFit="1" customWidth="1"/>
    <col min="15" max="15" width="15.4609375" bestFit="1" customWidth="1"/>
    <col min="16" max="16" width="13.84375" bestFit="1" customWidth="1"/>
    <col min="17" max="17" width="10.07421875" bestFit="1" customWidth="1"/>
    <col min="18" max="18" width="13.15234375" bestFit="1" customWidth="1"/>
    <col min="19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2982</v>
      </c>
      <c r="C3" s="34" t="s">
        <v>2279</v>
      </c>
    </row>
    <row r="4" spans="1:19">
      <c r="A4" s="34" t="s">
        <v>2991</v>
      </c>
      <c r="B4" s="34" t="s">
        <v>912</v>
      </c>
      <c r="C4" t="s">
        <v>2983</v>
      </c>
      <c r="D4" t="s">
        <v>2977</v>
      </c>
      <c r="E4" t="s">
        <v>2988</v>
      </c>
      <c r="F4" t="s">
        <v>2985</v>
      </c>
      <c r="G4" t="s">
        <v>2978</v>
      </c>
      <c r="H4" t="s">
        <v>2984</v>
      </c>
      <c r="I4" t="s">
        <v>2979</v>
      </c>
      <c r="J4" t="s">
        <v>2989</v>
      </c>
      <c r="K4" t="s">
        <v>2980</v>
      </c>
      <c r="L4" t="s">
        <v>2987</v>
      </c>
      <c r="M4" t="s">
        <v>2981</v>
      </c>
      <c r="N4" t="s">
        <v>2994</v>
      </c>
      <c r="O4" t="s">
        <v>2995</v>
      </c>
      <c r="P4" t="s">
        <v>2996</v>
      </c>
      <c r="Q4" t="s">
        <v>2997</v>
      </c>
      <c r="R4" t="s">
        <v>2998</v>
      </c>
      <c r="S4" t="s">
        <v>2999</v>
      </c>
    </row>
    <row r="5" spans="1:19">
      <c r="A5">
        <v>1660</v>
      </c>
      <c r="B5" t="s">
        <v>2993</v>
      </c>
      <c r="N5">
        <v>2</v>
      </c>
    </row>
    <row r="6" spans="1:19">
      <c r="A6">
        <v>1820</v>
      </c>
      <c r="B6" t="s">
        <v>2993</v>
      </c>
      <c r="N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2993</v>
      </c>
      <c r="K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2993</v>
      </c>
      <c r="H8">
        <v>1</v>
      </c>
      <c r="K8">
        <v>3</v>
      </c>
      <c r="N8">
        <v>4</v>
      </c>
    </row>
    <row r="9" spans="1:19">
      <c r="A9">
        <v>1900</v>
      </c>
      <c r="B9" t="s">
        <v>2993</v>
      </c>
      <c r="G9">
        <v>1</v>
      </c>
      <c r="H9">
        <v>3</v>
      </c>
      <c r="J9">
        <v>4</v>
      </c>
      <c r="N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2993</v>
      </c>
      <c r="C10">
        <v>1</v>
      </c>
      <c r="F10">
        <v>3</v>
      </c>
      <c r="G10">
        <v>1</v>
      </c>
      <c r="I10">
        <v>2</v>
      </c>
      <c r="K10">
        <v>3</v>
      </c>
      <c r="N10">
        <v>8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2993</v>
      </c>
      <c r="C11">
        <v>1</v>
      </c>
      <c r="E11">
        <v>1</v>
      </c>
      <c r="F11">
        <v>7</v>
      </c>
      <c r="G11">
        <v>2</v>
      </c>
      <c r="I11">
        <v>1</v>
      </c>
      <c r="N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2993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N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2993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K13">
        <v>1</v>
      </c>
      <c r="M13">
        <v>2</v>
      </c>
      <c r="N13">
        <v>8</v>
      </c>
      <c r="Q13">
        <v>1</v>
      </c>
      <c r="R13">
        <v>1</v>
      </c>
    </row>
    <row r="14" spans="1:19">
      <c r="A14">
        <v>2000</v>
      </c>
      <c r="B14" t="s">
        <v>2993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L14">
        <v>1</v>
      </c>
      <c r="M14">
        <v>2</v>
      </c>
      <c r="N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2993</v>
      </c>
      <c r="M15">
        <v>1</v>
      </c>
      <c r="N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2993</v>
      </c>
      <c r="M16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15" bestFit="1" customWidth="1"/>
    <col min="11" max="11" width="20" bestFit="1" customWidth="1"/>
    <col min="12" max="12" width="6.53515625" bestFit="1" customWidth="1"/>
    <col min="13" max="13" width="15.4609375" bestFit="1" customWidth="1"/>
    <col min="14" max="14" width="13.84375" bestFit="1" customWidth="1"/>
    <col min="15" max="15" width="10.07421875" bestFit="1" customWidth="1"/>
    <col min="16" max="16" width="13.15234375" bestFit="1" customWidth="1"/>
    <col min="17" max="17" width="8.9218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2982</v>
      </c>
      <c r="C3" s="34" t="s">
        <v>2279</v>
      </c>
    </row>
    <row r="4" spans="1:17">
      <c r="A4" s="34" t="s">
        <v>2991</v>
      </c>
      <c r="B4" s="34" t="s">
        <v>906</v>
      </c>
      <c r="C4" t="s">
        <v>2983</v>
      </c>
      <c r="D4" t="s">
        <v>2977</v>
      </c>
      <c r="E4" t="s">
        <v>2988</v>
      </c>
      <c r="F4" t="s">
        <v>2985</v>
      </c>
      <c r="G4" t="s">
        <v>2978</v>
      </c>
      <c r="H4" t="s">
        <v>2984</v>
      </c>
      <c r="I4" t="s">
        <v>2989</v>
      </c>
      <c r="J4" t="s">
        <v>2980</v>
      </c>
      <c r="K4" t="s">
        <v>2981</v>
      </c>
      <c r="L4" t="s">
        <v>2994</v>
      </c>
      <c r="M4" t="s">
        <v>2995</v>
      </c>
      <c r="N4" t="s">
        <v>2996</v>
      </c>
      <c r="O4" t="s">
        <v>2997</v>
      </c>
      <c r="P4" t="s">
        <v>2998</v>
      </c>
      <c r="Q4" t="s">
        <v>2999</v>
      </c>
    </row>
    <row r="5" spans="1:17">
      <c r="A5">
        <v>1820</v>
      </c>
      <c r="B5" t="s">
        <v>2993</v>
      </c>
      <c r="L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2993</v>
      </c>
      <c r="J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2993</v>
      </c>
      <c r="C7">
        <v>1</v>
      </c>
      <c r="F7">
        <v>1</v>
      </c>
      <c r="L7">
        <v>2</v>
      </c>
    </row>
    <row r="8" spans="1:17">
      <c r="A8">
        <v>1900</v>
      </c>
      <c r="B8" t="s">
        <v>2993</v>
      </c>
      <c r="C8">
        <v>2</v>
      </c>
      <c r="F8">
        <v>1</v>
      </c>
      <c r="I8">
        <v>4</v>
      </c>
      <c r="J8">
        <v>1</v>
      </c>
      <c r="L8">
        <v>3</v>
      </c>
      <c r="M8">
        <v>1</v>
      </c>
      <c r="N8">
        <v>3</v>
      </c>
      <c r="O8">
        <v>2</v>
      </c>
    </row>
    <row r="9" spans="1:17">
      <c r="A9">
        <v>1920</v>
      </c>
      <c r="B9" t="s">
        <v>2993</v>
      </c>
      <c r="C9">
        <v>3</v>
      </c>
      <c r="E9">
        <v>1</v>
      </c>
      <c r="F9">
        <v>3</v>
      </c>
      <c r="G9">
        <v>1</v>
      </c>
      <c r="H9">
        <v>1</v>
      </c>
      <c r="J9">
        <v>1</v>
      </c>
      <c r="L9">
        <v>4</v>
      </c>
      <c r="M9">
        <v>2</v>
      </c>
      <c r="N9">
        <v>4</v>
      </c>
      <c r="O9">
        <v>3</v>
      </c>
    </row>
    <row r="10" spans="1:17">
      <c r="A10">
        <v>1940</v>
      </c>
      <c r="B10" t="s">
        <v>2993</v>
      </c>
      <c r="C10">
        <v>2</v>
      </c>
      <c r="E10">
        <v>1</v>
      </c>
      <c r="F10">
        <v>3</v>
      </c>
      <c r="G10">
        <v>2</v>
      </c>
      <c r="J10">
        <v>1</v>
      </c>
      <c r="L10">
        <v>3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2993</v>
      </c>
      <c r="C11">
        <v>3</v>
      </c>
      <c r="F11">
        <v>3</v>
      </c>
      <c r="L11">
        <v>4</v>
      </c>
      <c r="O11">
        <v>1</v>
      </c>
      <c r="P11">
        <v>5</v>
      </c>
    </row>
    <row r="12" spans="1:17">
      <c r="A12">
        <v>1980</v>
      </c>
      <c r="B12" t="s">
        <v>2993</v>
      </c>
      <c r="C12">
        <v>2</v>
      </c>
      <c r="D12">
        <v>1</v>
      </c>
      <c r="F12">
        <v>4</v>
      </c>
      <c r="I12">
        <v>2</v>
      </c>
      <c r="L12">
        <v>6</v>
      </c>
      <c r="O12">
        <v>1</v>
      </c>
      <c r="P12">
        <v>3</v>
      </c>
    </row>
    <row r="13" spans="1:17">
      <c r="A13">
        <v>2000</v>
      </c>
      <c r="B13" t="s">
        <v>2993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L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2993</v>
      </c>
      <c r="L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2993</v>
      </c>
      <c r="K15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5" bestFit="1" customWidth="1"/>
    <col min="13" max="13" width="14.765625" bestFit="1" customWidth="1"/>
    <col min="14" max="14" width="20" bestFit="1" customWidth="1"/>
    <col min="15" max="15" width="25" bestFit="1" customWidth="1"/>
    <col min="16" max="16" width="6.53515625" bestFit="1" customWidth="1"/>
    <col min="17" max="17" width="15.4609375" bestFit="1" customWidth="1"/>
    <col min="18" max="18" width="13.84375" bestFit="1" customWidth="1"/>
    <col min="19" max="19" width="10.07421875" bestFit="1" customWidth="1"/>
    <col min="20" max="20" width="13.15234375" bestFit="1" customWidth="1"/>
    <col min="21" max="22" width="8.921875" bestFit="1" customWidth="1"/>
  </cols>
  <sheetData>
    <row r="3" spans="1:21">
      <c r="A3" s="34" t="s">
        <v>2982</v>
      </c>
      <c r="C3" s="34" t="s">
        <v>2279</v>
      </c>
    </row>
    <row r="4" spans="1:21">
      <c r="A4" s="34" t="s">
        <v>2991</v>
      </c>
      <c r="B4" s="34" t="s">
        <v>904</v>
      </c>
      <c r="C4" t="s">
        <v>2983</v>
      </c>
      <c r="D4" t="s">
        <v>2977</v>
      </c>
      <c r="E4" t="s">
        <v>2988</v>
      </c>
      <c r="F4" t="s">
        <v>2985</v>
      </c>
      <c r="G4" t="s">
        <v>2978</v>
      </c>
      <c r="H4" t="s">
        <v>2984</v>
      </c>
      <c r="I4" t="s">
        <v>2979</v>
      </c>
      <c r="J4" t="s">
        <v>2989</v>
      </c>
      <c r="K4" t="s">
        <v>2986</v>
      </c>
      <c r="L4" t="s">
        <v>2980</v>
      </c>
      <c r="M4" t="s">
        <v>2987</v>
      </c>
      <c r="N4" t="s">
        <v>2981</v>
      </c>
      <c r="O4" t="s">
        <v>2990</v>
      </c>
      <c r="P4" t="s">
        <v>2994</v>
      </c>
      <c r="Q4" t="s">
        <v>2995</v>
      </c>
      <c r="R4" t="s">
        <v>2996</v>
      </c>
      <c r="S4" t="s">
        <v>2997</v>
      </c>
      <c r="T4" t="s">
        <v>2998</v>
      </c>
      <c r="U4" t="s">
        <v>2999</v>
      </c>
    </row>
    <row r="5" spans="1:21">
      <c r="A5">
        <v>1660</v>
      </c>
      <c r="B5" t="s">
        <v>2993</v>
      </c>
      <c r="P5">
        <v>1</v>
      </c>
    </row>
    <row r="6" spans="1:21">
      <c r="A6">
        <v>1820</v>
      </c>
      <c r="B6" t="s">
        <v>2993</v>
      </c>
      <c r="L6">
        <v>1</v>
      </c>
      <c r="P6">
        <v>4</v>
      </c>
      <c r="Q6">
        <v>1</v>
      </c>
      <c r="R6">
        <v>1</v>
      </c>
      <c r="S6">
        <v>1</v>
      </c>
    </row>
    <row r="7" spans="1:21">
      <c r="A7">
        <v>1840</v>
      </c>
      <c r="B7" t="s">
        <v>2993</v>
      </c>
      <c r="F7">
        <v>1</v>
      </c>
      <c r="L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2993</v>
      </c>
      <c r="F8">
        <v>1</v>
      </c>
    </row>
    <row r="9" spans="1:21">
      <c r="A9">
        <v>1880</v>
      </c>
      <c r="B9" t="s">
        <v>2993</v>
      </c>
      <c r="C9">
        <v>1</v>
      </c>
      <c r="F9">
        <v>1</v>
      </c>
      <c r="H9">
        <v>1</v>
      </c>
      <c r="L9">
        <v>3</v>
      </c>
      <c r="P9">
        <v>3</v>
      </c>
    </row>
    <row r="10" spans="1:21">
      <c r="A10">
        <v>1900</v>
      </c>
      <c r="B10" t="s">
        <v>2993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L10">
        <v>4</v>
      </c>
      <c r="P10">
        <v>3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2993</v>
      </c>
      <c r="C11">
        <v>9</v>
      </c>
      <c r="D11">
        <v>1</v>
      </c>
      <c r="F11">
        <v>6</v>
      </c>
      <c r="G11">
        <v>1</v>
      </c>
      <c r="I11">
        <v>1</v>
      </c>
      <c r="L11">
        <v>5</v>
      </c>
      <c r="N11">
        <v>1</v>
      </c>
      <c r="P11">
        <v>6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2993</v>
      </c>
      <c r="C12">
        <v>6</v>
      </c>
      <c r="D12">
        <v>1</v>
      </c>
      <c r="F12">
        <v>9</v>
      </c>
      <c r="I12">
        <v>2</v>
      </c>
      <c r="K12">
        <v>1</v>
      </c>
      <c r="L12">
        <v>4</v>
      </c>
      <c r="P12">
        <v>5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2993</v>
      </c>
      <c r="C13">
        <v>7</v>
      </c>
      <c r="D13">
        <v>2</v>
      </c>
      <c r="E13">
        <v>4</v>
      </c>
      <c r="F13">
        <v>4</v>
      </c>
      <c r="I13">
        <v>3</v>
      </c>
      <c r="O13">
        <v>1</v>
      </c>
      <c r="P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2993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M14">
        <v>1</v>
      </c>
      <c r="O14">
        <v>4</v>
      </c>
      <c r="P14">
        <v>7</v>
      </c>
      <c r="S14">
        <v>1</v>
      </c>
      <c r="T14">
        <v>1</v>
      </c>
    </row>
    <row r="15" spans="1:21">
      <c r="A15">
        <v>2000</v>
      </c>
      <c r="B15" t="s">
        <v>2993</v>
      </c>
      <c r="C15">
        <v>2</v>
      </c>
      <c r="D15">
        <v>2</v>
      </c>
      <c r="F15">
        <v>5</v>
      </c>
      <c r="I15">
        <v>1</v>
      </c>
      <c r="J15">
        <v>2</v>
      </c>
      <c r="N15">
        <v>3</v>
      </c>
      <c r="O15">
        <v>2</v>
      </c>
      <c r="P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2993</v>
      </c>
      <c r="N16">
        <v>1</v>
      </c>
      <c r="P16">
        <v>12</v>
      </c>
      <c r="Q16">
        <v>1</v>
      </c>
      <c r="S16">
        <v>1</v>
      </c>
      <c r="T16">
        <v>1</v>
      </c>
      <c r="U16">
        <v>3</v>
      </c>
    </row>
    <row r="17" spans="1:14">
      <c r="A17">
        <v>2040</v>
      </c>
      <c r="B17" t="s">
        <v>2993</v>
      </c>
      <c r="N17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20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2982</v>
      </c>
      <c r="C3" s="34" t="s">
        <v>2279</v>
      </c>
    </row>
    <row r="4" spans="1:18">
      <c r="A4" s="34" t="s">
        <v>2991</v>
      </c>
      <c r="B4" s="34" t="s">
        <v>910</v>
      </c>
      <c r="C4" t="s">
        <v>2983</v>
      </c>
      <c r="D4" t="s">
        <v>2977</v>
      </c>
      <c r="E4" t="s">
        <v>2988</v>
      </c>
      <c r="F4" t="s">
        <v>2985</v>
      </c>
      <c r="G4" t="s">
        <v>2978</v>
      </c>
      <c r="H4" t="s">
        <v>2984</v>
      </c>
      <c r="I4" t="s">
        <v>2979</v>
      </c>
      <c r="J4" t="s">
        <v>2989</v>
      </c>
      <c r="K4" t="s">
        <v>2980</v>
      </c>
      <c r="L4" t="s">
        <v>2981</v>
      </c>
      <c r="M4" t="s">
        <v>2994</v>
      </c>
      <c r="N4" t="s">
        <v>2995</v>
      </c>
      <c r="O4" t="s">
        <v>2996</v>
      </c>
      <c r="P4" t="s">
        <v>2997</v>
      </c>
      <c r="Q4" t="s">
        <v>2998</v>
      </c>
      <c r="R4" t="s">
        <v>2999</v>
      </c>
    </row>
    <row r="5" spans="1:18">
      <c r="A5">
        <v>1660</v>
      </c>
      <c r="B5" t="s">
        <v>2993</v>
      </c>
      <c r="M5">
        <v>1</v>
      </c>
    </row>
    <row r="6" spans="1:18">
      <c r="A6">
        <v>1820</v>
      </c>
      <c r="B6" t="s">
        <v>2993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2993</v>
      </c>
      <c r="N7">
        <v>2</v>
      </c>
      <c r="O7">
        <v>2</v>
      </c>
      <c r="P7">
        <v>2</v>
      </c>
    </row>
    <row r="8" spans="1:18">
      <c r="A8">
        <v>1880</v>
      </c>
      <c r="B8" t="s">
        <v>2993</v>
      </c>
      <c r="I8">
        <v>1</v>
      </c>
      <c r="K8">
        <v>1</v>
      </c>
      <c r="M8">
        <v>3</v>
      </c>
    </row>
    <row r="9" spans="1:18">
      <c r="A9">
        <v>1900</v>
      </c>
      <c r="B9" t="s">
        <v>2993</v>
      </c>
      <c r="C9">
        <v>1</v>
      </c>
      <c r="H9">
        <v>1</v>
      </c>
      <c r="J9">
        <v>4</v>
      </c>
      <c r="K9">
        <v>1</v>
      </c>
      <c r="M9">
        <v>3</v>
      </c>
      <c r="N9">
        <v>1</v>
      </c>
      <c r="O9">
        <v>2</v>
      </c>
      <c r="P9">
        <v>1</v>
      </c>
    </row>
    <row r="10" spans="1:18">
      <c r="A10">
        <v>1920</v>
      </c>
      <c r="B10" t="s">
        <v>2993</v>
      </c>
      <c r="C10">
        <v>4</v>
      </c>
      <c r="E10">
        <v>1</v>
      </c>
      <c r="F10">
        <v>1</v>
      </c>
      <c r="G10">
        <v>1</v>
      </c>
      <c r="H10">
        <v>1</v>
      </c>
      <c r="M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2993</v>
      </c>
      <c r="C11">
        <v>2</v>
      </c>
      <c r="F11">
        <v>3</v>
      </c>
      <c r="G11">
        <v>2</v>
      </c>
      <c r="K11">
        <v>1</v>
      </c>
      <c r="M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2993</v>
      </c>
      <c r="C12">
        <v>4</v>
      </c>
      <c r="F12">
        <v>6</v>
      </c>
      <c r="G12">
        <v>1</v>
      </c>
      <c r="I12">
        <v>2</v>
      </c>
      <c r="M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2993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M13">
        <v>7</v>
      </c>
      <c r="P13">
        <v>1</v>
      </c>
      <c r="Q13">
        <v>1</v>
      </c>
    </row>
    <row r="14" spans="1:18">
      <c r="A14">
        <v>2000</v>
      </c>
      <c r="B14" t="s">
        <v>2993</v>
      </c>
      <c r="C14">
        <v>4</v>
      </c>
      <c r="D14">
        <v>2</v>
      </c>
      <c r="E14">
        <v>3</v>
      </c>
      <c r="J14">
        <v>2</v>
      </c>
      <c r="M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2993</v>
      </c>
      <c r="L15">
        <v>1</v>
      </c>
      <c r="M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2993</v>
      </c>
      <c r="L16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4" sqref="B4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25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2982</v>
      </c>
      <c r="C3" s="34" t="s">
        <v>2279</v>
      </c>
    </row>
    <row r="4" spans="1:18">
      <c r="A4" s="34" t="s">
        <v>2991</v>
      </c>
      <c r="B4" s="34" t="s">
        <v>905</v>
      </c>
      <c r="C4" t="s">
        <v>2983</v>
      </c>
      <c r="D4" t="s">
        <v>2977</v>
      </c>
      <c r="E4" t="s">
        <v>2988</v>
      </c>
      <c r="F4" t="s">
        <v>2985</v>
      </c>
      <c r="G4" t="s">
        <v>2984</v>
      </c>
      <c r="H4" t="s">
        <v>2979</v>
      </c>
      <c r="I4" t="s">
        <v>2989</v>
      </c>
      <c r="J4" t="s">
        <v>2980</v>
      </c>
      <c r="K4" t="s">
        <v>2981</v>
      </c>
      <c r="L4" t="s">
        <v>2990</v>
      </c>
      <c r="M4" t="s">
        <v>2994</v>
      </c>
      <c r="N4" t="s">
        <v>2995</v>
      </c>
      <c r="O4" t="s">
        <v>2996</v>
      </c>
      <c r="P4" t="s">
        <v>2997</v>
      </c>
      <c r="Q4" t="s">
        <v>2998</v>
      </c>
      <c r="R4" t="s">
        <v>2999</v>
      </c>
    </row>
    <row r="5" spans="1:18">
      <c r="A5">
        <v>1660</v>
      </c>
      <c r="B5" t="s">
        <v>2993</v>
      </c>
      <c r="M5">
        <v>1</v>
      </c>
    </row>
    <row r="6" spans="1:18">
      <c r="A6">
        <v>1820</v>
      </c>
      <c r="B6" t="s">
        <v>2993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2993</v>
      </c>
      <c r="N7">
        <v>2</v>
      </c>
      <c r="O7">
        <v>2</v>
      </c>
      <c r="P7">
        <v>2</v>
      </c>
    </row>
    <row r="8" spans="1:18">
      <c r="A8">
        <v>1880</v>
      </c>
      <c r="B8" t="s">
        <v>2993</v>
      </c>
      <c r="J8">
        <v>1</v>
      </c>
      <c r="M8">
        <v>3</v>
      </c>
    </row>
    <row r="9" spans="1:18">
      <c r="A9">
        <v>1900</v>
      </c>
      <c r="B9" t="s">
        <v>2993</v>
      </c>
      <c r="C9">
        <v>1</v>
      </c>
      <c r="F9">
        <v>2</v>
      </c>
      <c r="I9">
        <v>4</v>
      </c>
      <c r="J9">
        <v>1</v>
      </c>
      <c r="M9">
        <v>3</v>
      </c>
      <c r="N9">
        <v>1</v>
      </c>
      <c r="O9">
        <v>2</v>
      </c>
      <c r="P9">
        <v>1</v>
      </c>
    </row>
    <row r="10" spans="1:18">
      <c r="A10">
        <v>1920</v>
      </c>
      <c r="B10" t="s">
        <v>2993</v>
      </c>
      <c r="C10">
        <v>2</v>
      </c>
      <c r="D10">
        <v>1</v>
      </c>
      <c r="E10">
        <v>1</v>
      </c>
      <c r="F10">
        <v>1</v>
      </c>
      <c r="G10">
        <v>1</v>
      </c>
      <c r="J10">
        <v>1</v>
      </c>
      <c r="M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2993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M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2993</v>
      </c>
      <c r="C12">
        <v>4</v>
      </c>
      <c r="E12">
        <v>1</v>
      </c>
      <c r="F12">
        <v>6</v>
      </c>
      <c r="H12">
        <v>1</v>
      </c>
      <c r="M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2993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L13">
        <v>1</v>
      </c>
      <c r="M13">
        <v>7</v>
      </c>
      <c r="P13">
        <v>1</v>
      </c>
      <c r="Q13">
        <v>1</v>
      </c>
    </row>
    <row r="14" spans="1:18">
      <c r="A14">
        <v>2000</v>
      </c>
      <c r="B14" t="s">
        <v>2993</v>
      </c>
      <c r="E14">
        <v>1</v>
      </c>
      <c r="F14">
        <v>1</v>
      </c>
      <c r="I14">
        <v>2</v>
      </c>
      <c r="K14">
        <v>3</v>
      </c>
      <c r="M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2993</v>
      </c>
      <c r="H15">
        <v>1</v>
      </c>
      <c r="K15">
        <v>1</v>
      </c>
      <c r="M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2993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04"/>
  <sheetViews>
    <sheetView workbookViewId="0">
      <pane xSplit="1" ySplit="1" topLeftCell="B770" activePane="bottomRight" state="frozen"/>
      <selection pane="topRight" activeCell="B1" sqref="B1"/>
      <selection pane="bottomLeft" activeCell="A2" sqref="A2"/>
      <selection pane="bottomRight" activeCell="B795" sqref="B795:O795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2991</v>
      </c>
      <c r="C1" t="s">
        <v>2279</v>
      </c>
      <c r="D1" s="36" t="s">
        <v>684</v>
      </c>
      <c r="E1" s="36" t="s">
        <v>685</v>
      </c>
      <c r="F1" s="36" t="s">
        <v>2992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804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 (Freight)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 (Freight)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 (Freight)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 (Freight)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 (Freight)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 (Freight)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 (Freight)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 (Freight)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 (Freight)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 (Freight)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 (Freight)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 (Freight)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 (Freight)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 (Freight)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 (Freight)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 (Freight)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 (Freight)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 (Freight)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 (Freight)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 (Freight)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 (Freight)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 (Freight)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 (Freight)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 (Freight)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 (Freight)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 (Freight)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 (Freight)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 (Freight)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 (Freight)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 (Freight)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 (Freight)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 (Freight)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 (Freight)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 (Freight)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 (Freight)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 (Freight)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 (Freight)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1960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 (Freight)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 (Freight)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 (Freight)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 (Freight)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 (Freight)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 (Freight)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 (Freight)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 (Freight)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 (Freight)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 (Freight)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 (Freight)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 (Freight)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 (Freight)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 (Freight)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 (Freight)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REGIONTYPE1</v>
      </c>
      <c r="E572" s="36" t="str">
        <f>_xlfn.XLOOKUP($A572,PROPERTIES[VEHIDCODE],PROPERTIES[REGION2])</f>
        <v>NO_REGION</v>
      </c>
      <c r="F572" s="36" t="str">
        <f t="shared" si="53"/>
        <v>REGIONTYPE1_NO_REGION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0</v>
      </c>
      <c r="N572" t="b">
        <f t="shared" si="57"/>
        <v>0</v>
      </c>
      <c r="O572" t="b">
        <f t="shared" si="58"/>
        <v>0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REGIONTYPE2</v>
      </c>
      <c r="E573" s="36" t="str">
        <f>_xlfn.XLOOKUP($A573,PROPERTIES[VEHIDCODE],PROPERTIES[REGION2])</f>
        <v>NO_REGION</v>
      </c>
      <c r="F573" s="36" t="str">
        <f t="shared" si="53"/>
        <v>REGIONTYPE2_NO_REGION</v>
      </c>
      <c r="G573" t="b">
        <f t="shared" si="54"/>
        <v>1</v>
      </c>
      <c r="H573" t="b">
        <f t="shared" si="55"/>
        <v>1</v>
      </c>
      <c r="I573" t="b">
        <f t="shared" si="56"/>
        <v>0</v>
      </c>
      <c r="J573" t="b">
        <f t="shared" si="52"/>
        <v>0</v>
      </c>
      <c r="K573" t="b">
        <f t="shared" si="52"/>
        <v>0</v>
      </c>
      <c r="L573" t="b">
        <f t="shared" si="52"/>
        <v>0</v>
      </c>
      <c r="M573" t="b">
        <f t="shared" si="57"/>
        <v>1</v>
      </c>
      <c r="N573" t="b">
        <f t="shared" si="57"/>
        <v>1</v>
      </c>
      <c r="O573" t="b">
        <f t="shared" si="58"/>
        <v>0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REGIONTYPE1</v>
      </c>
      <c r="E581" s="36" t="str">
        <f>_xlfn.XLOOKUP($A581,PROPERTIES[VEHIDCODE],PROPERTIES[REGION2])</f>
        <v>NO_REGION</v>
      </c>
      <c r="F581" s="36" t="str">
        <f t="shared" si="59"/>
        <v>REGIONTYPE1_NO_REGION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0</v>
      </c>
      <c r="N581" t="b">
        <f t="shared" si="63"/>
        <v>0</v>
      </c>
      <c r="O581" t="b">
        <f t="shared" si="64"/>
        <v>0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REGIONTYPE1</v>
      </c>
      <c r="E583" s="36" t="str">
        <f>_xlfn.XLOOKUP($A583,PROPERTIES[VEHIDCODE],PROPERTIES[REGION2])</f>
        <v>NO_REGION</v>
      </c>
      <c r="F583" s="36" t="str">
        <f t="shared" si="59"/>
        <v>REGIONTYPE1_NO_REGION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0</v>
      </c>
      <c r="N583" t="b">
        <f t="shared" si="63"/>
        <v>0</v>
      </c>
      <c r="O583" t="b">
        <f t="shared" si="64"/>
        <v>0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REGIONTYPE2</v>
      </c>
      <c r="E584" s="36" t="str">
        <f>_xlfn.XLOOKUP($A584,PROPERTIES[VEHIDCODE],PROPERTIES[REGION2])</f>
        <v>NO_REGION</v>
      </c>
      <c r="F584" s="36" t="str">
        <f t="shared" si="59"/>
        <v>REGIONTYPE2_NO_REGION</v>
      </c>
      <c r="G584" t="b">
        <f t="shared" si="60"/>
        <v>1</v>
      </c>
      <c r="H584" t="b">
        <f t="shared" si="61"/>
        <v>1</v>
      </c>
      <c r="I584" t="b">
        <f t="shared" si="62"/>
        <v>0</v>
      </c>
      <c r="J584" t="b">
        <f t="shared" si="62"/>
        <v>0</v>
      </c>
      <c r="K584" t="b">
        <f t="shared" si="62"/>
        <v>0</v>
      </c>
      <c r="L584" t="b">
        <f t="shared" si="62"/>
        <v>0</v>
      </c>
      <c r="M584" t="b">
        <f t="shared" si="63"/>
        <v>1</v>
      </c>
      <c r="N584" t="b">
        <f t="shared" si="63"/>
        <v>1</v>
      </c>
      <c r="O584" t="b">
        <f t="shared" si="64"/>
        <v>0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 (Freight)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 (Freight)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 (Freight)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 (Freight)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REGIONTYPE1</v>
      </c>
      <c r="E660" s="36" t="str">
        <f>_xlfn.XLOOKUP($A660,PROPERTIES[VEHIDCODE],PROPERTIES[REGION2])</f>
        <v>NO_REGION</v>
      </c>
      <c r="F660" s="36" t="str">
        <f t="shared" si="66"/>
        <v>REGIONTYPE1_NO_REGION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0</v>
      </c>
      <c r="N660" t="b">
        <f t="shared" si="70"/>
        <v>0</v>
      </c>
      <c r="O660" t="b">
        <f t="shared" si="71"/>
        <v>0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REGIONTYPE2</v>
      </c>
      <c r="E661" s="36" t="str">
        <f>_xlfn.XLOOKUP($A661,PROPERTIES[VEHIDCODE],PROPERTIES[REGION2])</f>
        <v>NO_REGION</v>
      </c>
      <c r="F661" s="36" t="str">
        <f t="shared" si="66"/>
        <v>REGIONTYPE2_NO_REGION</v>
      </c>
      <c r="G661" t="b">
        <f t="shared" si="67"/>
        <v>1</v>
      </c>
      <c r="H661" t="b">
        <f t="shared" si="68"/>
        <v>1</v>
      </c>
      <c r="I661" t="b">
        <f t="shared" si="69"/>
        <v>0</v>
      </c>
      <c r="J661" t="b">
        <f t="shared" si="65"/>
        <v>0</v>
      </c>
      <c r="K661" t="b">
        <f t="shared" si="65"/>
        <v>0</v>
      </c>
      <c r="L661" t="b">
        <f t="shared" si="65"/>
        <v>0</v>
      </c>
      <c r="M661" t="b">
        <f t="shared" si="70"/>
        <v>1</v>
      </c>
      <c r="N661" t="b">
        <f t="shared" si="70"/>
        <v>1</v>
      </c>
      <c r="O661" t="b">
        <f t="shared" si="71"/>
        <v>0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REGIONTYPE1</v>
      </c>
      <c r="E667" s="36" t="str">
        <f>_xlfn.XLOOKUP($A667,PROPERTIES[VEHIDCODE],PROPERTIES[REGION2])</f>
        <v>NO_REGION</v>
      </c>
      <c r="F667" s="36" t="str">
        <f t="shared" si="66"/>
        <v>REGIONTYPE1_NO_REGION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0</v>
      </c>
      <c r="N667" t="b">
        <f t="shared" si="70"/>
        <v>0</v>
      </c>
      <c r="O667" t="b">
        <f t="shared" si="71"/>
        <v>0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REGIONTYPE2</v>
      </c>
      <c r="E668" s="36" t="str">
        <f>_xlfn.XLOOKUP($A668,PROPERTIES[VEHIDCODE],PROPERTIES[REGION2])</f>
        <v>NO_REGION</v>
      </c>
      <c r="F668" s="36" t="str">
        <f t="shared" si="66"/>
        <v>REGIONTYPE2_NO_REGION</v>
      </c>
      <c r="G668" t="b">
        <f t="shared" si="67"/>
        <v>1</v>
      </c>
      <c r="H668" t="b">
        <f t="shared" si="68"/>
        <v>1</v>
      </c>
      <c r="I668" t="b">
        <f t="shared" si="69"/>
        <v>0</v>
      </c>
      <c r="J668" t="b">
        <f t="shared" si="65"/>
        <v>0</v>
      </c>
      <c r="K668" t="b">
        <f t="shared" si="65"/>
        <v>0</v>
      </c>
      <c r="L668" t="b">
        <f t="shared" si="65"/>
        <v>0</v>
      </c>
      <c r="M668" t="b">
        <f t="shared" si="70"/>
        <v>1</v>
      </c>
      <c r="N668" t="b">
        <f t="shared" si="70"/>
        <v>1</v>
      </c>
      <c r="O668" t="b">
        <f t="shared" si="71"/>
        <v>0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REGIONTYPE1</v>
      </c>
      <c r="E671" s="36" t="str">
        <f>_xlfn.XLOOKUP($A671,PROPERTIES[VEHIDCODE],PROPERTIES[REGION2])</f>
        <v>NO_REGION</v>
      </c>
      <c r="F671" s="36" t="str">
        <f t="shared" si="66"/>
        <v>REGIONTYPE1_NO_REGION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0</v>
      </c>
      <c r="N671" t="b">
        <f t="shared" si="70"/>
        <v>0</v>
      </c>
      <c r="O671" t="b">
        <f t="shared" si="71"/>
        <v>0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REGIONTYPE2</v>
      </c>
      <c r="E672" s="36" t="str">
        <f>_xlfn.XLOOKUP($A672,PROPERTIES[VEHIDCODE],PROPERTIES[REGION2])</f>
        <v>NO_REGION</v>
      </c>
      <c r="F672" s="36" t="str">
        <f t="shared" si="66"/>
        <v>REGIONTYPE2_NO_REGION</v>
      </c>
      <c r="G672" t="b">
        <f t="shared" si="67"/>
        <v>1</v>
      </c>
      <c r="H672" t="b">
        <f t="shared" si="68"/>
        <v>1</v>
      </c>
      <c r="I672" t="b">
        <f t="shared" si="69"/>
        <v>0</v>
      </c>
      <c r="J672" t="b">
        <f t="shared" si="65"/>
        <v>0</v>
      </c>
      <c r="K672" t="b">
        <f t="shared" si="65"/>
        <v>0</v>
      </c>
      <c r="L672" t="b">
        <f t="shared" si="65"/>
        <v>0</v>
      </c>
      <c r="M672" t="b">
        <f t="shared" si="70"/>
        <v>1</v>
      </c>
      <c r="N672" t="b">
        <f t="shared" si="70"/>
        <v>1</v>
      </c>
      <c r="O672" t="b">
        <f t="shared" si="71"/>
        <v>0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REGIONTYPE1</v>
      </c>
      <c r="E676" s="36" t="str">
        <f>_xlfn.XLOOKUP($A676,PROPERTIES[VEHIDCODE],PROPERTIES[REGION2])</f>
        <v>NO_REGION</v>
      </c>
      <c r="F676" s="36" t="str">
        <f t="shared" si="66"/>
        <v>REGIONTYPE1_NO_REGION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0</v>
      </c>
      <c r="N676" t="b">
        <f t="shared" si="72"/>
        <v>0</v>
      </c>
      <c r="O676" t="b">
        <f t="shared" si="71"/>
        <v>0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REGIONTYPE2</v>
      </c>
      <c r="E677" s="36" t="str">
        <f>_xlfn.XLOOKUP($A677,PROPERTIES[VEHIDCODE],PROPERTIES[REGION2])</f>
        <v>NO_REGION</v>
      </c>
      <c r="F677" s="36" t="str">
        <f t="shared" si="66"/>
        <v>REGIONTYPE2_NO_REGION</v>
      </c>
      <c r="G677" t="b">
        <f t="shared" si="67"/>
        <v>1</v>
      </c>
      <c r="H677" t="b">
        <f t="shared" si="68"/>
        <v>1</v>
      </c>
      <c r="I677" t="b">
        <f t="shared" si="69"/>
        <v>0</v>
      </c>
      <c r="J677" t="b">
        <f t="shared" si="65"/>
        <v>0</v>
      </c>
      <c r="K677" t="b">
        <f t="shared" si="65"/>
        <v>0</v>
      </c>
      <c r="L677" t="b">
        <f t="shared" si="65"/>
        <v>0</v>
      </c>
      <c r="M677" t="b">
        <f t="shared" si="72"/>
        <v>1</v>
      </c>
      <c r="N677" t="b">
        <f t="shared" si="72"/>
        <v>1</v>
      </c>
      <c r="O677" t="b">
        <f t="shared" si="71"/>
        <v>0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REGIONTYPE1</v>
      </c>
      <c r="E680" s="36" t="str">
        <f>_xlfn.XLOOKUP($A680,PROPERTIES[VEHIDCODE],PROPERTIES[REGION2])</f>
        <v>NO_REGION</v>
      </c>
      <c r="F680" s="36" t="str">
        <f t="shared" si="66"/>
        <v>REGIONTYPE1_NO_REGION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0</v>
      </c>
      <c r="N680" t="b">
        <f t="shared" si="72"/>
        <v>0</v>
      </c>
      <c r="O680" t="b">
        <f t="shared" si="71"/>
        <v>0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REGIONTYPE2</v>
      </c>
      <c r="E681" s="36" t="str">
        <f>_xlfn.XLOOKUP($A681,PROPERTIES[VEHIDCODE],PROPERTIES[REGION2])</f>
        <v>NO_REGION</v>
      </c>
      <c r="F681" s="36" t="str">
        <f t="shared" si="66"/>
        <v>REGIONTYPE2_NO_REGION</v>
      </c>
      <c r="G681" t="b">
        <f t="shared" si="67"/>
        <v>1</v>
      </c>
      <c r="H681" t="b">
        <f t="shared" si="68"/>
        <v>1</v>
      </c>
      <c r="I681" t="b">
        <f t="shared" si="69"/>
        <v>0</v>
      </c>
      <c r="J681" t="b">
        <f t="shared" si="65"/>
        <v>0</v>
      </c>
      <c r="K681" t="b">
        <f t="shared" si="65"/>
        <v>0</v>
      </c>
      <c r="L681" t="b">
        <f t="shared" si="65"/>
        <v>0</v>
      </c>
      <c r="M681" t="b">
        <f t="shared" si="72"/>
        <v>1</v>
      </c>
      <c r="N681" t="b">
        <f t="shared" si="72"/>
        <v>1</v>
      </c>
      <c r="O681" t="b">
        <f t="shared" si="71"/>
        <v>0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REGIONTYPE1</v>
      </c>
      <c r="E682" s="36" t="str">
        <f>_xlfn.XLOOKUP($A682,PROPERTIES[VEHIDCODE],PROPERTIES[REGION2])</f>
        <v>NO_REGION</v>
      </c>
      <c r="F682" s="36" t="str">
        <f t="shared" si="66"/>
        <v>REGIONTYPE1_NO_REGION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0</v>
      </c>
      <c r="N682" t="b">
        <f t="shared" si="72"/>
        <v>0</v>
      </c>
      <c r="O682" t="b">
        <f t="shared" si="71"/>
        <v>0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REGIONTYPE2</v>
      </c>
      <c r="E683" s="36" t="str">
        <f>_xlfn.XLOOKUP($A683,PROPERTIES[VEHIDCODE],PROPERTIES[REGION2])</f>
        <v>NO_REGION</v>
      </c>
      <c r="F683" s="36" t="str">
        <f t="shared" si="66"/>
        <v>REGIONTYPE2_NO_REGION</v>
      </c>
      <c r="G683" t="b">
        <f t="shared" si="67"/>
        <v>1</v>
      </c>
      <c r="H683" t="b">
        <f t="shared" si="68"/>
        <v>1</v>
      </c>
      <c r="I683" t="b">
        <f t="shared" si="69"/>
        <v>0</v>
      </c>
      <c r="J683" t="b">
        <f t="shared" si="65"/>
        <v>0</v>
      </c>
      <c r="K683" t="b">
        <f t="shared" si="65"/>
        <v>0</v>
      </c>
      <c r="L683" t="b">
        <f t="shared" si="65"/>
        <v>0</v>
      </c>
      <c r="M683" t="b">
        <f t="shared" si="72"/>
        <v>1</v>
      </c>
      <c r="N683" t="b">
        <f t="shared" si="72"/>
        <v>1</v>
      </c>
      <c r="O683" t="b">
        <f t="shared" si="71"/>
        <v>0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REGIONTYPE1</v>
      </c>
      <c r="E689" s="36" t="str">
        <f>_xlfn.XLOOKUP($A689,PROPERTIES[VEHIDCODE],PROPERTIES[REGION2])</f>
        <v>NO_REGION</v>
      </c>
      <c r="F689" s="36" t="str">
        <f t="shared" si="66"/>
        <v>REGIONTYPE1_NO_REGION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0</v>
      </c>
      <c r="N689" t="b">
        <f t="shared" si="72"/>
        <v>0</v>
      </c>
      <c r="O689" t="b">
        <f t="shared" si="71"/>
        <v>0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REGIONTYPE2</v>
      </c>
      <c r="E690" s="36" t="str">
        <f>_xlfn.XLOOKUP($A690,PROPERTIES[VEHIDCODE],PROPERTIES[REGION2])</f>
        <v>NO_REGION</v>
      </c>
      <c r="F690" s="36" t="str">
        <f t="shared" si="66"/>
        <v>REGIONTYPE2_NO_REGION</v>
      </c>
      <c r="G690" t="b">
        <f t="shared" si="67"/>
        <v>1</v>
      </c>
      <c r="H690" t="b">
        <f t="shared" si="68"/>
        <v>1</v>
      </c>
      <c r="I690" t="b">
        <f t="shared" si="69"/>
        <v>0</v>
      </c>
      <c r="J690" t="b">
        <f t="shared" si="65"/>
        <v>0</v>
      </c>
      <c r="K690" t="b">
        <f t="shared" si="65"/>
        <v>0</v>
      </c>
      <c r="L690" t="b">
        <f t="shared" si="65"/>
        <v>0</v>
      </c>
      <c r="M690" t="b">
        <f t="shared" si="72"/>
        <v>1</v>
      </c>
      <c r="N690" t="b">
        <f t="shared" si="72"/>
        <v>1</v>
      </c>
      <c r="O690" t="b">
        <f t="shared" si="71"/>
        <v>0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REGIONTYPE1</v>
      </c>
      <c r="E693" s="36" t="str">
        <f>_xlfn.XLOOKUP($A693,PROPERTIES[VEHIDCODE],PROPERTIES[REGION2])</f>
        <v>NO_REGION</v>
      </c>
      <c r="F693" s="36" t="str">
        <f t="shared" si="66"/>
        <v>REGIONTYPE1_NO_REGION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0</v>
      </c>
      <c r="N693" t="b">
        <f t="shared" si="72"/>
        <v>0</v>
      </c>
      <c r="O693" t="b">
        <f t="shared" si="71"/>
        <v>0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REGIONTYPE2</v>
      </c>
      <c r="E694" s="36" t="str">
        <f>_xlfn.XLOOKUP($A694,PROPERTIES[VEHIDCODE],PROPERTIES[REGION2])</f>
        <v>NO_REGION</v>
      </c>
      <c r="F694" s="36" t="str">
        <f t="shared" si="66"/>
        <v>REGIONTYPE2_NO_REGION</v>
      </c>
      <c r="G694" t="b">
        <f t="shared" si="67"/>
        <v>1</v>
      </c>
      <c r="H694" t="b">
        <f t="shared" si="68"/>
        <v>1</v>
      </c>
      <c r="I694" t="b">
        <f t="shared" si="69"/>
        <v>0</v>
      </c>
      <c r="J694" t="b">
        <f t="shared" si="65"/>
        <v>0</v>
      </c>
      <c r="K694" t="b">
        <f t="shared" si="65"/>
        <v>0</v>
      </c>
      <c r="L694" t="b">
        <f t="shared" si="65"/>
        <v>0</v>
      </c>
      <c r="M694" t="b">
        <f t="shared" si="72"/>
        <v>1</v>
      </c>
      <c r="N694" t="b">
        <f t="shared" si="72"/>
        <v>1</v>
      </c>
      <c r="O694" t="b">
        <f t="shared" si="71"/>
        <v>0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REGIONTYPE1</v>
      </c>
      <c r="E695" s="36" t="str">
        <f>_xlfn.XLOOKUP($A695,PROPERTIES[VEHIDCODE],PROPERTIES[REGION2])</f>
        <v>NO_REGION</v>
      </c>
      <c r="F695" s="36" t="str">
        <f t="shared" si="66"/>
        <v>REGIONTYPE1_NO_REGION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0</v>
      </c>
      <c r="N695" t="b">
        <f t="shared" si="72"/>
        <v>0</v>
      </c>
      <c r="O695" t="b">
        <f t="shared" si="71"/>
        <v>0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REGIONTYPE1</v>
      </c>
      <c r="E704" s="36" t="str">
        <f>_xlfn.XLOOKUP($A704,PROPERTIES[VEHIDCODE],PROPERTIES[REGION2])</f>
        <v>NO_REGION</v>
      </c>
      <c r="F704" s="36" t="str">
        <f t="shared" si="66"/>
        <v>REGIONTYPE1_NO_REGION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0</v>
      </c>
      <c r="N704" t="b">
        <f t="shared" si="72"/>
        <v>0</v>
      </c>
      <c r="O704" t="b">
        <f t="shared" si="71"/>
        <v>0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REGIONTYPE2</v>
      </c>
      <c r="E705" s="36" t="str">
        <f>_xlfn.XLOOKUP($A705,PROPERTIES[VEHIDCODE],PROPERTIES[REGION2])</f>
        <v>NO_REGION</v>
      </c>
      <c r="F705" s="36" t="str">
        <f t="shared" si="66"/>
        <v>REGIONTYPE2_NO_REGION</v>
      </c>
      <c r="G705" t="b">
        <f t="shared" si="67"/>
        <v>1</v>
      </c>
      <c r="H705" t="b">
        <f t="shared" si="68"/>
        <v>1</v>
      </c>
      <c r="I705" t="b">
        <f t="shared" si="69"/>
        <v>0</v>
      </c>
      <c r="J705" t="b">
        <f t="shared" si="65"/>
        <v>0</v>
      </c>
      <c r="K705" t="b">
        <f t="shared" si="65"/>
        <v>0</v>
      </c>
      <c r="L705" t="b">
        <f t="shared" si="65"/>
        <v>0</v>
      </c>
      <c r="M705" t="b">
        <f t="shared" si="72"/>
        <v>1</v>
      </c>
      <c r="N705" t="b">
        <f t="shared" si="72"/>
        <v>1</v>
      </c>
      <c r="O705" t="b">
        <f t="shared" si="71"/>
        <v>0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REGIONTYPE1</v>
      </c>
      <c r="E708" s="36" t="str">
        <f>_xlfn.XLOOKUP($A708,PROPERTIES[VEHIDCODE],PROPERTIES[REGION2])</f>
        <v>NO_REGION</v>
      </c>
      <c r="F708" s="36" t="str">
        <f t="shared" si="73"/>
        <v>REGIONTYPE1_NO_REGION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0</v>
      </c>
      <c r="N708" t="b">
        <f t="shared" si="77"/>
        <v>0</v>
      </c>
      <c r="O708" t="b">
        <f t="shared" si="78"/>
        <v>0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REGIONTYPE2</v>
      </c>
      <c r="E709" s="36" t="str">
        <f>_xlfn.XLOOKUP($A709,PROPERTIES[VEHIDCODE],PROPERTIES[REGION2])</f>
        <v>NO_REGION</v>
      </c>
      <c r="F709" s="36" t="str">
        <f t="shared" si="73"/>
        <v>REGIONTYPE2_NO_REGION</v>
      </c>
      <c r="G709" t="b">
        <f t="shared" si="74"/>
        <v>1</v>
      </c>
      <c r="H709" t="b">
        <f t="shared" si="75"/>
        <v>1</v>
      </c>
      <c r="I709" t="b">
        <f t="shared" si="76"/>
        <v>0</v>
      </c>
      <c r="J709" t="b">
        <f t="shared" si="76"/>
        <v>0</v>
      </c>
      <c r="K709" t="b">
        <f t="shared" si="76"/>
        <v>0</v>
      </c>
      <c r="L709" t="b">
        <f t="shared" si="76"/>
        <v>0</v>
      </c>
      <c r="M709" t="b">
        <f t="shared" si="77"/>
        <v>1</v>
      </c>
      <c r="N709" t="b">
        <f t="shared" si="77"/>
        <v>1</v>
      </c>
      <c r="O709" t="b">
        <f t="shared" si="78"/>
        <v>0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REGIONTYPE1</v>
      </c>
      <c r="E710" s="36" t="str">
        <f>_xlfn.XLOOKUP($A710,PROPERTIES[VEHIDCODE],PROPERTIES[REGION2])</f>
        <v>NO_REGION</v>
      </c>
      <c r="F710" s="36" t="str">
        <f t="shared" si="73"/>
        <v>REGIONTYPE1_NO_REGION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0</v>
      </c>
      <c r="N710" t="b">
        <f t="shared" si="77"/>
        <v>0</v>
      </c>
      <c r="O710" t="b">
        <f t="shared" si="78"/>
        <v>0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REGIONTYPE1</v>
      </c>
      <c r="E717" s="36" t="str">
        <f>_xlfn.XLOOKUP($A717,PROPERTIES[VEHIDCODE],PROPERTIES[REGION2])</f>
        <v>NO_REGION</v>
      </c>
      <c r="F717" s="36" t="str">
        <f t="shared" si="73"/>
        <v>REGIONTYPE1_NO_REGION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0</v>
      </c>
      <c r="N717" t="b">
        <f t="shared" si="77"/>
        <v>0</v>
      </c>
      <c r="O717" t="b">
        <f t="shared" si="78"/>
        <v>0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REGIONTYPE2</v>
      </c>
      <c r="E718" s="36" t="str">
        <f>_xlfn.XLOOKUP($A718,PROPERTIES[VEHIDCODE],PROPERTIES[REGION2])</f>
        <v>NO_REGION</v>
      </c>
      <c r="F718" s="36" t="str">
        <f t="shared" si="73"/>
        <v>REGIONTYPE2_NO_REGION</v>
      </c>
      <c r="G718" t="b">
        <f t="shared" si="74"/>
        <v>1</v>
      </c>
      <c r="H718" t="b">
        <f t="shared" si="75"/>
        <v>1</v>
      </c>
      <c r="I718" t="b">
        <f t="shared" si="76"/>
        <v>0</v>
      </c>
      <c r="J718" t="b">
        <f t="shared" si="76"/>
        <v>0</v>
      </c>
      <c r="K718" t="b">
        <f t="shared" si="76"/>
        <v>0</v>
      </c>
      <c r="L718" t="b">
        <f t="shared" si="76"/>
        <v>0</v>
      </c>
      <c r="M718" t="b">
        <f t="shared" si="77"/>
        <v>1</v>
      </c>
      <c r="N718" t="b">
        <f t="shared" si="77"/>
        <v>1</v>
      </c>
      <c r="O718" t="b">
        <f t="shared" si="78"/>
        <v>0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Commuter Coach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Regional Coach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Mail Coach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Commuter Coach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Regional Coach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Mail Coach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Commuter Coach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Regional Coach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Mail Coach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Regional Coach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Mail Coach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Regional Coach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Commuter Coach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Regional Coach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Mail Coach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Commuter Coach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Regional Coach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Mail Coach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Commuter Coach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Regional Coach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Mail Coach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Regional Coach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Regional Coach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Mail Coach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Express Coach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Regional Coach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Mail Coach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Regional Coach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Regional Coach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Regional Coach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Mail Coach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Express Coach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Express Coach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Regional Coach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Commuter Coach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Commuter Coach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Mail Coach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Regional Coach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Commuter Coach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Regional Coach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Mail Coach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Express Coach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Express Coach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Commuter Coach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Mail Coach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Regional Coach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Regional Coach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Regional Coach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Mail Coach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Express Coach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Express Coach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Express Coach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Express Coach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794" si="81">_xlfn.CONCAT($D771,"_",$E771)</f>
        <v>ALL_AMERICA_OCEANIA</v>
      </c>
      <c r="G771" t="b">
        <f t="shared" ref="G771:G794" si="82">OR(ISNUMBER(SEARCH("ALL_REGION",$F771)),
ISNUMBER(SEARCH("AFRICA",$F771)),
ISNUMBER(SEARCH("REGIONTYPE1",$F771)),
ISNUMBER(SEARCH("REGIONTYPE2",$F771)))</f>
        <v>0</v>
      </c>
      <c r="H771" t="b">
        <f t="shared" ref="H771:H794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4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4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794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Express Coach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Express Coach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Mail Coach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Express Coach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HS Coach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Express Coach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Express Coach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Express Coach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Express Coach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Mail Coach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Express Coach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Mail Coach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HS Coach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HS Coach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Commuter Coach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Mail Coach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Express Coach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HS Coach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 (Freight)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</row>
    <row r="796" spans="1:15">
      <c r="A796" t="str">
        <v>steam_Ivory_Coast_Golwe_2_6_0_0_6_2T</v>
      </c>
    </row>
    <row r="797" spans="1:15">
      <c r="A797" t="str">
        <v>diesel_Ghana_Railway_Corporation_Class_TT12</v>
      </c>
    </row>
    <row r="798" spans="1:15">
      <c r="A798" t="str">
        <v>diesel_Sierra_Leone_LAMCO_301_Series</v>
      </c>
    </row>
    <row r="799" spans="1:15">
      <c r="A799" t="str">
        <v>electric_Congo_Type_2450_Acec_Charleroi_Zaire_Electric</v>
      </c>
    </row>
    <row r="800" spans="1:15">
      <c r="A800" t="str">
        <v>diesel_Congo_Alstom_BB_BB</v>
      </c>
    </row>
    <row r="801" spans="1:1">
      <c r="A801" t="str">
        <v>diesel_Zimbabwe_Sorefame_DE8</v>
      </c>
    </row>
    <row r="802" spans="1:1">
      <c r="A802" t="str">
        <v>diesel_Ivory_Coast_GMD_GT22LC2</v>
      </c>
    </row>
    <row r="803" spans="1:1">
      <c r="A803" t="str">
        <v>electric_Tanzania_TRC_E6800</v>
      </c>
    </row>
    <row r="804" spans="1:1">
      <c r="A804" t="str">
        <v>mtro_USA_Brooklyn_Union_Gate_Car</v>
      </c>
    </row>
  </sheetData>
  <autoFilter ref="A1:O793" xr:uid="{94AF2F1A-9287-4526-9497-B34C300AF4DB}"/>
  <conditionalFormatting sqref="G1:G1048576">
    <cfRule type="containsText" dxfId="24" priority="17" operator="containsText" text="FALSE">
      <formula>NOT(ISERROR(SEARCH("FALSE",G1)))</formula>
    </cfRule>
  </conditionalFormatting>
  <conditionalFormatting sqref="H1:I792 H795:I1048576">
    <cfRule type="containsText" dxfId="23" priority="16" operator="containsText" text="FALSE">
      <formula>NOT(ISERROR(SEARCH("FALSE",H1)))</formula>
    </cfRule>
  </conditionalFormatting>
  <conditionalFormatting sqref="H2:O794">
    <cfRule type="containsText" dxfId="22" priority="1" operator="containsText" text="FALSE">
      <formula>NOT(ISERROR(SEARCH("FALSE",H2)))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N256"/>
  <sheetViews>
    <sheetView workbookViewId="0">
      <selection activeCell="A15" activeCellId="2" sqref="A7 A9:A11 A15:A17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4">
      <c r="A1" s="18" t="s">
        <v>919</v>
      </c>
      <c r="C1" t="s">
        <v>920</v>
      </c>
      <c r="E1" s="12" t="s">
        <v>979</v>
      </c>
      <c r="G1" s="12" t="s">
        <v>980</v>
      </c>
      <c r="I1" t="s">
        <v>3</v>
      </c>
      <c r="K1" t="s">
        <v>978</v>
      </c>
      <c r="M1" s="24" t="s">
        <v>2261</v>
      </c>
      <c r="N1" s="24" t="s">
        <v>2262</v>
      </c>
    </row>
    <row r="2" spans="1:14">
      <c r="A2" s="16" t="s">
        <v>907</v>
      </c>
      <c r="C2" t="s">
        <v>921</v>
      </c>
      <c r="E2" t="s">
        <v>1009</v>
      </c>
      <c r="G2" t="s">
        <v>1010</v>
      </c>
      <c r="I2" t="s">
        <v>22</v>
      </c>
      <c r="K2" s="22" t="s">
        <v>932</v>
      </c>
      <c r="M2" s="25" t="s">
        <v>2015</v>
      </c>
      <c r="N2" s="25" t="s">
        <v>1763</v>
      </c>
    </row>
    <row r="3" spans="1:14">
      <c r="A3" s="17" t="s">
        <v>916</v>
      </c>
      <c r="C3" t="s">
        <v>922</v>
      </c>
      <c r="E3" t="s">
        <v>991</v>
      </c>
      <c r="G3" t="s">
        <v>992</v>
      </c>
      <c r="I3" t="s">
        <v>34</v>
      </c>
      <c r="K3" s="22" t="s">
        <v>935</v>
      </c>
      <c r="M3" s="25" t="s">
        <v>2027</v>
      </c>
      <c r="N3" s="25" t="s">
        <v>1775</v>
      </c>
    </row>
    <row r="4" spans="1:14">
      <c r="A4" s="16" t="s">
        <v>913</v>
      </c>
      <c r="E4" t="s">
        <v>985</v>
      </c>
      <c r="G4" t="s">
        <v>986</v>
      </c>
      <c r="I4" t="s">
        <v>73</v>
      </c>
      <c r="K4" s="22" t="s">
        <v>936</v>
      </c>
      <c r="M4" s="25" t="s">
        <v>2018</v>
      </c>
      <c r="N4" s="25" t="s">
        <v>1766</v>
      </c>
    </row>
    <row r="5" spans="1:14">
      <c r="A5" s="17" t="s">
        <v>917</v>
      </c>
      <c r="E5" t="s">
        <v>997</v>
      </c>
      <c r="G5" t="s">
        <v>998</v>
      </c>
      <c r="I5" t="s">
        <v>18</v>
      </c>
      <c r="K5" s="22" t="s">
        <v>938</v>
      </c>
      <c r="M5" s="25" t="s">
        <v>2074</v>
      </c>
      <c r="N5" s="25" t="s">
        <v>1822</v>
      </c>
    </row>
    <row r="6" spans="1:14">
      <c r="A6" s="16" t="s">
        <v>912</v>
      </c>
      <c r="E6" t="s">
        <v>995</v>
      </c>
      <c r="G6" t="s">
        <v>996</v>
      </c>
      <c r="K6" s="22" t="s">
        <v>940</v>
      </c>
      <c r="M6" s="25" t="s">
        <v>2023</v>
      </c>
      <c r="N6" s="25" t="s">
        <v>1771</v>
      </c>
    </row>
    <row r="7" spans="1:14">
      <c r="A7" s="17" t="s">
        <v>910</v>
      </c>
      <c r="E7" t="s">
        <v>987</v>
      </c>
      <c r="G7" t="s">
        <v>988</v>
      </c>
      <c r="K7" s="22" t="s">
        <v>942</v>
      </c>
      <c r="M7" s="25" t="s">
        <v>2013</v>
      </c>
      <c r="N7" s="25" t="s">
        <v>1761</v>
      </c>
    </row>
    <row r="8" spans="1:14">
      <c r="A8" s="16" t="s">
        <v>903</v>
      </c>
      <c r="E8" t="s">
        <v>999</v>
      </c>
      <c r="G8" t="s">
        <v>1000</v>
      </c>
      <c r="K8" s="23" t="s">
        <v>944</v>
      </c>
      <c r="M8" s="25" t="s">
        <v>2020</v>
      </c>
      <c r="N8" s="25" t="s">
        <v>1768</v>
      </c>
    </row>
    <row r="9" spans="1:14">
      <c r="A9" s="17" t="s">
        <v>909</v>
      </c>
      <c r="E9" t="s">
        <v>981</v>
      </c>
      <c r="G9" t="s">
        <v>982</v>
      </c>
      <c r="K9" s="23" t="s">
        <v>946</v>
      </c>
      <c r="M9" s="25" t="s">
        <v>2017</v>
      </c>
      <c r="N9" s="25" t="s">
        <v>1765</v>
      </c>
    </row>
    <row r="10" spans="1:14">
      <c r="A10" s="16" t="s">
        <v>908</v>
      </c>
      <c r="E10" t="s">
        <v>1003</v>
      </c>
      <c r="G10" t="s">
        <v>1004</v>
      </c>
      <c r="K10" s="23" t="s">
        <v>948</v>
      </c>
      <c r="M10" s="25" t="s">
        <v>2021</v>
      </c>
      <c r="N10" s="25" t="s">
        <v>1769</v>
      </c>
    </row>
    <row r="11" spans="1:14">
      <c r="A11" s="17" t="s">
        <v>906</v>
      </c>
      <c r="E11" t="s">
        <v>1005</v>
      </c>
      <c r="G11" t="s">
        <v>1006</v>
      </c>
      <c r="K11" s="23" t="s">
        <v>950</v>
      </c>
      <c r="M11" s="25" t="s">
        <v>2016</v>
      </c>
      <c r="N11" s="25" t="s">
        <v>1764</v>
      </c>
    </row>
    <row r="12" spans="1:14">
      <c r="A12" s="16" t="s">
        <v>914</v>
      </c>
      <c r="E12" t="s">
        <v>993</v>
      </c>
      <c r="G12" t="s">
        <v>994</v>
      </c>
      <c r="K12" s="22" t="s">
        <v>952</v>
      </c>
      <c r="M12" s="25" t="s">
        <v>2022</v>
      </c>
      <c r="N12" s="25" t="s">
        <v>1770</v>
      </c>
    </row>
    <row r="13" spans="1:14">
      <c r="A13" s="17" t="s">
        <v>915</v>
      </c>
      <c r="E13" t="s">
        <v>1001</v>
      </c>
      <c r="G13" t="s">
        <v>1002</v>
      </c>
      <c r="K13" s="22" t="s">
        <v>954</v>
      </c>
      <c r="M13" s="25" t="s">
        <v>2019</v>
      </c>
      <c r="N13" s="25" t="s">
        <v>1767</v>
      </c>
    </row>
    <row r="14" spans="1:14">
      <c r="A14" s="16" t="s">
        <v>918</v>
      </c>
      <c r="E14" t="s">
        <v>989</v>
      </c>
      <c r="G14" t="s">
        <v>990</v>
      </c>
      <c r="K14" s="22" t="s">
        <v>958</v>
      </c>
      <c r="M14" s="25" t="s">
        <v>2026</v>
      </c>
      <c r="N14" s="25" t="s">
        <v>1774</v>
      </c>
    </row>
    <row r="15" spans="1:14">
      <c r="A15" s="17" t="s">
        <v>911</v>
      </c>
      <c r="E15" t="s">
        <v>983</v>
      </c>
      <c r="G15" t="s">
        <v>984</v>
      </c>
      <c r="K15" s="23" t="s">
        <v>970</v>
      </c>
      <c r="M15" s="25" t="s">
        <v>2025</v>
      </c>
      <c r="N15" s="25" t="s">
        <v>1773</v>
      </c>
    </row>
    <row r="16" spans="1:14">
      <c r="A16" s="16" t="s">
        <v>905</v>
      </c>
      <c r="E16" t="s">
        <v>1007</v>
      </c>
      <c r="G16" t="s">
        <v>1008</v>
      </c>
      <c r="K16" s="22" t="s">
        <v>971</v>
      </c>
      <c r="M16" s="25" t="s">
        <v>2024</v>
      </c>
      <c r="N16" s="25" t="s">
        <v>1772</v>
      </c>
    </row>
    <row r="17" spans="1:14">
      <c r="A17" s="17" t="s">
        <v>904</v>
      </c>
      <c r="K17" s="22" t="s">
        <v>972</v>
      </c>
      <c r="M17" s="25" t="s">
        <v>2028</v>
      </c>
      <c r="N17" s="25" t="s">
        <v>1776</v>
      </c>
    </row>
    <row r="18" spans="1:14">
      <c r="K18" s="23" t="s">
        <v>973</v>
      </c>
      <c r="M18" s="25" t="s">
        <v>2044</v>
      </c>
      <c r="N18" s="25" t="s">
        <v>1792</v>
      </c>
    </row>
    <row r="19" spans="1:14">
      <c r="K19" s="23" t="s">
        <v>961</v>
      </c>
      <c r="M19" s="25" t="s">
        <v>2035</v>
      </c>
      <c r="N19" s="25" t="s">
        <v>1783</v>
      </c>
    </row>
    <row r="20" spans="1:14">
      <c r="K20" s="23" t="s">
        <v>964</v>
      </c>
      <c r="M20" s="25" t="s">
        <v>2031</v>
      </c>
      <c r="N20" s="25" t="s">
        <v>1779</v>
      </c>
    </row>
    <row r="21" spans="1:14">
      <c r="K21" s="23" t="s">
        <v>969</v>
      </c>
      <c r="M21" s="25" t="s">
        <v>2030</v>
      </c>
      <c r="N21" s="25" t="s">
        <v>1778</v>
      </c>
    </row>
    <row r="22" spans="1:14">
      <c r="K22" s="23" t="s">
        <v>965</v>
      </c>
      <c r="M22" s="25" t="s">
        <v>2048</v>
      </c>
      <c r="N22" s="25" t="s">
        <v>1796</v>
      </c>
    </row>
    <row r="23" spans="1:14">
      <c r="K23" s="23" t="s">
        <v>967</v>
      </c>
      <c r="M23" s="25" t="s">
        <v>2032</v>
      </c>
      <c r="N23" s="25" t="s">
        <v>1780</v>
      </c>
    </row>
    <row r="24" spans="1:14">
      <c r="K24" s="23" t="s">
        <v>956</v>
      </c>
      <c r="M24" s="25" t="s">
        <v>2049</v>
      </c>
      <c r="N24" s="25" t="s">
        <v>1797</v>
      </c>
    </row>
    <row r="25" spans="1:14">
      <c r="K25" s="23" t="s">
        <v>2844</v>
      </c>
      <c r="M25" s="25" t="s">
        <v>2037</v>
      </c>
      <c r="N25" s="25" t="s">
        <v>1785</v>
      </c>
    </row>
    <row r="26" spans="1:14">
      <c r="M26" s="25" t="s">
        <v>2039</v>
      </c>
      <c r="N26" s="25" t="s">
        <v>1787</v>
      </c>
    </row>
    <row r="27" spans="1:14">
      <c r="M27" s="25" t="s">
        <v>2045</v>
      </c>
      <c r="N27" s="25" t="s">
        <v>1793</v>
      </c>
    </row>
    <row r="28" spans="1:14">
      <c r="M28" s="25" t="s">
        <v>2041</v>
      </c>
      <c r="N28" s="25" t="s">
        <v>1789</v>
      </c>
    </row>
    <row r="29" spans="1:14">
      <c r="M29" s="25" t="s">
        <v>2029</v>
      </c>
      <c r="N29" s="25" t="s">
        <v>1777</v>
      </c>
    </row>
    <row r="30" spans="1:14">
      <c r="M30" s="25" t="s">
        <v>2047</v>
      </c>
      <c r="N30" s="25" t="s">
        <v>1795</v>
      </c>
    </row>
    <row r="31" spans="1:14">
      <c r="M31" s="25" t="s">
        <v>2046</v>
      </c>
      <c r="N31" s="25" t="s">
        <v>1794</v>
      </c>
    </row>
    <row r="32" spans="1:14">
      <c r="M32" s="25" t="s">
        <v>2043</v>
      </c>
      <c r="N32" s="25" t="s">
        <v>1791</v>
      </c>
    </row>
    <row r="33" spans="13:14">
      <c r="M33" s="25" t="s">
        <v>2118</v>
      </c>
      <c r="N33" s="25" t="s">
        <v>1865</v>
      </c>
    </row>
    <row r="34" spans="13:14">
      <c r="M34" s="25" t="s">
        <v>2040</v>
      </c>
      <c r="N34" s="25" t="s">
        <v>1788</v>
      </c>
    </row>
    <row r="35" spans="13:14">
      <c r="M35" s="25" t="s">
        <v>2034</v>
      </c>
      <c r="N35" s="25" t="s">
        <v>1782</v>
      </c>
    </row>
    <row r="36" spans="13:14">
      <c r="M36" s="25" t="s">
        <v>2033</v>
      </c>
      <c r="N36" s="25" t="s">
        <v>1781</v>
      </c>
    </row>
    <row r="37" spans="13:14">
      <c r="M37" s="25" t="s">
        <v>2036</v>
      </c>
      <c r="N37" s="25" t="s">
        <v>1784</v>
      </c>
    </row>
    <row r="38" spans="13:14">
      <c r="M38" s="25" t="s">
        <v>2129</v>
      </c>
      <c r="N38" s="25" t="s">
        <v>1876</v>
      </c>
    </row>
    <row r="39" spans="13:14">
      <c r="M39" s="25" t="s">
        <v>2059</v>
      </c>
      <c r="N39" s="25" t="s">
        <v>1807</v>
      </c>
    </row>
    <row r="40" spans="13:14">
      <c r="M40" s="25" t="s">
        <v>2050</v>
      </c>
      <c r="N40" s="25" t="s">
        <v>1798</v>
      </c>
    </row>
    <row r="41" spans="13:14">
      <c r="M41" s="25" t="s">
        <v>2064</v>
      </c>
      <c r="N41" s="25" t="s">
        <v>1812</v>
      </c>
    </row>
    <row r="42" spans="13:14">
      <c r="M42" s="25" t="s">
        <v>2042</v>
      </c>
      <c r="N42" s="25" t="s">
        <v>1790</v>
      </c>
    </row>
    <row r="43" spans="13:14">
      <c r="M43" s="25" t="s">
        <v>2136</v>
      </c>
      <c r="N43" s="25" t="s">
        <v>1883</v>
      </c>
    </row>
    <row r="44" spans="13:14">
      <c r="M44" s="25" t="s">
        <v>2053</v>
      </c>
      <c r="N44" s="25" t="s">
        <v>1801</v>
      </c>
    </row>
    <row r="45" spans="13:14">
      <c r="M45" s="25" t="s">
        <v>2226</v>
      </c>
      <c r="N45" s="25" t="s">
        <v>1974</v>
      </c>
    </row>
    <row r="46" spans="13:14">
      <c r="M46" s="25" t="s">
        <v>2058</v>
      </c>
      <c r="N46" s="25" t="s">
        <v>1806</v>
      </c>
    </row>
    <row r="47" spans="13:14">
      <c r="M47" s="25" t="s">
        <v>2060</v>
      </c>
      <c r="N47" s="25" t="s">
        <v>1808</v>
      </c>
    </row>
    <row r="48" spans="13:14">
      <c r="M48" s="25" t="s">
        <v>2066</v>
      </c>
      <c r="N48" s="25" t="s">
        <v>1814</v>
      </c>
    </row>
    <row r="49" spans="13:14">
      <c r="M49" s="25" t="s">
        <v>2051</v>
      </c>
      <c r="N49" s="25" t="s">
        <v>1799</v>
      </c>
    </row>
    <row r="50" spans="13:14">
      <c r="M50" s="25" t="s">
        <v>2061</v>
      </c>
      <c r="N50" s="25" t="s">
        <v>1809</v>
      </c>
    </row>
    <row r="51" spans="13:14">
      <c r="M51" s="25" t="s">
        <v>2131</v>
      </c>
      <c r="N51" s="25" t="s">
        <v>1878</v>
      </c>
    </row>
    <row r="52" spans="13:14">
      <c r="M52" s="25" t="s">
        <v>2057</v>
      </c>
      <c r="N52" s="25" t="s">
        <v>1805</v>
      </c>
    </row>
    <row r="53" spans="13:14">
      <c r="M53" s="25" t="s">
        <v>2062</v>
      </c>
      <c r="N53" s="25" t="s">
        <v>1810</v>
      </c>
    </row>
    <row r="54" spans="13:14">
      <c r="M54" s="25" t="s">
        <v>2110</v>
      </c>
      <c r="N54" s="25" t="s">
        <v>1857</v>
      </c>
    </row>
    <row r="55" spans="13:14">
      <c r="M55" s="25" t="s">
        <v>2063</v>
      </c>
      <c r="N55" s="25" t="s">
        <v>1811</v>
      </c>
    </row>
    <row r="56" spans="13:14">
      <c r="M56" s="25" t="s">
        <v>2065</v>
      </c>
      <c r="N56" s="25" t="s">
        <v>1813</v>
      </c>
    </row>
    <row r="57" spans="13:14">
      <c r="M57" s="25" t="s">
        <v>2067</v>
      </c>
      <c r="N57" s="25" t="s">
        <v>1815</v>
      </c>
    </row>
    <row r="58" spans="13:14">
      <c r="M58" s="25" t="s">
        <v>2068</v>
      </c>
      <c r="N58" s="25" t="s">
        <v>1816</v>
      </c>
    </row>
    <row r="59" spans="13:14">
      <c r="M59" s="25" t="s">
        <v>2052</v>
      </c>
      <c r="N59" s="25" t="s">
        <v>1800</v>
      </c>
    </row>
    <row r="60" spans="13:14">
      <c r="M60" s="25" t="s">
        <v>2071</v>
      </c>
      <c r="N60" s="25" t="s">
        <v>1819</v>
      </c>
    </row>
    <row r="61" spans="13:14">
      <c r="M61" s="25" t="s">
        <v>2070</v>
      </c>
      <c r="N61" s="25" t="s">
        <v>1818</v>
      </c>
    </row>
    <row r="62" spans="13:14">
      <c r="M62" s="25" t="s">
        <v>2072</v>
      </c>
      <c r="N62" s="25" t="s">
        <v>1820</v>
      </c>
    </row>
    <row r="63" spans="13:14">
      <c r="M63" s="25" t="s">
        <v>2073</v>
      </c>
      <c r="N63" s="25" t="s">
        <v>1821</v>
      </c>
    </row>
    <row r="64" spans="13:14">
      <c r="M64" s="25" t="s">
        <v>2277</v>
      </c>
      <c r="N64" s="25" t="s">
        <v>2009</v>
      </c>
    </row>
    <row r="65" spans="13:14">
      <c r="M65" s="25" t="s">
        <v>2075</v>
      </c>
      <c r="N65" s="25" t="s">
        <v>1823</v>
      </c>
    </row>
    <row r="66" spans="13:14">
      <c r="M66" s="25" t="s">
        <v>2077</v>
      </c>
      <c r="N66" s="25" t="s">
        <v>1825</v>
      </c>
    </row>
    <row r="67" spans="13:14">
      <c r="M67" s="25" t="s">
        <v>2221</v>
      </c>
      <c r="N67" s="25" t="s">
        <v>1969</v>
      </c>
    </row>
    <row r="68" spans="13:14">
      <c r="M68" s="25" t="s">
        <v>2100</v>
      </c>
      <c r="N68" s="25" t="s">
        <v>1847</v>
      </c>
    </row>
    <row r="69" spans="13:14">
      <c r="M69" s="25" t="s">
        <v>2079</v>
      </c>
      <c r="N69" s="25" t="s">
        <v>1827</v>
      </c>
    </row>
    <row r="70" spans="13:14">
      <c r="M70" s="25" t="s">
        <v>2076</v>
      </c>
      <c r="N70" s="25" t="s">
        <v>1824</v>
      </c>
    </row>
    <row r="71" spans="13:14">
      <c r="M71" s="25" t="s">
        <v>2224</v>
      </c>
      <c r="N71" s="25" t="s">
        <v>1972</v>
      </c>
    </row>
    <row r="72" spans="13:14">
      <c r="M72" s="25" t="s">
        <v>2081</v>
      </c>
      <c r="N72" s="25" t="s">
        <v>1829</v>
      </c>
    </row>
    <row r="73" spans="13:14">
      <c r="M73" s="25" t="s">
        <v>2276</v>
      </c>
      <c r="N73" s="25" t="s">
        <v>2010</v>
      </c>
    </row>
    <row r="74" spans="13:14">
      <c r="M74" s="25" t="s">
        <v>2084</v>
      </c>
      <c r="N74" s="25" t="s">
        <v>1832</v>
      </c>
    </row>
    <row r="75" spans="13:14">
      <c r="M75" s="25" t="s">
        <v>2086</v>
      </c>
      <c r="N75" s="25" t="s">
        <v>1834</v>
      </c>
    </row>
    <row r="76" spans="13:14">
      <c r="M76" s="25" t="s">
        <v>2083</v>
      </c>
      <c r="N76" s="25" t="s">
        <v>1831</v>
      </c>
    </row>
    <row r="77" spans="13:14">
      <c r="M77" s="25" t="s">
        <v>2082</v>
      </c>
      <c r="N77" s="25" t="s">
        <v>1830</v>
      </c>
    </row>
    <row r="78" spans="13:14">
      <c r="M78" s="25" t="s">
        <v>2087</v>
      </c>
      <c r="N78" s="25" t="s">
        <v>1835</v>
      </c>
    </row>
    <row r="79" spans="13:14">
      <c r="M79" s="25" t="s">
        <v>2092</v>
      </c>
      <c r="N79" s="25" t="s">
        <v>1839</v>
      </c>
    </row>
    <row r="80" spans="13:14">
      <c r="M80" s="25" t="s">
        <v>2186</v>
      </c>
      <c r="N80" s="25" t="s">
        <v>1934</v>
      </c>
    </row>
    <row r="81" spans="13:14">
      <c r="M81" s="25" t="s">
        <v>2227</v>
      </c>
      <c r="N81" s="25" t="s">
        <v>1975</v>
      </c>
    </row>
    <row r="82" spans="13:14">
      <c r="M82" s="25" t="s">
        <v>2088</v>
      </c>
      <c r="N82" s="25" t="s">
        <v>2265</v>
      </c>
    </row>
    <row r="83" spans="13:14">
      <c r="M83" s="25" t="s">
        <v>2097</v>
      </c>
      <c r="N83" s="25" t="s">
        <v>1844</v>
      </c>
    </row>
    <row r="84" spans="13:14">
      <c r="M84" s="25" t="s">
        <v>2103</v>
      </c>
      <c r="N84" s="25" t="s">
        <v>1850</v>
      </c>
    </row>
    <row r="85" spans="13:14">
      <c r="M85" s="25" t="s">
        <v>2091</v>
      </c>
      <c r="N85" s="25" t="s">
        <v>1838</v>
      </c>
    </row>
    <row r="86" spans="13:14">
      <c r="M86" s="25" t="s">
        <v>2069</v>
      </c>
      <c r="N86" s="25" t="s">
        <v>1817</v>
      </c>
    </row>
    <row r="87" spans="13:14">
      <c r="M87" s="25" t="s">
        <v>2094</v>
      </c>
      <c r="N87" s="25" t="s">
        <v>1841</v>
      </c>
    </row>
    <row r="88" spans="13:14">
      <c r="M88" s="25" t="s">
        <v>2095</v>
      </c>
      <c r="N88" s="25" t="s">
        <v>1842</v>
      </c>
    </row>
    <row r="89" spans="13:14">
      <c r="M89" s="25" t="s">
        <v>2101</v>
      </c>
      <c r="N89" s="25" t="s">
        <v>1848</v>
      </c>
    </row>
    <row r="90" spans="13:14">
      <c r="M90" s="25" t="s">
        <v>2096</v>
      </c>
      <c r="N90" s="25" t="s">
        <v>1843</v>
      </c>
    </row>
    <row r="91" spans="13:14">
      <c r="M91" s="25" t="s">
        <v>2090</v>
      </c>
      <c r="N91" s="25" t="s">
        <v>1837</v>
      </c>
    </row>
    <row r="92" spans="13:14">
      <c r="M92" s="25" t="s">
        <v>2099</v>
      </c>
      <c r="N92" s="25" t="s">
        <v>1846</v>
      </c>
    </row>
    <row r="93" spans="13:14">
      <c r="M93" s="25" t="s">
        <v>2104</v>
      </c>
      <c r="N93" s="25" t="s">
        <v>1851</v>
      </c>
    </row>
    <row r="94" spans="13:14">
      <c r="M94" s="25" t="s">
        <v>2093</v>
      </c>
      <c r="N94" s="25" t="s">
        <v>1840</v>
      </c>
    </row>
    <row r="95" spans="13:14">
      <c r="M95" s="25" t="s">
        <v>2098</v>
      </c>
      <c r="N95" s="25" t="s">
        <v>1845</v>
      </c>
    </row>
    <row r="96" spans="13:14">
      <c r="M96" s="25" t="s">
        <v>2105</v>
      </c>
      <c r="N96" s="25" t="s">
        <v>1852</v>
      </c>
    </row>
    <row r="97" spans="13:14">
      <c r="M97" s="25" t="s">
        <v>2106</v>
      </c>
      <c r="N97" s="25" t="s">
        <v>1853</v>
      </c>
    </row>
    <row r="98" spans="13:14">
      <c r="M98" s="25" t="s">
        <v>2111</v>
      </c>
      <c r="N98" s="25" t="s">
        <v>1858</v>
      </c>
    </row>
    <row r="99" spans="13:14">
      <c r="M99" s="25" t="s">
        <v>2108</v>
      </c>
      <c r="N99" s="25" t="s">
        <v>1855</v>
      </c>
    </row>
    <row r="100" spans="13:14">
      <c r="M100" s="25" t="s">
        <v>2247</v>
      </c>
      <c r="N100" s="25" t="s">
        <v>1995</v>
      </c>
    </row>
    <row r="101" spans="13:14">
      <c r="M101" s="25" t="s">
        <v>2109</v>
      </c>
      <c r="N101" s="25" t="s">
        <v>1856</v>
      </c>
    </row>
    <row r="102" spans="13:14">
      <c r="M102" s="25" t="s">
        <v>2107</v>
      </c>
      <c r="N102" s="25" t="s">
        <v>1854</v>
      </c>
    </row>
    <row r="103" spans="13:14">
      <c r="M103" s="25" t="s">
        <v>2112</v>
      </c>
      <c r="N103" s="25" t="s">
        <v>1859</v>
      </c>
    </row>
    <row r="104" spans="13:14">
      <c r="M104" s="25" t="s">
        <v>2121</v>
      </c>
      <c r="N104" s="25" t="s">
        <v>1868</v>
      </c>
    </row>
    <row r="105" spans="13:14">
      <c r="M105" s="25" t="s">
        <v>2117</v>
      </c>
      <c r="N105" s="25" t="s">
        <v>1864</v>
      </c>
    </row>
    <row r="106" spans="13:14">
      <c r="M106" s="25" t="s">
        <v>2113</v>
      </c>
      <c r="N106" s="25" t="s">
        <v>1860</v>
      </c>
    </row>
    <row r="107" spans="13:14">
      <c r="M107" s="25" t="s">
        <v>2120</v>
      </c>
      <c r="N107" s="25" t="s">
        <v>1867</v>
      </c>
    </row>
    <row r="108" spans="13:14">
      <c r="M108" s="25" t="s">
        <v>2119</v>
      </c>
      <c r="N108" s="25" t="s">
        <v>1866</v>
      </c>
    </row>
    <row r="109" spans="13:14">
      <c r="M109" s="25" t="s">
        <v>2114</v>
      </c>
      <c r="N109" s="25" t="s">
        <v>1861</v>
      </c>
    </row>
    <row r="110" spans="13:14">
      <c r="M110" s="25" t="s">
        <v>2116</v>
      </c>
      <c r="N110" s="25" t="s">
        <v>1863</v>
      </c>
    </row>
    <row r="111" spans="13:14">
      <c r="M111" s="25" t="s">
        <v>2115</v>
      </c>
      <c r="N111" s="25" t="s">
        <v>1862</v>
      </c>
    </row>
    <row r="112" spans="13:14">
      <c r="M112" s="25" t="s">
        <v>2122</v>
      </c>
      <c r="N112" s="25" t="s">
        <v>1869</v>
      </c>
    </row>
    <row r="113" spans="13:14">
      <c r="M113" s="25" t="s">
        <v>2056</v>
      </c>
      <c r="N113" s="25" t="s">
        <v>1804</v>
      </c>
    </row>
    <row r="114" spans="13:14">
      <c r="M114" s="25" t="s">
        <v>2124</v>
      </c>
      <c r="N114" s="25" t="s">
        <v>1871</v>
      </c>
    </row>
    <row r="115" spans="13:14">
      <c r="M115" s="25" t="s">
        <v>2126</v>
      </c>
      <c r="N115" s="25" t="s">
        <v>1873</v>
      </c>
    </row>
    <row r="116" spans="13:14">
      <c r="M116" s="25" t="s">
        <v>2123</v>
      </c>
      <c r="N116" s="25" t="s">
        <v>1870</v>
      </c>
    </row>
    <row r="117" spans="13:14">
      <c r="M117" s="25" t="s">
        <v>2125</v>
      </c>
      <c r="N117" s="25" t="s">
        <v>1872</v>
      </c>
    </row>
    <row r="118" spans="13:14">
      <c r="M118" s="25" t="s">
        <v>2137</v>
      </c>
      <c r="N118" s="25" t="s">
        <v>1884</v>
      </c>
    </row>
    <row r="119" spans="13:14">
      <c r="M119" s="25" t="s">
        <v>2127</v>
      </c>
      <c r="N119" s="25" t="s">
        <v>1874</v>
      </c>
    </row>
    <row r="120" spans="13:14">
      <c r="M120" s="25" t="s">
        <v>2130</v>
      </c>
      <c r="N120" s="25" t="s">
        <v>1877</v>
      </c>
    </row>
    <row r="121" spans="13:14">
      <c r="M121" s="25" t="s">
        <v>2135</v>
      </c>
      <c r="N121" s="25" t="s">
        <v>1882</v>
      </c>
    </row>
    <row r="122" spans="13:14">
      <c r="M122" s="25" t="s">
        <v>2128</v>
      </c>
      <c r="N122" s="25" t="s">
        <v>1875</v>
      </c>
    </row>
    <row r="123" spans="13:14">
      <c r="M123" s="25" t="s">
        <v>2138</v>
      </c>
      <c r="N123" s="25" t="s">
        <v>1885</v>
      </c>
    </row>
    <row r="124" spans="13:14">
      <c r="M124" s="25" t="s">
        <v>2147</v>
      </c>
      <c r="N124" s="25" t="s">
        <v>1894</v>
      </c>
    </row>
    <row r="125" spans="13:14">
      <c r="M125" s="25" t="s">
        <v>2139</v>
      </c>
      <c r="N125" s="25" t="s">
        <v>1886</v>
      </c>
    </row>
    <row r="126" spans="13:14">
      <c r="M126" s="25" t="s">
        <v>2144</v>
      </c>
      <c r="N126" s="25" t="s">
        <v>1891</v>
      </c>
    </row>
    <row r="127" spans="13:14">
      <c r="M127" s="25" t="s">
        <v>2143</v>
      </c>
      <c r="N127" s="25" t="s">
        <v>1890</v>
      </c>
    </row>
    <row r="128" spans="13:14">
      <c r="M128" s="25" t="s">
        <v>2148</v>
      </c>
      <c r="N128" s="25" t="s">
        <v>1895</v>
      </c>
    </row>
    <row r="129" spans="13:14">
      <c r="M129" s="25" t="s">
        <v>2141</v>
      </c>
      <c r="N129" s="25" t="s">
        <v>1888</v>
      </c>
    </row>
    <row r="130" spans="13:14">
      <c r="M130" s="25" t="s">
        <v>2145</v>
      </c>
      <c r="N130" s="25" t="s">
        <v>1892</v>
      </c>
    </row>
    <row r="131" spans="13:14">
      <c r="M131" s="25" t="s">
        <v>2146</v>
      </c>
      <c r="N131" s="25" t="s">
        <v>1893</v>
      </c>
    </row>
    <row r="132" spans="13:14">
      <c r="M132" s="25" t="s">
        <v>2160</v>
      </c>
      <c r="N132" s="25" t="s">
        <v>1907</v>
      </c>
    </row>
    <row r="133" spans="13:14">
      <c r="M133" s="25" t="s">
        <v>2154</v>
      </c>
      <c r="N133" s="25" t="s">
        <v>1901</v>
      </c>
    </row>
    <row r="134" spans="13:14">
      <c r="M134" s="25" t="s">
        <v>2168</v>
      </c>
      <c r="N134" s="25" t="s">
        <v>1915</v>
      </c>
    </row>
    <row r="135" spans="13:14">
      <c r="M135" s="25" t="s">
        <v>2170</v>
      </c>
      <c r="N135" s="25" t="s">
        <v>1917</v>
      </c>
    </row>
    <row r="136" spans="13:14">
      <c r="M136" s="25" t="s">
        <v>2167</v>
      </c>
      <c r="N136" s="25" t="s">
        <v>1914</v>
      </c>
    </row>
    <row r="137" spans="13:14">
      <c r="M137" s="25" t="s">
        <v>2157</v>
      </c>
      <c r="N137" s="25" t="s">
        <v>1904</v>
      </c>
    </row>
    <row r="138" spans="13:14">
      <c r="M138" s="25" t="s">
        <v>2165</v>
      </c>
      <c r="N138" s="25" t="s">
        <v>1912</v>
      </c>
    </row>
    <row r="139" spans="13:14">
      <c r="M139" s="25" t="s">
        <v>2155</v>
      </c>
      <c r="N139" s="25" t="s">
        <v>1902</v>
      </c>
    </row>
    <row r="140" spans="13:14">
      <c r="M140" s="25" t="s">
        <v>2162</v>
      </c>
      <c r="N140" s="25" t="s">
        <v>1909</v>
      </c>
    </row>
    <row r="141" spans="13:14">
      <c r="M141" s="25" t="s">
        <v>2163</v>
      </c>
      <c r="N141" s="25" t="s">
        <v>1910</v>
      </c>
    </row>
    <row r="142" spans="13:14">
      <c r="M142" s="25" t="s">
        <v>2166</v>
      </c>
      <c r="N142" s="25" t="s">
        <v>1913</v>
      </c>
    </row>
    <row r="143" spans="13:14">
      <c r="M143" s="25" t="s">
        <v>2257</v>
      </c>
      <c r="N143" s="25" t="s">
        <v>2005</v>
      </c>
    </row>
    <row r="144" spans="13:14">
      <c r="M144" s="25" t="s">
        <v>2169</v>
      </c>
      <c r="N144" s="25" t="s">
        <v>1916</v>
      </c>
    </row>
    <row r="145" spans="13:14">
      <c r="M145" s="25" t="s">
        <v>2085</v>
      </c>
      <c r="N145" s="25" t="s">
        <v>1833</v>
      </c>
    </row>
    <row r="146" spans="13:14">
      <c r="M146" s="25" t="s">
        <v>2151</v>
      </c>
      <c r="N146" s="25" t="s">
        <v>1898</v>
      </c>
    </row>
    <row r="147" spans="13:14">
      <c r="M147" s="25" t="s">
        <v>2150</v>
      </c>
      <c r="N147" s="25" t="s">
        <v>1897</v>
      </c>
    </row>
    <row r="148" spans="13:14">
      <c r="M148" s="25" t="s">
        <v>2159</v>
      </c>
      <c r="N148" s="25" t="s">
        <v>1906</v>
      </c>
    </row>
    <row r="149" spans="13:14">
      <c r="M149" s="25" t="s">
        <v>2152</v>
      </c>
      <c r="N149" s="25" t="s">
        <v>1899</v>
      </c>
    </row>
    <row r="150" spans="13:14">
      <c r="M150" s="25" t="s">
        <v>2164</v>
      </c>
      <c r="N150" s="25" t="s">
        <v>1911</v>
      </c>
    </row>
    <row r="151" spans="13:14">
      <c r="M151" s="25" t="s">
        <v>2149</v>
      </c>
      <c r="N151" s="25" t="s">
        <v>1896</v>
      </c>
    </row>
    <row r="152" spans="13:14">
      <c r="M152" s="25" t="s">
        <v>2171</v>
      </c>
      <c r="N152" s="25" t="s">
        <v>1918</v>
      </c>
    </row>
    <row r="153" spans="13:14">
      <c r="M153" s="25" t="s">
        <v>2158</v>
      </c>
      <c r="N153" s="25" t="s">
        <v>1905</v>
      </c>
    </row>
    <row r="154" spans="13:14">
      <c r="M154" s="25" t="s">
        <v>1749</v>
      </c>
      <c r="N154" s="25" t="s">
        <v>1919</v>
      </c>
    </row>
    <row r="155" spans="13:14">
      <c r="M155" s="25" t="s">
        <v>2180</v>
      </c>
      <c r="N155" s="25" t="s">
        <v>1928</v>
      </c>
    </row>
    <row r="156" spans="13:14">
      <c r="M156" s="25" t="s">
        <v>2179</v>
      </c>
      <c r="N156" s="25" t="s">
        <v>1927</v>
      </c>
    </row>
    <row r="157" spans="13:14">
      <c r="M157" s="25" t="s">
        <v>2177</v>
      </c>
      <c r="N157" s="25" t="s">
        <v>1925</v>
      </c>
    </row>
    <row r="158" spans="13:14">
      <c r="M158" s="25" t="s">
        <v>2172</v>
      </c>
      <c r="N158" s="25" t="s">
        <v>1920</v>
      </c>
    </row>
    <row r="159" spans="13:14">
      <c r="M159" s="25" t="s">
        <v>2182</v>
      </c>
      <c r="N159" s="25" t="s">
        <v>1930</v>
      </c>
    </row>
    <row r="160" spans="13:14">
      <c r="M160" s="25" t="s">
        <v>2176</v>
      </c>
      <c r="N160" s="25" t="s">
        <v>1924</v>
      </c>
    </row>
    <row r="161" spans="13:14">
      <c r="M161" s="25" t="s">
        <v>2173</v>
      </c>
      <c r="N161" s="25" t="s">
        <v>1921</v>
      </c>
    </row>
    <row r="162" spans="13:14">
      <c r="M162" s="25" t="s">
        <v>2175</v>
      </c>
      <c r="N162" s="25" t="s">
        <v>1923</v>
      </c>
    </row>
    <row r="163" spans="13:14">
      <c r="M163" s="25" t="s">
        <v>2181</v>
      </c>
      <c r="N163" s="25" t="s">
        <v>1929</v>
      </c>
    </row>
    <row r="164" spans="13:14">
      <c r="M164" s="25" t="s">
        <v>2174</v>
      </c>
      <c r="N164" s="25" t="s">
        <v>1922</v>
      </c>
    </row>
    <row r="165" spans="13:14">
      <c r="M165" s="25" t="s">
        <v>2133</v>
      </c>
      <c r="N165" s="25" t="s">
        <v>1880</v>
      </c>
    </row>
    <row r="166" spans="13:14">
      <c r="M166" s="25" t="s">
        <v>2156</v>
      </c>
      <c r="N166" s="25" t="s">
        <v>1903</v>
      </c>
    </row>
    <row r="167" spans="13:14">
      <c r="M167" s="25" t="s">
        <v>2161</v>
      </c>
      <c r="N167" s="25" t="s">
        <v>1908</v>
      </c>
    </row>
    <row r="168" spans="13:14">
      <c r="M168" s="25" t="s">
        <v>2178</v>
      </c>
      <c r="N168" s="25" t="s">
        <v>1926</v>
      </c>
    </row>
    <row r="169" spans="13:14">
      <c r="M169" s="25" t="s">
        <v>2183</v>
      </c>
      <c r="N169" s="25" t="s">
        <v>1931</v>
      </c>
    </row>
    <row r="170" spans="13:14">
      <c r="M170" s="25" t="s">
        <v>2189</v>
      </c>
      <c r="N170" s="25" t="s">
        <v>1937</v>
      </c>
    </row>
    <row r="171" spans="13:14">
      <c r="M171" s="25" t="s">
        <v>2196</v>
      </c>
      <c r="N171" s="25" t="s">
        <v>1944</v>
      </c>
    </row>
    <row r="172" spans="13:14">
      <c r="M172" s="25" t="s">
        <v>2194</v>
      </c>
      <c r="N172" s="25" t="s">
        <v>1942</v>
      </c>
    </row>
    <row r="173" spans="13:14">
      <c r="M173" s="25" t="s">
        <v>2184</v>
      </c>
      <c r="N173" s="25" t="s">
        <v>1932</v>
      </c>
    </row>
    <row r="174" spans="13:14">
      <c r="M174" s="25" t="s">
        <v>2187</v>
      </c>
      <c r="N174" s="25" t="s">
        <v>1935</v>
      </c>
    </row>
    <row r="175" spans="13:14">
      <c r="M175" s="25" t="s">
        <v>2197</v>
      </c>
      <c r="N175" s="25" t="s">
        <v>1945</v>
      </c>
    </row>
    <row r="176" spans="13:14">
      <c r="M176" s="25" t="s">
        <v>2185</v>
      </c>
      <c r="N176" s="25" t="s">
        <v>1933</v>
      </c>
    </row>
    <row r="177" spans="13:14">
      <c r="M177" s="25" t="s">
        <v>2188</v>
      </c>
      <c r="N177" s="25" t="s">
        <v>1936</v>
      </c>
    </row>
    <row r="178" spans="13:14">
      <c r="M178" s="25" t="s">
        <v>2192</v>
      </c>
      <c r="N178" s="25" t="s">
        <v>1940</v>
      </c>
    </row>
    <row r="179" spans="13:14">
      <c r="M179" s="25" t="s">
        <v>2190</v>
      </c>
      <c r="N179" s="25" t="s">
        <v>1938</v>
      </c>
    </row>
    <row r="180" spans="13:14">
      <c r="M180" s="25" t="s">
        <v>2195</v>
      </c>
      <c r="N180" s="25" t="s">
        <v>1943</v>
      </c>
    </row>
    <row r="181" spans="13:14">
      <c r="M181" s="25" t="s">
        <v>2193</v>
      </c>
      <c r="N181" s="25" t="s">
        <v>1941</v>
      </c>
    </row>
    <row r="182" spans="13:14">
      <c r="M182" s="25" t="s">
        <v>2198</v>
      </c>
      <c r="N182" s="25" t="s">
        <v>1946</v>
      </c>
    </row>
    <row r="183" spans="13:14">
      <c r="M183" s="25" t="s">
        <v>2054</v>
      </c>
      <c r="N183" s="25" t="s">
        <v>1802</v>
      </c>
    </row>
    <row r="184" spans="13:14">
      <c r="M184" s="25" t="s">
        <v>2199</v>
      </c>
      <c r="N184" s="25" t="s">
        <v>1947</v>
      </c>
    </row>
    <row r="185" spans="13:14">
      <c r="M185" s="25" t="s">
        <v>2200</v>
      </c>
      <c r="N185" s="25" t="s">
        <v>1948</v>
      </c>
    </row>
    <row r="186" spans="13:14">
      <c r="M186" s="25" t="s">
        <v>2202</v>
      </c>
      <c r="N186" s="25" t="s">
        <v>1950</v>
      </c>
    </row>
    <row r="187" spans="13:14">
      <c r="M187" s="25" t="s">
        <v>2203</v>
      </c>
      <c r="N187" s="25" t="s">
        <v>1951</v>
      </c>
    </row>
    <row r="188" spans="13:14">
      <c r="M188" s="25" t="s">
        <v>2038</v>
      </c>
      <c r="N188" s="25" t="s">
        <v>1786</v>
      </c>
    </row>
    <row r="189" spans="13:14">
      <c r="M189" s="25" t="s">
        <v>2210</v>
      </c>
      <c r="N189" s="25" t="s">
        <v>1958</v>
      </c>
    </row>
    <row r="190" spans="13:14">
      <c r="M190" s="25" t="s">
        <v>2132</v>
      </c>
      <c r="N190" s="25" t="s">
        <v>1879</v>
      </c>
    </row>
    <row r="191" spans="13:14">
      <c r="M191" s="25" t="s">
        <v>2140</v>
      </c>
      <c r="N191" s="25" t="s">
        <v>1887</v>
      </c>
    </row>
    <row r="192" spans="13:14">
      <c r="M192" s="25" t="s">
        <v>2153</v>
      </c>
      <c r="N192" s="25" t="s">
        <v>1900</v>
      </c>
    </row>
    <row r="193" spans="13:14">
      <c r="M193" s="25" t="s">
        <v>2191</v>
      </c>
      <c r="N193" s="25" t="s">
        <v>1939</v>
      </c>
    </row>
    <row r="194" spans="13:14">
      <c r="M194" s="25" t="s">
        <v>2248</v>
      </c>
      <c r="N194" s="25" t="s">
        <v>1996</v>
      </c>
    </row>
    <row r="195" spans="13:14">
      <c r="M195" s="25" t="s">
        <v>2255</v>
      </c>
      <c r="N195" s="25" t="s">
        <v>2003</v>
      </c>
    </row>
    <row r="196" spans="13:14">
      <c r="M196" s="25" t="s">
        <v>2215</v>
      </c>
      <c r="N196" s="25" t="s">
        <v>1963</v>
      </c>
    </row>
    <row r="197" spans="13:14">
      <c r="M197" s="25" t="s">
        <v>2220</v>
      </c>
      <c r="N197" s="25" t="s">
        <v>1968</v>
      </c>
    </row>
    <row r="198" spans="13:14">
      <c r="M198" s="25" t="s">
        <v>2204</v>
      </c>
      <c r="N198" s="25" t="s">
        <v>1952</v>
      </c>
    </row>
    <row r="199" spans="13:14">
      <c r="M199" s="25" t="s">
        <v>2216</v>
      </c>
      <c r="N199" s="25" t="s">
        <v>1964</v>
      </c>
    </row>
    <row r="200" spans="13:14">
      <c r="M200" s="25" t="s">
        <v>2201</v>
      </c>
      <c r="N200" s="25" t="s">
        <v>1949</v>
      </c>
    </row>
    <row r="201" spans="13:14">
      <c r="M201" s="25" t="s">
        <v>2206</v>
      </c>
      <c r="N201" s="25" t="s">
        <v>1954</v>
      </c>
    </row>
    <row r="202" spans="13:14">
      <c r="M202" s="25" t="s">
        <v>2214</v>
      </c>
      <c r="N202" s="25" t="s">
        <v>1962</v>
      </c>
    </row>
    <row r="203" spans="13:14">
      <c r="M203" s="25" t="s">
        <v>2209</v>
      </c>
      <c r="N203" s="25" t="s">
        <v>1957</v>
      </c>
    </row>
    <row r="204" spans="13:14">
      <c r="M204" s="25" t="s">
        <v>2222</v>
      </c>
      <c r="N204" s="25" t="s">
        <v>1970</v>
      </c>
    </row>
    <row r="205" spans="13:14">
      <c r="M205" s="25" t="s">
        <v>2213</v>
      </c>
      <c r="N205" s="25" t="s">
        <v>1961</v>
      </c>
    </row>
    <row r="206" spans="13:14">
      <c r="M206" s="25" t="s">
        <v>2211</v>
      </c>
      <c r="N206" s="25" t="s">
        <v>1959</v>
      </c>
    </row>
    <row r="207" spans="13:14">
      <c r="M207" s="25" t="s">
        <v>2205</v>
      </c>
      <c r="N207" s="25" t="s">
        <v>1953</v>
      </c>
    </row>
    <row r="208" spans="13:14">
      <c r="M208" s="25" t="s">
        <v>2217</v>
      </c>
      <c r="N208" s="25" t="s">
        <v>1965</v>
      </c>
    </row>
    <row r="209" spans="13:14">
      <c r="M209" s="25" t="s">
        <v>2258</v>
      </c>
      <c r="N209" s="25" t="s">
        <v>2006</v>
      </c>
    </row>
    <row r="210" spans="13:14">
      <c r="M210" s="25" t="s">
        <v>2102</v>
      </c>
      <c r="N210" s="25" t="s">
        <v>1849</v>
      </c>
    </row>
    <row r="211" spans="13:14">
      <c r="M211" s="25" t="s">
        <v>2134</v>
      </c>
      <c r="N211" s="25" t="s">
        <v>1881</v>
      </c>
    </row>
    <row r="212" spans="13:14">
      <c r="M212" s="25" t="s">
        <v>2219</v>
      </c>
      <c r="N212" s="25" t="s">
        <v>1967</v>
      </c>
    </row>
    <row r="213" spans="13:14">
      <c r="M213" s="25" t="s">
        <v>2080</v>
      </c>
      <c r="N213" s="25" t="s">
        <v>1828</v>
      </c>
    </row>
    <row r="214" spans="13:14">
      <c r="M214" s="25" t="s">
        <v>2142</v>
      </c>
      <c r="N214" s="25" t="s">
        <v>1889</v>
      </c>
    </row>
    <row r="215" spans="13:14">
      <c r="M215" s="25" t="s">
        <v>2207</v>
      </c>
      <c r="N215" s="25" t="s">
        <v>1955</v>
      </c>
    </row>
    <row r="216" spans="13:14">
      <c r="M216" s="25" t="s">
        <v>2218</v>
      </c>
      <c r="N216" s="25" t="s">
        <v>1966</v>
      </c>
    </row>
    <row r="217" spans="13:14">
      <c r="M217" s="25" t="s">
        <v>2212</v>
      </c>
      <c r="N217" s="25" t="s">
        <v>1960</v>
      </c>
    </row>
    <row r="218" spans="13:14">
      <c r="M218" s="25" t="s">
        <v>2208</v>
      </c>
      <c r="N218" s="25" t="s">
        <v>1956</v>
      </c>
    </row>
    <row r="219" spans="13:14">
      <c r="M219" s="25" t="s">
        <v>2055</v>
      </c>
      <c r="N219" s="25" t="s">
        <v>1803</v>
      </c>
    </row>
    <row r="220" spans="13:14">
      <c r="M220" s="25" t="s">
        <v>2223</v>
      </c>
      <c r="N220" s="25" t="s">
        <v>1971</v>
      </c>
    </row>
    <row r="221" spans="13:14">
      <c r="M221" s="25" t="s">
        <v>2239</v>
      </c>
      <c r="N221" s="25" t="s">
        <v>1987</v>
      </c>
    </row>
    <row r="222" spans="13:14">
      <c r="M222" s="25" t="s">
        <v>2230</v>
      </c>
      <c r="N222" s="25" t="s">
        <v>1978</v>
      </c>
    </row>
    <row r="223" spans="13:14">
      <c r="M223" s="25" t="s">
        <v>2240</v>
      </c>
      <c r="N223" s="25" t="s">
        <v>1988</v>
      </c>
    </row>
    <row r="224" spans="13:14">
      <c r="M224" s="25" t="s">
        <v>2229</v>
      </c>
      <c r="N224" s="25" t="s">
        <v>1977</v>
      </c>
    </row>
    <row r="225" spans="13:14">
      <c r="M225" s="25" t="s">
        <v>2232</v>
      </c>
      <c r="N225" s="25" t="s">
        <v>1980</v>
      </c>
    </row>
    <row r="226" spans="13:14">
      <c r="M226" s="25" t="s">
        <v>2228</v>
      </c>
      <c r="N226" s="25" t="s">
        <v>1976</v>
      </c>
    </row>
    <row r="227" spans="13:14">
      <c r="M227" s="25" t="s">
        <v>2231</v>
      </c>
      <c r="N227" s="25" t="s">
        <v>1979</v>
      </c>
    </row>
    <row r="228" spans="13:14">
      <c r="M228" s="25" t="s">
        <v>2235</v>
      </c>
      <c r="N228" s="25" t="s">
        <v>1983</v>
      </c>
    </row>
    <row r="229" spans="13:14">
      <c r="M229" s="25" t="s">
        <v>2237</v>
      </c>
      <c r="N229" s="25" t="s">
        <v>1985</v>
      </c>
    </row>
    <row r="230" spans="13:14">
      <c r="M230" s="25" t="s">
        <v>2234</v>
      </c>
      <c r="N230" s="25" t="s">
        <v>1982</v>
      </c>
    </row>
    <row r="231" spans="13:14">
      <c r="M231" s="25" t="s">
        <v>2236</v>
      </c>
      <c r="N231" s="25" t="s">
        <v>2263</v>
      </c>
    </row>
    <row r="232" spans="13:14">
      <c r="M232" s="25" t="s">
        <v>2236</v>
      </c>
      <c r="N232" s="25" t="s">
        <v>1984</v>
      </c>
    </row>
    <row r="233" spans="13:14">
      <c r="M233" s="25" t="s">
        <v>2233</v>
      </c>
      <c r="N233" s="25" t="s">
        <v>1981</v>
      </c>
    </row>
    <row r="234" spans="13:14">
      <c r="M234" s="25" t="s">
        <v>2225</v>
      </c>
      <c r="N234" s="25" t="s">
        <v>1973</v>
      </c>
    </row>
    <row r="235" spans="13:14">
      <c r="M235" s="25" t="s">
        <v>2238</v>
      </c>
      <c r="N235" s="25" t="s">
        <v>1986</v>
      </c>
    </row>
    <row r="236" spans="13:14">
      <c r="M236" s="25" t="s">
        <v>2242</v>
      </c>
      <c r="N236" s="25" t="s">
        <v>1990</v>
      </c>
    </row>
    <row r="237" spans="13:14">
      <c r="M237" s="25" t="s">
        <v>2241</v>
      </c>
      <c r="N237" s="25" t="s">
        <v>1989</v>
      </c>
    </row>
    <row r="238" spans="13:14">
      <c r="M238" s="25" t="s">
        <v>2014</v>
      </c>
      <c r="N238" s="25" t="s">
        <v>1762</v>
      </c>
    </row>
    <row r="239" spans="13:14">
      <c r="M239" s="25" t="s">
        <v>2089</v>
      </c>
      <c r="N239" s="25" t="s">
        <v>1836</v>
      </c>
    </row>
    <row r="240" spans="13:14">
      <c r="M240" s="25" t="s">
        <v>2244</v>
      </c>
      <c r="N240" s="25" t="s">
        <v>1992</v>
      </c>
    </row>
    <row r="241" spans="13:14">
      <c r="M241" s="25" t="s">
        <v>2243</v>
      </c>
      <c r="N241" s="25" t="s">
        <v>1991</v>
      </c>
    </row>
    <row r="242" spans="13:14">
      <c r="M242" s="25" t="s">
        <v>2245</v>
      </c>
      <c r="N242" s="25" t="s">
        <v>1993</v>
      </c>
    </row>
    <row r="243" spans="13:14">
      <c r="M243" s="25" t="s">
        <v>2275</v>
      </c>
      <c r="N243" s="25" t="s">
        <v>2011</v>
      </c>
    </row>
    <row r="244" spans="13:14">
      <c r="M244" s="25" t="s">
        <v>2246</v>
      </c>
      <c r="N244" s="25" t="s">
        <v>1994</v>
      </c>
    </row>
    <row r="245" spans="13:14">
      <c r="M245" s="25" t="s">
        <v>2253</v>
      </c>
      <c r="N245" s="25" t="s">
        <v>2001</v>
      </c>
    </row>
    <row r="246" spans="13:14">
      <c r="M246" s="25" t="s">
        <v>2249</v>
      </c>
      <c r="N246" s="25" t="s">
        <v>1997</v>
      </c>
    </row>
    <row r="247" spans="13:14">
      <c r="M247" s="25" t="s">
        <v>2252</v>
      </c>
      <c r="N247" s="25" t="s">
        <v>2000</v>
      </c>
    </row>
    <row r="248" spans="13:14">
      <c r="M248" s="25" t="s">
        <v>2250</v>
      </c>
      <c r="N248" s="25" t="s">
        <v>1998</v>
      </c>
    </row>
    <row r="249" spans="13:14">
      <c r="M249" s="25" t="s">
        <v>2251</v>
      </c>
      <c r="N249" s="25" t="s">
        <v>1999</v>
      </c>
    </row>
    <row r="250" spans="13:14">
      <c r="M250" s="25" t="s">
        <v>2254</v>
      </c>
      <c r="N250" s="25" t="s">
        <v>2002</v>
      </c>
    </row>
    <row r="251" spans="13:14">
      <c r="M251" s="25" t="s">
        <v>2078</v>
      </c>
      <c r="N251" s="25" t="s">
        <v>1826</v>
      </c>
    </row>
    <row r="252" spans="13:14">
      <c r="M252" s="25" t="s">
        <v>2256</v>
      </c>
      <c r="N252" s="25" t="s">
        <v>2004</v>
      </c>
    </row>
    <row r="253" spans="13:14">
      <c r="M253" s="25" t="s">
        <v>2274</v>
      </c>
      <c r="N253" s="25" t="s">
        <v>2012</v>
      </c>
    </row>
    <row r="254" spans="13:14">
      <c r="M254" s="25" t="s">
        <v>2259</v>
      </c>
      <c r="N254" s="25" t="s">
        <v>2007</v>
      </c>
    </row>
    <row r="255" spans="13:14">
      <c r="M255" s="25" t="s">
        <v>2260</v>
      </c>
      <c r="N255" s="25" t="s">
        <v>2008</v>
      </c>
    </row>
    <row r="256" spans="13:14">
      <c r="M256" s="25" t="s">
        <v>2278</v>
      </c>
      <c r="N256" s="25" t="s">
        <v>2264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5"/>
  <sheetViews>
    <sheetView workbookViewId="0">
      <selection activeCell="D27" sqref="D27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958</v>
      </c>
      <c r="B14" t="s">
        <v>959</v>
      </c>
      <c r="C14" s="9">
        <v>13000</v>
      </c>
      <c r="D14" s="9">
        <v>13499</v>
      </c>
    </row>
    <row r="15" spans="1:4">
      <c r="A15" t="s">
        <v>970</v>
      </c>
      <c r="B15" t="s">
        <v>974</v>
      </c>
      <c r="C15" s="9">
        <v>13000</v>
      </c>
      <c r="D15" s="9">
        <v>13001</v>
      </c>
    </row>
    <row r="16" spans="1:4">
      <c r="A16" t="s">
        <v>971</v>
      </c>
      <c r="B16" t="s">
        <v>975</v>
      </c>
      <c r="C16" s="9">
        <v>13002</v>
      </c>
      <c r="D16" s="9">
        <v>13003</v>
      </c>
    </row>
    <row r="17" spans="1:4">
      <c r="A17" t="s">
        <v>972</v>
      </c>
      <c r="B17" t="s">
        <v>976</v>
      </c>
      <c r="C17" s="9">
        <v>13004</v>
      </c>
      <c r="D17" s="9">
        <v>13005</v>
      </c>
    </row>
    <row r="18" spans="1:4">
      <c r="A18" t="s">
        <v>973</v>
      </c>
      <c r="B18" t="s">
        <v>977</v>
      </c>
      <c r="C18" s="9">
        <v>13006</v>
      </c>
      <c r="D18" s="9">
        <v>13007</v>
      </c>
    </row>
    <row r="19" spans="1:4">
      <c r="A19" t="s">
        <v>961</v>
      </c>
      <c r="B19" t="s">
        <v>960</v>
      </c>
      <c r="C19" s="9">
        <v>14000</v>
      </c>
      <c r="D19" s="9">
        <v>14499</v>
      </c>
    </row>
    <row r="20" spans="1:4">
      <c r="A20" t="s">
        <v>964</v>
      </c>
      <c r="B20" t="s">
        <v>962</v>
      </c>
      <c r="C20" s="9">
        <v>14500</v>
      </c>
      <c r="D20" s="9">
        <v>14999</v>
      </c>
    </row>
    <row r="21" spans="1:4">
      <c r="A21" t="s">
        <v>969</v>
      </c>
      <c r="B21" t="s">
        <v>963</v>
      </c>
      <c r="C21" s="9">
        <v>15000</v>
      </c>
      <c r="D21" s="9">
        <v>15499</v>
      </c>
    </row>
    <row r="22" spans="1:4">
      <c r="A22" t="s">
        <v>965</v>
      </c>
      <c r="B22" t="s">
        <v>966</v>
      </c>
      <c r="C22" s="9">
        <v>15500</v>
      </c>
      <c r="D22" s="9">
        <v>15999</v>
      </c>
    </row>
    <row r="23" spans="1:4">
      <c r="A23" t="s">
        <v>967</v>
      </c>
      <c r="B23" t="s">
        <v>968</v>
      </c>
      <c r="C23" s="9">
        <v>16000</v>
      </c>
      <c r="D23" s="9">
        <v>16499</v>
      </c>
    </row>
    <row r="24" spans="1:4">
      <c r="A24" t="s">
        <v>956</v>
      </c>
      <c r="B24" t="s">
        <v>957</v>
      </c>
      <c r="C24" s="9">
        <v>18000</v>
      </c>
      <c r="D24" s="9">
        <v>18999</v>
      </c>
    </row>
    <row r="25" spans="1:4">
      <c r="A25" t="s">
        <v>2844</v>
      </c>
      <c r="B25" t="s">
        <v>2845</v>
      </c>
      <c r="C25" s="9">
        <v>19000</v>
      </c>
      <c r="D25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3" t="s">
        <v>1028</v>
      </c>
      <c r="B1" s="13" t="s">
        <v>1013</v>
      </c>
      <c r="C1" s="13" t="s">
        <v>1014</v>
      </c>
      <c r="D1" s="13" t="s">
        <v>1015</v>
      </c>
      <c r="E1" s="13" t="s">
        <v>1016</v>
      </c>
      <c r="F1" s="13" t="s">
        <v>1017</v>
      </c>
      <c r="G1" s="13" t="s">
        <v>1018</v>
      </c>
      <c r="H1" s="13" t="s">
        <v>1019</v>
      </c>
      <c r="I1" s="13" t="s">
        <v>1020</v>
      </c>
      <c r="J1" s="13" t="s">
        <v>1021</v>
      </c>
      <c r="K1" s="13" t="s">
        <v>1022</v>
      </c>
      <c r="L1" s="13" t="s">
        <v>1023</v>
      </c>
      <c r="M1" s="13" t="s">
        <v>1024</v>
      </c>
      <c r="N1" s="13" t="s">
        <v>1025</v>
      </c>
    </row>
    <row r="2" spans="1:14">
      <c r="A2" s="13" t="s">
        <v>1055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1056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1057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1038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1026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1027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1029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1030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1031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1032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1033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1039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1034</v>
      </c>
    </row>
    <row r="25" spans="1:1">
      <c r="A25" s="19" t="s">
        <v>1035</v>
      </c>
    </row>
    <row r="27" spans="1:1">
      <c r="A27" s="19" t="s">
        <v>1036</v>
      </c>
    </row>
    <row r="29" spans="1:1">
      <c r="A29" s="19" t="s">
        <v>1037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1040</v>
      </c>
      <c r="B1" t="s">
        <v>11</v>
      </c>
      <c r="C1" t="s">
        <v>1041</v>
      </c>
    </row>
    <row r="2" spans="1:3">
      <c r="A2" t="s">
        <v>1052</v>
      </c>
      <c r="B2">
        <v>20</v>
      </c>
      <c r="C2" t="s">
        <v>1046</v>
      </c>
    </row>
    <row r="3" spans="1:3">
      <c r="A3" t="s">
        <v>1050</v>
      </c>
      <c r="B3">
        <v>40</v>
      </c>
      <c r="C3" t="s">
        <v>1044</v>
      </c>
    </row>
    <row r="4" spans="1:3">
      <c r="A4" t="s">
        <v>1049</v>
      </c>
      <c r="B4">
        <v>16</v>
      </c>
      <c r="C4" t="s">
        <v>1043</v>
      </c>
    </row>
    <row r="5" spans="1:3">
      <c r="A5" t="s">
        <v>1053</v>
      </c>
      <c r="B5">
        <v>15</v>
      </c>
      <c r="C5" t="s">
        <v>1047</v>
      </c>
    </row>
    <row r="6" spans="1:3">
      <c r="A6" t="s">
        <v>1051</v>
      </c>
      <c r="B6">
        <v>120</v>
      </c>
      <c r="C6" t="s">
        <v>1045</v>
      </c>
    </row>
    <row r="7" spans="1:3">
      <c r="A7" t="s">
        <v>1048</v>
      </c>
      <c r="B7">
        <v>0</v>
      </c>
      <c r="C7" t="s">
        <v>1042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roster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2026-04-15T22:25:50Z</dcterms:modified>
</cp:coreProperties>
</file>