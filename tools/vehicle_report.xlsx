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9DFC9D59-CFDA-41A7-9726-D4317283C85A}" xr6:coauthVersionLast="47" xr6:coauthVersionMax="47" xr10:uidLastSave="{00000000-0000-0000-0000-000000000000}"/>
  <bookViews>
    <workbookView xWindow="-103" yWindow="-103" windowWidth="22149" windowHeight="13320" tabRatio="787" firstSheet="9" activeTab="13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13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17" l="1" a="1"/>
  <c r="AE2" i="17"/>
  <c r="AE3" i="17" a="1"/>
  <c r="AE4" i="17" a="1"/>
  <c r="AE5" i="17" a="1"/>
  <c r="AE6" i="17" a="1"/>
  <c r="AE6" i="17"/>
  <c r="AE7" i="17" a="1"/>
  <c r="AE8" i="17" a="1"/>
  <c r="AE9" i="17" a="1"/>
  <c r="AE10" i="17" a="1"/>
  <c r="AE11" i="17" a="1"/>
  <c r="AE12" i="17" a="1"/>
  <c r="AE13" i="17" a="1"/>
  <c r="AE14" i="17" a="1"/>
  <c r="AE15" i="17" a="1"/>
  <c r="AE16" i="17" a="1"/>
  <c r="AE17" i="17" a="1"/>
  <c r="AE18" i="17" a="1"/>
  <c r="AE19" i="17" a="1"/>
  <c r="AE20" i="17" a="1"/>
  <c r="AE21" i="17" a="1"/>
  <c r="AE22" i="17" a="1"/>
  <c r="AE23" i="17" a="1"/>
  <c r="AE24" i="17" a="1"/>
  <c r="AE25" i="17" a="1"/>
  <c r="AE26" i="17" a="1"/>
  <c r="AE27" i="17" a="1"/>
  <c r="AE28" i="17" a="1"/>
  <c r="AE29" i="17" a="1"/>
  <c r="AE30" i="17" a="1"/>
  <c r="AE31" i="17" a="1"/>
  <c r="AE32" i="17" a="1"/>
  <c r="AE33" i="17" a="1"/>
  <c r="AE34" i="17" a="1"/>
  <c r="AE35" i="17" a="1"/>
  <c r="AE36" i="17" a="1"/>
  <c r="AE37" i="17" a="1"/>
  <c r="AE37" i="17"/>
  <c r="AE38" i="17" a="1"/>
  <c r="AE39" i="17" a="1"/>
  <c r="AE40" i="17" a="1"/>
  <c r="AE41" i="17" a="1"/>
  <c r="AE42" i="17" a="1"/>
  <c r="AE43" i="17" a="1"/>
  <c r="AE44" i="17" a="1"/>
  <c r="AE45" i="17" a="1"/>
  <c r="AE46" i="17" a="1"/>
  <c r="AE47" i="17" a="1"/>
  <c r="AE48" i="17" a="1"/>
  <c r="AE49" i="17" a="1"/>
  <c r="AE50" i="17" a="1"/>
  <c r="AE51" i="17" a="1"/>
  <c r="AE52" i="17" a="1"/>
  <c r="AE53" i="17" a="1"/>
  <c r="AE54" i="17" a="1"/>
  <c r="AE55" i="17" a="1"/>
  <c r="AE56" i="17" a="1"/>
  <c r="AE57" i="17" a="1"/>
  <c r="AE58" i="17" a="1"/>
  <c r="AE59" i="17" a="1"/>
  <c r="AE60" i="17" a="1"/>
  <c r="AE61" i="17" a="1"/>
  <c r="AE62" i="17" a="1"/>
  <c r="AE63" i="17" a="1"/>
  <c r="AE64" i="17" a="1"/>
  <c r="AE65" i="17" a="1"/>
  <c r="AE66" i="17" a="1"/>
  <c r="AE67" i="17" a="1"/>
  <c r="AE68" i="17" a="1"/>
  <c r="AE69" i="17" a="1"/>
  <c r="AE70" i="17" a="1"/>
  <c r="AE71" i="17" a="1"/>
  <c r="AE72" i="17" a="1"/>
  <c r="AE73" i="17" a="1"/>
  <c r="AE74" i="17" a="1"/>
  <c r="AE75" i="17" a="1"/>
  <c r="AE76" i="17" a="1"/>
  <c r="AE77" i="17" a="1"/>
  <c r="AE78" i="17" a="1"/>
  <c r="AE79" i="17" a="1"/>
  <c r="AE80" i="17" a="1"/>
  <c r="AE81" i="17" a="1"/>
  <c r="AE82" i="17" a="1"/>
  <c r="AE83" i="17" a="1"/>
  <c r="AE84" i="17" a="1"/>
  <c r="AE85" i="17" a="1"/>
  <c r="AE86" i="17" a="1"/>
  <c r="AE87" i="17" a="1"/>
  <c r="AE88" i="17" a="1"/>
  <c r="AE89" i="17" a="1"/>
  <c r="AE90" i="17" a="1"/>
  <c r="AE91" i="17" a="1"/>
  <c r="AE92" i="17" a="1"/>
  <c r="AE93" i="17" a="1"/>
  <c r="AE94" i="17" a="1"/>
  <c r="AE95" i="17" a="1"/>
  <c r="AE96" i="17" a="1"/>
  <c r="AE97" i="17" a="1"/>
  <c r="AE98" i="17" a="1"/>
  <c r="AE99" i="17" a="1"/>
  <c r="AE100" i="17" a="1"/>
  <c r="AE101" i="17" a="1"/>
  <c r="AE102" i="17" a="1"/>
  <c r="AE103" i="17" a="1"/>
  <c r="AE104" i="17" a="1"/>
  <c r="AE105" i="17" a="1"/>
  <c r="AE106" i="17" a="1"/>
  <c r="AE107" i="17" a="1"/>
  <c r="AE108" i="17" a="1"/>
  <c r="AE109" i="17" a="1"/>
  <c r="AE110" i="17" a="1"/>
  <c r="AE111" i="17" a="1"/>
  <c r="AE112" i="17" a="1"/>
  <c r="AE113" i="17" a="1"/>
  <c r="AE114" i="17" a="1"/>
  <c r="AE115" i="17" a="1"/>
  <c r="AE116" i="17" a="1"/>
  <c r="AE117" i="17" a="1"/>
  <c r="AE118" i="17" a="1"/>
  <c r="AE119" i="17" a="1"/>
  <c r="AE120" i="17" a="1"/>
  <c r="AE121" i="17" a="1"/>
  <c r="AE122" i="17" a="1"/>
  <c r="AE123" i="17" a="1"/>
  <c r="AE124" i="17" a="1"/>
  <c r="AE125" i="17" a="1"/>
  <c r="AE126" i="17" a="1"/>
  <c r="AE127" i="17" a="1"/>
  <c r="AE128" i="17" a="1"/>
  <c r="AE129" i="17" a="1"/>
  <c r="AE130" i="17" a="1"/>
  <c r="AE131" i="17" a="1"/>
  <c r="AE132" i="17" a="1"/>
  <c r="AE133" i="17" a="1"/>
  <c r="AE134" i="17" a="1"/>
  <c r="AE135" i="17" a="1"/>
  <c r="AE136" i="17" a="1"/>
  <c r="AE137" i="17" a="1"/>
  <c r="AE138" i="17" a="1"/>
  <c r="AE139" i="17" a="1"/>
  <c r="AE140" i="17" a="1"/>
  <c r="AE141" i="17" a="1"/>
  <c r="AE142" i="17" a="1"/>
  <c r="AE143" i="17" a="1"/>
  <c r="AE144" i="17" a="1"/>
  <c r="AE145" i="17" a="1"/>
  <c r="AE146" i="17" a="1"/>
  <c r="AE147" i="17" a="1"/>
  <c r="AE148" i="17" a="1"/>
  <c r="AE149" i="17" a="1"/>
  <c r="AE150" i="17" a="1"/>
  <c r="AE151" i="17" a="1"/>
  <c r="AE152" i="17" a="1"/>
  <c r="AE153" i="17" a="1"/>
  <c r="AE154" i="17" a="1"/>
  <c r="AE155" i="17" a="1"/>
  <c r="AE156" i="17" a="1"/>
  <c r="AE157" i="17" a="1"/>
  <c r="AE158" i="17" a="1"/>
  <c r="AE159" i="17" a="1"/>
  <c r="AE160" i="17" a="1"/>
  <c r="AE161" i="17" a="1"/>
  <c r="AE162" i="17" a="1"/>
  <c r="AE163" i="17" a="1"/>
  <c r="AE164" i="17" a="1"/>
  <c r="AE165" i="17" a="1"/>
  <c r="AE166" i="17" a="1"/>
  <c r="AE167" i="17" a="1"/>
  <c r="AE168" i="17" a="1"/>
  <c r="AE169" i="17" a="1"/>
  <c r="AE170" i="17" a="1"/>
  <c r="AE171" i="17" a="1"/>
  <c r="AE172" i="17" a="1"/>
  <c r="AE173" i="17" a="1"/>
  <c r="AE174" i="17" a="1"/>
  <c r="AE175" i="17" a="1"/>
  <c r="AE176" i="17" a="1"/>
  <c r="AE177" i="17" a="1"/>
  <c r="AE178" i="17" a="1"/>
  <c r="AE179" i="17" a="1"/>
  <c r="AE180" i="17" a="1"/>
  <c r="AE181" i="17" a="1"/>
  <c r="AE182" i="17" a="1"/>
  <c r="AE183" i="17" a="1"/>
  <c r="AE184" i="17" a="1"/>
  <c r="AE185" i="17" a="1"/>
  <c r="AE186" i="17" a="1"/>
  <c r="AE187" i="17" a="1"/>
  <c r="AE188" i="17" a="1"/>
  <c r="AE189" i="17" a="1"/>
  <c r="AE190" i="17" a="1"/>
  <c r="AE191" i="17" a="1"/>
  <c r="AE192" i="17" a="1"/>
  <c r="AE193" i="17" a="1"/>
  <c r="AE194" i="17" a="1"/>
  <c r="AE195" i="17" a="1"/>
  <c r="AE196" i="17" a="1"/>
  <c r="AE197" i="17" a="1"/>
  <c r="AE198" i="17" a="1"/>
  <c r="AE199" i="17" a="1"/>
  <c r="AE200" i="17" a="1"/>
  <c r="AE201" i="17" a="1"/>
  <c r="AE202" i="17" a="1"/>
  <c r="AE203" i="17" a="1"/>
  <c r="AE204" i="17" a="1"/>
  <c r="AE205" i="17" a="1"/>
  <c r="AE206" i="17" a="1"/>
  <c r="AE207" i="17" a="1"/>
  <c r="AE208" i="17" a="1"/>
  <c r="AE209" i="17" a="1"/>
  <c r="AE210" i="17" a="1"/>
  <c r="AE210" i="17"/>
  <c r="AE211" i="17" a="1"/>
  <c r="AE211" i="17"/>
  <c r="AE212" i="17" a="1"/>
  <c r="AE212" i="17"/>
  <c r="AE213" i="17" a="1"/>
  <c r="AE213" i="17"/>
  <c r="AE214" i="17" a="1"/>
  <c r="AE214" i="17"/>
  <c r="AE215" i="17" a="1"/>
  <c r="AE215" i="17"/>
  <c r="AE216" i="17" a="1"/>
  <c r="AE216" i="17"/>
  <c r="AE217" i="17" a="1"/>
  <c r="AE217" i="17"/>
  <c r="AE218" i="17" a="1"/>
  <c r="AE218" i="17"/>
  <c r="AE219" i="17" a="1"/>
  <c r="AE219" i="17"/>
  <c r="AE220" i="17" a="1"/>
  <c r="AE220" i="17"/>
  <c r="AE221" i="17" a="1"/>
  <c r="AE221" i="17"/>
  <c r="AE222" i="17" a="1"/>
  <c r="AE222" i="17"/>
  <c r="AE223" i="17" a="1"/>
  <c r="AE223" i="17"/>
  <c r="AE224" i="17" a="1"/>
  <c r="AE224" i="17"/>
  <c r="AE225" i="17" a="1"/>
  <c r="AE226" i="17" a="1"/>
  <c r="AE227" i="17" a="1"/>
  <c r="AE228" i="17" a="1"/>
  <c r="AE229" i="17" a="1"/>
  <c r="AE230" i="17" a="1"/>
  <c r="AE231" i="17" a="1"/>
  <c r="AE232" i="17" a="1"/>
  <c r="AE233" i="17" a="1"/>
  <c r="AE234" i="17" a="1"/>
  <c r="AE235" i="17" a="1"/>
  <c r="AE236" i="17" a="1"/>
  <c r="AE237" i="17" a="1"/>
  <c r="AE238" i="17" a="1"/>
  <c r="AE239" i="17" a="1"/>
  <c r="AE240" i="17" a="1"/>
  <c r="AE241" i="17" a="1"/>
  <c r="AE242" i="17" a="1"/>
  <c r="AE243" i="17" a="1"/>
  <c r="AE244" i="17" a="1"/>
  <c r="AE245" i="17" a="1"/>
  <c r="AE246" i="17" a="1"/>
  <c r="AE247" i="17" a="1"/>
  <c r="AE248" i="17" a="1"/>
  <c r="AE249" i="17" a="1"/>
  <c r="AE250" i="17" a="1"/>
  <c r="AE251" i="17" a="1"/>
  <c r="AE252" i="17" a="1"/>
  <c r="AE253" i="17" a="1"/>
  <c r="AE254" i="17" a="1"/>
  <c r="AE255" i="17" a="1"/>
  <c r="AE256" i="17" a="1"/>
  <c r="AE257" i="17" a="1"/>
  <c r="AE258" i="17" a="1"/>
  <c r="AE259" i="17" a="1"/>
  <c r="AE260" i="17" a="1"/>
  <c r="AE261" i="17" a="1"/>
  <c r="AE262" i="17" a="1"/>
  <c r="AE263" i="17" a="1"/>
  <c r="AE264" i="17" a="1"/>
  <c r="AE265" i="17" a="1"/>
  <c r="AE266" i="17" a="1"/>
  <c r="AE267" i="17" a="1"/>
  <c r="AE268" i="17" a="1"/>
  <c r="AE269" i="17" a="1"/>
  <c r="AE270" i="17" a="1"/>
  <c r="AE271" i="17" a="1"/>
  <c r="AE272" i="17" a="1"/>
  <c r="AE273" i="17" a="1"/>
  <c r="AE274" i="17" a="1"/>
  <c r="AE275" i="17" a="1"/>
  <c r="AE276" i="17" a="1"/>
  <c r="AE277" i="17" a="1"/>
  <c r="AE278" i="17" a="1"/>
  <c r="AE279" i="17" a="1"/>
  <c r="AE280" i="17" a="1"/>
  <c r="AE281" i="17" a="1"/>
  <c r="AE282" i="17" a="1"/>
  <c r="AE283" i="17" a="1"/>
  <c r="AE284" i="17" a="1"/>
  <c r="AE285" i="17" a="1"/>
  <c r="AE286" i="17" a="1"/>
  <c r="AE287" i="17" a="1"/>
  <c r="AE288" i="17" a="1"/>
  <c r="AE289" i="17" a="1"/>
  <c r="AE290" i="17" a="1"/>
  <c r="AE291" i="17" a="1"/>
  <c r="AE292" i="17" a="1"/>
  <c r="AE293" i="17" a="1"/>
  <c r="AE294" i="17" a="1"/>
  <c r="AE295" i="17" a="1"/>
  <c r="AE296" i="17" a="1"/>
  <c r="AE297" i="17" a="1"/>
  <c r="AE298" i="17" a="1"/>
  <c r="AE299" i="17" a="1"/>
  <c r="AE300" i="17" a="1"/>
  <c r="AE301" i="17" a="1"/>
  <c r="AE302" i="17" a="1"/>
  <c r="AE303" i="17" a="1"/>
  <c r="AE304" i="17" a="1"/>
  <c r="AE305" i="17" a="1"/>
  <c r="AE306" i="17" a="1"/>
  <c r="AE307" i="17" a="1"/>
  <c r="AE308" i="17" a="1"/>
  <c r="AE309" i="17" a="1"/>
  <c r="AE310" i="17" a="1"/>
  <c r="AE311" i="17" a="1"/>
  <c r="AE312" i="17" a="1"/>
  <c r="AE313" i="17" a="1"/>
  <c r="AE314" i="17" a="1"/>
  <c r="AE315" i="17" a="1"/>
  <c r="AE316" i="17" a="1"/>
  <c r="AE317" i="17" a="1"/>
  <c r="AE318" i="17" a="1"/>
  <c r="AE319" i="17" a="1"/>
  <c r="AE320" i="17" a="1"/>
  <c r="AE321" i="17" a="1"/>
  <c r="AE322" i="17" a="1"/>
  <c r="AE323" i="17" a="1"/>
  <c r="AE324" i="17" a="1"/>
  <c r="AE325" i="17" a="1"/>
  <c r="AE326" i="17" a="1"/>
  <c r="AE327" i="17" a="1"/>
  <c r="AE328" i="17" a="1"/>
  <c r="AE329" i="17" a="1"/>
  <c r="AE330" i="17" a="1"/>
  <c r="AE331" i="17" a="1"/>
  <c r="AE332" i="17" a="1"/>
  <c r="AE333" i="17" a="1"/>
  <c r="AE334" i="17" a="1"/>
  <c r="AE335" i="17" a="1"/>
  <c r="AE336" i="17" a="1"/>
  <c r="AE337" i="17" a="1"/>
  <c r="AE338" i="17" a="1"/>
  <c r="AE339" i="17" a="1"/>
  <c r="AE340" i="17" a="1"/>
  <c r="AE341" i="17" a="1"/>
  <c r="AE342" i="17" a="1"/>
  <c r="AE343" i="17" a="1"/>
  <c r="AE344" i="17" a="1"/>
  <c r="AE345" i="17" a="1"/>
  <c r="AE346" i="17" a="1"/>
  <c r="AE347" i="17" a="1"/>
  <c r="AE348" i="17" a="1"/>
  <c r="AE349" i="17" a="1"/>
  <c r="AE350" i="17" a="1"/>
  <c r="AE351" i="17" a="1"/>
  <c r="AE352" i="17" a="1"/>
  <c r="AE353" i="17" a="1"/>
  <c r="AE354" i="17" a="1"/>
  <c r="AE355" i="17" a="1"/>
  <c r="AE356" i="17" a="1"/>
  <c r="AE357" i="17" a="1"/>
  <c r="AE358" i="17" a="1"/>
  <c r="AE359" i="17" a="1"/>
  <c r="AE360" i="17" a="1"/>
  <c r="AE361" i="17" a="1"/>
  <c r="AE362" i="17" a="1"/>
  <c r="AE363" i="17" a="1"/>
  <c r="AE364" i="17" a="1"/>
  <c r="AE365" i="17" a="1"/>
  <c r="AE366" i="17" a="1"/>
  <c r="AE367" i="17" a="1"/>
  <c r="AE368" i="17" a="1"/>
  <c r="AE369" i="17" a="1"/>
  <c r="AE370" i="17" a="1"/>
  <c r="AE371" i="17" a="1"/>
  <c r="AE372" i="17" a="1"/>
  <c r="AE373" i="17" a="1"/>
  <c r="AE374" i="17" a="1"/>
  <c r="AE375" i="17" a="1"/>
  <c r="AE376" i="17" a="1"/>
  <c r="AE377" i="17" a="1"/>
  <c r="AE378" i="17" a="1"/>
  <c r="AE379" i="17" a="1"/>
  <c r="AE380" i="17" a="1"/>
  <c r="AE381" i="17" a="1"/>
  <c r="AE382" i="17" a="1"/>
  <c r="AE383" i="17" a="1"/>
  <c r="AE384" i="17" a="1"/>
  <c r="AE385" i="17" a="1"/>
  <c r="AE386" i="17" a="1"/>
  <c r="AE387" i="17" a="1"/>
  <c r="AE388" i="17" a="1"/>
  <c r="AE389" i="17" a="1"/>
  <c r="AE390" i="17" a="1"/>
  <c r="AE391" i="17" a="1"/>
  <c r="AE392" i="17" a="1"/>
  <c r="AE393" i="17" a="1"/>
  <c r="AE394" i="17" a="1"/>
  <c r="AE395" i="17" a="1"/>
  <c r="AE396" i="17" a="1"/>
  <c r="AE397" i="17" a="1"/>
  <c r="AE398" i="17" a="1"/>
  <c r="AE399" i="17" a="1"/>
  <c r="AE400" i="17" a="1"/>
  <c r="AE401" i="17" a="1"/>
  <c r="AE402" i="17" a="1"/>
  <c r="AE403" i="17" a="1"/>
  <c r="AE404" i="17" a="1"/>
  <c r="AE405" i="17" a="1"/>
  <c r="AE406" i="17" a="1"/>
  <c r="AE407" i="17" a="1"/>
  <c r="AE408" i="17" a="1"/>
  <c r="AE409" i="17" a="1"/>
  <c r="AE410" i="17" a="1"/>
  <c r="AE411" i="17" a="1"/>
  <c r="AE412" i="17" a="1"/>
  <c r="AE413" i="17" a="1"/>
  <c r="AE414" i="17" a="1"/>
  <c r="AE415" i="17" a="1"/>
  <c r="AE416" i="17" a="1"/>
  <c r="AE417" i="17" a="1"/>
  <c r="AE418" i="17" a="1"/>
  <c r="AE419" i="17" a="1"/>
  <c r="AE419" i="17"/>
  <c r="AE420" i="17" a="1"/>
  <c r="AE420" i="17"/>
  <c r="AE421" i="17" a="1"/>
  <c r="AE421" i="17"/>
  <c r="AE422" i="17" a="1"/>
  <c r="AE422" i="17"/>
  <c r="AE423" i="17" a="1"/>
  <c r="AE423" i="17"/>
  <c r="AE424" i="17" a="1"/>
  <c r="AE424" i="17"/>
  <c r="AE425" i="17" a="1"/>
  <c r="AE425" i="17"/>
  <c r="AE426" i="17" a="1"/>
  <c r="AE426" i="17"/>
  <c r="AE427" i="17" a="1"/>
  <c r="AE427" i="17"/>
  <c r="AE428" i="17" a="1"/>
  <c r="AE428" i="17"/>
  <c r="AE429" i="17" a="1"/>
  <c r="AE429" i="17"/>
  <c r="AE430" i="17" a="1"/>
  <c r="AE430" i="17"/>
  <c r="AE431" i="17" a="1"/>
  <c r="AE431" i="17"/>
  <c r="AE432" i="17" a="1"/>
  <c r="AE432" i="17"/>
  <c r="AE433" i="17" a="1"/>
  <c r="AE433" i="17"/>
  <c r="AE434" i="17" a="1"/>
  <c r="AE434" i="17"/>
  <c r="AE435" i="17" a="1"/>
  <c r="AE435" i="17"/>
  <c r="AE436" i="17" a="1"/>
  <c r="AE436" i="17"/>
  <c r="AE437" i="17" a="1"/>
  <c r="AE437" i="17"/>
  <c r="AE438" i="17" a="1"/>
  <c r="AE438" i="17"/>
  <c r="AE439" i="17" a="1"/>
  <c r="AE440" i="17" a="1"/>
  <c r="AE441" i="17" a="1"/>
  <c r="AE442" i="17" a="1"/>
  <c r="AE443" i="17" a="1"/>
  <c r="AE444" i="17" a="1"/>
  <c r="AE445" i="17" a="1"/>
  <c r="AE446" i="17" a="1"/>
  <c r="AE447" i="17" a="1"/>
  <c r="AE448" i="17" a="1"/>
  <c r="AE449" i="17" a="1"/>
  <c r="AE450" i="17" a="1"/>
  <c r="AE451" i="17" a="1"/>
  <c r="AE452" i="17" a="1"/>
  <c r="AE453" i="17" a="1"/>
  <c r="AE454" i="17" a="1"/>
  <c r="AE455" i="17" a="1"/>
  <c r="AE456" i="17" a="1"/>
  <c r="AE457" i="17" a="1"/>
  <c r="AE458" i="17" a="1"/>
  <c r="AE459" i="17" a="1"/>
  <c r="AE460" i="17" a="1"/>
  <c r="AE461" i="17" a="1"/>
  <c r="AE462" i="17" a="1"/>
  <c r="AE463" i="17" a="1"/>
  <c r="AE464" i="17" a="1"/>
  <c r="AE465" i="17" a="1"/>
  <c r="AE466" i="17" a="1"/>
  <c r="AE467" i="17" a="1"/>
  <c r="AE468" i="17" a="1"/>
  <c r="AE469" i="17" a="1"/>
  <c r="AE470" i="17" a="1"/>
  <c r="AE471" i="17" a="1"/>
  <c r="AE472" i="17" a="1"/>
  <c r="AE473" i="17" a="1"/>
  <c r="AE474" i="17" a="1"/>
  <c r="AE475" i="17" a="1"/>
  <c r="AE476" i="17" a="1"/>
  <c r="AE477" i="17" a="1"/>
  <c r="AE478" i="17" a="1"/>
  <c r="AE479" i="17" a="1"/>
  <c r="AE480" i="17" a="1"/>
  <c r="AE481" i="17" a="1"/>
  <c r="AE482" i="17" a="1"/>
  <c r="AE483" i="17" a="1"/>
  <c r="AE484" i="17" a="1"/>
  <c r="AE485" i="17" a="1"/>
  <c r="AE486" i="17" a="1"/>
  <c r="AE487" i="17" a="1"/>
  <c r="AE488" i="17" a="1"/>
  <c r="AE489" i="17" a="1"/>
  <c r="AE490" i="17" a="1"/>
  <c r="AE491" i="17" a="1"/>
  <c r="AE492" i="17" a="1"/>
  <c r="AE493" i="17" a="1"/>
  <c r="AE494" i="17" a="1"/>
  <c r="AE495" i="17" a="1"/>
  <c r="AE496" i="17" a="1"/>
  <c r="AE497" i="17" a="1"/>
  <c r="AE498" i="17" a="1"/>
  <c r="AE499" i="17" a="1"/>
  <c r="AE500" i="17" a="1"/>
  <c r="AE501" i="17" a="1"/>
  <c r="AE502" i="17" a="1"/>
  <c r="AE503" i="17" a="1"/>
  <c r="AE504" i="17" a="1"/>
  <c r="AE505" i="17" a="1"/>
  <c r="AE506" i="17" a="1"/>
  <c r="AE507" i="17" a="1"/>
  <c r="AE508" i="17" a="1"/>
  <c r="AE509" i="17" a="1"/>
  <c r="AE510" i="17" a="1"/>
  <c r="AE511" i="17" a="1"/>
  <c r="AE512" i="17" a="1"/>
  <c r="AE513" i="17" a="1"/>
  <c r="AE514" i="17" a="1"/>
  <c r="AE515" i="17" a="1"/>
  <c r="AE516" i="17" a="1"/>
  <c r="AE517" i="17" a="1"/>
  <c r="AE518" i="17" a="1"/>
  <c r="AE519" i="17" a="1"/>
  <c r="AE520" i="17" a="1"/>
  <c r="AE521" i="17" a="1"/>
  <c r="AE522" i="17" a="1"/>
  <c r="AE523" i="17" a="1"/>
  <c r="AE524" i="17" a="1"/>
  <c r="AE525" i="17" a="1"/>
  <c r="AE526" i="17" a="1"/>
  <c r="AE527" i="17" a="1"/>
  <c r="AE528" i="17" a="1"/>
  <c r="AE529" i="17" a="1"/>
  <c r="AE530" i="17" a="1"/>
  <c r="AE531" i="17" a="1"/>
  <c r="AE532" i="17" a="1"/>
  <c r="AE533" i="17" a="1"/>
  <c r="AE534" i="17" a="1"/>
  <c r="AE535" i="17" a="1"/>
  <c r="AE536" i="17" a="1"/>
  <c r="AE537" i="17" a="1"/>
  <c r="AE538" i="17" a="1"/>
  <c r="AE539" i="17" a="1"/>
  <c r="AE540" i="17" a="1"/>
  <c r="AE541" i="17" a="1"/>
  <c r="AE542" i="17" a="1"/>
  <c r="AE543" i="17" a="1"/>
  <c r="AE544" i="17" a="1"/>
  <c r="AE545" i="17" a="1"/>
  <c r="AE546" i="17" a="1"/>
  <c r="AE547" i="17" a="1"/>
  <c r="AE548" i="17" a="1"/>
  <c r="AE549" i="17" a="1"/>
  <c r="AE550" i="17" a="1"/>
  <c r="AE551" i="17" a="1"/>
  <c r="AE552" i="17" a="1"/>
  <c r="AE553" i="17" a="1"/>
  <c r="AE554" i="17" a="1"/>
  <c r="AE555" i="17" a="1"/>
  <c r="AE556" i="17" a="1"/>
  <c r="AE557" i="17" a="1"/>
  <c r="AE558" i="17" a="1"/>
  <c r="AE559" i="17" a="1"/>
  <c r="AE560" i="17" a="1"/>
  <c r="AE561" i="17" a="1"/>
  <c r="AE562" i="17" a="1"/>
  <c r="AE563" i="17" a="1"/>
  <c r="AE564" i="17" a="1"/>
  <c r="AE565" i="17" a="1"/>
  <c r="AE566" i="17" a="1"/>
  <c r="AE567" i="17" a="1"/>
  <c r="AE568" i="17" a="1"/>
  <c r="AE569" i="17" a="1"/>
  <c r="AE570" i="17" a="1"/>
  <c r="AE571" i="17" a="1"/>
  <c r="AE572" i="17" a="1"/>
  <c r="AE573" i="17" a="1"/>
  <c r="AE574" i="17" a="1"/>
  <c r="AE575" i="17" a="1"/>
  <c r="AE576" i="17" a="1"/>
  <c r="AE577" i="17" a="1"/>
  <c r="AE578" i="17" a="1"/>
  <c r="AE579" i="17" a="1"/>
  <c r="AE580" i="17" a="1"/>
  <c r="AE581" i="17" a="1"/>
  <c r="AE582" i="17" a="1"/>
  <c r="AE583" i="17" a="1"/>
  <c r="AE584" i="17" a="1"/>
  <c r="AE585" i="17" a="1"/>
  <c r="AE586" i="17" a="1"/>
  <c r="AE587" i="17" a="1"/>
  <c r="AE588" i="17" a="1"/>
  <c r="AE589" i="17" a="1"/>
  <c r="AE590" i="17" a="1"/>
  <c r="AE591" i="17" a="1"/>
  <c r="AE592" i="17" a="1"/>
  <c r="AE593" i="17" a="1"/>
  <c r="AE594" i="17" a="1"/>
  <c r="AE595" i="17" a="1"/>
  <c r="AE596" i="17" a="1"/>
  <c r="AE597" i="17" a="1"/>
  <c r="AE598" i="17" a="1"/>
  <c r="AE599" i="17" a="1"/>
  <c r="AE600" i="17" a="1"/>
  <c r="AE601" i="17" a="1"/>
  <c r="AE602" i="17" a="1"/>
  <c r="AE603" i="17" a="1"/>
  <c r="AE604" i="17" a="1"/>
  <c r="AE605" i="17" a="1"/>
  <c r="AE606" i="17" a="1"/>
  <c r="AE607" i="17" a="1"/>
  <c r="AE608" i="17" a="1"/>
  <c r="AE609" i="17" a="1"/>
  <c r="AE610" i="17" a="1"/>
  <c r="AE611" i="17" a="1"/>
  <c r="AE612" i="17" a="1"/>
  <c r="AE613" i="17" a="1"/>
  <c r="AE614" i="17" a="1"/>
  <c r="AE615" i="17" a="1"/>
  <c r="AE616" i="17" a="1"/>
  <c r="AE617" i="17" a="1"/>
  <c r="AE618" i="17" a="1"/>
  <c r="AE619" i="17" a="1"/>
  <c r="AE620" i="17" a="1"/>
  <c r="AE621" i="17" a="1"/>
  <c r="AE622" i="17" a="1"/>
  <c r="AE623" i="17" a="1"/>
  <c r="AE624" i="17" a="1"/>
  <c r="AE625" i="17" a="1"/>
  <c r="AE626" i="17" a="1"/>
  <c r="AE627" i="17" a="1"/>
  <c r="AE627" i="17"/>
  <c r="AE628" i="17" a="1"/>
  <c r="AE628" i="17"/>
  <c r="AE629" i="17" a="1"/>
  <c r="AE629" i="17"/>
  <c r="AE630" i="17" a="1"/>
  <c r="AE630" i="17"/>
  <c r="AE631" i="17" a="1"/>
  <c r="AE631" i="17"/>
  <c r="AE632" i="17" a="1"/>
  <c r="AE632" i="17"/>
  <c r="AE633" i="17" a="1"/>
  <c r="AE633" i="17"/>
  <c r="AE634" i="17" a="1"/>
  <c r="AE634" i="17"/>
  <c r="AE635" i="17" a="1"/>
  <c r="AE635" i="17"/>
  <c r="AE636" i="17" a="1"/>
  <c r="AE636" i="17"/>
  <c r="AE637" i="17" a="1"/>
  <c r="AE637" i="17"/>
  <c r="AE638" i="17" a="1"/>
  <c r="AE638" i="17"/>
  <c r="AE639" i="17" a="1"/>
  <c r="AE639" i="17"/>
  <c r="AE640" i="17" a="1"/>
  <c r="AE640" i="17"/>
  <c r="AE641" i="17" a="1"/>
  <c r="AE641" i="17"/>
  <c r="AE642" i="17" a="1"/>
  <c r="AE642" i="17"/>
  <c r="AE643" i="17" a="1"/>
  <c r="AE643" i="17"/>
  <c r="AE644" i="17" a="1"/>
  <c r="AE644" i="17"/>
  <c r="AE645" i="17" a="1"/>
  <c r="AE645" i="17"/>
  <c r="AE646" i="17" a="1"/>
  <c r="AE646" i="17"/>
  <c r="AE647" i="17" a="1"/>
  <c r="AE647" i="17"/>
  <c r="AE648" i="17" a="1"/>
  <c r="AE648" i="17"/>
  <c r="AE649" i="17" a="1"/>
  <c r="AE649" i="17"/>
  <c r="AE650" i="17" a="1"/>
  <c r="AE650" i="17"/>
  <c r="AE651" i="17" a="1"/>
  <c r="AE651" i="17"/>
  <c r="AE652" i="17" a="1"/>
  <c r="AE652" i="17"/>
  <c r="AE653" i="17" a="1"/>
  <c r="AE653" i="17"/>
  <c r="AE654" i="17" a="1"/>
  <c r="AE654" i="17"/>
  <c r="AE655" i="17" a="1"/>
  <c r="AE655" i="17"/>
  <c r="AE656" i="17" a="1"/>
  <c r="AE656" i="17"/>
  <c r="AE657" i="17" a="1"/>
  <c r="AE657" i="17"/>
  <c r="AE658" i="17" a="1"/>
  <c r="AE658" i="17"/>
  <c r="AE659" i="17" a="1"/>
  <c r="AE659" i="17"/>
  <c r="AE660" i="17" a="1"/>
  <c r="AE660" i="17"/>
  <c r="AE661" i="17" a="1"/>
  <c r="AE661" i="17"/>
  <c r="AE662" i="17" a="1"/>
  <c r="AE662" i="17"/>
  <c r="AE663" i="17" a="1"/>
  <c r="AE663" i="17"/>
  <c r="AE664" i="17" a="1"/>
  <c r="AE664" i="17"/>
  <c r="AE665" i="17" a="1"/>
  <c r="AE665" i="17"/>
  <c r="AE666" i="17" a="1"/>
  <c r="AE666" i="17"/>
  <c r="AE667" i="17" a="1"/>
  <c r="AE667" i="17"/>
  <c r="AE668" i="17" a="1"/>
  <c r="AE668" i="17"/>
  <c r="AE669" i="17" a="1"/>
  <c r="AE669" i="17"/>
  <c r="AE670" i="17" a="1"/>
  <c r="AE670" i="17"/>
  <c r="AE671" i="17" a="1"/>
  <c r="AE672" i="17" a="1"/>
  <c r="AE673" i="17" a="1"/>
  <c r="AE674" i="17" a="1"/>
  <c r="AE675" i="17" a="1"/>
  <c r="AE676" i="17" a="1"/>
  <c r="AE677" i="17" a="1"/>
  <c r="AE678" i="17" a="1"/>
  <c r="AE679" i="17" a="1"/>
  <c r="AE680" i="17" a="1"/>
  <c r="AE681" i="17" a="1"/>
  <c r="AE682" i="17" a="1"/>
  <c r="AE683" i="17" a="1"/>
  <c r="AE684" i="17" a="1"/>
  <c r="AE685" i="17" a="1"/>
  <c r="AE686" i="17" a="1"/>
  <c r="AE687" i="17" a="1"/>
  <c r="AE688" i="17" a="1"/>
  <c r="AE689" i="17" a="1"/>
  <c r="AE690" i="17" a="1"/>
  <c r="AE691" i="17" a="1"/>
  <c r="AE692" i="17" a="1"/>
  <c r="AE693" i="17" a="1"/>
  <c r="AE694" i="17" a="1"/>
  <c r="AE695" i="17" a="1"/>
  <c r="AE696" i="17" a="1"/>
  <c r="AE697" i="17" a="1"/>
  <c r="AE698" i="17" a="1"/>
  <c r="AE699" i="17" a="1"/>
  <c r="AE700" i="17" a="1"/>
  <c r="AE701" i="17" a="1"/>
  <c r="AE702" i="17" a="1"/>
  <c r="AE703" i="17" a="1"/>
  <c r="AE704" i="17" a="1"/>
  <c r="AE705" i="17" a="1"/>
  <c r="AE706" i="17" a="1"/>
  <c r="AE707" i="17" a="1"/>
  <c r="AE708" i="17" a="1"/>
  <c r="AE709" i="17" a="1"/>
  <c r="AE710" i="17" a="1"/>
  <c r="AE711" i="17" a="1"/>
  <c r="AE712" i="17" a="1"/>
  <c r="AE713" i="17" a="1"/>
  <c r="AE714" i="17" a="1"/>
  <c r="AE715" i="17" a="1"/>
  <c r="AE716" i="17" a="1"/>
  <c r="AE717" i="17" a="1"/>
  <c r="AE718" i="17" a="1"/>
  <c r="AE719" i="17" a="1"/>
  <c r="AE720" i="17" a="1"/>
  <c r="AE721" i="17" a="1"/>
  <c r="AE722" i="17" a="1"/>
  <c r="AE723" i="17" a="1"/>
  <c r="AE724" i="17" a="1"/>
  <c r="AE725" i="17" a="1"/>
  <c r="AE726" i="17" a="1"/>
  <c r="AE727" i="17" a="1"/>
  <c r="AE728" i="17" a="1"/>
  <c r="AE729" i="17" a="1"/>
  <c r="AE730" i="17" a="1"/>
  <c r="AE731" i="17" a="1"/>
  <c r="AE732" i="17" a="1"/>
  <c r="AE733" i="17" a="1"/>
  <c r="AE734" i="17" a="1"/>
  <c r="AE735" i="17" a="1"/>
  <c r="AE736" i="17" a="1"/>
  <c r="AE737" i="17" a="1"/>
  <c r="AE738" i="17" a="1"/>
  <c r="AE739" i="17" a="1"/>
  <c r="AE740" i="17" a="1"/>
  <c r="AE741" i="17" a="1"/>
  <c r="AE742" i="17" a="1"/>
  <c r="AE743" i="17" a="1"/>
  <c r="AE744" i="17" a="1"/>
  <c r="AE745" i="17" a="1"/>
  <c r="AE746" i="17" a="1"/>
  <c r="AE747" i="17" a="1"/>
  <c r="AE748" i="17" a="1"/>
  <c r="AE749" i="17" a="1"/>
  <c r="AE750" i="17" a="1"/>
  <c r="AE751" i="17" a="1"/>
  <c r="AE752" i="17" a="1"/>
  <c r="AE753" i="17" a="1"/>
  <c r="AE754" i="17" a="1"/>
  <c r="AE755" i="17" a="1"/>
  <c r="AE756" i="17" a="1"/>
  <c r="AE757" i="17" a="1"/>
  <c r="AE758" i="17" a="1"/>
  <c r="AE759" i="17" a="1"/>
  <c r="AE760" i="17" a="1"/>
  <c r="AE761" i="17" a="1"/>
  <c r="AE762" i="17" a="1"/>
  <c r="AE763" i="17" a="1"/>
  <c r="AE764" i="17" a="1"/>
  <c r="AE765" i="17" a="1"/>
  <c r="AE766" i="17" a="1"/>
  <c r="AE767" i="17" a="1"/>
  <c r="AE768" i="17" a="1"/>
  <c r="AE769" i="17" a="1"/>
  <c r="AE770" i="17" a="1"/>
  <c r="AE771" i="17" a="1"/>
  <c r="AE772" i="17" a="1"/>
  <c r="AE773" i="17" a="1"/>
  <c r="AE774" i="17" a="1"/>
  <c r="AE775" i="17" a="1"/>
  <c r="AE776" i="17" a="1"/>
  <c r="AE777" i="17" a="1"/>
  <c r="AE778" i="17" a="1"/>
  <c r="AE779" i="17" a="1"/>
  <c r="AE780" i="17" a="1"/>
  <c r="AE781" i="17" a="1"/>
  <c r="AE782" i="17" a="1"/>
  <c r="AE783" i="17" a="1"/>
  <c r="AE784" i="17" a="1"/>
  <c r="AE785" i="17" a="1"/>
  <c r="AE786" i="17" a="1"/>
  <c r="AE787" i="17" a="1"/>
  <c r="AE788" i="17" a="1"/>
  <c r="AE789" i="17" a="1"/>
  <c r="AE790" i="17" a="1"/>
  <c r="AE791" i="17" a="1"/>
  <c r="AE792" i="17" a="1"/>
  <c r="AE793" i="17" a="1"/>
  <c r="AE794" i="17" a="1"/>
  <c r="AE795" i="17" a="1"/>
  <c r="AE796" i="17" a="1"/>
  <c r="AE797" i="17" a="1"/>
  <c r="AE798" i="17" a="1"/>
  <c r="AE799" i="17" a="1"/>
  <c r="AE800" i="17" a="1"/>
  <c r="AE801" i="17" a="1"/>
  <c r="AE802" i="17" a="1"/>
  <c r="AE803" i="17" a="1"/>
  <c r="AE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O804" i="14"/>
  <c r="N804" i="14"/>
  <c r="M804" i="14"/>
  <c r="L804" i="14"/>
  <c r="K804" i="14"/>
  <c r="J804" i="14"/>
  <c r="I804" i="14"/>
  <c r="H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M803" i="14"/>
  <c r="N803" i="14"/>
  <c r="O803" i="14"/>
  <c r="AF802" i="1"/>
  <c r="AD802" i="17"/>
  <c r="K802" i="17"/>
  <c r="E802" i="17"/>
  <c r="R802" i="17"/>
  <c r="B802" i="14"/>
  <c r="I802" i="14"/>
  <c r="J802" i="14"/>
  <c r="K802" i="14"/>
  <c r="L802" i="14"/>
  <c r="M802" i="14"/>
  <c r="N802" i="14"/>
  <c r="O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M801" i="14"/>
  <c r="N801" i="14"/>
  <c r="O801" i="14"/>
  <c r="E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M800" i="14"/>
  <c r="N800" i="14"/>
  <c r="O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M799" i="14"/>
  <c r="N799" i="14"/>
  <c r="O799" i="14"/>
  <c r="AF798" i="1"/>
  <c r="AD798" i="17"/>
  <c r="E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J796" i="14"/>
  <c r="K796" i="14"/>
  <c r="L796" i="14"/>
  <c r="M796" i="14"/>
  <c r="N796" i="14"/>
  <c r="O796" i="14"/>
  <c r="AF795" i="1"/>
  <c r="AD795" i="17"/>
  <c r="R795" i="17"/>
  <c r="T795" i="17" s="1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3" i="17" l="1"/>
  <c r="AE10" i="17"/>
  <c r="AE22" i="17"/>
  <c r="AE27" i="17"/>
  <c r="AE33" i="17"/>
  <c r="AE39" i="17"/>
  <c r="AE53" i="17"/>
  <c r="AE63" i="17"/>
  <c r="AE75" i="17"/>
  <c r="AE94" i="17"/>
  <c r="AE114" i="17"/>
  <c r="AE155" i="17"/>
  <c r="AE181" i="17"/>
  <c r="AE207" i="17"/>
  <c r="AE249" i="17"/>
  <c r="AE272" i="17"/>
  <c r="AE300" i="17"/>
  <c r="AE327" i="17"/>
  <c r="AE353" i="17"/>
  <c r="AE354" i="17"/>
  <c r="AE382" i="17"/>
  <c r="AE409" i="17"/>
  <c r="AE410" i="17"/>
  <c r="AE459" i="17"/>
  <c r="AE488" i="17"/>
  <c r="AE515" i="17"/>
  <c r="AE560" i="17"/>
  <c r="AE586" i="17"/>
  <c r="AE704" i="17"/>
  <c r="AE720" i="17"/>
  <c r="AE764" i="17"/>
  <c r="AE803" i="17"/>
  <c r="C803" i="24" s="1"/>
  <c r="AE804" i="17"/>
  <c r="C804" i="24" s="1"/>
  <c r="AE250" i="17"/>
  <c r="AE273" i="17"/>
  <c r="AE297" i="17"/>
  <c r="AE357" i="17"/>
  <c r="AE386" i="17"/>
  <c r="AE412" i="17"/>
  <c r="AE457" i="17"/>
  <c r="AE485" i="17"/>
  <c r="AE486" i="17"/>
  <c r="AE512" i="17"/>
  <c r="AE546" i="17"/>
  <c r="AE580" i="17"/>
  <c r="AE615" i="17"/>
  <c r="AE715" i="17"/>
  <c r="AE754" i="17"/>
  <c r="AE755" i="17"/>
  <c r="AE783" i="17"/>
  <c r="AE418" i="17"/>
  <c r="AE442" i="17"/>
  <c r="AE468" i="17"/>
  <c r="AE493" i="17"/>
  <c r="AE520" i="17"/>
  <c r="AE542" i="17"/>
  <c r="AE543" i="17"/>
  <c r="AE556" i="17"/>
  <c r="AE577" i="17"/>
  <c r="AE606" i="17"/>
  <c r="AE614" i="17"/>
  <c r="AE678" i="17"/>
  <c r="AE702" i="17"/>
  <c r="AE728" i="17"/>
  <c r="AE729" i="17"/>
  <c r="AE767" i="17"/>
  <c r="AE673" i="17"/>
  <c r="AE675" i="17"/>
  <c r="AE694" i="17"/>
  <c r="AE700" i="17"/>
  <c r="AE737" i="17"/>
  <c r="AE753" i="17"/>
  <c r="AE772" i="17"/>
  <c r="AE786" i="17"/>
  <c r="AE97" i="17"/>
  <c r="AE126" i="17"/>
  <c r="AE127" i="17"/>
  <c r="AE157" i="17"/>
  <c r="AE158" i="17"/>
  <c r="AE159" i="17"/>
  <c r="AE179" i="17"/>
  <c r="AE204" i="17"/>
  <c r="AE258" i="17"/>
  <c r="AE280" i="17"/>
  <c r="AE309" i="17"/>
  <c r="AE333" i="17"/>
  <c r="AE359" i="17"/>
  <c r="AE384" i="17"/>
  <c r="AE411" i="17"/>
  <c r="AE463" i="17"/>
  <c r="AE518" i="17"/>
  <c r="AE551" i="17"/>
  <c r="AE569" i="17"/>
  <c r="AE596" i="17"/>
  <c r="AE679" i="17"/>
  <c r="AE705" i="17"/>
  <c r="AE723" i="17"/>
  <c r="AE751" i="17"/>
  <c r="AE781" i="17"/>
  <c r="AE802" i="17"/>
  <c r="C802" i="24" s="1"/>
  <c r="AE131" i="17"/>
  <c r="AE135" i="17"/>
  <c r="AE171" i="17"/>
  <c r="AE172" i="17"/>
  <c r="AE199" i="17"/>
  <c r="AE243" i="17"/>
  <c r="AE265" i="17"/>
  <c r="AE291" i="17"/>
  <c r="AE318" i="17"/>
  <c r="AE373" i="17"/>
  <c r="AE400" i="17"/>
  <c r="AE451" i="17"/>
  <c r="AE481" i="17"/>
  <c r="AE509" i="17"/>
  <c r="AE537" i="17"/>
  <c r="AE602" i="17"/>
  <c r="AE695" i="17"/>
  <c r="AE746" i="17"/>
  <c r="AE766" i="17"/>
  <c r="AE779" i="17"/>
  <c r="AE796" i="17"/>
  <c r="C796" i="24" s="1"/>
  <c r="AE121" i="17"/>
  <c r="AE144" i="17"/>
  <c r="AE203" i="17"/>
  <c r="AE248" i="17"/>
  <c r="AE274" i="17"/>
  <c r="AE301" i="17"/>
  <c r="AE322" i="17"/>
  <c r="AE349" i="17"/>
  <c r="AE377" i="17"/>
  <c r="AE403" i="17"/>
  <c r="AE454" i="17"/>
  <c r="AE480" i="17"/>
  <c r="AE482" i="17"/>
  <c r="AE483" i="17"/>
  <c r="AE508" i="17"/>
  <c r="AE536" i="17"/>
  <c r="AE604" i="17"/>
  <c r="AE697" i="17"/>
  <c r="AE736" i="17"/>
  <c r="AE98" i="17"/>
  <c r="AE148" i="17"/>
  <c r="AE174" i="17"/>
  <c r="AE237" i="17"/>
  <c r="AE266" i="17"/>
  <c r="AE287" i="17"/>
  <c r="AE313" i="17"/>
  <c r="AE339" i="17"/>
  <c r="AE366" i="17"/>
  <c r="AE367" i="17"/>
  <c r="AE391" i="17"/>
  <c r="AE441" i="17"/>
  <c r="AE470" i="17"/>
  <c r="AE498" i="17"/>
  <c r="AE568" i="17"/>
  <c r="AE591" i="17"/>
  <c r="AE622" i="17"/>
  <c r="AE686" i="17"/>
  <c r="AE718" i="17"/>
  <c r="AE752" i="17"/>
  <c r="AE773" i="17"/>
  <c r="AE145" i="17"/>
  <c r="AE166" i="17"/>
  <c r="AE193" i="17"/>
  <c r="AE284" i="17"/>
  <c r="AE311" i="17"/>
  <c r="AE338" i="17"/>
  <c r="AE365" i="17"/>
  <c r="AE414" i="17"/>
  <c r="AE462" i="17"/>
  <c r="AE491" i="17"/>
  <c r="AE517" i="17"/>
  <c r="AE540" i="17"/>
  <c r="AE541" i="17"/>
  <c r="AE552" i="17"/>
  <c r="AE570" i="17"/>
  <c r="AE605" i="17"/>
  <c r="AE608" i="17"/>
  <c r="AE620" i="17"/>
  <c r="AE685" i="17"/>
  <c r="AE726" i="17"/>
  <c r="AE756" i="17"/>
  <c r="AE780" i="17"/>
  <c r="AE72" i="17"/>
  <c r="AE74" i="17"/>
  <c r="AE108" i="17"/>
  <c r="AE163" i="17"/>
  <c r="AE201" i="17"/>
  <c r="AE202" i="17"/>
  <c r="AE247" i="17"/>
  <c r="AE292" i="17"/>
  <c r="AE319" i="17"/>
  <c r="AE345" i="17"/>
  <c r="AE346" i="17"/>
  <c r="AE371" i="17"/>
  <c r="AE397" i="17"/>
  <c r="AE445" i="17"/>
  <c r="AE446" i="17"/>
  <c r="AE472" i="17"/>
  <c r="AE499" i="17"/>
  <c r="AE525" i="17"/>
  <c r="AE526" i="17"/>
  <c r="AE578" i="17"/>
  <c r="AE597" i="17"/>
  <c r="AE598" i="17"/>
  <c r="AE692" i="17"/>
  <c r="AE719" i="17"/>
  <c r="AE81" i="17"/>
  <c r="AE116" i="17"/>
  <c r="AE143" i="17"/>
  <c r="AE170" i="17"/>
  <c r="AE195" i="17"/>
  <c r="AE260" i="17"/>
  <c r="AE286" i="17"/>
  <c r="AE314" i="17"/>
  <c r="AE343" i="17"/>
  <c r="AE372" i="17"/>
  <c r="AE399" i="17"/>
  <c r="AE450" i="17"/>
  <c r="AE510" i="17"/>
  <c r="AE539" i="17"/>
  <c r="AE674" i="17"/>
  <c r="AE712" i="17"/>
  <c r="AE735" i="17"/>
  <c r="AE759" i="17"/>
  <c r="AE789" i="17"/>
  <c r="AE130" i="17"/>
  <c r="AE191" i="17"/>
  <c r="AE231" i="17"/>
  <c r="AE595" i="17"/>
  <c r="AE611" i="17"/>
  <c r="AE698" i="17"/>
  <c r="AE102" i="17"/>
  <c r="AE103" i="17"/>
  <c r="AE104" i="17"/>
  <c r="AE142" i="17"/>
  <c r="AE165" i="17"/>
  <c r="AE194" i="17"/>
  <c r="AE239" i="17"/>
  <c r="AE240" i="17"/>
  <c r="AE271" i="17"/>
  <c r="AE294" i="17"/>
  <c r="AE295" i="17"/>
  <c r="AE296" i="17"/>
  <c r="AE356" i="17"/>
  <c r="AE385" i="17"/>
  <c r="AE413" i="17"/>
  <c r="AE461" i="17"/>
  <c r="AE489" i="17"/>
  <c r="AE490" i="17"/>
  <c r="AE519" i="17"/>
  <c r="AE565" i="17"/>
  <c r="AE566" i="17"/>
  <c r="AE603" i="17"/>
  <c r="AE699" i="17"/>
  <c r="AE798" i="17"/>
  <c r="C798" i="24" s="1"/>
  <c r="AE799" i="17"/>
  <c r="C799" i="24" s="1"/>
  <c r="AE101" i="17"/>
  <c r="AE776" i="17"/>
  <c r="AE739" i="17"/>
  <c r="AE775" i="17"/>
  <c r="AE797" i="17"/>
  <c r="C797" i="24" s="1"/>
  <c r="AE187" i="17"/>
  <c r="AE188" i="17"/>
  <c r="AE235" i="17"/>
  <c r="AE236" i="17"/>
  <c r="AE262" i="17"/>
  <c r="AE288" i="17"/>
  <c r="AE312" i="17"/>
  <c r="AE340" i="17"/>
  <c r="AE393" i="17"/>
  <c r="AE417" i="17"/>
  <c r="AE465" i="17"/>
  <c r="AE492" i="17"/>
  <c r="AE524" i="17"/>
  <c r="AE548" i="17"/>
  <c r="AE549" i="17"/>
  <c r="AE550" i="17"/>
  <c r="AE587" i="17"/>
  <c r="AE621" i="17"/>
  <c r="AE693" i="17"/>
  <c r="AE722" i="17"/>
  <c r="AE724" i="17"/>
  <c r="AE774" i="17"/>
  <c r="AE793" i="17"/>
  <c r="AE177" i="17"/>
  <c r="AE178" i="17"/>
  <c r="AE209" i="17"/>
  <c r="AE225" i="17"/>
  <c r="AE255" i="17"/>
  <c r="AE281" i="17"/>
  <c r="AE306" i="17"/>
  <c r="AE331" i="17"/>
  <c r="AE358" i="17"/>
  <c r="AE383" i="17"/>
  <c r="AE408" i="17"/>
  <c r="AE455" i="17"/>
  <c r="AE516" i="17"/>
  <c r="AE573" i="17"/>
  <c r="AE574" i="17"/>
  <c r="AE607" i="17"/>
  <c r="AE616" i="17"/>
  <c r="AE617" i="17"/>
  <c r="AE683" i="17"/>
  <c r="AE91" i="17"/>
  <c r="AE92" i="17"/>
  <c r="AE115" i="17"/>
  <c r="AE136" i="17"/>
  <c r="AE183" i="17"/>
  <c r="AE226" i="17"/>
  <c r="AE252" i="17"/>
  <c r="AE275" i="17"/>
  <c r="AE298" i="17"/>
  <c r="AE324" i="17"/>
  <c r="AE350" i="17"/>
  <c r="AE375" i="17"/>
  <c r="AE402" i="17"/>
  <c r="AE449" i="17"/>
  <c r="AE477" i="17"/>
  <c r="AE505" i="17"/>
  <c r="AE533" i="17"/>
  <c r="AE557" i="17"/>
  <c r="AE558" i="17"/>
  <c r="AE593" i="17"/>
  <c r="AE623" i="17"/>
  <c r="AE624" i="17"/>
  <c r="AE690" i="17"/>
  <c r="AE716" i="17"/>
  <c r="AE747" i="17"/>
  <c r="AE748" i="17"/>
  <c r="AE765" i="17"/>
  <c r="AE787" i="17"/>
  <c r="AE90" i="17"/>
  <c r="AE132" i="17"/>
  <c r="AE133" i="17"/>
  <c r="AE134" i="17"/>
  <c r="AE156" i="17"/>
  <c r="AE182" i="17"/>
  <c r="AE227" i="17"/>
  <c r="AE310" i="17"/>
  <c r="AE337" i="17"/>
  <c r="AE364" i="17"/>
  <c r="AE390" i="17"/>
  <c r="AE440" i="17"/>
  <c r="AE466" i="17"/>
  <c r="AE467" i="17"/>
  <c r="AE496" i="17"/>
  <c r="AE522" i="17"/>
  <c r="AE544" i="17"/>
  <c r="AE561" i="17"/>
  <c r="AE562" i="17"/>
  <c r="AE583" i="17"/>
  <c r="AE613" i="17"/>
  <c r="AE677" i="17"/>
  <c r="AE701" i="17"/>
  <c r="AE713" i="17"/>
  <c r="AE738" i="17"/>
  <c r="AE744" i="17"/>
  <c r="AE762" i="17"/>
  <c r="AE788" i="17"/>
  <c r="AE52" i="17"/>
  <c r="AE68" i="17"/>
  <c r="AE82" i="17"/>
  <c r="AE105" i="17"/>
  <c r="AE120" i="17"/>
  <c r="AE140" i="17"/>
  <c r="AE162" i="17"/>
  <c r="AE185" i="17"/>
  <c r="AE230" i="17"/>
  <c r="AE257" i="17"/>
  <c r="AE283" i="17"/>
  <c r="AE308" i="17"/>
  <c r="AE336" i="17"/>
  <c r="AE362" i="17"/>
  <c r="AE389" i="17"/>
  <c r="AE416" i="17"/>
  <c r="AE469" i="17"/>
  <c r="AE497" i="17"/>
  <c r="AE527" i="17"/>
  <c r="AE579" i="17"/>
  <c r="AE599" i="17"/>
  <c r="AE688" i="17"/>
  <c r="AE714" i="17"/>
  <c r="AE742" i="17"/>
  <c r="AE757" i="17"/>
  <c r="AE800" i="17"/>
  <c r="C800" i="24" s="1"/>
  <c r="AE801" i="17"/>
  <c r="C801" i="24" s="1"/>
  <c r="AE55" i="17"/>
  <c r="AE56" i="17"/>
  <c r="AE113" i="17"/>
  <c r="AE154" i="17"/>
  <c r="AE176" i="17"/>
  <c r="AE200" i="17"/>
  <c r="AE241" i="17"/>
  <c r="AE242" i="17"/>
  <c r="AE293" i="17"/>
  <c r="AE321" i="17"/>
  <c r="AE347" i="17"/>
  <c r="AE374" i="17"/>
  <c r="AE398" i="17"/>
  <c r="AE447" i="17"/>
  <c r="AE475" i="17"/>
  <c r="AE503" i="17"/>
  <c r="AE531" i="17"/>
  <c r="AE740" i="17"/>
  <c r="AE59" i="17"/>
  <c r="AE60" i="17"/>
  <c r="AE79" i="17"/>
  <c r="AE100" i="17"/>
  <c r="AE146" i="17"/>
  <c r="AE147" i="17"/>
  <c r="AE168" i="17"/>
  <c r="AE169" i="17"/>
  <c r="AE245" i="17"/>
  <c r="AE267" i="17"/>
  <c r="AE320" i="17"/>
  <c r="AE348" i="17"/>
  <c r="AE381" i="17"/>
  <c r="AE406" i="17"/>
  <c r="AE456" i="17"/>
  <c r="AE484" i="17"/>
  <c r="AE513" i="17"/>
  <c r="AE554" i="17"/>
  <c r="AE555" i="17"/>
  <c r="AE575" i="17"/>
  <c r="AE609" i="17"/>
  <c r="AE626" i="17"/>
  <c r="AE671" i="17"/>
  <c r="AE703" i="17"/>
  <c r="AE721" i="17"/>
  <c r="AE782" i="17"/>
  <c r="AE119" i="17"/>
  <c r="AE208" i="17"/>
  <c r="AE244" i="17"/>
  <c r="AE276" i="17"/>
  <c r="AE302" i="17"/>
  <c r="AE335" i="17"/>
  <c r="AE360" i="17"/>
  <c r="AE460" i="17"/>
  <c r="AE511" i="17"/>
  <c r="AE538" i="17"/>
  <c r="AE553" i="17"/>
  <c r="AE571" i="17"/>
  <c r="AE594" i="17"/>
  <c r="AE696" i="17"/>
  <c r="AE727" i="17"/>
  <c r="AE770" i="17"/>
  <c r="AE88" i="17"/>
  <c r="AE89" i="17"/>
  <c r="AE149" i="17"/>
  <c r="AE192" i="17"/>
  <c r="AE234" i="17"/>
  <c r="AE261" i="17"/>
  <c r="AE315" i="17"/>
  <c r="AE341" i="17"/>
  <c r="AE368" i="17"/>
  <c r="AE392" i="17"/>
  <c r="AE439" i="17"/>
  <c r="AE494" i="17"/>
  <c r="AE521" i="17"/>
  <c r="AE545" i="17"/>
  <c r="AE563" i="17"/>
  <c r="AE584" i="17"/>
  <c r="AE618" i="17"/>
  <c r="AE619" i="17"/>
  <c r="AE684" i="17"/>
  <c r="AE708" i="17"/>
  <c r="AE731" i="17"/>
  <c r="AE65" i="17"/>
  <c r="AE76" i="17"/>
  <c r="AE87" i="17"/>
  <c r="AE117" i="17"/>
  <c r="AE138" i="17"/>
  <c r="AE151" i="17"/>
  <c r="AE167" i="17"/>
  <c r="AE190" i="17"/>
  <c r="AE232" i="17"/>
  <c r="AE259" i="17"/>
  <c r="AE285" i="17"/>
  <c r="AE317" i="17"/>
  <c r="AE344" i="17"/>
  <c r="AE370" i="17"/>
  <c r="AE396" i="17"/>
  <c r="AE444" i="17"/>
  <c r="AE471" i="17"/>
  <c r="AE502" i="17"/>
  <c r="AE529" i="17"/>
  <c r="AE530" i="17"/>
  <c r="AE547" i="17"/>
  <c r="AE564" i="17"/>
  <c r="AE588" i="17"/>
  <c r="AE589" i="17"/>
  <c r="AE680" i="17"/>
  <c r="AE681" i="17"/>
  <c r="AE763" i="17"/>
  <c r="AE44" i="17"/>
  <c r="AE45" i="17"/>
  <c r="AE111" i="17"/>
  <c r="AE153" i="17"/>
  <c r="AE206" i="17"/>
  <c r="AE251" i="17"/>
  <c r="AE277" i="17"/>
  <c r="AE305" i="17"/>
  <c r="AE332" i="17"/>
  <c r="AE363" i="17"/>
  <c r="AE387" i="17"/>
  <c r="AE388" i="17"/>
  <c r="AE415" i="17"/>
  <c r="AE464" i="17"/>
  <c r="AE495" i="17"/>
  <c r="AE523" i="17"/>
  <c r="AE741" i="17"/>
  <c r="AE80" i="17"/>
  <c r="AE99" i="17"/>
  <c r="AE118" i="17"/>
  <c r="AE141" i="17"/>
  <c r="AE160" i="17"/>
  <c r="AE186" i="17"/>
  <c r="AE229" i="17"/>
  <c r="AE279" i="17"/>
  <c r="AE304" i="17"/>
  <c r="AE328" i="17"/>
  <c r="AE378" i="17"/>
  <c r="AE405" i="17"/>
  <c r="AE453" i="17"/>
  <c r="AE479" i="17"/>
  <c r="AE507" i="17"/>
  <c r="AE535" i="17"/>
  <c r="AE582" i="17"/>
  <c r="AE600" i="17"/>
  <c r="AE687" i="17"/>
  <c r="AE710" i="17"/>
  <c r="AE733" i="17"/>
  <c r="AE749" i="17"/>
  <c r="AE750" i="17"/>
  <c r="AE771" i="17"/>
  <c r="AE794" i="17"/>
  <c r="AE4" i="17"/>
  <c r="AE9" i="17"/>
  <c r="AE12" i="17"/>
  <c r="AE14" i="17"/>
  <c r="AE16" i="17"/>
  <c r="AE23" i="17"/>
  <c r="AE26" i="17"/>
  <c r="AE29" i="17"/>
  <c r="AE32" i="17"/>
  <c r="AE36" i="17"/>
  <c r="AE38" i="17"/>
  <c r="AE43" i="17"/>
  <c r="AE51" i="17"/>
  <c r="AE57" i="17"/>
  <c r="AE64" i="17"/>
  <c r="AE70" i="17"/>
  <c r="AE77" i="17"/>
  <c r="AE110" i="17"/>
  <c r="AE128" i="17"/>
  <c r="AE129" i="17"/>
  <c r="AE152" i="17"/>
  <c r="AE175" i="17"/>
  <c r="AE198" i="17"/>
  <c r="AE263" i="17"/>
  <c r="AE299" i="17"/>
  <c r="AE325" i="17"/>
  <c r="AE326" i="17"/>
  <c r="AE352" i="17"/>
  <c r="AE376" i="17"/>
  <c r="AE401" i="17"/>
  <c r="AE448" i="17"/>
  <c r="AE476" i="17"/>
  <c r="AE501" i="17"/>
  <c r="AE567" i="17"/>
  <c r="AE590" i="17"/>
  <c r="AE625" i="17"/>
  <c r="AE691" i="17"/>
  <c r="AE717" i="17"/>
  <c r="AE768" i="17"/>
  <c r="AE791" i="17"/>
  <c r="AE792" i="17"/>
  <c r="AE40" i="17"/>
  <c r="AE41" i="17"/>
  <c r="AE62" i="17"/>
  <c r="AE71" i="17"/>
  <c r="AE85" i="17"/>
  <c r="AE86" i="17"/>
  <c r="AE109" i="17"/>
  <c r="AE137" i="17"/>
  <c r="AE161" i="17"/>
  <c r="AE184" i="17"/>
  <c r="AE228" i="17"/>
  <c r="AE253" i="17"/>
  <c r="AE254" i="17"/>
  <c r="AE278" i="17"/>
  <c r="AE303" i="17"/>
  <c r="AE329" i="17"/>
  <c r="AE330" i="17"/>
  <c r="AE355" i="17"/>
  <c r="AE380" i="17"/>
  <c r="AE407" i="17"/>
  <c r="AE458" i="17"/>
  <c r="AE487" i="17"/>
  <c r="AE514" i="17"/>
  <c r="AE559" i="17"/>
  <c r="AE576" i="17"/>
  <c r="AE612" i="17"/>
  <c r="AE676" i="17"/>
  <c r="AE709" i="17"/>
  <c r="AE732" i="17"/>
  <c r="AE760" i="17"/>
  <c r="AE784" i="17"/>
  <c r="AE785" i="17"/>
  <c r="AE7" i="17"/>
  <c r="AE17" i="17"/>
  <c r="AE24" i="17"/>
  <c r="AE30" i="17"/>
  <c r="AE35" i="17"/>
  <c r="AE46" i="17"/>
  <c r="AE47" i="17"/>
  <c r="AE54" i="17"/>
  <c r="AE66" i="17"/>
  <c r="AE78" i="17"/>
  <c r="AE93" i="17"/>
  <c r="AE95" i="17"/>
  <c r="AE96" i="17"/>
  <c r="AE112" i="17"/>
  <c r="AE139" i="17"/>
  <c r="AE164" i="17"/>
  <c r="AE189" i="17"/>
  <c r="AE233" i="17"/>
  <c r="AE256" i="17"/>
  <c r="AE282" i="17"/>
  <c r="AE307" i="17"/>
  <c r="AE334" i="17"/>
  <c r="AE361" i="17"/>
  <c r="AE395" i="17"/>
  <c r="AE443" i="17"/>
  <c r="AE473" i="17"/>
  <c r="AE500" i="17"/>
  <c r="AE528" i="17"/>
  <c r="AE581" i="17"/>
  <c r="AE610" i="17"/>
  <c r="AE672" i="17"/>
  <c r="AE707" i="17"/>
  <c r="AE730" i="17"/>
  <c r="AE769" i="17"/>
  <c r="AE19" i="17"/>
  <c r="AE20" i="17"/>
  <c r="AE49" i="17"/>
  <c r="AE58" i="17"/>
  <c r="AE69" i="17"/>
  <c r="AE83" i="17"/>
  <c r="AE107" i="17"/>
  <c r="AE122" i="17"/>
  <c r="AE123" i="17"/>
  <c r="AE124" i="17"/>
  <c r="AE173" i="17"/>
  <c r="AE196" i="17"/>
  <c r="AE197" i="17"/>
  <c r="AE238" i="17"/>
  <c r="AE264" i="17"/>
  <c r="AE289" i="17"/>
  <c r="AE290" i="17"/>
  <c r="AE316" i="17"/>
  <c r="AE342" i="17"/>
  <c r="AE369" i="17"/>
  <c r="AE394" i="17"/>
  <c r="AE474" i="17"/>
  <c r="AE504" i="17"/>
  <c r="AE532" i="17"/>
  <c r="AE585" i="17"/>
  <c r="AE601" i="17"/>
  <c r="AE689" i="17"/>
  <c r="AE711" i="17"/>
  <c r="AE734" i="17"/>
  <c r="AE743" i="17"/>
  <c r="AE758" i="17"/>
  <c r="AE777" i="17"/>
  <c r="AE778" i="17"/>
  <c r="AE795" i="17"/>
  <c r="C795" i="24" s="1"/>
  <c r="AE5" i="17"/>
  <c r="AE8" i="17"/>
  <c r="AE11" i="17"/>
  <c r="AE13" i="17"/>
  <c r="AE15" i="17"/>
  <c r="AE18" i="17"/>
  <c r="AE21" i="17"/>
  <c r="AE25" i="17"/>
  <c r="AE28" i="17"/>
  <c r="AE31" i="17"/>
  <c r="AE34" i="17"/>
  <c r="AE42" i="17"/>
  <c r="AE48" i="17"/>
  <c r="AE50" i="17"/>
  <c r="AE61" i="17"/>
  <c r="AE67" i="17"/>
  <c r="AE73" i="17"/>
  <c r="AE84" i="17"/>
  <c r="AE106" i="17"/>
  <c r="AE125" i="17"/>
  <c r="AE150" i="17"/>
  <c r="AE180" i="17"/>
  <c r="AE205" i="17"/>
  <c r="AE246" i="17"/>
  <c r="AE268" i="17"/>
  <c r="AE269" i="17"/>
  <c r="AE270" i="17"/>
  <c r="AE323" i="17"/>
  <c r="AE351" i="17"/>
  <c r="AE379" i="17"/>
  <c r="AE404" i="17"/>
  <c r="AE452" i="17"/>
  <c r="AE478" i="17"/>
  <c r="AE506" i="17"/>
  <c r="AE534" i="17"/>
  <c r="AE572" i="17"/>
  <c r="AE592" i="17"/>
  <c r="AE682" i="17"/>
  <c r="AE706" i="17"/>
  <c r="AE725" i="17"/>
  <c r="AE745" i="17"/>
  <c r="AE761" i="17"/>
  <c r="AE790" i="17"/>
  <c r="F800" i="24"/>
  <c r="F795" i="24"/>
  <c r="F796" i="24"/>
  <c r="F801" i="24"/>
  <c r="F804" i="24"/>
  <c r="F803" i="24"/>
  <c r="F802" i="24"/>
  <c r="F799" i="24"/>
  <c r="F798" i="24"/>
  <c r="F797" i="24"/>
  <c r="E804" i="19"/>
  <c r="E564" i="19"/>
  <c r="T802" i="17"/>
  <c r="H803" i="14"/>
  <c r="E803" i="19"/>
  <c r="H802" i="14"/>
  <c r="E802" i="19"/>
  <c r="C729" i="24"/>
  <c r="C728" i="24"/>
  <c r="H801" i="14"/>
  <c r="E801" i="19"/>
  <c r="C726" i="24"/>
  <c r="C725" i="24"/>
  <c r="H800" i="14"/>
  <c r="C791" i="24"/>
  <c r="C785" i="24"/>
  <c r="C790" i="24"/>
  <c r="C784" i="24"/>
  <c r="C788" i="24"/>
  <c r="C787" i="24"/>
  <c r="C789" i="24"/>
  <c r="C786" i="24"/>
  <c r="H799" i="14"/>
  <c r="E799" i="19"/>
  <c r="H798" i="14"/>
  <c r="E798" i="19"/>
  <c r="H797" i="14"/>
  <c r="E797" i="19"/>
  <c r="E798" i="14"/>
  <c r="C792" i="24"/>
  <c r="C695" i="24"/>
  <c r="C696" i="24"/>
  <c r="C694" i="24"/>
  <c r="C693" i="24"/>
  <c r="C692" i="24"/>
  <c r="C691" i="24"/>
  <c r="H796" i="14"/>
  <c r="E796" i="19"/>
  <c r="C690" i="24"/>
  <c r="C687" i="24"/>
  <c r="C686" i="24"/>
  <c r="C685" i="24"/>
  <c r="C689" i="24"/>
  <c r="C688" i="24"/>
  <c r="H795" i="14"/>
  <c r="E795" i="19"/>
  <c r="H793" i="14"/>
  <c r="E793" i="19"/>
  <c r="C683" i="24"/>
  <c r="C663" i="24"/>
  <c r="C662" i="24"/>
  <c r="C661" i="24"/>
  <c r="C659" i="24"/>
  <c r="C658" i="24"/>
  <c r="C657" i="24"/>
  <c r="C656" i="24"/>
  <c r="C655" i="24"/>
  <c r="C654" i="24"/>
  <c r="C684" i="24"/>
  <c r="C667" i="24"/>
  <c r="C666" i="24"/>
  <c r="C665" i="24"/>
  <c r="C664" i="24"/>
  <c r="C660" i="24"/>
  <c r="C682" i="24"/>
  <c r="C674" i="24"/>
  <c r="C681" i="24"/>
  <c r="C675" i="24"/>
  <c r="C680" i="24"/>
  <c r="C679" i="24"/>
  <c r="C678" i="24"/>
  <c r="C677" i="24"/>
  <c r="C676" i="24"/>
  <c r="C653" i="24"/>
  <c r="C652" i="24"/>
  <c r="C651" i="24"/>
  <c r="C650" i="24"/>
  <c r="C649" i="24"/>
  <c r="C648" i="24"/>
  <c r="C647" i="24"/>
  <c r="C644" i="24"/>
  <c r="C643" i="24"/>
  <c r="C642" i="24"/>
  <c r="C641" i="24"/>
  <c r="C640" i="24"/>
  <c r="C639" i="24"/>
  <c r="C638" i="24"/>
  <c r="C637" i="24"/>
  <c r="C636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794" i="24"/>
  <c r="H794" i="14"/>
  <c r="E794" i="19"/>
  <c r="C591" i="24"/>
  <c r="C588" i="24"/>
  <c r="C646" i="24"/>
  <c r="C645" i="24"/>
  <c r="C163" i="24"/>
  <c r="C635" i="24"/>
  <c r="C634" i="24"/>
  <c r="C633" i="24"/>
  <c r="C632" i="24"/>
  <c r="C631" i="24"/>
  <c r="C630" i="24"/>
  <c r="C629" i="24"/>
  <c r="C628" i="24"/>
  <c r="C627" i="24"/>
  <c r="C626" i="24"/>
  <c r="C610" i="24"/>
  <c r="C609" i="24"/>
  <c r="C608" i="24"/>
  <c r="C607" i="24"/>
  <c r="C606" i="24"/>
  <c r="C605" i="24"/>
  <c r="C600" i="24"/>
  <c r="C599" i="24"/>
  <c r="C598" i="24"/>
  <c r="C597" i="24"/>
  <c r="C596" i="24"/>
  <c r="C595" i="24"/>
  <c r="C594" i="24"/>
  <c r="C593" i="24"/>
  <c r="C592" i="24"/>
  <c r="C590" i="24"/>
  <c r="C589" i="24"/>
  <c r="C173" i="24"/>
  <c r="C170" i="24"/>
  <c r="C168" i="24"/>
  <c r="C166" i="24"/>
  <c r="C164" i="24"/>
  <c r="C162" i="24"/>
  <c r="C161" i="24"/>
  <c r="C160" i="24"/>
  <c r="C159" i="24"/>
  <c r="C158" i="24"/>
  <c r="C157" i="24"/>
  <c r="C156" i="24"/>
  <c r="C155" i="24"/>
  <c r="C154" i="24"/>
  <c r="C72" i="24"/>
  <c r="C71" i="24"/>
  <c r="C321" i="24"/>
  <c r="C175" i="24"/>
  <c r="C174" i="24"/>
  <c r="C172" i="24"/>
  <c r="C171" i="24"/>
  <c r="C169" i="24"/>
  <c r="C167" i="24"/>
  <c r="C165" i="24"/>
  <c r="C70" i="24"/>
  <c r="C69" i="24"/>
  <c r="B794" i="24"/>
  <c r="E794" i="24"/>
  <c r="D794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320" i="24"/>
  <c r="C318" i="24"/>
  <c r="C316" i="24"/>
  <c r="C314" i="24"/>
  <c r="C312" i="24"/>
  <c r="C309" i="24"/>
  <c r="C307" i="24"/>
  <c r="C305" i="24"/>
  <c r="C303" i="24"/>
  <c r="C301" i="24"/>
  <c r="C504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350" i="24"/>
  <c r="C349" i="24"/>
  <c r="C348" i="24"/>
  <c r="C347" i="24"/>
  <c r="C346" i="24"/>
  <c r="C345" i="24"/>
  <c r="C344" i="24"/>
  <c r="C343" i="24"/>
  <c r="C342" i="24"/>
  <c r="C341" i="24"/>
  <c r="C340" i="24"/>
  <c r="C339" i="24"/>
  <c r="C338" i="24"/>
  <c r="C337" i="24"/>
  <c r="C336" i="24"/>
  <c r="C335" i="24"/>
  <c r="C334" i="24"/>
  <c r="C333" i="24"/>
  <c r="C332" i="24"/>
  <c r="C331" i="24"/>
  <c r="C330" i="24"/>
  <c r="C319" i="24"/>
  <c r="C317" i="24"/>
  <c r="C315" i="24"/>
  <c r="C313" i="24"/>
  <c r="C311" i="24"/>
  <c r="C310" i="24"/>
  <c r="C308" i="24"/>
  <c r="C306" i="24"/>
  <c r="C304" i="24"/>
  <c r="C302" i="24"/>
  <c r="C300" i="24"/>
  <c r="C329" i="24"/>
  <c r="C328" i="24"/>
  <c r="C327" i="24"/>
  <c r="C326" i="24"/>
  <c r="C325" i="24"/>
  <c r="C324" i="24"/>
  <c r="C323" i="24"/>
  <c r="C322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717" i="24"/>
  <c r="C716" i="24"/>
  <c r="C715" i="24"/>
  <c r="C714" i="24"/>
  <c r="C713" i="24"/>
  <c r="C712" i="24"/>
  <c r="C711" i="24"/>
  <c r="C710" i="24"/>
  <c r="C709" i="24"/>
  <c r="C708" i="24"/>
  <c r="C700" i="24"/>
  <c r="C699" i="24"/>
  <c r="C698" i="24"/>
  <c r="C697" i="24"/>
  <c r="C489" i="24"/>
  <c r="C485" i="24"/>
  <c r="C484" i="24"/>
  <c r="C483" i="24"/>
  <c r="C482" i="24"/>
  <c r="C480" i="24"/>
  <c r="C479" i="24"/>
  <c r="C478" i="24"/>
  <c r="C477" i="24"/>
  <c r="C476" i="24"/>
  <c r="C475" i="24"/>
  <c r="C474" i="24"/>
  <c r="C473" i="24"/>
  <c r="C472" i="24"/>
  <c r="C471" i="24"/>
  <c r="C291" i="24"/>
  <c r="C290" i="24"/>
  <c r="C289" i="24"/>
  <c r="C288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673" i="24"/>
  <c r="C672" i="24"/>
  <c r="C671" i="24"/>
  <c r="C670" i="24"/>
  <c r="C543" i="24"/>
  <c r="C542" i="24"/>
  <c r="C488" i="24"/>
  <c r="C487" i="24"/>
  <c r="C486" i="24"/>
  <c r="C287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669" i="24"/>
  <c r="C668" i="24"/>
  <c r="C509" i="24"/>
  <c r="C505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604" i="24"/>
  <c r="C603" i="24"/>
  <c r="C602" i="24"/>
  <c r="C601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8" i="24"/>
  <c r="C507" i="24"/>
  <c r="C506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6" i="24"/>
  <c r="C365" i="24"/>
  <c r="C364" i="24"/>
  <c r="C363" i="24"/>
  <c r="C362" i="24"/>
  <c r="C361" i="24"/>
  <c r="C360" i="24"/>
  <c r="C359" i="24"/>
  <c r="C358" i="24"/>
  <c r="C357" i="24"/>
  <c r="C356" i="24"/>
  <c r="C355" i="24"/>
  <c r="C354" i="24"/>
  <c r="C353" i="24"/>
  <c r="C352" i="24"/>
  <c r="C351" i="24"/>
  <c r="C299" i="24"/>
  <c r="C298" i="24"/>
  <c r="C297" i="24"/>
  <c r="C296" i="24"/>
  <c r="C295" i="24"/>
  <c r="C294" i="24"/>
  <c r="C293" i="24"/>
  <c r="C292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793" i="24"/>
  <c r="C481" i="24"/>
  <c r="C707" i="24"/>
  <c r="C706" i="24"/>
  <c r="C705" i="24"/>
  <c r="C704" i="24"/>
  <c r="C703" i="24"/>
  <c r="C702" i="24"/>
  <c r="C701" i="24"/>
  <c r="C541" i="24"/>
  <c r="C540" i="24"/>
  <c r="C539" i="24"/>
  <c r="C538" i="24"/>
  <c r="C537" i="24"/>
  <c r="C536" i="24"/>
  <c r="C535" i="24"/>
  <c r="C534" i="24"/>
  <c r="C533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286" i="24"/>
  <c r="C285" i="24"/>
  <c r="C284" i="24"/>
  <c r="C283" i="24"/>
  <c r="C282" i="24"/>
  <c r="C281" i="24"/>
  <c r="C280" i="24"/>
  <c r="C279" i="24"/>
  <c r="C278" i="24"/>
  <c r="C277" i="24"/>
  <c r="C276" i="24"/>
  <c r="C275" i="24"/>
  <c r="C274" i="24"/>
  <c r="C273" i="24"/>
  <c r="C272" i="24"/>
  <c r="C271" i="24"/>
  <c r="C270" i="24"/>
  <c r="C269" i="24"/>
  <c r="C268" i="24"/>
  <c r="C267" i="24"/>
  <c r="C266" i="24"/>
  <c r="C265" i="24"/>
  <c r="C264" i="24"/>
  <c r="C263" i="24"/>
  <c r="C262" i="24"/>
  <c r="C261" i="24"/>
  <c r="C260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C7" i="24"/>
  <c r="C6" i="24"/>
  <c r="C5" i="24"/>
  <c r="C4" i="24"/>
  <c r="C3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C783" i="24"/>
  <c r="B783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B729" i="24"/>
  <c r="B728" i="24"/>
  <c r="C727" i="24"/>
  <c r="B727" i="24"/>
  <c r="B726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C782" i="24" l="1"/>
  <c r="G800" i="24"/>
  <c r="H800" i="24"/>
  <c r="I800" i="24"/>
  <c r="J800" i="24"/>
  <c r="K800" i="24"/>
  <c r="L800" i="24"/>
  <c r="M800" i="24"/>
  <c r="N800" i="24"/>
  <c r="O800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E801" i="14" l="1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<sst xmlns="http://schemas.openxmlformats.org/spreadsheetml/2006/main" count="18760" uniqueCount="3086">
  <si>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</si>
  <si>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</si>
  <si>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</si>
  <si>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</si>
  <si>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</si>
  <si>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</si>
  <si>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</si>
  <si>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</si>
  <si>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</si>
  <si>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</si>
  <si>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</si>
  <si>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</si>
  <si>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</si>
  <si>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</si>
  <si>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</si>
  <si>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</si>
  <si>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</si>
  <si>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</si>
  <si>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</si>
  <si>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</si>
  <si>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</si>
  <si>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</si>
  <si>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</si>
  <si>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</si>
  <si>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</si>
  <si>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</si>
  <si>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</si>
  <si>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</si>
  <si>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</si>
  <si>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</si>
  <si>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</si>
  <si>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</si>
  <si>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</si>
  <si>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</si>
  <si>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</si>
  <si>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</si>
  <si>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</si>
  <si>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</si>
  <si>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</si>
  <si>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</si>
  <si>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</si>
  <si>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</si>
  <si>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</si>
  <si>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</si>
  <si>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</si>
  <si>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</si>
  <si>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</si>
  <si>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</si>
  <si>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</si>
  <si>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</si>
  <si>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</si>
  <si>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</si>
  <si>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</si>
  <si>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</si>
  <si>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</si>
  <si>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</si>
  <si>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</si>
  <si>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</si>
  <si>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</si>
  <si>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</si>
  <si>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</si>
  <si>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</si>
  <si>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</si>
  <si>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</si>
  <si>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</si>
  <si>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</si>
  <si>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</si>
  <si>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</si>
  <si>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</si>
  <si>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</si>
  <si>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</si>
  <si>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</si>
  <si>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</si>
  <si>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</si>
  <si>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</si>
  <si>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</si>
  <si>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</si>
  <si>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</si>
  <si>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</si>
  <si>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</si>
  <si>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</si>
  <si>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</si>
  <si>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</si>
  <si>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</si>
  <si>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</si>
  <si>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</si>
  <si>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</si>
  <si>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</si>
  <si>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</si>
  <si>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</si>
  <si>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</si>
  <si>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</si>
  <si>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</si>
  <si>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</si>
  <si>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</si>
  <si>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</si>
  <si>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</si>
  <si>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</si>
  <si>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</si>
  <si>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</si>
  <si>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</si>
  <si>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</si>
  <si>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</si>
  <si>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</si>
  <si>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</si>
  <si>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</si>
  <si>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</si>
  <si>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</si>
  <si>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</si>
  <si>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</si>
  <si>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</si>
  <si>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</si>
  <si>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</si>
  <si>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</si>
  <si>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</si>
  <si>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</si>
  <si>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</si>
  <si>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</si>
  <si>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</si>
  <si>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</si>
  <si>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</si>
  <si>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</si>
  <si>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</si>
  <si>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</si>
  <si>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</si>
  <si>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</si>
  <si>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</si>
  <si>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</si>
  <si>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</si>
  <si>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</si>
  <si>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</si>
  <si>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</si>
  <si>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</si>
  <si>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</si>
  <si>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</si>
  <si>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</si>
  <si>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</si>
  <si>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</si>
  <si>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</si>
  <si>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</si>
  <si>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</si>
  <si>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</si>
  <si>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</si>
  <si>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</si>
  <si>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</si>
  <si>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</si>
  <si>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</si>
  <si>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</si>
  <si>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</si>
  <si>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</si>
  <si>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</si>
  <si>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</si>
  <si>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</si>
  <si>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</si>
  <si>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</si>
  <si>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</si>
  <si>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</si>
  <si>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</si>
  <si>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</si>
  <si>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</si>
  <si>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</si>
  <si>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</si>
  <si>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</si>
  <si>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</si>
  <si>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</si>
  <si>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</si>
  <si>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</si>
  <si>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</si>
  <si>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</si>
  <si>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</si>
  <si>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</si>
  <si>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</si>
  <si>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</si>
  <si>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</si>
  <si>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</si>
  <si>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</si>
  <si>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</si>
  <si>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</si>
  <si>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</si>
  <si>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</si>
  <si>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</si>
  <si>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</si>
  <si>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</si>
  <si>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</si>
  <si>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</si>
  <si>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</si>
  <si>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</si>
  <si>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</si>
  <si>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</si>
  <si>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</si>
  <si>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</si>
  <si>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</si>
  <si>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</si>
  <si>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</si>
  <si>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</si>
  <si>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</si>
  <si>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</si>
  <si>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</si>
  <si>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</si>
  <si>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</si>
  <si>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</si>
  <si>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</si>
  <si>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</si>
  <si>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</si>
  <si>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</si>
  <si>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</si>
  <si>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</si>
  <si>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</si>
  <si>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</si>
  <si>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</si>
  <si>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</si>
  <si>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</si>
  <si>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</si>
  <si>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</si>
  <si>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</si>
  <si>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</si>
  <si>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</si>
  <si>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</si>
  <si>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</si>
  <si>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</si>
  <si>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</si>
  <si>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</si>
  <si>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</si>
  <si>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</si>
  <si>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</si>
  <si>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</si>
  <si>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</si>
  <si>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</si>
  <si>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</si>
  <si>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</si>
  <si>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</si>
  <si>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</si>
  <si>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</si>
  <si>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</si>
  <si>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</si>
  <si>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</si>
  <si>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</si>
  <si>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</si>
  <si>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</si>
  <si>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</si>
  <si>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</si>
  <si>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</si>
  <si>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</si>
  <si>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</si>
  <si>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</si>
  <si>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</si>
  <si>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</si>
  <si>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</si>
  <si>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</si>
  <si>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</si>
  <si>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</si>
  <si>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</si>
  <si>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</si>
  <si>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</si>
  <si>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</si>
  <si>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</si>
  <si>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</si>
  <si>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</si>
  <si>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</si>
  <si>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</si>
  <si>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</si>
  <si>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</si>
  <si>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</si>
  <si>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</si>
  <si>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</si>
  <si>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</si>
  <si>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</si>
  <si>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</si>
  <si>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</si>
  <si>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</si>
  <si>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</si>
  <si>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</si>
  <si>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</si>
  <si>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</si>
  <si>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</si>
  <si>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</si>
  <si>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</si>
  <si>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</si>
  <si>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</si>
  <si>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</si>
  <si>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</si>
  <si>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</si>
  <si>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</si>
  <si>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</si>
  <si>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</si>
  <si>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</si>
  <si>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</si>
  <si>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</si>
  <si>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</si>
  <si>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</si>
  <si>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</si>
  <si>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</si>
  <si>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</si>
  <si>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</si>
  <si>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</si>
  <si>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</si>
  <si>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</si>
  <si>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</si>
  <si>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</si>
  <si>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</si>
  <si>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</si>
  <si>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</si>
  <si>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</si>
  <si>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</si>
  <si>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</si>
  <si>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</si>
  <si>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</si>
  <si>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</si>
  <si>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</si>
  <si>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</si>
  <si>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</si>
  <si>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</si>
  <si>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</si>
  <si>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</si>
  <si>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</si>
  <si>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</si>
  <si>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</si>
  <si>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</si>
  <si>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</si>
  <si>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</si>
  <si>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</si>
  <si>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</si>
  <si>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</si>
  <si>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</si>
  <si>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</si>
  <si>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</si>
  <si>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</si>
  <si>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</si>
  <si>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</si>
  <si>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</si>
  <si>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</si>
  <si>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</si>
  <si>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</si>
  <si>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</si>
  <si>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</si>
  <si>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</si>
  <si>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</si>
  <si>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</si>
  <si>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</si>
  <si>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</si>
  <si>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</si>
  <si>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</si>
  <si>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</si>
  <si>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</si>
  <si>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</si>
  <si>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</si>
  <si>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</si>
  <si>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</si>
  <si>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</si>
  <si>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</si>
  <si>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</si>
  <si>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</si>
  <si>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</si>
  <si>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</si>
  <si>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</si>
  <si>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</si>
  <si>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</si>
  <si>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</si>
  <si>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</si>
  <si>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</si>
  <si>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</si>
  <si>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</si>
  <si>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</si>
  <si>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</si>
  <si>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</si>
  <si>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</si>
  <si>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</si>
  <si>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</si>
  <si>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</si>
  <si>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</si>
  <si>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</si>
  <si>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</si>
  <si>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</si>
  <si>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</si>
  <si>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</si>
  <si>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</si>
  <si>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</si>
  <si>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</si>
  <si>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</si>
  <si>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</si>
  <si>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</si>
  <si>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</si>
  <si>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</si>
  <si>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</si>
  <si>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</si>
  <si>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</si>
  <si>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</si>
  <si>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</si>
  <si>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</si>
  <si>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</si>
  <si>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</si>
  <si>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</si>
  <si>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</si>
  <si>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</si>
  <si>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</si>
  <si>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</si>
  <si>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</si>
  <si>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</si>
  <si>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</si>
  <si>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</si>
  <si>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</si>
  <si>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</si>
  <si>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</si>
  <si>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</si>
  <si>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</si>
  <si>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</si>
  <si>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</si>
  <si>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</si>
  <si>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</si>
  <si>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</si>
  <si>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</si>
  <si>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</si>
  <si>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</si>
  <si>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</si>
  <si>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</si>
  <si>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</si>
  <si>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</si>
  <si>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</si>
  <si>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</si>
  <si>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</si>
  <si>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</si>
  <si>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</si>
  <si>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</si>
  <si>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</si>
  <si>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</si>
  <si>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</si>
  <si>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</si>
  <si>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</si>
  <si>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</si>
  <si>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</si>
  <si>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</si>
  <si>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</si>
  <si>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</si>
  <si>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</si>
  <si>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</si>
  <si>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</si>
  <si>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</si>
  <si>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</si>
  <si>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</si>
  <si>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</si>
  <si>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</si>
  <si>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</si>
  <si>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</si>
  <si>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</si>
  <si>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</si>
  <si>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</si>
  <si>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</si>
  <si>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</si>
  <si>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</si>
  <si>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</si>
  <si>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</si>
  <si>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</si>
  <si>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</si>
  <si>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</si>
  <si>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</si>
  <si>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</si>
  <si>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</si>
  <si>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</si>
  <si>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</si>
  <si>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</si>
  <si>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</si>
  <si>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</si>
  <si>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</si>
  <si>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</si>
  <si>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</si>
  <si>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</si>
  <si>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</si>
  <si>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</si>
  <si>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</si>
  <si>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</si>
  <si>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</si>
  <si>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</si>
  <si>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</si>
  <si>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</si>
  <si>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</si>
  <si>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</si>
  <si>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</si>
  <si>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</si>
  <si>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</si>
  <si>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</si>
  <si>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</si>
  <si>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</si>
  <si>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</si>
  <si>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</si>
  <si>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</si>
  <si>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</si>
  <si>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</si>
  <si>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</si>
  <si>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</si>
  <si>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</si>
  <si>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</si>
  <si>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</si>
  <si>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</si>
  <si>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</si>
  <si>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</si>
  <si>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</si>
  <si>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</si>
  <si>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</si>
  <si>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</si>
  <si>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</si>
  <si>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</si>
  <si>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</si>
  <si>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</si>
  <si>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</si>
  <si>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</si>
  <si>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</si>
  <si>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</si>
  <si>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</si>
  <si>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</si>
  <si>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</si>
  <si>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</si>
  <si>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</si>
  <si>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</si>
  <si>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</si>
  <si>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</si>
  <si>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</si>
  <si>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</si>
  <si>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</si>
  <si>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</si>
  <si>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</si>
  <si>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</si>
  <si>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</si>
  <si>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</si>
  <si>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</si>
  <si>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</si>
  <si>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</si>
  <si>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</si>
  <si>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</si>
  <si>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</si>
  <si>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</si>
  <si>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</si>
  <si>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</si>
  <si>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</si>
  <si>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</si>
  <si>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</si>
  <si>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</si>
  <si>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</si>
  <si>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</si>
  <si>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</si>
  <si>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</si>
  <si>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</si>
  <si>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</si>
  <si>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</si>
  <si>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</si>
  <si>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</si>
  <si>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</si>
  <si>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</si>
  <si>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</si>
  <si>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</si>
  <si>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</si>
  <si>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</si>
  <si>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</si>
  <si>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</si>
  <si>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</si>
  <si>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</si>
  <si>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</si>
  <si>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</si>
  <si>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</si>
  <si>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</si>
  <si>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</si>
  <si>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</si>
  <si>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</si>
  <si>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</si>
  <si>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</si>
  <si>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</si>
  <si>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</si>
  <si>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</si>
  <si>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</si>
  <si>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</si>
  <si>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</si>
  <si>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</si>
  <si>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</si>
  <si>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</si>
  <si>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</si>
  <si>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</si>
  <si>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</si>
  <si>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</si>
  <si>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</si>
  <si>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</si>
  <si>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</si>
  <si>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</si>
  <si>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</si>
  <si>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</si>
  <si>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</si>
  <si>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</si>
  <si>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</si>
  <si>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</si>
  <si>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</si>
  <si>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</si>
  <si>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</si>
  <si>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</si>
  <si>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</si>
  <si>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</si>
  <si>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</si>
  <si>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</si>
  <si>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</si>
  <si>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</si>
  <si>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</si>
  <si>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</si>
  <si>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</si>
  <si>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</si>
  <si>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</si>
  <si>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</si>
  <si>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</si>
  <si>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</si>
  <si>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</si>
  <si>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</si>
  <si>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</si>
  <si>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</si>
  <si>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</si>
  <si>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</si>
  <si>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</si>
  <si>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</si>
  <si>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</si>
  <si>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</si>
  <si>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</si>
  <si>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</si>
  <si>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</si>
  <si>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</si>
  <si>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</si>
  <si>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</si>
  <si>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</si>
  <si>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</si>
  <si>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</si>
  <si>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</si>
  <si>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</si>
  <si>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</si>
  <si>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</si>
  <si>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</si>
  <si>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</si>
  <si>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</si>
  <si>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</si>
  <si>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</si>
  <si>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</si>
  <si>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</si>
  <si>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</si>
  <si>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</si>
  <si>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</si>
  <si>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</si>
  <si>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</si>
  <si>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</si>
  <si>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</si>
  <si>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</si>
  <si>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</si>
  <si>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</si>
  <si>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</si>
  <si>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</si>
  <si>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</si>
  <si>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</si>
  <si>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</si>
  <si>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</si>
  <si>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</si>
  <si>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</si>
  <si>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</si>
  <si>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</si>
  <si>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</si>
  <si>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</si>
  <si>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</si>
  <si>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</si>
  <si>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</si>
  <si>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</si>
  <si>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</si>
  <si>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</si>
  <si>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</si>
  <si>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</si>
  <si>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</si>
  <si>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</si>
  <si>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</si>
  <si>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</si>
  <si>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</si>
  <si>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</si>
  <si>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</si>
  <si>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</si>
  <si>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</si>
  <si>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</si>
  <si>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</si>
  <si>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</si>
  <si>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</si>
  <si>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</si>
  <si>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</si>
  <si>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</si>
  <si>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</si>
  <si>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</si>
  <si>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</si>
  <si>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</si>
  <si>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</si>
  <si>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</si>
  <si>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</si>
  <si>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</si>
  <si>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</si>
  <si>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</si>
  <si>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</si>
  <si>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</si>
  <si>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</si>
  <si>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</si>
  <si>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</si>
  <si>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</si>
  <si>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</si>
  <si>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</si>
  <si>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</si>
  <si>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</si>
  <si>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</si>
  <si>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</si>
  <si>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</si>
  <si>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</si>
  <si>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</si>
  <si>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</si>
  <si>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</si>
  <si>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</si>
  <si>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</si>
  <si>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</si>
  <si>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</si>
  <si>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</si>
  <si>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</si>
  <si>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</si>
  <si>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</si>
  <si>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</si>
  <si>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</si>
  <si>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</si>
  <si>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</si>
  <si>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</si>
  <si>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</si>
  <si>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</si>
  <si>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</si>
  <si>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</si>
  <si>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</si>
  <si>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</si>
  <si>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</si>
  <si>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</si>
  <si>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</si>
  <si>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</si>
  <si>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</si>
  <si>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</si>
  <si>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</si>
  <si>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</si>
  <si>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</si>
  <si>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</si>
  <si>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</si>
  <si>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</si>
  <si>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</si>
  <si>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</si>
  <si>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</si>
  <si>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</si>
  <si>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</si>
  <si>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</si>
  <si>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</si>
  <si>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</si>
  <si>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</si>
  <si>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</si>
  <si>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</si>
  <si>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</si>
  <si>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</si>
  <si>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</si>
  <si>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</si>
  <si>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</si>
  <si>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</si>
  <si>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</si>
  <si>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</si>
  <si>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</si>
  <si>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</si>
  <si>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</si>
  <si>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</si>
  <si>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</si>
  <si>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</si>
  <si>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</si>
  <si>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</si>
  <si>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</si>
  <si>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</si>
  <si>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</si>
  <si>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</si>
  <si>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</si>
  <si>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</si>
  <si>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</si>
  <si>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</si>
  <si>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</si>
  <si>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</si>
  <si>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</si>
  <si>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</si>
  <si>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</si>
  <si>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</si>
  <si>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</si>
  <si>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</si>
  <si>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</si>
  <si>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</si>
  <si>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</si>
  <si>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</si>
  <si>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</si>
  <si>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</si>
  <si>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</si>
  <si>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</si>
  <si>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</si>
  <si>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</si>
  <si>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</si>
  <si>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</si>
  <si>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</si>
  <si>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</si>
  <si>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</si>
  <si>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</si>
  <si>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</si>
  <si>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</si>
  <si>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</si>
  <si>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</si>
  <si>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</si>
  <si>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</si>
  <si>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</si>
  <si>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</si>
  <si>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</si>
  <si>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</si>
  <si>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</si>
  <si>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</si>
  <si>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</si>
  <si>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</si>
  <si>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</si>
  <si>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</si>
  <si>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</si>
  <si>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</si>
  <si>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</si>
  <si>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</si>
  <si>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</si>
  <si>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</si>
  <si>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</si>
  <si>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</si>
  <si>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</si>
  <si>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</si>
  <si>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</si>
  <si>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</si>
  <si>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</si>
  <si>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</si>
  <si>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</si>
  <si>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</si>
  <si>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</si>
  <si>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</si>
  <si>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</si>
  <si>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</si>
  <si>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</si>
  <si>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</si>
  <si>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</si>
  <si>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</si>
  <si>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</si>
  <si>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</si>
  <si>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</si>
  <si>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</si>
  <si>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</si>
  <si>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</si>
  <si>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</si>
  <si>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</si>
  <si>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</si>
  <si>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</si>
  <si>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</si>
  <si>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</si>
  <si>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</si>
  <si>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</si>
  <si>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</si>
  <si>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</si>
  <si>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</si>
  <si>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</si>
  <si>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</si>
  <si>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</si>
  <si>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</si>
  <si>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</si>
  <si>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</si>
  <si>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</si>
  <si>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</si>
  <si>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</si>
  <si>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</si>
  <si>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</si>
  <si>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</si>
  <si>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</si>
  <si>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</si>
  <si>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</si>
  <si>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</si>
  <si>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</si>
  <si>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</si>
  <si>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</si>
  <si>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</si>
  <si>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</si>
  <si>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</si>
  <si>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</si>
  <si>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</si>
  <si>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</si>
  <si>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</si>
  <si>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</si>
  <si>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</si>
  <si>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</si>
  <si>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</si>
  <si>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</si>
  <si>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</si>
  <si>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</si>
  <si>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</si>
  <si>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</si>
  <si>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</si>
  <si>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</si>
  <si>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</si>
  <si>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</si>
  <si>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</si>
  <si>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</si>
  <si>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</si>
  <si>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</si>
  <si>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</si>
  <si>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</si>
  <si>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</si>
  <si>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</si>
  <si>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</si>
  <si>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</si>
  <si>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</si>
  <si>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</si>
  <si>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</si>
  <si>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</si>
  <si>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</si>
  <si>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</si>
  <si>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</si>
  <si>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</si>
  <si>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</si>
  <si>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</si>
  <si>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</si>
  <si>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</si>
  <si>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</si>
  <si>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</si>
  <si>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</si>
  <si>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</si>
  <si>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</si>
  <si>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</si>
  <si>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</si>
  <si>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</si>
  <si>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</si>
  <si>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</si>
  <si>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</si>
  <si>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</si>
  <si>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</si>
  <si>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</si>
  <si>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</si>
  <si>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</si>
  <si>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</si>
  <si>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</si>
  <si>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</si>
  <si>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</si>
  <si>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</si>
  <si>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</si>
  <si>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</si>
  <si>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</si>
  <si>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</si>
  <si>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</si>
  <si>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</si>
  <si>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</si>
  <si>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</si>
  <si>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</si>
  <si>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</si>
  <si>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</si>
  <si>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</si>
  <si>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</si>
  <si>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</si>
  <si>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</si>
  <si>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</si>
  <si>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</si>
  <si>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</si>
  <si>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</si>
  <si>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</si>
  <si>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</si>
  <si>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</si>
  <si>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</si>
  <si>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</si>
  <si>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</si>
  <si>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</si>
  <si>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</si>
  <si>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</si>
  <si>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</si>
  <si>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</si>
  <si>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</si>
  <si>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</si>
  <si>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</si>
  <si>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</si>
  <si>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</si>
  <si>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</si>
  <si>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</si>
  <si>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</si>
  <si>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</si>
  <si>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</si>
  <si>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</si>
  <si>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</si>
  <si>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</si>
  <si>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</si>
  <si>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</si>
  <si>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</si>
  <si>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</si>
  <si>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</si>
  <si>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</si>
  <si>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</si>
  <si>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</si>
  <si>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</si>
  <si>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</si>
  <si>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</si>
  <si>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</si>
  <si>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</si>
  <si>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</si>
  <si>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</si>
  <si>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</si>
  <si>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</si>
  <si>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</si>
  <si>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</si>
  <si>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</si>
  <si>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</si>
  <si>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</si>
  <si>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</si>
  <si>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</si>
  <si>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</si>
  <si>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</si>
  <si>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</si>
  <si>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</si>
  <si>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</si>
  <si>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</si>
  <si>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</si>
  <si>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</si>
  <si>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</si>
  <si>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</si>
  <si>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</si>
  <si>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</si>
  <si>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</si>
  <si>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</si>
  <si>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</si>
  <si>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</si>
  <si>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</si>
  <si>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</si>
  <si>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</si>
  <si>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</si>
  <si>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</si>
  <si>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</si>
  <si>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</si>
  <si>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</si>
  <si>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</si>
  <si>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</si>
  <si>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</si>
  <si>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</si>
  <si>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</si>
  <si>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</si>
  <si>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</si>
  <si>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</si>
  <si>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</si>
  <si>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</si>
  <si>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</si>
  <si>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</si>
  <si>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</si>
  <si>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</si>
  <si>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</si>
  <si>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</si>
  <si>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</si>
  <si>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</si>
  <si>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</si>
  <si>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</si>
  <si>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</si>
  <si>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</si>
  <si>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</si>
  <si>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</si>
  <si>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</si>
  <si>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</si>
  <si>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</si>
  <si>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</si>
  <si>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</si>
  <si>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</si>
  <si>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</si>
  <si>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</si>
  <si>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</si>
  <si>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</si>
  <si>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</si>
  <si>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</si>
  <si>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</si>
  <si>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</si>
  <si>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</si>
  <si>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</si>
  <si>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</si>
  <si>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</si>
  <si>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</si>
  <si>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</si>
  <si>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</si>
  <si>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</si>
  <si>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</si>
  <si>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</si>
  <si>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</si>
  <si>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</si>
  <si>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</si>
  <si>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</si>
  <si>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</si>
  <si>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</si>
  <si>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</si>
  <si>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</si>
  <si>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</si>
  <si>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</si>
  <si>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</si>
  <si>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</si>
  <si>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</si>
  <si>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</si>
  <si>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</si>
  <si>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</si>
  <si>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</si>
  <si>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</si>
  <si>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</si>
  <si>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</si>
  <si>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</si>
  <si>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</si>
  <si>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</si>
  <si>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</si>
  <si>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</si>
  <si>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</si>
  <si>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</si>
  <si>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</si>
  <si>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</si>
  <si>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</si>
  <si>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</si>
  <si>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</si>
  <si>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</si>
  <si>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</si>
  <si>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</si>
  <si>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</si>
  <si>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</si>
  <si>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</si>
  <si>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</si>
  <si>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</si>
  <si>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</si>
  <si>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</si>
  <si>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</si>
  <si>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</si>
  <si>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</si>
  <si>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</si>
  <si>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</si>
  <si>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</si>
  <si>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</si>
  <si>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</si>
  <si>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</si>
  <si>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</si>
  <si>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</si>
  <si>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</si>
  <si>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</si>
  <si>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</si>
  <si>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</si>
  <si>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</si>
  <si>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</si>
  <si>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</si>
  <si>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</si>
  <si>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</si>
  <si>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</si>
  <si>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</si>
  <si>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</si>
  <si>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</si>
  <si>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</si>
  <si>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</si>
  <si>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</si>
  <si>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</si>
  <si>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</si>
  <si>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</si>
  <si>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</si>
  <si>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</si>
  <si>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</si>
  <si>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</si>
  <si>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</si>
  <si>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</si>
  <si>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</si>
  <si>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</si>
  <si>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</si>
  <si>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</si>
  <si>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</si>
  <si>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</si>
  <si>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</si>
  <si>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</si>
  <si>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</si>
  <si>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</si>
  <si>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</si>
  <si>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</si>
  <si>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</si>
  <si>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</si>
  <si>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</si>
  <si>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</si>
  <si>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</si>
  <si>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</si>
  <si>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</si>
  <si>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</si>
  <si>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</si>
  <si>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</si>
  <si>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</si>
  <si>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</si>
  <si>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</si>
  <si>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</si>
  <si>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</si>
  <si>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</si>
  <si>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</si>
  <si>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</si>
  <si>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</si>
  <si>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</si>
  <si>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</si>
  <si>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</si>
  <si>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</si>
  <si>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</si>
  <si>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</si>
  <si>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</si>
  <si>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</si>
  <si>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</si>
  <si>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</si>
  <si>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</si>
  <si>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</si>
  <si>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</si>
  <si>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</si>
  <si>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</si>
  <si>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</si>
  <si>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</si>
  <si>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</si>
  <si>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</si>
  <si>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</si>
  <si>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</si>
  <si>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</si>
  <si>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</si>
  <si>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</si>
  <si>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</si>
  <si>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</si>
  <si>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</si>
  <si>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</si>
  <si>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</si>
  <si>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</si>
  <si>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</si>
  <si>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</si>
  <si>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</si>
  <si>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</si>
  <si>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</si>
  <si>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</si>
  <si>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</si>
  <si>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</si>
  <si>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</si>
  <si>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</si>
  <si>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</si>
  <si>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</si>
  <si>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</si>
  <si>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</si>
  <si>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</si>
  <si>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</si>
  <si>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</si>
  <si>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</si>
  <si>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</si>
  <si>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</si>
  <si>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</si>
  <si>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</si>
  <si>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</si>
  <si>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</si>
  <si>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</si>
  <si>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</si>
  <si>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</si>
  <si>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</si>
  <si>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</si>
  <si>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</si>
  <si>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</si>
  <si>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</si>
  <si>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</si>
  <si>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</si>
  <si>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</si>
  <si>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</si>
  <si>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</si>
  <si>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</si>
  <si>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</si>
  <si>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</si>
  <si>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</si>
  <si>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</si>
  <si>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</si>
  <si>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</si>
  <si>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</si>
  <si>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</si>
  <si>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</si>
  <si>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</si>
  <si>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</si>
  <si>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</si>
  <si>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</si>
  <si>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</si>
  <si>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</si>
  <si>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</si>
  <si>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</si>
  <si>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</si>
  <si>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</si>
  <si>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</si>
  <si>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</si>
  <si>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</si>
  <si>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</si>
  <si>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</si>
  <si>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</si>
  <si>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</si>
  <si>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</si>
  <si>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</si>
  <si>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</si>
  <si>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</si>
  <si>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</si>
  <si>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</si>
  <si>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</si>
  <si>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</si>
  <si>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</si>
  <si>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</si>
  <si>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</si>
  <si>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</si>
  <si>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</si>
  <si>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</si>
  <si>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</si>
  <si>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</si>
  <si>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</si>
  <si>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</si>
  <si>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</si>
  <si>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</si>
  <si>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</si>
  <si>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</si>
  <si>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</si>
  <si>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</si>
  <si>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</si>
  <si>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</si>
  <si>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</si>
  <si>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</si>
  <si>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</si>
  <si>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</si>
  <si>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</si>
  <si>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</si>
  <si>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</si>
  <si>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</si>
  <si>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</si>
  <si>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</si>
  <si>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</si>
  <si>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</si>
  <si>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</si>
  <si>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</si>
  <si>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</si>
  <si>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</si>
  <si>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</si>
  <si>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</si>
  <si>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</si>
  <si>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</si>
  <si>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</si>
  <si>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</si>
  <si>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</si>
  <si>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</si>
  <si>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</si>
  <si>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</si>
  <si>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</si>
  <si>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</si>
  <si>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</si>
  <si>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</si>
  <si>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</si>
  <si>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</si>
  <si>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</si>
  <si>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</si>
  <si>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</si>
  <si>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</si>
  <si>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</si>
  <si>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</si>
  <si>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</si>
  <si>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</si>
  <si>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</si>
  <si>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</si>
  <si>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</si>
  <si>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</si>
  <si>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</si>
  <si>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</si>
  <si>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</si>
  <si>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</si>
  <si>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</si>
  <si>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</si>
  <si>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</si>
  <si>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</si>
  <si>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</si>
  <si>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</si>
  <si>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</si>
  <si>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</si>
  <si>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</si>
  <si>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</si>
  <si>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</si>
  <si>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</si>
  <si>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</si>
  <si>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</si>
  <si>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</si>
  <si>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</si>
  <si>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</si>
  <si>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</si>
  <si>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</si>
  <si>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</si>
  <si>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</si>
  <si>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</si>
  <si>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</si>
  <si>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</si>
  <si>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</si>
  <si>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</si>
  <si>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</si>
  <si>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</si>
  <si>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</si>
  <si>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</si>
  <si>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</si>
  <si>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</si>
  <si>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</si>
  <si>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</si>
  <si>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</si>
  <si>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</si>
  <si>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</si>
  <si>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</si>
  <si>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</si>
  <si>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</si>
  <si>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</si>
  <si>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</si>
  <si>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</si>
  <si>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</si>
  <si>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</si>
  <si>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</si>
  <si>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</si>
  <si>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</si>
  <si>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</si>
  <si>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</si>
  <si>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</si>
  <si>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</si>
  <si>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</si>
  <si>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</si>
  <si>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</si>
  <si>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</si>
  <si>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</si>
  <si>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</si>
  <si>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</si>
  <si>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</si>
  <si>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</si>
  <si>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</si>
  <si>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</si>
  <si>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</si>
  <si>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</si>
  <si>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</si>
  <si>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</si>
  <si>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</si>
  <si>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</si>
  <si>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</si>
  <si>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</si>
  <si>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</si>
  <si>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</si>
  <si>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</si>
  <si>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</si>
  <si>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</si>
  <si>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</si>
  <si>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</si>
  <si>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</si>
  <si>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</si>
  <si>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</si>
  <si>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</si>
  <si>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</si>
  <si>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</si>
  <si>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</si>
  <si>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</si>
  <si>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</si>
  <si>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</si>
  <si>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</si>
  <si>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</si>
  <si>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</si>
  <si>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</si>
  <si>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</si>
  <si>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</si>
  <si>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</si>
  <si>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</si>
  <si>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</si>
  <si>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</si>
  <si>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</si>
  <si>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</si>
  <si>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</si>
  <si>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</si>
  <si>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</si>
  <si>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</si>
  <si>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</si>
  <si>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</si>
  <si>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</si>
  <si>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</si>
  <si>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</si>
  <si>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</si>
  <si>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</si>
  <si>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</si>
  <si>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</si>
  <si>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</si>
  <si>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</si>
  <si>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</si>
  <si>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</si>
  <si>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</si>
  <si>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</si>
  <si>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</si>
  <si>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</si>
  <si>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</si>
  <si>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</si>
  <si>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</si>
  <si>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</si>
  <si>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</si>
  <si>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</si>
  <si>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</si>
  <si>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</si>
  <si>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</si>
  <si>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</si>
  <si>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</si>
  <si>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</si>
  <si>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</si>
  <si>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</si>
  <si>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</si>
  <si>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</si>
  <si>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</si>
  <si>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</si>
  <si>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</si>
  <si>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</si>
  <si>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</si>
  <si>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</si>
  <si>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</si>
  <si>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</si>
  <si>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</si>
  <si>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</si>
  <si>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</si>
  <si>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</si>
  <si>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</si>
  <si>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</si>
  <si>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</si>
  <si>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</si>
  <si>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</si>
  <si>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</si>
  <si>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</si>
  <si>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</si>
  <si>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</si>
  <si>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</si>
  <si>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</si>
  <si>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</si>
  <si>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</si>
  <si>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</si>
  <si>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</si>
  <si>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</si>
  <si>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</si>
  <si>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</si>
  <si>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</si>
  <si>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</si>
  <si>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</si>
  <si>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</si>
  <si>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</si>
  <si>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</si>
  <si>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</si>
  <si>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</si>
  <si>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</si>
  <si>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</si>
  <si>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</si>
  <si>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</si>
  <si>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</si>
  <si>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</si>
  <si>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</si>
  <si>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</si>
  <si>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</si>
  <si>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</si>
  <si>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</si>
  <si>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</si>
  <si>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</si>
  <si>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</si>
  <si>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</si>
  <si>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</si>
  <si>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</si>
  <si>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</si>
  <si>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</si>
  <si>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</si>
  <si>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</si>
  <si>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</si>
  <si>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</si>
  <si>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</si>
  <si>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</si>
  <si>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</si>
  <si>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</si>
  <si>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</si>
  <si>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</si>
  <si>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</si>
  <si>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</si>
  <si>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</si>
  <si>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</si>
  <si>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</si>
  <si>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</si>
  <si>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</si>
  <si>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</si>
  <si>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</si>
  <si>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</si>
  <si>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</si>
  <si>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</si>
  <si>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</si>
  <si>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</si>
  <si>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</si>
  <si>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</si>
  <si>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</si>
  <si>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</si>
  <si>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</si>
  <si>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</si>
  <si>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</si>
  <si>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</si>
  <si>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</si>
  <si>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</si>
  <si>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</si>
  <si>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</si>
  <si>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</si>
  <si>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</si>
  <si>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</si>
  <si>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</si>
  <si>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</si>
  <si>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</si>
  <si>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</si>
  <si>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</si>
  <si>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</si>
  <si>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</si>
  <si>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</si>
  <si>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</si>
  <si>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</si>
  <si>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</si>
  <si>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</si>
  <si>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</si>
  <si>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</si>
  <si>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</si>
  <si>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</si>
  <si>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</si>
  <si>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</si>
  <si>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</si>
  <si>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</si>
  <si>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</si>
  <si>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</si>
  <si>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</si>
  <si>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</si>
  <si>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</si>
  <si>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</si>
  <si>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</si>
  <si>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</si>
  <si>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</si>
  <si>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</si>
  <si>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</si>
  <si>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</si>
  <si>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</si>
  <si>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</si>
  <si>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</si>
  <si>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</si>
  <si>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</si>
  <si>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</si>
  <si>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</si>
  <si>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</si>
  <si>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</si>
  <si>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</si>
  <si>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</si>
  <si>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</si>
  <si>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</si>
  <si>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</si>
  <si>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</si>
  <si>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</si>
  <si>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</si>
  <si>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</si>
  <si>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</si>
  <si>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</si>
  <si>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</si>
  <si>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</si>
  <si>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</si>
  <si>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</si>
  <si>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</si>
  <si>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</si>
  <si>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</si>
  <si>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</si>
  <si>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</si>
  <si>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</si>
  <si>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</si>
  <si>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</si>
  <si>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</si>
  <si>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</si>
  <si>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</si>
  <si>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</si>
  <si>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</si>
  <si>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</si>
  <si>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</si>
  <si>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</si>
  <si>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</si>
  <si>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</si>
  <si>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</si>
  <si>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</si>
  <si>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</si>
  <si>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</si>
  <si>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</si>
  <si>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</si>
  <si>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</si>
  <si>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</si>
  <si>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</si>
  <si>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</si>
  <si>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</si>
  <si>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</si>
  <si>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</si>
  <si>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</si>
  <si>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</si>
  <si>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</si>
  <si>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</si>
  <si>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</si>
  <si>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</si>
  <si>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</si>
  <si>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</si>
  <si>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</si>
  <si>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</si>
  <si>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</si>
  <si>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</si>
  <si>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</si>
  <si>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</si>
  <si>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</si>
  <si>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</si>
  <si>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</si>
  <si>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</si>
  <si>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</si>
  <si>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</si>
  <si>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</si>
  <si>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</si>
  <si>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</si>
  <si>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</si>
  <si>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</si>
  <si>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</si>
  <si>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</si>
  <si>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</si>
  <si>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</si>
  <si>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</si>
  <si>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</si>
  <si>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</si>
  <si>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</si>
  <si>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</si>
  <si>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</si>
  <si>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</si>
  <si>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</si>
  <si>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</si>
  <si>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</si>
  <si>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</si>
  <si>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</si>
  <si>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</si>
  <si>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</si>
  <si>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</si>
  <si>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</si>
  <si>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</si>
  <si>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</si>
  <si>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</si>
  <si>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</si>
  <si>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</si>
  <si>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</si>
  <si>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</si>
  <si>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</si>
  <si>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</si>
  <si>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</si>
  <si>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</si>
  <si>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</si>
  <si>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</si>
  <si>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</si>
  <si>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</si>
  <si>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</si>
  <si>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</si>
  <si>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</si>
  <si>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</si>
  <si>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</si>
  <si>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</si>
  <si>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</si>
  <si>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</si>
  <si>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</si>
  <si>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</si>
  <si>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</si>
  <si>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</si>
  <si>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</si>
  <si>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</si>
  <si>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</si>
  <si>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</si>
  <si>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</si>
  <si>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</si>
  <si>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</si>
  <si>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</si>
  <si>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</si>
  <si>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</si>
  <si>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</si>
  <si>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</si>
  <si>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</si>
  <si>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</si>
  <si>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</si>
  <si>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</si>
  <si>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</si>
  <si>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</si>
  <si>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</si>
  <si>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</si>
  <si>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</si>
  <si>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</si>
  <si>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</si>
  <si>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</si>
  <si>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</si>
  <si>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</si>
  <si>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</si>
  <si>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</si>
  <si>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</si>
  <si>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</si>
  <si>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</si>
  <si>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</si>
  <si>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</si>
  <si>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</si>
  <si>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</si>
  <si>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</si>
  <si>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</si>
  <si>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</si>
  <si>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</si>
  <si>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</si>
  <si>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</si>
  <si>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</si>
  <si>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</si>
  <si>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</si>
  <si>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</si>
  <si>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</si>
  <si>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</si>
  <si>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</si>
  <si>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</si>
  <si>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</si>
  <si>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</si>
  <si>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</si>
  <si>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</si>
  <si>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</si>
  <si>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</si>
  <si>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</si>
  <si>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</si>
  <si>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</si>
  <si>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</si>
  <si>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</si>
  <si>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</si>
  <si>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</si>
  <si>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</si>
  <si>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</si>
  <si>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</si>
  <si>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</si>
  <si>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</si>
  <si>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</si>
  <si>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</si>
  <si>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</si>
  <si>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</si>
  <si>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</si>
  <si>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</si>
  <si>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</si>
  <si>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</si>
  <si>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</si>
  <si>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</si>
  <si>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</si>
  <si>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</si>
  <si>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</si>
  <si>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</si>
  <si>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</si>
  <si>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</si>
  <si>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</si>
  <si>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</si>
  <si>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</si>
  <si>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</si>
  <si>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</si>
  <si>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</si>
  <si>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</si>
  <si>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</si>
  <si>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</si>
  <si>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</si>
  <si>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</si>
  <si>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</si>
  <si>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</si>
  <si>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</si>
  <si>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</si>
  <si>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</si>
  <si>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</si>
  <si>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</si>
  <si>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</si>
  <si>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</si>
  <si>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</si>
  <si>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</si>
  <si>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</si>
  <si>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</si>
  <si>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</si>
  <si>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</si>
  <si>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</si>
  <si>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</si>
  <si>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</si>
  <si>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</si>
  <si>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</si>
  <si>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</si>
  <si>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</si>
  <si>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</si>
  <si>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</si>
  <si>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</si>
  <si>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</si>
  <si>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</si>
  <si>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</si>
  <si>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</si>
  <si>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</si>
  <si>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</si>
  <si>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</si>
  <si>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</si>
  <si>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</si>
  <si>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</si>
  <si>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</si>
  <si>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</si>
  <si>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</si>
  <si>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</si>
  <si>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</si>
  <si>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</si>
  <si>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</si>
  <si>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</si>
  <si>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</si>
  <si>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</si>
  <si>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</si>
  <si>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</si>
  <si>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</si>
  <si>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</si>
  <si>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</si>
  <si>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</si>
  <si>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</si>
  <si>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</si>
  <si>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</si>
  <si>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</si>
  <si>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</si>
  <si>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</si>
  <si>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</si>
  <si>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</si>
  <si>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</si>
  <si>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</si>
  <si>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</si>
  <si>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</si>
  <si>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</si>
  <si>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</si>
  <si>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</si>
  <si>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</si>
  <si>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</si>
  <si>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</si>
  <si>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</si>
  <si>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</si>
  <si>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</si>
  <si>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</si>
  <si>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</si>
  <si>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</si>
  <si>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</si>
  <si>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</si>
  <si>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</si>
  <si>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</si>
  <si>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</si>
  <si>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</si>
  <si>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</si>
  <si>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</si>
  <si>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</si>
  <si>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</si>
  <si>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</si>
  <si>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</si>
  <si>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</si>
  <si>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</si>
  <si>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</si>
  <si>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</si>
  <si>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</si>
  <si>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</si>
  <si>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</si>
  <si>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</si>
  <si>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</si>
  <si>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</si>
  <si>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</si>
  <si>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</si>
  <si>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</si>
  <si>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</si>
  <si>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</si>
  <si>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</si>
  <si>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</si>
  <si>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</si>
  <si>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</si>
  <si>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</si>
  <si>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</si>
  <si>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</si>
  <si>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</si>
  <si>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</si>
  <si>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</si>
  <si>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</si>
  <si>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</si>
  <si>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</si>
  <si>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</si>
  <si>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</si>
  <si>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</si>
  <si>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</si>
  <si>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</si>
  <si>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</si>
  <si>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</si>
  <si>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</si>
  <si>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</si>
  <si>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</si>
  <si>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</si>
  <si>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</si>
  <si>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</si>
  <si>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</si>
  <si>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</si>
  <si>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</si>
  <si>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</si>
  <si>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</si>
  <si>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</si>
  <si>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</si>
  <si>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</si>
  <si>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</si>
  <si>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</si>
  <si>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</si>
  <si>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</si>
  <si>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</si>
  <si>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</si>
  <si>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</si>
  <si>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</si>
  <si>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</si>
  <si>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</si>
  <si>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</si>
  <si>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</si>
  <si>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</si>
  <si>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</si>
  <si>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</si>
  <si>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</si>
  <si>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</si>
  <si>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</si>
  <si>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</si>
  <si>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</si>
  <si>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</si>
  <si>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</si>
  <si>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</si>
  <si>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</si>
  <si>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</si>
  <si>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</si>
  <si>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</si>
  <si>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</si>
  <si>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</si>
  <si>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</si>
  <si>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</si>
  <si>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</si>
  <si>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</si>
  <si>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</si>
  <si>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</si>
  <si>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</si>
  <si>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</si>
  <si>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</si>
  <si>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</si>
  <si>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</si>
  <si>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</si>
  <si>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</si>
  <si>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</si>
  <si>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</si>
  <si>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</si>
  <si>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</si>
  <si>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</si>
  <si>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</si>
  <si>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</si>
  <si>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</si>
  <si>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</si>
  <si>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</si>
  <si>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</si>
  <si>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</si>
  <si>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</si>
  <si>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</si>
  <si>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</si>
  <si>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</si>
  <si>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</si>
  <si>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</si>
  <si>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</si>
  <si>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</si>
  <si>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</si>
  <si>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</si>
  <si>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</si>
  <si>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</si>
  <si>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</si>
  <si>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</si>
  <si>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</si>
  <si>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</si>
  <si>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</si>
  <si>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</si>
  <si>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</si>
  <si>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</si>
  <si>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</si>
  <si>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</si>
  <si>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</si>
  <si>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</si>
  <si>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</si>
  <si>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</si>
  <si>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</si>
  <si>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</si>
  <si>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</si>
  <si>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</si>
  <si>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</si>
  <si>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</si>
  <si>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</si>
  <si>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</si>
  <si>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</si>
  <si>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</si>
  <si>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</si>
  <si>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</si>
  <si>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</si>
  <si>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</si>
  <si>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</si>
  <si>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</si>
  <si>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</si>
  <si>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</si>
  <si>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</si>
  <si>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</si>
  <si>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</si>
  <si>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</si>
  <si>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</si>
  <si>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</si>
  <si>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</si>
  <si>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</si>
  <si>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</si>
  <si>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</si>
  <si>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</si>
  <si>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</si>
  <si>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</si>
  <si>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</si>
  <si>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</si>
  <si>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</si>
  <si>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</si>
  <si>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</si>
  <si>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</si>
  <si>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</si>
  <si>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</si>
  <si>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</si>
  <si>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</si>
  <si>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</si>
  <si>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</si>
  <si>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</si>
  <si>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</si>
  <si>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</si>
  <si>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</si>
  <si>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</si>
  <si>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</si>
  <si>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</si>
  <si>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</si>
  <si>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</si>
  <si>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</si>
  <si>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</si>
  <si>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</si>
  <si>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</si>
  <si>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</si>
  <si>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</si>
  <si>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</si>
  <si>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</si>
  <si>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</si>
  <si>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</si>
  <si>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</si>
  <si>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</si>
  <si>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</si>
  <si>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</si>
  <si>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</si>
  <si>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</si>
  <si>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</si>
  <si>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</si>
  <si>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</si>
  <si>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</si>
  <si>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</si>
  <si>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</si>
  <si>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</si>
  <si>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</si>
  <si>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</si>
  <si>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</si>
  <si>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</si>
  <si>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</si>
  <si>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</si>
  <si>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</si>
  <si>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</si>
  <si>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</si>
  <si>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</si>
  <si>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</si>
  <si>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</si>
  <si>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</si>
  <si>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</si>
  <si>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</si>
  <si>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</si>
  <si>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</si>
  <si>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</si>
  <si>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</si>
  <si>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</si>
  <si>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</si>
  <si>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</si>
  <si>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</si>
  <si>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</si>
  <si>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</si>
  <si>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</si>
  <si>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</si>
  <si>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</si>
  <si>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</si>
  <si>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</si>
  <si>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</si>
  <si>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</si>
  <si>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</si>
  <si>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</si>
  <si>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</si>
  <si>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</si>
  <si>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</si>
  <si>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</si>
  <si>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</si>
  <si>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</si>
  <si>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</si>
  <si>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</si>
  <si>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</si>
  <si>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</si>
  <si>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</si>
  <si>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</si>
  <si>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</si>
  <si>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</si>
  <si>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</si>
  <si>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</si>
  <si>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</si>
  <si>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</si>
  <si>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</si>
  <si>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</si>
  <si>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</si>
  <si>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</si>
  <si>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</si>
  <si>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</si>
  <si>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</si>
  <si>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</si>
  <si>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</si>
  <si>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</si>
  <si>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</si>
  <si>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</si>
  <si>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</si>
  <si>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</si>
  <si>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</si>
  <si>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</si>
  <si>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</si>
  <si>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</si>
  <si>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</si>
  <si>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</si>
  <si>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</si>
  <si>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</si>
  <si>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</si>
  <si>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</si>
  <si>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</si>
  <si>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</si>
  <si>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</si>
  <si>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</si>
  <si>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</si>
  <si>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</si>
  <si>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</si>
  <si>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</si>
  <si>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</si>
  <si>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</si>
  <si>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</si>
  <si>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</si>
  <si>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</si>
  <si>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</si>
  <si>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</si>
  <si>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</si>
  <si>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</si>
  <si>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</si>
  <si>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</si>
  <si>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</si>
  <si>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</si>
  <si>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</si>
  <si>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</si>
  <si>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</si>
  <si>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</si>
  <si>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</si>
  <si>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</si>
  <si>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</si>
  <si>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</si>
  <si>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</si>
  <si>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</si>
  <si>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</si>
  <si>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</si>
  <si>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</si>
  <si>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</si>
  <si>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</si>
  <si>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</si>
  <si>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</si>
  <si>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</si>
  <si>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</si>
  <si>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</si>
  <si>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</si>
  <si>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</si>
  <si>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</si>
  <si>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</si>
  <si>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</si>
  <si>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</si>
  <si>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</si>
  <si>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</si>
  <si>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</si>
  <si>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</si>
  <si>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</si>
  <si>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</si>
  <si>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</si>
  <si>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</si>
  <si>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</si>
  <si>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</si>
  <si>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</si>
  <si>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</si>
  <si>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</si>
  <si>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</si>
  <si>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</si>
  <si>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</si>
  <si>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</si>
  <si>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</si>
  <si>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</si>
  <si>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</si>
  <si>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</si>
  <si>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</si>
  <si>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</si>
  <si>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</si>
  <si>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</si>
  <si>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</si>
  <si>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</si>
  <si>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</si>
  <si>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</si>
  <si>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</si>
  <si>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</si>
  <si>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</si>
  <si>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</si>
  <si>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</si>
  <si>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</si>
  <si>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</si>
  <si>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</si>
  <si>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</si>
  <si>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</si>
  <si>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</si>
  <si>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</si>
  <si>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</si>
  <si>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</si>
  <si>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</si>
  <si>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</si>
  <si>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</si>
  <si>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</si>
  <si>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</si>
  <si>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</si>
  <si>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</si>
  <si>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</si>
  <si>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</si>
  <si>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</si>
  <si>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</si>
  <si>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</si>
  <si>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</si>
  <si>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</si>
  <si>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</si>
  <si>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</si>
  <si>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</si>
  <si>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</si>
  <si>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</si>
  <si>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</si>
  <si>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</si>
  <si>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</si>
  <si>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</si>
  <si>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</si>
  <si>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</si>
  <si>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</si>
  <si>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</si>
  <si>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</si>
  <si>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</si>
  <si>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</si>
  <si>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</si>
  <si>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</si>
  <si>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</si>
  <si>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</si>
  <si>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</si>
  <si>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</si>
  <si>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</si>
  <si>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</si>
  <si>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</si>
  <si>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</si>
  <si>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</si>
  <si>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</si>
  <si>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</si>
  <si>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</si>
  <si>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</si>
  <si>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</si>
  <si>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</si>
  <si>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</si>
  <si>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</si>
  <si>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</si>
  <si>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</si>
  <si>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</si>
  <si>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</si>
  <si>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</si>
  <si>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</si>
  <si>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</si>
  <si>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</si>
  <si>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</si>
  <si>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</si>
  <si>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</si>
  <si>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</si>
  <si>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</si>
  <si>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</si>
  <si>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</si>
  <si>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</si>
  <si>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</si>
  <si>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</si>
  <si>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</si>
  <si>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</si>
  <si>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</si>
  <si>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</si>
  <si>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</si>
  <si>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</si>
  <si>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</si>
  <si>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</si>
  <si>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</si>
  <si>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</si>
  <si>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</si>
  <si>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</si>
  <si>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</si>
  <si>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</si>
  <si>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</si>
  <si>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</si>
  <si>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</si>
  <si>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</si>
  <si>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</si>
  <si>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</si>
  <si>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</si>
  <si>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</si>
  <si>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</si>
  <si>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</si>
  <si>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</si>
  <si>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</si>
  <si>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</si>
  <si>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</si>
  <si>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</si>
  <si>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</si>
  <si>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</si>
  <si>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</si>
  <si>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</si>
  <si>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</si>
  <si>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</si>
  <si>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</si>
  <si>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</si>
  <si>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</si>
  <si>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</si>
  <si>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</si>
  <si>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</si>
  <si>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</si>
  <si>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</si>
  <si>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</si>
  <si>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</si>
  <si>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</si>
  <si>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</si>
  <si>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</si>
  <si>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</si>
  <si>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</si>
  <si>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</si>
  <si>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</si>
  <si>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</si>
  <si>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</si>
  <si>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</si>
  <si>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</si>
  <si>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</si>
  <si>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</si>
  <si>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</si>
  <si>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</si>
  <si>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</si>
  <si>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</si>
  <si>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</si>
  <si>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</si>
  <si>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</si>
  <si>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</si>
  <si>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</si>
  <si>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</si>
  <si>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</si>
  <si>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</si>
  <si>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</si>
  <si>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</si>
  <si>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</si>
  <si>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</si>
  <si>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</si>
  <si>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</si>
  <si>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</si>
  <si>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</si>
  <si>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</si>
  <si>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</si>
  <si>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</si>
  <si>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</si>
  <si>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</si>
  <si>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</si>
  <si>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</si>
  <si>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</si>
  <si>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</si>
  <si>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</si>
  <si>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</si>
  <si>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</si>
  <si>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</si>
  <si>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</si>
  <si>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</si>
  <si>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</si>
  <si>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</si>
  <si>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</si>
  <si>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</si>
  <si>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</si>
  <si>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</si>
  <si>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</si>
  <si>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</si>
  <si>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</si>
  <si>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</si>
  <si>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</si>
  <si>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</si>
  <si>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</si>
  <si>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</si>
  <si>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</si>
  <si>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</si>
  <si>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</si>
  <si>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</si>
  <si>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</si>
  <si>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</si>
  <si>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</si>
  <si>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</si>
  <si>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</si>
  <si>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</si>
  <si>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</si>
  <si>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</si>
  <si>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</si>
  <si>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</si>
  <si>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</si>
  <si>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</si>
  <si>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</si>
  <si>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</si>
  <si>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</si>
  <si>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</si>
  <si>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</si>
  <si>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</si>
  <si>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</si>
  <si>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</si>
  <si>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</si>
  <si>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</si>
  <si>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</si>
  <si>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</si>
  <si>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</si>
  <si>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</si>
  <si>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</si>
  <si>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</si>
  <si>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</si>
  <si>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</si>
  <si>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</si>
  <si>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</si>
  <si>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</si>
  <si>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</si>
  <si>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</si>
  <si>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</si>
  <si>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</si>
  <si>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</si>
  <si>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</si>
  <si>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</si>
  <si>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</si>
  <si>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</si>
  <si>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</si>
  <si>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</si>
  <si>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</si>
  <si>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</si>
  <si>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</si>
  <si>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</si>
  <si>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</si>
  <si>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</si>
  <si>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</si>
  <si>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</si>
  <si>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</si>
  <si>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</si>
  <si>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</si>
  <si>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</si>
  <si>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</si>
  <si>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</si>
  <si>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</si>
  <si>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</si>
  <si>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</si>
  <si>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</si>
  <si>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</si>
  <si>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</si>
  <si>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</si>
  <si>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</si>
  <si>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</si>
  <si>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</si>
  <si>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</si>
  <si>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</si>
  <si>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</si>
  <si>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</si>
  <si>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</si>
  <si>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</si>
  <si>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</si>
  <si>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</si>
  <si>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</si>
  <si>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</si>
  <si>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</si>
  <si>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</si>
  <si>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</si>
  <si>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</si>
  <si>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</si>
  <si>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</si>
  <si>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</si>
  <si>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</si>
  <si>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</si>
  <si>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</si>
  <si>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</si>
  <si>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</si>
  <si>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</si>
  <si>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</si>
  <si>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</si>
  <si>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</si>
  <si>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</si>
  <si>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</si>
  <si>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</si>
  <si>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</si>
  <si>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</si>
  <si>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</si>
  <si>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</si>
  <si>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</si>
  <si>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</si>
  <si>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</si>
  <si>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</si>
  <si>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</si>
  <si>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</si>
  <si>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</si>
  <si>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</si>
  <si>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</si>
  <si>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</si>
  <si>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</si>
  <si>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</si>
  <si>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</si>
  <si>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</si>
  <si>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</si>
  <si>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</si>
  <si>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</si>
  <si>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</si>
  <si>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</si>
  <si>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</si>
  <si>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</si>
  <si>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</si>
  <si>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</si>
  <si>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</si>
  <si>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</si>
  <si>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</si>
  <si>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</si>
  <si>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</si>
  <si>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</si>
  <si>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</si>
  <si>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</si>
  <si>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</si>
  <si>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</si>
  <si>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</si>
  <si>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</si>
  <si>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</si>
  <si>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</si>
  <si>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</si>
  <si>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</si>
  <si>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</si>
  <si>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</si>
  <si>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</si>
  <si>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</si>
  <si>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</si>
  <si>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</si>
  <si>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</si>
  <si>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</si>
  <si>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</si>
  <si>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</si>
  <si>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</si>
  <si>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</si>
  <si>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</si>
  <si>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</si>
  <si>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</si>
  <si>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</si>
  <si>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</si>
  <si>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</si>
  <si>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</si>
  <si>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</si>
  <si>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</si>
  <si>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</si>
  <si>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</si>
  <si>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</si>
  <si>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</si>
  <si>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</si>
  <si>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</si>
  <si>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</si>
  <si>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</si>
  <si>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</si>
  <si>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</si>
  <si>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</si>
  <si>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</si>
  <si>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</si>
  <si>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</si>
  <si>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</si>
  <si>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</si>
  <si>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</si>
  <si>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</si>
  <si>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</si>
  <si>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</si>
  <si>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</si>
  <si>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</si>
  <si>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</si>
  <si>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</si>
  <si>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</si>
  <si>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</si>
  <si>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</si>
  <si>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</si>
  <si>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</si>
  <si>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</si>
  <si>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</si>
  <si>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</si>
  <si>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</si>
  <si>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</si>
  <si>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</si>
  <si>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</si>
  <si>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</si>
  <si>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</si>
  <si>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</si>
  <si>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</si>
  <si>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</si>
  <si>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</si>
  <si>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</si>
  <si>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</si>
  <si>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</si>
  <si>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</si>
  <si>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</si>
  <si>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</si>
  <si>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</si>
  <si>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</si>
  <si>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</si>
  <si>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</si>
  <si>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</si>
  <si>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</si>
  <si>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</si>
  <si>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</si>
  <si>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</si>
  <si>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</si>
  <si>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</si>
  <si>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</si>
  <si>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</si>
  <si>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</si>
  <si>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</si>
  <si>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</si>
  <si>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</si>
  <si>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</si>
  <si>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</si>
  <si>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</si>
  <si>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</si>
  <si>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</si>
  <si>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</si>
  <si>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</si>
  <si>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</si>
  <si>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</si>
  <si>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</si>
  <si>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</si>
  <si>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</si>
  <si>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</si>
  <si>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</si>
  <si>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</si>
  <si>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</si>
  <si>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</si>
  <si>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</si>
  <si>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</si>
  <si>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</si>
  <si>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</si>
  <si>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</si>
  <si>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</si>
  <si>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</si>
  <si>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</si>
  <si>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</si>
  <si>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</si>
  <si>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</si>
  <si>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</si>
  <si>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</si>
  <si>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</si>
  <si>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</si>
  <si>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</si>
  <si>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</si>
  <si>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</si>
  <si>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</si>
  <si>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</si>
  <si>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</si>
  <si>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</si>
  <si>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</si>
  <si>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</si>
  <si>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</si>
  <si>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</si>
  <si>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</si>
  <si>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</si>
  <si>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</si>
  <si>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</si>
  <si>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</si>
  <si>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</si>
  <si>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</si>
  <si>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</si>
  <si>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</si>
  <si>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</si>
  <si>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</si>
  <si>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</si>
  <si>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</si>
  <si>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</si>
  <si>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</si>
  <si>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</si>
  <si>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</si>
  <si>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</si>
  <si>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</si>
  <si>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</si>
  <si>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</si>
  <si>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</si>
  <si>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</si>
  <si>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</si>
  <si>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</si>
  <si>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</si>
  <si>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</si>
  <si>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</si>
  <si>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</si>
  <si>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</si>
  <si>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</si>
  <si>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</si>
  <si>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</si>
  <si>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</si>
  <si>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</si>
  <si>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</si>
  <si>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</si>
  <si>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</si>
  <si>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</si>
  <si>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</si>
  <si>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</si>
  <si>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</si>
  <si>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</si>
  <si>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</si>
  <si>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</si>
  <si>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</si>
  <si>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</si>
  <si>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</si>
  <si>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</si>
  <si>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</si>
  <si>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</si>
  <si>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</si>
  <si>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</si>
  <si>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</si>
  <si>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</si>
  <si>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</si>
  <si>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</si>
  <si>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</si>
  <si>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</si>
  <si>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</si>
  <si>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</si>
  <si>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</si>
  <si>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</si>
  <si>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</si>
  <si>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</si>
  <si>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</si>
  <si>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</si>
  <si>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</si>
  <si>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</si>
  <si>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</si>
  <si>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</si>
  <si>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</si>
  <si>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</si>
  <si>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</si>
  <si>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</si>
  <si>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</si>
  <si>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</si>
  <si>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</si>
  <si>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</si>
  <si>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</si>
  <si>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</si>
  <si>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</si>
  <si>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</si>
  <si>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</si>
  <si>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</si>
  <si>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</si>
  <si>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</si>
  <si>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</si>
  <si>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</si>
  <si>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</si>
  <si>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</si>
  <si>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</si>
  <si>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</si>
  <si>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</si>
  <si>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</si>
  <si>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</si>
  <si>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</si>
  <si>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</si>
  <si>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</si>
  <si>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</si>
  <si>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</si>
  <si>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</si>
  <si>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</si>
  <si>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</si>
  <si>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</si>
  <si>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</si>
  <si>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</si>
  <si>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</si>
  <si>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</si>
  <si>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</si>
  <si>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</si>
  <si>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</si>
  <si>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</si>
  <si>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</si>
  <si>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</si>
  <si>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</si>
  <si>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</si>
  <si>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</si>
  <si>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</si>
  <si>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</si>
  <si>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</si>
  <si>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</si>
  <si>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</si>
  <si>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</si>
  <si>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</si>
  <si>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</si>
  <si>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</si>
  <si>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</si>
  <si>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</si>
  <si>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</si>
  <si>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</si>
  <si>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</si>
  <si>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</si>
  <si>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</si>
  <si>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</si>
  <si>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</si>
  <si>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</si>
  <si>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</si>
  <si>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</si>
  <si>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</si>
  <si>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</si>
  <si>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</si>
  <si>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</si>
  <si>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</si>
  <si>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</si>
  <si>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</si>
  <si>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</si>
  <si>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</si>
  <si>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</si>
  <si>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</si>
  <si>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</si>
  <si>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</si>
  <si>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</si>
  <si>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</si>
  <si>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</si>
  <si>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</si>
  <si>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</si>
  <si>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</si>
  <si>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</si>
  <si>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</si>
  <si>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</si>
  <si>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</si>
  <si>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</si>
  <si>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</si>
  <si>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</si>
  <si>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</si>
  <si>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</si>
  <si>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</si>
  <si>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</si>
  <si>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</si>
  <si>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</si>
  <si>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</si>
  <si>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</si>
  <si>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</si>
  <si>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</si>
  <si>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</si>
  <si>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</si>
  <si>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</si>
  <si>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</si>
  <si>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</si>
  <si>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</si>
  <si>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</si>
  <si>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</si>
  <si>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</si>
  <si>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</si>
  <si>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</si>
  <si>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</si>
  <si>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</si>
  <si>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</si>
  <si>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</si>
  <si>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</si>
  <si>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</si>
  <si>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</si>
  <si>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</si>
  <si>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</si>
  <si>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</si>
  <si>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</si>
  <si>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</si>
  <si>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</si>
  <si>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</si>
  <si>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</si>
  <si>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</si>
  <si>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</si>
  <si>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</si>
  <si>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</si>
  <si>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</si>
  <si>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</si>
  <si>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</si>
  <si>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</si>
  <si>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</si>
  <si>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</si>
  <si>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</si>
  <si>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</si>
  <si>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</si>
  <si>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</si>
  <si>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</si>
  <si>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</si>
  <si>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</si>
  <si>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</si>
  <si>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</si>
  <si>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</si>
  <si>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</si>
  <si>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</si>
  <si>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</si>
  <si>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</si>
  <si>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</si>
  <si>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</si>
  <si>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</si>
  <si>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</si>
  <si>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</si>
  <si>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</si>
  <si>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</si>
  <si>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</si>
  <si>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</si>
  <si>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</si>
  <si>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</si>
  <si>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</si>
  <si>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</si>
  <si>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</si>
  <si>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</si>
  <si>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</si>
  <si>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</si>
  <si>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</si>
  <si>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</si>
  <si>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</si>
  <si>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</si>
  <si>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</si>
  <si>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</si>
  <si>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</si>
  <si>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</si>
  <si>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</si>
  <si>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</si>
  <si>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</si>
  <si>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</si>
  <si>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</si>
  <si>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</si>
  <si>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</si>
  <si>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</si>
  <si>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</si>
  <si>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</si>
  <si>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</si>
  <si>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</si>
  <si>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</si>
  <si>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</si>
  <si>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</si>
  <si>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</si>
  <si>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</si>
  <si>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</si>
  <si>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</si>
  <si>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</si>
  <si>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</si>
  <si>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</si>
  <si>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</si>
  <si>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</si>
  <si>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</si>
  <si>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</si>
  <si>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</si>
  <si>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</si>
  <si>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</si>
  <si>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</si>
  <si>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</si>
  <si>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</si>
  <si>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</si>
  <si>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</si>
  <si>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</si>
  <si>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</si>
  <si>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</si>
  <si>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</si>
  <si>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</si>
  <si>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</si>
  <si>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</si>
  <si>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</si>
  <si>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</si>
  <si>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</si>
  <si>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</si>
  <si>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</si>
  <si>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</si>
  <si>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</si>
  <si>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</si>
  <si>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</si>
  <si>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</si>
  <si>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</si>
  <si>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</si>
  <si>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</si>
  <si>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</si>
  <si>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</si>
  <si>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</si>
  <si>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</si>
  <si>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</si>
  <si>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</si>
  <si>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</si>
  <si>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</si>
  <si>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</si>
  <si>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</si>
  <si>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</si>
  <si>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</si>
  <si>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</si>
  <si>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</si>
  <si>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</si>
  <si>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</si>
  <si>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</si>
  <si>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</si>
  <si>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</si>
  <si>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</si>
  <si>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</si>
  <si>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</si>
  <si>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</si>
  <si>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</si>
  <si>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</si>
  <si>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</si>
  <si>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ČD M400 [kkStB 40.0]</t>
  </si>
  <si>
    <t>ZSSK 49.0 [CSD EMU 49.0]</t>
  </si>
  <si>
    <t>HZ 51 [MÁV 375]</t>
  </si>
  <si>
    <t>ENR 1100 [LMS Fowler 3F / WD 0-6-0T]</t>
  </si>
  <si>
    <t>FCGR [BAGS] No. 315 2-4-0T</t>
  </si>
  <si>
    <t>Liberia "Class 08" [Ex-BR]</t>
  </si>
  <si>
    <t>MRS "He 4/4" [900 Series]</t>
  </si>
  <si>
    <t>Shunter</t>
  </si>
  <si>
    <t>Coach (Commuter)</t>
  </si>
  <si>
    <t>Coach (Regional))</t>
  </si>
  <si>
    <t>Coach (Mail)</t>
  </si>
  <si>
    <t>Coach (Express)</t>
  </si>
  <si>
    <t>Coach (HS)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</si>
</sst>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6">
    <dxf>
      <numFmt numFmtId="1" formatCode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804" totalsRowShown="0" headerRowDxfId="135">
  <autoFilter ref="A1:O804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134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33"/>
    <tableColumn id="17" xr3:uid="{52550B53-5A6E-4D0B-A358-FCA22B56CC77}" name="WEB"/>
    <tableColumn id="15" xr3:uid="{C9DBDDFF-A526-4383-A426-8408C4B17785}" name="IS_POWERED_UNPOWERED_SUNDRY" dataDxfId="13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1">
      <calculatedColumnFormula>ISNUMBER(_xlfn.XMATCH(CONTROL[[#This Row],[VEHIDCODE]],TRACK_TYPES[VEHIDCODE],0))</calculatedColumnFormula>
    </tableColumn>
    <tableColumn id="14" xr3:uid="{222C2DB1-CA5D-4369-995A-6A316AC5C947}" name="PROPERTIES" dataDxfId="130">
      <calculatedColumnFormula>ISNUMBER(_xlfn.XMATCH(CONTROL[[#This Row],[VEHIDCODE]],PROPERTIES[VEHIDCODE],0))</calculatedColumnFormula>
    </tableColumn>
    <tableColumn id="13" xr3:uid="{473FD571-A166-4EC8-8B7B-F1D30044570B}" name="FLAGS" dataDxfId="129">
      <calculatedColumnFormula>ISNUMBER(_xlfn.XMATCH(CONTROL[[#This Row],[VEHIDCODE]],FLAGS[VEHIDCODE],0))</calculatedColumnFormula>
    </tableColumn>
    <tableColumn id="10" xr3:uid="{7783F713-60B4-45CF-AEB3-EE02271B3D6F}" name="GRAPHICS_PROPERTIES" dataDxfId="128">
      <calculatedColumnFormula>ISNUMBER(_xlfn.XMATCH(CONTROL[[#This Row],[VEHIDCODE]],GRAPHICS_PROPERTIES[VEHIDCODE],0))</calculatedColumnFormula>
    </tableColumn>
    <tableColumn id="9" xr3:uid="{7B229E25-CF6B-4C5F-B4A4-FEC34CB93E9B}" name="ITEM" dataDxfId="127">
      <calculatedColumnFormula>"item_"&amp;CONTROL[[#This Row],[VEHIDCODE]]</calculatedColumnFormula>
    </tableColumn>
    <tableColumn id="8" xr3:uid="{327E5CDA-51AE-4721-ACBD-5E8C3D890998}" name="NAME" dataDxfId="126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4" totalsRowShown="0" headerRowDxfId="125">
  <autoFilter ref="A1:AF804" xr:uid="{6DCCB998-B5D1-4B0D-8701-BC0E171A94CA}"/>
  <tableColumns count="32">
    <tableColumn id="1" xr3:uid="{173D09BF-30BA-4FF2-B4FE-F09962415DA2}" name="VEHIDCODE" dataDxfId="124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23"/>
    <tableColumn id="19" xr3:uid="{FD65B400-35DE-464D-97AA-B59BB7DAE7DB}" name="COUNTRY_CODE" dataDxfId="12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21"/>
    <tableColumn id="58" xr3:uid="{37DCFD33-B11D-4E3C-9899-EA36DBD4DBC0}" name="LOADINGSPEED_VALUE" dataDxfId="12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1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18"/>
    <tableColumn id="24" xr3:uid="{FFD5C22B-7B16-440D-91CC-48C8761050DA}" name="TE_COEFFICIENT_CALC" dataDxfId="11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16"/>
    <tableColumn id="14" xr3:uid="{123AAB87-6D4C-406A-A5E1-A61DC2DDFFEE}" name="TE_COEFFICIENT" dataDxfId="11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14"/>
    <tableColumn id="18" xr3:uid="{EB0CE86B-9E06-4ADD-85C1-EA622DE32153}" name="WAGON_CAPACITY" dataDxfId="113"/>
    <tableColumn id="15" xr3:uid="{3558C882-A912-4F84-BDE6-BC0A2A676C4B}" name="WAGON_LENGTH" dataDxfId="112"/>
    <tableColumn id="71" xr3:uid="{3D8AA890-C1F2-4EBD-90E3-21F948960989}" name="PURCHASE_CARGO_CAPACITY" dataDxfId="111"/>
    <tableColumn id="30" xr3:uid="{235283C1-F061-434B-8C4A-AD474FB16FE8}" name="REGION1" dataDxfId="110"/>
    <tableColumn id="29" xr3:uid="{19EC58E3-4FB9-44BC-BFFA-4C7DCCC53DA8}" name="REGION2" dataDxfId="109"/>
    <tableColumn id="27" xr3:uid="{C00DC499-0060-4E48-A71D-AE565097985F}" name="REGION3" dataDxfId="108"/>
    <tableColumn id="56" xr3:uid="{188F57E8-1157-47DF-9E8F-B5F737649F6C}" name="PURCHASECOST_VALUE" dataDxfId="107"/>
    <tableColumn id="28" xr3:uid="{B24767B4-97D7-4814-9BBD-1231E1A0A0A7}" name="RUNNINGCOST_VALUE" dataDxfId="106"/>
    <tableColumn id="22" xr3:uid="{68BAA036-8189-4A5A-B0EF-3F284C15672C}" name="COST_CAT" dataDxfId="105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0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0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4" totalsRowShown="0" headerRowDxfId="103">
  <autoFilter ref="A1:AF804" xr:uid="{6DCCB998-B5D1-4B0D-8701-BC0E171A94CA}"/>
  <tableColumns count="32">
    <tableColumn id="1" xr3:uid="{CDEAF13A-A986-4600-A992-A08C1CA6142C}" name="VEHIDCODE" dataDxfId="102"/>
    <tableColumn id="55" xr3:uid="{839D134C-3027-42F4-BA04-3BA8BFF71A3B}" name="TRACK_TYPE_STANDARD_GAUGE_RAILTYPE_OHLE" dataDxfId="101"/>
    <tableColumn id="54" xr3:uid="{5D83FD10-ABCB-4FE7-A7DB-4A857A58D719}" name="TRACK_TYPE_STANDARD_GAUGE_RAILTYPE_25KV" dataDxfId="100"/>
    <tableColumn id="53" xr3:uid="{56183170-0B7F-45FB-91B4-356C62C246AD}" name="TRACK_TYPE_STANDARD_GAUGE_RAILTYPE_15KV" dataDxfId="99"/>
    <tableColumn id="52" xr3:uid="{5B71BE07-0EB9-4DEB-A8E8-252C9D979AC2}" name="TRACK_TYPE_STANDARD_GAUGE_RAILTYPE_3KV" dataDxfId="98"/>
    <tableColumn id="51" xr3:uid="{5A6435EB-111E-4AED-A8E1-AEFF82C34393}" name="TRACK_TYPE_STANDARD_GAUGE_RAILTYPE_1500V" dataDxfId="97"/>
    <tableColumn id="50" xr3:uid="{14CA70EA-0EE7-44BA-9D77-FC902C0596DD}" name="TRACK_TYPE_STANDARD_GAUGE_RAILTYPE_3RD" dataDxfId="96"/>
    <tableColumn id="49" xr3:uid="{3A15447A-9663-43FB-8EFF-8F8034548FB0}" name="TRACK_TYPE_STANDARD_GAUGE_RAILTYPE_4TH" dataDxfId="95"/>
    <tableColumn id="48" xr3:uid="{E44E324A-492F-4566-8DC9-0A6F58F40EA9}" name="TRACK_TYPE_STANDARD_GAUGE_RAILTYPE_DUAL" dataDxfId="94"/>
    <tableColumn id="47" xr3:uid="{FE3223C6-E685-4456-91E9-10AEB3B699E7}" name="TRACK_TYPE_STANDARD_GAUGE_RAILTYPE_NONE" dataDxfId="93"/>
    <tableColumn id="46" xr3:uid="{D39969E8-C0CA-4A59-A556-D29019991069}" name="TRACK_TYPE_NARROW_GAUGE_RAILTYPE_OHLE" dataDxfId="92"/>
    <tableColumn id="45" xr3:uid="{5266A9E9-D840-4460-AB81-A081897372F3}" name="TRACK_TYPE_NARROW_GAUGE_RAILTYPE_25KV" dataDxfId="91"/>
    <tableColumn id="44" xr3:uid="{7B4C44D1-C745-4291-86A0-777579742A84}" name="TRACK_TYPE_NARROW_GAUGE_RAILTYPE_15KV" dataDxfId="90"/>
    <tableColumn id="43" xr3:uid="{8736D285-A163-4DBE-84E1-870118B47F14}" name="TRACK_TYPE_NARROW_GAUGE_RAILTYPE_3KV" dataDxfId="89"/>
    <tableColumn id="42" xr3:uid="{6FBBA2FB-4743-4072-B4E0-C42BBDA1CC47}" name="TRACK_TYPE_NARROW_GAUGE_RAILTYPE_1500V" dataDxfId="88"/>
    <tableColumn id="41" xr3:uid="{D3ED2E70-19BF-4D92-A76B-0F0F03D31947}" name="TRACK_TYPE_NARROW_GAUGE_RAILTYPE_3RD" dataDxfId="87"/>
    <tableColumn id="40" xr3:uid="{F38AE7AF-B798-40A5-992A-13685296E710}" name="TRACK_TYPE_NARROW_GAUGE_RAILTYPE_4TH" dataDxfId="86"/>
    <tableColumn id="39" xr3:uid="{16463F64-2239-4E7F-8257-47F324BF8959}" name="TRACK_TYPE_NARROW_GAUGE_RAILTYPE_DUAL" dataDxfId="85"/>
    <tableColumn id="38" xr3:uid="{97037A15-9172-4057-863E-582804353817}" name="TRACK_TYPE_NARROW_GAUGE_RAILTYPE_NONE" dataDxfId="84"/>
    <tableColumn id="37" xr3:uid="{24999D59-5A4F-4A21-B8B4-EBDBF9F8BF1E}" name="TRACK_TYPE_BROAD_GAUGE_RAILTYPE_OHLE" dataDxfId="83"/>
    <tableColumn id="36" xr3:uid="{31AB3927-D18B-49AD-8EF5-C7E9FF4CEDF3}" name="TRACK_TYPE_BROAD_GAUGE_RAILTYPE_25KV" dataDxfId="82"/>
    <tableColumn id="35" xr3:uid="{CB3432E7-4DAE-4807-9CE5-4CB1ACECD395}" name="TRACK_TYPE_BROAD_GAUGE_RAILTYPE_15KV" dataDxfId="81"/>
    <tableColumn id="34" xr3:uid="{E3936FE4-2B46-4DC0-84C0-44C7892A0927}" name="TRACK_TYPE_BROAD_GAUGE_RAILTYPE_3KV" dataDxfId="80"/>
    <tableColumn id="33" xr3:uid="{A5FAA105-CF81-4A75-8967-5721104454E8}" name="TRACK_TYPE_BROAD_GAUGE_RAILTYPE_1500V" dataDxfId="79"/>
    <tableColumn id="32" xr3:uid="{439CDFDE-6BFC-446C-87CF-28C8FF65FCE0}" name="TRACK_TYPE_BROAD_GAUGE_RAILTYPE_3RD" dataDxfId="78"/>
    <tableColumn id="31" xr3:uid="{219AB5E3-CDFF-41B3-BD58-F7427606D15F}" name="TRACK_TYPE_BROAD_GAUGE_RAILTYPE_4TH" dataDxfId="77"/>
    <tableColumn id="30" xr3:uid="{01529768-EA0D-4662-B835-74641896CE3F}" name="TRACK_TYPE_BROAD_GAUGE_RAILTYPE_DUAL" dataDxfId="76"/>
    <tableColumn id="29" xr3:uid="{32C384AB-18DB-4161-B29B-A363A2547BB2}" name="TRACK_TYPE_BROAD_GAUGE_RAILTYPE_NONE" dataDxfId="75"/>
    <tableColumn id="26" xr3:uid="{1CFC6F26-22A8-42EE-972B-0F7ED6623B5A}" name="TRACK_TYPE_MONO" dataDxfId="74"/>
    <tableColumn id="25" xr3:uid="{62939270-15C1-494E-9C53-6EA9E8209C3B}" name="TRACK_TYPE_MGLV" dataDxfId="73"/>
    <tableColumn id="24" xr3:uid="{9DA86EDA-F2AB-4C2D-918E-5260313FD8B3}" name="TRACK_TYPE_MTRO" dataDxfId="72"/>
    <tableColumn id="21" xr3:uid="{E6F11214-E912-4D1C-980D-A111C93B0BED}" name="CHECK_ANY_TT" dataDxfId="71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4" totalsRowShown="0" headerRowDxfId="70">
  <autoFilter ref="A1:G804" xr:uid="{6DCCB998-B5D1-4B0D-8701-BC0E171A94CA}"/>
  <tableColumns count="7">
    <tableColumn id="1" xr3:uid="{327CDBB6-E1D6-4B9F-9625-C81419775134}" name="VEHIDCODE" dataDxfId="69"/>
    <tableColumn id="101" xr3:uid="{78690AEB-EA8F-4FC7-9651-C84D8F318EE9}" name="MISC_FLAGS_TRAIN_FLAG_2CC" dataDxfId="68"/>
    <tableColumn id="100" xr3:uid="{90DBB1A2-A86F-42C6-B2B8-64A2FD6690AB}" name="MISC_FLAGS_TRAIN_FLAG_MU" dataDxfId="67"/>
    <tableColumn id="99" xr3:uid="{DA6644B2-20CC-47E2-B1B5-10210B43738A}" name="MISC_FLAGS_TRAIN_FLAG_AUTOREFIT" dataDxfId="66"/>
    <tableColumn id="108" xr3:uid="{980A5687-92C0-42A0-811D-C3D4EA0876D1}" name="VISUAL_EFFECT_1" dataDxfId="6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4" totalsRowShown="0" headerRowDxfId="63">
  <autoFilter ref="A1:D804" xr:uid="{6DCCB998-B5D1-4B0D-8701-BC0E171A94CA}"/>
  <tableColumns count="4">
    <tableColumn id="1" xr3:uid="{0B6094CF-6CA6-410A-A041-C85FACC0820E}" name="VEHIDCODE" dataDxfId="62"/>
    <tableColumn id="7" xr3:uid="{3D8CAD9A-C0D1-459B-8D7C-DFC931F5B279}" name="PANTOGRAPH_POSITION" dataDxfId="61"/>
    <tableColumn id="6" xr3:uid="{E0637D36-B3FC-4486-87F9-603EB2076188}" name="TEMPLATE_ID" dataDxfId="60"/>
    <tableColumn id="9" xr3:uid="{FEF2BF9C-74F1-405C-9871-E4301805E364}" name="TEMPLATE_AMENDMENT_CODE" dataDxfId="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8" headerRowBorderDxfId="57" tableBorderDxfId="5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5" headerRowBorderDxfId="54" tableBorderDxfId="5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2" dataDxfId="51" tableBorderDxfId="50">
  <autoFilter ref="A1:A17" xr:uid="{0B243503-43AD-403A-90CE-B69D05B25C30}"/>
  <tableColumns count="1">
    <tableColumn id="1" xr3:uid="{3709FB1B-DE08-4A3E-8CA6-F5322D2A3261}" name="VALID_REGIONS" dataDxfId="4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8" dataDxfId="47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6"/>
    <tableColumn id="2" xr3:uid="{CCC9A744-4F42-4023-A516-9395213016EB}" name="COUNTRY_DESCRIPTION" dataDxfId="45"/>
    <tableColumn id="3" xr3:uid="{01E32DA0-BF93-49AA-BE03-33EF914A0BCC}" name="COUNTS" dataDxfId="21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43" headerRowBorderDxfId="44" tableBorderDxfId="42" totalsRowBorderDxfId="41">
  <autoFilter ref="K1:K25" xr:uid="{686D0694-AFBC-4B91-A3D3-72E1CCF00B7D}"/>
  <tableColumns count="1">
    <tableColumn id="1" xr3:uid="{7F0999BD-E0C9-463F-A054-2DA49D41A9EE}" name="VEHID_ID_CATEGORY" dataDxfId="4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9"/>
    <tableColumn id="4" xr3:uid="{3DDC8685-BA3D-40E8-A910-1E59013A762D}" name="Range End" dataDxfId="3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7" dataDxfId="36">
  <autoFilter ref="A1:N16" xr:uid="{863AE95D-BE34-47D8-B01B-1170BF25FDF2}"/>
  <tableColumns count="14">
    <tableColumn id="1" xr3:uid="{5F487593-655E-41B5-B155-86F88B53946D}" name="COST_CAT" dataDxfId="35"/>
    <tableColumn id="2" xr3:uid="{33F9C454-EDB2-4DA7-BF7A-64CBC12EBC9B}" name="P1" dataDxfId="34"/>
    <tableColumn id="3" xr3:uid="{25FB11D0-082D-4DE3-9821-1367939D8742}" name="P2" dataDxfId="33"/>
    <tableColumn id="4" xr3:uid="{19CDF402-C641-4217-A953-2A851DF85ADB}" name="P3" dataDxfId="32"/>
    <tableColumn id="5" xr3:uid="{1EF59E2C-32FF-4712-AD89-CBF77E507832}" name="P4" dataDxfId="31"/>
    <tableColumn id="6" xr3:uid="{04250F90-183D-4392-BE27-C420F795E1DC}" name="P5" dataDxfId="30"/>
    <tableColumn id="7" xr3:uid="{F7062C4F-5B57-4110-A21E-BDC8820130D9}" name="P6" dataDxfId="29"/>
    <tableColumn id="8" xr3:uid="{B47621AA-9D6F-4396-B3D9-BD8CF656F30E}" name="P7" dataDxfId="28"/>
    <tableColumn id="9" xr3:uid="{7055539E-C4C8-407D-91F5-6CB021EDE84F}" name="R1" dataDxfId="27"/>
    <tableColumn id="10" xr3:uid="{D17981EB-EB8A-4630-958C-3792D72CD53F}" name="R2" dataDxfId="26"/>
    <tableColumn id="11" xr3:uid="{85EDD15A-812B-4C42-B03A-D558B807622E}" name="R3" dataDxfId="25"/>
    <tableColumn id="12" xr3:uid="{61A73E38-33EC-41D1-B899-56F15EDBDD59}" name="R4" dataDxfId="24"/>
    <tableColumn id="13" xr3:uid="{7A83ADCF-C18F-402F-81A8-0F935E928ED9}" name="R5" dataDxfId="23"/>
    <tableColumn id="14" xr3:uid="{1140F6C7-9C3D-4800-9F3B-DC6E6EBE9541}" name="R6" dataDxfId="2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804"/>
  <sheetViews>
    <sheetView workbookViewId="0">
      <pane xSplit="1" ySplit="1" topLeftCell="K777" activePane="bottomRight" state="frozen"/>
      <selection pane="topRight" activeCell="B1" sqref="B1"/>
      <selection pane="bottomLeft" activeCell="A2" sqref="A2"/>
      <selection pane="bottomRight" activeCell="O794" sqref="O794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2477</v>
      </c>
      <c r="G1" s="6" t="s">
        <v>2298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1749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1749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2989</v>
      </c>
      <c r="G4" t="s">
        <v>2282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2288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2290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2289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2291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2292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2484</v>
      </c>
      <c r="G15" t="s">
        <v>2293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2294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2295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2296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2297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2300</v>
      </c>
      <c r="G20" t="s">
        <v>2299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2301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2302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2485</v>
      </c>
      <c r="G23" t="s">
        <v>2303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2304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2775</v>
      </c>
      <c r="G25" t="s">
        <v>2305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2306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2307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2308</v>
      </c>
      <c r="G28" t="s">
        <v>2309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2310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2312</v>
      </c>
      <c r="G30" t="s">
        <v>2311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2313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2314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2315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2316</v>
      </c>
      <c r="G34" t="s">
        <v>2317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2318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2321</v>
      </c>
      <c r="G36" t="s">
        <v>2320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2319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2776</v>
      </c>
      <c r="G38" t="s">
        <v>2322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2324</v>
      </c>
      <c r="G39" t="s">
        <v>2323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2325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2326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2328</v>
      </c>
      <c r="G42" t="s">
        <v>2327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3072</v>
      </c>
      <c r="G43" t="s">
        <v>2329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2330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2331</v>
      </c>
      <c r="G45" t="s">
        <v>2332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2333</v>
      </c>
      <c r="G46" t="s">
        <v>2334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2335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2777</v>
      </c>
      <c r="G48" t="s">
        <v>2336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2338</v>
      </c>
      <c r="G49" t="s">
        <v>2337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3073</v>
      </c>
      <c r="G50" t="s">
        <v>2339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2340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2341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2344</v>
      </c>
      <c r="G53" t="s">
        <v>2343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3074</v>
      </c>
      <c r="G54" t="s">
        <v>2342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2345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2346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2347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1759</v>
      </c>
      <c r="G58" t="s">
        <v>2348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2349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2486</v>
      </c>
      <c r="G60" t="s">
        <v>2350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2351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2352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2353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2354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2355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2356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2357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2358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2359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2360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2494</v>
      </c>
      <c r="G71" t="s">
        <v>2361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2362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2363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2364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2365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2366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2367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3075</v>
      </c>
      <c r="G78" t="s">
        <v>2368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2369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2370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3002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3001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2372</v>
      </c>
      <c r="G83" t="s">
        <v>2371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2373</v>
      </c>
      <c r="G84" t="s">
        <v>2374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2375</v>
      </c>
      <c r="G85" t="s">
        <v>2376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2377</v>
      </c>
      <c r="G86" t="s">
        <v>2378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2379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2380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2381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2382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2383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3003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2997</v>
      </c>
      <c r="G93" t="s">
        <v>2998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2384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2270</v>
      </c>
      <c r="G95" t="s">
        <v>2385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2386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2387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2388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2389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2390</v>
      </c>
      <c r="G100" t="s">
        <v>2391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2392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2995</v>
      </c>
      <c r="G102" t="s">
        <v>2393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2394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2395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2396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2397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2398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2399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2401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2400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2402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2266</v>
      </c>
      <c r="G112" t="s">
        <v>2403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2404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2405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2406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2407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2408</v>
      </c>
      <c r="G117" t="s">
        <v>2409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2411</v>
      </c>
      <c r="G118" t="s">
        <v>2410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2412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2265</v>
      </c>
      <c r="G120" t="s">
        <v>2413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2414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2415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2416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3005</v>
      </c>
      <c r="G124" t="s">
        <v>2417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2418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2419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3076</v>
      </c>
      <c r="G127" t="s">
        <v>1749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2420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2421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2422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3000</v>
      </c>
      <c r="G131" t="s">
        <v>2999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2423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2424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2425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2426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2427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2429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2430</v>
      </c>
      <c r="G138" t="s">
        <v>2431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2432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2433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2434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2435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2436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2437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2438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2996</v>
      </c>
      <c r="G146" t="s">
        <v>2439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2440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1757</v>
      </c>
      <c r="G148" t="s">
        <v>2441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2443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2442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2445</v>
      </c>
      <c r="G151" t="s">
        <v>2444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2446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2447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2448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2449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2450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2778</v>
      </c>
      <c r="G157" t="s">
        <v>2451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2452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2495</v>
      </c>
      <c r="G159" t="s">
        <v>2453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2496</v>
      </c>
      <c r="G160" t="s">
        <v>2454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2779</v>
      </c>
      <c r="G161" t="s">
        <v>3004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2455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2456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2457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2458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2459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3077</v>
      </c>
      <c r="G167" t="s">
        <v>2460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2461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2462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2463</v>
      </c>
      <c r="G170" t="s">
        <v>2464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2465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2466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2467</v>
      </c>
      <c r="G173" t="s">
        <v>2469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2468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2470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2471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2472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2474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2473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2476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2478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2479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2480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2427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2481</v>
      </c>
      <c r="G185" t="s">
        <v>2482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3078</v>
      </c>
      <c r="G186" t="s">
        <v>2483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2487</v>
      </c>
      <c r="G187" t="s">
        <v>2501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2502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2503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2497</v>
      </c>
      <c r="G190" t="s">
        <v>2475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2498</v>
      </c>
      <c r="G191" t="s">
        <v>2504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2505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2506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2507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2780</v>
      </c>
      <c r="G195" t="s">
        <v>2508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2509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2510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2511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2512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2513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2514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2515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2516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2517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2518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2519</v>
      </c>
      <c r="G206" t="s">
        <v>2520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2521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2522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2523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2524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2525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2526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2527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2528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2529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2530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2531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2532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2533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2534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2535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2536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2781</v>
      </c>
      <c r="G223" t="s">
        <v>2537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3012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2538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2539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2540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2541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2542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2543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2544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2545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2547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1718</v>
      </c>
      <c r="G234" t="s">
        <v>2548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2518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2549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2550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2551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2552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2553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2554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2555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2556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2558</v>
      </c>
      <c r="G244" t="s">
        <v>2557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2559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2560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2562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2561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2563</v>
      </c>
      <c r="G249" t="s">
        <v>2564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2565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2566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2567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2568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2569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2570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2571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2572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2573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2574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2575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2576</v>
      </c>
      <c r="G261" t="s">
        <v>2577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2578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2579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2580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2581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2582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2583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2460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2584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2585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2586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2587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2588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2589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2591</v>
      </c>
      <c r="G275" t="s">
        <v>2590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2592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2593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2594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2595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2596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2597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2598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2599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2600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2601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2602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2603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2604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2605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2606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2607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2608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2609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2268</v>
      </c>
      <c r="G294" t="s">
        <v>2610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2611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2612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2613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2614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2615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2616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2618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2619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2620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2623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2622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2625</v>
      </c>
      <c r="G306" t="s">
        <v>2621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2624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2627</v>
      </c>
      <c r="G308" t="s">
        <v>2626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2628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2629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2630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2631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2632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2633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2634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2617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2635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2636</v>
      </c>
      <c r="G318" t="s">
        <v>2637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2638</v>
      </c>
      <c r="G319" t="s">
        <v>2639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2640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2641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2642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2643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2645</v>
      </c>
      <c r="G324" t="s">
        <v>2644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2677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2678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2679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2680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2682</v>
      </c>
      <c r="G360" t="s">
        <v>2681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2683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2684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2685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2686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2687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2688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2689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2690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1749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2691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2692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2693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2694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2695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2696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2697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2698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2699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2700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2701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2702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1749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1749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2703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2704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2269</v>
      </c>
      <c r="G386" t="s">
        <v>2705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2706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2782</v>
      </c>
      <c r="G388" t="s">
        <v>2707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2708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2709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2488</v>
      </c>
      <c r="G391" t="s">
        <v>2710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2711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2712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2713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2714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2489</v>
      </c>
      <c r="G396" t="s">
        <v>2715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2716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2717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2718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2719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2720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2721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2490</v>
      </c>
      <c r="G403" t="s">
        <v>2722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2491</v>
      </c>
      <c r="G404" t="s">
        <v>2723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2724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2725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2726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2727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2728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2729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2730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2731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2732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2733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2734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2735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2736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2737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2738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2739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2740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2499</v>
      </c>
      <c r="G422" t="s">
        <v>2741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2742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2743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2267</v>
      </c>
      <c r="G425" t="s">
        <v>2744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2745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2746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2783</v>
      </c>
      <c r="G428" t="s">
        <v>2747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2748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2749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2750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2751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2752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2753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2754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2755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2757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2756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2758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2759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2760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2761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2762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2784</v>
      </c>
      <c r="G444" t="s">
        <v>2763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2764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2765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2766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2767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2768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2769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2770</v>
      </c>
      <c r="G451" t="s">
        <v>2771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2772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2794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2773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2785</v>
      </c>
      <c r="G455" t="s">
        <v>2774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2789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1758</v>
      </c>
      <c r="G457" t="s">
        <v>2790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2791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2792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2793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1749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2795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2796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2797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2798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2799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2800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2801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2802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2803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2804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2805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2806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2807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2808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2786</v>
      </c>
      <c r="G476" t="s">
        <v>2809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2810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2787</v>
      </c>
      <c r="G478" t="s">
        <v>2811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2812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2813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2814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2815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2816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2817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2818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2819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2820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2821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2822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2824</v>
      </c>
      <c r="G490" t="s">
        <v>2823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2825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2826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2827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2828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2593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2829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2830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2831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2832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2833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2834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2835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2836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2839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2843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2844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2845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2846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2847</v>
      </c>
      <c r="G509" t="s">
        <v>2848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2849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2850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2851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2852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2853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2855</v>
      </c>
      <c r="G515" t="s">
        <v>2854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2858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2856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2857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2859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2860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2861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2862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2863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2864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2492</v>
      </c>
      <c r="G525" t="s">
        <v>2865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2493</v>
      </c>
      <c r="G526" t="s">
        <v>2866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2867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2868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2869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2870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2871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2872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2873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2874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2875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2876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2877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2878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2879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2500</v>
      </c>
      <c r="G540" t="s">
        <v>2880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1749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2881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2882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2883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2884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2885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2886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2887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2888</v>
      </c>
      <c r="G549" t="s">
        <v>2889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1719</v>
      </c>
      <c r="G550" t="s">
        <v>2890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2891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2892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2893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2894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2897</v>
      </c>
      <c r="G555" t="s">
        <v>1749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2895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2896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2898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2899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2900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2788</v>
      </c>
      <c r="G561" t="s">
        <v>2901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2902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2903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3033</v>
      </c>
      <c r="G564" t="s">
        <v>2965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1530</v>
      </c>
      <c r="G565" t="s">
        <v>2966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1531</v>
      </c>
      <c r="G566" t="s">
        <v>2967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1532</v>
      </c>
      <c r="G567" t="s">
        <v>2968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1533</v>
      </c>
      <c r="G568" t="s">
        <v>1749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1534</v>
      </c>
      <c r="G569" t="s">
        <v>1749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1535</v>
      </c>
      <c r="G570" t="s">
        <v>2904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1536</v>
      </c>
      <c r="G571" t="s">
        <v>2905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3042</v>
      </c>
      <c r="G572" t="s">
        <v>1749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3057</v>
      </c>
      <c r="G573" t="s">
        <v>1749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1537</v>
      </c>
      <c r="G574" t="s">
        <v>1749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1538</v>
      </c>
      <c r="G575" t="s">
        <v>1749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1539</v>
      </c>
      <c r="G576" t="s">
        <v>1749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1540</v>
      </c>
      <c r="G577" t="s">
        <v>1749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1541</v>
      </c>
      <c r="G578" t="s">
        <v>1749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1542</v>
      </c>
      <c r="G579" t="s">
        <v>1749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1543</v>
      </c>
      <c r="G580" t="s">
        <v>1749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3043</v>
      </c>
      <c r="G581" t="s">
        <v>1749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3058</v>
      </c>
      <c r="G582" t="s">
        <v>1749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3044</v>
      </c>
      <c r="G583" t="s">
        <v>1749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3059</v>
      </c>
      <c r="G584" t="s">
        <v>1749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1544</v>
      </c>
      <c r="G585" t="s">
        <v>1749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1545</v>
      </c>
      <c r="G586" t="s">
        <v>1749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1546</v>
      </c>
      <c r="G587" t="s">
        <v>2937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1547</v>
      </c>
      <c r="G588" t="s">
        <v>2938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2271</v>
      </c>
      <c r="G589" t="s">
        <v>1749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1548</v>
      </c>
      <c r="G590" t="s">
        <v>2940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1549</v>
      </c>
      <c r="G591" t="s">
        <v>2939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1550</v>
      </c>
      <c r="G592" t="s">
        <v>2941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1551</v>
      </c>
      <c r="G593" t="s">
        <v>1749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1552</v>
      </c>
      <c r="G594" t="s">
        <v>2942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1553</v>
      </c>
      <c r="G595" t="s">
        <v>2943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1554</v>
      </c>
      <c r="G596" t="s">
        <v>2944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1555</v>
      </c>
      <c r="G597" t="s">
        <v>2945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1556</v>
      </c>
      <c r="G598" t="s">
        <v>2946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1557</v>
      </c>
      <c r="G599" t="s">
        <v>2947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1558</v>
      </c>
      <c r="G600" t="s">
        <v>2948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1559</v>
      </c>
      <c r="G601" t="s">
        <v>2949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1560</v>
      </c>
      <c r="G602" t="s">
        <v>2950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1561</v>
      </c>
      <c r="G603" t="s">
        <v>2951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1562</v>
      </c>
      <c r="G604" t="s">
        <v>2952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1563</v>
      </c>
      <c r="G605" t="s">
        <v>2953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1564</v>
      </c>
      <c r="G606" t="s">
        <v>2954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1565</v>
      </c>
      <c r="G607" t="s">
        <v>2955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1566</v>
      </c>
      <c r="G608" t="s">
        <v>2956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1567</v>
      </c>
      <c r="G609" t="s">
        <v>2957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1568</v>
      </c>
      <c r="G610" t="s">
        <v>2958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1569</v>
      </c>
      <c r="G611" t="s">
        <v>2959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1570</v>
      </c>
      <c r="G612" t="s">
        <v>2962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1571</v>
      </c>
      <c r="G613" t="s">
        <v>2963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3079</v>
      </c>
      <c r="G614" t="s">
        <v>1749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1572</v>
      </c>
      <c r="G615" t="s">
        <v>2960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1573</v>
      </c>
      <c r="G616" t="s">
        <v>2961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1574</v>
      </c>
      <c r="G617" t="s">
        <v>2964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1575</v>
      </c>
      <c r="G618" t="s">
        <v>2906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1576</v>
      </c>
      <c r="G619" t="s">
        <v>2907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1577</v>
      </c>
      <c r="G620" t="s">
        <v>2908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1578</v>
      </c>
      <c r="G621" t="s">
        <v>2909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1579</v>
      </c>
      <c r="G622" t="s">
        <v>2910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1580</v>
      </c>
      <c r="G623" t="s">
        <v>2911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1581</v>
      </c>
      <c r="G624" t="s">
        <v>2912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1582</v>
      </c>
      <c r="G625" t="s">
        <v>2913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1583</v>
      </c>
      <c r="G626" t="s">
        <v>2914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1584</v>
      </c>
      <c r="G627" t="s">
        <v>1749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1585</v>
      </c>
      <c r="G628" t="s">
        <v>2915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1586</v>
      </c>
      <c r="G629" t="s">
        <v>2921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1587</v>
      </c>
      <c r="G630" t="s">
        <v>2922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1588</v>
      </c>
      <c r="G631" t="s">
        <v>2923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1589</v>
      </c>
      <c r="G632" t="s">
        <v>2924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1590</v>
      </c>
      <c r="G633" t="s">
        <v>2925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1591</v>
      </c>
      <c r="G634" t="s">
        <v>2926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1592</v>
      </c>
      <c r="G635" t="s">
        <v>2927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1593</v>
      </c>
      <c r="G636" t="s">
        <v>2928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1594</v>
      </c>
      <c r="G637" t="s">
        <v>2929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1595</v>
      </c>
      <c r="G638" t="s">
        <v>2930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1596</v>
      </c>
      <c r="G639" t="s">
        <v>2931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1597</v>
      </c>
      <c r="G640" t="s">
        <v>2932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1598</v>
      </c>
      <c r="G641" t="s">
        <v>2933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1599</v>
      </c>
      <c r="G642" t="s">
        <v>2934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1600</v>
      </c>
      <c r="G643" t="s">
        <v>2935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1601</v>
      </c>
      <c r="G644" t="s">
        <v>2936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1602</v>
      </c>
      <c r="G645" t="s">
        <v>2916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1603</v>
      </c>
      <c r="G646" t="s">
        <v>2917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1604</v>
      </c>
      <c r="G647" t="s">
        <v>2918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1605</v>
      </c>
      <c r="G648" t="s">
        <v>2919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1606</v>
      </c>
      <c r="G649" t="s">
        <v>1749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1606</v>
      </c>
      <c r="G650" t="s">
        <v>1749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1607</v>
      </c>
      <c r="G651" t="s">
        <v>1749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1607</v>
      </c>
      <c r="G652" t="s">
        <v>1749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1608</v>
      </c>
      <c r="G653" t="s">
        <v>1749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1608</v>
      </c>
      <c r="G654" t="s">
        <v>1749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1609</v>
      </c>
      <c r="G655" t="s">
        <v>1749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1610</v>
      </c>
      <c r="G656" t="s">
        <v>1749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1611</v>
      </c>
      <c r="G657" t="s">
        <v>1749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1612</v>
      </c>
      <c r="G658" t="s">
        <v>1749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1613</v>
      </c>
      <c r="G659" t="s">
        <v>1749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3045</v>
      </c>
      <c r="G660" t="s">
        <v>1749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3060</v>
      </c>
      <c r="G661" t="s">
        <v>1749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1614</v>
      </c>
      <c r="G662" t="s">
        <v>1749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1615</v>
      </c>
      <c r="G663" t="s">
        <v>1749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1616</v>
      </c>
      <c r="G664" t="s">
        <v>1749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1617</v>
      </c>
      <c r="G665" t="s">
        <v>1749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1618</v>
      </c>
      <c r="G666" t="s">
        <v>1749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3046</v>
      </c>
      <c r="G667" t="s">
        <v>1749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3061</v>
      </c>
      <c r="G668" t="s">
        <v>1749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1619</v>
      </c>
      <c r="G669" t="s">
        <v>1749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1620</v>
      </c>
      <c r="G670" t="s">
        <v>1749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3047</v>
      </c>
      <c r="G671" t="s">
        <v>1749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3062</v>
      </c>
      <c r="G672" t="s">
        <v>1749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1621</v>
      </c>
      <c r="G673" t="s">
        <v>1749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1622</v>
      </c>
      <c r="G674" t="s">
        <v>1749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1623</v>
      </c>
      <c r="G675" t="s">
        <v>1749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3048</v>
      </c>
      <c r="G676" t="s">
        <v>1749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3063</v>
      </c>
      <c r="G677" t="s">
        <v>1749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1624</v>
      </c>
      <c r="G678" t="s">
        <v>1749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1625</v>
      </c>
      <c r="G679" t="s">
        <v>1749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3049</v>
      </c>
      <c r="G680" t="s">
        <v>1749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3064</v>
      </c>
      <c r="G681" t="s">
        <v>1749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3050</v>
      </c>
      <c r="G682" t="s">
        <v>1749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3065</v>
      </c>
      <c r="G683" t="s">
        <v>1749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1626</v>
      </c>
      <c r="G684" t="s">
        <v>1749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1627</v>
      </c>
      <c r="G685" t="s">
        <v>1749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1628</v>
      </c>
      <c r="G686" t="s">
        <v>1749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1629</v>
      </c>
      <c r="G687" t="s">
        <v>1749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1630</v>
      </c>
      <c r="G688" t="s">
        <v>1749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3051</v>
      </c>
      <c r="G689" t="s">
        <v>1749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3066</v>
      </c>
      <c r="G690" t="s">
        <v>1749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1631</v>
      </c>
      <c r="G691" t="s">
        <v>1749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1632</v>
      </c>
      <c r="G692" t="s">
        <v>1749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3052</v>
      </c>
      <c r="G693" t="s">
        <v>1749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3067</v>
      </c>
      <c r="G694" t="s">
        <v>1749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3053</v>
      </c>
      <c r="G695" t="s">
        <v>1749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3068</v>
      </c>
      <c r="G696" t="s">
        <v>1749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1633</v>
      </c>
      <c r="G697" t="s">
        <v>1749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1634</v>
      </c>
      <c r="G698" t="s">
        <v>1749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1635</v>
      </c>
      <c r="G699" t="s">
        <v>1749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1636</v>
      </c>
      <c r="G700" t="s">
        <v>1749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1637</v>
      </c>
      <c r="G701" t="s">
        <v>1749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1638</v>
      </c>
      <c r="G702" t="s">
        <v>1749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1639</v>
      </c>
      <c r="G703" t="s">
        <v>1749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3054</v>
      </c>
      <c r="G704" t="s">
        <v>1749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3069</v>
      </c>
      <c r="G705" t="s">
        <v>1749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1640</v>
      </c>
      <c r="G706" t="s">
        <v>1749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1641</v>
      </c>
      <c r="G707" t="s">
        <v>1749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3055</v>
      </c>
      <c r="G708" t="s">
        <v>1749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3070</v>
      </c>
      <c r="G709" t="s">
        <v>1749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3056</v>
      </c>
      <c r="G710" t="s">
        <v>1749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3071</v>
      </c>
      <c r="G711" t="s">
        <v>1749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1642</v>
      </c>
      <c r="G712" t="s">
        <v>1749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1643</v>
      </c>
      <c r="G713" t="s">
        <v>1749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1644</v>
      </c>
      <c r="G714" t="s">
        <v>1749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1645</v>
      </c>
      <c r="G715" t="s">
        <v>1749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1646</v>
      </c>
      <c r="G716" t="s">
        <v>1749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3030</v>
      </c>
      <c r="G717" t="s">
        <v>1749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3031</v>
      </c>
      <c r="G718" t="s">
        <v>1749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1647</v>
      </c>
      <c r="G719" t="s">
        <v>1749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1648</v>
      </c>
      <c r="G720" t="s">
        <v>1749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1649</v>
      </c>
      <c r="G721" t="s">
        <v>1749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1650</v>
      </c>
      <c r="G722" t="s">
        <v>1749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1651</v>
      </c>
      <c r="G723" t="s">
        <v>1749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1652</v>
      </c>
      <c r="G724" t="s">
        <v>1749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1653</v>
      </c>
      <c r="G725" t="s">
        <v>1749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1654</v>
      </c>
      <c r="G726" t="s">
        <v>1749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1655</v>
      </c>
      <c r="G727" t="s">
        <v>1749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1656</v>
      </c>
      <c r="G728" t="s">
        <v>1749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1657</v>
      </c>
      <c r="G729" t="s">
        <v>1749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1658</v>
      </c>
      <c r="G730" t="s">
        <v>1749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1659</v>
      </c>
      <c r="G731" t="s">
        <v>1749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1660</v>
      </c>
      <c r="G732" t="s">
        <v>1749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1661</v>
      </c>
      <c r="G733" t="s">
        <v>1749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1662</v>
      </c>
      <c r="G734" t="s">
        <v>1749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1663</v>
      </c>
      <c r="G735" t="s">
        <v>1749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1664</v>
      </c>
      <c r="G736" t="s">
        <v>1749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1665</v>
      </c>
      <c r="G737" t="s">
        <v>1749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1666</v>
      </c>
      <c r="G738" t="s">
        <v>1749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1667</v>
      </c>
      <c r="G739" t="s">
        <v>1749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1668</v>
      </c>
      <c r="G740" t="s">
        <v>1749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1669</v>
      </c>
      <c r="G741" t="s">
        <v>1749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1670</v>
      </c>
      <c r="G742" t="s">
        <v>1749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1671</v>
      </c>
      <c r="G743" t="s">
        <v>1749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1672</v>
      </c>
      <c r="G744" t="s">
        <v>1749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1673</v>
      </c>
      <c r="G745" t="s">
        <v>1749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1674</v>
      </c>
      <c r="G746" t="s">
        <v>1749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1675</v>
      </c>
      <c r="G747" t="s">
        <v>1749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1676</v>
      </c>
      <c r="G748" t="s">
        <v>1749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1677</v>
      </c>
      <c r="G749" t="s">
        <v>1749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1678</v>
      </c>
      <c r="G750" t="s">
        <v>1749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1679</v>
      </c>
      <c r="G751" t="s">
        <v>1749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1680</v>
      </c>
      <c r="G752" t="s">
        <v>1749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1681</v>
      </c>
      <c r="G753" t="s">
        <v>1749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1682</v>
      </c>
      <c r="G754" t="s">
        <v>1749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1683</v>
      </c>
      <c r="G755" t="s">
        <v>1749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1684</v>
      </c>
      <c r="G756" t="s">
        <v>1749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1685</v>
      </c>
      <c r="G757" t="s">
        <v>1749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1686</v>
      </c>
      <c r="G758" t="s">
        <v>1749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1687</v>
      </c>
      <c r="G759" t="s">
        <v>1749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1688</v>
      </c>
      <c r="G760" t="s">
        <v>1749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1689</v>
      </c>
      <c r="G761" t="s">
        <v>1749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1690</v>
      </c>
      <c r="G762" t="s">
        <v>1749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1691</v>
      </c>
      <c r="G763" t="s">
        <v>1749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1692</v>
      </c>
      <c r="G764" t="s">
        <v>1749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1693</v>
      </c>
      <c r="G765" t="s">
        <v>1749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1694</v>
      </c>
      <c r="G766" t="s">
        <v>1749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1695</v>
      </c>
      <c r="G767" t="s">
        <v>1749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1696</v>
      </c>
      <c r="G768" t="s">
        <v>1749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1697</v>
      </c>
      <c r="G769" t="s">
        <v>1749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1698</v>
      </c>
      <c r="G770" t="s">
        <v>1749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1699</v>
      </c>
      <c r="G771" t="s">
        <v>1749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1700</v>
      </c>
      <c r="G772" t="s">
        <v>1749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1701</v>
      </c>
      <c r="G773" t="s">
        <v>1749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1702</v>
      </c>
      <c r="G774" t="s">
        <v>1749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1703</v>
      </c>
      <c r="G775" t="s">
        <v>1749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1704</v>
      </c>
      <c r="G776" t="s">
        <v>1749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1705</v>
      </c>
      <c r="G777" t="s">
        <v>1749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1706</v>
      </c>
      <c r="G778" t="s">
        <v>1749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1707</v>
      </c>
      <c r="G779" t="s">
        <v>1749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1708</v>
      </c>
      <c r="G780" t="s">
        <v>1749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1709</v>
      </c>
      <c r="G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1710</v>
      </c>
      <c r="G782" t="s">
        <v>1749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1711</v>
      </c>
      <c r="G783" t="s">
        <v>1749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1712</v>
      </c>
      <c r="G784" t="s">
        <v>1749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1713</v>
      </c>
      <c r="G785" t="s">
        <v>1749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1714</v>
      </c>
      <c r="G786" t="s">
        <v>1749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1715</v>
      </c>
      <c r="G787" t="s">
        <v>1749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1716</v>
      </c>
      <c r="G788" t="s">
        <v>1749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1717</v>
      </c>
      <c r="G789" t="s">
        <v>1749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1753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1754</v>
      </c>
      <c r="G790" t="s">
        <v>1749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1756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1755</v>
      </c>
      <c r="G791" t="s">
        <v>2428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2842</v>
      </c>
      <c r="B792" s="31" t="str">
        <f>_xlfn.TEXTAFTER(CONTROL[[#This Row],[VEHIDCODE]],"_")</f>
        <v>Japan_JR_Freight_M250</v>
      </c>
      <c r="C792" t="s">
        <v>2840</v>
      </c>
      <c r="D792" t="s">
        <v>2837</v>
      </c>
      <c r="E792">
        <v>19000</v>
      </c>
      <c r="F792" t="s">
        <v>2841</v>
      </c>
      <c r="G792" t="s">
        <v>2920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2986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3008</v>
      </c>
      <c r="G793" t="s">
        <v>2987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2988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2990</v>
      </c>
      <c r="G794" t="s">
        <v>2282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2992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3007</v>
      </c>
      <c r="G795" t="s">
        <v>2991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2994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3006</v>
      </c>
      <c r="G796" t="s">
        <v>2993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ISNUMBER(_xlfn.XMATCH(CONTROL[[#This Row],[VEHIDCODE]],GRAPHICS_PROPERTIES[VEHIDCODE],0))</f>
        <v>1</v>
      </c>
      <c r="N796" s="31" t="str">
        <f>"item_"&amp;CONTROL[[#This Row],[VEHIDCODE]]</f>
        <v>item_steam_Ivory_Coast_Golwe_2_6_0_0_6_2T</v>
      </c>
      <c r="O796" s="31" t="str">
        <f>"str_"&amp;CONTROL[[#This Row],[VEHIDCODE]]</f>
        <v>str_steam_Ivory_Coast_Golwe_2_6_0_0_6_2T</v>
      </c>
    </row>
    <row r="797" spans="1:15">
      <c r="A797" t="s">
        <v>3011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3009</v>
      </c>
      <c r="G797" t="s">
        <v>3010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ISNUMBER(_xlfn.XMATCH(CONTROL[[#This Row],[VEHIDCODE]],GRAPHICS_PROPERTIES[VEHIDCODE],0))</f>
        <v>1</v>
      </c>
      <c r="N797" s="31" t="str">
        <f>"item_"&amp;CONTROL[[#This Row],[VEHIDCODE]]</f>
        <v>item_diesel_Ghana_Railway_Corporation_Class_TT12</v>
      </c>
      <c r="O797" s="31" t="str">
        <f>"str_"&amp;CONTROL[[#This Row],[VEHIDCODE]]</f>
        <v>str_diesel_Ghana_Railway_Corporation_Class_TT12</v>
      </c>
    </row>
    <row r="798" spans="1:15">
      <c r="A798" t="s">
        <v>3013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3014</v>
      </c>
      <c r="G798" t="s">
        <v>3015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ISNUMBER(_xlfn.XMATCH(CONTROL[[#This Row],[VEHIDCODE]],GRAPHICS_PROPERTIES[VEHIDCODE],0))</f>
        <v>1</v>
      </c>
      <c r="N798" s="31" t="str">
        <f>"item_"&amp;CONTROL[[#This Row],[VEHIDCODE]]</f>
        <v>item_diesel_Sierra_Leone_LAMCO_301_Series</v>
      </c>
      <c r="O798" s="31" t="str">
        <f>"str_"&amp;CONTROL[[#This Row],[VEHIDCODE]]</f>
        <v>str_diesel_Sierra_Leone_LAMCO_301_Series</v>
      </c>
    </row>
    <row r="799" spans="1:15">
      <c r="A799" t="s">
        <v>3016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3018</v>
      </c>
      <c r="G799" t="s">
        <v>3017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ISNUMBER(_xlfn.XMATCH(CONTROL[[#This Row],[VEHIDCODE]],GRAPHICS_PROPERTIES[VEHIDCODE],0))</f>
        <v>1</v>
      </c>
      <c r="N799" s="31" t="str">
        <f>"item_"&amp;CONTROL[[#This Row],[VEHIDCODE]]</f>
        <v>item_electric_Congo_Type_2450_Acec_Charleroi_Zaire_Electric</v>
      </c>
      <c r="O799" s="31" t="str">
        <f>"str_"&amp;CONTROL[[#This Row],[VEHIDCODE]]</f>
        <v>str_electric_Congo_Type_2450_Acec_Charleroi_Zaire_Electric</v>
      </c>
    </row>
    <row r="800" spans="1:15">
      <c r="A800" t="s">
        <v>3019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3021</v>
      </c>
      <c r="G800" t="s">
        <v>3020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ISNUMBER(_xlfn.XMATCH(CONTROL[[#This Row],[VEHIDCODE]],GRAPHICS_PROPERTIES[VEHIDCODE],0))</f>
        <v>1</v>
      </c>
      <c r="N800" s="31" t="str">
        <f>"item_"&amp;CONTROL[[#This Row],[VEHIDCODE]]</f>
        <v>item_diesel_Congo_Alstom_BB_BB</v>
      </c>
      <c r="O800" s="31" t="str">
        <f>"str_"&amp;CONTROL[[#This Row],[VEHIDCODE]]</f>
        <v>str_diesel_Congo_Alstom_BB_BB</v>
      </c>
    </row>
    <row r="801" spans="1:15">
      <c r="A801" t="s">
        <v>3022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3023</v>
      </c>
      <c r="G801" t="s">
        <v>1749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ISNUMBER(_xlfn.XMATCH(CONTROL[[#This Row],[VEHIDCODE]],GRAPHICS_PROPERTIES[VEHIDCODE],0))</f>
        <v>1</v>
      </c>
      <c r="N801" s="31" t="str">
        <f>"item_"&amp;CONTROL[[#This Row],[VEHIDCODE]]</f>
        <v>item_diesel_Zimbabwe_Sorefame_DE8</v>
      </c>
      <c r="O801" s="31" t="str">
        <f>"str_"&amp;CONTROL[[#This Row],[VEHIDCODE]]</f>
        <v>str_diesel_Zimbabwe_Sorefame_DE8</v>
      </c>
    </row>
    <row r="802" spans="1:15">
      <c r="A802" t="s">
        <v>3024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3025</v>
      </c>
      <c r="G802" t="s">
        <v>3026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ISNUMBER(_xlfn.XMATCH(CONTROL[[#This Row],[VEHIDCODE]],GRAPHICS_PROPERTIES[VEHIDCODE],0))</f>
        <v>1</v>
      </c>
      <c r="N802" s="31" t="str">
        <f>"item_"&amp;CONTROL[[#This Row],[VEHIDCODE]]</f>
        <v>item_diesel_Ivory_Coast_GMD_GT22LC2</v>
      </c>
      <c r="O802" s="31" t="str">
        <f>"str_"&amp;CONTROL[[#This Row],[VEHIDCODE]]</f>
        <v>str_diesel_Ivory_Coast_GMD_GT22LC2</v>
      </c>
    </row>
    <row r="803" spans="1:15">
      <c r="A803" t="s">
        <v>3027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3029</v>
      </c>
      <c r="G803" t="s">
        <v>3028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ISNUMBER(_xlfn.XMATCH(CONTROL[[#This Row],[VEHIDCODE]],GRAPHICS_PROPERTIES[VEHIDCODE],0))</f>
        <v>1</v>
      </c>
      <c r="N803" s="31" t="str">
        <f>"item_"&amp;CONTROL[[#This Row],[VEHIDCODE]]</f>
        <v>item_electric_Tanzania_TRC_E6800</v>
      </c>
      <c r="O803" s="31" t="str">
        <f>"str_"&amp;CONTROL[[#This Row],[VEHIDCODE]]</f>
        <v>str_electric_Tanzania_TRC_E6800</v>
      </c>
    </row>
    <row r="804" spans="1:15">
      <c r="A804" s="2" t="s">
        <v>3032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3034</v>
      </c>
      <c r="G804" t="s">
        <v>2965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ISNUMBER(_xlfn.XMATCH(CONTROL[[#This Row],[VEHIDCODE]],GRAPHICS_PROPERTIES[VEHIDCODE],0))</f>
        <v>1</v>
      </c>
      <c r="N804" s="31" t="str">
        <f>"item_"&amp;CONTROL[[#This Row],[VEHIDCODE]]</f>
        <v>item_mtro_USA_Brooklyn_Union_Gate_Car</v>
      </c>
      <c r="O804" s="31" t="str">
        <f>"str_"&amp;CONTROL[[#This Row],[VEHIDCODE]]</f>
        <v>str_mtro_USA_Brooklyn_Union_Gate_Car</v>
      </c>
    </row>
  </sheetData>
  <conditionalFormatting sqref="H2:H804">
    <cfRule type="containsText" dxfId="5" priority="3" operator="containsText" text="FALSE">
      <formula>NOT(ISERROR(SEARCH("FALSE",H2)))</formula>
    </cfRule>
  </conditionalFormatting>
  <conditionalFormatting sqref="I1:I804">
    <cfRule type="containsText" dxfId="4" priority="7" operator="containsText" text="FALSE">
      <formula>NOT(ISERROR(SEARCH("FALSE",I1)))</formula>
    </cfRule>
  </conditionalFormatting>
  <conditionalFormatting sqref="J1:O795 K796:O803 J804:O804 K805:O1048576">
    <cfRule type="cellIs" dxfId="3" priority="5" operator="equal">
      <formula>FALSE</formula>
    </cfRule>
  </conditionalFormatting>
  <conditionalFormatting sqref="F1:F1048576">
    <cfRule type="containsText" dxfId="1" priority="2" operator="containsText" text="(">
      <formula>NOT(ISERROR(SEARCH("(",F1)))</formula>
    </cfRule>
    <cfRule type="containsText" dxfId="2" priority="1" operator="containsText" text=")">
      <formula>NOT(ISERROR(SEARCH(")",F1)))</formula>
    </cfRule>
  </conditionalFormatting>
  <dataValidations count="1">
    <dataValidation type="list" allowBlank="1" showInputMessage="1" showErrorMessage="1" sqref="D2:D80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4"/>
  <sheetViews>
    <sheetView zoomScaleNormal="100" workbookViewId="0">
      <pane xSplit="1" ySplit="1" topLeftCell="Z2" activePane="bottomRight" state="frozen"/>
      <selection pane="topRight" activeCell="B1" sqref="B1"/>
      <selection pane="bottomLeft" activeCell="A2" sqref="A2"/>
      <selection pane="bottomRight" activeCell="AE3" sqref="AE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1760</v>
      </c>
      <c r="E1" s="1" t="s">
        <v>2272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2279</v>
      </c>
      <c r="R1" s="28" t="s">
        <v>2280</v>
      </c>
      <c r="S1" s="28" t="s">
        <v>2281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2278</v>
      </c>
      <c r="AF1" s="1" t="s">
        <v>2546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1930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1991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1991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1780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1991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1830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1961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1991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1991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1780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1991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1991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1991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1930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1770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1991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1950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1950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1991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1991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1991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1768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1780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1861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1991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1930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1770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1950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1950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1991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1861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1991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1770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1780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1991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1991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1991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1991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1791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1991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1890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1780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1991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1830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1791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1791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1950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1780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1950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1770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1950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1991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1991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1830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1950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1991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1770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1780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1950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1950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1991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1991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1991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1861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1791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1861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1881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1861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1991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1860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1770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1791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1791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1770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1770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1950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1950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1991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1770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1991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1991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1880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1830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1791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1950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1950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1991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1991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1950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1991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1991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1950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1991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1950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1770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1791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1991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1991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1860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1991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1991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1961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1780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1991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1991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1991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1991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1991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1991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1881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1930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1991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1991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1991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1780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1950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1961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1841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1770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1991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1830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1830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1991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1991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1991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1991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1991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3036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3039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3037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3040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3038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3041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1770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1930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1791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1930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1930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1950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1950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1950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1950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1791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1950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1950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1830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1950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1830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1950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1950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1950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1950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3036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3039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3036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3039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3038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3041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3036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3039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3038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3041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3037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3040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3036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3039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3038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3041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3037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3040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3036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3039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3038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3041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3037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3040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9" s="2" t="b">
        <v>0</v>
      </c>
      <c r="AX789"/>
      <c r="AY789"/>
      <c r="AZ789"/>
    </row>
    <row r="790" spans="1:52">
      <c r="A790" s="2" t="s">
        <v>1753</v>
      </c>
      <c r="B790">
        <v>1978</v>
      </c>
      <c r="C790">
        <v>0</v>
      </c>
      <c r="D790" t="s">
        <v>2264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1756</v>
      </c>
      <c r="B791">
        <v>1917</v>
      </c>
      <c r="C791">
        <v>0</v>
      </c>
      <c r="D791" t="s">
        <v>1800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1" s="2" t="b">
        <v>0</v>
      </c>
      <c r="AW791" s="9"/>
      <c r="AX791" s="10"/>
      <c r="AY791" s="11"/>
      <c r="AZ791"/>
    </row>
    <row r="792" spans="1:52">
      <c r="A792" s="2" t="s">
        <v>2842</v>
      </c>
      <c r="B792">
        <v>2003</v>
      </c>
      <c r="C792">
        <v>1</v>
      </c>
      <c r="D792" t="s">
        <v>1873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2986</v>
      </c>
      <c r="B793">
        <v>1880</v>
      </c>
      <c r="C793">
        <v>0</v>
      </c>
      <c r="D793" t="s">
        <v>1817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2988</v>
      </c>
      <c r="B794">
        <v>1905</v>
      </c>
      <c r="C794">
        <v>0</v>
      </c>
      <c r="D794" t="s">
        <v>1772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2992</v>
      </c>
      <c r="B795">
        <v>1923</v>
      </c>
      <c r="C795">
        <v>0</v>
      </c>
      <c r="D795" t="s">
        <v>1918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2994</v>
      </c>
      <c r="B796">
        <v>1930</v>
      </c>
      <c r="C796">
        <v>0</v>
      </c>
      <c r="D796" t="s">
        <v>1804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6" s="2" t="b">
        <v>0</v>
      </c>
    </row>
    <row r="797" spans="1:52">
      <c r="A797" t="s">
        <v>3011</v>
      </c>
      <c r="B797">
        <v>1959</v>
      </c>
      <c r="C797">
        <v>0</v>
      </c>
      <c r="D797" t="s">
        <v>1841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991</v>
      </c>
      <c r="AC797" s="41" t="s">
        <v>992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3013</v>
      </c>
      <c r="B798">
        <v>1962</v>
      </c>
      <c r="C798">
        <v>0</v>
      </c>
      <c r="D798" t="s">
        <v>1962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991</v>
      </c>
      <c r="AC798" s="41" t="s">
        <v>992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3016</v>
      </c>
      <c r="B799">
        <v>1963</v>
      </c>
      <c r="C799">
        <v>0</v>
      </c>
      <c r="D799" t="s">
        <v>1800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3019</v>
      </c>
      <c r="B800">
        <v>1970</v>
      </c>
      <c r="C800">
        <v>0</v>
      </c>
      <c r="D800" t="s">
        <v>1800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3022</v>
      </c>
      <c r="B801">
        <v>1974</v>
      </c>
      <c r="C801">
        <v>0</v>
      </c>
      <c r="D801" t="s">
        <v>2007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3024</v>
      </c>
      <c r="B802">
        <v>1981</v>
      </c>
      <c r="C802">
        <v>0</v>
      </c>
      <c r="D802" t="s">
        <v>1804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3027</v>
      </c>
      <c r="B803">
        <v>2024</v>
      </c>
      <c r="C803">
        <v>0</v>
      </c>
      <c r="D803" t="s">
        <v>1987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995</v>
      </c>
      <c r="AC803" s="9" t="s">
        <v>996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3032</v>
      </c>
      <c r="B804">
        <v>1880</v>
      </c>
      <c r="C804">
        <v>1</v>
      </c>
      <c r="D804" t="s">
        <v>1991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993</v>
      </c>
      <c r="AC804" s="9" t="s">
        <v>994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</sheetData>
  <phoneticPr fontId="18" type="noConversion"/>
  <conditionalFormatting sqref="Q1:S804 R796:T799 R802:T803 R805:T1048576">
    <cfRule type="cellIs" dxfId="20" priority="17" operator="equal">
      <formula>0</formula>
    </cfRule>
  </conditionalFormatting>
  <conditionalFormatting sqref="Y1:AA798">
    <cfRule type="cellIs" dxfId="19" priority="8" operator="equal">
      <formula>FALSE</formula>
    </cfRule>
  </conditionalFormatting>
  <conditionalFormatting sqref="Y800:AA802">
    <cfRule type="cellIs" dxfId="18" priority="4" operator="equal">
      <formula>FALSE</formula>
    </cfRule>
  </conditionalFormatting>
  <conditionalFormatting sqref="Y804:AA804">
    <cfRule type="cellIs" dxfId="17" priority="1" operator="equal">
      <formula>FALSE</formula>
    </cfRule>
  </conditionalFormatting>
  <conditionalFormatting sqref="Z803:AA803">
    <cfRule type="cellIs" dxfId="16" priority="3" operator="equal">
      <formula>FALSE</formula>
    </cfRule>
  </conditionalFormatting>
  <conditionalFormatting sqref="AF2:AF804">
    <cfRule type="containsText" dxfId="15" priority="2" operator="containsText" text="FALSE">
      <formula>NOT(ISERROR(SEARCH("FALSE",AF2)))</formula>
    </cfRule>
  </conditionalFormatting>
  <conditionalFormatting sqref="AM790:AO791">
    <cfRule type="cellIs" dxfId="14" priority="18" operator="equal">
      <formula>FALSE</formula>
    </cfRule>
  </conditionalFormatting>
  <conditionalFormatting sqref="AN792:AP1048576">
    <cfRule type="cellIs" dxfId="13" priority="13" operator="equal">
      <formula>FALSE</formula>
    </cfRule>
  </conditionalFormatting>
  <dataValidations count="16">
    <dataValidation type="whole" allowBlank="1" showInputMessage="1" showErrorMessage="1" sqref="C2:C804" xr:uid="{C9FB6BB5-B3CF-40B9-A6CD-3E0B48B95DF5}">
      <formula1>0</formula1>
      <formula2>1</formula2>
    </dataValidation>
    <dataValidation type="whole" operator="greaterThanOrEqual" allowBlank="1" showInputMessage="1" showErrorMessage="1" sqref="M784:M795 H2:H804 M2:M725 O2:P804 M800:M801 V2:X804 M804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4 Q2:T804" xr:uid="{F342F512-E760-4CD3-801B-E5B9CF70B7FD}">
      <formula1>0</formula1>
    </dataValidation>
    <dataValidation type="whole" allowBlank="1" showInputMessage="1" showErrorMessage="1" sqref="U2:U795 U797:U798 U800:U802 U804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3 U805:U1048576" xr:uid="{2D963A9D-C2E3-4020-ABFA-FD04EDA25119}"/>
    <dataValidation type="list" allowBlank="1" showInputMessage="1" showErrorMessage="1" sqref="AC2:AC804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4" xr:uid="{EB4398F4-10E4-463B-A52E-1F5C116A99EF}">
      <formula1>INDIRECT("VALID_ENGINE_CLASS[ENGINE_CLASS]")</formula1>
    </dataValidation>
    <dataValidation type="list" operator="greaterThanOrEqual" allowBlank="1" showInputMessage="1" showErrorMessage="1" sqref="AB2:AB804" xr:uid="{D83E915C-A301-4BE3-9E12-6790BD0E2284}">
      <formula1>INDIRECT("VALID_PURCHASECOSTVALUE[PURCHASECOSTVALUE]")</formula1>
    </dataValidation>
    <dataValidation type="list" allowBlank="1" showInputMessage="1" showErrorMessage="1" sqref="D2:D804" xr:uid="{33652263-03A3-437A-966A-BE8C0F8BE076}">
      <formula1>INDIRECT("COUNTRIES[COUNTRY_DESCRIPTION]")</formula1>
    </dataValidation>
    <dataValidation type="list" allowBlank="1" showInputMessage="1" showErrorMessage="1" sqref="E2:E804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4" xr:uid="{F2DE25A7-EAF4-4DA6-85FD-9F7B7EE18717}">
      <formula1>"TRUE,FALSE"</formula1>
    </dataValidation>
    <dataValidation type="list" allowBlank="1" showInputMessage="1" showErrorMessage="1" sqref="Y2:Z795 Y797:Z798 Y800:Z802 Z803 Y804:Z804" xr:uid="{A6AEDF15-D52E-4DEA-AD86-7127D84AEEAD}">
      <formula1>INDIRECT("VALID_REGIONS[VALID_REGIONS]")</formula1>
    </dataValidation>
    <dataValidation type="list" allowBlank="1" showInputMessage="1" showErrorMessage="1" sqref="AA800:AA804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AA800:AA804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4"/>
  <sheetViews>
    <sheetView zoomScaleNormal="10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2842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2986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2988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2992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2994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3011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3013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3016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3019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3022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3024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3027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3032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12" priority="5" operator="equal">
      <formula>FALSE</formula>
    </cfRule>
  </conditionalFormatting>
  <dataValidations count="1">
    <dataValidation type="list" allowBlank="1" showInputMessage="1" showErrorMessage="1" sqref="AO790:AS1048576 AH790:AK1048576 S2:AF1048576 B2:R804 K805:R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4"/>
  <sheetViews>
    <sheetView zoomScaleNormal="100" workbookViewId="0">
      <pane xSplit="1" ySplit="1" topLeftCell="B551" activePane="bottomRight" state="frozen"/>
      <selection pane="topRight" activeCell="B1" sqref="B1"/>
      <selection pane="bottomLeft" activeCell="A2" sqref="A2"/>
      <selection pane="bottomRight" activeCell="E564" sqref="E56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C2" t="b">
        <v>0</v>
      </c>
      <c r="D2" s="2" t="b">
        <v>0</v>
      </c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C3" t="b">
        <v>0</v>
      </c>
      <c r="D3" s="2" t="b">
        <v>0</v>
      </c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C4" t="b">
        <v>0</v>
      </c>
      <c r="D4" s="2" t="b">
        <v>0</v>
      </c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C5" t="b">
        <v>0</v>
      </c>
      <c r="D5" s="2" t="b">
        <v>0</v>
      </c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C6" t="b">
        <v>0</v>
      </c>
      <c r="D6" s="2" t="b">
        <v>0</v>
      </c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C7" t="b">
        <v>0</v>
      </c>
      <c r="D7" s="2" t="b">
        <v>0</v>
      </c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C8" t="b">
        <v>0</v>
      </c>
      <c r="D8" s="2" t="b">
        <v>0</v>
      </c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C9" t="b">
        <v>0</v>
      </c>
      <c r="D9" s="2" t="b">
        <v>0</v>
      </c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C10" t="b">
        <v>0</v>
      </c>
      <c r="D10" s="2" t="b">
        <v>0</v>
      </c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C11" t="b">
        <v>0</v>
      </c>
      <c r="D11" s="2" t="b">
        <v>0</v>
      </c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C12" t="b">
        <v>0</v>
      </c>
      <c r="D12" s="2" t="b">
        <v>0</v>
      </c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C13" t="b">
        <v>0</v>
      </c>
      <c r="D13" s="2" t="b">
        <v>0</v>
      </c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C14" t="b">
        <v>0</v>
      </c>
      <c r="D14" s="2" t="b">
        <v>0</v>
      </c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C15" t="b">
        <v>0</v>
      </c>
      <c r="D15" s="2" t="b">
        <v>0</v>
      </c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C16" t="b">
        <v>0</v>
      </c>
      <c r="D16" s="2" t="b">
        <v>0</v>
      </c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C17" t="b">
        <v>0</v>
      </c>
      <c r="D17" s="2" t="b">
        <v>0</v>
      </c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C18" t="b">
        <v>0</v>
      </c>
      <c r="D18" s="2" t="b">
        <v>0</v>
      </c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C19" t="b">
        <v>0</v>
      </c>
      <c r="D19" s="2" t="b">
        <v>0</v>
      </c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C20" t="b">
        <v>0</v>
      </c>
      <c r="D20" s="2" t="b">
        <v>0</v>
      </c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C21" t="b">
        <v>0</v>
      </c>
      <c r="D21" s="2" t="b">
        <v>0</v>
      </c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C22" t="b">
        <v>0</v>
      </c>
      <c r="D22" s="2" t="b">
        <v>0</v>
      </c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C23" t="b">
        <v>0</v>
      </c>
      <c r="D23" s="2" t="b">
        <v>0</v>
      </c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C24" t="b">
        <v>0</v>
      </c>
      <c r="D24" s="2" t="b">
        <v>0</v>
      </c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C25" t="b">
        <v>0</v>
      </c>
      <c r="D25" s="2" t="b">
        <v>0</v>
      </c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C26" t="b">
        <v>0</v>
      </c>
      <c r="D26" s="2" t="b">
        <v>0</v>
      </c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C27" t="b">
        <v>0</v>
      </c>
      <c r="D27" s="2" t="b">
        <v>0</v>
      </c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C28" t="b">
        <v>0</v>
      </c>
      <c r="D28" s="2" t="b">
        <v>0</v>
      </c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C29" t="b">
        <v>0</v>
      </c>
      <c r="D29" s="2" t="b">
        <v>0</v>
      </c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C30" t="b">
        <v>0</v>
      </c>
      <c r="D30" s="2" t="b">
        <v>0</v>
      </c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C31" t="b">
        <v>0</v>
      </c>
      <c r="D31" s="2" t="b">
        <v>0</v>
      </c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C32" t="b">
        <v>0</v>
      </c>
      <c r="D32" s="2" t="b">
        <v>0</v>
      </c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C33" t="b">
        <v>0</v>
      </c>
      <c r="D33" s="2" t="b">
        <v>0</v>
      </c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C34" t="b">
        <v>0</v>
      </c>
      <c r="D34" s="2" t="b">
        <v>0</v>
      </c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C35" t="b">
        <v>0</v>
      </c>
      <c r="D35" s="2" t="b">
        <v>0</v>
      </c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C36" t="b">
        <v>0</v>
      </c>
      <c r="D36" s="2" t="b">
        <v>0</v>
      </c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C37" t="b">
        <v>0</v>
      </c>
      <c r="D37" s="2" t="b">
        <v>0</v>
      </c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C38" t="b">
        <v>0</v>
      </c>
      <c r="D38" s="2" t="b">
        <v>0</v>
      </c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C39" t="b">
        <v>0</v>
      </c>
      <c r="D39" s="2" t="b">
        <v>0</v>
      </c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C40" t="b">
        <v>0</v>
      </c>
      <c r="D40" s="2" t="b">
        <v>0</v>
      </c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C41" t="b">
        <v>0</v>
      </c>
      <c r="D41" s="2" t="b">
        <v>0</v>
      </c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C42" t="b">
        <v>0</v>
      </c>
      <c r="D42" s="2" t="b">
        <v>0</v>
      </c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C43" t="b">
        <v>0</v>
      </c>
      <c r="D43" s="2" t="b">
        <v>0</v>
      </c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C44" t="b">
        <v>0</v>
      </c>
      <c r="D44" s="2" t="b">
        <v>0</v>
      </c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C45" t="b">
        <v>0</v>
      </c>
      <c r="D45" s="2" t="b">
        <v>0</v>
      </c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C46" t="b">
        <v>0</v>
      </c>
      <c r="D46" s="2" t="b">
        <v>0</v>
      </c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C47" t="b">
        <v>0</v>
      </c>
      <c r="D47" s="2" t="b">
        <v>0</v>
      </c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C48" t="b">
        <v>0</v>
      </c>
      <c r="D48" s="2" t="b">
        <v>0</v>
      </c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C49" t="b">
        <v>0</v>
      </c>
      <c r="D49" s="2" t="b">
        <v>0</v>
      </c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C50" t="b">
        <v>0</v>
      </c>
      <c r="D50" s="2" t="b">
        <v>0</v>
      </c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C51" t="b">
        <v>0</v>
      </c>
      <c r="D51" s="2" t="b">
        <v>0</v>
      </c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C52" t="b">
        <v>0</v>
      </c>
      <c r="D52" s="2" t="b">
        <v>0</v>
      </c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C53" t="b">
        <v>0</v>
      </c>
      <c r="D53" s="2" t="b">
        <v>0</v>
      </c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C54" t="b">
        <v>0</v>
      </c>
      <c r="D54" s="2" t="b">
        <v>0</v>
      </c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C55" t="b">
        <v>0</v>
      </c>
      <c r="D55" s="2" t="b">
        <v>0</v>
      </c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C56" t="b">
        <v>0</v>
      </c>
      <c r="D56" s="2" t="b">
        <v>0</v>
      </c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C57" t="b">
        <v>0</v>
      </c>
      <c r="D57" s="2" t="b">
        <v>0</v>
      </c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C58" t="b">
        <v>0</v>
      </c>
      <c r="D58" s="2" t="b">
        <v>0</v>
      </c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C59" t="b">
        <v>0</v>
      </c>
      <c r="D59" s="2" t="b">
        <v>0</v>
      </c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C60" t="b">
        <v>0</v>
      </c>
      <c r="D60" s="2" t="b">
        <v>0</v>
      </c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C61" t="b">
        <v>0</v>
      </c>
      <c r="D61" s="2" t="b">
        <v>0</v>
      </c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C62" t="b">
        <v>0</v>
      </c>
      <c r="D62" s="2" t="b">
        <v>0</v>
      </c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C63" t="b">
        <v>0</v>
      </c>
      <c r="D63" s="2" t="b">
        <v>0</v>
      </c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C64" t="b">
        <v>0</v>
      </c>
      <c r="D64" s="2" t="b">
        <v>0</v>
      </c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C65" t="b">
        <v>0</v>
      </c>
      <c r="D65" s="2" t="b">
        <v>0</v>
      </c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C66" t="b">
        <v>0</v>
      </c>
      <c r="D66" s="2" t="b">
        <v>0</v>
      </c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C67" t="b">
        <v>0</v>
      </c>
      <c r="D67" s="2" t="b">
        <v>0</v>
      </c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C68" t="b">
        <v>0</v>
      </c>
      <c r="D68" s="2" t="b">
        <v>0</v>
      </c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C69" t="b">
        <v>0</v>
      </c>
      <c r="D69" s="2" t="b">
        <v>0</v>
      </c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C70" t="b">
        <v>0</v>
      </c>
      <c r="D70" s="2" t="b">
        <v>0</v>
      </c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C71" t="b">
        <v>0</v>
      </c>
      <c r="D71" s="2" t="b">
        <v>0</v>
      </c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C72" t="b">
        <v>0</v>
      </c>
      <c r="D72" s="2" t="b">
        <v>0</v>
      </c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C73" t="b">
        <v>0</v>
      </c>
      <c r="D73" s="2" t="b">
        <v>0</v>
      </c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C74" t="b">
        <v>0</v>
      </c>
      <c r="D74" s="2" t="b">
        <v>0</v>
      </c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C75" t="b">
        <v>0</v>
      </c>
      <c r="D75" s="2" t="b">
        <v>0</v>
      </c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C76" t="b">
        <v>0</v>
      </c>
      <c r="D76" s="2" t="b">
        <v>0</v>
      </c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C77" t="b">
        <v>0</v>
      </c>
      <c r="D77" s="2" t="b">
        <v>0</v>
      </c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C78" t="b">
        <v>0</v>
      </c>
      <c r="D78" s="2" t="b">
        <v>0</v>
      </c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C79" t="b">
        <v>0</v>
      </c>
      <c r="D79" s="2" t="b">
        <v>0</v>
      </c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C80" t="b">
        <v>0</v>
      </c>
      <c r="D80" s="2" t="b">
        <v>0</v>
      </c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C81" t="b">
        <v>0</v>
      </c>
      <c r="D81" s="2" t="b">
        <v>0</v>
      </c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C82" t="b">
        <v>0</v>
      </c>
      <c r="D82" s="2" t="b">
        <v>0</v>
      </c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C83" t="b">
        <v>0</v>
      </c>
      <c r="D83" s="2" t="b">
        <v>0</v>
      </c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C84" t="b">
        <v>0</v>
      </c>
      <c r="D84" s="2" t="b">
        <v>0</v>
      </c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C85" t="b">
        <v>0</v>
      </c>
      <c r="D85" s="2" t="b">
        <v>0</v>
      </c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C86" t="b">
        <v>0</v>
      </c>
      <c r="D86" s="2" t="b">
        <v>0</v>
      </c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C87" t="b">
        <v>0</v>
      </c>
      <c r="D87" s="2" t="b">
        <v>0</v>
      </c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C88" t="b">
        <v>0</v>
      </c>
      <c r="D88" s="2" t="b">
        <v>0</v>
      </c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C89" t="b">
        <v>0</v>
      </c>
      <c r="D89" s="2" t="b">
        <v>0</v>
      </c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C90" t="b">
        <v>0</v>
      </c>
      <c r="D90" s="2" t="b">
        <v>0</v>
      </c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C91" t="b">
        <v>0</v>
      </c>
      <c r="D91" s="2" t="b">
        <v>0</v>
      </c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C92" t="b">
        <v>0</v>
      </c>
      <c r="D92" s="2" t="b">
        <v>0</v>
      </c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C93" t="b">
        <v>0</v>
      </c>
      <c r="D93" s="2" t="b">
        <v>0</v>
      </c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C94" t="b">
        <v>0</v>
      </c>
      <c r="D94" s="2" t="b">
        <v>0</v>
      </c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C95" t="b">
        <v>0</v>
      </c>
      <c r="D95" s="2" t="b">
        <v>0</v>
      </c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C96" t="b">
        <v>0</v>
      </c>
      <c r="D96" s="2" t="b">
        <v>0</v>
      </c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C97" t="b">
        <v>0</v>
      </c>
      <c r="D97" s="2" t="b">
        <v>0</v>
      </c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C98" t="b">
        <v>0</v>
      </c>
      <c r="D98" s="2" t="b">
        <v>0</v>
      </c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C99" t="b">
        <v>0</v>
      </c>
      <c r="D99" s="2" t="b">
        <v>0</v>
      </c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C100" t="b">
        <v>0</v>
      </c>
      <c r="D100" s="2" t="b">
        <v>0</v>
      </c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C101" t="b">
        <v>0</v>
      </c>
      <c r="D101" s="2" t="b">
        <v>0</v>
      </c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C102" t="b">
        <v>0</v>
      </c>
      <c r="D102" s="2" t="b">
        <v>0</v>
      </c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C103" t="b">
        <v>0</v>
      </c>
      <c r="D103" s="2" t="b">
        <v>0</v>
      </c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C104" t="b">
        <v>0</v>
      </c>
      <c r="D104" s="2" t="b">
        <v>0</v>
      </c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C105" t="b">
        <v>0</v>
      </c>
      <c r="D105" s="2" t="b">
        <v>0</v>
      </c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C106" t="b">
        <v>0</v>
      </c>
      <c r="D106" s="2" t="b">
        <v>0</v>
      </c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C107" t="b">
        <v>0</v>
      </c>
      <c r="D107" s="2" t="b">
        <v>0</v>
      </c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C108" t="b">
        <v>0</v>
      </c>
      <c r="D108" s="2" t="b">
        <v>0</v>
      </c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C109" t="b">
        <v>0</v>
      </c>
      <c r="D109" s="2" t="b">
        <v>0</v>
      </c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C110" t="b">
        <v>0</v>
      </c>
      <c r="D110" s="2" t="b">
        <v>0</v>
      </c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C111" t="b">
        <v>0</v>
      </c>
      <c r="D111" s="2" t="b">
        <v>0</v>
      </c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C112" t="b">
        <v>0</v>
      </c>
      <c r="D112" s="2" t="b">
        <v>0</v>
      </c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C113" t="b">
        <v>0</v>
      </c>
      <c r="D113" s="2" t="b">
        <v>0</v>
      </c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C114" t="b">
        <v>0</v>
      </c>
      <c r="D114" s="2" t="b">
        <v>0</v>
      </c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C115" t="b">
        <v>0</v>
      </c>
      <c r="D115" s="2" t="b">
        <v>0</v>
      </c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C116" t="b">
        <v>0</v>
      </c>
      <c r="D116" s="2" t="b">
        <v>0</v>
      </c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C117" t="b">
        <v>0</v>
      </c>
      <c r="D117" s="2" t="b">
        <v>0</v>
      </c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C118" t="b">
        <v>0</v>
      </c>
      <c r="D118" s="2" t="b">
        <v>0</v>
      </c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C119" t="b">
        <v>0</v>
      </c>
      <c r="D119" s="2" t="b">
        <v>0</v>
      </c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C120" t="b">
        <v>0</v>
      </c>
      <c r="D120" s="2" t="b">
        <v>0</v>
      </c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C121" t="b">
        <v>0</v>
      </c>
      <c r="D121" s="2" t="b">
        <v>0</v>
      </c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C122" t="b">
        <v>0</v>
      </c>
      <c r="D122" s="2" t="b">
        <v>0</v>
      </c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C123" t="b">
        <v>0</v>
      </c>
      <c r="D123" s="2" t="b">
        <v>0</v>
      </c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C124" t="b">
        <v>0</v>
      </c>
      <c r="D124" s="2" t="b">
        <v>0</v>
      </c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C125" t="b">
        <v>0</v>
      </c>
      <c r="D125" s="2" t="b">
        <v>0</v>
      </c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C126" t="b">
        <v>0</v>
      </c>
      <c r="D126" s="2" t="b">
        <v>0</v>
      </c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C127" t="b">
        <v>0</v>
      </c>
      <c r="D127" s="2" t="b">
        <v>0</v>
      </c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C128" t="b">
        <v>0</v>
      </c>
      <c r="D128" s="2" t="b">
        <v>0</v>
      </c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C129" t="b">
        <v>0</v>
      </c>
      <c r="D129" s="2" t="b">
        <v>0</v>
      </c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C130" t="b">
        <v>0</v>
      </c>
      <c r="D130" s="2" t="b">
        <v>0</v>
      </c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C131" t="b">
        <v>0</v>
      </c>
      <c r="D131" s="2" t="b">
        <v>0</v>
      </c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C132" t="b">
        <v>0</v>
      </c>
      <c r="D132" s="2" t="b">
        <v>0</v>
      </c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C133" t="b">
        <v>0</v>
      </c>
      <c r="D133" s="2" t="b">
        <v>0</v>
      </c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C134" t="b">
        <v>0</v>
      </c>
      <c r="D134" s="2" t="b">
        <v>0</v>
      </c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C135" t="b">
        <v>0</v>
      </c>
      <c r="D135" s="2" t="b">
        <v>0</v>
      </c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C136" t="b">
        <v>0</v>
      </c>
      <c r="D136" s="2" t="b">
        <v>0</v>
      </c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C137" t="b">
        <v>0</v>
      </c>
      <c r="D137" s="2" t="b">
        <v>0</v>
      </c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C138" t="b">
        <v>0</v>
      </c>
      <c r="D138" s="2" t="b">
        <v>0</v>
      </c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C139" t="b">
        <v>0</v>
      </c>
      <c r="D139" s="2" t="b">
        <v>0</v>
      </c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C140" t="b">
        <v>0</v>
      </c>
      <c r="D140" s="2" t="b">
        <v>0</v>
      </c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C141" t="b">
        <v>0</v>
      </c>
      <c r="D141" s="2" t="b">
        <v>0</v>
      </c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C142" t="b">
        <v>0</v>
      </c>
      <c r="D142" s="2" t="b">
        <v>0</v>
      </c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C143" t="b">
        <v>0</v>
      </c>
      <c r="D143" s="2" t="b">
        <v>0</v>
      </c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C144" t="b">
        <v>0</v>
      </c>
      <c r="D144" s="2" t="b">
        <v>0</v>
      </c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C145" t="b">
        <v>0</v>
      </c>
      <c r="D145" s="2" t="b">
        <v>0</v>
      </c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C146" t="b">
        <v>0</v>
      </c>
      <c r="D146" s="2" t="b">
        <v>0</v>
      </c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C147" t="b">
        <v>0</v>
      </c>
      <c r="D147" s="2" t="b">
        <v>0</v>
      </c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C148" t="b">
        <v>0</v>
      </c>
      <c r="D148" s="2" t="b">
        <v>0</v>
      </c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C149" t="b">
        <v>0</v>
      </c>
      <c r="D149" s="2" t="b">
        <v>0</v>
      </c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C150" t="b">
        <v>0</v>
      </c>
      <c r="D150" s="2" t="b">
        <v>0</v>
      </c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C151" t="b">
        <v>0</v>
      </c>
      <c r="D151" s="2" t="b">
        <v>0</v>
      </c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C152" t="b">
        <v>0</v>
      </c>
      <c r="D152" s="2" t="b">
        <v>0</v>
      </c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C153" t="b">
        <v>0</v>
      </c>
      <c r="D153" s="2" t="b">
        <v>0</v>
      </c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C154" t="b">
        <v>0</v>
      </c>
      <c r="D154" s="2" t="b">
        <v>0</v>
      </c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C155" t="b">
        <v>0</v>
      </c>
      <c r="D155" s="2" t="b">
        <v>0</v>
      </c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C156" t="b">
        <v>0</v>
      </c>
      <c r="D156" s="2" t="b">
        <v>0</v>
      </c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C157" t="b">
        <v>0</v>
      </c>
      <c r="D157" s="2" t="b">
        <v>0</v>
      </c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C158" t="b">
        <v>0</v>
      </c>
      <c r="D158" s="2" t="b">
        <v>0</v>
      </c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C159" t="b">
        <v>0</v>
      </c>
      <c r="D159" s="2" t="b">
        <v>0</v>
      </c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C160" t="b">
        <v>0</v>
      </c>
      <c r="D160" s="2" t="b">
        <v>0</v>
      </c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C161" t="b">
        <v>0</v>
      </c>
      <c r="D161" s="2" t="b">
        <v>0</v>
      </c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C162" t="b">
        <v>0</v>
      </c>
      <c r="D162" s="2" t="b">
        <v>0</v>
      </c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C163" t="b">
        <v>0</v>
      </c>
      <c r="D163" s="2" t="b">
        <v>0</v>
      </c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C164" t="b">
        <v>0</v>
      </c>
      <c r="D164" s="2" t="b">
        <v>0</v>
      </c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C165" t="b">
        <v>0</v>
      </c>
      <c r="D165" s="2" t="b">
        <v>0</v>
      </c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C166" t="b">
        <v>0</v>
      </c>
      <c r="D166" s="2" t="b">
        <v>0</v>
      </c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C167" t="b">
        <v>0</v>
      </c>
      <c r="D167" s="2" t="b">
        <v>0</v>
      </c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C168" t="b">
        <v>0</v>
      </c>
      <c r="D168" s="2" t="b">
        <v>0</v>
      </c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C169" t="b">
        <v>0</v>
      </c>
      <c r="D169" s="2" t="b">
        <v>0</v>
      </c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C170" t="b">
        <v>0</v>
      </c>
      <c r="D170" s="2" t="b">
        <v>0</v>
      </c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C171" t="b">
        <v>0</v>
      </c>
      <c r="D171" s="2" t="b">
        <v>0</v>
      </c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C172" t="b">
        <v>0</v>
      </c>
      <c r="D172" s="2" t="b">
        <v>0</v>
      </c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C173" t="b">
        <v>0</v>
      </c>
      <c r="D173" s="2" t="b">
        <v>0</v>
      </c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C174" t="b">
        <v>0</v>
      </c>
      <c r="D174" s="2" t="b">
        <v>0</v>
      </c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C175" t="b">
        <v>0</v>
      </c>
      <c r="D175" s="2" t="b">
        <v>0</v>
      </c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C176" t="b">
        <v>0</v>
      </c>
      <c r="D176" s="2" t="b">
        <v>0</v>
      </c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C177" t="b">
        <v>0</v>
      </c>
      <c r="D177" s="2" t="b">
        <v>0</v>
      </c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C178" t="b">
        <v>0</v>
      </c>
      <c r="D178" s="2" t="b">
        <v>0</v>
      </c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C179" t="b">
        <v>0</v>
      </c>
      <c r="D179" s="2" t="b">
        <v>0</v>
      </c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C180" t="b">
        <v>0</v>
      </c>
      <c r="D180" s="2" t="b">
        <v>0</v>
      </c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C181" t="b">
        <v>0</v>
      </c>
      <c r="D181" s="2" t="b">
        <v>0</v>
      </c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C182" t="b">
        <v>0</v>
      </c>
      <c r="D182" s="2" t="b">
        <v>0</v>
      </c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C183" t="b">
        <v>0</v>
      </c>
      <c r="D183" s="2" t="b">
        <v>0</v>
      </c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C184" t="b">
        <v>0</v>
      </c>
      <c r="D184" s="2" t="b">
        <v>0</v>
      </c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C185" t="b">
        <v>0</v>
      </c>
      <c r="D185" s="2" t="b">
        <v>0</v>
      </c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C186" t="b">
        <v>0</v>
      </c>
      <c r="D186" s="2" t="b">
        <v>0</v>
      </c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C187" t="b">
        <v>0</v>
      </c>
      <c r="D187" s="2" t="b">
        <v>0</v>
      </c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C188" t="b">
        <v>0</v>
      </c>
      <c r="D188" s="2" t="b">
        <v>0</v>
      </c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C189" t="b">
        <v>0</v>
      </c>
      <c r="D189" s="2" t="b">
        <v>0</v>
      </c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C190" t="b">
        <v>0</v>
      </c>
      <c r="D190" s="2" t="b">
        <v>0</v>
      </c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C191" t="b">
        <v>0</v>
      </c>
      <c r="D191" s="2" t="b">
        <v>0</v>
      </c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C192" t="b">
        <v>0</v>
      </c>
      <c r="D192" s="2" t="b">
        <v>0</v>
      </c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C193" t="b">
        <v>0</v>
      </c>
      <c r="D193" s="2" t="b">
        <v>0</v>
      </c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C194" t="b">
        <v>0</v>
      </c>
      <c r="D194" s="2" t="b">
        <v>0</v>
      </c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C195" t="b">
        <v>0</v>
      </c>
      <c r="D195" s="2" t="b">
        <v>0</v>
      </c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C196" t="b">
        <v>0</v>
      </c>
      <c r="D196" s="2" t="b">
        <v>0</v>
      </c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C197" t="b">
        <v>0</v>
      </c>
      <c r="D197" s="2" t="b">
        <v>0</v>
      </c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C198" t="b">
        <v>0</v>
      </c>
      <c r="D198" s="2" t="b">
        <v>0</v>
      </c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C199" t="b">
        <v>0</v>
      </c>
      <c r="D199" s="2" t="b">
        <v>0</v>
      </c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C200" t="b">
        <v>0</v>
      </c>
      <c r="D200" s="2" t="b">
        <v>0</v>
      </c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C201" t="b">
        <v>0</v>
      </c>
      <c r="D201" s="2" t="b">
        <v>0</v>
      </c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C202" t="b">
        <v>0</v>
      </c>
      <c r="D202" s="2" t="b">
        <v>0</v>
      </c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C203" t="b">
        <v>0</v>
      </c>
      <c r="D203" s="2" t="b">
        <v>0</v>
      </c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C204" t="b">
        <v>0</v>
      </c>
      <c r="D204" s="2" t="b">
        <v>0</v>
      </c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C205" t="b">
        <v>0</v>
      </c>
      <c r="D205" s="2" t="b">
        <v>0</v>
      </c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C206" t="b">
        <v>0</v>
      </c>
      <c r="D206" s="2" t="b">
        <v>0</v>
      </c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C207" t="b">
        <v>0</v>
      </c>
      <c r="D207" s="2" t="b">
        <v>0</v>
      </c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C208" t="b">
        <v>0</v>
      </c>
      <c r="D208" s="2" t="b">
        <v>0</v>
      </c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C209" t="b">
        <v>0</v>
      </c>
      <c r="D209" s="2" t="b">
        <v>0</v>
      </c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C210" t="b">
        <v>0</v>
      </c>
      <c r="D210" s="2" t="b">
        <v>0</v>
      </c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C211" t="b">
        <v>0</v>
      </c>
      <c r="D211" s="2" t="b">
        <v>0</v>
      </c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C212" t="b">
        <v>0</v>
      </c>
      <c r="D212" s="2" t="b">
        <v>0</v>
      </c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C213" t="b">
        <v>0</v>
      </c>
      <c r="D213" s="2" t="b">
        <v>0</v>
      </c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C214" t="b">
        <v>0</v>
      </c>
      <c r="D214" s="2" t="b">
        <v>0</v>
      </c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C215" t="b">
        <v>0</v>
      </c>
      <c r="D215" s="2" t="b">
        <v>0</v>
      </c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C216" t="b">
        <v>0</v>
      </c>
      <c r="D216" s="2" t="b">
        <v>0</v>
      </c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C217" t="b">
        <v>0</v>
      </c>
      <c r="D217" s="2" t="b">
        <v>0</v>
      </c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C218" t="b">
        <v>0</v>
      </c>
      <c r="D218" s="2" t="b">
        <v>0</v>
      </c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C219" t="b">
        <v>0</v>
      </c>
      <c r="D219" s="2" t="b">
        <v>0</v>
      </c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C220" t="b">
        <v>0</v>
      </c>
      <c r="D220" s="2" t="b">
        <v>0</v>
      </c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C221" t="b">
        <v>0</v>
      </c>
      <c r="D221" s="2" t="b">
        <v>0</v>
      </c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C222" t="b">
        <v>0</v>
      </c>
      <c r="D222" s="2" t="b">
        <v>0</v>
      </c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C223" t="b">
        <v>0</v>
      </c>
      <c r="D223" s="2" t="b">
        <v>0</v>
      </c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C224" t="b">
        <v>0</v>
      </c>
      <c r="D224" s="2" t="b">
        <v>0</v>
      </c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C225" t="b">
        <v>0</v>
      </c>
      <c r="D225" s="2" t="b">
        <v>0</v>
      </c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C226" t="b">
        <v>0</v>
      </c>
      <c r="D226" s="2" t="b">
        <v>0</v>
      </c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C227" t="b">
        <v>0</v>
      </c>
      <c r="D227" s="2" t="b">
        <v>0</v>
      </c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C228" t="b">
        <v>0</v>
      </c>
      <c r="D228" s="2" t="b">
        <v>0</v>
      </c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C229" t="b">
        <v>0</v>
      </c>
      <c r="D229" s="2" t="b">
        <v>0</v>
      </c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C230" t="b">
        <v>0</v>
      </c>
      <c r="D230" s="2" t="b">
        <v>0</v>
      </c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C231" t="b">
        <v>0</v>
      </c>
      <c r="D231" s="2" t="b">
        <v>0</v>
      </c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C232" t="b">
        <v>0</v>
      </c>
      <c r="D232" s="2" t="b">
        <v>0</v>
      </c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C233" t="b">
        <v>0</v>
      </c>
      <c r="D233" s="2" t="b">
        <v>0</v>
      </c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C234" t="b">
        <v>0</v>
      </c>
      <c r="D234" s="2" t="b">
        <v>0</v>
      </c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C235" t="b">
        <v>0</v>
      </c>
      <c r="D235" s="2" t="b">
        <v>0</v>
      </c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C236" t="b">
        <v>0</v>
      </c>
      <c r="D236" s="2" t="b">
        <v>0</v>
      </c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C237" t="b">
        <v>0</v>
      </c>
      <c r="D237" s="2" t="b">
        <v>0</v>
      </c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C238" t="b">
        <v>0</v>
      </c>
      <c r="D238" s="2" t="b">
        <v>0</v>
      </c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C239" t="b">
        <v>0</v>
      </c>
      <c r="D239" s="2" t="b">
        <v>0</v>
      </c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C240" t="b">
        <v>0</v>
      </c>
      <c r="D240" s="2" t="b">
        <v>0</v>
      </c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C241" t="b">
        <v>0</v>
      </c>
      <c r="D241" s="2" t="b">
        <v>0</v>
      </c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C242" t="b">
        <v>0</v>
      </c>
      <c r="D242" s="2" t="b">
        <v>0</v>
      </c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C243" t="b">
        <v>0</v>
      </c>
      <c r="D243" s="2" t="b">
        <v>0</v>
      </c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C244" t="b">
        <v>0</v>
      </c>
      <c r="D244" s="2" t="b">
        <v>0</v>
      </c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C245" t="b">
        <v>0</v>
      </c>
      <c r="D245" s="2" t="b">
        <v>0</v>
      </c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C246" t="b">
        <v>0</v>
      </c>
      <c r="D246" s="2" t="b">
        <v>0</v>
      </c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C247" t="b">
        <v>0</v>
      </c>
      <c r="D247" s="2" t="b">
        <v>0</v>
      </c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C248" t="b">
        <v>0</v>
      </c>
      <c r="D248" s="2" t="b">
        <v>0</v>
      </c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C249" t="b">
        <v>0</v>
      </c>
      <c r="D249" s="2" t="b">
        <v>0</v>
      </c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C250" t="b">
        <v>0</v>
      </c>
      <c r="D250" s="2" t="b">
        <v>0</v>
      </c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C251" t="b">
        <v>0</v>
      </c>
      <c r="D251" s="2" t="b">
        <v>0</v>
      </c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C252" t="b">
        <v>0</v>
      </c>
      <c r="D252" s="2" t="b">
        <v>0</v>
      </c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C253" t="b">
        <v>0</v>
      </c>
      <c r="D253" s="2" t="b">
        <v>0</v>
      </c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C254" t="b">
        <v>0</v>
      </c>
      <c r="D254" s="2" t="b">
        <v>0</v>
      </c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C255" t="b">
        <v>0</v>
      </c>
      <c r="D255" s="2" t="b">
        <v>0</v>
      </c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C256" t="b">
        <v>0</v>
      </c>
      <c r="D256" s="2" t="b">
        <v>0</v>
      </c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C257" t="b">
        <v>0</v>
      </c>
      <c r="D257" s="2" t="b">
        <v>0</v>
      </c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C258" t="b">
        <v>0</v>
      </c>
      <c r="D258" s="2" t="b">
        <v>0</v>
      </c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C259" t="b">
        <v>0</v>
      </c>
      <c r="D259" s="2" t="b">
        <v>0</v>
      </c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C260" t="b">
        <v>0</v>
      </c>
      <c r="D260" s="2" t="b">
        <v>0</v>
      </c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C261" t="b">
        <v>0</v>
      </c>
      <c r="D261" s="2" t="b">
        <v>0</v>
      </c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C262" t="b">
        <v>0</v>
      </c>
      <c r="D262" s="2" t="b">
        <v>0</v>
      </c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C263" t="b">
        <v>0</v>
      </c>
      <c r="D263" s="2" t="b">
        <v>0</v>
      </c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C264" t="b">
        <v>0</v>
      </c>
      <c r="D264" s="2" t="b">
        <v>0</v>
      </c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C265" t="b">
        <v>0</v>
      </c>
      <c r="D265" s="2" t="b">
        <v>0</v>
      </c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C266" t="b">
        <v>0</v>
      </c>
      <c r="D266" s="2" t="b">
        <v>0</v>
      </c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C267" t="b">
        <v>0</v>
      </c>
      <c r="D267" s="2" t="b">
        <v>0</v>
      </c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C268" t="b">
        <v>0</v>
      </c>
      <c r="D268" s="2" t="b">
        <v>0</v>
      </c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C269" t="b">
        <v>0</v>
      </c>
      <c r="D269" s="2" t="b">
        <v>0</v>
      </c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C270" t="b">
        <v>0</v>
      </c>
      <c r="D270" s="2" t="b">
        <v>0</v>
      </c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C271" t="b">
        <v>0</v>
      </c>
      <c r="D271" s="2" t="b">
        <v>0</v>
      </c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C272" t="b">
        <v>0</v>
      </c>
      <c r="D272" s="2" t="b">
        <v>0</v>
      </c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C273" t="b">
        <v>0</v>
      </c>
      <c r="D273" s="2" t="b">
        <v>0</v>
      </c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C274" t="b">
        <v>0</v>
      </c>
      <c r="D274" s="2" t="b">
        <v>0</v>
      </c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C275" t="b">
        <v>0</v>
      </c>
      <c r="D275" s="2" t="b">
        <v>0</v>
      </c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C276" t="b">
        <v>0</v>
      </c>
      <c r="D276" s="2" t="b">
        <v>0</v>
      </c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C277" t="b">
        <v>0</v>
      </c>
      <c r="D277" s="2" t="b">
        <v>0</v>
      </c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C278" t="b">
        <v>0</v>
      </c>
      <c r="D278" s="2" t="b">
        <v>0</v>
      </c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C279" t="b">
        <v>0</v>
      </c>
      <c r="D279" s="2" t="b">
        <v>0</v>
      </c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C280" t="b">
        <v>0</v>
      </c>
      <c r="D280" s="2" t="b">
        <v>0</v>
      </c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C281" t="b">
        <v>0</v>
      </c>
      <c r="D281" s="2" t="b">
        <v>0</v>
      </c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C282" t="b">
        <v>0</v>
      </c>
      <c r="D282" s="2" t="b">
        <v>0</v>
      </c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C283" t="b">
        <v>0</v>
      </c>
      <c r="D283" s="2" t="b">
        <v>0</v>
      </c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C284" t="b">
        <v>0</v>
      </c>
      <c r="D284" s="2" t="b">
        <v>0</v>
      </c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C285" t="b">
        <v>0</v>
      </c>
      <c r="D285" s="2" t="b">
        <v>0</v>
      </c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C286" t="b">
        <v>0</v>
      </c>
      <c r="D286" s="2" t="b">
        <v>0</v>
      </c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C287" t="b">
        <v>0</v>
      </c>
      <c r="D287" s="2" t="b">
        <v>0</v>
      </c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C288" t="b">
        <v>0</v>
      </c>
      <c r="D288" s="2" t="b">
        <v>0</v>
      </c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C289" t="b">
        <v>0</v>
      </c>
      <c r="D289" s="2" t="b">
        <v>0</v>
      </c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C290" t="b">
        <v>0</v>
      </c>
      <c r="D290" s="2" t="b">
        <v>0</v>
      </c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C291" t="b">
        <v>0</v>
      </c>
      <c r="D291" s="2" t="b">
        <v>0</v>
      </c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C292" t="b">
        <v>0</v>
      </c>
      <c r="D292" s="2" t="b">
        <v>0</v>
      </c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C293" t="b">
        <v>0</v>
      </c>
      <c r="D293" s="2" t="b">
        <v>0</v>
      </c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C294" t="b">
        <v>0</v>
      </c>
      <c r="D294" s="2" t="b">
        <v>0</v>
      </c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C295" t="b">
        <v>0</v>
      </c>
      <c r="D295" s="2" t="b">
        <v>0</v>
      </c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C296" t="b">
        <v>0</v>
      </c>
      <c r="D296" s="2" t="b">
        <v>0</v>
      </c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C297" t="b">
        <v>0</v>
      </c>
      <c r="D297" s="2" t="b">
        <v>0</v>
      </c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C298" t="b">
        <v>0</v>
      </c>
      <c r="D298" s="2" t="b">
        <v>0</v>
      </c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C299" t="b">
        <v>0</v>
      </c>
      <c r="D299" s="2" t="b">
        <v>0</v>
      </c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C300" t="b">
        <v>0</v>
      </c>
      <c r="D300" s="2" t="b">
        <v>0</v>
      </c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 t="b">
        <v>0</v>
      </c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 t="b">
        <v>0</v>
      </c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 t="b">
        <v>0</v>
      </c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 t="b">
        <v>0</v>
      </c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 t="b">
        <v>0</v>
      </c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 t="b">
        <v>0</v>
      </c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 t="b">
        <v>0</v>
      </c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 t="b">
        <v>0</v>
      </c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 t="b">
        <v>0</v>
      </c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 t="b">
        <v>0</v>
      </c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 t="b">
        <v>0</v>
      </c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 t="b">
        <v>0</v>
      </c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 t="b">
        <v>0</v>
      </c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 t="b">
        <v>0</v>
      </c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 t="b">
        <v>0</v>
      </c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 t="b">
        <v>0</v>
      </c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 t="b">
        <v>0</v>
      </c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 t="b">
        <v>0</v>
      </c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 t="b">
        <v>0</v>
      </c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 t="b">
        <v>0</v>
      </c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 t="b">
        <v>0</v>
      </c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 t="b">
        <v>0</v>
      </c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 t="b">
        <v>0</v>
      </c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 t="b">
        <v>0</v>
      </c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 t="b">
        <v>0</v>
      </c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 t="b">
        <v>0</v>
      </c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 t="b">
        <v>0</v>
      </c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 t="b">
        <v>0</v>
      </c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 t="b">
        <v>0</v>
      </c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 t="b">
        <v>0</v>
      </c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 t="b">
        <v>0</v>
      </c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 t="b">
        <v>0</v>
      </c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 t="b">
        <v>0</v>
      </c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 t="b">
        <v>0</v>
      </c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 t="b">
        <v>0</v>
      </c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 t="b">
        <v>0</v>
      </c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 t="b">
        <v>0</v>
      </c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 t="b">
        <v>0</v>
      </c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 t="b">
        <v>0</v>
      </c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 t="b">
        <v>0</v>
      </c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 t="b">
        <v>0</v>
      </c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 t="b">
        <v>0</v>
      </c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 t="b">
        <v>0</v>
      </c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 t="b">
        <v>0</v>
      </c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 t="b">
        <v>0</v>
      </c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 t="b">
        <v>0</v>
      </c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 t="b">
        <v>0</v>
      </c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 t="b">
        <v>0</v>
      </c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 t="b">
        <v>0</v>
      </c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 t="b">
        <v>0</v>
      </c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 t="b">
        <v>0</v>
      </c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 t="b">
        <v>0</v>
      </c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C353" t="b">
        <v>0</v>
      </c>
      <c r="D353" s="2" t="b">
        <v>0</v>
      </c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C354" t="b">
        <v>0</v>
      </c>
      <c r="D354" s="2" t="b">
        <v>0</v>
      </c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C355" t="b">
        <v>0</v>
      </c>
      <c r="D355" s="2" t="b">
        <v>0</v>
      </c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C356" t="b">
        <v>0</v>
      </c>
      <c r="D356" s="2" t="b">
        <v>0</v>
      </c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C357" t="b">
        <v>0</v>
      </c>
      <c r="D357" s="2" t="b">
        <v>0</v>
      </c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C358" t="b">
        <v>0</v>
      </c>
      <c r="D358" s="2" t="b">
        <v>0</v>
      </c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C359" t="b">
        <v>0</v>
      </c>
      <c r="D359" s="2" t="b">
        <v>0</v>
      </c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C360" t="b">
        <v>0</v>
      </c>
      <c r="D360" s="2" t="b">
        <v>0</v>
      </c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C361" t="b">
        <v>0</v>
      </c>
      <c r="D361" s="2" t="b">
        <v>0</v>
      </c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C362" t="b">
        <v>0</v>
      </c>
      <c r="D362" s="2" t="b">
        <v>0</v>
      </c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C363" t="b">
        <v>0</v>
      </c>
      <c r="D363" s="2" t="b">
        <v>0</v>
      </c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C364" t="b">
        <v>0</v>
      </c>
      <c r="D364" s="2" t="b">
        <v>0</v>
      </c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C365" t="b">
        <v>0</v>
      </c>
      <c r="D365" s="2" t="b">
        <v>0</v>
      </c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C366" t="b">
        <v>0</v>
      </c>
      <c r="D366" s="2" t="b">
        <v>0</v>
      </c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C367" t="b">
        <v>0</v>
      </c>
      <c r="D367" s="2" t="b">
        <v>0</v>
      </c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C368" t="b">
        <v>0</v>
      </c>
      <c r="D368" s="2" t="b">
        <v>0</v>
      </c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C369" t="b">
        <v>0</v>
      </c>
      <c r="D369" s="2" t="b">
        <v>0</v>
      </c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C370" t="b">
        <v>0</v>
      </c>
      <c r="D370" s="2" t="b">
        <v>0</v>
      </c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C371" t="b">
        <v>0</v>
      </c>
      <c r="D371" s="2" t="b">
        <v>0</v>
      </c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C372" t="b">
        <v>0</v>
      </c>
      <c r="D372" s="2" t="b">
        <v>0</v>
      </c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C373" t="b">
        <v>0</v>
      </c>
      <c r="D373" s="2" t="b">
        <v>0</v>
      </c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C374" t="b">
        <v>0</v>
      </c>
      <c r="D374" s="2" t="b">
        <v>0</v>
      </c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C375" t="b">
        <v>0</v>
      </c>
      <c r="D375" s="2" t="b">
        <v>0</v>
      </c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C376" t="b">
        <v>0</v>
      </c>
      <c r="D376" s="2" t="b">
        <v>0</v>
      </c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C377" t="b">
        <v>0</v>
      </c>
      <c r="D377" s="2" t="b">
        <v>0</v>
      </c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C378" t="b">
        <v>0</v>
      </c>
      <c r="D378" s="2" t="b">
        <v>0</v>
      </c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C379" t="b">
        <v>0</v>
      </c>
      <c r="D379" s="2" t="b">
        <v>0</v>
      </c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C380" t="b">
        <v>0</v>
      </c>
      <c r="D380" s="2" t="b">
        <v>0</v>
      </c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C381" t="b">
        <v>0</v>
      </c>
      <c r="D381" s="2" t="b">
        <v>0</v>
      </c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C382" t="b">
        <v>0</v>
      </c>
      <c r="D382" s="2" t="b">
        <v>0</v>
      </c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C383" t="b">
        <v>0</v>
      </c>
      <c r="D383" s="2" t="b">
        <v>0</v>
      </c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C384" t="b">
        <v>0</v>
      </c>
      <c r="D384" s="2" t="b">
        <v>0</v>
      </c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C385" t="b">
        <v>0</v>
      </c>
      <c r="D385" s="2" t="b">
        <v>0</v>
      </c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C386" t="b">
        <v>0</v>
      </c>
      <c r="D386" s="2" t="b">
        <v>0</v>
      </c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C387" t="b">
        <v>0</v>
      </c>
      <c r="D387" s="2" t="b">
        <v>0</v>
      </c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C388" t="b">
        <v>0</v>
      </c>
      <c r="D388" s="2" t="b">
        <v>0</v>
      </c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C389" t="b">
        <v>0</v>
      </c>
      <c r="D389" s="2" t="b">
        <v>0</v>
      </c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C390" t="b">
        <v>0</v>
      </c>
      <c r="D390" s="2" t="b">
        <v>0</v>
      </c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C391" t="b">
        <v>0</v>
      </c>
      <c r="D391" s="2" t="b">
        <v>0</v>
      </c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C392" t="b">
        <v>0</v>
      </c>
      <c r="D392" s="2" t="b">
        <v>0</v>
      </c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C393" t="b">
        <v>0</v>
      </c>
      <c r="D393" s="2" t="b">
        <v>0</v>
      </c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C394" t="b">
        <v>0</v>
      </c>
      <c r="D394" s="2" t="b">
        <v>0</v>
      </c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C395" t="b">
        <v>0</v>
      </c>
      <c r="D395" s="2" t="b">
        <v>0</v>
      </c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C396" t="b">
        <v>0</v>
      </c>
      <c r="D396" s="2" t="b">
        <v>0</v>
      </c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C397" t="b">
        <v>0</v>
      </c>
      <c r="D397" s="2" t="b">
        <v>0</v>
      </c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C398" t="b">
        <v>0</v>
      </c>
      <c r="D398" s="2" t="b">
        <v>0</v>
      </c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C399" t="b">
        <v>0</v>
      </c>
      <c r="D399" s="2" t="b">
        <v>0</v>
      </c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C400" t="b">
        <v>0</v>
      </c>
      <c r="D400" s="2" t="b">
        <v>0</v>
      </c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C401" t="b">
        <v>0</v>
      </c>
      <c r="D401" s="2" t="b">
        <v>0</v>
      </c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C402" t="b">
        <v>0</v>
      </c>
      <c r="D402" s="2" t="b">
        <v>0</v>
      </c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C403" t="b">
        <v>0</v>
      </c>
      <c r="D403" s="2" t="b">
        <v>0</v>
      </c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C404" t="b">
        <v>0</v>
      </c>
      <c r="D404" s="2" t="b">
        <v>0</v>
      </c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C405" t="b">
        <v>0</v>
      </c>
      <c r="D405" s="2" t="b">
        <v>0</v>
      </c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C406" t="b">
        <v>0</v>
      </c>
      <c r="D406" s="2" t="b">
        <v>0</v>
      </c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C407" t="b">
        <v>0</v>
      </c>
      <c r="D407" s="2" t="b">
        <v>0</v>
      </c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C408" t="b">
        <v>0</v>
      </c>
      <c r="D408" s="2" t="b">
        <v>0</v>
      </c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C409" t="b">
        <v>0</v>
      </c>
      <c r="D409" s="2" t="b">
        <v>0</v>
      </c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C410" t="b">
        <v>0</v>
      </c>
      <c r="D410" s="2" t="b">
        <v>0</v>
      </c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C411" t="b">
        <v>0</v>
      </c>
      <c r="D411" s="2" t="b">
        <v>0</v>
      </c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C412" t="b">
        <v>0</v>
      </c>
      <c r="D412" s="2" t="b">
        <v>0</v>
      </c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C413" t="b">
        <v>0</v>
      </c>
      <c r="D413" s="2" t="b">
        <v>0</v>
      </c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C414" t="b">
        <v>0</v>
      </c>
      <c r="D414" s="2" t="b">
        <v>0</v>
      </c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C415" t="b">
        <v>0</v>
      </c>
      <c r="D415" s="2" t="b">
        <v>0</v>
      </c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C416" t="b">
        <v>0</v>
      </c>
      <c r="D416" s="2" t="b">
        <v>0</v>
      </c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C417" t="b">
        <v>0</v>
      </c>
      <c r="D417" s="2" t="b">
        <v>0</v>
      </c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C418" t="b">
        <v>0</v>
      </c>
      <c r="D418" s="2" t="b">
        <v>0</v>
      </c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C419" t="b">
        <v>0</v>
      </c>
      <c r="D419" s="2" t="b">
        <v>0</v>
      </c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C420" t="b">
        <v>0</v>
      </c>
      <c r="D420" s="2" t="b">
        <v>0</v>
      </c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C421" t="b">
        <v>0</v>
      </c>
      <c r="D421" s="2" t="b">
        <v>0</v>
      </c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C422" t="b">
        <v>0</v>
      </c>
      <c r="D422" s="2" t="b">
        <v>0</v>
      </c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C423" t="b">
        <v>0</v>
      </c>
      <c r="D423" s="2" t="b">
        <v>0</v>
      </c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C424" t="b">
        <v>0</v>
      </c>
      <c r="D424" s="2" t="b">
        <v>0</v>
      </c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C425" t="b">
        <v>0</v>
      </c>
      <c r="D425" s="2" t="b">
        <v>0</v>
      </c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C426" t="b">
        <v>0</v>
      </c>
      <c r="D426" s="2" t="b">
        <v>0</v>
      </c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C427" t="b">
        <v>0</v>
      </c>
      <c r="D427" s="2" t="b">
        <v>0</v>
      </c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C428" t="b">
        <v>0</v>
      </c>
      <c r="D428" s="2" t="b">
        <v>0</v>
      </c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C429" t="b">
        <v>0</v>
      </c>
      <c r="D429" s="2" t="b">
        <v>0</v>
      </c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C430" t="b">
        <v>0</v>
      </c>
      <c r="D430" s="2" t="b">
        <v>0</v>
      </c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C431" t="b">
        <v>0</v>
      </c>
      <c r="D431" s="2" t="b">
        <v>0</v>
      </c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C432" t="b">
        <v>0</v>
      </c>
      <c r="D432" s="2" t="b">
        <v>0</v>
      </c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C433" t="b">
        <v>0</v>
      </c>
      <c r="D433" s="2" t="b">
        <v>0</v>
      </c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C434" t="b">
        <v>0</v>
      </c>
      <c r="D434" s="2" t="b">
        <v>0</v>
      </c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C435" t="b">
        <v>0</v>
      </c>
      <c r="D435" s="2" t="b">
        <v>0</v>
      </c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C436" t="b">
        <v>0</v>
      </c>
      <c r="D436" s="2" t="b">
        <v>0</v>
      </c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C437" t="b">
        <v>0</v>
      </c>
      <c r="D437" s="2" t="b">
        <v>0</v>
      </c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C438" t="b">
        <v>0</v>
      </c>
      <c r="D438" s="2" t="b">
        <v>0</v>
      </c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C439" t="b">
        <v>0</v>
      </c>
      <c r="D439" s="2" t="b">
        <v>0</v>
      </c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C440" t="b">
        <v>0</v>
      </c>
      <c r="D440" s="2" t="b">
        <v>0</v>
      </c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C441" t="b">
        <v>0</v>
      </c>
      <c r="D441" s="2" t="b">
        <v>0</v>
      </c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C442" t="b">
        <v>0</v>
      </c>
      <c r="D442" s="2" t="b">
        <v>0</v>
      </c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C443" t="b">
        <v>0</v>
      </c>
      <c r="D443" s="2" t="b">
        <v>0</v>
      </c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C444" t="b">
        <v>0</v>
      </c>
      <c r="D444" s="2" t="b">
        <v>0</v>
      </c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C445" t="b">
        <v>0</v>
      </c>
      <c r="D445" s="2" t="b">
        <v>0</v>
      </c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C446" t="b">
        <v>0</v>
      </c>
      <c r="D446" s="2" t="b">
        <v>0</v>
      </c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C447" t="b">
        <v>0</v>
      </c>
      <c r="D447" s="2" t="b">
        <v>0</v>
      </c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C448" t="b">
        <v>0</v>
      </c>
      <c r="D448" s="2" t="b">
        <v>0</v>
      </c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C449" t="b">
        <v>0</v>
      </c>
      <c r="D449" s="2" t="b">
        <v>0</v>
      </c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C450" t="b">
        <v>0</v>
      </c>
      <c r="D450" s="2" t="b">
        <v>0</v>
      </c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C451" t="b">
        <v>0</v>
      </c>
      <c r="D451" s="2" t="b">
        <v>0</v>
      </c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C452" t="b">
        <v>0</v>
      </c>
      <c r="D452" s="2" t="b">
        <v>0</v>
      </c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 t="b">
        <v>0</v>
      </c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 t="b">
        <v>0</v>
      </c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 t="b">
        <v>0</v>
      </c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 t="b">
        <v>0</v>
      </c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 t="b">
        <v>0</v>
      </c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 t="b">
        <v>0</v>
      </c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 t="b">
        <v>0</v>
      </c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 t="b">
        <v>0</v>
      </c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 t="b">
        <v>0</v>
      </c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 t="b">
        <v>0</v>
      </c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 t="b">
        <v>0</v>
      </c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 t="b">
        <v>0</v>
      </c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 t="b">
        <v>0</v>
      </c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 t="b">
        <v>0</v>
      </c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 t="b">
        <v>0</v>
      </c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 t="b">
        <v>0</v>
      </c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 t="b">
        <v>0</v>
      </c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 t="b">
        <v>0</v>
      </c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 t="b">
        <v>0</v>
      </c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 t="b">
        <v>0</v>
      </c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 t="b">
        <v>0</v>
      </c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 t="b">
        <v>0</v>
      </c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 t="b">
        <v>0</v>
      </c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 t="b">
        <v>0</v>
      </c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 t="b">
        <v>0</v>
      </c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 t="b">
        <v>0</v>
      </c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 t="b">
        <v>0</v>
      </c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 t="b">
        <v>0</v>
      </c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 t="b">
        <v>0</v>
      </c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 t="b">
        <v>0</v>
      </c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 t="b">
        <v>0</v>
      </c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 t="b">
        <v>0</v>
      </c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 t="b">
        <v>0</v>
      </c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 t="b">
        <v>0</v>
      </c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 t="b">
        <v>0</v>
      </c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 t="b">
        <v>0</v>
      </c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 t="b">
        <v>0</v>
      </c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 t="b">
        <v>0</v>
      </c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 t="b">
        <v>0</v>
      </c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 t="b">
        <v>0</v>
      </c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 t="b">
        <v>0</v>
      </c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 t="b">
        <v>0</v>
      </c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 t="b">
        <v>0</v>
      </c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 t="b">
        <v>0</v>
      </c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 t="b">
        <v>0</v>
      </c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 t="b">
        <v>0</v>
      </c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 t="b">
        <v>0</v>
      </c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 t="b">
        <v>0</v>
      </c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 t="b">
        <v>0</v>
      </c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 t="b">
        <v>0</v>
      </c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 t="b">
        <v>0</v>
      </c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 t="b">
        <v>0</v>
      </c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 t="b">
        <v>0</v>
      </c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 t="b">
        <v>0</v>
      </c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 t="b">
        <v>0</v>
      </c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 t="b">
        <v>0</v>
      </c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 t="b">
        <v>0</v>
      </c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 t="b">
        <v>0</v>
      </c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 t="b">
        <v>0</v>
      </c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 t="b">
        <v>0</v>
      </c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 t="b">
        <v>0</v>
      </c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 t="b">
        <v>0</v>
      </c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 t="b">
        <v>0</v>
      </c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 t="b">
        <v>0</v>
      </c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 t="b">
        <v>0</v>
      </c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 t="b">
        <v>0</v>
      </c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 t="b">
        <v>0</v>
      </c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 t="b">
        <v>0</v>
      </c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 t="b">
        <v>0</v>
      </c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 t="b">
        <v>0</v>
      </c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 t="b">
        <v>0</v>
      </c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 t="b">
        <v>0</v>
      </c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 t="b">
        <v>0</v>
      </c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 t="b">
        <v>0</v>
      </c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 t="b">
        <v>0</v>
      </c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 t="b">
        <v>0</v>
      </c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 t="b">
        <v>0</v>
      </c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 t="b">
        <v>0</v>
      </c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 t="b">
        <v>0</v>
      </c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 t="b">
        <v>0</v>
      </c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 t="b">
        <v>0</v>
      </c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 t="b">
        <v>0</v>
      </c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 t="b">
        <v>0</v>
      </c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 t="b">
        <v>0</v>
      </c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 t="b">
        <v>0</v>
      </c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 t="b">
        <v>0</v>
      </c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 t="b">
        <v>0</v>
      </c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 t="b">
        <v>0</v>
      </c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 t="b">
        <v>0</v>
      </c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 t="b">
        <v>0</v>
      </c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 t="b">
        <v>0</v>
      </c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 t="b">
        <v>0</v>
      </c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 t="b">
        <v>0</v>
      </c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 t="b">
        <v>0</v>
      </c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 t="b">
        <v>0</v>
      </c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 t="b">
        <v>0</v>
      </c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 t="b">
        <v>0</v>
      </c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 t="b">
        <v>0</v>
      </c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 t="b">
        <v>0</v>
      </c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 t="b">
        <v>0</v>
      </c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 t="b">
        <v>0</v>
      </c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 t="b">
        <v>0</v>
      </c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 t="b">
        <v>0</v>
      </c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 t="b">
        <v>0</v>
      </c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 t="b">
        <v>0</v>
      </c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 t="b">
        <v>0</v>
      </c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 t="b">
        <v>0</v>
      </c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 t="b">
        <v>0</v>
      </c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 t="b">
        <v>0</v>
      </c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 t="b">
        <v>0</v>
      </c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 t="b">
        <v>0</v>
      </c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C564" t="b">
        <v>0</v>
      </c>
      <c r="D564" s="2" t="b">
        <v>0</v>
      </c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C565" t="b">
        <v>0</v>
      </c>
      <c r="D565" s="2" t="b">
        <v>0</v>
      </c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C566" t="b">
        <v>0</v>
      </c>
      <c r="D566" s="2" t="b">
        <v>0</v>
      </c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C567" t="b">
        <v>0</v>
      </c>
      <c r="D567" s="2" t="b">
        <v>0</v>
      </c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C568" t="b">
        <v>0</v>
      </c>
      <c r="D568" s="2" t="b">
        <v>0</v>
      </c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C569" t="b">
        <v>0</v>
      </c>
      <c r="D569" s="2" t="b">
        <v>0</v>
      </c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 t="b">
        <v>0</v>
      </c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 t="b">
        <v>0</v>
      </c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C572" t="b">
        <v>0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C573" t="b">
        <v>0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C574" t="b">
        <v>0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C575" t="b">
        <v>0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C576" t="b">
        <v>0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C577" t="b">
        <v>0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C578" t="b">
        <v>0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C579" t="b">
        <v>0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C580" t="b">
        <v>0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C581" t="b">
        <v>0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C582" t="b">
        <v>0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C583" t="b">
        <v>0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C584" t="b">
        <v>0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C585" t="b">
        <v>0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C586" t="b">
        <v>0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C587" t="b">
        <v>0</v>
      </c>
      <c r="D587" s="2" t="b">
        <v>0</v>
      </c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C588" t="b">
        <v>0</v>
      </c>
      <c r="D588" s="2" t="b">
        <v>0</v>
      </c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C589" t="b">
        <v>0</v>
      </c>
      <c r="D589" s="2" t="b">
        <v>0</v>
      </c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C590" t="b">
        <v>0</v>
      </c>
      <c r="D590" s="2" t="b">
        <v>0</v>
      </c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C591" t="b">
        <v>0</v>
      </c>
      <c r="D591" s="2" t="b">
        <v>0</v>
      </c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C592" t="b">
        <v>0</v>
      </c>
      <c r="D592" s="2" t="b">
        <v>0</v>
      </c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C593" t="b">
        <v>0</v>
      </c>
      <c r="D593" s="2" t="b">
        <v>0</v>
      </c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C594" t="b">
        <v>0</v>
      </c>
      <c r="D594" s="2" t="b">
        <v>0</v>
      </c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C595" t="b">
        <v>0</v>
      </c>
      <c r="D595" s="2" t="b">
        <v>0</v>
      </c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C596" t="b">
        <v>0</v>
      </c>
      <c r="D596" s="2" t="b">
        <v>0</v>
      </c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C597" t="b">
        <v>0</v>
      </c>
      <c r="D597" s="2" t="b">
        <v>0</v>
      </c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C598" t="b">
        <v>0</v>
      </c>
      <c r="D598" s="2" t="b">
        <v>0</v>
      </c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C599" t="b">
        <v>0</v>
      </c>
      <c r="D599" s="2" t="b">
        <v>0</v>
      </c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C600" t="b">
        <v>0</v>
      </c>
      <c r="D600" s="2" t="b">
        <v>0</v>
      </c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C601" t="b">
        <v>0</v>
      </c>
      <c r="D601" s="2" t="b">
        <v>0</v>
      </c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C602" t="b">
        <v>0</v>
      </c>
      <c r="D602" s="2" t="b">
        <v>0</v>
      </c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C603" t="b">
        <v>0</v>
      </c>
      <c r="D603" s="2" t="b">
        <v>0</v>
      </c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C604" t="b">
        <v>0</v>
      </c>
      <c r="D604" s="2" t="b">
        <v>0</v>
      </c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C605" t="b">
        <v>0</v>
      </c>
      <c r="D605" s="2" t="b">
        <v>0</v>
      </c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C606" t="b">
        <v>0</v>
      </c>
      <c r="D606" s="2" t="b">
        <v>0</v>
      </c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C607" t="b">
        <v>0</v>
      </c>
      <c r="D607" s="2" t="b">
        <v>0</v>
      </c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C608" t="b">
        <v>0</v>
      </c>
      <c r="D608" s="2" t="b">
        <v>0</v>
      </c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C609" t="b">
        <v>0</v>
      </c>
      <c r="D609" s="2" t="b">
        <v>0</v>
      </c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C610" t="b">
        <v>0</v>
      </c>
      <c r="D610" s="2" t="b">
        <v>0</v>
      </c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C611" t="b">
        <v>0</v>
      </c>
      <c r="D611" s="2" t="b">
        <v>0</v>
      </c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C612" t="b">
        <v>0</v>
      </c>
      <c r="D612" s="2" t="b">
        <v>0</v>
      </c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C613" t="b">
        <v>0</v>
      </c>
      <c r="D613" s="2" t="b">
        <v>0</v>
      </c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C614" t="b">
        <v>0</v>
      </c>
      <c r="D614" s="2" t="b">
        <v>0</v>
      </c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C615" t="b">
        <v>0</v>
      </c>
      <c r="D615" s="2" t="b">
        <v>0</v>
      </c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C616" t="b">
        <v>0</v>
      </c>
      <c r="D616" s="2" t="b">
        <v>0</v>
      </c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C617" t="b">
        <v>0</v>
      </c>
      <c r="D617" s="2" t="b">
        <v>0</v>
      </c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 t="b">
        <v>0</v>
      </c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 t="b">
        <v>0</v>
      </c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 t="b">
        <v>0</v>
      </c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 t="b">
        <v>0</v>
      </c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 t="b">
        <v>0</v>
      </c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 t="b">
        <v>0</v>
      </c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 t="b">
        <v>0</v>
      </c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 t="b">
        <v>0</v>
      </c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 t="b">
        <v>0</v>
      </c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 t="b">
        <v>0</v>
      </c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 t="b">
        <v>0</v>
      </c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C629" t="b">
        <v>0</v>
      </c>
      <c r="D629" s="2" t="b">
        <v>0</v>
      </c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C630" t="b">
        <v>0</v>
      </c>
      <c r="D630" s="2" t="b">
        <v>0</v>
      </c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C631" t="b">
        <v>0</v>
      </c>
      <c r="D631" s="2" t="b">
        <v>0</v>
      </c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C632" t="b">
        <v>0</v>
      </c>
      <c r="D632" s="2" t="b">
        <v>0</v>
      </c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C633" t="b">
        <v>0</v>
      </c>
      <c r="D633" s="2" t="b">
        <v>0</v>
      </c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C634" t="b">
        <v>0</v>
      </c>
      <c r="D634" s="2" t="b">
        <v>0</v>
      </c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C635" t="b">
        <v>0</v>
      </c>
      <c r="D635" s="2" t="b">
        <v>0</v>
      </c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C636" t="b">
        <v>0</v>
      </c>
      <c r="D636" s="2" t="b">
        <v>0</v>
      </c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C637" t="b">
        <v>0</v>
      </c>
      <c r="D637" s="2" t="b">
        <v>0</v>
      </c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C638" t="b">
        <v>0</v>
      </c>
      <c r="D638" s="2" t="b">
        <v>0</v>
      </c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C639" t="b">
        <v>0</v>
      </c>
      <c r="D639" s="2" t="b">
        <v>0</v>
      </c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C640" t="b">
        <v>0</v>
      </c>
      <c r="D640" s="2" t="b">
        <v>0</v>
      </c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C641" t="b">
        <v>0</v>
      </c>
      <c r="D641" s="2" t="b">
        <v>0</v>
      </c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C642" t="b">
        <v>0</v>
      </c>
      <c r="D642" s="2" t="b">
        <v>0</v>
      </c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C643" t="b">
        <v>0</v>
      </c>
      <c r="D643" s="2" t="b">
        <v>0</v>
      </c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C644" t="b">
        <v>0</v>
      </c>
      <c r="D644" s="2" t="b">
        <v>0</v>
      </c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 t="b">
        <v>0</v>
      </c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 t="b">
        <v>0</v>
      </c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 t="b">
        <v>0</v>
      </c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 t="b">
        <v>0</v>
      </c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C649" t="b">
        <v>0</v>
      </c>
      <c r="D649" s="2" t="b">
        <v>0</v>
      </c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C650" t="b">
        <v>0</v>
      </c>
      <c r="D650" s="2" t="b">
        <v>0</v>
      </c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C651" t="b">
        <v>0</v>
      </c>
      <c r="D651" s="2" t="b">
        <v>0</v>
      </c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C652" t="b">
        <v>0</v>
      </c>
      <c r="D652" s="2" t="b">
        <v>0</v>
      </c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C653" t="b">
        <v>0</v>
      </c>
      <c r="D653" s="2" t="b">
        <v>0</v>
      </c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C654" t="b">
        <v>0</v>
      </c>
      <c r="D654" s="2" t="b">
        <v>0</v>
      </c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C655" t="b">
        <v>0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C656" t="b">
        <v>0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C657" t="b">
        <v>0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C658" t="b">
        <v>0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C659" t="b">
        <v>0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C660" t="b">
        <v>0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C661" t="b">
        <v>0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C662" t="b">
        <v>0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C663" t="b">
        <v>0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C664" t="b">
        <v>0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C665" t="b">
        <v>0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C666" t="b">
        <v>0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C667" t="b">
        <v>0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C668" t="b">
        <v>0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C669" t="b">
        <v>0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C670" t="b">
        <v>0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C671" t="b">
        <v>0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C672" t="b">
        <v>0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C673" t="b">
        <v>0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C674" t="b">
        <v>0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C675" t="b">
        <v>0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C676" t="b">
        <v>0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C677" t="b">
        <v>0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C678" t="b">
        <v>0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C679" t="b">
        <v>0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C680" t="b">
        <v>0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C681" t="b">
        <v>0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C682" t="b">
        <v>0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C683" t="b">
        <v>0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C684" t="b">
        <v>0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C685" t="b">
        <v>0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C686" t="b">
        <v>0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C687" t="b">
        <v>0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C688" t="b">
        <v>0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C689" t="b">
        <v>0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C690" t="b">
        <v>0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C691" t="b">
        <v>0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C692" t="b">
        <v>0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C693" t="b">
        <v>0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C694" t="b">
        <v>0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C695" t="b">
        <v>0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C696" t="b">
        <v>0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C697" t="b">
        <v>0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C698" t="b">
        <v>0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C699" t="b">
        <v>0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C700" t="b">
        <v>0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C701" t="b">
        <v>0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C702" t="b">
        <v>0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C703" t="b">
        <v>0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C704" t="b">
        <v>0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C705" t="b">
        <v>0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C706" t="b">
        <v>0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C707" t="b">
        <v>0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C708" t="b">
        <v>0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C709" t="b">
        <v>0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C710" t="b">
        <v>0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C711" t="b">
        <v>0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C712" t="b">
        <v>0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C713" t="b">
        <v>0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C714" t="b">
        <v>0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C715" t="b">
        <v>0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C716" t="b">
        <v>0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C717" t="b">
        <v>0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C718" t="b">
        <v>0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C719" t="b">
        <v>0</v>
      </c>
      <c r="D719" s="2" t="b">
        <v>0</v>
      </c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C720" t="b">
        <v>0</v>
      </c>
      <c r="D720" s="2" t="b">
        <v>0</v>
      </c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C721" t="b">
        <v>0</v>
      </c>
      <c r="D721" s="2" t="b">
        <v>0</v>
      </c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C722" t="b">
        <v>0</v>
      </c>
      <c r="D722" s="2" t="b">
        <v>0</v>
      </c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C723" t="b">
        <v>0</v>
      </c>
      <c r="D723" s="2" t="b">
        <v>0</v>
      </c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C724" t="b">
        <v>0</v>
      </c>
      <c r="D724" s="2" t="b">
        <v>0</v>
      </c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C725" t="b">
        <v>0</v>
      </c>
      <c r="D725" s="2" t="b">
        <v>0</v>
      </c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C726" t="b">
        <v>0</v>
      </c>
      <c r="D726" s="2" t="b">
        <v>0</v>
      </c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C727" t="b">
        <v>0</v>
      </c>
      <c r="D727" s="2" t="b">
        <v>0</v>
      </c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C728" t="b">
        <v>0</v>
      </c>
      <c r="D728" s="2" t="b">
        <v>0</v>
      </c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C729" t="b">
        <v>0</v>
      </c>
      <c r="D729" s="2" t="b">
        <v>0</v>
      </c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C730" t="b">
        <v>0</v>
      </c>
      <c r="D730" s="2" t="b">
        <v>0</v>
      </c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C731" t="b">
        <v>0</v>
      </c>
      <c r="D731" s="2" t="b">
        <v>0</v>
      </c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C732" t="b">
        <v>0</v>
      </c>
      <c r="D732" s="2" t="b">
        <v>0</v>
      </c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C733" t="b">
        <v>0</v>
      </c>
      <c r="D733" s="2" t="b">
        <v>0</v>
      </c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C734" t="b">
        <v>0</v>
      </c>
      <c r="D734" s="2" t="b">
        <v>0</v>
      </c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C735" t="b">
        <v>0</v>
      </c>
      <c r="D735" s="2" t="b">
        <v>0</v>
      </c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C736" t="b">
        <v>0</v>
      </c>
      <c r="D736" s="2" t="b">
        <v>0</v>
      </c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C737" t="b">
        <v>0</v>
      </c>
      <c r="D737" s="2" t="b">
        <v>0</v>
      </c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C738" t="b">
        <v>0</v>
      </c>
      <c r="D738" s="2" t="b">
        <v>0</v>
      </c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C739" t="b">
        <v>0</v>
      </c>
      <c r="D739" s="2" t="b">
        <v>0</v>
      </c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C740" t="b">
        <v>0</v>
      </c>
      <c r="D740" s="2" t="b">
        <v>0</v>
      </c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C741" t="b">
        <v>0</v>
      </c>
      <c r="D741" s="2" t="b">
        <v>0</v>
      </c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C742" t="b">
        <v>0</v>
      </c>
      <c r="D742" s="2" t="b">
        <v>0</v>
      </c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C743" t="b">
        <v>0</v>
      </c>
      <c r="D743" s="2" t="b">
        <v>0</v>
      </c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C744" t="b">
        <v>0</v>
      </c>
      <c r="D744" s="2" t="b">
        <v>0</v>
      </c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C745" t="b">
        <v>0</v>
      </c>
      <c r="D745" s="2" t="b">
        <v>0</v>
      </c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C746" t="b">
        <v>0</v>
      </c>
      <c r="D746" s="2" t="b">
        <v>0</v>
      </c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C747" t="b">
        <v>0</v>
      </c>
      <c r="D747" s="2" t="b">
        <v>0</v>
      </c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C748" t="b">
        <v>0</v>
      </c>
      <c r="D748" s="2" t="b">
        <v>0</v>
      </c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C749" t="b">
        <v>0</v>
      </c>
      <c r="D749" s="2" t="b">
        <v>0</v>
      </c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C750" t="b">
        <v>0</v>
      </c>
      <c r="D750" s="2" t="b">
        <v>0</v>
      </c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C751" t="b">
        <v>0</v>
      </c>
      <c r="D751" s="2" t="b">
        <v>0</v>
      </c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C752" t="b">
        <v>0</v>
      </c>
      <c r="D752" s="2" t="b">
        <v>0</v>
      </c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C753" t="b">
        <v>0</v>
      </c>
      <c r="D753" s="2" t="b">
        <v>0</v>
      </c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C754" t="b">
        <v>0</v>
      </c>
      <c r="D754" s="2" t="b">
        <v>0</v>
      </c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C755" t="b">
        <v>0</v>
      </c>
      <c r="D755" s="2" t="b">
        <v>0</v>
      </c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C756" t="b">
        <v>0</v>
      </c>
      <c r="D756" s="2" t="b">
        <v>0</v>
      </c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C757" t="b">
        <v>0</v>
      </c>
      <c r="D757" s="2" t="b">
        <v>0</v>
      </c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C758" t="b">
        <v>0</v>
      </c>
      <c r="D758" s="2" t="b">
        <v>0</v>
      </c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C759" t="b">
        <v>0</v>
      </c>
      <c r="D759" s="2" t="b">
        <v>0</v>
      </c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C760" t="b">
        <v>0</v>
      </c>
      <c r="D760" s="2" t="b">
        <v>0</v>
      </c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C761" t="b">
        <v>0</v>
      </c>
      <c r="D761" s="2" t="b">
        <v>0</v>
      </c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C762" t="b">
        <v>0</v>
      </c>
      <c r="D762" s="2" t="b">
        <v>0</v>
      </c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C763" t="b">
        <v>0</v>
      </c>
      <c r="D763" s="2" t="b">
        <v>0</v>
      </c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C764" t="b">
        <v>0</v>
      </c>
      <c r="D764" s="2" t="b">
        <v>0</v>
      </c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C765" t="b">
        <v>0</v>
      </c>
      <c r="D765" s="2" t="b">
        <v>0</v>
      </c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C766" t="b">
        <v>0</v>
      </c>
      <c r="D766" s="2" t="b">
        <v>0</v>
      </c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C767" t="b">
        <v>0</v>
      </c>
      <c r="D767" s="2" t="b">
        <v>0</v>
      </c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C768" t="b">
        <v>0</v>
      </c>
      <c r="D768" s="2" t="b">
        <v>0</v>
      </c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C769" t="b">
        <v>0</v>
      </c>
      <c r="D769" s="2" t="b">
        <v>0</v>
      </c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C770" t="b">
        <v>0</v>
      </c>
      <c r="D770" s="2" t="b">
        <v>0</v>
      </c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C771" t="b">
        <v>0</v>
      </c>
      <c r="D771" s="2" t="b">
        <v>0</v>
      </c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C772" t="b">
        <v>0</v>
      </c>
      <c r="D772" s="2" t="b">
        <v>0</v>
      </c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C773" t="b">
        <v>0</v>
      </c>
      <c r="D773" s="2" t="b">
        <v>0</v>
      </c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C774" t="b">
        <v>0</v>
      </c>
      <c r="D774" s="2" t="b">
        <v>0</v>
      </c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C775" t="b">
        <v>0</v>
      </c>
      <c r="D775" s="2" t="b">
        <v>0</v>
      </c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C776" t="b">
        <v>0</v>
      </c>
      <c r="D776" s="2" t="b">
        <v>0</v>
      </c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C777" t="b">
        <v>0</v>
      </c>
      <c r="D777" s="2" t="b">
        <v>0</v>
      </c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C778" t="b">
        <v>0</v>
      </c>
      <c r="D778" s="2" t="b">
        <v>0</v>
      </c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C779" t="b">
        <v>0</v>
      </c>
      <c r="D779" s="2" t="b">
        <v>0</v>
      </c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C780" t="b">
        <v>0</v>
      </c>
      <c r="D780" s="2" t="b">
        <v>0</v>
      </c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C781" t="b">
        <v>0</v>
      </c>
      <c r="D781" s="2" t="b">
        <v>0</v>
      </c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C782" t="b">
        <v>0</v>
      </c>
      <c r="D782" s="2" t="b">
        <v>0</v>
      </c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C783" t="b">
        <v>0</v>
      </c>
      <c r="D783" s="2" t="b">
        <v>0</v>
      </c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C784" t="b">
        <v>0</v>
      </c>
      <c r="D784" s="2" t="b">
        <v>0</v>
      </c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C785" t="b">
        <v>0</v>
      </c>
      <c r="D785" s="2" t="b">
        <v>0</v>
      </c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C786" t="b">
        <v>0</v>
      </c>
      <c r="D786" s="2" t="b">
        <v>0</v>
      </c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C787" t="b">
        <v>0</v>
      </c>
      <c r="D787" s="2" t="b">
        <v>0</v>
      </c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C788" t="b">
        <v>0</v>
      </c>
      <c r="D788" s="2" t="b">
        <v>0</v>
      </c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C789" t="b">
        <v>0</v>
      </c>
      <c r="D789" s="2" t="b">
        <v>0</v>
      </c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1753</v>
      </c>
      <c r="B790" t="b">
        <v>1</v>
      </c>
      <c r="C790" t="b">
        <v>0</v>
      </c>
      <c r="D790" s="2" t="b">
        <v>0</v>
      </c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1756</v>
      </c>
      <c r="B791" t="b">
        <v>1</v>
      </c>
      <c r="C791" t="b">
        <v>0</v>
      </c>
      <c r="D791" s="2" t="b">
        <v>0</v>
      </c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2842</v>
      </c>
      <c r="B792" t="b">
        <v>1</v>
      </c>
      <c r="C792" t="b">
        <v>1</v>
      </c>
      <c r="D792" s="2" t="b">
        <v>0</v>
      </c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2986</v>
      </c>
      <c r="B793" t="b">
        <v>1</v>
      </c>
      <c r="C793" t="b">
        <v>0</v>
      </c>
      <c r="D793" s="2" t="b">
        <v>0</v>
      </c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2988</v>
      </c>
      <c r="B794" t="b">
        <v>1</v>
      </c>
      <c r="C794" t="b">
        <v>0</v>
      </c>
      <c r="D794" s="2" t="b">
        <v>0</v>
      </c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2992</v>
      </c>
      <c r="B795" t="b">
        <v>1</v>
      </c>
      <c r="C795" t="b">
        <v>0</v>
      </c>
      <c r="D795" s="2" t="b">
        <v>0</v>
      </c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2994</v>
      </c>
      <c r="B796" t="b">
        <v>1</v>
      </c>
      <c r="C796" t="b">
        <v>0</v>
      </c>
      <c r="D796" s="2" t="b">
        <v>0</v>
      </c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3011</v>
      </c>
      <c r="B797" t="b">
        <v>1</v>
      </c>
      <c r="C797" t="b">
        <v>0</v>
      </c>
      <c r="D797" s="2" t="b">
        <v>0</v>
      </c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3013</v>
      </c>
      <c r="B798" t="b">
        <v>1</v>
      </c>
      <c r="C798" t="b">
        <v>0</v>
      </c>
      <c r="D798" s="2" t="b">
        <v>0</v>
      </c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3016</v>
      </c>
      <c r="B799" t="b">
        <v>1</v>
      </c>
      <c r="C799" t="b">
        <v>0</v>
      </c>
      <c r="D799" s="2" t="b">
        <v>0</v>
      </c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3019</v>
      </c>
      <c r="B800" t="b">
        <v>1</v>
      </c>
      <c r="C800" t="b">
        <v>0</v>
      </c>
      <c r="D800" s="2" t="b">
        <v>0</v>
      </c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  <row r="801" spans="1:7">
      <c r="A801" s="2" t="s">
        <v>3022</v>
      </c>
      <c r="B801" t="b">
        <v>1</v>
      </c>
      <c r="C801" t="b">
        <v>0</v>
      </c>
      <c r="D801" s="2" t="b">
        <v>0</v>
      </c>
      <c r="E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1">
        <v>0</v>
      </c>
      <c r="G801" t="s">
        <v>715</v>
      </c>
    </row>
    <row r="802" spans="1:7">
      <c r="A802" s="2" t="s">
        <v>3024</v>
      </c>
      <c r="B802" t="b">
        <v>1</v>
      </c>
      <c r="C802" t="b">
        <v>0</v>
      </c>
      <c r="D802" s="2" t="b">
        <v>0</v>
      </c>
      <c r="E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2">
        <v>0</v>
      </c>
      <c r="G802" t="s">
        <v>715</v>
      </c>
    </row>
    <row r="803" spans="1:7">
      <c r="A803" s="2" t="s">
        <v>3027</v>
      </c>
      <c r="B803" t="b">
        <v>1</v>
      </c>
      <c r="C803" t="b">
        <v>0</v>
      </c>
      <c r="D803" s="2" t="b">
        <v>0</v>
      </c>
      <c r="E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803">
        <v>0</v>
      </c>
      <c r="G803" t="s">
        <v>715</v>
      </c>
    </row>
    <row r="804" spans="1:7">
      <c r="A804" s="2" t="s">
        <v>3032</v>
      </c>
      <c r="B804" t="b">
        <v>1</v>
      </c>
      <c r="C804" t="b">
        <v>1</v>
      </c>
      <c r="D804" s="2" t="b">
        <v>0</v>
      </c>
      <c r="E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804">
        <v>0</v>
      </c>
      <c r="G804" t="s">
        <v>715</v>
      </c>
    </row>
  </sheetData>
  <conditionalFormatting sqref="B1:D1048576">
    <cfRule type="cellIs" dxfId="11" priority="1" operator="equal">
      <formula>FALSE</formula>
    </cfRule>
  </conditionalFormatting>
  <conditionalFormatting sqref="I790:K1048576">
    <cfRule type="cellIs" dxfId="10" priority="2" operator="equal">
      <formula>FALSE</formula>
    </cfRule>
  </conditionalFormatting>
  <dataValidations count="2">
    <dataValidation type="list" allowBlank="1" showInputMessage="1" showErrorMessage="1" sqref="P790:T1048576 I790:L1048576" xr:uid="{7A86589D-A25B-450D-959D-091B54853275}">
      <formula1>"TRUE"</formula1>
    </dataValidation>
    <dataValidation type="list" allowBlank="1" showInputMessage="1" showErrorMessage="1" sqref="B1:D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4"/>
  <sheetViews>
    <sheetView zoomScaleNormal="100" workbookViewId="0">
      <pane xSplit="1" ySplit="1" topLeftCell="B663" activePane="bottomRight" state="frozen"/>
      <selection activeCell="Q19" sqref="Q19"/>
      <selection pane="topRight" activeCell="Q19" sqref="Q19"/>
      <selection pane="bottomLeft" activeCell="Q19" sqref="Q19"/>
      <selection pane="bottomRight" activeCell="C676" sqref="C676:D67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1748</v>
      </c>
      <c r="C1" s="1" t="s">
        <v>1720</v>
      </c>
      <c r="D1" s="1" t="s">
        <v>1730</v>
      </c>
    </row>
    <row r="2" spans="1:13">
      <c r="A2" s="2" t="s">
        <v>530</v>
      </c>
      <c r="B2" t="s">
        <v>1749</v>
      </c>
      <c r="C2" t="s">
        <v>1721</v>
      </c>
      <c r="D2" t="s">
        <v>1731</v>
      </c>
      <c r="K2"/>
      <c r="L2"/>
      <c r="M2"/>
    </row>
    <row r="3" spans="1:13">
      <c r="A3" s="2" t="s">
        <v>299</v>
      </c>
      <c r="B3" t="s">
        <v>1749</v>
      </c>
      <c r="C3" t="s">
        <v>1722</v>
      </c>
      <c r="D3" t="s">
        <v>1731</v>
      </c>
      <c r="K3"/>
      <c r="L3"/>
      <c r="M3"/>
    </row>
    <row r="4" spans="1:13">
      <c r="A4" s="2" t="s">
        <v>265</v>
      </c>
      <c r="B4" t="s">
        <v>1749</v>
      </c>
      <c r="C4" t="s">
        <v>1722</v>
      </c>
      <c r="D4" t="s">
        <v>1731</v>
      </c>
      <c r="K4"/>
      <c r="L4"/>
      <c r="M4"/>
    </row>
    <row r="5" spans="1:13">
      <c r="A5" s="2" t="s">
        <v>290</v>
      </c>
      <c r="B5" t="s">
        <v>1749</v>
      </c>
      <c r="C5" t="s">
        <v>1722</v>
      </c>
      <c r="D5" t="s">
        <v>1731</v>
      </c>
      <c r="K5"/>
      <c r="L5"/>
      <c r="M5"/>
    </row>
    <row r="6" spans="1:13">
      <c r="A6" s="2" t="s">
        <v>246</v>
      </c>
      <c r="B6" t="s">
        <v>1749</v>
      </c>
      <c r="C6" t="s">
        <v>1722</v>
      </c>
      <c r="D6" t="s">
        <v>1731</v>
      </c>
      <c r="K6"/>
      <c r="L6"/>
      <c r="M6"/>
    </row>
    <row r="7" spans="1:13">
      <c r="A7" s="2" t="s">
        <v>229</v>
      </c>
      <c r="B7" t="s">
        <v>1749</v>
      </c>
      <c r="C7" t="s">
        <v>1722</v>
      </c>
      <c r="D7" t="s">
        <v>1731</v>
      </c>
      <c r="K7"/>
      <c r="L7"/>
      <c r="M7"/>
    </row>
    <row r="8" spans="1:13">
      <c r="A8" s="2" t="s">
        <v>296</v>
      </c>
      <c r="B8" t="s">
        <v>1749</v>
      </c>
      <c r="C8" t="s">
        <v>1722</v>
      </c>
      <c r="D8" t="s">
        <v>1731</v>
      </c>
      <c r="K8"/>
      <c r="L8"/>
      <c r="M8"/>
    </row>
    <row r="9" spans="1:13">
      <c r="A9" s="2" t="s">
        <v>297</v>
      </c>
      <c r="B9" t="s">
        <v>1749</v>
      </c>
      <c r="C9" t="s">
        <v>1722</v>
      </c>
      <c r="D9" t="s">
        <v>1731</v>
      </c>
      <c r="K9"/>
      <c r="L9"/>
      <c r="M9"/>
    </row>
    <row r="10" spans="1:13">
      <c r="A10" s="2" t="s">
        <v>243</v>
      </c>
      <c r="B10" t="s">
        <v>1749</v>
      </c>
      <c r="C10" t="s">
        <v>1722</v>
      </c>
      <c r="D10" t="s">
        <v>1731</v>
      </c>
      <c r="K10"/>
      <c r="L10"/>
      <c r="M10"/>
    </row>
    <row r="11" spans="1:13">
      <c r="A11" s="2" t="s">
        <v>231</v>
      </c>
      <c r="B11" t="s">
        <v>1749</v>
      </c>
      <c r="C11" t="s">
        <v>1722</v>
      </c>
      <c r="D11" t="s">
        <v>1731</v>
      </c>
      <c r="K11"/>
      <c r="L11"/>
      <c r="M11"/>
    </row>
    <row r="12" spans="1:13">
      <c r="A12" s="2" t="s">
        <v>273</v>
      </c>
      <c r="B12" t="s">
        <v>1749</v>
      </c>
      <c r="C12" t="s">
        <v>1722</v>
      </c>
      <c r="D12" t="s">
        <v>1731</v>
      </c>
      <c r="K12"/>
      <c r="L12"/>
      <c r="M12"/>
    </row>
    <row r="13" spans="1:13">
      <c r="A13" s="2" t="s">
        <v>200</v>
      </c>
      <c r="B13" t="s">
        <v>1749</v>
      </c>
      <c r="C13" t="s">
        <v>1722</v>
      </c>
      <c r="D13" t="s">
        <v>1731</v>
      </c>
      <c r="K13"/>
      <c r="L13"/>
      <c r="M13"/>
    </row>
    <row r="14" spans="1:13">
      <c r="A14" s="2" t="s">
        <v>320</v>
      </c>
      <c r="B14" t="s">
        <v>1749</v>
      </c>
      <c r="C14" t="s">
        <v>1722</v>
      </c>
      <c r="D14" t="s">
        <v>1731</v>
      </c>
      <c r="K14"/>
      <c r="L14"/>
      <c r="M14"/>
    </row>
    <row r="15" spans="1:13">
      <c r="A15" s="2" t="s">
        <v>279</v>
      </c>
      <c r="B15" t="s">
        <v>1749</v>
      </c>
      <c r="C15" t="s">
        <v>1722</v>
      </c>
      <c r="D15" t="s">
        <v>1731</v>
      </c>
      <c r="K15"/>
      <c r="L15"/>
      <c r="M15"/>
    </row>
    <row r="16" spans="1:13">
      <c r="A16" s="2" t="s">
        <v>318</v>
      </c>
      <c r="B16" t="s">
        <v>1749</v>
      </c>
      <c r="C16" t="s">
        <v>1723</v>
      </c>
      <c r="D16" t="s">
        <v>1732</v>
      </c>
      <c r="K16"/>
      <c r="L16"/>
      <c r="M16"/>
    </row>
    <row r="17" spans="1:13">
      <c r="A17" s="2" t="s">
        <v>234</v>
      </c>
      <c r="B17" t="s">
        <v>1749</v>
      </c>
      <c r="C17" t="s">
        <v>1722</v>
      </c>
      <c r="D17" t="s">
        <v>1731</v>
      </c>
      <c r="K17"/>
      <c r="L17"/>
      <c r="M17"/>
    </row>
    <row r="18" spans="1:13">
      <c r="A18" s="2" t="s">
        <v>263</v>
      </c>
      <c r="B18" t="s">
        <v>1749</v>
      </c>
      <c r="C18" t="s">
        <v>1729</v>
      </c>
      <c r="D18" t="s">
        <v>1732</v>
      </c>
      <c r="K18"/>
      <c r="L18"/>
      <c r="M18"/>
    </row>
    <row r="19" spans="1:13">
      <c r="A19" s="2" t="s">
        <v>269</v>
      </c>
      <c r="B19" t="s">
        <v>1749</v>
      </c>
      <c r="C19" t="s">
        <v>1722</v>
      </c>
      <c r="D19" t="s">
        <v>1731</v>
      </c>
      <c r="K19"/>
      <c r="L19"/>
      <c r="M19"/>
    </row>
    <row r="20" spans="1:13">
      <c r="A20" s="2" t="s">
        <v>281</v>
      </c>
      <c r="B20" t="s">
        <v>1749</v>
      </c>
      <c r="C20" t="s">
        <v>1722</v>
      </c>
      <c r="D20" t="s">
        <v>1731</v>
      </c>
      <c r="K20"/>
      <c r="L20"/>
      <c r="M20"/>
    </row>
    <row r="21" spans="1:13">
      <c r="A21" s="2" t="s">
        <v>210</v>
      </c>
      <c r="B21" t="s">
        <v>1749</v>
      </c>
      <c r="C21" t="s">
        <v>1722</v>
      </c>
      <c r="D21" t="s">
        <v>1731</v>
      </c>
      <c r="K21"/>
      <c r="L21"/>
      <c r="M21"/>
    </row>
    <row r="22" spans="1:13">
      <c r="A22" s="2" t="s">
        <v>305</v>
      </c>
      <c r="B22" t="s">
        <v>1749</v>
      </c>
      <c r="C22" t="s">
        <v>1723</v>
      </c>
      <c r="D22" t="s">
        <v>1731</v>
      </c>
      <c r="K22"/>
      <c r="L22"/>
      <c r="M22"/>
    </row>
    <row r="23" spans="1:13">
      <c r="A23" s="2" t="s">
        <v>224</v>
      </c>
      <c r="B23" t="s">
        <v>1749</v>
      </c>
      <c r="C23" t="s">
        <v>1722</v>
      </c>
      <c r="D23" t="s">
        <v>1731</v>
      </c>
      <c r="K23"/>
      <c r="L23"/>
      <c r="M23"/>
    </row>
    <row r="24" spans="1:13">
      <c r="A24" s="2" t="s">
        <v>247</v>
      </c>
      <c r="B24" t="s">
        <v>1749</v>
      </c>
      <c r="C24" t="s">
        <v>1722</v>
      </c>
      <c r="D24" t="s">
        <v>1731</v>
      </c>
      <c r="K24"/>
      <c r="L24"/>
      <c r="M24"/>
    </row>
    <row r="25" spans="1:13">
      <c r="A25" s="2" t="s">
        <v>215</v>
      </c>
      <c r="B25" t="s">
        <v>1749</v>
      </c>
      <c r="C25" t="s">
        <v>1729</v>
      </c>
      <c r="D25" t="s">
        <v>1732</v>
      </c>
      <c r="K25"/>
      <c r="L25"/>
      <c r="M25"/>
    </row>
    <row r="26" spans="1:13">
      <c r="A26" s="2" t="s">
        <v>221</v>
      </c>
      <c r="B26" t="s">
        <v>1749</v>
      </c>
      <c r="C26" t="s">
        <v>1729</v>
      </c>
      <c r="D26" t="s">
        <v>1736</v>
      </c>
      <c r="K26"/>
      <c r="L26"/>
      <c r="M26"/>
    </row>
    <row r="27" spans="1:13">
      <c r="A27" s="2" t="s">
        <v>291</v>
      </c>
      <c r="B27" t="s">
        <v>1749</v>
      </c>
      <c r="C27" t="s">
        <v>1722</v>
      </c>
      <c r="D27" t="s">
        <v>1731</v>
      </c>
      <c r="K27"/>
      <c r="L27"/>
      <c r="M27"/>
    </row>
    <row r="28" spans="1:13">
      <c r="A28" s="2" t="s">
        <v>267</v>
      </c>
      <c r="B28" t="s">
        <v>1749</v>
      </c>
      <c r="C28" t="s">
        <v>1722</v>
      </c>
      <c r="D28" t="s">
        <v>1731</v>
      </c>
      <c r="K28"/>
      <c r="L28"/>
      <c r="M28"/>
    </row>
    <row r="29" spans="1:13">
      <c r="A29" s="2" t="s">
        <v>204</v>
      </c>
      <c r="B29" t="s">
        <v>1749</v>
      </c>
      <c r="C29" t="s">
        <v>1722</v>
      </c>
      <c r="D29" t="s">
        <v>1731</v>
      </c>
      <c r="K29"/>
      <c r="L29"/>
      <c r="M29"/>
    </row>
    <row r="30" spans="1:13">
      <c r="A30" s="2" t="s">
        <v>294</v>
      </c>
      <c r="B30" t="s">
        <v>1749</v>
      </c>
      <c r="C30" t="s">
        <v>1722</v>
      </c>
      <c r="D30" t="s">
        <v>1731</v>
      </c>
      <c r="K30"/>
      <c r="L30"/>
      <c r="M30"/>
    </row>
    <row r="31" spans="1:13">
      <c r="A31" s="2" t="s">
        <v>222</v>
      </c>
      <c r="B31" t="s">
        <v>1749</v>
      </c>
      <c r="C31" t="s">
        <v>1722</v>
      </c>
      <c r="D31" t="s">
        <v>1731</v>
      </c>
      <c r="K31"/>
      <c r="L31"/>
      <c r="M31"/>
    </row>
    <row r="32" spans="1:13">
      <c r="A32" s="2" t="s">
        <v>258</v>
      </c>
      <c r="B32" t="s">
        <v>1749</v>
      </c>
      <c r="C32" t="s">
        <v>1729</v>
      </c>
      <c r="D32" t="s">
        <v>1735</v>
      </c>
      <c r="K32"/>
      <c r="L32"/>
      <c r="M32"/>
    </row>
    <row r="33" spans="1:13">
      <c r="A33" s="2" t="s">
        <v>237</v>
      </c>
      <c r="B33" t="s">
        <v>1749</v>
      </c>
      <c r="C33" t="s">
        <v>1722</v>
      </c>
      <c r="D33" t="s">
        <v>1731</v>
      </c>
      <c r="K33"/>
      <c r="L33"/>
      <c r="M33"/>
    </row>
    <row r="34" spans="1:13">
      <c r="A34" s="2" t="s">
        <v>211</v>
      </c>
      <c r="B34" t="s">
        <v>1749</v>
      </c>
      <c r="C34" t="s">
        <v>1722</v>
      </c>
      <c r="D34" t="s">
        <v>1731</v>
      </c>
      <c r="K34"/>
      <c r="L34"/>
      <c r="M34"/>
    </row>
    <row r="35" spans="1:13">
      <c r="A35" s="2" t="s">
        <v>208</v>
      </c>
      <c r="B35" t="s">
        <v>1749</v>
      </c>
      <c r="C35" t="s">
        <v>1722</v>
      </c>
      <c r="D35" t="s">
        <v>1731</v>
      </c>
      <c r="K35"/>
      <c r="L35"/>
      <c r="M35"/>
    </row>
    <row r="36" spans="1:13">
      <c r="A36" s="2" t="s">
        <v>287</v>
      </c>
      <c r="B36" t="s">
        <v>1749</v>
      </c>
      <c r="C36" t="s">
        <v>1722</v>
      </c>
      <c r="D36" t="s">
        <v>1731</v>
      </c>
      <c r="K36"/>
      <c r="L36"/>
      <c r="M36"/>
    </row>
    <row r="37" spans="1:13">
      <c r="A37" s="2" t="s">
        <v>212</v>
      </c>
      <c r="B37" t="s">
        <v>1749</v>
      </c>
      <c r="C37" t="s">
        <v>1723</v>
      </c>
      <c r="D37" t="s">
        <v>1732</v>
      </c>
      <c r="K37"/>
      <c r="L37"/>
      <c r="M37"/>
    </row>
    <row r="38" spans="1:13">
      <c r="A38" s="2" t="s">
        <v>292</v>
      </c>
      <c r="B38" t="s">
        <v>1749</v>
      </c>
      <c r="C38" t="s">
        <v>1722</v>
      </c>
      <c r="D38" t="s">
        <v>1731</v>
      </c>
      <c r="K38"/>
      <c r="L38"/>
      <c r="M38"/>
    </row>
    <row r="39" spans="1:13">
      <c r="A39" s="2" t="s">
        <v>278</v>
      </c>
      <c r="B39" t="s">
        <v>1749</v>
      </c>
      <c r="C39" t="s">
        <v>1722</v>
      </c>
      <c r="D39" t="s">
        <v>1731</v>
      </c>
      <c r="K39"/>
      <c r="L39"/>
      <c r="M39"/>
    </row>
    <row r="40" spans="1:13">
      <c r="A40" s="2" t="s">
        <v>238</v>
      </c>
      <c r="B40" t="s">
        <v>1749</v>
      </c>
      <c r="C40" t="s">
        <v>1722</v>
      </c>
      <c r="D40" t="s">
        <v>1731</v>
      </c>
      <c r="K40"/>
      <c r="L40"/>
      <c r="M40"/>
    </row>
    <row r="41" spans="1:13">
      <c r="A41" s="2" t="s">
        <v>252</v>
      </c>
      <c r="B41" t="s">
        <v>1749</v>
      </c>
      <c r="C41" t="s">
        <v>1722</v>
      </c>
      <c r="D41" t="s">
        <v>1731</v>
      </c>
      <c r="K41"/>
      <c r="L41"/>
      <c r="M41"/>
    </row>
    <row r="42" spans="1:13">
      <c r="A42" s="2" t="s">
        <v>255</v>
      </c>
      <c r="B42" t="s">
        <v>1749</v>
      </c>
      <c r="C42" t="s">
        <v>1722</v>
      </c>
      <c r="D42" t="s">
        <v>1731</v>
      </c>
      <c r="K42"/>
      <c r="L42"/>
      <c r="M42"/>
    </row>
    <row r="43" spans="1:13">
      <c r="A43" s="2" t="s">
        <v>235</v>
      </c>
      <c r="B43" t="s">
        <v>1749</v>
      </c>
      <c r="C43" t="s">
        <v>1722</v>
      </c>
      <c r="D43" t="s">
        <v>1731</v>
      </c>
      <c r="K43"/>
      <c r="L43"/>
      <c r="M43"/>
    </row>
    <row r="44" spans="1:13">
      <c r="A44" s="2" t="s">
        <v>218</v>
      </c>
      <c r="B44" t="s">
        <v>1749</v>
      </c>
      <c r="C44" t="s">
        <v>1722</v>
      </c>
      <c r="D44" t="s">
        <v>1731</v>
      </c>
      <c r="K44"/>
      <c r="L44"/>
      <c r="M44"/>
    </row>
    <row r="45" spans="1:13">
      <c r="A45" s="2" t="s">
        <v>225</v>
      </c>
      <c r="B45" t="s">
        <v>1749</v>
      </c>
      <c r="C45" t="s">
        <v>1722</v>
      </c>
      <c r="D45" t="s">
        <v>1731</v>
      </c>
      <c r="K45"/>
      <c r="L45"/>
      <c r="M45"/>
    </row>
    <row r="46" spans="1:13">
      <c r="A46" s="2" t="s">
        <v>315</v>
      </c>
      <c r="B46" t="s">
        <v>1749</v>
      </c>
      <c r="C46" t="s">
        <v>1722</v>
      </c>
      <c r="D46" t="s">
        <v>1731</v>
      </c>
      <c r="K46"/>
      <c r="L46"/>
      <c r="M46"/>
    </row>
    <row r="47" spans="1:13">
      <c r="A47" s="2" t="s">
        <v>232</v>
      </c>
      <c r="B47" t="s">
        <v>1749</v>
      </c>
      <c r="C47" t="s">
        <v>1722</v>
      </c>
      <c r="D47" t="s">
        <v>1731</v>
      </c>
      <c r="K47"/>
      <c r="L47"/>
      <c r="M47"/>
    </row>
    <row r="48" spans="1:13">
      <c r="A48" s="2" t="s">
        <v>301</v>
      </c>
      <c r="B48" t="s">
        <v>1749</v>
      </c>
      <c r="C48" t="s">
        <v>1722</v>
      </c>
      <c r="D48" t="s">
        <v>1731</v>
      </c>
      <c r="K48"/>
      <c r="L48"/>
      <c r="M48"/>
    </row>
    <row r="49" spans="1:13">
      <c r="A49" s="2" t="s">
        <v>219</v>
      </c>
      <c r="B49" t="s">
        <v>1749</v>
      </c>
      <c r="C49" t="s">
        <v>1722</v>
      </c>
      <c r="D49" t="s">
        <v>1731</v>
      </c>
      <c r="K49"/>
      <c r="L49"/>
      <c r="M49"/>
    </row>
    <row r="50" spans="1:13">
      <c r="A50" s="2" t="s">
        <v>241</v>
      </c>
      <c r="B50" t="s">
        <v>1749</v>
      </c>
      <c r="C50" t="s">
        <v>1722</v>
      </c>
      <c r="D50" t="s">
        <v>1731</v>
      </c>
      <c r="K50"/>
      <c r="L50"/>
      <c r="M50"/>
    </row>
    <row r="51" spans="1:13">
      <c r="A51" s="2" t="s">
        <v>285</v>
      </c>
      <c r="B51" t="s">
        <v>1749</v>
      </c>
      <c r="C51" t="s">
        <v>1722</v>
      </c>
      <c r="D51" t="s">
        <v>1731</v>
      </c>
      <c r="K51"/>
      <c r="L51"/>
      <c r="M51"/>
    </row>
    <row r="52" spans="1:13">
      <c r="A52" s="2" t="s">
        <v>313</v>
      </c>
      <c r="B52" t="s">
        <v>1749</v>
      </c>
      <c r="C52" t="s">
        <v>1722</v>
      </c>
      <c r="D52" t="s">
        <v>1731</v>
      </c>
      <c r="K52"/>
      <c r="L52"/>
      <c r="M52"/>
    </row>
    <row r="53" spans="1:13">
      <c r="A53" s="2" t="s">
        <v>216</v>
      </c>
      <c r="B53" t="s">
        <v>1749</v>
      </c>
      <c r="C53" t="s">
        <v>1722</v>
      </c>
      <c r="D53" t="s">
        <v>1731</v>
      </c>
      <c r="K53"/>
      <c r="L53"/>
      <c r="M53"/>
    </row>
    <row r="54" spans="1:13">
      <c r="A54" s="2" t="s">
        <v>253</v>
      </c>
      <c r="B54" t="s">
        <v>1749</v>
      </c>
      <c r="C54" t="s">
        <v>1722</v>
      </c>
      <c r="D54" t="s">
        <v>1731</v>
      </c>
      <c r="K54"/>
      <c r="L54"/>
      <c r="M54"/>
    </row>
    <row r="55" spans="1:13">
      <c r="A55" s="2" t="s">
        <v>198</v>
      </c>
      <c r="B55" t="s">
        <v>1749</v>
      </c>
      <c r="C55" t="s">
        <v>1729</v>
      </c>
      <c r="D55" t="s">
        <v>1732</v>
      </c>
      <c r="K55"/>
      <c r="L55"/>
      <c r="M55"/>
    </row>
    <row r="56" spans="1:13">
      <c r="A56" s="2" t="s">
        <v>195</v>
      </c>
      <c r="B56" t="s">
        <v>1749</v>
      </c>
      <c r="C56" t="s">
        <v>1722</v>
      </c>
      <c r="D56" t="s">
        <v>1731</v>
      </c>
      <c r="K56"/>
      <c r="L56"/>
      <c r="M56"/>
    </row>
    <row r="57" spans="1:13">
      <c r="A57" s="2" t="s">
        <v>256</v>
      </c>
      <c r="B57" t="s">
        <v>1749</v>
      </c>
      <c r="C57" t="s">
        <v>1722</v>
      </c>
      <c r="D57" t="s">
        <v>1731</v>
      </c>
      <c r="K57"/>
      <c r="L57"/>
      <c r="M57"/>
    </row>
    <row r="58" spans="1:13">
      <c r="A58" s="2" t="s">
        <v>214</v>
      </c>
      <c r="B58" t="s">
        <v>1749</v>
      </c>
      <c r="C58" t="s">
        <v>1722</v>
      </c>
      <c r="D58" t="s">
        <v>1731</v>
      </c>
      <c r="K58"/>
      <c r="L58"/>
      <c r="M58"/>
    </row>
    <row r="59" spans="1:13">
      <c r="A59" s="2" t="s">
        <v>213</v>
      </c>
      <c r="B59" t="s">
        <v>1749</v>
      </c>
      <c r="C59" t="s">
        <v>1722</v>
      </c>
      <c r="D59" t="s">
        <v>1731</v>
      </c>
      <c r="K59"/>
      <c r="L59"/>
      <c r="M59"/>
    </row>
    <row r="60" spans="1:13">
      <c r="A60" s="2" t="s">
        <v>226</v>
      </c>
      <c r="B60" t="s">
        <v>1749</v>
      </c>
      <c r="C60" t="s">
        <v>1722</v>
      </c>
      <c r="D60" t="s">
        <v>1731</v>
      </c>
      <c r="K60"/>
      <c r="L60"/>
      <c r="M60"/>
    </row>
    <row r="61" spans="1:13">
      <c r="A61" s="2" t="s">
        <v>289</v>
      </c>
      <c r="B61" t="s">
        <v>1749</v>
      </c>
      <c r="C61" t="s">
        <v>1722</v>
      </c>
      <c r="D61" t="s">
        <v>1731</v>
      </c>
      <c r="K61"/>
      <c r="L61"/>
      <c r="M61"/>
    </row>
    <row r="62" spans="1:13">
      <c r="A62" s="2" t="s">
        <v>250</v>
      </c>
      <c r="B62" t="s">
        <v>1749</v>
      </c>
      <c r="C62" t="s">
        <v>1722</v>
      </c>
      <c r="D62" t="s">
        <v>1731</v>
      </c>
      <c r="K62"/>
      <c r="L62"/>
      <c r="M62"/>
    </row>
    <row r="63" spans="1:13">
      <c r="A63" s="2" t="s">
        <v>271</v>
      </c>
      <c r="B63" t="s">
        <v>1749</v>
      </c>
      <c r="C63" t="s">
        <v>1722</v>
      </c>
      <c r="D63" t="s">
        <v>1731</v>
      </c>
      <c r="K63"/>
      <c r="L63"/>
      <c r="M63"/>
    </row>
    <row r="64" spans="1:13">
      <c r="A64" s="2" t="s">
        <v>266</v>
      </c>
      <c r="B64" t="s">
        <v>1749</v>
      </c>
      <c r="C64" t="s">
        <v>1722</v>
      </c>
      <c r="D64" t="s">
        <v>1731</v>
      </c>
      <c r="K64"/>
      <c r="L64"/>
      <c r="M64"/>
    </row>
    <row r="65" spans="1:13">
      <c r="A65" s="2" t="s">
        <v>283</v>
      </c>
      <c r="B65" t="s">
        <v>1749</v>
      </c>
      <c r="C65" t="s">
        <v>1722</v>
      </c>
      <c r="D65" t="s">
        <v>1731</v>
      </c>
      <c r="K65"/>
      <c r="L65"/>
      <c r="M65"/>
    </row>
    <row r="66" spans="1:13">
      <c r="A66" s="2" t="s">
        <v>286</v>
      </c>
      <c r="B66" t="s">
        <v>1749</v>
      </c>
      <c r="C66" t="s">
        <v>1722</v>
      </c>
      <c r="D66" t="s">
        <v>1731</v>
      </c>
      <c r="K66"/>
      <c r="L66"/>
      <c r="M66"/>
    </row>
    <row r="67" spans="1:13">
      <c r="A67" s="2" t="s">
        <v>310</v>
      </c>
      <c r="B67" t="s">
        <v>1749</v>
      </c>
      <c r="C67" t="s">
        <v>1722</v>
      </c>
      <c r="D67" t="s">
        <v>1731</v>
      </c>
      <c r="K67"/>
      <c r="L67"/>
      <c r="M67"/>
    </row>
    <row r="68" spans="1:13">
      <c r="A68" s="2" t="s">
        <v>272</v>
      </c>
      <c r="B68" t="s">
        <v>1749</v>
      </c>
      <c r="C68" t="s">
        <v>1722</v>
      </c>
      <c r="D68" t="s">
        <v>1731</v>
      </c>
      <c r="K68"/>
      <c r="L68"/>
      <c r="M68"/>
    </row>
    <row r="69" spans="1:13">
      <c r="A69" s="2" t="s">
        <v>276</v>
      </c>
      <c r="B69" t="s">
        <v>1749</v>
      </c>
      <c r="C69" t="s">
        <v>1722</v>
      </c>
      <c r="D69" t="s">
        <v>1731</v>
      </c>
      <c r="K69"/>
      <c r="L69"/>
      <c r="M69"/>
    </row>
    <row r="70" spans="1:13">
      <c r="A70" s="2" t="s">
        <v>625</v>
      </c>
      <c r="B70" t="s">
        <v>1749</v>
      </c>
      <c r="C70" t="s">
        <v>1722</v>
      </c>
      <c r="D70" t="s">
        <v>1731</v>
      </c>
      <c r="K70"/>
      <c r="L70"/>
      <c r="M70"/>
    </row>
    <row r="71" spans="1:13">
      <c r="A71" s="2" t="s">
        <v>209</v>
      </c>
      <c r="B71" t="s">
        <v>1749</v>
      </c>
      <c r="C71" t="s">
        <v>1729</v>
      </c>
      <c r="D71" t="s">
        <v>1732</v>
      </c>
      <c r="K71"/>
      <c r="L71"/>
      <c r="M71"/>
    </row>
    <row r="72" spans="1:13">
      <c r="A72" s="2" t="s">
        <v>268</v>
      </c>
      <c r="B72" t="s">
        <v>1749</v>
      </c>
      <c r="C72" t="s">
        <v>1722</v>
      </c>
      <c r="D72" t="s">
        <v>1731</v>
      </c>
      <c r="K72"/>
      <c r="L72"/>
      <c r="M72"/>
    </row>
    <row r="73" spans="1:13">
      <c r="A73" s="2" t="s">
        <v>303</v>
      </c>
      <c r="B73" t="s">
        <v>1749</v>
      </c>
      <c r="C73" t="s">
        <v>1722</v>
      </c>
      <c r="D73" t="s">
        <v>1731</v>
      </c>
      <c r="K73"/>
      <c r="L73"/>
      <c r="M73"/>
    </row>
    <row r="74" spans="1:13">
      <c r="A74" s="2" t="s">
        <v>197</v>
      </c>
      <c r="B74" t="s">
        <v>1749</v>
      </c>
      <c r="C74" t="s">
        <v>1722</v>
      </c>
      <c r="D74" t="s">
        <v>1731</v>
      </c>
      <c r="K74"/>
      <c r="L74"/>
      <c r="M74"/>
    </row>
    <row r="75" spans="1:13">
      <c r="A75" s="2" t="s">
        <v>205</v>
      </c>
      <c r="B75" t="s">
        <v>1749</v>
      </c>
      <c r="C75" t="s">
        <v>1729</v>
      </c>
      <c r="D75" t="s">
        <v>1732</v>
      </c>
      <c r="K75"/>
      <c r="L75"/>
      <c r="M75"/>
    </row>
    <row r="76" spans="1:13">
      <c r="A76" s="2" t="s">
        <v>314</v>
      </c>
      <c r="B76" t="s">
        <v>1749</v>
      </c>
      <c r="C76" t="s">
        <v>1722</v>
      </c>
      <c r="D76" t="s">
        <v>1731</v>
      </c>
      <c r="K76"/>
      <c r="L76"/>
      <c r="M76"/>
    </row>
    <row r="77" spans="1:13">
      <c r="A77" s="2" t="s">
        <v>319</v>
      </c>
      <c r="B77" t="s">
        <v>1749</v>
      </c>
      <c r="C77" t="s">
        <v>1722</v>
      </c>
      <c r="D77" t="s">
        <v>1731</v>
      </c>
      <c r="K77"/>
      <c r="L77"/>
      <c r="M77"/>
    </row>
    <row r="78" spans="1:13">
      <c r="A78" s="2" t="s">
        <v>277</v>
      </c>
      <c r="B78" t="s">
        <v>1749</v>
      </c>
      <c r="C78" t="s">
        <v>1722</v>
      </c>
      <c r="D78" t="s">
        <v>1731</v>
      </c>
      <c r="K78"/>
      <c r="L78"/>
      <c r="M78"/>
    </row>
    <row r="79" spans="1:13">
      <c r="A79" s="2" t="s">
        <v>239</v>
      </c>
      <c r="B79" t="s">
        <v>1749</v>
      </c>
      <c r="C79" t="s">
        <v>1729</v>
      </c>
      <c r="D79" t="s">
        <v>1736</v>
      </c>
      <c r="K79"/>
      <c r="L79"/>
      <c r="M79"/>
    </row>
    <row r="80" spans="1:13">
      <c r="A80" s="2" t="s">
        <v>293</v>
      </c>
      <c r="B80" t="s">
        <v>1749</v>
      </c>
      <c r="C80" t="s">
        <v>1722</v>
      </c>
      <c r="D80" t="s">
        <v>1731</v>
      </c>
      <c r="K80"/>
      <c r="L80"/>
      <c r="M80"/>
    </row>
    <row r="81" spans="1:13">
      <c r="A81" s="2" t="s">
        <v>295</v>
      </c>
      <c r="B81" t="s">
        <v>1749</v>
      </c>
      <c r="C81" t="s">
        <v>1722</v>
      </c>
      <c r="D81" t="s">
        <v>1731</v>
      </c>
      <c r="K81"/>
      <c r="L81"/>
      <c r="M81"/>
    </row>
    <row r="82" spans="1:13">
      <c r="A82" s="2" t="s">
        <v>306</v>
      </c>
      <c r="B82" t="s">
        <v>1749</v>
      </c>
      <c r="C82" t="s">
        <v>1722</v>
      </c>
      <c r="D82" t="s">
        <v>1731</v>
      </c>
      <c r="K82"/>
      <c r="L82"/>
      <c r="M82"/>
    </row>
    <row r="83" spans="1:13">
      <c r="A83" s="2" t="s">
        <v>312</v>
      </c>
      <c r="B83" t="s">
        <v>1749</v>
      </c>
      <c r="C83" t="s">
        <v>1722</v>
      </c>
      <c r="D83" t="s">
        <v>1731</v>
      </c>
      <c r="K83"/>
      <c r="L83"/>
      <c r="M83"/>
    </row>
    <row r="84" spans="1:13">
      <c r="A84" s="2" t="s">
        <v>240</v>
      </c>
      <c r="B84" t="s">
        <v>1749</v>
      </c>
      <c r="C84" t="s">
        <v>1722</v>
      </c>
      <c r="D84" t="s">
        <v>1731</v>
      </c>
      <c r="K84"/>
      <c r="L84"/>
      <c r="M84"/>
    </row>
    <row r="85" spans="1:13">
      <c r="A85" s="2" t="s">
        <v>220</v>
      </c>
      <c r="B85" t="s">
        <v>1749</v>
      </c>
      <c r="C85" t="s">
        <v>1722</v>
      </c>
      <c r="D85" t="s">
        <v>1731</v>
      </c>
      <c r="K85"/>
      <c r="L85"/>
      <c r="M85"/>
    </row>
    <row r="86" spans="1:13">
      <c r="A86" s="2" t="s">
        <v>228</v>
      </c>
      <c r="B86" t="s">
        <v>1749</v>
      </c>
      <c r="C86" t="s">
        <v>1722</v>
      </c>
      <c r="D86" t="s">
        <v>1731</v>
      </c>
      <c r="K86"/>
      <c r="L86"/>
      <c r="M86"/>
    </row>
    <row r="87" spans="1:13">
      <c r="A87" s="2" t="s">
        <v>311</v>
      </c>
      <c r="B87" t="s">
        <v>1749</v>
      </c>
      <c r="C87" t="s">
        <v>1722</v>
      </c>
      <c r="D87" t="s">
        <v>1731</v>
      </c>
      <c r="K87"/>
      <c r="L87"/>
      <c r="M87"/>
    </row>
    <row r="88" spans="1:13">
      <c r="A88" s="2" t="s">
        <v>257</v>
      </c>
      <c r="B88" t="s">
        <v>1749</v>
      </c>
      <c r="C88" t="s">
        <v>1729</v>
      </c>
      <c r="D88" t="s">
        <v>1732</v>
      </c>
      <c r="K88"/>
      <c r="L88"/>
      <c r="M88"/>
    </row>
    <row r="89" spans="1:13">
      <c r="A89" s="2" t="s">
        <v>254</v>
      </c>
      <c r="B89" t="s">
        <v>1749</v>
      </c>
      <c r="C89" t="s">
        <v>1729</v>
      </c>
      <c r="D89" t="s">
        <v>1735</v>
      </c>
      <c r="K89"/>
      <c r="L89"/>
      <c r="M89"/>
    </row>
    <row r="90" spans="1:13">
      <c r="A90" s="2" t="s">
        <v>230</v>
      </c>
      <c r="B90" t="s">
        <v>1749</v>
      </c>
      <c r="C90" t="s">
        <v>1722</v>
      </c>
      <c r="D90" t="s">
        <v>1731</v>
      </c>
      <c r="K90"/>
      <c r="L90"/>
      <c r="M90"/>
    </row>
    <row r="91" spans="1:13">
      <c r="A91" s="2" t="s">
        <v>223</v>
      </c>
      <c r="B91" t="s">
        <v>1749</v>
      </c>
      <c r="C91" t="s">
        <v>1722</v>
      </c>
      <c r="D91" t="s">
        <v>1731</v>
      </c>
      <c r="K91"/>
      <c r="L91"/>
      <c r="M91"/>
    </row>
    <row r="92" spans="1:13">
      <c r="A92" s="2" t="s">
        <v>242</v>
      </c>
      <c r="B92" t="s">
        <v>1749</v>
      </c>
      <c r="C92" t="s">
        <v>1722</v>
      </c>
      <c r="D92" t="s">
        <v>1731</v>
      </c>
      <c r="K92"/>
      <c r="L92"/>
      <c r="M92"/>
    </row>
    <row r="93" spans="1:13">
      <c r="A93" s="2" t="s">
        <v>282</v>
      </c>
      <c r="B93" t="s">
        <v>1749</v>
      </c>
      <c r="C93" t="s">
        <v>1722</v>
      </c>
      <c r="D93" t="s">
        <v>1731</v>
      </c>
      <c r="K93"/>
      <c r="L93"/>
      <c r="M93"/>
    </row>
    <row r="94" spans="1:13">
      <c r="A94" s="2" t="s">
        <v>309</v>
      </c>
      <c r="B94" t="s">
        <v>1749</v>
      </c>
      <c r="C94" t="s">
        <v>1722</v>
      </c>
      <c r="D94" t="s">
        <v>1731</v>
      </c>
      <c r="K94"/>
      <c r="L94"/>
      <c r="M94"/>
    </row>
    <row r="95" spans="1:13">
      <c r="A95" s="2" t="s">
        <v>316</v>
      </c>
      <c r="B95" t="s">
        <v>1749</v>
      </c>
      <c r="C95" t="s">
        <v>1722</v>
      </c>
      <c r="D95" t="s">
        <v>1731</v>
      </c>
      <c r="K95"/>
      <c r="L95"/>
      <c r="M95"/>
    </row>
    <row r="96" spans="1:13">
      <c r="A96" s="2" t="s">
        <v>298</v>
      </c>
      <c r="B96" t="s">
        <v>1749</v>
      </c>
      <c r="C96" t="s">
        <v>1722</v>
      </c>
      <c r="D96" t="s">
        <v>1731</v>
      </c>
      <c r="K96"/>
      <c r="L96"/>
      <c r="M96"/>
    </row>
    <row r="97" spans="1:13">
      <c r="A97" s="2" t="s">
        <v>275</v>
      </c>
      <c r="B97" t="s">
        <v>1749</v>
      </c>
      <c r="C97" t="s">
        <v>1722</v>
      </c>
      <c r="D97" t="s">
        <v>1731</v>
      </c>
      <c r="K97"/>
      <c r="L97"/>
      <c r="M97"/>
    </row>
    <row r="98" spans="1:13">
      <c r="A98" s="2" t="s">
        <v>317</v>
      </c>
      <c r="B98" t="s">
        <v>1749</v>
      </c>
      <c r="C98" t="s">
        <v>1722</v>
      </c>
      <c r="D98" t="s">
        <v>1731</v>
      </c>
      <c r="K98"/>
      <c r="L98"/>
      <c r="M98"/>
    </row>
    <row r="99" spans="1:13">
      <c r="A99" s="2" t="s">
        <v>288</v>
      </c>
      <c r="B99" t="s">
        <v>1749</v>
      </c>
      <c r="C99" t="s">
        <v>1722</v>
      </c>
      <c r="D99" t="s">
        <v>1731</v>
      </c>
      <c r="K99"/>
      <c r="L99"/>
      <c r="M99"/>
    </row>
    <row r="100" spans="1:13">
      <c r="A100" s="2" t="s">
        <v>270</v>
      </c>
      <c r="B100" t="s">
        <v>1749</v>
      </c>
      <c r="C100" t="s">
        <v>1722</v>
      </c>
      <c r="D100" t="s">
        <v>1731</v>
      </c>
      <c r="K100"/>
      <c r="L100"/>
      <c r="M100"/>
    </row>
    <row r="101" spans="1:13">
      <c r="A101" s="2" t="s">
        <v>236</v>
      </c>
      <c r="B101" t="s">
        <v>1749</v>
      </c>
      <c r="C101" t="s">
        <v>1722</v>
      </c>
      <c r="D101" t="s">
        <v>1731</v>
      </c>
      <c r="K101"/>
      <c r="L101"/>
      <c r="M101"/>
    </row>
    <row r="102" spans="1:13">
      <c r="A102" s="2" t="s">
        <v>199</v>
      </c>
      <c r="B102" t="s">
        <v>1749</v>
      </c>
      <c r="C102" t="s">
        <v>1722</v>
      </c>
      <c r="D102" t="s">
        <v>1731</v>
      </c>
      <c r="K102"/>
      <c r="L102"/>
      <c r="M102"/>
    </row>
    <row r="103" spans="1:13">
      <c r="A103" s="2" t="s">
        <v>300</v>
      </c>
      <c r="B103" t="s">
        <v>1749</v>
      </c>
      <c r="C103" t="s">
        <v>1722</v>
      </c>
      <c r="D103" t="s">
        <v>1731</v>
      </c>
      <c r="K103"/>
      <c r="L103"/>
      <c r="M103"/>
    </row>
    <row r="104" spans="1:13">
      <c r="A104" s="2" t="s">
        <v>302</v>
      </c>
      <c r="B104" t="s">
        <v>1749</v>
      </c>
      <c r="C104" t="s">
        <v>1722</v>
      </c>
      <c r="D104" t="s">
        <v>1731</v>
      </c>
      <c r="K104"/>
      <c r="L104"/>
      <c r="M104"/>
    </row>
    <row r="105" spans="1:13">
      <c r="A105" s="2" t="s">
        <v>245</v>
      </c>
      <c r="B105" t="s">
        <v>1749</v>
      </c>
      <c r="C105" t="s">
        <v>1722</v>
      </c>
      <c r="D105" t="s">
        <v>1731</v>
      </c>
      <c r="K105"/>
      <c r="L105"/>
      <c r="M105"/>
    </row>
    <row r="106" spans="1:13">
      <c r="A106" s="2" t="s">
        <v>227</v>
      </c>
      <c r="B106" t="s">
        <v>1749</v>
      </c>
      <c r="C106" t="s">
        <v>1729</v>
      </c>
      <c r="D106" t="s">
        <v>1732</v>
      </c>
      <c r="K106"/>
      <c r="L106"/>
      <c r="M106"/>
    </row>
    <row r="107" spans="1:13">
      <c r="A107" s="2" t="s">
        <v>280</v>
      </c>
      <c r="B107" t="s">
        <v>1749</v>
      </c>
      <c r="C107" t="s">
        <v>1722</v>
      </c>
      <c r="D107" t="s">
        <v>1731</v>
      </c>
      <c r="K107"/>
      <c r="L107"/>
      <c r="M107"/>
    </row>
    <row r="108" spans="1:13">
      <c r="A108" s="2" t="s">
        <v>248</v>
      </c>
      <c r="B108" t="s">
        <v>1749</v>
      </c>
      <c r="C108" t="s">
        <v>1722</v>
      </c>
      <c r="D108" t="s">
        <v>1731</v>
      </c>
      <c r="K108"/>
      <c r="L108"/>
      <c r="M108"/>
    </row>
    <row r="109" spans="1:13">
      <c r="A109" s="2" t="s">
        <v>249</v>
      </c>
      <c r="B109" t="s">
        <v>1749</v>
      </c>
      <c r="C109" t="s">
        <v>1722</v>
      </c>
      <c r="D109" t="s">
        <v>1731</v>
      </c>
      <c r="K109"/>
      <c r="L109"/>
      <c r="M109"/>
    </row>
    <row r="110" spans="1:13">
      <c r="A110" s="2" t="s">
        <v>321</v>
      </c>
      <c r="B110" t="s">
        <v>1749</v>
      </c>
      <c r="C110" t="s">
        <v>1722</v>
      </c>
      <c r="D110" t="s">
        <v>1731</v>
      </c>
      <c r="K110"/>
      <c r="L110"/>
      <c r="M110"/>
    </row>
    <row r="111" spans="1:13">
      <c r="A111" s="2" t="s">
        <v>262</v>
      </c>
      <c r="B111" t="s">
        <v>1749</v>
      </c>
      <c r="C111" t="s">
        <v>1729</v>
      </c>
      <c r="D111" t="s">
        <v>1732</v>
      </c>
      <c r="K111"/>
      <c r="L111"/>
      <c r="M111"/>
    </row>
    <row r="112" spans="1:13">
      <c r="A112" s="2" t="s">
        <v>259</v>
      </c>
      <c r="B112" t="s">
        <v>1749</v>
      </c>
      <c r="C112" t="s">
        <v>1729</v>
      </c>
      <c r="D112" t="s">
        <v>1732</v>
      </c>
      <c r="K112"/>
      <c r="L112"/>
      <c r="M112"/>
    </row>
    <row r="113" spans="1:13">
      <c r="A113" s="2" t="s">
        <v>308</v>
      </c>
      <c r="B113" t="s">
        <v>1749</v>
      </c>
      <c r="C113" t="s">
        <v>1723</v>
      </c>
      <c r="D113" t="s">
        <v>1731</v>
      </c>
      <c r="K113"/>
      <c r="L113"/>
      <c r="M113"/>
    </row>
    <row r="114" spans="1:13">
      <c r="A114" s="2" t="s">
        <v>307</v>
      </c>
      <c r="B114" t="s">
        <v>1749</v>
      </c>
      <c r="C114" t="s">
        <v>1724</v>
      </c>
      <c r="D114" t="s">
        <v>1731</v>
      </c>
      <c r="K114"/>
      <c r="L114"/>
      <c r="M114"/>
    </row>
    <row r="115" spans="1:13">
      <c r="A115" s="2" t="s">
        <v>304</v>
      </c>
      <c r="B115" t="s">
        <v>1749</v>
      </c>
      <c r="C115" t="s">
        <v>1722</v>
      </c>
      <c r="D115" t="s">
        <v>1731</v>
      </c>
      <c r="K115"/>
      <c r="L115"/>
      <c r="M115"/>
    </row>
    <row r="116" spans="1:13">
      <c r="A116" s="2" t="s">
        <v>251</v>
      </c>
      <c r="B116" t="s">
        <v>1749</v>
      </c>
      <c r="C116" t="s">
        <v>1722</v>
      </c>
      <c r="D116" t="s">
        <v>1731</v>
      </c>
      <c r="K116"/>
      <c r="L116"/>
      <c r="M116"/>
    </row>
    <row r="117" spans="1:13">
      <c r="A117" s="2" t="s">
        <v>207</v>
      </c>
      <c r="B117" t="s">
        <v>1749</v>
      </c>
      <c r="C117" t="s">
        <v>1722</v>
      </c>
      <c r="D117" t="s">
        <v>1731</v>
      </c>
      <c r="K117"/>
      <c r="L117"/>
      <c r="M117"/>
    </row>
    <row r="118" spans="1:13">
      <c r="A118" s="2" t="s">
        <v>322</v>
      </c>
      <c r="B118" t="s">
        <v>1749</v>
      </c>
      <c r="C118" t="s">
        <v>1722</v>
      </c>
      <c r="D118" t="s">
        <v>1731</v>
      </c>
      <c r="K118"/>
      <c r="L118"/>
      <c r="M118"/>
    </row>
    <row r="119" spans="1:13">
      <c r="A119" s="2" t="s">
        <v>217</v>
      </c>
      <c r="B119" t="s">
        <v>1749</v>
      </c>
      <c r="C119" t="s">
        <v>1722</v>
      </c>
      <c r="D119" t="s">
        <v>1731</v>
      </c>
      <c r="K119"/>
      <c r="L119"/>
      <c r="M119"/>
    </row>
    <row r="120" spans="1:13">
      <c r="A120" s="2" t="s">
        <v>244</v>
      </c>
      <c r="B120" t="s">
        <v>1749</v>
      </c>
      <c r="C120" t="s">
        <v>1729</v>
      </c>
      <c r="D120" t="s">
        <v>1736</v>
      </c>
      <c r="K120"/>
      <c r="L120"/>
      <c r="M120"/>
    </row>
    <row r="121" spans="1:13">
      <c r="A121" s="2" t="s">
        <v>927</v>
      </c>
      <c r="B121" t="s">
        <v>1749</v>
      </c>
      <c r="C121" t="s">
        <v>1729</v>
      </c>
      <c r="D121" t="s">
        <v>1736</v>
      </c>
      <c r="K121"/>
      <c r="L121"/>
      <c r="M121"/>
    </row>
    <row r="122" spans="1:13">
      <c r="A122" s="2" t="s">
        <v>202</v>
      </c>
      <c r="B122" t="s">
        <v>1749</v>
      </c>
      <c r="C122" t="s">
        <v>1723</v>
      </c>
      <c r="D122" t="s">
        <v>1732</v>
      </c>
      <c r="K122"/>
      <c r="L122"/>
      <c r="M122"/>
    </row>
    <row r="123" spans="1:13">
      <c r="A123" s="2" t="s">
        <v>196</v>
      </c>
      <c r="B123" t="s">
        <v>1749</v>
      </c>
      <c r="C123" t="s">
        <v>1722</v>
      </c>
      <c r="D123" t="s">
        <v>1731</v>
      </c>
      <c r="K123"/>
      <c r="L123"/>
      <c r="M123"/>
    </row>
    <row r="124" spans="1:13">
      <c r="A124" s="2" t="s">
        <v>284</v>
      </c>
      <c r="B124" t="s">
        <v>1749</v>
      </c>
      <c r="C124" t="s">
        <v>1722</v>
      </c>
      <c r="D124" t="s">
        <v>1731</v>
      </c>
      <c r="K124"/>
      <c r="L124"/>
      <c r="M124"/>
    </row>
    <row r="125" spans="1:13">
      <c r="A125" s="2" t="s">
        <v>261</v>
      </c>
      <c r="B125" t="s">
        <v>1749</v>
      </c>
      <c r="C125" t="s">
        <v>1722</v>
      </c>
      <c r="D125" t="s">
        <v>1731</v>
      </c>
      <c r="K125"/>
      <c r="L125"/>
      <c r="M125"/>
    </row>
    <row r="126" spans="1:13">
      <c r="A126" s="2" t="s">
        <v>206</v>
      </c>
      <c r="B126" t="s">
        <v>1749</v>
      </c>
      <c r="C126" t="s">
        <v>1723</v>
      </c>
      <c r="D126" t="s">
        <v>1732</v>
      </c>
      <c r="K126"/>
      <c r="L126"/>
      <c r="M126"/>
    </row>
    <row r="127" spans="1:13">
      <c r="A127" s="2" t="s">
        <v>264</v>
      </c>
      <c r="B127" t="s">
        <v>1749</v>
      </c>
      <c r="C127" t="s">
        <v>1722</v>
      </c>
      <c r="D127" t="s">
        <v>1731</v>
      </c>
      <c r="K127"/>
      <c r="L127"/>
      <c r="M127"/>
    </row>
    <row r="128" spans="1:13">
      <c r="A128" s="2" t="s">
        <v>260</v>
      </c>
      <c r="B128" t="s">
        <v>1749</v>
      </c>
      <c r="C128" t="s">
        <v>1722</v>
      </c>
      <c r="D128" t="s">
        <v>1731</v>
      </c>
      <c r="K128"/>
      <c r="L128"/>
      <c r="M128"/>
    </row>
    <row r="129" spans="1:13">
      <c r="A129" s="2" t="s">
        <v>233</v>
      </c>
      <c r="B129" t="s">
        <v>1749</v>
      </c>
      <c r="C129" t="s">
        <v>1725</v>
      </c>
      <c r="D129" t="s">
        <v>1731</v>
      </c>
      <c r="K129"/>
      <c r="L129"/>
      <c r="M129"/>
    </row>
    <row r="130" spans="1:13">
      <c r="A130" s="2" t="s">
        <v>203</v>
      </c>
      <c r="B130" t="s">
        <v>1749</v>
      </c>
      <c r="C130" t="s">
        <v>1723</v>
      </c>
      <c r="D130" t="s">
        <v>1732</v>
      </c>
      <c r="K130"/>
      <c r="L130"/>
      <c r="M130"/>
    </row>
    <row r="131" spans="1:13">
      <c r="A131" s="2" t="s">
        <v>201</v>
      </c>
      <c r="B131" t="s">
        <v>1749</v>
      </c>
      <c r="C131" t="s">
        <v>1722</v>
      </c>
      <c r="D131" t="s">
        <v>1731</v>
      </c>
      <c r="K131"/>
      <c r="L131"/>
      <c r="M131"/>
    </row>
    <row r="132" spans="1:13">
      <c r="A132" s="2" t="s">
        <v>274</v>
      </c>
      <c r="B132" t="s">
        <v>1749</v>
      </c>
      <c r="C132" t="s">
        <v>1722</v>
      </c>
      <c r="D132" t="s">
        <v>1731</v>
      </c>
      <c r="K132"/>
      <c r="L132"/>
      <c r="M132"/>
    </row>
    <row r="133" spans="1:13">
      <c r="A133" s="2" t="s">
        <v>520</v>
      </c>
      <c r="B133" t="s">
        <v>1749</v>
      </c>
      <c r="C133" t="s">
        <v>1726</v>
      </c>
      <c r="D133" t="s">
        <v>1731</v>
      </c>
      <c r="K133"/>
      <c r="L133"/>
      <c r="M133"/>
    </row>
    <row r="134" spans="1:13">
      <c r="A134" s="2" t="s">
        <v>525</v>
      </c>
      <c r="B134" t="s">
        <v>1749</v>
      </c>
      <c r="C134" t="s">
        <v>1726</v>
      </c>
      <c r="D134" t="s">
        <v>1731</v>
      </c>
      <c r="K134"/>
      <c r="L134"/>
      <c r="M134"/>
    </row>
    <row r="135" spans="1:13">
      <c r="A135" s="2" t="s">
        <v>497</v>
      </c>
      <c r="B135" t="s">
        <v>1749</v>
      </c>
      <c r="C135" t="s">
        <v>1726</v>
      </c>
      <c r="D135" t="s">
        <v>1731</v>
      </c>
      <c r="K135"/>
      <c r="L135"/>
      <c r="M135"/>
    </row>
    <row r="136" spans="1:13">
      <c r="A136" s="2" t="s">
        <v>479</v>
      </c>
      <c r="B136" t="s">
        <v>1749</v>
      </c>
      <c r="C136" t="s">
        <v>1726</v>
      </c>
      <c r="D136" t="s">
        <v>1731</v>
      </c>
      <c r="K136"/>
      <c r="L136"/>
      <c r="M136"/>
    </row>
    <row r="137" spans="1:13">
      <c r="A137" s="2" t="s">
        <v>508</v>
      </c>
      <c r="B137" t="s">
        <v>1749</v>
      </c>
      <c r="C137" t="s">
        <v>1726</v>
      </c>
      <c r="D137" t="s">
        <v>1731</v>
      </c>
      <c r="K137"/>
      <c r="L137"/>
      <c r="M137"/>
    </row>
    <row r="138" spans="1:13">
      <c r="A138" s="2" t="s">
        <v>482</v>
      </c>
      <c r="B138" t="s">
        <v>1749</v>
      </c>
      <c r="C138" t="s">
        <v>1726</v>
      </c>
      <c r="D138" t="s">
        <v>1731</v>
      </c>
      <c r="K138"/>
      <c r="L138"/>
      <c r="M138"/>
    </row>
    <row r="139" spans="1:13">
      <c r="A139" s="2" t="s">
        <v>523</v>
      </c>
      <c r="B139" t="s">
        <v>1749</v>
      </c>
      <c r="C139" t="s">
        <v>1726</v>
      </c>
      <c r="D139" t="s">
        <v>1731</v>
      </c>
      <c r="K139"/>
      <c r="L139"/>
      <c r="M139"/>
    </row>
    <row r="140" spans="1:13">
      <c r="A140" s="2" t="s">
        <v>507</v>
      </c>
      <c r="B140" t="s">
        <v>1749</v>
      </c>
      <c r="C140" t="s">
        <v>1726</v>
      </c>
      <c r="D140" t="s">
        <v>1731</v>
      </c>
      <c r="K140"/>
      <c r="L140"/>
      <c r="M140"/>
    </row>
    <row r="141" spans="1:13">
      <c r="A141" s="2" t="s">
        <v>496</v>
      </c>
      <c r="B141" t="s">
        <v>1749</v>
      </c>
      <c r="C141" t="s">
        <v>1726</v>
      </c>
      <c r="D141" t="s">
        <v>1731</v>
      </c>
      <c r="K141"/>
      <c r="L141"/>
      <c r="M141"/>
    </row>
    <row r="142" spans="1:13">
      <c r="A142" s="2" t="s">
        <v>515</v>
      </c>
      <c r="B142" t="s">
        <v>1749</v>
      </c>
      <c r="C142" t="s">
        <v>1726</v>
      </c>
      <c r="D142" t="s">
        <v>1731</v>
      </c>
      <c r="K142"/>
      <c r="L142"/>
      <c r="M142"/>
    </row>
    <row r="143" spans="1:13">
      <c r="A143" s="2" t="s">
        <v>513</v>
      </c>
      <c r="B143" t="s">
        <v>1749</v>
      </c>
      <c r="C143" t="s">
        <v>1726</v>
      </c>
      <c r="D143" t="s">
        <v>1731</v>
      </c>
      <c r="K143"/>
      <c r="L143"/>
      <c r="M143"/>
    </row>
    <row r="144" spans="1:13">
      <c r="A144" s="2" t="s">
        <v>485</v>
      </c>
      <c r="B144" t="s">
        <v>1749</v>
      </c>
      <c r="C144" t="s">
        <v>1726</v>
      </c>
      <c r="D144" t="s">
        <v>1731</v>
      </c>
      <c r="K144"/>
      <c r="L144"/>
      <c r="M144"/>
    </row>
    <row r="145" spans="1:13">
      <c r="A145" s="2" t="s">
        <v>524</v>
      </c>
      <c r="B145" t="s">
        <v>1749</v>
      </c>
      <c r="C145" t="s">
        <v>1726</v>
      </c>
      <c r="D145" t="s">
        <v>1731</v>
      </c>
      <c r="K145"/>
      <c r="L145"/>
      <c r="M145"/>
    </row>
    <row r="146" spans="1:13">
      <c r="A146" s="2" t="s">
        <v>488</v>
      </c>
      <c r="B146" t="s">
        <v>1749</v>
      </c>
      <c r="C146" t="s">
        <v>1726</v>
      </c>
      <c r="D146" t="s">
        <v>1731</v>
      </c>
      <c r="K146"/>
      <c r="L146"/>
      <c r="M146"/>
    </row>
    <row r="147" spans="1:13">
      <c r="A147" s="2" t="s">
        <v>512</v>
      </c>
      <c r="B147" t="s">
        <v>1749</v>
      </c>
      <c r="C147" t="s">
        <v>1726</v>
      </c>
      <c r="D147" t="s">
        <v>1731</v>
      </c>
      <c r="K147"/>
      <c r="L147"/>
      <c r="M147"/>
    </row>
    <row r="148" spans="1:13">
      <c r="A148" s="2" t="s">
        <v>500</v>
      </c>
      <c r="B148" t="s">
        <v>1749</v>
      </c>
      <c r="C148" t="s">
        <v>1726</v>
      </c>
      <c r="D148" t="s">
        <v>1731</v>
      </c>
      <c r="K148"/>
      <c r="L148"/>
      <c r="M148"/>
    </row>
    <row r="149" spans="1:13">
      <c r="A149" s="2" t="s">
        <v>503</v>
      </c>
      <c r="B149" t="s">
        <v>1749</v>
      </c>
      <c r="C149" t="s">
        <v>1726</v>
      </c>
      <c r="D149" t="s">
        <v>1731</v>
      </c>
      <c r="K149"/>
      <c r="L149"/>
      <c r="M149"/>
    </row>
    <row r="150" spans="1:13">
      <c r="A150" s="2" t="s">
        <v>480</v>
      </c>
      <c r="B150" t="s">
        <v>1749</v>
      </c>
      <c r="C150" t="s">
        <v>1726</v>
      </c>
      <c r="D150" t="s">
        <v>1731</v>
      </c>
      <c r="K150"/>
      <c r="L150"/>
      <c r="M150"/>
    </row>
    <row r="151" spans="1:13">
      <c r="A151" s="2" t="s">
        <v>494</v>
      </c>
      <c r="B151" t="s">
        <v>1749</v>
      </c>
      <c r="C151" t="s">
        <v>1726</v>
      </c>
      <c r="D151" t="s">
        <v>1731</v>
      </c>
      <c r="K151"/>
      <c r="L151"/>
      <c r="M151"/>
    </row>
    <row r="152" spans="1:13">
      <c r="A152" s="2" t="s">
        <v>499</v>
      </c>
      <c r="B152" t="s">
        <v>1749</v>
      </c>
      <c r="C152" t="s">
        <v>1726</v>
      </c>
      <c r="D152" t="s">
        <v>1731</v>
      </c>
      <c r="K152"/>
      <c r="L152"/>
      <c r="M152"/>
    </row>
    <row r="153" spans="1:13">
      <c r="A153" s="2" t="s">
        <v>517</v>
      </c>
      <c r="B153" t="s">
        <v>1749</v>
      </c>
      <c r="C153" t="s">
        <v>1726</v>
      </c>
      <c r="D153" t="s">
        <v>1731</v>
      </c>
      <c r="K153"/>
      <c r="L153"/>
      <c r="M153"/>
    </row>
    <row r="154" spans="1:13">
      <c r="A154" s="2" t="s">
        <v>516</v>
      </c>
      <c r="B154" t="s">
        <v>1749</v>
      </c>
      <c r="C154" t="s">
        <v>1726</v>
      </c>
      <c r="D154" t="s">
        <v>1731</v>
      </c>
      <c r="K154"/>
      <c r="L154"/>
      <c r="M154"/>
    </row>
    <row r="155" spans="1:13">
      <c r="A155" s="2" t="s">
        <v>492</v>
      </c>
      <c r="B155" t="s">
        <v>1749</v>
      </c>
      <c r="C155" t="s">
        <v>1726</v>
      </c>
      <c r="D155" t="s">
        <v>1731</v>
      </c>
      <c r="K155"/>
      <c r="L155"/>
      <c r="M155"/>
    </row>
    <row r="156" spans="1:13">
      <c r="A156" s="2" t="s">
        <v>519</v>
      </c>
      <c r="B156" t="s">
        <v>1749</v>
      </c>
      <c r="C156" t="s">
        <v>1726</v>
      </c>
      <c r="D156" t="s">
        <v>1731</v>
      </c>
      <c r="K156"/>
      <c r="L156"/>
      <c r="M156"/>
    </row>
    <row r="157" spans="1:13">
      <c r="A157" s="2" t="s">
        <v>493</v>
      </c>
      <c r="B157" t="s">
        <v>1749</v>
      </c>
      <c r="C157" t="s">
        <v>1726</v>
      </c>
      <c r="D157" t="s">
        <v>1731</v>
      </c>
      <c r="K157"/>
      <c r="L157"/>
      <c r="M157"/>
    </row>
    <row r="158" spans="1:13">
      <c r="A158" s="2" t="s">
        <v>477</v>
      </c>
      <c r="B158" t="s">
        <v>1749</v>
      </c>
      <c r="C158" t="s">
        <v>1726</v>
      </c>
      <c r="D158" t="s">
        <v>1731</v>
      </c>
      <c r="K158"/>
      <c r="L158"/>
      <c r="M158"/>
    </row>
    <row r="159" spans="1:13">
      <c r="A159" s="2" t="s">
        <v>481</v>
      </c>
      <c r="B159" t="s">
        <v>1749</v>
      </c>
      <c r="C159" t="s">
        <v>1726</v>
      </c>
      <c r="D159" t="s">
        <v>1731</v>
      </c>
      <c r="K159"/>
      <c r="L159"/>
      <c r="M159"/>
    </row>
    <row r="160" spans="1:13">
      <c r="A160" s="2" t="s">
        <v>483</v>
      </c>
      <c r="B160" t="s">
        <v>1749</v>
      </c>
      <c r="C160" t="s">
        <v>1726</v>
      </c>
      <c r="D160" t="s">
        <v>1731</v>
      </c>
      <c r="K160"/>
      <c r="L160"/>
      <c r="M160"/>
    </row>
    <row r="161" spans="1:13">
      <c r="A161" s="2" t="s">
        <v>522</v>
      </c>
      <c r="B161" t="s">
        <v>1749</v>
      </c>
      <c r="C161" t="s">
        <v>1726</v>
      </c>
      <c r="D161" t="s">
        <v>1731</v>
      </c>
      <c r="K161"/>
      <c r="L161"/>
      <c r="M161"/>
    </row>
    <row r="162" spans="1:13">
      <c r="A162" s="2" t="s">
        <v>505</v>
      </c>
      <c r="B162" t="s">
        <v>1749</v>
      </c>
      <c r="C162" t="s">
        <v>1726</v>
      </c>
      <c r="D162" t="s">
        <v>1731</v>
      </c>
      <c r="K162"/>
      <c r="L162"/>
      <c r="M162"/>
    </row>
    <row r="163" spans="1:13">
      <c r="A163" s="2" t="s">
        <v>506</v>
      </c>
      <c r="B163" t="s">
        <v>1749</v>
      </c>
      <c r="C163" t="s">
        <v>1726</v>
      </c>
      <c r="D163" t="s">
        <v>1731</v>
      </c>
      <c r="K163"/>
      <c r="L163"/>
      <c r="M163"/>
    </row>
    <row r="164" spans="1:13">
      <c r="A164" s="2" t="s">
        <v>526</v>
      </c>
      <c r="B164" t="s">
        <v>1749</v>
      </c>
      <c r="C164" t="s">
        <v>1726</v>
      </c>
      <c r="D164" t="s">
        <v>1731</v>
      </c>
      <c r="K164"/>
      <c r="L164"/>
      <c r="M164"/>
    </row>
    <row r="165" spans="1:13">
      <c r="A165" s="2" t="s">
        <v>502</v>
      </c>
      <c r="B165" t="s">
        <v>1749</v>
      </c>
      <c r="C165" t="s">
        <v>1726</v>
      </c>
      <c r="D165" t="s">
        <v>1731</v>
      </c>
      <c r="K165"/>
      <c r="L165"/>
      <c r="M165"/>
    </row>
    <row r="166" spans="1:13">
      <c r="A166" s="2" t="s">
        <v>509</v>
      </c>
      <c r="B166" t="s">
        <v>1749</v>
      </c>
      <c r="C166" t="s">
        <v>1726</v>
      </c>
      <c r="D166" t="s">
        <v>1731</v>
      </c>
      <c r="K166"/>
      <c r="L166"/>
      <c r="M166"/>
    </row>
    <row r="167" spans="1:13">
      <c r="A167" s="2" t="s">
        <v>518</v>
      </c>
      <c r="B167" t="s">
        <v>1749</v>
      </c>
      <c r="C167" t="s">
        <v>1726</v>
      </c>
      <c r="D167" t="s">
        <v>1731</v>
      </c>
      <c r="K167"/>
      <c r="L167"/>
      <c r="M167"/>
    </row>
    <row r="168" spans="1:13">
      <c r="A168" s="2" t="s">
        <v>484</v>
      </c>
      <c r="B168" t="s">
        <v>1749</v>
      </c>
      <c r="C168" t="s">
        <v>1726</v>
      </c>
      <c r="D168" t="s">
        <v>1731</v>
      </c>
      <c r="K168"/>
      <c r="L168"/>
      <c r="M168"/>
    </row>
    <row r="169" spans="1:13">
      <c r="A169" s="2" t="s">
        <v>495</v>
      </c>
      <c r="B169" t="s">
        <v>1749</v>
      </c>
      <c r="C169" t="s">
        <v>1726</v>
      </c>
      <c r="D169" t="s">
        <v>1731</v>
      </c>
      <c r="K169"/>
      <c r="L169"/>
      <c r="M169"/>
    </row>
    <row r="170" spans="1:13">
      <c r="A170" s="2" t="s">
        <v>527</v>
      </c>
      <c r="B170" t="s">
        <v>1749</v>
      </c>
      <c r="C170" t="s">
        <v>1726</v>
      </c>
      <c r="D170" t="s">
        <v>1731</v>
      </c>
      <c r="K170"/>
      <c r="L170"/>
      <c r="M170"/>
    </row>
    <row r="171" spans="1:13">
      <c r="A171" s="2" t="s">
        <v>528</v>
      </c>
      <c r="B171" t="s">
        <v>1749</v>
      </c>
      <c r="C171" t="s">
        <v>1726</v>
      </c>
      <c r="D171" t="s">
        <v>1731</v>
      </c>
      <c r="K171"/>
      <c r="L171"/>
      <c r="M171"/>
    </row>
    <row r="172" spans="1:13">
      <c r="A172" s="2" t="s">
        <v>498</v>
      </c>
      <c r="B172" t="s">
        <v>1749</v>
      </c>
      <c r="C172" t="s">
        <v>1726</v>
      </c>
      <c r="D172" t="s">
        <v>1731</v>
      </c>
      <c r="K172"/>
      <c r="L172"/>
      <c r="M172"/>
    </row>
    <row r="173" spans="1:13">
      <c r="A173" s="2" t="s">
        <v>486</v>
      </c>
      <c r="B173" t="s">
        <v>1749</v>
      </c>
      <c r="C173" t="s">
        <v>1726</v>
      </c>
      <c r="D173" t="s">
        <v>1731</v>
      </c>
      <c r="K173"/>
      <c r="L173"/>
      <c r="M173"/>
    </row>
    <row r="174" spans="1:13">
      <c r="A174" s="2" t="s">
        <v>511</v>
      </c>
      <c r="B174" t="s">
        <v>1749</v>
      </c>
      <c r="C174" t="s">
        <v>1726</v>
      </c>
      <c r="D174" t="s">
        <v>1731</v>
      </c>
      <c r="K174"/>
      <c r="L174"/>
      <c r="M174"/>
    </row>
    <row r="175" spans="1:13">
      <c r="A175" s="2" t="s">
        <v>529</v>
      </c>
      <c r="B175" t="s">
        <v>1749</v>
      </c>
      <c r="C175" t="s">
        <v>1726</v>
      </c>
      <c r="D175" t="s">
        <v>1731</v>
      </c>
      <c r="K175"/>
      <c r="L175"/>
      <c r="M175"/>
    </row>
    <row r="176" spans="1:13">
      <c r="A176" s="2" t="s">
        <v>490</v>
      </c>
      <c r="B176" t="s">
        <v>1749</v>
      </c>
      <c r="C176" t="s">
        <v>1726</v>
      </c>
      <c r="D176" t="s">
        <v>1731</v>
      </c>
      <c r="K176"/>
      <c r="L176"/>
      <c r="M176"/>
    </row>
    <row r="177" spans="1:13">
      <c r="A177" s="2" t="s">
        <v>510</v>
      </c>
      <c r="B177" t="s">
        <v>1749</v>
      </c>
      <c r="C177" t="s">
        <v>1726</v>
      </c>
      <c r="D177" t="s">
        <v>1731</v>
      </c>
      <c r="K177"/>
      <c r="L177"/>
      <c r="M177"/>
    </row>
    <row r="178" spans="1:13">
      <c r="A178" s="2" t="s">
        <v>489</v>
      </c>
      <c r="B178" t="s">
        <v>1749</v>
      </c>
      <c r="C178" t="s">
        <v>1726</v>
      </c>
      <c r="D178" t="s">
        <v>1731</v>
      </c>
      <c r="K178"/>
      <c r="L178"/>
      <c r="M178"/>
    </row>
    <row r="179" spans="1:13">
      <c r="A179" s="2" t="s">
        <v>521</v>
      </c>
      <c r="B179" t="s">
        <v>1749</v>
      </c>
      <c r="C179" t="s">
        <v>1726</v>
      </c>
      <c r="D179" t="s">
        <v>1731</v>
      </c>
      <c r="K179"/>
      <c r="L179"/>
      <c r="M179"/>
    </row>
    <row r="180" spans="1:13">
      <c r="A180" s="2" t="s">
        <v>501</v>
      </c>
      <c r="B180" t="s">
        <v>1749</v>
      </c>
      <c r="C180" t="s">
        <v>1726</v>
      </c>
      <c r="D180" t="s">
        <v>1731</v>
      </c>
      <c r="K180"/>
      <c r="L180"/>
      <c r="M180"/>
    </row>
    <row r="181" spans="1:13">
      <c r="A181" s="2" t="s">
        <v>504</v>
      </c>
      <c r="B181" t="s">
        <v>1749</v>
      </c>
      <c r="C181" t="s">
        <v>1726</v>
      </c>
      <c r="D181" t="s">
        <v>1731</v>
      </c>
      <c r="K181"/>
      <c r="L181"/>
      <c r="M181"/>
    </row>
    <row r="182" spans="1:13">
      <c r="A182" s="2" t="s">
        <v>491</v>
      </c>
      <c r="B182" t="s">
        <v>1749</v>
      </c>
      <c r="C182" t="s">
        <v>1726</v>
      </c>
      <c r="D182" t="s">
        <v>1731</v>
      </c>
      <c r="K182"/>
      <c r="L182"/>
      <c r="M182"/>
    </row>
    <row r="183" spans="1:13">
      <c r="A183" s="2" t="s">
        <v>514</v>
      </c>
      <c r="B183" t="s">
        <v>1749</v>
      </c>
      <c r="C183" t="s">
        <v>1726</v>
      </c>
      <c r="D183" t="s">
        <v>1731</v>
      </c>
      <c r="K183"/>
      <c r="L183"/>
      <c r="M183"/>
    </row>
    <row r="184" spans="1:13">
      <c r="A184" s="2" t="s">
        <v>487</v>
      </c>
      <c r="B184" t="s">
        <v>1749</v>
      </c>
      <c r="C184" t="s">
        <v>1726</v>
      </c>
      <c r="D184" t="s">
        <v>1731</v>
      </c>
      <c r="K184"/>
      <c r="L184"/>
      <c r="M184"/>
    </row>
    <row r="185" spans="1:13">
      <c r="A185" s="2" t="s">
        <v>438</v>
      </c>
      <c r="B185" t="s">
        <v>1750</v>
      </c>
      <c r="C185" t="s">
        <v>1722</v>
      </c>
      <c r="D185" t="s">
        <v>1731</v>
      </c>
      <c r="K185"/>
      <c r="L185"/>
      <c r="M185"/>
    </row>
    <row r="186" spans="1:13">
      <c r="A186" s="2" t="s">
        <v>630</v>
      </c>
      <c r="B186" t="s">
        <v>1750</v>
      </c>
      <c r="C186" t="s">
        <v>1722</v>
      </c>
      <c r="D186" t="s">
        <v>1731</v>
      </c>
      <c r="K186"/>
      <c r="L186"/>
      <c r="M186"/>
    </row>
    <row r="187" spans="1:13">
      <c r="A187" s="2" t="s">
        <v>382</v>
      </c>
      <c r="B187" t="s">
        <v>1750</v>
      </c>
      <c r="C187" t="s">
        <v>1722</v>
      </c>
      <c r="D187" t="s">
        <v>1731</v>
      </c>
      <c r="K187"/>
      <c r="L187"/>
      <c r="M187"/>
    </row>
    <row r="188" spans="1:13">
      <c r="A188" s="2" t="s">
        <v>420</v>
      </c>
      <c r="B188" t="s">
        <v>1750</v>
      </c>
      <c r="C188" t="s">
        <v>1722</v>
      </c>
      <c r="D188" t="s">
        <v>1731</v>
      </c>
      <c r="K188"/>
      <c r="L188"/>
      <c r="M188"/>
    </row>
    <row r="189" spans="1:13">
      <c r="A189" s="2" t="s">
        <v>427</v>
      </c>
      <c r="B189" t="s">
        <v>1750</v>
      </c>
      <c r="C189" t="s">
        <v>1722</v>
      </c>
      <c r="D189" t="s">
        <v>1731</v>
      </c>
      <c r="K189"/>
      <c r="L189"/>
      <c r="M189"/>
    </row>
    <row r="190" spans="1:13">
      <c r="A190" s="2" t="s">
        <v>428</v>
      </c>
      <c r="B190" t="s">
        <v>1750</v>
      </c>
      <c r="C190" t="s">
        <v>1722</v>
      </c>
      <c r="D190" t="s">
        <v>1731</v>
      </c>
      <c r="K190"/>
      <c r="L190"/>
      <c r="M190"/>
    </row>
    <row r="191" spans="1:13">
      <c r="A191" s="2" t="s">
        <v>415</v>
      </c>
      <c r="B191" t="s">
        <v>1750</v>
      </c>
      <c r="C191" t="s">
        <v>1729</v>
      </c>
      <c r="D191" t="s">
        <v>1732</v>
      </c>
      <c r="K191"/>
      <c r="L191"/>
      <c r="M191"/>
    </row>
    <row r="192" spans="1:13">
      <c r="A192" s="2" t="s">
        <v>404</v>
      </c>
      <c r="B192" t="s">
        <v>1750</v>
      </c>
      <c r="C192" t="s">
        <v>1722</v>
      </c>
      <c r="D192" t="s">
        <v>1731</v>
      </c>
      <c r="K192"/>
      <c r="L192"/>
      <c r="M192"/>
    </row>
    <row r="193" spans="1:13">
      <c r="A193" s="2" t="s">
        <v>476</v>
      </c>
      <c r="B193" t="s">
        <v>1750</v>
      </c>
      <c r="C193" t="s">
        <v>1722</v>
      </c>
      <c r="D193" t="s">
        <v>1731</v>
      </c>
      <c r="K193"/>
      <c r="L193"/>
      <c r="M193"/>
    </row>
    <row r="194" spans="1:13">
      <c r="A194" s="2" t="s">
        <v>636</v>
      </c>
      <c r="B194" t="s">
        <v>1750</v>
      </c>
      <c r="C194" t="s">
        <v>1722</v>
      </c>
      <c r="D194" t="s">
        <v>1731</v>
      </c>
      <c r="K194"/>
      <c r="L194"/>
      <c r="M194"/>
    </row>
    <row r="195" spans="1:13">
      <c r="A195" s="2" t="s">
        <v>657</v>
      </c>
      <c r="B195" t="s">
        <v>1750</v>
      </c>
      <c r="C195" t="s">
        <v>1722</v>
      </c>
      <c r="D195" t="s">
        <v>1731</v>
      </c>
      <c r="K195"/>
      <c r="L195"/>
      <c r="M195"/>
    </row>
    <row r="196" spans="1:13">
      <c r="A196" s="2" t="s">
        <v>460</v>
      </c>
      <c r="B196" t="s">
        <v>1750</v>
      </c>
      <c r="C196" t="s">
        <v>1722</v>
      </c>
      <c r="D196" t="s">
        <v>1731</v>
      </c>
      <c r="K196"/>
      <c r="L196"/>
      <c r="M196"/>
    </row>
    <row r="197" spans="1:13">
      <c r="A197" s="2" t="s">
        <v>407</v>
      </c>
      <c r="B197" t="s">
        <v>1750</v>
      </c>
      <c r="C197" t="s">
        <v>1722</v>
      </c>
      <c r="D197" t="s">
        <v>1731</v>
      </c>
      <c r="K197"/>
      <c r="L197"/>
      <c r="M197"/>
    </row>
    <row r="198" spans="1:13">
      <c r="A198" s="2" t="s">
        <v>411</v>
      </c>
      <c r="B198" t="s">
        <v>1750</v>
      </c>
      <c r="C198" t="s">
        <v>1722</v>
      </c>
      <c r="D198" t="s">
        <v>1731</v>
      </c>
      <c r="K198"/>
      <c r="L198"/>
      <c r="M198"/>
    </row>
    <row r="199" spans="1:13">
      <c r="A199" s="2" t="s">
        <v>393</v>
      </c>
      <c r="B199" t="s">
        <v>1750</v>
      </c>
      <c r="C199" t="s">
        <v>1722</v>
      </c>
      <c r="D199" t="s">
        <v>1731</v>
      </c>
      <c r="K199"/>
      <c r="L199"/>
      <c r="M199"/>
    </row>
    <row r="200" spans="1:13">
      <c r="A200" s="2" t="s">
        <v>406</v>
      </c>
      <c r="B200" t="s">
        <v>1750</v>
      </c>
      <c r="C200" t="s">
        <v>1725</v>
      </c>
      <c r="D200" t="s">
        <v>1731</v>
      </c>
      <c r="K200"/>
      <c r="L200"/>
      <c r="M200"/>
    </row>
    <row r="201" spans="1:13">
      <c r="A201" s="2" t="s">
        <v>443</v>
      </c>
      <c r="B201" t="s">
        <v>1750</v>
      </c>
      <c r="C201" t="s">
        <v>1722</v>
      </c>
      <c r="D201" t="s">
        <v>1731</v>
      </c>
      <c r="K201"/>
      <c r="L201"/>
      <c r="M201"/>
    </row>
    <row r="202" spans="1:13">
      <c r="A202" s="2" t="s">
        <v>442</v>
      </c>
      <c r="B202" t="s">
        <v>1750</v>
      </c>
      <c r="C202" t="s">
        <v>1722</v>
      </c>
      <c r="D202" t="s">
        <v>1731</v>
      </c>
      <c r="K202"/>
      <c r="L202"/>
      <c r="M202"/>
    </row>
    <row r="203" spans="1:13">
      <c r="A203" s="2" t="s">
        <v>441</v>
      </c>
      <c r="B203" t="s">
        <v>1750</v>
      </c>
      <c r="C203" t="s">
        <v>1722</v>
      </c>
      <c r="D203" t="s">
        <v>1731</v>
      </c>
      <c r="K203"/>
      <c r="L203"/>
      <c r="M203"/>
    </row>
    <row r="204" spans="1:13">
      <c r="A204" s="2" t="s">
        <v>440</v>
      </c>
      <c r="B204" t="s">
        <v>1750</v>
      </c>
      <c r="C204" t="s">
        <v>1722</v>
      </c>
      <c r="D204" t="s">
        <v>1731</v>
      </c>
      <c r="K204"/>
      <c r="L204"/>
      <c r="M204"/>
    </row>
    <row r="205" spans="1:13">
      <c r="A205" s="2" t="s">
        <v>439</v>
      </c>
      <c r="B205" t="s">
        <v>1750</v>
      </c>
      <c r="C205" t="s">
        <v>1722</v>
      </c>
      <c r="D205" t="s">
        <v>1731</v>
      </c>
      <c r="K205"/>
      <c r="L205"/>
      <c r="M205"/>
    </row>
    <row r="206" spans="1:13">
      <c r="A206" s="2" t="s">
        <v>445</v>
      </c>
      <c r="B206" t="s">
        <v>1750</v>
      </c>
      <c r="C206" t="s">
        <v>1722</v>
      </c>
      <c r="D206" t="s">
        <v>1731</v>
      </c>
      <c r="K206"/>
      <c r="L206"/>
      <c r="M206"/>
    </row>
    <row r="207" spans="1:13">
      <c r="A207" s="2" t="s">
        <v>412</v>
      </c>
      <c r="B207" t="s">
        <v>1750</v>
      </c>
      <c r="C207" t="s">
        <v>1722</v>
      </c>
      <c r="D207" t="s">
        <v>1731</v>
      </c>
      <c r="K207"/>
      <c r="L207"/>
      <c r="M207"/>
    </row>
    <row r="208" spans="1:13">
      <c r="A208" s="2" t="s">
        <v>468</v>
      </c>
      <c r="B208" t="s">
        <v>1750</v>
      </c>
      <c r="C208" t="s">
        <v>1722</v>
      </c>
      <c r="D208" t="s">
        <v>1731</v>
      </c>
      <c r="K208"/>
      <c r="L208"/>
      <c r="M208"/>
    </row>
    <row r="209" spans="1:13">
      <c r="A209" s="2" t="s">
        <v>452</v>
      </c>
      <c r="B209" t="s">
        <v>1750</v>
      </c>
      <c r="C209" t="s">
        <v>1722</v>
      </c>
      <c r="D209" t="s">
        <v>1731</v>
      </c>
      <c r="K209"/>
      <c r="L209"/>
      <c r="M209"/>
    </row>
    <row r="210" spans="1:13">
      <c r="A210" s="2" t="s">
        <v>661</v>
      </c>
      <c r="B210" t="s">
        <v>1750</v>
      </c>
      <c r="C210" t="s">
        <v>1722</v>
      </c>
      <c r="D210" t="s">
        <v>1731</v>
      </c>
      <c r="K210"/>
      <c r="L210"/>
      <c r="M210"/>
    </row>
    <row r="211" spans="1:13">
      <c r="A211" s="2" t="s">
        <v>461</v>
      </c>
      <c r="B211" t="s">
        <v>1750</v>
      </c>
      <c r="C211" t="s">
        <v>1722</v>
      </c>
      <c r="D211" t="s">
        <v>1731</v>
      </c>
      <c r="K211"/>
      <c r="L211"/>
      <c r="M211"/>
    </row>
    <row r="212" spans="1:13">
      <c r="A212" s="2" t="s">
        <v>463</v>
      </c>
      <c r="B212" t="s">
        <v>1750</v>
      </c>
      <c r="C212" t="s">
        <v>1722</v>
      </c>
      <c r="D212" t="s">
        <v>1731</v>
      </c>
      <c r="K212"/>
      <c r="L212"/>
      <c r="M212"/>
    </row>
    <row r="213" spans="1:13">
      <c r="A213" s="2" t="s">
        <v>462</v>
      </c>
      <c r="B213" t="s">
        <v>1750</v>
      </c>
      <c r="C213" t="s">
        <v>1722</v>
      </c>
      <c r="D213" t="s">
        <v>1731</v>
      </c>
      <c r="K213"/>
      <c r="L213"/>
      <c r="M213"/>
    </row>
    <row r="214" spans="1:13">
      <c r="A214" s="2" t="s">
        <v>387</v>
      </c>
      <c r="B214" t="s">
        <v>1750</v>
      </c>
      <c r="C214" t="s">
        <v>1722</v>
      </c>
      <c r="D214" t="s">
        <v>1731</v>
      </c>
      <c r="K214"/>
      <c r="L214"/>
      <c r="M214"/>
    </row>
    <row r="215" spans="1:13">
      <c r="A215" s="2" t="s">
        <v>475</v>
      </c>
      <c r="B215" t="s">
        <v>1750</v>
      </c>
      <c r="C215" t="s">
        <v>1722</v>
      </c>
      <c r="D215" t="s">
        <v>1731</v>
      </c>
      <c r="K215"/>
      <c r="L215"/>
      <c r="M215"/>
    </row>
    <row r="216" spans="1:13">
      <c r="A216" s="2" t="s">
        <v>421</v>
      </c>
      <c r="B216" t="s">
        <v>1750</v>
      </c>
      <c r="C216" t="s">
        <v>1722</v>
      </c>
      <c r="D216" t="s">
        <v>1731</v>
      </c>
      <c r="K216"/>
      <c r="L216"/>
      <c r="M216"/>
    </row>
    <row r="217" spans="1:13">
      <c r="A217" s="2" t="s">
        <v>418</v>
      </c>
      <c r="B217" t="s">
        <v>1750</v>
      </c>
      <c r="C217" t="s">
        <v>1722</v>
      </c>
      <c r="D217" t="s">
        <v>1731</v>
      </c>
      <c r="K217"/>
      <c r="L217"/>
      <c r="M217"/>
    </row>
    <row r="218" spans="1:13">
      <c r="A218" s="2" t="s">
        <v>416</v>
      </c>
      <c r="B218" t="s">
        <v>1750</v>
      </c>
      <c r="C218" t="s">
        <v>1722</v>
      </c>
      <c r="D218" t="s">
        <v>1731</v>
      </c>
      <c r="K218"/>
      <c r="L218"/>
      <c r="M218"/>
    </row>
    <row r="219" spans="1:13">
      <c r="A219" s="2" t="s">
        <v>464</v>
      </c>
      <c r="B219" t="s">
        <v>1750</v>
      </c>
      <c r="C219" t="s">
        <v>1722</v>
      </c>
      <c r="D219" t="s">
        <v>1731</v>
      </c>
      <c r="K219"/>
      <c r="L219"/>
      <c r="M219"/>
    </row>
    <row r="220" spans="1:13">
      <c r="A220" s="2" t="s">
        <v>470</v>
      </c>
      <c r="B220" t="s">
        <v>1750</v>
      </c>
      <c r="C220" t="s">
        <v>1722</v>
      </c>
      <c r="D220" t="s">
        <v>1731</v>
      </c>
      <c r="K220"/>
      <c r="L220"/>
      <c r="M220"/>
    </row>
    <row r="221" spans="1:13">
      <c r="A221" s="2" t="s">
        <v>422</v>
      </c>
      <c r="B221" t="s">
        <v>1750</v>
      </c>
      <c r="C221" t="s">
        <v>1722</v>
      </c>
      <c r="D221" t="s">
        <v>1731</v>
      </c>
      <c r="K221"/>
      <c r="L221"/>
      <c r="M221"/>
    </row>
    <row r="222" spans="1:13">
      <c r="A222" s="2" t="s">
        <v>434</v>
      </c>
      <c r="B222" t="s">
        <v>1750</v>
      </c>
      <c r="C222" t="s">
        <v>1729</v>
      </c>
      <c r="D222" t="s">
        <v>1732</v>
      </c>
      <c r="K222"/>
      <c r="L222"/>
      <c r="M222"/>
    </row>
    <row r="223" spans="1:13">
      <c r="A223" s="2" t="s">
        <v>446</v>
      </c>
      <c r="B223" t="s">
        <v>1750</v>
      </c>
      <c r="C223" t="s">
        <v>1722</v>
      </c>
      <c r="D223" t="s">
        <v>1731</v>
      </c>
      <c r="K223"/>
      <c r="L223"/>
      <c r="M223"/>
    </row>
    <row r="224" spans="1:13">
      <c r="A224" s="2" t="s">
        <v>660</v>
      </c>
      <c r="B224" t="s">
        <v>1750</v>
      </c>
      <c r="C224" t="s">
        <v>1722</v>
      </c>
      <c r="D224" t="s">
        <v>1731</v>
      </c>
      <c r="K224"/>
      <c r="L224"/>
      <c r="M224"/>
    </row>
    <row r="225" spans="1:13">
      <c r="A225" s="2" t="s">
        <v>386</v>
      </c>
      <c r="B225" t="s">
        <v>1750</v>
      </c>
      <c r="C225" t="s">
        <v>1729</v>
      </c>
      <c r="D225" t="s">
        <v>1732</v>
      </c>
      <c r="K225"/>
      <c r="L225"/>
      <c r="M225"/>
    </row>
    <row r="226" spans="1:13">
      <c r="A226" s="2" t="s">
        <v>409</v>
      </c>
      <c r="B226" t="s">
        <v>1750</v>
      </c>
      <c r="C226" t="s">
        <v>1722</v>
      </c>
      <c r="D226" t="s">
        <v>1731</v>
      </c>
      <c r="K226"/>
      <c r="L226"/>
      <c r="M226"/>
    </row>
    <row r="227" spans="1:13">
      <c r="A227" s="2" t="s">
        <v>388</v>
      </c>
      <c r="B227" t="s">
        <v>1750</v>
      </c>
      <c r="C227" t="s">
        <v>1722</v>
      </c>
      <c r="D227" t="s">
        <v>1731</v>
      </c>
      <c r="K227"/>
      <c r="L227"/>
      <c r="M227"/>
    </row>
    <row r="228" spans="1:13">
      <c r="A228" s="2" t="s">
        <v>401</v>
      </c>
      <c r="B228" t="s">
        <v>1750</v>
      </c>
      <c r="C228" t="s">
        <v>1722</v>
      </c>
      <c r="D228" t="s">
        <v>1731</v>
      </c>
      <c r="K228"/>
      <c r="L228"/>
      <c r="M228"/>
    </row>
    <row r="229" spans="1:13">
      <c r="A229" s="2" t="s">
        <v>394</v>
      </c>
      <c r="B229" t="s">
        <v>1750</v>
      </c>
      <c r="C229" t="s">
        <v>1722</v>
      </c>
      <c r="D229" t="s">
        <v>1731</v>
      </c>
      <c r="K229"/>
      <c r="L229"/>
      <c r="M229"/>
    </row>
    <row r="230" spans="1:13">
      <c r="A230" s="2" t="s">
        <v>402</v>
      </c>
      <c r="B230" t="s">
        <v>1750</v>
      </c>
      <c r="C230" t="s">
        <v>1722</v>
      </c>
      <c r="D230" t="s">
        <v>1731</v>
      </c>
      <c r="K230"/>
      <c r="L230"/>
      <c r="M230"/>
    </row>
    <row r="231" spans="1:13">
      <c r="A231" s="2" t="s">
        <v>453</v>
      </c>
      <c r="B231" t="s">
        <v>1750</v>
      </c>
      <c r="C231" t="s">
        <v>1722</v>
      </c>
      <c r="D231" t="s">
        <v>1731</v>
      </c>
      <c r="K231"/>
      <c r="L231"/>
      <c r="M231"/>
    </row>
    <row r="232" spans="1:13">
      <c r="A232" s="2" t="s">
        <v>471</v>
      </c>
      <c r="B232" t="s">
        <v>1750</v>
      </c>
      <c r="C232" t="s">
        <v>1729</v>
      </c>
      <c r="D232" t="s">
        <v>1732</v>
      </c>
      <c r="K232"/>
      <c r="L232"/>
      <c r="M232"/>
    </row>
    <row r="233" spans="1:13">
      <c r="A233" s="2" t="s">
        <v>403</v>
      </c>
      <c r="B233" t="s">
        <v>1750</v>
      </c>
      <c r="C233" t="s">
        <v>1722</v>
      </c>
      <c r="D233" t="s">
        <v>1731</v>
      </c>
      <c r="K233"/>
      <c r="L233"/>
      <c r="M233"/>
    </row>
    <row r="234" spans="1:13">
      <c r="A234" s="2" t="s">
        <v>400</v>
      </c>
      <c r="B234" t="s">
        <v>1750</v>
      </c>
      <c r="C234" t="s">
        <v>1729</v>
      </c>
      <c r="D234" t="s">
        <v>1735</v>
      </c>
      <c r="K234"/>
      <c r="L234"/>
      <c r="M234"/>
    </row>
    <row r="235" spans="1:13">
      <c r="A235" s="2" t="s">
        <v>385</v>
      </c>
      <c r="B235" t="s">
        <v>1750</v>
      </c>
      <c r="C235" t="s">
        <v>1722</v>
      </c>
      <c r="D235" t="s">
        <v>1731</v>
      </c>
      <c r="K235"/>
      <c r="L235"/>
      <c r="M235"/>
    </row>
    <row r="236" spans="1:13">
      <c r="A236" s="2" t="s">
        <v>378</v>
      </c>
      <c r="B236" t="s">
        <v>1750</v>
      </c>
      <c r="C236" t="s">
        <v>1722</v>
      </c>
      <c r="D236" t="s">
        <v>1731</v>
      </c>
      <c r="K236"/>
      <c r="L236"/>
      <c r="M236"/>
    </row>
    <row r="237" spans="1:13">
      <c r="A237" s="2" t="s">
        <v>379</v>
      </c>
      <c r="B237" t="s">
        <v>1750</v>
      </c>
      <c r="C237" t="s">
        <v>1722</v>
      </c>
      <c r="D237" t="s">
        <v>1731</v>
      </c>
      <c r="K237"/>
      <c r="L237"/>
      <c r="M237"/>
    </row>
    <row r="238" spans="1:13">
      <c r="A238" s="2" t="s">
        <v>628</v>
      </c>
      <c r="B238" t="s">
        <v>1750</v>
      </c>
      <c r="C238" t="s">
        <v>1722</v>
      </c>
      <c r="D238" t="s">
        <v>1731</v>
      </c>
      <c r="K238"/>
      <c r="L238"/>
      <c r="M238"/>
    </row>
    <row r="239" spans="1:13">
      <c r="A239" s="2" t="s">
        <v>472</v>
      </c>
      <c r="B239" t="s">
        <v>1750</v>
      </c>
      <c r="C239" t="s">
        <v>1722</v>
      </c>
      <c r="D239" t="s">
        <v>1731</v>
      </c>
      <c r="K239"/>
      <c r="L239"/>
      <c r="M239"/>
    </row>
    <row r="240" spans="1:13">
      <c r="A240" s="2" t="s">
        <v>627</v>
      </c>
      <c r="B240" t="s">
        <v>1750</v>
      </c>
      <c r="C240" t="s">
        <v>1729</v>
      </c>
      <c r="D240" t="s">
        <v>1735</v>
      </c>
      <c r="K240"/>
      <c r="L240"/>
      <c r="M240"/>
    </row>
    <row r="241" spans="1:13">
      <c r="A241" s="2" t="s">
        <v>465</v>
      </c>
      <c r="B241" t="s">
        <v>1750</v>
      </c>
      <c r="C241" t="s">
        <v>1729</v>
      </c>
      <c r="D241" t="s">
        <v>1735</v>
      </c>
      <c r="K241"/>
      <c r="L241"/>
      <c r="M241"/>
    </row>
    <row r="242" spans="1:13">
      <c r="A242" s="2" t="s">
        <v>662</v>
      </c>
      <c r="B242" t="s">
        <v>1750</v>
      </c>
      <c r="C242" t="s">
        <v>1722</v>
      </c>
      <c r="D242" t="s">
        <v>1731</v>
      </c>
      <c r="K242"/>
      <c r="L242"/>
      <c r="M242"/>
    </row>
    <row r="243" spans="1:13">
      <c r="A243" s="2" t="s">
        <v>663</v>
      </c>
      <c r="B243" t="s">
        <v>1750</v>
      </c>
      <c r="C243" t="s">
        <v>1729</v>
      </c>
      <c r="D243" t="s">
        <v>1735</v>
      </c>
      <c r="K243"/>
      <c r="L243"/>
      <c r="M243"/>
    </row>
    <row r="244" spans="1:13">
      <c r="A244" s="2" t="s">
        <v>454</v>
      </c>
      <c r="B244" t="s">
        <v>1750</v>
      </c>
      <c r="C244" t="s">
        <v>1722</v>
      </c>
      <c r="D244" t="s">
        <v>1731</v>
      </c>
      <c r="K244"/>
      <c r="L244"/>
      <c r="M244"/>
    </row>
    <row r="245" spans="1:13">
      <c r="A245" s="2" t="s">
        <v>457</v>
      </c>
      <c r="B245" t="s">
        <v>1750</v>
      </c>
      <c r="C245" t="s">
        <v>1722</v>
      </c>
      <c r="D245" t="s">
        <v>1731</v>
      </c>
      <c r="K245"/>
      <c r="L245"/>
      <c r="M245"/>
    </row>
    <row r="246" spans="1:13">
      <c r="A246" s="2" t="s">
        <v>458</v>
      </c>
      <c r="B246" t="s">
        <v>1750</v>
      </c>
      <c r="C246" t="s">
        <v>1722</v>
      </c>
      <c r="D246" t="s">
        <v>1731</v>
      </c>
      <c r="K246"/>
      <c r="L246"/>
      <c r="M246"/>
    </row>
    <row r="247" spans="1:13">
      <c r="A247" s="2" t="s">
        <v>408</v>
      </c>
      <c r="B247" t="s">
        <v>1750</v>
      </c>
      <c r="C247" t="s">
        <v>1722</v>
      </c>
      <c r="D247" t="s">
        <v>1731</v>
      </c>
      <c r="K247"/>
      <c r="L247"/>
      <c r="M247"/>
    </row>
    <row r="248" spans="1:13">
      <c r="A248" s="2" t="s">
        <v>455</v>
      </c>
      <c r="B248" t="s">
        <v>1750</v>
      </c>
      <c r="C248" t="s">
        <v>1722</v>
      </c>
      <c r="D248" t="s">
        <v>1731</v>
      </c>
      <c r="K248"/>
      <c r="L248"/>
      <c r="M248"/>
    </row>
    <row r="249" spans="1:13">
      <c r="A249" s="2" t="s">
        <v>380</v>
      </c>
      <c r="B249" t="s">
        <v>1750</v>
      </c>
      <c r="C249" t="s">
        <v>1722</v>
      </c>
      <c r="D249" t="s">
        <v>1731</v>
      </c>
      <c r="K249"/>
      <c r="L249"/>
      <c r="M249"/>
    </row>
    <row r="250" spans="1:13">
      <c r="A250" s="2" t="s">
        <v>381</v>
      </c>
      <c r="B250" t="s">
        <v>1750</v>
      </c>
      <c r="C250" t="s">
        <v>1722</v>
      </c>
      <c r="D250" t="s">
        <v>1731</v>
      </c>
      <c r="K250"/>
      <c r="L250"/>
      <c r="M250"/>
    </row>
    <row r="251" spans="1:13">
      <c r="A251" s="2" t="s">
        <v>459</v>
      </c>
      <c r="B251" t="s">
        <v>1750</v>
      </c>
      <c r="C251" t="s">
        <v>1722</v>
      </c>
      <c r="D251" t="s">
        <v>1731</v>
      </c>
      <c r="K251"/>
      <c r="L251"/>
      <c r="M251"/>
    </row>
    <row r="252" spans="1:13">
      <c r="A252" s="2" t="s">
        <v>629</v>
      </c>
      <c r="B252" t="s">
        <v>1750</v>
      </c>
      <c r="C252" t="s">
        <v>1722</v>
      </c>
      <c r="D252" t="s">
        <v>1731</v>
      </c>
      <c r="K252"/>
      <c r="L252"/>
      <c r="M252"/>
    </row>
    <row r="253" spans="1:13">
      <c r="A253" s="2" t="s">
        <v>639</v>
      </c>
      <c r="B253" t="s">
        <v>1750</v>
      </c>
      <c r="C253" t="s">
        <v>1722</v>
      </c>
      <c r="D253" t="s">
        <v>1731</v>
      </c>
      <c r="K253"/>
      <c r="L253"/>
      <c r="M253"/>
    </row>
    <row r="254" spans="1:13">
      <c r="A254" s="2" t="s">
        <v>417</v>
      </c>
      <c r="B254" t="s">
        <v>1750</v>
      </c>
      <c r="C254" t="s">
        <v>1722</v>
      </c>
      <c r="D254" t="s">
        <v>1731</v>
      </c>
      <c r="K254"/>
      <c r="L254"/>
      <c r="M254"/>
    </row>
    <row r="255" spans="1:13">
      <c r="A255" s="2" t="s">
        <v>433</v>
      </c>
      <c r="B255" t="s">
        <v>1750</v>
      </c>
      <c r="C255" t="s">
        <v>1722</v>
      </c>
      <c r="D255" t="s">
        <v>1731</v>
      </c>
      <c r="K255"/>
      <c r="L255"/>
      <c r="M255"/>
    </row>
    <row r="256" spans="1:13">
      <c r="A256" s="2" t="s">
        <v>413</v>
      </c>
      <c r="B256" t="s">
        <v>1750</v>
      </c>
      <c r="C256" t="s">
        <v>1722</v>
      </c>
      <c r="D256" t="s">
        <v>1731</v>
      </c>
      <c r="K256"/>
      <c r="L256"/>
      <c r="M256"/>
    </row>
    <row r="257" spans="1:13">
      <c r="A257" s="2" t="s">
        <v>398</v>
      </c>
      <c r="B257" t="s">
        <v>1750</v>
      </c>
      <c r="C257" t="s">
        <v>1722</v>
      </c>
      <c r="D257" t="s">
        <v>1731</v>
      </c>
      <c r="K257"/>
      <c r="L257"/>
      <c r="M257"/>
    </row>
    <row r="258" spans="1:13">
      <c r="A258" s="2" t="s">
        <v>397</v>
      </c>
      <c r="B258" t="s">
        <v>1750</v>
      </c>
      <c r="C258" t="s">
        <v>1729</v>
      </c>
      <c r="D258" t="s">
        <v>1735</v>
      </c>
      <c r="K258"/>
      <c r="L258"/>
      <c r="M258"/>
    </row>
    <row r="259" spans="1:13">
      <c r="A259" s="2" t="s">
        <v>396</v>
      </c>
      <c r="B259" t="s">
        <v>1750</v>
      </c>
      <c r="C259" t="s">
        <v>1722</v>
      </c>
      <c r="D259" t="s">
        <v>1731</v>
      </c>
      <c r="K259"/>
      <c r="L259"/>
      <c r="M259"/>
    </row>
    <row r="260" spans="1:13">
      <c r="A260" s="2" t="s">
        <v>447</v>
      </c>
      <c r="B260" t="s">
        <v>1750</v>
      </c>
      <c r="C260" t="s">
        <v>1722</v>
      </c>
      <c r="D260" t="s">
        <v>1731</v>
      </c>
      <c r="K260"/>
      <c r="L260"/>
      <c r="M260"/>
    </row>
    <row r="261" spans="1:13">
      <c r="A261" s="2" t="s">
        <v>448</v>
      </c>
      <c r="B261" t="s">
        <v>1750</v>
      </c>
      <c r="C261" t="s">
        <v>1722</v>
      </c>
      <c r="D261" t="s">
        <v>1731</v>
      </c>
      <c r="K261"/>
      <c r="L261"/>
      <c r="M261"/>
    </row>
    <row r="262" spans="1:13">
      <c r="A262" s="2" t="s">
        <v>655</v>
      </c>
      <c r="B262" t="s">
        <v>1750</v>
      </c>
      <c r="C262" t="s">
        <v>1722</v>
      </c>
      <c r="D262" t="s">
        <v>1731</v>
      </c>
      <c r="K262"/>
      <c r="L262"/>
      <c r="M262"/>
    </row>
    <row r="263" spans="1:13">
      <c r="A263" s="2" t="s">
        <v>664</v>
      </c>
      <c r="B263" t="s">
        <v>1750</v>
      </c>
      <c r="C263" t="s">
        <v>1722</v>
      </c>
      <c r="D263" t="s">
        <v>1731</v>
      </c>
      <c r="K263"/>
      <c r="L263"/>
      <c r="M263"/>
    </row>
    <row r="264" spans="1:13">
      <c r="A264" s="2" t="s">
        <v>652</v>
      </c>
      <c r="B264" t="s">
        <v>1750</v>
      </c>
      <c r="C264" t="s">
        <v>1729</v>
      </c>
      <c r="D264" t="s">
        <v>1735</v>
      </c>
      <c r="K264"/>
      <c r="L264"/>
      <c r="M264"/>
    </row>
    <row r="265" spans="1:13">
      <c r="A265" s="2" t="s">
        <v>651</v>
      </c>
      <c r="B265" t="s">
        <v>1750</v>
      </c>
      <c r="C265" t="s">
        <v>1729</v>
      </c>
      <c r="D265" t="s">
        <v>1735</v>
      </c>
      <c r="K265"/>
      <c r="L265"/>
      <c r="M265"/>
    </row>
    <row r="266" spans="1:13">
      <c r="A266" s="2" t="s">
        <v>653</v>
      </c>
      <c r="B266" t="s">
        <v>1750</v>
      </c>
      <c r="C266" t="s">
        <v>1722</v>
      </c>
      <c r="D266" t="s">
        <v>1731</v>
      </c>
      <c r="K266"/>
      <c r="L266"/>
      <c r="M266"/>
    </row>
    <row r="267" spans="1:13">
      <c r="A267" s="2" t="s">
        <v>659</v>
      </c>
      <c r="B267" t="s">
        <v>1750</v>
      </c>
      <c r="C267" t="s">
        <v>1722</v>
      </c>
      <c r="D267" t="s">
        <v>1731</v>
      </c>
      <c r="K267"/>
      <c r="L267"/>
      <c r="M267"/>
    </row>
    <row r="268" spans="1:13">
      <c r="A268" s="2" t="s">
        <v>658</v>
      </c>
      <c r="B268" t="s">
        <v>1750</v>
      </c>
      <c r="C268" t="s">
        <v>1729</v>
      </c>
      <c r="D268" t="s">
        <v>1735</v>
      </c>
      <c r="K268"/>
      <c r="L268"/>
      <c r="M268"/>
    </row>
    <row r="269" spans="1:13">
      <c r="A269" s="2" t="s">
        <v>399</v>
      </c>
      <c r="B269" t="s">
        <v>1750</v>
      </c>
      <c r="C269" t="s">
        <v>1722</v>
      </c>
      <c r="D269" t="s">
        <v>1731</v>
      </c>
      <c r="K269"/>
      <c r="L269"/>
      <c r="M269"/>
    </row>
    <row r="270" spans="1:13">
      <c r="A270" s="2" t="s">
        <v>638</v>
      </c>
      <c r="B270" t="s">
        <v>1750</v>
      </c>
      <c r="C270" t="s">
        <v>1722</v>
      </c>
      <c r="D270" t="s">
        <v>1731</v>
      </c>
      <c r="K270"/>
      <c r="L270"/>
      <c r="M270"/>
    </row>
    <row r="271" spans="1:13">
      <c r="A271" s="2" t="s">
        <v>449</v>
      </c>
      <c r="B271" t="s">
        <v>1750</v>
      </c>
      <c r="C271" t="s">
        <v>1722</v>
      </c>
      <c r="D271" t="s">
        <v>1731</v>
      </c>
      <c r="K271"/>
      <c r="L271"/>
      <c r="M271"/>
    </row>
    <row r="272" spans="1:13">
      <c r="A272" s="2" t="s">
        <v>631</v>
      </c>
      <c r="B272" t="s">
        <v>1750</v>
      </c>
      <c r="C272" t="s">
        <v>1722</v>
      </c>
      <c r="D272" t="s">
        <v>1731</v>
      </c>
      <c r="K272"/>
      <c r="L272"/>
      <c r="M272"/>
    </row>
    <row r="273" spans="1:13">
      <c r="A273" s="2" t="s">
        <v>632</v>
      </c>
      <c r="B273" t="s">
        <v>1750</v>
      </c>
      <c r="C273" t="s">
        <v>1722</v>
      </c>
      <c r="D273" t="s">
        <v>1731</v>
      </c>
      <c r="K273"/>
      <c r="L273"/>
      <c r="M273"/>
    </row>
    <row r="274" spans="1:13">
      <c r="A274" s="2" t="s">
        <v>633</v>
      </c>
      <c r="B274" t="s">
        <v>1750</v>
      </c>
      <c r="C274" t="s">
        <v>1722</v>
      </c>
      <c r="D274" t="s">
        <v>1731</v>
      </c>
      <c r="K274"/>
      <c r="L274"/>
      <c r="M274"/>
    </row>
    <row r="275" spans="1:13">
      <c r="A275" s="2" t="s">
        <v>637</v>
      </c>
      <c r="B275" t="s">
        <v>1750</v>
      </c>
      <c r="C275" t="s">
        <v>1722</v>
      </c>
      <c r="D275" t="s">
        <v>1731</v>
      </c>
      <c r="K275"/>
      <c r="L275"/>
      <c r="M275"/>
    </row>
    <row r="276" spans="1:13">
      <c r="A276" s="2" t="s">
        <v>410</v>
      </c>
      <c r="B276" t="s">
        <v>1750</v>
      </c>
      <c r="C276" t="s">
        <v>1722</v>
      </c>
      <c r="D276" t="s">
        <v>1731</v>
      </c>
      <c r="K276"/>
      <c r="L276"/>
      <c r="M276"/>
    </row>
    <row r="277" spans="1:13">
      <c r="A277" s="2" t="s">
        <v>395</v>
      </c>
      <c r="B277" t="s">
        <v>1750</v>
      </c>
      <c r="C277" t="s">
        <v>1722</v>
      </c>
      <c r="D277" t="s">
        <v>1731</v>
      </c>
      <c r="K277"/>
      <c r="L277"/>
      <c r="M277"/>
    </row>
    <row r="278" spans="1:13">
      <c r="A278" s="2" t="s">
        <v>450</v>
      </c>
      <c r="B278" t="s">
        <v>1750</v>
      </c>
      <c r="C278" t="s">
        <v>1722</v>
      </c>
      <c r="D278" t="s">
        <v>1731</v>
      </c>
      <c r="K278"/>
      <c r="L278"/>
      <c r="M278"/>
    </row>
    <row r="279" spans="1:13">
      <c r="A279" s="2" t="s">
        <v>405</v>
      </c>
      <c r="B279" t="s">
        <v>1750</v>
      </c>
      <c r="C279" t="s">
        <v>1722</v>
      </c>
      <c r="D279" t="s">
        <v>1731</v>
      </c>
      <c r="K279"/>
      <c r="L279"/>
      <c r="M279"/>
    </row>
    <row r="280" spans="1:13">
      <c r="A280" s="2" t="s">
        <v>469</v>
      </c>
      <c r="B280" t="s">
        <v>1750</v>
      </c>
      <c r="C280" t="s">
        <v>1722</v>
      </c>
      <c r="D280" t="s">
        <v>1731</v>
      </c>
      <c r="K280"/>
      <c r="L280"/>
      <c r="M280"/>
    </row>
    <row r="281" spans="1:13">
      <c r="A281" s="2" t="s">
        <v>429</v>
      </c>
      <c r="B281" t="s">
        <v>1750</v>
      </c>
      <c r="C281" t="s">
        <v>1723</v>
      </c>
      <c r="D281" t="s">
        <v>1735</v>
      </c>
      <c r="K281"/>
      <c r="L281"/>
      <c r="M281"/>
    </row>
    <row r="282" spans="1:13">
      <c r="A282" s="2" t="s">
        <v>430</v>
      </c>
      <c r="B282" t="s">
        <v>1750</v>
      </c>
      <c r="C282" t="s">
        <v>1729</v>
      </c>
      <c r="D282" t="s">
        <v>1735</v>
      </c>
      <c r="K282"/>
      <c r="L282"/>
      <c r="M282"/>
    </row>
    <row r="283" spans="1:13">
      <c r="A283" s="2" t="s">
        <v>432</v>
      </c>
      <c r="B283" t="s">
        <v>1750</v>
      </c>
      <c r="C283" t="s">
        <v>1722</v>
      </c>
      <c r="D283" t="s">
        <v>1731</v>
      </c>
      <c r="K283"/>
      <c r="L283"/>
      <c r="M283"/>
    </row>
    <row r="284" spans="1:13">
      <c r="A284" s="2" t="s">
        <v>431</v>
      </c>
      <c r="B284" t="s">
        <v>1750</v>
      </c>
      <c r="C284" t="s">
        <v>1723</v>
      </c>
      <c r="D284" t="s">
        <v>1734</v>
      </c>
      <c r="K284"/>
      <c r="L284"/>
      <c r="M284"/>
    </row>
    <row r="285" spans="1:13">
      <c r="A285" s="2" t="s">
        <v>423</v>
      </c>
      <c r="B285" t="s">
        <v>1750</v>
      </c>
      <c r="C285" t="s">
        <v>1722</v>
      </c>
      <c r="D285" t="s">
        <v>1731</v>
      </c>
      <c r="K285"/>
      <c r="L285"/>
      <c r="M285"/>
    </row>
    <row r="286" spans="1:13">
      <c r="A286" s="2" t="s">
        <v>626</v>
      </c>
      <c r="B286" t="s">
        <v>1750</v>
      </c>
      <c r="C286" t="s">
        <v>1722</v>
      </c>
      <c r="D286" t="s">
        <v>1731</v>
      </c>
      <c r="K286"/>
      <c r="L286"/>
      <c r="M286"/>
    </row>
    <row r="287" spans="1:13">
      <c r="A287" s="2" t="s">
        <v>634</v>
      </c>
      <c r="B287" t="s">
        <v>1750</v>
      </c>
      <c r="C287" t="s">
        <v>1722</v>
      </c>
      <c r="D287" t="s">
        <v>1731</v>
      </c>
      <c r="K287"/>
      <c r="L287"/>
      <c r="M287"/>
    </row>
    <row r="288" spans="1:13">
      <c r="A288" s="2" t="s">
        <v>635</v>
      </c>
      <c r="B288" t="s">
        <v>1750</v>
      </c>
      <c r="C288" t="s">
        <v>1729</v>
      </c>
      <c r="D288" t="s">
        <v>1732</v>
      </c>
      <c r="K288"/>
      <c r="L288"/>
      <c r="M288"/>
    </row>
    <row r="289" spans="1:13">
      <c r="A289" s="2" t="s">
        <v>424</v>
      </c>
      <c r="B289" t="s">
        <v>1750</v>
      </c>
      <c r="C289" t="s">
        <v>1722</v>
      </c>
      <c r="D289" t="s">
        <v>1731</v>
      </c>
      <c r="K289"/>
      <c r="L289"/>
      <c r="M289"/>
    </row>
    <row r="290" spans="1:13">
      <c r="A290" s="2" t="s">
        <v>426</v>
      </c>
      <c r="B290" t="s">
        <v>1750</v>
      </c>
      <c r="C290" t="s">
        <v>1722</v>
      </c>
      <c r="D290" t="s">
        <v>1731</v>
      </c>
      <c r="K290"/>
      <c r="L290"/>
      <c r="M290"/>
    </row>
    <row r="291" spans="1:13">
      <c r="A291" s="2" t="s">
        <v>425</v>
      </c>
      <c r="B291" t="s">
        <v>1750</v>
      </c>
      <c r="C291" t="s">
        <v>1722</v>
      </c>
      <c r="D291" t="s">
        <v>1731</v>
      </c>
      <c r="K291"/>
      <c r="L291"/>
      <c r="M291"/>
    </row>
    <row r="292" spans="1:13">
      <c r="A292" s="2" t="s">
        <v>389</v>
      </c>
      <c r="B292" t="s">
        <v>1750</v>
      </c>
      <c r="C292" t="s">
        <v>1722</v>
      </c>
      <c r="D292" t="s">
        <v>1731</v>
      </c>
      <c r="K292"/>
      <c r="L292"/>
      <c r="M292"/>
    </row>
    <row r="293" spans="1:13">
      <c r="A293" s="2" t="s">
        <v>456</v>
      </c>
      <c r="B293" t="s">
        <v>1750</v>
      </c>
      <c r="C293" t="s">
        <v>1722</v>
      </c>
      <c r="D293" t="s">
        <v>1731</v>
      </c>
      <c r="K293"/>
      <c r="L293"/>
      <c r="M293"/>
    </row>
    <row r="294" spans="1:13">
      <c r="A294" s="2" t="s">
        <v>473</v>
      </c>
      <c r="B294" t="s">
        <v>1750</v>
      </c>
      <c r="C294" t="s">
        <v>1722</v>
      </c>
      <c r="D294" t="s">
        <v>1731</v>
      </c>
      <c r="K294"/>
      <c r="L294"/>
      <c r="M294"/>
    </row>
    <row r="295" spans="1:13">
      <c r="A295" s="2" t="s">
        <v>390</v>
      </c>
      <c r="B295" t="s">
        <v>1750</v>
      </c>
      <c r="C295" t="s">
        <v>1722</v>
      </c>
      <c r="D295" t="s">
        <v>1731</v>
      </c>
      <c r="K295"/>
      <c r="L295"/>
      <c r="M295"/>
    </row>
    <row r="296" spans="1:13">
      <c r="A296" s="2" t="s">
        <v>377</v>
      </c>
      <c r="B296" t="s">
        <v>1750</v>
      </c>
      <c r="C296" t="s">
        <v>1722</v>
      </c>
      <c r="D296" t="s">
        <v>1731</v>
      </c>
      <c r="K296"/>
      <c r="L296"/>
      <c r="M296"/>
    </row>
    <row r="297" spans="1:13">
      <c r="A297" s="2" t="s">
        <v>383</v>
      </c>
      <c r="B297" t="s">
        <v>1750</v>
      </c>
      <c r="C297" t="s">
        <v>1722</v>
      </c>
      <c r="D297" t="s">
        <v>1731</v>
      </c>
      <c r="K297"/>
      <c r="L297"/>
      <c r="M297"/>
    </row>
    <row r="298" spans="1:13">
      <c r="A298" s="2" t="s">
        <v>656</v>
      </c>
      <c r="B298" t="s">
        <v>1750</v>
      </c>
      <c r="C298" t="s">
        <v>1723</v>
      </c>
      <c r="D298" t="s">
        <v>1731</v>
      </c>
      <c r="K298"/>
      <c r="L298"/>
      <c r="M298"/>
    </row>
    <row r="299" spans="1:13">
      <c r="A299" s="2" t="s">
        <v>654</v>
      </c>
      <c r="B299" t="s">
        <v>1750</v>
      </c>
      <c r="C299" t="s">
        <v>1723</v>
      </c>
      <c r="D299" t="s">
        <v>1731</v>
      </c>
      <c r="K299"/>
      <c r="L299"/>
      <c r="M299"/>
    </row>
    <row r="300" spans="1:13">
      <c r="A300" s="2" t="s">
        <v>451</v>
      </c>
      <c r="B300" t="s">
        <v>1750</v>
      </c>
      <c r="C300" t="s">
        <v>1722</v>
      </c>
      <c r="D300" t="s">
        <v>1731</v>
      </c>
      <c r="K300"/>
      <c r="L300"/>
      <c r="M300"/>
    </row>
    <row r="301" spans="1:13">
      <c r="A301" s="2" t="s">
        <v>474</v>
      </c>
      <c r="B301" t="s">
        <v>1750</v>
      </c>
      <c r="C301" t="s">
        <v>1722</v>
      </c>
      <c r="D301" t="s">
        <v>1731</v>
      </c>
      <c r="K301"/>
      <c r="L301"/>
      <c r="M301"/>
    </row>
    <row r="302" spans="1:13">
      <c r="A302" s="2" t="s">
        <v>466</v>
      </c>
      <c r="B302" t="s">
        <v>1750</v>
      </c>
      <c r="C302" t="s">
        <v>1722</v>
      </c>
      <c r="D302" t="s">
        <v>1731</v>
      </c>
      <c r="K302"/>
      <c r="L302"/>
      <c r="M302"/>
    </row>
    <row r="303" spans="1:13">
      <c r="A303" s="2" t="s">
        <v>467</v>
      </c>
      <c r="B303" t="s">
        <v>1750</v>
      </c>
      <c r="C303" t="s">
        <v>1722</v>
      </c>
      <c r="D303" t="s">
        <v>1731</v>
      </c>
      <c r="K303"/>
      <c r="L303"/>
      <c r="M303"/>
    </row>
    <row r="304" spans="1:13">
      <c r="A304" s="2" t="s">
        <v>436</v>
      </c>
      <c r="B304" t="s">
        <v>1750</v>
      </c>
      <c r="C304" t="s">
        <v>1725</v>
      </c>
      <c r="D304" t="s">
        <v>1731</v>
      </c>
      <c r="K304"/>
      <c r="L304"/>
      <c r="M304"/>
    </row>
    <row r="305" spans="1:13">
      <c r="A305" s="2" t="s">
        <v>392</v>
      </c>
      <c r="B305" t="s">
        <v>1750</v>
      </c>
      <c r="C305" t="s">
        <v>1725</v>
      </c>
      <c r="D305" t="s">
        <v>1731</v>
      </c>
      <c r="K305"/>
      <c r="L305"/>
      <c r="M305"/>
    </row>
    <row r="306" spans="1:13">
      <c r="A306" s="2" t="s">
        <v>391</v>
      </c>
      <c r="B306" t="s">
        <v>1750</v>
      </c>
      <c r="C306" t="s">
        <v>1722</v>
      </c>
      <c r="D306" t="s">
        <v>1731</v>
      </c>
      <c r="K306"/>
      <c r="L306"/>
      <c r="M306"/>
    </row>
    <row r="307" spans="1:13">
      <c r="A307" s="2" t="s">
        <v>384</v>
      </c>
      <c r="B307" t="s">
        <v>1750</v>
      </c>
      <c r="C307" t="s">
        <v>1722</v>
      </c>
      <c r="D307" t="s">
        <v>1731</v>
      </c>
      <c r="K307"/>
      <c r="L307"/>
      <c r="M307"/>
    </row>
    <row r="308" spans="1:13">
      <c r="A308" s="2" t="s">
        <v>414</v>
      </c>
      <c r="B308" t="s">
        <v>1750</v>
      </c>
      <c r="C308" t="s">
        <v>1724</v>
      </c>
      <c r="D308" t="s">
        <v>1733</v>
      </c>
      <c r="K308"/>
      <c r="L308"/>
      <c r="M308"/>
    </row>
    <row r="309" spans="1:13">
      <c r="A309" s="2" t="s">
        <v>419</v>
      </c>
      <c r="B309" t="s">
        <v>1750</v>
      </c>
      <c r="C309" t="s">
        <v>1725</v>
      </c>
      <c r="D309" t="s">
        <v>1731</v>
      </c>
      <c r="K309"/>
      <c r="L309"/>
      <c r="M309"/>
    </row>
    <row r="310" spans="1:13">
      <c r="A310" s="2" t="s">
        <v>437</v>
      </c>
      <c r="B310" t="s">
        <v>1750</v>
      </c>
      <c r="C310" t="s">
        <v>1722</v>
      </c>
      <c r="D310" t="s">
        <v>1731</v>
      </c>
      <c r="K310"/>
      <c r="L310"/>
      <c r="M310"/>
    </row>
    <row r="311" spans="1:13">
      <c r="A311" s="2" t="s">
        <v>444</v>
      </c>
      <c r="B311" t="s">
        <v>1750</v>
      </c>
      <c r="C311" t="s">
        <v>1722</v>
      </c>
      <c r="D311" t="s">
        <v>1731</v>
      </c>
      <c r="K311"/>
      <c r="L311"/>
      <c r="M311"/>
    </row>
    <row r="312" spans="1:13">
      <c r="A312" s="2" t="s">
        <v>435</v>
      </c>
      <c r="B312" t="s">
        <v>1750</v>
      </c>
      <c r="C312" t="s">
        <v>1723</v>
      </c>
      <c r="D312" t="s">
        <v>1731</v>
      </c>
      <c r="K312"/>
      <c r="L312"/>
      <c r="M312"/>
    </row>
    <row r="313" spans="1:13">
      <c r="A313" s="2" t="s">
        <v>650</v>
      </c>
      <c r="B313" t="s">
        <v>1751</v>
      </c>
      <c r="C313" t="s">
        <v>1726</v>
      </c>
      <c r="D313" t="s">
        <v>1735</v>
      </c>
      <c r="K313"/>
      <c r="L313"/>
      <c r="M313"/>
    </row>
    <row r="314" spans="1:13">
      <c r="A314" s="2" t="s">
        <v>532</v>
      </c>
      <c r="B314" t="s">
        <v>1750</v>
      </c>
      <c r="C314" t="s">
        <v>1726</v>
      </c>
      <c r="D314" t="s">
        <v>1731</v>
      </c>
      <c r="K314"/>
      <c r="L314"/>
      <c r="M314"/>
    </row>
    <row r="315" spans="1:13">
      <c r="A315" s="2" t="s">
        <v>643</v>
      </c>
      <c r="B315" t="s">
        <v>1750</v>
      </c>
      <c r="C315" t="s">
        <v>1726</v>
      </c>
      <c r="D315" t="s">
        <v>1731</v>
      </c>
      <c r="K315"/>
      <c r="L315"/>
      <c r="M315"/>
    </row>
    <row r="316" spans="1:13">
      <c r="A316" s="2" t="s">
        <v>642</v>
      </c>
      <c r="B316" t="s">
        <v>1750</v>
      </c>
      <c r="C316" t="s">
        <v>1726</v>
      </c>
      <c r="D316" t="s">
        <v>1731</v>
      </c>
      <c r="K316"/>
      <c r="L316"/>
      <c r="M316"/>
    </row>
    <row r="317" spans="1:13">
      <c r="A317" s="2" t="s">
        <v>644</v>
      </c>
      <c r="B317" t="s">
        <v>1750</v>
      </c>
      <c r="C317" t="s">
        <v>1726</v>
      </c>
      <c r="D317" t="s">
        <v>1731</v>
      </c>
      <c r="K317"/>
      <c r="L317"/>
      <c r="M317"/>
    </row>
    <row r="318" spans="1:13">
      <c r="A318" s="2" t="s">
        <v>551</v>
      </c>
      <c r="B318" t="s">
        <v>1750</v>
      </c>
      <c r="C318" t="s">
        <v>1726</v>
      </c>
      <c r="D318" t="s">
        <v>1731</v>
      </c>
      <c r="K318"/>
      <c r="L318"/>
      <c r="M318"/>
    </row>
    <row r="319" spans="1:13">
      <c r="A319" s="2" t="s">
        <v>552</v>
      </c>
      <c r="B319" t="s">
        <v>1750</v>
      </c>
      <c r="C319" t="s">
        <v>1726</v>
      </c>
      <c r="D319" t="s">
        <v>1731</v>
      </c>
      <c r="K319"/>
      <c r="L319"/>
      <c r="M319"/>
    </row>
    <row r="320" spans="1:13">
      <c r="A320" s="2" t="s">
        <v>553</v>
      </c>
      <c r="B320" t="s">
        <v>1750</v>
      </c>
      <c r="C320" t="s">
        <v>1726</v>
      </c>
      <c r="D320" t="s">
        <v>1731</v>
      </c>
      <c r="K320"/>
      <c r="L320"/>
      <c r="M320"/>
    </row>
    <row r="321" spans="1:13">
      <c r="A321" s="2" t="s">
        <v>563</v>
      </c>
      <c r="B321" t="s">
        <v>1750</v>
      </c>
      <c r="C321" t="s">
        <v>1726</v>
      </c>
      <c r="D321" t="s">
        <v>1731</v>
      </c>
      <c r="K321"/>
      <c r="L321"/>
      <c r="M321"/>
    </row>
    <row r="322" spans="1:13">
      <c r="A322" s="2" t="s">
        <v>648</v>
      </c>
      <c r="B322" t="s">
        <v>1750</v>
      </c>
      <c r="C322" t="s">
        <v>1726</v>
      </c>
      <c r="D322" t="s">
        <v>1731</v>
      </c>
      <c r="K322"/>
      <c r="L322"/>
      <c r="M322"/>
    </row>
    <row r="323" spans="1:13">
      <c r="A323" s="2" t="s">
        <v>647</v>
      </c>
      <c r="B323" t="s">
        <v>1750</v>
      </c>
      <c r="C323" t="s">
        <v>1726</v>
      </c>
      <c r="D323" t="s">
        <v>1731</v>
      </c>
      <c r="K323"/>
      <c r="L323"/>
      <c r="M323"/>
    </row>
    <row r="324" spans="1:13">
      <c r="A324" s="2" t="s">
        <v>576</v>
      </c>
      <c r="B324" t="s">
        <v>1751</v>
      </c>
      <c r="C324" t="s">
        <v>1726</v>
      </c>
      <c r="D324" t="s">
        <v>1735</v>
      </c>
      <c r="K324"/>
      <c r="L324"/>
      <c r="M324"/>
    </row>
    <row r="325" spans="1:13">
      <c r="A325" s="2" t="s">
        <v>669</v>
      </c>
      <c r="B325" t="s">
        <v>1750</v>
      </c>
      <c r="C325" t="s">
        <v>1726</v>
      </c>
      <c r="D325" t="s">
        <v>1731</v>
      </c>
      <c r="K325"/>
      <c r="L325"/>
      <c r="M325"/>
    </row>
    <row r="326" spans="1:13">
      <c r="A326" s="2" t="s">
        <v>587</v>
      </c>
      <c r="B326" t="s">
        <v>1750</v>
      </c>
      <c r="C326" t="s">
        <v>1726</v>
      </c>
      <c r="D326" t="s">
        <v>1731</v>
      </c>
      <c r="K326"/>
      <c r="L326"/>
      <c r="M326"/>
    </row>
    <row r="327" spans="1:13">
      <c r="A327" s="2" t="s">
        <v>533</v>
      </c>
      <c r="B327" t="s">
        <v>1751</v>
      </c>
      <c r="C327" t="s">
        <v>1726</v>
      </c>
      <c r="D327" t="s">
        <v>1735</v>
      </c>
      <c r="K327"/>
      <c r="L327"/>
      <c r="M327"/>
    </row>
    <row r="328" spans="1:13">
      <c r="A328" s="2" t="s">
        <v>534</v>
      </c>
      <c r="B328" t="s">
        <v>1751</v>
      </c>
      <c r="C328" t="s">
        <v>1726</v>
      </c>
      <c r="D328" t="s">
        <v>1735</v>
      </c>
      <c r="K328"/>
      <c r="L328"/>
      <c r="M328"/>
    </row>
    <row r="329" spans="1:13">
      <c r="A329" s="2" t="s">
        <v>567</v>
      </c>
      <c r="B329" t="s">
        <v>1750</v>
      </c>
      <c r="C329" t="s">
        <v>1726</v>
      </c>
      <c r="D329" t="s">
        <v>1736</v>
      </c>
      <c r="K329"/>
      <c r="L329"/>
      <c r="M329"/>
    </row>
    <row r="330" spans="1:13">
      <c r="A330" s="2" t="s">
        <v>564</v>
      </c>
      <c r="B330" t="s">
        <v>1750</v>
      </c>
      <c r="C330" t="s">
        <v>1726</v>
      </c>
      <c r="D330" t="s">
        <v>1731</v>
      </c>
      <c r="K330"/>
      <c r="L330"/>
      <c r="M330"/>
    </row>
    <row r="331" spans="1:13">
      <c r="A331" s="2" t="s">
        <v>565</v>
      </c>
      <c r="B331" t="s">
        <v>1750</v>
      </c>
      <c r="C331" t="s">
        <v>1726</v>
      </c>
      <c r="D331" t="s">
        <v>1731</v>
      </c>
      <c r="K331"/>
      <c r="L331"/>
      <c r="M331"/>
    </row>
    <row r="332" spans="1:13">
      <c r="A332" s="2" t="s">
        <v>585</v>
      </c>
      <c r="B332" t="s">
        <v>1750</v>
      </c>
      <c r="C332" t="s">
        <v>1726</v>
      </c>
      <c r="D332" t="s">
        <v>1736</v>
      </c>
      <c r="K332"/>
      <c r="L332"/>
      <c r="M332"/>
    </row>
    <row r="333" spans="1:13">
      <c r="A333" s="2" t="s">
        <v>584</v>
      </c>
      <c r="B333" t="s">
        <v>1751</v>
      </c>
      <c r="C333" t="s">
        <v>1726</v>
      </c>
      <c r="D333" t="s">
        <v>1734</v>
      </c>
      <c r="K333"/>
      <c r="L333"/>
      <c r="M333"/>
    </row>
    <row r="334" spans="1:13">
      <c r="A334" s="2" t="s">
        <v>586</v>
      </c>
      <c r="B334" t="s">
        <v>1751</v>
      </c>
      <c r="C334" t="s">
        <v>1726</v>
      </c>
      <c r="D334" t="s">
        <v>1734</v>
      </c>
      <c r="K334"/>
      <c r="L334"/>
      <c r="M334"/>
    </row>
    <row r="335" spans="1:13">
      <c r="A335" s="2" t="s">
        <v>562</v>
      </c>
      <c r="B335" t="s">
        <v>1751</v>
      </c>
      <c r="C335" t="s">
        <v>1726</v>
      </c>
      <c r="D335" t="s">
        <v>1735</v>
      </c>
      <c r="K335"/>
      <c r="L335"/>
      <c r="M335"/>
    </row>
    <row r="336" spans="1:13">
      <c r="A336" s="2" t="s">
        <v>554</v>
      </c>
      <c r="B336" t="s">
        <v>1751</v>
      </c>
      <c r="C336" t="s">
        <v>1726</v>
      </c>
      <c r="D336" t="s">
        <v>1735</v>
      </c>
      <c r="K336"/>
      <c r="L336"/>
      <c r="M336"/>
    </row>
    <row r="337" spans="1:13">
      <c r="A337" s="2" t="s">
        <v>566</v>
      </c>
      <c r="B337" t="s">
        <v>1750</v>
      </c>
      <c r="C337" t="s">
        <v>1726</v>
      </c>
      <c r="D337" t="s">
        <v>1731</v>
      </c>
      <c r="K337"/>
      <c r="L337"/>
      <c r="M337"/>
    </row>
    <row r="338" spans="1:13">
      <c r="A338" s="2" t="s">
        <v>535</v>
      </c>
      <c r="B338" t="s">
        <v>1750</v>
      </c>
      <c r="C338" t="s">
        <v>1726</v>
      </c>
      <c r="D338" t="s">
        <v>1731</v>
      </c>
      <c r="K338"/>
      <c r="L338"/>
      <c r="M338"/>
    </row>
    <row r="339" spans="1:13">
      <c r="A339" s="2" t="s">
        <v>550</v>
      </c>
      <c r="B339" t="s">
        <v>1750</v>
      </c>
      <c r="C339" t="s">
        <v>1726</v>
      </c>
      <c r="D339" t="s">
        <v>1731</v>
      </c>
      <c r="K339"/>
      <c r="L339"/>
      <c r="M339"/>
    </row>
    <row r="340" spans="1:13">
      <c r="A340" s="2" t="s">
        <v>547</v>
      </c>
      <c r="B340" t="s">
        <v>1750</v>
      </c>
      <c r="C340" t="s">
        <v>1726</v>
      </c>
      <c r="D340" t="s">
        <v>1731</v>
      </c>
      <c r="K340"/>
      <c r="L340"/>
      <c r="M340"/>
    </row>
    <row r="341" spans="1:13">
      <c r="A341" s="2" t="s">
        <v>544</v>
      </c>
      <c r="B341" t="s">
        <v>1750</v>
      </c>
      <c r="C341" t="s">
        <v>1726</v>
      </c>
      <c r="D341" t="s">
        <v>1731</v>
      </c>
      <c r="K341"/>
      <c r="L341"/>
      <c r="M341"/>
    </row>
    <row r="342" spans="1:13">
      <c r="A342" s="2" t="s">
        <v>545</v>
      </c>
      <c r="B342" t="s">
        <v>1751</v>
      </c>
      <c r="C342" t="s">
        <v>1726</v>
      </c>
      <c r="D342" t="s">
        <v>1735</v>
      </c>
      <c r="K342"/>
      <c r="L342"/>
      <c r="M342"/>
    </row>
    <row r="343" spans="1:13">
      <c r="A343" s="2" t="s">
        <v>546</v>
      </c>
      <c r="B343" t="s">
        <v>1750</v>
      </c>
      <c r="C343" t="s">
        <v>1726</v>
      </c>
      <c r="D343" t="s">
        <v>1731</v>
      </c>
      <c r="K343"/>
      <c r="L343"/>
      <c r="M343"/>
    </row>
    <row r="344" spans="1:13">
      <c r="A344" s="2" t="s">
        <v>578</v>
      </c>
      <c r="B344" t="s">
        <v>1751</v>
      </c>
      <c r="C344" t="s">
        <v>1726</v>
      </c>
      <c r="D344" t="s">
        <v>1734</v>
      </c>
      <c r="K344"/>
      <c r="L344"/>
      <c r="M344"/>
    </row>
    <row r="345" spans="1:13">
      <c r="A345" s="2" t="s">
        <v>579</v>
      </c>
      <c r="B345" t="s">
        <v>1751</v>
      </c>
      <c r="C345" t="s">
        <v>1726</v>
      </c>
      <c r="D345" t="s">
        <v>1734</v>
      </c>
      <c r="K345"/>
      <c r="L345"/>
      <c r="M345"/>
    </row>
    <row r="346" spans="1:13">
      <c r="A346" s="2" t="s">
        <v>568</v>
      </c>
      <c r="B346" t="s">
        <v>1751</v>
      </c>
      <c r="C346" t="s">
        <v>1726</v>
      </c>
      <c r="D346" t="s">
        <v>1735</v>
      </c>
      <c r="K346"/>
      <c r="L346"/>
      <c r="M346"/>
    </row>
    <row r="347" spans="1:13">
      <c r="A347" s="2" t="s">
        <v>569</v>
      </c>
      <c r="B347" t="s">
        <v>1751</v>
      </c>
      <c r="C347" t="s">
        <v>1726</v>
      </c>
      <c r="D347" t="s">
        <v>1735</v>
      </c>
      <c r="K347"/>
      <c r="L347"/>
      <c r="M347"/>
    </row>
    <row r="348" spans="1:13">
      <c r="A348" s="2" t="s">
        <v>570</v>
      </c>
      <c r="B348" t="s">
        <v>1751</v>
      </c>
      <c r="C348" t="s">
        <v>1726</v>
      </c>
      <c r="D348" t="s">
        <v>1735</v>
      </c>
      <c r="K348"/>
      <c r="L348"/>
      <c r="M348"/>
    </row>
    <row r="349" spans="1:13">
      <c r="A349" s="2" t="s">
        <v>641</v>
      </c>
      <c r="B349" t="s">
        <v>1751</v>
      </c>
      <c r="C349" t="s">
        <v>1726</v>
      </c>
      <c r="D349" t="s">
        <v>1735</v>
      </c>
      <c r="K349"/>
      <c r="L349"/>
      <c r="M349"/>
    </row>
    <row r="350" spans="1:13">
      <c r="A350" s="2" t="s">
        <v>640</v>
      </c>
      <c r="B350" t="s">
        <v>1751</v>
      </c>
      <c r="C350" t="s">
        <v>1726</v>
      </c>
      <c r="D350" t="s">
        <v>1735</v>
      </c>
      <c r="K350"/>
      <c r="L350"/>
      <c r="M350"/>
    </row>
    <row r="351" spans="1:13">
      <c r="A351" s="2" t="s">
        <v>571</v>
      </c>
      <c r="B351" t="s">
        <v>1750</v>
      </c>
      <c r="C351" t="s">
        <v>1726</v>
      </c>
      <c r="D351" t="s">
        <v>1731</v>
      </c>
      <c r="K351"/>
      <c r="L351"/>
      <c r="M351"/>
    </row>
    <row r="352" spans="1:13">
      <c r="A352" s="2" t="s">
        <v>572</v>
      </c>
      <c r="B352" t="s">
        <v>1750</v>
      </c>
      <c r="C352" t="s">
        <v>1726</v>
      </c>
      <c r="D352" t="s">
        <v>1731</v>
      </c>
      <c r="K352"/>
      <c r="L352"/>
      <c r="M352"/>
    </row>
    <row r="353" spans="1:13">
      <c r="A353" s="2" t="s">
        <v>548</v>
      </c>
      <c r="B353" t="s">
        <v>1750</v>
      </c>
      <c r="C353" t="s">
        <v>1726</v>
      </c>
      <c r="D353" t="s">
        <v>1731</v>
      </c>
      <c r="K353"/>
      <c r="L353"/>
      <c r="M353"/>
    </row>
    <row r="354" spans="1:13">
      <c r="A354" s="2" t="s">
        <v>581</v>
      </c>
      <c r="B354" t="s">
        <v>1751</v>
      </c>
      <c r="C354" t="s">
        <v>1726</v>
      </c>
      <c r="D354" t="s">
        <v>1734</v>
      </c>
      <c r="K354"/>
      <c r="L354"/>
      <c r="M354"/>
    </row>
    <row r="355" spans="1:13">
      <c r="A355" s="2" t="s">
        <v>541</v>
      </c>
      <c r="B355" t="s">
        <v>1750</v>
      </c>
      <c r="C355" t="s">
        <v>1726</v>
      </c>
      <c r="D355" t="s">
        <v>1731</v>
      </c>
      <c r="K355"/>
      <c r="L355"/>
      <c r="M355"/>
    </row>
    <row r="356" spans="1:13">
      <c r="A356" s="2" t="s">
        <v>580</v>
      </c>
      <c r="B356" t="s">
        <v>1750</v>
      </c>
      <c r="C356" t="s">
        <v>1726</v>
      </c>
      <c r="D356" t="s">
        <v>1731</v>
      </c>
      <c r="K356"/>
      <c r="L356"/>
      <c r="M356"/>
    </row>
    <row r="357" spans="1:13">
      <c r="A357" s="2" t="s">
        <v>540</v>
      </c>
      <c r="B357" t="s">
        <v>1750</v>
      </c>
      <c r="C357" t="s">
        <v>1726</v>
      </c>
      <c r="D357" t="s">
        <v>1731</v>
      </c>
      <c r="K357"/>
      <c r="L357"/>
      <c r="M357"/>
    </row>
    <row r="358" spans="1:13">
      <c r="A358" s="2" t="s">
        <v>536</v>
      </c>
      <c r="B358" t="s">
        <v>1750</v>
      </c>
      <c r="C358" t="s">
        <v>1726</v>
      </c>
      <c r="D358" t="s">
        <v>1731</v>
      </c>
      <c r="K358"/>
      <c r="L358"/>
      <c r="M358"/>
    </row>
    <row r="359" spans="1:13">
      <c r="A359" s="2" t="s">
        <v>537</v>
      </c>
      <c r="B359" t="s">
        <v>1750</v>
      </c>
      <c r="C359" t="s">
        <v>1726</v>
      </c>
      <c r="D359" t="s">
        <v>1731</v>
      </c>
      <c r="K359"/>
      <c r="L359"/>
      <c r="M359"/>
    </row>
    <row r="360" spans="1:13">
      <c r="A360" s="2" t="s">
        <v>538</v>
      </c>
      <c r="B360" t="s">
        <v>1750</v>
      </c>
      <c r="C360" t="s">
        <v>1726</v>
      </c>
      <c r="D360" t="s">
        <v>1731</v>
      </c>
      <c r="K360"/>
      <c r="L360"/>
      <c r="M360"/>
    </row>
    <row r="361" spans="1:13">
      <c r="A361" s="2" t="s">
        <v>542</v>
      </c>
      <c r="B361" t="s">
        <v>1750</v>
      </c>
      <c r="C361" t="s">
        <v>1726</v>
      </c>
      <c r="D361" t="s">
        <v>1731</v>
      </c>
      <c r="K361"/>
      <c r="L361"/>
      <c r="M361"/>
    </row>
    <row r="362" spans="1:13">
      <c r="A362" s="2" t="s">
        <v>539</v>
      </c>
      <c r="B362" t="s">
        <v>1750</v>
      </c>
      <c r="C362" t="s">
        <v>1726</v>
      </c>
      <c r="D362" t="s">
        <v>1731</v>
      </c>
      <c r="K362"/>
      <c r="L362"/>
      <c r="M362"/>
    </row>
    <row r="363" spans="1:13">
      <c r="A363" s="2" t="s">
        <v>645</v>
      </c>
      <c r="B363" t="s">
        <v>1750</v>
      </c>
      <c r="C363" t="s">
        <v>1726</v>
      </c>
      <c r="D363" t="s">
        <v>1731</v>
      </c>
      <c r="K363"/>
      <c r="L363"/>
      <c r="M363"/>
    </row>
    <row r="364" spans="1:13">
      <c r="A364" s="2" t="s">
        <v>556</v>
      </c>
      <c r="B364" t="s">
        <v>1750</v>
      </c>
      <c r="C364" t="s">
        <v>1726</v>
      </c>
      <c r="D364" t="s">
        <v>1731</v>
      </c>
      <c r="K364"/>
      <c r="L364"/>
      <c r="M364"/>
    </row>
    <row r="365" spans="1:13">
      <c r="A365" s="2" t="s">
        <v>555</v>
      </c>
      <c r="B365" t="s">
        <v>1751</v>
      </c>
      <c r="C365" t="s">
        <v>1726</v>
      </c>
      <c r="D365" t="s">
        <v>1735</v>
      </c>
      <c r="K365"/>
      <c r="L365"/>
      <c r="M365"/>
    </row>
    <row r="366" spans="1:13">
      <c r="A366" s="2" t="s">
        <v>549</v>
      </c>
      <c r="B366" t="s">
        <v>1751</v>
      </c>
      <c r="C366" t="s">
        <v>1726</v>
      </c>
      <c r="D366" t="s">
        <v>1735</v>
      </c>
      <c r="K366"/>
      <c r="L366"/>
      <c r="M366"/>
    </row>
    <row r="367" spans="1:13">
      <c r="A367" s="2" t="s">
        <v>543</v>
      </c>
      <c r="B367" t="s">
        <v>1750</v>
      </c>
      <c r="C367" t="s">
        <v>1726</v>
      </c>
      <c r="D367" t="s">
        <v>1731</v>
      </c>
      <c r="K367"/>
      <c r="L367"/>
      <c r="M367"/>
    </row>
    <row r="368" spans="1:13">
      <c r="A368" s="2" t="s">
        <v>573</v>
      </c>
      <c r="B368" t="s">
        <v>1750</v>
      </c>
      <c r="C368" t="s">
        <v>1726</v>
      </c>
      <c r="D368" t="s">
        <v>1731</v>
      </c>
      <c r="K368"/>
      <c r="L368"/>
      <c r="M368"/>
    </row>
    <row r="369" spans="1:13">
      <c r="A369" s="2" t="s">
        <v>667</v>
      </c>
      <c r="B369" t="s">
        <v>1751</v>
      </c>
      <c r="C369" t="s">
        <v>1726</v>
      </c>
      <c r="D369" t="s">
        <v>1735</v>
      </c>
      <c r="K369"/>
      <c r="L369"/>
      <c r="M369"/>
    </row>
    <row r="370" spans="1:13">
      <c r="A370" s="2" t="s">
        <v>670</v>
      </c>
      <c r="B370" t="s">
        <v>1751</v>
      </c>
      <c r="C370" t="s">
        <v>1726</v>
      </c>
      <c r="D370" t="s">
        <v>1735</v>
      </c>
      <c r="K370"/>
      <c r="L370"/>
      <c r="M370"/>
    </row>
    <row r="371" spans="1:13">
      <c r="A371" s="2" t="s">
        <v>668</v>
      </c>
      <c r="B371" t="s">
        <v>1750</v>
      </c>
      <c r="C371" t="s">
        <v>1726</v>
      </c>
      <c r="D371" t="s">
        <v>1731</v>
      </c>
      <c r="K371"/>
      <c r="L371"/>
      <c r="M371"/>
    </row>
    <row r="372" spans="1:13">
      <c r="A372" s="2" t="s">
        <v>574</v>
      </c>
      <c r="B372" t="s">
        <v>1750</v>
      </c>
      <c r="C372" t="s">
        <v>1726</v>
      </c>
      <c r="D372" t="s">
        <v>1731</v>
      </c>
      <c r="K372"/>
      <c r="L372"/>
      <c r="M372"/>
    </row>
    <row r="373" spans="1:13">
      <c r="A373" s="2" t="s">
        <v>646</v>
      </c>
      <c r="B373" t="s">
        <v>1750</v>
      </c>
      <c r="C373" t="s">
        <v>1726</v>
      </c>
      <c r="D373" t="s">
        <v>1731</v>
      </c>
      <c r="K373"/>
      <c r="L373"/>
      <c r="M373"/>
    </row>
    <row r="374" spans="1:13">
      <c r="A374" s="2" t="s">
        <v>588</v>
      </c>
      <c r="B374" t="s">
        <v>1750</v>
      </c>
      <c r="C374" t="s">
        <v>1726</v>
      </c>
      <c r="D374" t="s">
        <v>1731</v>
      </c>
      <c r="K374"/>
      <c r="L374"/>
      <c r="M374"/>
    </row>
    <row r="375" spans="1:13">
      <c r="A375" s="2" t="s">
        <v>557</v>
      </c>
      <c r="B375" t="s">
        <v>1750</v>
      </c>
      <c r="C375" t="s">
        <v>1726</v>
      </c>
      <c r="D375" t="s">
        <v>1731</v>
      </c>
      <c r="K375"/>
      <c r="L375"/>
      <c r="M375"/>
    </row>
    <row r="376" spans="1:13">
      <c r="A376" s="2" t="s">
        <v>558</v>
      </c>
      <c r="B376" t="s">
        <v>1751</v>
      </c>
      <c r="C376" t="s">
        <v>1726</v>
      </c>
      <c r="D376" t="s">
        <v>1735</v>
      </c>
      <c r="K376"/>
      <c r="L376"/>
      <c r="M376"/>
    </row>
    <row r="377" spans="1:13">
      <c r="A377" s="2" t="s">
        <v>560</v>
      </c>
      <c r="B377" t="s">
        <v>1750</v>
      </c>
      <c r="C377" t="s">
        <v>1726</v>
      </c>
      <c r="D377" t="s">
        <v>1731</v>
      </c>
      <c r="K377"/>
      <c r="L377"/>
      <c r="M377"/>
    </row>
    <row r="378" spans="1:13">
      <c r="A378" s="2" t="s">
        <v>582</v>
      </c>
      <c r="B378" t="s">
        <v>1751</v>
      </c>
      <c r="C378" t="s">
        <v>1726</v>
      </c>
      <c r="D378" t="s">
        <v>1735</v>
      </c>
      <c r="K378"/>
      <c r="L378"/>
      <c r="M378"/>
    </row>
    <row r="379" spans="1:13">
      <c r="A379" s="2" t="s">
        <v>559</v>
      </c>
      <c r="B379" t="s">
        <v>1750</v>
      </c>
      <c r="C379" t="s">
        <v>1726</v>
      </c>
      <c r="D379" t="s">
        <v>1731</v>
      </c>
      <c r="K379"/>
      <c r="L379"/>
      <c r="M379"/>
    </row>
    <row r="380" spans="1:13">
      <c r="A380" s="2" t="s">
        <v>649</v>
      </c>
      <c r="B380" t="s">
        <v>1751</v>
      </c>
      <c r="C380" t="s">
        <v>1726</v>
      </c>
      <c r="D380" t="s">
        <v>1735</v>
      </c>
      <c r="K380"/>
      <c r="L380"/>
      <c r="M380"/>
    </row>
    <row r="381" spans="1:13">
      <c r="A381" s="2" t="s">
        <v>575</v>
      </c>
      <c r="B381" t="s">
        <v>1750</v>
      </c>
      <c r="C381" t="s">
        <v>1726</v>
      </c>
      <c r="D381" t="s">
        <v>1731</v>
      </c>
      <c r="K381"/>
      <c r="L381"/>
      <c r="M381"/>
    </row>
    <row r="382" spans="1:13">
      <c r="A382" s="2" t="s">
        <v>589</v>
      </c>
      <c r="B382" t="s">
        <v>1750</v>
      </c>
      <c r="C382" t="s">
        <v>1726</v>
      </c>
      <c r="D382" t="s">
        <v>1731</v>
      </c>
      <c r="K382"/>
      <c r="L382"/>
      <c r="M382"/>
    </row>
    <row r="383" spans="1:13">
      <c r="A383" s="2" t="s">
        <v>561</v>
      </c>
      <c r="B383" t="s">
        <v>1750</v>
      </c>
      <c r="C383" t="s">
        <v>1726</v>
      </c>
      <c r="D383" t="s">
        <v>1731</v>
      </c>
      <c r="K383"/>
      <c r="L383"/>
      <c r="M383"/>
    </row>
    <row r="384" spans="1:13">
      <c r="A384" s="2" t="s">
        <v>583</v>
      </c>
      <c r="B384" t="s">
        <v>1750</v>
      </c>
      <c r="C384" t="s">
        <v>1726</v>
      </c>
      <c r="D384" t="s">
        <v>1731</v>
      </c>
      <c r="K384"/>
      <c r="L384"/>
      <c r="M384"/>
    </row>
    <row r="385" spans="1:13">
      <c r="A385" s="2" t="s">
        <v>577</v>
      </c>
      <c r="B385" t="s">
        <v>1750</v>
      </c>
      <c r="C385" t="s">
        <v>1726</v>
      </c>
      <c r="D385" t="s">
        <v>1731</v>
      </c>
      <c r="K385"/>
      <c r="L385"/>
      <c r="M385"/>
    </row>
    <row r="386" spans="1:13">
      <c r="A386" s="2" t="s">
        <v>596</v>
      </c>
      <c r="B386" t="s">
        <v>1749</v>
      </c>
      <c r="C386" t="s">
        <v>1726</v>
      </c>
      <c r="D386" t="s">
        <v>1731</v>
      </c>
      <c r="K386"/>
      <c r="L386"/>
      <c r="M386"/>
    </row>
    <row r="387" spans="1:13">
      <c r="A387" s="2" t="s">
        <v>595</v>
      </c>
      <c r="B387" t="s">
        <v>1749</v>
      </c>
      <c r="C387" t="s">
        <v>1722</v>
      </c>
      <c r="D387" t="s">
        <v>1731</v>
      </c>
      <c r="K387"/>
      <c r="L387"/>
      <c r="M387"/>
    </row>
    <row r="388" spans="1:13">
      <c r="A388" s="2" t="s">
        <v>597</v>
      </c>
      <c r="B388" t="s">
        <v>1749</v>
      </c>
      <c r="C388" t="s">
        <v>1726</v>
      </c>
      <c r="D388" t="s">
        <v>1731</v>
      </c>
      <c r="K388"/>
      <c r="L388"/>
      <c r="M388"/>
    </row>
    <row r="389" spans="1:13">
      <c r="A389" s="2" t="s">
        <v>742</v>
      </c>
      <c r="B389" t="s">
        <v>1749</v>
      </c>
      <c r="C389" t="s">
        <v>1722</v>
      </c>
      <c r="D389" t="s">
        <v>1736</v>
      </c>
      <c r="K389"/>
      <c r="L389"/>
      <c r="M389"/>
    </row>
    <row r="390" spans="1:13">
      <c r="A390" s="2" t="s">
        <v>743</v>
      </c>
      <c r="B390" t="s">
        <v>1749</v>
      </c>
      <c r="C390" t="s">
        <v>1722</v>
      </c>
      <c r="D390" t="s">
        <v>1736</v>
      </c>
      <c r="K390"/>
      <c r="L390"/>
      <c r="M390"/>
    </row>
    <row r="391" spans="1:13">
      <c r="A391" s="2" t="s">
        <v>901</v>
      </c>
      <c r="B391" t="s">
        <v>1749</v>
      </c>
      <c r="C391" t="s">
        <v>1728</v>
      </c>
      <c r="D391" t="s">
        <v>1733</v>
      </c>
      <c r="K391"/>
      <c r="L391"/>
      <c r="M391"/>
    </row>
    <row r="392" spans="1:13">
      <c r="A392" s="2" t="s">
        <v>884</v>
      </c>
      <c r="B392" t="s">
        <v>1749</v>
      </c>
      <c r="C392" t="s">
        <v>1728</v>
      </c>
      <c r="D392" t="s">
        <v>1735</v>
      </c>
      <c r="K392"/>
      <c r="L392"/>
      <c r="M392"/>
    </row>
    <row r="393" spans="1:13">
      <c r="A393" s="2" t="s">
        <v>885</v>
      </c>
      <c r="B393" t="s">
        <v>1749</v>
      </c>
      <c r="C393" t="s">
        <v>1728</v>
      </c>
      <c r="D393" t="s">
        <v>1732</v>
      </c>
      <c r="K393"/>
      <c r="L393"/>
      <c r="M393"/>
    </row>
    <row r="394" spans="1:13">
      <c r="A394" s="2" t="s">
        <v>886</v>
      </c>
      <c r="B394" t="s">
        <v>1749</v>
      </c>
      <c r="C394" t="s">
        <v>1728</v>
      </c>
      <c r="D394" t="s">
        <v>1734</v>
      </c>
      <c r="K394"/>
      <c r="L394"/>
      <c r="M394"/>
    </row>
    <row r="395" spans="1:13">
      <c r="A395" s="2" t="s">
        <v>887</v>
      </c>
      <c r="B395" t="s">
        <v>1749</v>
      </c>
      <c r="C395" t="s">
        <v>1728</v>
      </c>
      <c r="D395" t="s">
        <v>1736</v>
      </c>
      <c r="K395"/>
      <c r="L395"/>
      <c r="M395"/>
    </row>
    <row r="396" spans="1:13">
      <c r="A396" s="2" t="s">
        <v>888</v>
      </c>
      <c r="B396" t="s">
        <v>1749</v>
      </c>
      <c r="C396" t="s">
        <v>1728</v>
      </c>
      <c r="D396" t="s">
        <v>1737</v>
      </c>
      <c r="K396"/>
      <c r="L396"/>
      <c r="M396"/>
    </row>
    <row r="397" spans="1:13">
      <c r="A397" s="2" t="s">
        <v>889</v>
      </c>
      <c r="B397" t="s">
        <v>1749</v>
      </c>
      <c r="C397" t="s">
        <v>1728</v>
      </c>
      <c r="D397" t="s">
        <v>1739</v>
      </c>
      <c r="K397"/>
      <c r="L397"/>
      <c r="M397"/>
    </row>
    <row r="398" spans="1:13">
      <c r="A398" s="2" t="s">
        <v>890</v>
      </c>
      <c r="B398" t="s">
        <v>1749</v>
      </c>
      <c r="C398" t="s">
        <v>1728</v>
      </c>
      <c r="D398" t="s">
        <v>1744</v>
      </c>
      <c r="K398"/>
      <c r="L398"/>
      <c r="M398"/>
    </row>
    <row r="399" spans="1:13">
      <c r="A399" s="2" t="s">
        <v>891</v>
      </c>
      <c r="B399" t="s">
        <v>1749</v>
      </c>
      <c r="C399" t="s">
        <v>1728</v>
      </c>
      <c r="D399" t="s">
        <v>1745</v>
      </c>
      <c r="K399"/>
      <c r="L399"/>
      <c r="M399"/>
    </row>
    <row r="400" spans="1:13">
      <c r="A400" s="2" t="s">
        <v>892</v>
      </c>
      <c r="B400" t="s">
        <v>1749</v>
      </c>
      <c r="C400" t="s">
        <v>1728</v>
      </c>
      <c r="D400" t="s">
        <v>1738</v>
      </c>
      <c r="K400"/>
      <c r="L400"/>
      <c r="M400"/>
    </row>
    <row r="401" spans="1:13">
      <c r="A401" s="2" t="s">
        <v>893</v>
      </c>
      <c r="B401" t="s">
        <v>1749</v>
      </c>
      <c r="C401" t="s">
        <v>1728</v>
      </c>
      <c r="D401" t="s">
        <v>1738</v>
      </c>
      <c r="K401"/>
      <c r="L401"/>
      <c r="M401"/>
    </row>
    <row r="402" spans="1:13">
      <c r="A402" s="2" t="s">
        <v>894</v>
      </c>
      <c r="B402" t="s">
        <v>1749</v>
      </c>
      <c r="C402" t="s">
        <v>1728</v>
      </c>
      <c r="D402" t="s">
        <v>1732</v>
      </c>
      <c r="K402"/>
      <c r="L402"/>
      <c r="M402"/>
    </row>
    <row r="403" spans="1:13">
      <c r="A403" s="2" t="s">
        <v>895</v>
      </c>
      <c r="B403" t="s">
        <v>1749</v>
      </c>
      <c r="C403" t="s">
        <v>1728</v>
      </c>
      <c r="D403" t="s">
        <v>1732</v>
      </c>
      <c r="K403"/>
      <c r="L403"/>
      <c r="M403"/>
    </row>
    <row r="404" spans="1:13">
      <c r="A404" s="2" t="s">
        <v>896</v>
      </c>
      <c r="B404" t="s">
        <v>1749</v>
      </c>
      <c r="C404" t="s">
        <v>1727</v>
      </c>
      <c r="D404" t="s">
        <v>1731</v>
      </c>
      <c r="K404"/>
      <c r="L404"/>
      <c r="M404"/>
    </row>
    <row r="405" spans="1:13">
      <c r="A405" s="2" t="s">
        <v>897</v>
      </c>
      <c r="B405" t="s">
        <v>1749</v>
      </c>
      <c r="C405" t="s">
        <v>1728</v>
      </c>
      <c r="D405" t="s">
        <v>1740</v>
      </c>
      <c r="K405"/>
      <c r="L405"/>
      <c r="M405"/>
    </row>
    <row r="406" spans="1:13">
      <c r="A406" s="2" t="s">
        <v>372</v>
      </c>
      <c r="B406" t="s">
        <v>1749</v>
      </c>
      <c r="C406" t="s">
        <v>1726</v>
      </c>
      <c r="D406" t="s">
        <v>1733</v>
      </c>
      <c r="K406"/>
      <c r="L406"/>
      <c r="M406"/>
    </row>
    <row r="407" spans="1:13">
      <c r="A407" s="2" t="s">
        <v>366</v>
      </c>
      <c r="B407" t="s">
        <v>1749</v>
      </c>
      <c r="C407" t="s">
        <v>1726</v>
      </c>
      <c r="D407" t="s">
        <v>1733</v>
      </c>
      <c r="K407"/>
      <c r="L407"/>
      <c r="M407"/>
    </row>
    <row r="408" spans="1:13">
      <c r="A408" s="2" t="s">
        <v>323</v>
      </c>
      <c r="B408" t="s">
        <v>1749</v>
      </c>
      <c r="C408" t="s">
        <v>1726</v>
      </c>
      <c r="D408" t="s">
        <v>1733</v>
      </c>
      <c r="K408"/>
      <c r="L408"/>
      <c r="M408"/>
    </row>
    <row r="409" spans="1:13">
      <c r="A409" s="2" t="s">
        <v>369</v>
      </c>
      <c r="B409" t="s">
        <v>1749</v>
      </c>
      <c r="C409" t="s">
        <v>1726</v>
      </c>
      <c r="D409" t="s">
        <v>1733</v>
      </c>
      <c r="K409"/>
      <c r="L409"/>
      <c r="M409"/>
    </row>
    <row r="410" spans="1:13">
      <c r="A410" s="2" t="s">
        <v>339</v>
      </c>
      <c r="B410" t="s">
        <v>1749</v>
      </c>
      <c r="C410" t="s">
        <v>1726</v>
      </c>
      <c r="D410" t="s">
        <v>1733</v>
      </c>
      <c r="K410"/>
      <c r="L410"/>
      <c r="M410"/>
    </row>
    <row r="411" spans="1:13">
      <c r="A411" s="2" t="s">
        <v>332</v>
      </c>
      <c r="B411" t="s">
        <v>1749</v>
      </c>
      <c r="C411" t="s">
        <v>1726</v>
      </c>
      <c r="D411" t="s">
        <v>1733</v>
      </c>
      <c r="K411"/>
      <c r="L411"/>
      <c r="M411"/>
    </row>
    <row r="412" spans="1:13">
      <c r="A412" s="2" t="s">
        <v>368</v>
      </c>
      <c r="B412" t="s">
        <v>1749</v>
      </c>
      <c r="C412" t="s">
        <v>1726</v>
      </c>
      <c r="D412" t="s">
        <v>1733</v>
      </c>
      <c r="K412"/>
      <c r="L412"/>
      <c r="M412"/>
    </row>
    <row r="413" spans="1:13">
      <c r="A413" s="2" t="s">
        <v>367</v>
      </c>
      <c r="B413" t="s">
        <v>1749</v>
      </c>
      <c r="C413" t="s">
        <v>1726</v>
      </c>
      <c r="D413" t="s">
        <v>1733</v>
      </c>
      <c r="K413"/>
      <c r="L413"/>
      <c r="M413"/>
    </row>
    <row r="414" spans="1:13">
      <c r="A414" s="2" t="s">
        <v>365</v>
      </c>
      <c r="B414" t="s">
        <v>1749</v>
      </c>
      <c r="C414" t="s">
        <v>1726</v>
      </c>
      <c r="D414" t="s">
        <v>1733</v>
      </c>
      <c r="K414"/>
      <c r="L414"/>
      <c r="M414"/>
    </row>
    <row r="415" spans="1:13">
      <c r="A415" s="2" t="s">
        <v>342</v>
      </c>
      <c r="B415" t="s">
        <v>1749</v>
      </c>
      <c r="C415" t="s">
        <v>1726</v>
      </c>
      <c r="D415" t="s">
        <v>1733</v>
      </c>
      <c r="K415"/>
      <c r="L415"/>
      <c r="M415"/>
    </row>
    <row r="416" spans="1:13">
      <c r="A416" s="2" t="s">
        <v>338</v>
      </c>
      <c r="B416" t="s">
        <v>1749</v>
      </c>
      <c r="C416" t="s">
        <v>1726</v>
      </c>
      <c r="D416" t="s">
        <v>1733</v>
      </c>
      <c r="K416"/>
      <c r="L416"/>
      <c r="M416"/>
    </row>
    <row r="417" spans="1:13">
      <c r="A417" s="2" t="s">
        <v>328</v>
      </c>
      <c r="B417" t="s">
        <v>1749</v>
      </c>
      <c r="C417" t="s">
        <v>1726</v>
      </c>
      <c r="D417" t="s">
        <v>1733</v>
      </c>
      <c r="K417"/>
      <c r="L417"/>
      <c r="M417"/>
    </row>
    <row r="418" spans="1:13">
      <c r="A418" s="2" t="s">
        <v>349</v>
      </c>
      <c r="B418" t="s">
        <v>1749</v>
      </c>
      <c r="C418" t="s">
        <v>1726</v>
      </c>
      <c r="D418" t="s">
        <v>1733</v>
      </c>
      <c r="K418"/>
      <c r="L418"/>
      <c r="M418"/>
    </row>
    <row r="419" spans="1:13">
      <c r="A419" s="2" t="s">
        <v>357</v>
      </c>
      <c r="B419" t="s">
        <v>1749</v>
      </c>
      <c r="C419" t="s">
        <v>1726</v>
      </c>
      <c r="D419" t="s">
        <v>1733</v>
      </c>
      <c r="K419"/>
      <c r="L419"/>
      <c r="M419"/>
    </row>
    <row r="420" spans="1:13">
      <c r="A420" s="2" t="s">
        <v>373</v>
      </c>
      <c r="B420" t="s">
        <v>1749</v>
      </c>
      <c r="C420" t="s">
        <v>1726</v>
      </c>
      <c r="D420" t="s">
        <v>1733</v>
      </c>
      <c r="K420"/>
      <c r="L420"/>
      <c r="M420"/>
    </row>
    <row r="421" spans="1:13">
      <c r="A421" s="2" t="s">
        <v>327</v>
      </c>
      <c r="B421" t="s">
        <v>1749</v>
      </c>
      <c r="C421" t="s">
        <v>1726</v>
      </c>
      <c r="D421" t="s">
        <v>1733</v>
      </c>
      <c r="K421"/>
      <c r="L421"/>
      <c r="M421"/>
    </row>
    <row r="422" spans="1:13">
      <c r="A422" s="2" t="s">
        <v>333</v>
      </c>
      <c r="B422" t="s">
        <v>1749</v>
      </c>
      <c r="C422" t="s">
        <v>1726</v>
      </c>
      <c r="D422" t="s">
        <v>1733</v>
      </c>
      <c r="K422"/>
      <c r="L422"/>
      <c r="M422"/>
    </row>
    <row r="423" spans="1:13">
      <c r="A423" s="2" t="s">
        <v>356</v>
      </c>
      <c r="B423" t="s">
        <v>1749</v>
      </c>
      <c r="C423" t="s">
        <v>1726</v>
      </c>
      <c r="D423" t="s">
        <v>1733</v>
      </c>
      <c r="K423"/>
      <c r="L423"/>
      <c r="M423"/>
    </row>
    <row r="424" spans="1:13">
      <c r="A424" s="2" t="s">
        <v>330</v>
      </c>
      <c r="B424" t="s">
        <v>1749</v>
      </c>
      <c r="C424" t="s">
        <v>1726</v>
      </c>
      <c r="D424" t="s">
        <v>1733</v>
      </c>
      <c r="K424"/>
      <c r="L424"/>
      <c r="M424"/>
    </row>
    <row r="425" spans="1:13">
      <c r="A425" s="2" t="s">
        <v>362</v>
      </c>
      <c r="B425" t="s">
        <v>1749</v>
      </c>
      <c r="C425" t="s">
        <v>1726</v>
      </c>
      <c r="D425" t="s">
        <v>1733</v>
      </c>
      <c r="K425"/>
      <c r="L425"/>
      <c r="M425"/>
    </row>
    <row r="426" spans="1:13">
      <c r="A426" s="2" t="s">
        <v>371</v>
      </c>
      <c r="B426" t="s">
        <v>1749</v>
      </c>
      <c r="C426" t="s">
        <v>1726</v>
      </c>
      <c r="D426" t="s">
        <v>1733</v>
      </c>
      <c r="K426"/>
      <c r="L426"/>
      <c r="M426"/>
    </row>
    <row r="427" spans="1:13">
      <c r="A427" s="2" t="s">
        <v>359</v>
      </c>
      <c r="B427" t="s">
        <v>1749</v>
      </c>
      <c r="C427" t="s">
        <v>1726</v>
      </c>
      <c r="D427" t="s">
        <v>1733</v>
      </c>
      <c r="K427"/>
      <c r="L427"/>
      <c r="M427"/>
    </row>
    <row r="428" spans="1:13">
      <c r="A428" s="2" t="s">
        <v>353</v>
      </c>
      <c r="B428" t="s">
        <v>1749</v>
      </c>
      <c r="C428" t="s">
        <v>1726</v>
      </c>
      <c r="D428" t="s">
        <v>1733</v>
      </c>
      <c r="K428"/>
      <c r="L428"/>
      <c r="M428"/>
    </row>
    <row r="429" spans="1:13">
      <c r="A429" s="2" t="s">
        <v>341</v>
      </c>
      <c r="B429" t="s">
        <v>1749</v>
      </c>
      <c r="C429" t="s">
        <v>1726</v>
      </c>
      <c r="D429" t="s">
        <v>1733</v>
      </c>
      <c r="K429"/>
      <c r="L429"/>
      <c r="M429"/>
    </row>
    <row r="430" spans="1:13">
      <c r="A430" s="2" t="s">
        <v>745</v>
      </c>
      <c r="B430" t="s">
        <v>1749</v>
      </c>
      <c r="C430" t="s">
        <v>1722</v>
      </c>
      <c r="D430" t="s">
        <v>1736</v>
      </c>
      <c r="K430"/>
      <c r="L430"/>
      <c r="M430"/>
    </row>
    <row r="431" spans="1:13">
      <c r="A431" s="2" t="s">
        <v>744</v>
      </c>
      <c r="B431" t="s">
        <v>1749</v>
      </c>
      <c r="C431" t="s">
        <v>1722</v>
      </c>
      <c r="D431" t="s">
        <v>1736</v>
      </c>
      <c r="K431"/>
      <c r="L431"/>
      <c r="M431"/>
    </row>
    <row r="432" spans="1:13">
      <c r="A432" s="2" t="s">
        <v>348</v>
      </c>
      <c r="B432" t="s">
        <v>1749</v>
      </c>
      <c r="C432" t="s">
        <v>1726</v>
      </c>
      <c r="D432" t="s">
        <v>1733</v>
      </c>
      <c r="K432"/>
      <c r="L432"/>
      <c r="M432"/>
    </row>
    <row r="433" spans="1:13">
      <c r="A433" s="2" t="s">
        <v>335</v>
      </c>
      <c r="B433" t="s">
        <v>1749</v>
      </c>
      <c r="C433" t="s">
        <v>1726</v>
      </c>
      <c r="D433" t="s">
        <v>1733</v>
      </c>
      <c r="K433"/>
      <c r="L433"/>
      <c r="M433"/>
    </row>
    <row r="434" spans="1:13">
      <c r="A434" s="2" t="s">
        <v>364</v>
      </c>
      <c r="B434" t="s">
        <v>1749</v>
      </c>
      <c r="C434" t="s">
        <v>1726</v>
      </c>
      <c r="D434" t="s">
        <v>1733</v>
      </c>
      <c r="K434"/>
      <c r="L434"/>
      <c r="M434"/>
    </row>
    <row r="435" spans="1:13">
      <c r="A435" s="2" t="s">
        <v>337</v>
      </c>
      <c r="B435" t="s">
        <v>1749</v>
      </c>
      <c r="C435" t="s">
        <v>1726</v>
      </c>
      <c r="D435" t="s">
        <v>1733</v>
      </c>
      <c r="K435"/>
      <c r="L435"/>
      <c r="M435"/>
    </row>
    <row r="436" spans="1:13">
      <c r="A436" s="2" t="s">
        <v>352</v>
      </c>
      <c r="B436" t="s">
        <v>1749</v>
      </c>
      <c r="C436" t="s">
        <v>1726</v>
      </c>
      <c r="D436" t="s">
        <v>1733</v>
      </c>
      <c r="K436"/>
      <c r="L436"/>
      <c r="M436"/>
    </row>
    <row r="437" spans="1:13">
      <c r="A437" s="2" t="s">
        <v>331</v>
      </c>
      <c r="B437" t="s">
        <v>1749</v>
      </c>
      <c r="C437" t="s">
        <v>1726</v>
      </c>
      <c r="D437" t="s">
        <v>1733</v>
      </c>
      <c r="K437"/>
      <c r="L437"/>
      <c r="M437"/>
    </row>
    <row r="438" spans="1:13">
      <c r="A438" s="2" t="s">
        <v>329</v>
      </c>
      <c r="B438" t="s">
        <v>1749</v>
      </c>
      <c r="C438" t="s">
        <v>1726</v>
      </c>
      <c r="D438" t="s">
        <v>1733</v>
      </c>
      <c r="K438"/>
      <c r="L438"/>
      <c r="M438"/>
    </row>
    <row r="439" spans="1:13">
      <c r="A439" s="2" t="s">
        <v>344</v>
      </c>
      <c r="B439" t="s">
        <v>1749</v>
      </c>
      <c r="C439" t="s">
        <v>1726</v>
      </c>
      <c r="D439" t="s">
        <v>1733</v>
      </c>
      <c r="K439"/>
      <c r="L439"/>
      <c r="M439"/>
    </row>
    <row r="440" spans="1:13">
      <c r="A440" s="2" t="s">
        <v>340</v>
      </c>
      <c r="B440" t="s">
        <v>1749</v>
      </c>
      <c r="C440" t="s">
        <v>1726</v>
      </c>
      <c r="D440" t="s">
        <v>1733</v>
      </c>
      <c r="K440"/>
      <c r="L440"/>
      <c r="M440"/>
    </row>
    <row r="441" spans="1:13">
      <c r="A441" s="2" t="s">
        <v>350</v>
      </c>
      <c r="B441" t="s">
        <v>1749</v>
      </c>
      <c r="C441" t="s">
        <v>1726</v>
      </c>
      <c r="D441" t="s">
        <v>1733</v>
      </c>
      <c r="K441"/>
      <c r="L441"/>
      <c r="M441"/>
    </row>
    <row r="442" spans="1:13">
      <c r="A442" s="2" t="s">
        <v>360</v>
      </c>
      <c r="B442" t="s">
        <v>1749</v>
      </c>
      <c r="C442" t="s">
        <v>1726</v>
      </c>
      <c r="D442" t="s">
        <v>1733</v>
      </c>
      <c r="K442"/>
      <c r="L442"/>
      <c r="M442"/>
    </row>
    <row r="443" spans="1:13">
      <c r="A443" s="2" t="s">
        <v>363</v>
      </c>
      <c r="B443" t="s">
        <v>1749</v>
      </c>
      <c r="C443" t="s">
        <v>1726</v>
      </c>
      <c r="D443" t="s">
        <v>1733</v>
      </c>
      <c r="K443"/>
      <c r="L443"/>
      <c r="M443"/>
    </row>
    <row r="444" spans="1:13">
      <c r="A444" s="2" t="s">
        <v>354</v>
      </c>
      <c r="B444" t="s">
        <v>1749</v>
      </c>
      <c r="C444" t="s">
        <v>1726</v>
      </c>
      <c r="D444" t="s">
        <v>1733</v>
      </c>
      <c r="K444"/>
      <c r="L444"/>
      <c r="M444"/>
    </row>
    <row r="445" spans="1:13">
      <c r="A445" s="2" t="s">
        <v>351</v>
      </c>
      <c r="B445" t="s">
        <v>1749</v>
      </c>
      <c r="C445" t="s">
        <v>1726</v>
      </c>
      <c r="D445" t="s">
        <v>1733</v>
      </c>
      <c r="K445"/>
      <c r="L445"/>
      <c r="M445"/>
    </row>
    <row r="446" spans="1:13">
      <c r="A446" s="2" t="s">
        <v>370</v>
      </c>
      <c r="B446" t="s">
        <v>1749</v>
      </c>
      <c r="C446" t="s">
        <v>1726</v>
      </c>
      <c r="D446" t="s">
        <v>1733</v>
      </c>
      <c r="K446"/>
      <c r="L446"/>
      <c r="M446"/>
    </row>
    <row r="447" spans="1:13">
      <c r="A447" s="2" t="s">
        <v>336</v>
      </c>
      <c r="B447" t="s">
        <v>1749</v>
      </c>
      <c r="C447" t="s">
        <v>1726</v>
      </c>
      <c r="D447" t="s">
        <v>1733</v>
      </c>
      <c r="K447"/>
      <c r="L447"/>
      <c r="M447"/>
    </row>
    <row r="448" spans="1:13">
      <c r="A448" s="2" t="s">
        <v>347</v>
      </c>
      <c r="B448" t="s">
        <v>1749</v>
      </c>
      <c r="C448" t="s">
        <v>1726</v>
      </c>
      <c r="D448" t="s">
        <v>1733</v>
      </c>
      <c r="K448"/>
      <c r="L448"/>
      <c r="M448"/>
    </row>
    <row r="449" spans="1:13">
      <c r="A449" s="2" t="s">
        <v>343</v>
      </c>
      <c r="B449" t="s">
        <v>1749</v>
      </c>
      <c r="C449" t="s">
        <v>1726</v>
      </c>
      <c r="D449" t="s">
        <v>1733</v>
      </c>
      <c r="K449"/>
      <c r="L449"/>
      <c r="M449"/>
    </row>
    <row r="450" spans="1:13">
      <c r="A450" s="2" t="s">
        <v>375</v>
      </c>
      <c r="B450" t="s">
        <v>1749</v>
      </c>
      <c r="C450" t="s">
        <v>1726</v>
      </c>
      <c r="D450" t="s">
        <v>1733</v>
      </c>
      <c r="K450"/>
      <c r="L450"/>
      <c r="M450"/>
    </row>
    <row r="451" spans="1:13">
      <c r="A451" s="2" t="s">
        <v>376</v>
      </c>
      <c r="B451" t="s">
        <v>1749</v>
      </c>
      <c r="C451" t="s">
        <v>1726</v>
      </c>
      <c r="D451" t="s">
        <v>1733</v>
      </c>
      <c r="K451"/>
      <c r="L451"/>
      <c r="M451"/>
    </row>
    <row r="452" spans="1:13">
      <c r="A452" s="2" t="s">
        <v>345</v>
      </c>
      <c r="B452" t="s">
        <v>1749</v>
      </c>
      <c r="C452" t="s">
        <v>1726</v>
      </c>
      <c r="D452" t="s">
        <v>1733</v>
      </c>
      <c r="K452"/>
      <c r="L452"/>
      <c r="M452"/>
    </row>
    <row r="453" spans="1:13">
      <c r="A453" s="2" t="s">
        <v>374</v>
      </c>
      <c r="B453" t="s">
        <v>1749</v>
      </c>
      <c r="C453" t="s">
        <v>1726</v>
      </c>
      <c r="D453" t="s">
        <v>1733</v>
      </c>
      <c r="K453"/>
      <c r="L453"/>
      <c r="M453"/>
    </row>
    <row r="454" spans="1:13">
      <c r="A454" s="2" t="s">
        <v>346</v>
      </c>
      <c r="B454" t="s">
        <v>1749</v>
      </c>
      <c r="C454" t="s">
        <v>1726</v>
      </c>
      <c r="D454" t="s">
        <v>1733</v>
      </c>
      <c r="K454"/>
      <c r="L454"/>
      <c r="M454"/>
    </row>
    <row r="455" spans="1:13">
      <c r="A455" s="2" t="s">
        <v>358</v>
      </c>
      <c r="B455" t="s">
        <v>1749</v>
      </c>
      <c r="C455" t="s">
        <v>1726</v>
      </c>
      <c r="D455" t="s">
        <v>1733</v>
      </c>
      <c r="K455"/>
      <c r="L455"/>
      <c r="M455"/>
    </row>
    <row r="456" spans="1:13">
      <c r="A456" s="2" t="s">
        <v>326</v>
      </c>
      <c r="B456" t="s">
        <v>1749</v>
      </c>
      <c r="C456" t="s">
        <v>1726</v>
      </c>
      <c r="D456" t="s">
        <v>1733</v>
      </c>
      <c r="K456"/>
      <c r="L456"/>
      <c r="M456"/>
    </row>
    <row r="457" spans="1:13">
      <c r="A457" s="2" t="s">
        <v>361</v>
      </c>
      <c r="B457" t="s">
        <v>1749</v>
      </c>
      <c r="C457" t="s">
        <v>1726</v>
      </c>
      <c r="D457" t="s">
        <v>1733</v>
      </c>
      <c r="K457"/>
      <c r="L457"/>
      <c r="M457"/>
    </row>
    <row r="458" spans="1:13">
      <c r="A458" s="2" t="s">
        <v>334</v>
      </c>
      <c r="B458" t="s">
        <v>1749</v>
      </c>
      <c r="C458" t="s">
        <v>1726</v>
      </c>
      <c r="D458" t="s">
        <v>1733</v>
      </c>
      <c r="K458"/>
      <c r="L458"/>
      <c r="M458"/>
    </row>
    <row r="459" spans="1:13">
      <c r="A459" s="2" t="s">
        <v>355</v>
      </c>
      <c r="B459" t="s">
        <v>1749</v>
      </c>
      <c r="C459" t="s">
        <v>1726</v>
      </c>
      <c r="D459" t="s">
        <v>1733</v>
      </c>
      <c r="K459"/>
      <c r="L459"/>
      <c r="M459"/>
    </row>
    <row r="460" spans="1:13">
      <c r="A460" s="2" t="s">
        <v>758</v>
      </c>
      <c r="B460" t="s">
        <v>1749</v>
      </c>
      <c r="C460" t="s">
        <v>1728</v>
      </c>
      <c r="D460" t="s">
        <v>1731</v>
      </c>
      <c r="K460"/>
      <c r="L460"/>
      <c r="M460"/>
    </row>
    <row r="461" spans="1:13">
      <c r="A461" s="2" t="s">
        <v>760</v>
      </c>
      <c r="B461" t="s">
        <v>1749</v>
      </c>
      <c r="C461" t="s">
        <v>1728</v>
      </c>
      <c r="D461" t="s">
        <v>1731</v>
      </c>
      <c r="K461"/>
      <c r="L461"/>
      <c r="M461"/>
    </row>
    <row r="462" spans="1:13">
      <c r="A462" s="2" t="s">
        <v>759</v>
      </c>
      <c r="B462" t="s">
        <v>1749</v>
      </c>
      <c r="C462" t="s">
        <v>1728</v>
      </c>
      <c r="D462" t="s">
        <v>1731</v>
      </c>
      <c r="K462"/>
      <c r="L462"/>
      <c r="M462"/>
    </row>
    <row r="463" spans="1:13">
      <c r="A463" s="2" t="s">
        <v>755</v>
      </c>
      <c r="B463" t="s">
        <v>1749</v>
      </c>
      <c r="C463" t="s">
        <v>1728</v>
      </c>
      <c r="D463" t="s">
        <v>1731</v>
      </c>
      <c r="K463"/>
      <c r="L463"/>
      <c r="M463"/>
    </row>
    <row r="464" spans="1:13">
      <c r="A464" s="2" t="s">
        <v>757</v>
      </c>
      <c r="B464" t="s">
        <v>1749</v>
      </c>
      <c r="C464" t="s">
        <v>1728</v>
      </c>
      <c r="D464" t="s">
        <v>1731</v>
      </c>
      <c r="K464"/>
      <c r="L464"/>
      <c r="M464"/>
    </row>
    <row r="465" spans="1:13">
      <c r="A465" s="2" t="s">
        <v>756</v>
      </c>
      <c r="B465" t="s">
        <v>1749</v>
      </c>
      <c r="C465" t="s">
        <v>1728</v>
      </c>
      <c r="D465" t="s">
        <v>1731</v>
      </c>
      <c r="K465"/>
      <c r="L465"/>
      <c r="M465"/>
    </row>
    <row r="466" spans="1:13">
      <c r="A466" s="2" t="s">
        <v>761</v>
      </c>
      <c r="B466" t="s">
        <v>1749</v>
      </c>
      <c r="C466" t="s">
        <v>1728</v>
      </c>
      <c r="D466" t="s">
        <v>1731</v>
      </c>
      <c r="K466"/>
      <c r="L466"/>
      <c r="M466"/>
    </row>
    <row r="467" spans="1:13">
      <c r="A467" s="2" t="s">
        <v>763</v>
      </c>
      <c r="B467" t="s">
        <v>1749</v>
      </c>
      <c r="C467" t="s">
        <v>1728</v>
      </c>
      <c r="D467" t="s">
        <v>1731</v>
      </c>
      <c r="K467"/>
      <c r="L467"/>
      <c r="M467"/>
    </row>
    <row r="468" spans="1:13">
      <c r="A468" s="2" t="s">
        <v>762</v>
      </c>
      <c r="B468" t="s">
        <v>1749</v>
      </c>
      <c r="C468" t="s">
        <v>1728</v>
      </c>
      <c r="D468" t="s">
        <v>1731</v>
      </c>
      <c r="K468"/>
      <c r="L468"/>
      <c r="M468"/>
    </row>
    <row r="469" spans="1:13">
      <c r="A469" s="2" t="s">
        <v>764</v>
      </c>
      <c r="B469" t="s">
        <v>1749</v>
      </c>
      <c r="C469" t="s">
        <v>1728</v>
      </c>
      <c r="D469" t="s">
        <v>1731</v>
      </c>
      <c r="K469"/>
      <c r="L469"/>
      <c r="M469"/>
    </row>
    <row r="470" spans="1:13">
      <c r="A470" s="2" t="s">
        <v>765</v>
      </c>
      <c r="B470" t="s">
        <v>1749</v>
      </c>
      <c r="C470" t="s">
        <v>1728</v>
      </c>
      <c r="D470" t="s">
        <v>1731</v>
      </c>
      <c r="K470"/>
      <c r="L470"/>
      <c r="M470"/>
    </row>
    <row r="471" spans="1:13">
      <c r="A471" s="2" t="s">
        <v>770</v>
      </c>
      <c r="B471" t="s">
        <v>1749</v>
      </c>
      <c r="C471" t="s">
        <v>1728</v>
      </c>
      <c r="D471" t="s">
        <v>1731</v>
      </c>
      <c r="K471"/>
      <c r="L471"/>
      <c r="M471"/>
    </row>
    <row r="472" spans="1:13">
      <c r="A472" s="2" t="s">
        <v>772</v>
      </c>
      <c r="B472" t="s">
        <v>1749</v>
      </c>
      <c r="C472" t="s">
        <v>1728</v>
      </c>
      <c r="D472" t="s">
        <v>1731</v>
      </c>
      <c r="K472"/>
      <c r="L472"/>
      <c r="M472"/>
    </row>
    <row r="473" spans="1:13">
      <c r="A473" s="2" t="s">
        <v>771</v>
      </c>
      <c r="B473" t="s">
        <v>1749</v>
      </c>
      <c r="C473" t="s">
        <v>1728</v>
      </c>
      <c r="D473" t="s">
        <v>1731</v>
      </c>
      <c r="K473"/>
      <c r="L473"/>
      <c r="M473"/>
    </row>
    <row r="474" spans="1:13">
      <c r="A474" s="2" t="s">
        <v>773</v>
      </c>
      <c r="B474" t="s">
        <v>1749</v>
      </c>
      <c r="C474" t="s">
        <v>1728</v>
      </c>
      <c r="D474" t="s">
        <v>1731</v>
      </c>
      <c r="K474"/>
      <c r="L474"/>
      <c r="M474"/>
    </row>
    <row r="475" spans="1:13">
      <c r="A475" s="2" t="s">
        <v>775</v>
      </c>
      <c r="B475" t="s">
        <v>1749</v>
      </c>
      <c r="C475" t="s">
        <v>1728</v>
      </c>
      <c r="D475" t="s">
        <v>1731</v>
      </c>
      <c r="K475"/>
      <c r="L475"/>
      <c r="M475"/>
    </row>
    <row r="476" spans="1:13">
      <c r="A476" s="2" t="s">
        <v>774</v>
      </c>
      <c r="B476" t="s">
        <v>1749</v>
      </c>
      <c r="C476" t="s">
        <v>1728</v>
      </c>
      <c r="D476" t="s">
        <v>1731</v>
      </c>
      <c r="K476"/>
      <c r="L476"/>
      <c r="M476"/>
    </row>
    <row r="477" spans="1:13">
      <c r="A477" s="2" t="s">
        <v>767</v>
      </c>
      <c r="B477" t="s">
        <v>1749</v>
      </c>
      <c r="C477" t="s">
        <v>1728</v>
      </c>
      <c r="D477" t="s">
        <v>1731</v>
      </c>
      <c r="K477"/>
      <c r="L477"/>
      <c r="M477"/>
    </row>
    <row r="478" spans="1:13">
      <c r="A478" s="2" t="s">
        <v>766</v>
      </c>
      <c r="B478" t="s">
        <v>1749</v>
      </c>
      <c r="C478" t="s">
        <v>1728</v>
      </c>
      <c r="D478" t="s">
        <v>1731</v>
      </c>
      <c r="K478"/>
      <c r="L478"/>
      <c r="M478"/>
    </row>
    <row r="479" spans="1:13">
      <c r="A479" s="2" t="s">
        <v>769</v>
      </c>
      <c r="B479" t="s">
        <v>1749</v>
      </c>
      <c r="C479" t="s">
        <v>1728</v>
      </c>
      <c r="D479" t="s">
        <v>1731</v>
      </c>
      <c r="K479"/>
      <c r="L479"/>
      <c r="M479"/>
    </row>
    <row r="480" spans="1:13">
      <c r="A480" s="2" t="s">
        <v>768</v>
      </c>
      <c r="B480" t="s">
        <v>1749</v>
      </c>
      <c r="C480" t="s">
        <v>1728</v>
      </c>
      <c r="D480" t="s">
        <v>1731</v>
      </c>
      <c r="K480"/>
      <c r="L480"/>
      <c r="M480"/>
    </row>
    <row r="481" spans="1:13">
      <c r="A481" s="2" t="s">
        <v>779</v>
      </c>
      <c r="B481" t="s">
        <v>1749</v>
      </c>
      <c r="C481" t="s">
        <v>1728</v>
      </c>
      <c r="D481" t="s">
        <v>1731</v>
      </c>
      <c r="K481"/>
      <c r="L481"/>
      <c r="M481"/>
    </row>
    <row r="482" spans="1:13">
      <c r="A482" s="2" t="s">
        <v>781</v>
      </c>
      <c r="B482" t="s">
        <v>1749</v>
      </c>
      <c r="C482" t="s">
        <v>1728</v>
      </c>
      <c r="D482" t="s">
        <v>1731</v>
      </c>
      <c r="K482"/>
      <c r="L482"/>
      <c r="M482"/>
    </row>
    <row r="483" spans="1:13">
      <c r="A483" s="2" t="s">
        <v>780</v>
      </c>
      <c r="B483" t="s">
        <v>1749</v>
      </c>
      <c r="C483" t="s">
        <v>1728</v>
      </c>
      <c r="D483" t="s">
        <v>1731</v>
      </c>
      <c r="K483"/>
      <c r="L483"/>
      <c r="M483"/>
    </row>
    <row r="484" spans="1:13">
      <c r="A484" s="2" t="s">
        <v>790</v>
      </c>
      <c r="B484" t="s">
        <v>1749</v>
      </c>
      <c r="C484" t="s">
        <v>1728</v>
      </c>
      <c r="D484" t="s">
        <v>1731</v>
      </c>
      <c r="K484"/>
      <c r="L484"/>
      <c r="M484"/>
    </row>
    <row r="485" spans="1:13">
      <c r="A485" s="2" t="s">
        <v>782</v>
      </c>
      <c r="B485" t="s">
        <v>1749</v>
      </c>
      <c r="C485" t="s">
        <v>1728</v>
      </c>
      <c r="D485" t="s">
        <v>1731</v>
      </c>
      <c r="K485"/>
      <c r="L485"/>
      <c r="M485"/>
    </row>
    <row r="486" spans="1:13">
      <c r="A486" s="2" t="s">
        <v>792</v>
      </c>
      <c r="B486" t="s">
        <v>1749</v>
      </c>
      <c r="C486" t="s">
        <v>1728</v>
      </c>
      <c r="D486" t="s">
        <v>1731</v>
      </c>
      <c r="K486"/>
      <c r="L486"/>
      <c r="M486"/>
    </row>
    <row r="487" spans="1:13">
      <c r="A487" s="2" t="s">
        <v>793</v>
      </c>
      <c r="B487" t="s">
        <v>1749</v>
      </c>
      <c r="C487" t="s">
        <v>1728</v>
      </c>
      <c r="D487" t="s">
        <v>1732</v>
      </c>
      <c r="K487"/>
      <c r="L487"/>
      <c r="M487"/>
    </row>
    <row r="488" spans="1:13">
      <c r="A488" s="2" t="s">
        <v>795</v>
      </c>
      <c r="B488" t="s">
        <v>1749</v>
      </c>
      <c r="C488" t="s">
        <v>1728</v>
      </c>
      <c r="D488" t="s">
        <v>1731</v>
      </c>
      <c r="K488"/>
      <c r="L488"/>
      <c r="M488"/>
    </row>
    <row r="489" spans="1:13">
      <c r="A489" s="2" t="s">
        <v>794</v>
      </c>
      <c r="B489" t="s">
        <v>1749</v>
      </c>
      <c r="C489" t="s">
        <v>1728</v>
      </c>
      <c r="D489" t="s">
        <v>1732</v>
      </c>
      <c r="K489"/>
      <c r="L489"/>
      <c r="M489"/>
    </row>
    <row r="490" spans="1:13">
      <c r="A490" s="2" t="s">
        <v>783</v>
      </c>
      <c r="B490" t="s">
        <v>1749</v>
      </c>
      <c r="C490" t="s">
        <v>1728</v>
      </c>
      <c r="D490" t="s">
        <v>1731</v>
      </c>
      <c r="K490"/>
      <c r="L490"/>
      <c r="M490"/>
    </row>
    <row r="491" spans="1:13">
      <c r="A491" s="2" t="s">
        <v>785</v>
      </c>
      <c r="B491" t="s">
        <v>1749</v>
      </c>
      <c r="C491" t="s">
        <v>1728</v>
      </c>
      <c r="D491" t="s">
        <v>1731</v>
      </c>
      <c r="K491"/>
      <c r="L491"/>
      <c r="M491"/>
    </row>
    <row r="492" spans="1:13">
      <c r="A492" s="2" t="s">
        <v>784</v>
      </c>
      <c r="B492" t="s">
        <v>1749</v>
      </c>
      <c r="C492" t="s">
        <v>1728</v>
      </c>
      <c r="D492" t="s">
        <v>1731</v>
      </c>
      <c r="K492"/>
      <c r="L492"/>
      <c r="M492"/>
    </row>
    <row r="493" spans="1:13">
      <c r="A493" s="2" t="s">
        <v>776</v>
      </c>
      <c r="B493" t="s">
        <v>1749</v>
      </c>
      <c r="C493" t="s">
        <v>1728</v>
      </c>
      <c r="D493" t="s">
        <v>1731</v>
      </c>
      <c r="K493"/>
      <c r="L493"/>
      <c r="M493"/>
    </row>
    <row r="494" spans="1:13">
      <c r="A494" s="2" t="s">
        <v>778</v>
      </c>
      <c r="B494" t="s">
        <v>1749</v>
      </c>
      <c r="C494" t="s">
        <v>1728</v>
      </c>
      <c r="D494" t="s">
        <v>1731</v>
      </c>
      <c r="K494"/>
      <c r="L494"/>
      <c r="M494"/>
    </row>
    <row r="495" spans="1:13">
      <c r="A495" s="2" t="s">
        <v>777</v>
      </c>
      <c r="B495" t="s">
        <v>1749</v>
      </c>
      <c r="C495" t="s">
        <v>1728</v>
      </c>
      <c r="D495" t="s">
        <v>1731</v>
      </c>
      <c r="K495"/>
      <c r="L495"/>
      <c r="M495"/>
    </row>
    <row r="496" spans="1:13">
      <c r="A496" s="2" t="s">
        <v>787</v>
      </c>
      <c r="B496" t="s">
        <v>1749</v>
      </c>
      <c r="C496" t="s">
        <v>1728</v>
      </c>
      <c r="D496" t="s">
        <v>1731</v>
      </c>
      <c r="K496"/>
      <c r="L496"/>
      <c r="M496"/>
    </row>
    <row r="497" spans="1:13">
      <c r="A497" s="2" t="s">
        <v>786</v>
      </c>
      <c r="B497" t="s">
        <v>1749</v>
      </c>
      <c r="C497" t="s">
        <v>1728</v>
      </c>
      <c r="D497" t="s">
        <v>1731</v>
      </c>
      <c r="K497"/>
      <c r="L497"/>
      <c r="M497"/>
    </row>
    <row r="498" spans="1:13">
      <c r="A498" s="2" t="s">
        <v>791</v>
      </c>
      <c r="B498" t="s">
        <v>1749</v>
      </c>
      <c r="C498" t="s">
        <v>1728</v>
      </c>
      <c r="D498" t="s">
        <v>1731</v>
      </c>
      <c r="K498"/>
      <c r="L498"/>
      <c r="M498"/>
    </row>
    <row r="499" spans="1:13">
      <c r="A499" s="2" t="s">
        <v>788</v>
      </c>
      <c r="B499" t="s">
        <v>1749</v>
      </c>
      <c r="C499" t="s">
        <v>1728</v>
      </c>
      <c r="D499" t="s">
        <v>1731</v>
      </c>
      <c r="K499"/>
      <c r="L499"/>
      <c r="M499"/>
    </row>
    <row r="500" spans="1:13">
      <c r="A500" s="2" t="s">
        <v>789</v>
      </c>
      <c r="B500" t="s">
        <v>1749</v>
      </c>
      <c r="C500" t="s">
        <v>1728</v>
      </c>
      <c r="D500" t="s">
        <v>1731</v>
      </c>
      <c r="K500"/>
      <c r="L500"/>
      <c r="M500"/>
    </row>
    <row r="501" spans="1:13">
      <c r="A501" s="2" t="s">
        <v>807</v>
      </c>
      <c r="B501" t="s">
        <v>1749</v>
      </c>
      <c r="C501" t="s">
        <v>1728</v>
      </c>
      <c r="D501" t="s">
        <v>1731</v>
      </c>
      <c r="K501"/>
      <c r="L501"/>
      <c r="M501"/>
    </row>
    <row r="502" spans="1:13">
      <c r="A502" s="2" t="s">
        <v>806</v>
      </c>
      <c r="B502" t="s">
        <v>1749</v>
      </c>
      <c r="C502" t="s">
        <v>1728</v>
      </c>
      <c r="D502" t="s">
        <v>1731</v>
      </c>
      <c r="K502"/>
      <c r="L502"/>
      <c r="M502"/>
    </row>
    <row r="503" spans="1:13">
      <c r="A503" s="2" t="s">
        <v>811</v>
      </c>
      <c r="B503" t="s">
        <v>1749</v>
      </c>
      <c r="C503" t="s">
        <v>1728</v>
      </c>
      <c r="D503" t="s">
        <v>1731</v>
      </c>
      <c r="K503"/>
      <c r="L503"/>
      <c r="M503"/>
    </row>
    <row r="504" spans="1:13">
      <c r="A504" s="2" t="s">
        <v>808</v>
      </c>
      <c r="B504" t="s">
        <v>1749</v>
      </c>
      <c r="C504" t="s">
        <v>1728</v>
      </c>
      <c r="D504" t="s">
        <v>1731</v>
      </c>
      <c r="K504"/>
      <c r="L504"/>
      <c r="M504"/>
    </row>
    <row r="505" spans="1:13">
      <c r="A505" s="2" t="s">
        <v>800</v>
      </c>
      <c r="B505" t="s">
        <v>1749</v>
      </c>
      <c r="C505" t="s">
        <v>1728</v>
      </c>
      <c r="D505" t="s">
        <v>1731</v>
      </c>
      <c r="K505"/>
      <c r="L505"/>
      <c r="M505"/>
    </row>
    <row r="506" spans="1:13">
      <c r="A506" s="2" t="s">
        <v>796</v>
      </c>
      <c r="B506" t="s">
        <v>1749</v>
      </c>
      <c r="C506" t="s">
        <v>1728</v>
      </c>
      <c r="D506" t="s">
        <v>1731</v>
      </c>
      <c r="K506"/>
      <c r="L506"/>
      <c r="M506"/>
    </row>
    <row r="507" spans="1:13">
      <c r="A507" s="2" t="s">
        <v>799</v>
      </c>
      <c r="B507" t="s">
        <v>1749</v>
      </c>
      <c r="C507" t="s">
        <v>1728</v>
      </c>
      <c r="D507" t="s">
        <v>1731</v>
      </c>
      <c r="K507"/>
      <c r="L507"/>
      <c r="M507"/>
    </row>
    <row r="508" spans="1:13">
      <c r="A508" s="2" t="s">
        <v>810</v>
      </c>
      <c r="B508" t="s">
        <v>1749</v>
      </c>
      <c r="C508" t="s">
        <v>1728</v>
      </c>
      <c r="D508" t="s">
        <v>1731</v>
      </c>
      <c r="K508"/>
      <c r="L508"/>
      <c r="M508"/>
    </row>
    <row r="509" spans="1:13">
      <c r="A509" s="2" t="s">
        <v>809</v>
      </c>
      <c r="B509" t="s">
        <v>1749</v>
      </c>
      <c r="C509" t="s">
        <v>1728</v>
      </c>
      <c r="D509" t="s">
        <v>1731</v>
      </c>
      <c r="K509"/>
      <c r="L509"/>
      <c r="M509"/>
    </row>
    <row r="510" spans="1:13">
      <c r="A510" s="2" t="s">
        <v>797</v>
      </c>
      <c r="B510" t="s">
        <v>1749</v>
      </c>
      <c r="C510" t="s">
        <v>1728</v>
      </c>
      <c r="D510" t="s">
        <v>1731</v>
      </c>
      <c r="K510"/>
      <c r="L510"/>
      <c r="M510"/>
    </row>
    <row r="511" spans="1:13">
      <c r="A511" s="2" t="s">
        <v>801</v>
      </c>
      <c r="B511" t="s">
        <v>1749</v>
      </c>
      <c r="C511" t="s">
        <v>1728</v>
      </c>
      <c r="D511" t="s">
        <v>1731</v>
      </c>
      <c r="K511"/>
      <c r="L511"/>
      <c r="M511"/>
    </row>
    <row r="512" spans="1:13">
      <c r="A512" s="2" t="s">
        <v>803</v>
      </c>
      <c r="B512" t="s">
        <v>1749</v>
      </c>
      <c r="C512" t="s">
        <v>1728</v>
      </c>
      <c r="D512" t="s">
        <v>1731</v>
      </c>
      <c r="K512"/>
      <c r="L512"/>
      <c r="M512"/>
    </row>
    <row r="513" spans="1:13">
      <c r="A513" s="2" t="s">
        <v>802</v>
      </c>
      <c r="B513" t="s">
        <v>1749</v>
      </c>
      <c r="C513" t="s">
        <v>1728</v>
      </c>
      <c r="D513" t="s">
        <v>1731</v>
      </c>
      <c r="K513"/>
      <c r="L513"/>
      <c r="M513"/>
    </row>
    <row r="514" spans="1:13">
      <c r="A514" s="2" t="s">
        <v>798</v>
      </c>
      <c r="B514" t="s">
        <v>1749</v>
      </c>
      <c r="C514" t="s">
        <v>1728</v>
      </c>
      <c r="D514" t="s">
        <v>1731</v>
      </c>
      <c r="K514"/>
      <c r="L514"/>
      <c r="M514"/>
    </row>
    <row r="515" spans="1:13">
      <c r="A515" s="2" t="s">
        <v>805</v>
      </c>
      <c r="B515" t="s">
        <v>1749</v>
      </c>
      <c r="C515" t="s">
        <v>1728</v>
      </c>
      <c r="D515" t="s">
        <v>1731</v>
      </c>
      <c r="K515"/>
      <c r="L515"/>
      <c r="M515"/>
    </row>
    <row r="516" spans="1:13">
      <c r="A516" s="2" t="s">
        <v>804</v>
      </c>
      <c r="B516" t="s">
        <v>1749</v>
      </c>
      <c r="C516" t="s">
        <v>1728</v>
      </c>
      <c r="D516" t="s">
        <v>1731</v>
      </c>
      <c r="K516"/>
      <c r="L516"/>
      <c r="M516"/>
    </row>
    <row r="517" spans="1:13">
      <c r="A517" s="2" t="s">
        <v>812</v>
      </c>
      <c r="B517" t="s">
        <v>1749</v>
      </c>
      <c r="C517" t="s">
        <v>1728</v>
      </c>
      <c r="D517" t="s">
        <v>1731</v>
      </c>
      <c r="K517"/>
      <c r="L517"/>
      <c r="M517"/>
    </row>
    <row r="518" spans="1:13">
      <c r="A518" s="2" t="s">
        <v>816</v>
      </c>
      <c r="B518" t="s">
        <v>1749</v>
      </c>
      <c r="C518" t="s">
        <v>1728</v>
      </c>
      <c r="D518" t="s">
        <v>1731</v>
      </c>
      <c r="K518"/>
      <c r="L518"/>
      <c r="M518"/>
    </row>
    <row r="519" spans="1:13">
      <c r="A519" s="2" t="s">
        <v>817</v>
      </c>
      <c r="B519" t="s">
        <v>1749</v>
      </c>
      <c r="C519" t="s">
        <v>1728</v>
      </c>
      <c r="D519" t="s">
        <v>1731</v>
      </c>
      <c r="K519"/>
      <c r="L519"/>
      <c r="M519"/>
    </row>
    <row r="520" spans="1:13">
      <c r="A520" s="2" t="s">
        <v>814</v>
      </c>
      <c r="B520" t="s">
        <v>1749</v>
      </c>
      <c r="C520" t="s">
        <v>1728</v>
      </c>
      <c r="D520" t="s">
        <v>1731</v>
      </c>
      <c r="K520"/>
      <c r="L520"/>
      <c r="M520"/>
    </row>
    <row r="521" spans="1:13">
      <c r="A521" s="2" t="s">
        <v>815</v>
      </c>
      <c r="B521" t="s">
        <v>1749</v>
      </c>
      <c r="C521" t="s">
        <v>1728</v>
      </c>
      <c r="D521" t="s">
        <v>1731</v>
      </c>
      <c r="K521"/>
      <c r="L521"/>
      <c r="M521"/>
    </row>
    <row r="522" spans="1:13">
      <c r="A522" s="2" t="s">
        <v>813</v>
      </c>
      <c r="B522" t="s">
        <v>1749</v>
      </c>
      <c r="C522" t="s">
        <v>1728</v>
      </c>
      <c r="D522" t="s">
        <v>1731</v>
      </c>
      <c r="K522"/>
      <c r="L522"/>
      <c r="M522"/>
    </row>
    <row r="523" spans="1:13">
      <c r="A523" s="2" t="s">
        <v>818</v>
      </c>
      <c r="B523" t="s">
        <v>1749</v>
      </c>
      <c r="C523" t="s">
        <v>1728</v>
      </c>
      <c r="D523" t="s">
        <v>1731</v>
      </c>
      <c r="K523"/>
      <c r="L523"/>
      <c r="M523"/>
    </row>
    <row r="524" spans="1:13">
      <c r="A524" s="2" t="s">
        <v>819</v>
      </c>
      <c r="B524" t="s">
        <v>1749</v>
      </c>
      <c r="C524" t="s">
        <v>1728</v>
      </c>
      <c r="D524" t="s">
        <v>1731</v>
      </c>
      <c r="K524"/>
      <c r="L524"/>
      <c r="M524"/>
    </row>
    <row r="525" spans="1:13">
      <c r="A525" s="2" t="s">
        <v>821</v>
      </c>
      <c r="B525" t="s">
        <v>1749</v>
      </c>
      <c r="C525" t="s">
        <v>1728</v>
      </c>
      <c r="D525" t="s">
        <v>1731</v>
      </c>
      <c r="K525"/>
      <c r="L525"/>
      <c r="M525"/>
    </row>
    <row r="526" spans="1:13">
      <c r="A526" s="2" t="s">
        <v>820</v>
      </c>
      <c r="B526" t="s">
        <v>1749</v>
      </c>
      <c r="C526" t="s">
        <v>1728</v>
      </c>
      <c r="D526" t="s">
        <v>1731</v>
      </c>
      <c r="K526"/>
      <c r="L526"/>
      <c r="M526"/>
    </row>
    <row r="527" spans="1:13">
      <c r="A527" s="2" t="s">
        <v>822</v>
      </c>
      <c r="B527" t="s">
        <v>1749</v>
      </c>
      <c r="C527" t="s">
        <v>1728</v>
      </c>
      <c r="D527" t="s">
        <v>1731</v>
      </c>
      <c r="K527"/>
      <c r="L527"/>
      <c r="M527"/>
    </row>
    <row r="528" spans="1:13">
      <c r="A528" s="2" t="s">
        <v>823</v>
      </c>
      <c r="B528" t="s">
        <v>1749</v>
      </c>
      <c r="C528" t="s">
        <v>1728</v>
      </c>
      <c r="D528" t="s">
        <v>1731</v>
      </c>
      <c r="K528"/>
      <c r="L528"/>
      <c r="M528"/>
    </row>
    <row r="529" spans="1:13">
      <c r="A529" s="2" t="s">
        <v>824</v>
      </c>
      <c r="B529" t="s">
        <v>1749</v>
      </c>
      <c r="C529" t="s">
        <v>1728</v>
      </c>
      <c r="D529" t="s">
        <v>1731</v>
      </c>
      <c r="K529"/>
      <c r="L529"/>
      <c r="M529"/>
    </row>
    <row r="530" spans="1:13">
      <c r="A530" s="2" t="s">
        <v>825</v>
      </c>
      <c r="B530" t="s">
        <v>1749</v>
      </c>
      <c r="C530" t="s">
        <v>1728</v>
      </c>
      <c r="D530" t="s">
        <v>1731</v>
      </c>
      <c r="K530"/>
      <c r="L530"/>
      <c r="M530"/>
    </row>
    <row r="531" spans="1:13">
      <c r="A531" s="2" t="s">
        <v>746</v>
      </c>
      <c r="B531" t="s">
        <v>1749</v>
      </c>
      <c r="C531" t="s">
        <v>1722</v>
      </c>
      <c r="D531" t="s">
        <v>1736</v>
      </c>
      <c r="K531"/>
      <c r="L531"/>
      <c r="M531"/>
    </row>
    <row r="532" spans="1:13">
      <c r="A532" s="2" t="s">
        <v>747</v>
      </c>
      <c r="B532" t="s">
        <v>1749</v>
      </c>
      <c r="C532" t="s">
        <v>1722</v>
      </c>
      <c r="D532" t="s">
        <v>1736</v>
      </c>
      <c r="K532"/>
      <c r="L532"/>
      <c r="M532"/>
    </row>
    <row r="533" spans="1:13">
      <c r="A533" s="2" t="s">
        <v>748</v>
      </c>
      <c r="B533" t="s">
        <v>1749</v>
      </c>
      <c r="C533" t="s">
        <v>1722</v>
      </c>
      <c r="D533" t="s">
        <v>1736</v>
      </c>
      <c r="K533"/>
      <c r="L533"/>
      <c r="M533"/>
    </row>
    <row r="534" spans="1:13">
      <c r="A534" s="2" t="s">
        <v>749</v>
      </c>
      <c r="B534" t="s">
        <v>1749</v>
      </c>
      <c r="C534" t="s">
        <v>1722</v>
      </c>
      <c r="D534" t="s">
        <v>1736</v>
      </c>
      <c r="K534"/>
      <c r="L534"/>
      <c r="M534"/>
    </row>
    <row r="535" spans="1:13">
      <c r="A535" s="2" t="s">
        <v>752</v>
      </c>
      <c r="B535" t="s">
        <v>1749</v>
      </c>
      <c r="C535" t="s">
        <v>1728</v>
      </c>
      <c r="D535" t="s">
        <v>1733</v>
      </c>
      <c r="K535"/>
      <c r="L535"/>
      <c r="M535"/>
    </row>
    <row r="536" spans="1:13">
      <c r="A536" s="2" t="s">
        <v>751</v>
      </c>
      <c r="B536" t="s">
        <v>1749</v>
      </c>
      <c r="C536" t="s">
        <v>1728</v>
      </c>
      <c r="D536" t="s">
        <v>1739</v>
      </c>
      <c r="K536"/>
      <c r="L536"/>
      <c r="M536"/>
    </row>
    <row r="537" spans="1:13">
      <c r="A537" s="2" t="s">
        <v>754</v>
      </c>
      <c r="B537" t="s">
        <v>1749</v>
      </c>
      <c r="C537" t="s">
        <v>1728</v>
      </c>
      <c r="D537" t="s">
        <v>1747</v>
      </c>
      <c r="K537"/>
      <c r="L537"/>
      <c r="M537"/>
    </row>
    <row r="538" spans="1:13">
      <c r="A538" s="2" t="s">
        <v>753</v>
      </c>
      <c r="B538" t="s">
        <v>1749</v>
      </c>
      <c r="C538" t="s">
        <v>1728</v>
      </c>
      <c r="D538" t="s">
        <v>1740</v>
      </c>
      <c r="K538"/>
      <c r="L538"/>
      <c r="M538"/>
    </row>
    <row r="539" spans="1:13">
      <c r="A539" s="2" t="s">
        <v>827</v>
      </c>
      <c r="B539" t="s">
        <v>1749</v>
      </c>
      <c r="C539" t="s">
        <v>1728</v>
      </c>
      <c r="D539" t="s">
        <v>1733</v>
      </c>
      <c r="K539"/>
      <c r="L539"/>
      <c r="M539"/>
    </row>
    <row r="540" spans="1:13">
      <c r="A540" s="2" t="s">
        <v>828</v>
      </c>
      <c r="B540" t="s">
        <v>1749</v>
      </c>
      <c r="C540" t="s">
        <v>1728</v>
      </c>
      <c r="D540" t="s">
        <v>1746</v>
      </c>
      <c r="K540"/>
      <c r="L540"/>
      <c r="M540"/>
    </row>
    <row r="541" spans="1:13">
      <c r="A541" s="2" t="s">
        <v>826</v>
      </c>
      <c r="B541" t="s">
        <v>1749</v>
      </c>
      <c r="C541" t="s">
        <v>1728</v>
      </c>
      <c r="D541" t="s">
        <v>1739</v>
      </c>
      <c r="K541"/>
      <c r="L541"/>
      <c r="M541"/>
    </row>
    <row r="542" spans="1:13">
      <c r="A542" s="2" t="s">
        <v>832</v>
      </c>
      <c r="B542" t="s">
        <v>1749</v>
      </c>
      <c r="C542" t="s">
        <v>1728</v>
      </c>
      <c r="D542" t="s">
        <v>1738</v>
      </c>
      <c r="K542"/>
      <c r="L542"/>
      <c r="M542"/>
    </row>
    <row r="543" spans="1:13">
      <c r="A543" s="2" t="s">
        <v>830</v>
      </c>
      <c r="B543" t="s">
        <v>1749</v>
      </c>
      <c r="C543" t="s">
        <v>1728</v>
      </c>
      <c r="D543" t="s">
        <v>1742</v>
      </c>
      <c r="K543"/>
      <c r="L543"/>
      <c r="M543"/>
    </row>
    <row r="544" spans="1:13">
      <c r="A544" s="2" t="s">
        <v>831</v>
      </c>
      <c r="B544" t="s">
        <v>1749</v>
      </c>
      <c r="C544" t="s">
        <v>1728</v>
      </c>
      <c r="D544" t="s">
        <v>1732</v>
      </c>
      <c r="K544"/>
      <c r="L544"/>
      <c r="M544"/>
    </row>
    <row r="545" spans="1:13">
      <c r="A545" s="2" t="s">
        <v>829</v>
      </c>
      <c r="B545" t="s">
        <v>1749</v>
      </c>
      <c r="C545" t="s">
        <v>1728</v>
      </c>
      <c r="D545" t="s">
        <v>1741</v>
      </c>
      <c r="K545"/>
      <c r="L545"/>
      <c r="M545"/>
    </row>
    <row r="546" spans="1:13">
      <c r="A546" s="2" t="s">
        <v>834</v>
      </c>
      <c r="B546" t="s">
        <v>1749</v>
      </c>
      <c r="C546" t="s">
        <v>1728</v>
      </c>
      <c r="D546" t="s">
        <v>1733</v>
      </c>
      <c r="K546"/>
      <c r="L546"/>
      <c r="M546"/>
    </row>
    <row r="547" spans="1:13">
      <c r="A547" s="2" t="s">
        <v>835</v>
      </c>
      <c r="B547" t="s">
        <v>1749</v>
      </c>
      <c r="C547" t="s">
        <v>1728</v>
      </c>
      <c r="D547" t="s">
        <v>1743</v>
      </c>
      <c r="K547"/>
      <c r="L547"/>
      <c r="M547"/>
    </row>
    <row r="548" spans="1:13">
      <c r="A548" s="2" t="s">
        <v>833</v>
      </c>
      <c r="B548" t="s">
        <v>1749</v>
      </c>
      <c r="C548" t="s">
        <v>1728</v>
      </c>
      <c r="D548" t="s">
        <v>1739</v>
      </c>
      <c r="K548"/>
      <c r="L548"/>
      <c r="M548"/>
    </row>
    <row r="549" spans="1:13">
      <c r="A549" s="2" t="s">
        <v>840</v>
      </c>
      <c r="B549" t="s">
        <v>1749</v>
      </c>
      <c r="C549" t="s">
        <v>1728</v>
      </c>
      <c r="D549" t="s">
        <v>1738</v>
      </c>
      <c r="K549"/>
      <c r="L549"/>
      <c r="M549"/>
    </row>
    <row r="550" spans="1:13">
      <c r="A550" s="2" t="s">
        <v>837</v>
      </c>
      <c r="B550" t="s">
        <v>1749</v>
      </c>
      <c r="C550" t="s">
        <v>1728</v>
      </c>
      <c r="D550" t="s">
        <v>1742</v>
      </c>
      <c r="K550"/>
      <c r="L550"/>
      <c r="M550"/>
    </row>
    <row r="551" spans="1:13">
      <c r="A551" s="2" t="s">
        <v>838</v>
      </c>
      <c r="B551" t="s">
        <v>1749</v>
      </c>
      <c r="C551" t="s">
        <v>1728</v>
      </c>
      <c r="D551" t="s">
        <v>1732</v>
      </c>
      <c r="K551"/>
      <c r="L551"/>
      <c r="M551"/>
    </row>
    <row r="552" spans="1:13">
      <c r="A552" s="2" t="s">
        <v>839</v>
      </c>
      <c r="B552" t="s">
        <v>1749</v>
      </c>
      <c r="C552" t="s">
        <v>1728</v>
      </c>
      <c r="D552" t="s">
        <v>1732</v>
      </c>
      <c r="K552"/>
      <c r="L552"/>
      <c r="M552"/>
    </row>
    <row r="553" spans="1:13">
      <c r="A553" s="2" t="s">
        <v>836</v>
      </c>
      <c r="B553" t="s">
        <v>1749</v>
      </c>
      <c r="C553" t="s">
        <v>1728</v>
      </c>
      <c r="D553" t="s">
        <v>1740</v>
      </c>
      <c r="K553"/>
      <c r="L553"/>
      <c r="M553"/>
    </row>
    <row r="554" spans="1:13">
      <c r="A554" s="2" t="s">
        <v>843</v>
      </c>
      <c r="B554" t="s">
        <v>1749</v>
      </c>
      <c r="C554" t="s">
        <v>1728</v>
      </c>
      <c r="D554" t="s">
        <v>1733</v>
      </c>
      <c r="K554"/>
      <c r="L554"/>
      <c r="M554"/>
    </row>
    <row r="555" spans="1:13">
      <c r="A555" s="2" t="s">
        <v>844</v>
      </c>
      <c r="B555" t="s">
        <v>1749</v>
      </c>
      <c r="C555" t="s">
        <v>1728</v>
      </c>
      <c r="D555" t="s">
        <v>1743</v>
      </c>
      <c r="K555"/>
      <c r="L555"/>
      <c r="M555"/>
    </row>
    <row r="556" spans="1:13">
      <c r="A556" s="2" t="s">
        <v>851</v>
      </c>
      <c r="B556" t="s">
        <v>1749</v>
      </c>
      <c r="C556" t="s">
        <v>1728</v>
      </c>
      <c r="D556" t="s">
        <v>1732</v>
      </c>
      <c r="K556"/>
      <c r="L556"/>
      <c r="M556"/>
    </row>
    <row r="557" spans="1:13">
      <c r="A557" s="2" t="s">
        <v>853</v>
      </c>
      <c r="B557" t="s">
        <v>1749</v>
      </c>
      <c r="C557" t="s">
        <v>1728</v>
      </c>
      <c r="D557" t="s">
        <v>1734</v>
      </c>
      <c r="K557"/>
      <c r="L557"/>
      <c r="M557"/>
    </row>
    <row r="558" spans="1:13">
      <c r="A558" s="2" t="s">
        <v>852</v>
      </c>
      <c r="B558" t="s">
        <v>1749</v>
      </c>
      <c r="C558" t="s">
        <v>1728</v>
      </c>
      <c r="D558" t="s">
        <v>1736</v>
      </c>
      <c r="K558"/>
      <c r="L558"/>
      <c r="M558"/>
    </row>
    <row r="559" spans="1:13">
      <c r="A559" s="2" t="s">
        <v>841</v>
      </c>
      <c r="B559" t="s">
        <v>1749</v>
      </c>
      <c r="C559" t="s">
        <v>1728</v>
      </c>
      <c r="D559" t="s">
        <v>1739</v>
      </c>
      <c r="K559"/>
      <c r="L559"/>
      <c r="M559"/>
    </row>
    <row r="560" spans="1:13">
      <c r="A560" s="2" t="s">
        <v>846</v>
      </c>
      <c r="B560" t="s">
        <v>1749</v>
      </c>
      <c r="C560" t="s">
        <v>1728</v>
      </c>
      <c r="D560" t="s">
        <v>1744</v>
      </c>
      <c r="K560"/>
      <c r="L560"/>
      <c r="M560"/>
    </row>
    <row r="561" spans="1:13">
      <c r="A561" s="2" t="s">
        <v>842</v>
      </c>
      <c r="B561" t="s">
        <v>1749</v>
      </c>
      <c r="C561" t="s">
        <v>1728</v>
      </c>
      <c r="D561" t="s">
        <v>1745</v>
      </c>
      <c r="K561"/>
      <c r="L561"/>
      <c r="M561"/>
    </row>
    <row r="562" spans="1:13">
      <c r="A562" s="2" t="s">
        <v>849</v>
      </c>
      <c r="B562" t="s">
        <v>1749</v>
      </c>
      <c r="C562" t="s">
        <v>1728</v>
      </c>
      <c r="D562" t="s">
        <v>1738</v>
      </c>
      <c r="K562"/>
      <c r="L562"/>
      <c r="M562"/>
    </row>
    <row r="563" spans="1:13">
      <c r="A563" s="2" t="s">
        <v>850</v>
      </c>
      <c r="B563" t="s">
        <v>1749</v>
      </c>
      <c r="C563" t="s">
        <v>1728</v>
      </c>
      <c r="D563" t="s">
        <v>1738</v>
      </c>
      <c r="K563"/>
      <c r="L563"/>
      <c r="M563"/>
    </row>
    <row r="564" spans="1:13">
      <c r="A564" s="2" t="s">
        <v>847</v>
      </c>
      <c r="B564" t="s">
        <v>1749</v>
      </c>
      <c r="C564" t="s">
        <v>1728</v>
      </c>
      <c r="D564" t="s">
        <v>1732</v>
      </c>
      <c r="K564"/>
      <c r="L564"/>
      <c r="M564"/>
    </row>
    <row r="565" spans="1:13">
      <c r="A565" s="2" t="s">
        <v>848</v>
      </c>
      <c r="B565" t="s">
        <v>1749</v>
      </c>
      <c r="C565" t="s">
        <v>1728</v>
      </c>
      <c r="D565" t="s">
        <v>1732</v>
      </c>
      <c r="K565"/>
      <c r="L565"/>
      <c r="M565"/>
    </row>
    <row r="566" spans="1:13">
      <c r="A566" s="2" t="s">
        <v>845</v>
      </c>
      <c r="B566" t="s">
        <v>1749</v>
      </c>
      <c r="C566" t="s">
        <v>1728</v>
      </c>
      <c r="D566" t="s">
        <v>1740</v>
      </c>
      <c r="K566"/>
      <c r="L566"/>
      <c r="M566"/>
    </row>
    <row r="567" spans="1:13">
      <c r="A567" s="2" t="s">
        <v>856</v>
      </c>
      <c r="B567" t="s">
        <v>1749</v>
      </c>
      <c r="C567" t="s">
        <v>1728</v>
      </c>
      <c r="D567" t="s">
        <v>1733</v>
      </c>
      <c r="K567"/>
      <c r="L567"/>
      <c r="M567"/>
    </row>
    <row r="568" spans="1:13">
      <c r="A568" s="2" t="s">
        <v>857</v>
      </c>
      <c r="B568" t="s">
        <v>1749</v>
      </c>
      <c r="C568" t="s">
        <v>1728</v>
      </c>
      <c r="D568" t="s">
        <v>1735</v>
      </c>
      <c r="K568"/>
      <c r="L568"/>
      <c r="M568"/>
    </row>
    <row r="569" spans="1:13">
      <c r="A569" s="2" t="s">
        <v>864</v>
      </c>
      <c r="B569" t="s">
        <v>1749</v>
      </c>
      <c r="C569" t="s">
        <v>1728</v>
      </c>
      <c r="D569" t="s">
        <v>1732</v>
      </c>
      <c r="K569"/>
      <c r="L569"/>
      <c r="M569"/>
    </row>
    <row r="570" spans="1:13">
      <c r="A570" s="2" t="s">
        <v>866</v>
      </c>
      <c r="B570" t="s">
        <v>1749</v>
      </c>
      <c r="C570" t="s">
        <v>1728</v>
      </c>
      <c r="D570" t="s">
        <v>1734</v>
      </c>
      <c r="K570"/>
      <c r="L570"/>
      <c r="M570"/>
    </row>
    <row r="571" spans="1:13">
      <c r="A571" s="2" t="s">
        <v>865</v>
      </c>
      <c r="B571" t="s">
        <v>1749</v>
      </c>
      <c r="C571" t="s">
        <v>1728</v>
      </c>
      <c r="D571" t="s">
        <v>1736</v>
      </c>
      <c r="K571"/>
      <c r="L571"/>
      <c r="M571"/>
    </row>
    <row r="572" spans="1:13">
      <c r="A572" s="2" t="s">
        <v>867</v>
      </c>
      <c r="B572" t="s">
        <v>1749</v>
      </c>
      <c r="C572" t="s">
        <v>1728</v>
      </c>
      <c r="D572" t="s">
        <v>1737</v>
      </c>
      <c r="K572"/>
      <c r="L572"/>
      <c r="M572"/>
    </row>
    <row r="573" spans="1:13">
      <c r="A573" s="2" t="s">
        <v>854</v>
      </c>
      <c r="B573" t="s">
        <v>1749</v>
      </c>
      <c r="C573" t="s">
        <v>1728</v>
      </c>
      <c r="D573" t="s">
        <v>1739</v>
      </c>
      <c r="K573"/>
      <c r="L573"/>
      <c r="M573"/>
    </row>
    <row r="574" spans="1:13">
      <c r="A574" s="2" t="s">
        <v>859</v>
      </c>
      <c r="B574" t="s">
        <v>1749</v>
      </c>
      <c r="C574" t="s">
        <v>1728</v>
      </c>
      <c r="D574" t="s">
        <v>1744</v>
      </c>
      <c r="K574"/>
      <c r="L574"/>
      <c r="M574"/>
    </row>
    <row r="575" spans="1:13">
      <c r="A575" s="2" t="s">
        <v>855</v>
      </c>
      <c r="B575" t="s">
        <v>1749</v>
      </c>
      <c r="C575" t="s">
        <v>1728</v>
      </c>
      <c r="D575" t="s">
        <v>1745</v>
      </c>
      <c r="K575"/>
      <c r="L575"/>
      <c r="M575"/>
    </row>
    <row r="576" spans="1:13">
      <c r="A576" s="2" t="s">
        <v>862</v>
      </c>
      <c r="B576" t="s">
        <v>1749</v>
      </c>
      <c r="C576" t="s">
        <v>1728</v>
      </c>
      <c r="D576" t="s">
        <v>1738</v>
      </c>
      <c r="K576"/>
      <c r="L576"/>
      <c r="M576"/>
    </row>
    <row r="577" spans="1:13">
      <c r="A577" s="2" t="s">
        <v>863</v>
      </c>
      <c r="B577" t="s">
        <v>1749</v>
      </c>
      <c r="C577" t="s">
        <v>1728</v>
      </c>
      <c r="D577" t="s">
        <v>1738</v>
      </c>
      <c r="K577"/>
      <c r="L577"/>
      <c r="M577"/>
    </row>
    <row r="578" spans="1:13">
      <c r="A578" s="2" t="s">
        <v>860</v>
      </c>
      <c r="B578" t="s">
        <v>1749</v>
      </c>
      <c r="C578" t="s">
        <v>1728</v>
      </c>
      <c r="D578" t="s">
        <v>1732</v>
      </c>
      <c r="K578"/>
      <c r="L578"/>
      <c r="M578"/>
    </row>
    <row r="579" spans="1:13">
      <c r="A579" s="2" t="s">
        <v>861</v>
      </c>
      <c r="B579" t="s">
        <v>1749</v>
      </c>
      <c r="C579" t="s">
        <v>1728</v>
      </c>
      <c r="D579" t="s">
        <v>1732</v>
      </c>
      <c r="K579"/>
      <c r="L579"/>
      <c r="M579"/>
    </row>
    <row r="580" spans="1:13">
      <c r="A580" s="2" t="s">
        <v>868</v>
      </c>
      <c r="B580" t="s">
        <v>1749</v>
      </c>
      <c r="C580" t="s">
        <v>1727</v>
      </c>
      <c r="D580" t="s">
        <v>1731</v>
      </c>
      <c r="K580"/>
      <c r="L580"/>
      <c r="M580"/>
    </row>
    <row r="581" spans="1:13">
      <c r="A581" s="2" t="s">
        <v>858</v>
      </c>
      <c r="B581" t="s">
        <v>1749</v>
      </c>
      <c r="C581" t="s">
        <v>1728</v>
      </c>
      <c r="D581" t="s">
        <v>1740</v>
      </c>
      <c r="K581"/>
      <c r="L581"/>
      <c r="M581"/>
    </row>
    <row r="582" spans="1:13">
      <c r="A582" s="2" t="s">
        <v>871</v>
      </c>
      <c r="B582" t="s">
        <v>1749</v>
      </c>
      <c r="C582" t="s">
        <v>1728</v>
      </c>
      <c r="D582" t="s">
        <v>1733</v>
      </c>
      <c r="K582"/>
      <c r="L582"/>
      <c r="M582"/>
    </row>
    <row r="583" spans="1:13">
      <c r="A583" s="2" t="s">
        <v>872</v>
      </c>
      <c r="B583" t="s">
        <v>1749</v>
      </c>
      <c r="C583" t="s">
        <v>1728</v>
      </c>
      <c r="D583" t="s">
        <v>1735</v>
      </c>
      <c r="K583"/>
      <c r="L583"/>
      <c r="M583"/>
    </row>
    <row r="584" spans="1:13">
      <c r="A584" s="2" t="s">
        <v>879</v>
      </c>
      <c r="B584" t="s">
        <v>1749</v>
      </c>
      <c r="C584" t="s">
        <v>1728</v>
      </c>
      <c r="D584" t="s">
        <v>1732</v>
      </c>
      <c r="K584"/>
      <c r="L584"/>
      <c r="M584"/>
    </row>
    <row r="585" spans="1:13">
      <c r="A585" s="2" t="s">
        <v>881</v>
      </c>
      <c r="B585" t="s">
        <v>1749</v>
      </c>
      <c r="C585" t="s">
        <v>1728</v>
      </c>
      <c r="D585" t="s">
        <v>1734</v>
      </c>
      <c r="K585"/>
      <c r="L585"/>
      <c r="M585"/>
    </row>
    <row r="586" spans="1:13">
      <c r="A586" s="2" t="s">
        <v>880</v>
      </c>
      <c r="B586" t="s">
        <v>1749</v>
      </c>
      <c r="C586" t="s">
        <v>1728</v>
      </c>
      <c r="D586" t="s">
        <v>1736</v>
      </c>
      <c r="K586"/>
      <c r="L586"/>
      <c r="M586"/>
    </row>
    <row r="587" spans="1:13">
      <c r="A587" s="2" t="s">
        <v>882</v>
      </c>
      <c r="B587" t="s">
        <v>1749</v>
      </c>
      <c r="C587" t="s">
        <v>1728</v>
      </c>
      <c r="D587" t="s">
        <v>1737</v>
      </c>
      <c r="K587"/>
      <c r="L587"/>
      <c r="M587"/>
    </row>
    <row r="588" spans="1:13">
      <c r="A588" s="2" t="s">
        <v>869</v>
      </c>
      <c r="B588" t="s">
        <v>1749</v>
      </c>
      <c r="C588" t="s">
        <v>1728</v>
      </c>
      <c r="D588" t="s">
        <v>1739</v>
      </c>
      <c r="K588"/>
      <c r="L588"/>
      <c r="M588"/>
    </row>
    <row r="589" spans="1:13">
      <c r="A589" s="2" t="s">
        <v>874</v>
      </c>
      <c r="B589" t="s">
        <v>1749</v>
      </c>
      <c r="C589" t="s">
        <v>1728</v>
      </c>
      <c r="D589" t="s">
        <v>1744</v>
      </c>
      <c r="K589"/>
      <c r="L589"/>
      <c r="M589"/>
    </row>
    <row r="590" spans="1:13">
      <c r="A590" s="2" t="s">
        <v>870</v>
      </c>
      <c r="B590" t="s">
        <v>1749</v>
      </c>
      <c r="C590" t="s">
        <v>1728</v>
      </c>
      <c r="D590" t="s">
        <v>1745</v>
      </c>
      <c r="K590"/>
      <c r="L590"/>
      <c r="M590"/>
    </row>
    <row r="591" spans="1:13">
      <c r="A591" s="2" t="s">
        <v>877</v>
      </c>
      <c r="B591" t="s">
        <v>1749</v>
      </c>
      <c r="C591" t="s">
        <v>1728</v>
      </c>
      <c r="D591" t="s">
        <v>1738</v>
      </c>
      <c r="K591"/>
      <c r="L591"/>
      <c r="M591"/>
    </row>
    <row r="592" spans="1:13">
      <c r="A592" s="2" t="s">
        <v>878</v>
      </c>
      <c r="B592" t="s">
        <v>1749</v>
      </c>
      <c r="C592" t="s">
        <v>1728</v>
      </c>
      <c r="D592" t="s">
        <v>1738</v>
      </c>
      <c r="K592"/>
      <c r="L592"/>
      <c r="M592"/>
    </row>
    <row r="593" spans="1:13">
      <c r="A593" s="2" t="s">
        <v>875</v>
      </c>
      <c r="B593" t="s">
        <v>1749</v>
      </c>
      <c r="C593" t="s">
        <v>1728</v>
      </c>
      <c r="D593" t="s">
        <v>1732</v>
      </c>
      <c r="K593"/>
      <c r="L593"/>
      <c r="M593"/>
    </row>
    <row r="594" spans="1:13">
      <c r="A594" s="2" t="s">
        <v>876</v>
      </c>
      <c r="B594" t="s">
        <v>1749</v>
      </c>
      <c r="C594" t="s">
        <v>1728</v>
      </c>
      <c r="D594" t="s">
        <v>1732</v>
      </c>
      <c r="K594"/>
      <c r="L594"/>
      <c r="M594"/>
    </row>
    <row r="595" spans="1:13">
      <c r="A595" s="2" t="s">
        <v>883</v>
      </c>
      <c r="B595" t="s">
        <v>1749</v>
      </c>
      <c r="C595" t="s">
        <v>1727</v>
      </c>
      <c r="D595" t="s">
        <v>1731</v>
      </c>
      <c r="K595"/>
      <c r="L595"/>
      <c r="M595"/>
    </row>
    <row r="596" spans="1:13">
      <c r="A596" s="2" t="s">
        <v>873</v>
      </c>
      <c r="B596" t="s">
        <v>1749</v>
      </c>
      <c r="C596" t="s">
        <v>1728</v>
      </c>
      <c r="D596" t="s">
        <v>1740</v>
      </c>
      <c r="K596"/>
      <c r="L596"/>
      <c r="M596"/>
    </row>
    <row r="597" spans="1:13">
      <c r="A597" s="2" t="s">
        <v>898</v>
      </c>
      <c r="B597" t="s">
        <v>1749</v>
      </c>
      <c r="C597" t="s">
        <v>1728</v>
      </c>
      <c r="D597" t="s">
        <v>1752</v>
      </c>
      <c r="K597"/>
      <c r="L597"/>
      <c r="M597"/>
    </row>
    <row r="598" spans="1:13">
      <c r="A598" s="2" t="s">
        <v>899</v>
      </c>
      <c r="B598" t="s">
        <v>1749</v>
      </c>
      <c r="C598" t="s">
        <v>1728</v>
      </c>
      <c r="D598" t="s">
        <v>1752</v>
      </c>
      <c r="K598"/>
      <c r="L598"/>
      <c r="M598"/>
    </row>
    <row r="599" spans="1:13">
      <c r="A599" s="2" t="s">
        <v>612</v>
      </c>
      <c r="B599" t="s">
        <v>1749</v>
      </c>
      <c r="C599" t="s">
        <v>1722</v>
      </c>
      <c r="D599" t="s">
        <v>1732</v>
      </c>
      <c r="K599"/>
      <c r="L599"/>
      <c r="M599"/>
    </row>
    <row r="600" spans="1:13">
      <c r="A600" s="2" t="s">
        <v>62</v>
      </c>
      <c r="B600" t="s">
        <v>1749</v>
      </c>
      <c r="C600" t="s">
        <v>1722</v>
      </c>
      <c r="D600" t="s">
        <v>1732</v>
      </c>
      <c r="K600"/>
      <c r="L600"/>
      <c r="M600"/>
    </row>
    <row r="601" spans="1:13">
      <c r="A601" s="2" t="s">
        <v>33</v>
      </c>
      <c r="B601" t="s">
        <v>1749</v>
      </c>
      <c r="C601" t="s">
        <v>1722</v>
      </c>
      <c r="D601" t="s">
        <v>1732</v>
      </c>
      <c r="K601"/>
      <c r="L601"/>
      <c r="M601"/>
    </row>
    <row r="602" spans="1:13">
      <c r="A602" s="2" t="s">
        <v>55</v>
      </c>
      <c r="B602" t="s">
        <v>1749</v>
      </c>
      <c r="C602" t="s">
        <v>1722</v>
      </c>
      <c r="D602" t="s">
        <v>1732</v>
      </c>
      <c r="K602"/>
      <c r="L602"/>
      <c r="M602"/>
    </row>
    <row r="603" spans="1:13">
      <c r="A603" s="2" t="s">
        <v>50</v>
      </c>
      <c r="B603" t="s">
        <v>1749</v>
      </c>
      <c r="C603" t="s">
        <v>1722</v>
      </c>
      <c r="D603" t="s">
        <v>1732</v>
      </c>
      <c r="K603"/>
      <c r="L603"/>
      <c r="M603"/>
    </row>
    <row r="604" spans="1:13">
      <c r="A604" s="2" t="s">
        <v>37</v>
      </c>
      <c r="B604" t="s">
        <v>1749</v>
      </c>
      <c r="C604" t="s">
        <v>1722</v>
      </c>
      <c r="D604" t="s">
        <v>1732</v>
      </c>
      <c r="K604"/>
      <c r="L604"/>
      <c r="M604"/>
    </row>
    <row r="605" spans="1:13">
      <c r="A605" s="2" t="s">
        <v>45</v>
      </c>
      <c r="B605" t="s">
        <v>1749</v>
      </c>
      <c r="C605" t="s">
        <v>1722</v>
      </c>
      <c r="D605" t="s">
        <v>1732</v>
      </c>
      <c r="K605"/>
      <c r="L605"/>
      <c r="M605"/>
    </row>
    <row r="606" spans="1:13">
      <c r="A606" s="2" t="s">
        <v>64</v>
      </c>
      <c r="B606" t="s">
        <v>1749</v>
      </c>
      <c r="C606" t="s">
        <v>1722</v>
      </c>
      <c r="D606" t="s">
        <v>1732</v>
      </c>
      <c r="K606"/>
      <c r="L606"/>
      <c r="M606"/>
    </row>
    <row r="607" spans="1:13">
      <c r="A607" s="2" t="s">
        <v>65</v>
      </c>
      <c r="B607" t="s">
        <v>1749</v>
      </c>
      <c r="C607" t="s">
        <v>1722</v>
      </c>
      <c r="D607" t="s">
        <v>1732</v>
      </c>
      <c r="K607"/>
      <c r="L607"/>
      <c r="M607"/>
    </row>
    <row r="608" spans="1:13">
      <c r="A608" s="2" t="s">
        <v>611</v>
      </c>
      <c r="B608" t="s">
        <v>1749</v>
      </c>
      <c r="C608" t="s">
        <v>1722</v>
      </c>
      <c r="D608" t="s">
        <v>1732</v>
      </c>
      <c r="K608"/>
      <c r="L608"/>
      <c r="M608"/>
    </row>
    <row r="609" spans="1:13">
      <c r="A609" s="2" t="s">
        <v>47</v>
      </c>
      <c r="B609" t="s">
        <v>1749</v>
      </c>
      <c r="C609" t="s">
        <v>1722</v>
      </c>
      <c r="D609" t="s">
        <v>1732</v>
      </c>
      <c r="K609"/>
      <c r="L609"/>
      <c r="M609"/>
    </row>
    <row r="610" spans="1:13">
      <c r="A610" s="2" t="s">
        <v>70</v>
      </c>
      <c r="B610" t="s">
        <v>1749</v>
      </c>
      <c r="C610" t="s">
        <v>1722</v>
      </c>
      <c r="D610" t="s">
        <v>1732</v>
      </c>
      <c r="K610"/>
      <c r="L610"/>
      <c r="M610"/>
    </row>
    <row r="611" spans="1:13">
      <c r="A611" s="2" t="s">
        <v>56</v>
      </c>
      <c r="B611" t="s">
        <v>1749</v>
      </c>
      <c r="C611" t="s">
        <v>1722</v>
      </c>
      <c r="D611" t="s">
        <v>1732</v>
      </c>
      <c r="K611"/>
      <c r="L611"/>
      <c r="M611"/>
    </row>
    <row r="612" spans="1:13">
      <c r="A612" s="2" t="s">
        <v>60</v>
      </c>
      <c r="B612" t="s">
        <v>1749</v>
      </c>
      <c r="C612" t="s">
        <v>1722</v>
      </c>
      <c r="D612" t="s">
        <v>1732</v>
      </c>
      <c r="K612"/>
      <c r="L612"/>
      <c r="M612"/>
    </row>
    <row r="613" spans="1:13">
      <c r="A613" s="2" t="s">
        <v>58</v>
      </c>
      <c r="B613" t="s">
        <v>1749</v>
      </c>
      <c r="C613" t="s">
        <v>1722</v>
      </c>
      <c r="D613" t="s">
        <v>1732</v>
      </c>
      <c r="K613"/>
      <c r="L613"/>
      <c r="M613"/>
    </row>
    <row r="614" spans="1:13">
      <c r="A614" s="2" t="s">
        <v>613</v>
      </c>
      <c r="B614" t="s">
        <v>1749</v>
      </c>
      <c r="C614" t="s">
        <v>1722</v>
      </c>
      <c r="D614" t="s">
        <v>1732</v>
      </c>
      <c r="K614"/>
      <c r="L614"/>
      <c r="M614"/>
    </row>
    <row r="615" spans="1:13">
      <c r="A615" s="2" t="s">
        <v>69</v>
      </c>
      <c r="B615" t="s">
        <v>1749</v>
      </c>
      <c r="C615" t="s">
        <v>1722</v>
      </c>
      <c r="D615" t="s">
        <v>1732</v>
      </c>
      <c r="K615"/>
      <c r="L615"/>
      <c r="M615"/>
    </row>
    <row r="616" spans="1:13">
      <c r="A616" s="2" t="s">
        <v>665</v>
      </c>
      <c r="B616" t="s">
        <v>1749</v>
      </c>
      <c r="C616" t="s">
        <v>1722</v>
      </c>
      <c r="D616" t="s">
        <v>1732</v>
      </c>
      <c r="K616"/>
      <c r="L616"/>
      <c r="M616"/>
    </row>
    <row r="617" spans="1:13">
      <c r="A617" s="2" t="s">
        <v>54</v>
      </c>
      <c r="B617" t="s">
        <v>1749</v>
      </c>
      <c r="C617" t="s">
        <v>1722</v>
      </c>
      <c r="D617" t="s">
        <v>1732</v>
      </c>
      <c r="K617"/>
      <c r="L617"/>
      <c r="M617"/>
    </row>
    <row r="618" spans="1:13">
      <c r="A618" s="2" t="s">
        <v>48</v>
      </c>
      <c r="B618" t="s">
        <v>1749</v>
      </c>
      <c r="C618" t="s">
        <v>1722</v>
      </c>
      <c r="D618" t="s">
        <v>1732</v>
      </c>
      <c r="K618"/>
      <c r="L618"/>
      <c r="M618"/>
    </row>
    <row r="619" spans="1:13">
      <c r="A619" s="2" t="s">
        <v>35</v>
      </c>
      <c r="B619" t="s">
        <v>1749</v>
      </c>
      <c r="C619" t="s">
        <v>1722</v>
      </c>
      <c r="D619" t="s">
        <v>1732</v>
      </c>
      <c r="K619"/>
      <c r="L619"/>
      <c r="M619"/>
    </row>
    <row r="620" spans="1:13">
      <c r="A620" s="2" t="s">
        <v>41</v>
      </c>
      <c r="B620" t="s">
        <v>1749</v>
      </c>
      <c r="C620" t="s">
        <v>1722</v>
      </c>
      <c r="D620" t="s">
        <v>1732</v>
      </c>
      <c r="K620"/>
      <c r="L620"/>
      <c r="M620"/>
    </row>
    <row r="621" spans="1:13">
      <c r="A621" s="2" t="s">
        <v>42</v>
      </c>
      <c r="B621" t="s">
        <v>1749</v>
      </c>
      <c r="C621" t="s">
        <v>1722</v>
      </c>
      <c r="D621" t="s">
        <v>1732</v>
      </c>
      <c r="K621"/>
      <c r="L621"/>
      <c r="M621"/>
    </row>
    <row r="622" spans="1:13">
      <c r="A622" s="2" t="s">
        <v>52</v>
      </c>
      <c r="B622" t="s">
        <v>1749</v>
      </c>
      <c r="C622" t="s">
        <v>1725</v>
      </c>
      <c r="D622" t="s">
        <v>1731</v>
      </c>
      <c r="K622"/>
      <c r="L622"/>
      <c r="M622"/>
    </row>
    <row r="623" spans="1:13">
      <c r="A623" s="2" t="s">
        <v>57</v>
      </c>
      <c r="B623" t="s">
        <v>1749</v>
      </c>
      <c r="C623" t="s">
        <v>1729</v>
      </c>
      <c r="D623" t="s">
        <v>1732</v>
      </c>
      <c r="K623"/>
      <c r="L623"/>
      <c r="M623"/>
    </row>
    <row r="624" spans="1:13">
      <c r="A624" s="2" t="s">
        <v>66</v>
      </c>
      <c r="B624" t="s">
        <v>1749</v>
      </c>
      <c r="C624" t="s">
        <v>1722</v>
      </c>
      <c r="D624" t="s">
        <v>1732</v>
      </c>
      <c r="K624"/>
      <c r="L624"/>
      <c r="M624"/>
    </row>
    <row r="625" spans="1:13">
      <c r="A625" s="2" t="s">
        <v>71</v>
      </c>
      <c r="B625" t="s">
        <v>1749</v>
      </c>
      <c r="C625" t="s">
        <v>1722</v>
      </c>
      <c r="D625" t="s">
        <v>1732</v>
      </c>
      <c r="K625"/>
      <c r="L625"/>
      <c r="M625"/>
    </row>
    <row r="626" spans="1:13">
      <c r="A626" s="2" t="s">
        <v>610</v>
      </c>
      <c r="B626" t="s">
        <v>1749</v>
      </c>
      <c r="C626" t="s">
        <v>1722</v>
      </c>
      <c r="D626" t="s">
        <v>1732</v>
      </c>
      <c r="K626"/>
      <c r="L626"/>
      <c r="M626"/>
    </row>
    <row r="627" spans="1:13">
      <c r="A627" s="2" t="s">
        <v>609</v>
      </c>
      <c r="B627" t="s">
        <v>1749</v>
      </c>
      <c r="C627" t="s">
        <v>1722</v>
      </c>
      <c r="D627" t="s">
        <v>1732</v>
      </c>
      <c r="K627"/>
      <c r="L627"/>
      <c r="M627"/>
    </row>
    <row r="628" spans="1:13">
      <c r="A628" s="2" t="s">
        <v>49</v>
      </c>
      <c r="B628" t="s">
        <v>1749</v>
      </c>
      <c r="C628" t="s">
        <v>1722</v>
      </c>
      <c r="D628" t="s">
        <v>1732</v>
      </c>
      <c r="K628"/>
      <c r="L628"/>
      <c r="M628"/>
    </row>
    <row r="629" spans="1:13">
      <c r="A629" s="2" t="s">
        <v>43</v>
      </c>
      <c r="B629" t="s">
        <v>1749</v>
      </c>
      <c r="C629" t="s">
        <v>1722</v>
      </c>
      <c r="D629" t="s">
        <v>1732</v>
      </c>
      <c r="K629"/>
      <c r="L629"/>
      <c r="M629"/>
    </row>
    <row r="630" spans="1:13">
      <c r="A630" s="2" t="s">
        <v>44</v>
      </c>
      <c r="B630" t="s">
        <v>1749</v>
      </c>
      <c r="C630" t="s">
        <v>1722</v>
      </c>
      <c r="D630" t="s">
        <v>1732</v>
      </c>
      <c r="K630"/>
      <c r="L630"/>
      <c r="M630"/>
    </row>
    <row r="631" spans="1:13">
      <c r="A631" s="2" t="s">
        <v>61</v>
      </c>
      <c r="B631" t="s">
        <v>1749</v>
      </c>
      <c r="C631" t="s">
        <v>1722</v>
      </c>
      <c r="D631" t="s">
        <v>1732</v>
      </c>
      <c r="K631"/>
      <c r="L631"/>
      <c r="M631"/>
    </row>
    <row r="632" spans="1:13">
      <c r="A632" s="2" t="s">
        <v>38</v>
      </c>
      <c r="B632" t="s">
        <v>1749</v>
      </c>
      <c r="C632" t="s">
        <v>1722</v>
      </c>
      <c r="D632" t="s">
        <v>1732</v>
      </c>
      <c r="K632"/>
      <c r="L632"/>
      <c r="M632"/>
    </row>
    <row r="633" spans="1:13">
      <c r="A633" s="2" t="s">
        <v>59</v>
      </c>
      <c r="B633" t="s">
        <v>1749</v>
      </c>
      <c r="C633" t="s">
        <v>1722</v>
      </c>
      <c r="D633" t="s">
        <v>1732</v>
      </c>
      <c r="K633"/>
      <c r="L633"/>
      <c r="M633"/>
    </row>
    <row r="634" spans="1:13">
      <c r="A634" s="2" t="s">
        <v>39</v>
      </c>
      <c r="B634" t="s">
        <v>1749</v>
      </c>
      <c r="C634" t="s">
        <v>1722</v>
      </c>
      <c r="D634" t="s">
        <v>1732</v>
      </c>
      <c r="K634"/>
      <c r="L634"/>
      <c r="M634"/>
    </row>
    <row r="635" spans="1:13">
      <c r="A635" s="2" t="s">
        <v>63</v>
      </c>
      <c r="B635" t="s">
        <v>1749</v>
      </c>
      <c r="C635" t="s">
        <v>1722</v>
      </c>
      <c r="D635" t="s">
        <v>1732</v>
      </c>
      <c r="K635"/>
      <c r="L635"/>
      <c r="M635"/>
    </row>
    <row r="636" spans="1:13">
      <c r="A636" s="2" t="s">
        <v>666</v>
      </c>
      <c r="B636" t="s">
        <v>1749</v>
      </c>
      <c r="C636" t="s">
        <v>1722</v>
      </c>
      <c r="D636" t="s">
        <v>1732</v>
      </c>
      <c r="K636"/>
      <c r="L636"/>
      <c r="M636"/>
    </row>
    <row r="637" spans="1:13">
      <c r="A637" s="2" t="s">
        <v>67</v>
      </c>
      <c r="B637" t="s">
        <v>1749</v>
      </c>
      <c r="C637" t="s">
        <v>1722</v>
      </c>
      <c r="D637" t="s">
        <v>1732</v>
      </c>
      <c r="K637"/>
      <c r="L637"/>
      <c r="M637"/>
    </row>
    <row r="638" spans="1:13">
      <c r="A638" s="2" t="s">
        <v>53</v>
      </c>
      <c r="B638" t="s">
        <v>1749</v>
      </c>
      <c r="C638" t="s">
        <v>1722</v>
      </c>
      <c r="D638" t="s">
        <v>1732</v>
      </c>
      <c r="K638"/>
      <c r="L638"/>
      <c r="M638"/>
    </row>
    <row r="639" spans="1:13">
      <c r="A639" s="2" t="s">
        <v>46</v>
      </c>
      <c r="B639" t="s">
        <v>1749</v>
      </c>
      <c r="C639" t="s">
        <v>1722</v>
      </c>
      <c r="D639" t="s">
        <v>1732</v>
      </c>
      <c r="K639"/>
      <c r="L639"/>
      <c r="M639"/>
    </row>
    <row r="640" spans="1:13">
      <c r="A640" s="2" t="s">
        <v>36</v>
      </c>
      <c r="B640" t="s">
        <v>1749</v>
      </c>
      <c r="C640" t="s">
        <v>1722</v>
      </c>
      <c r="D640" t="s">
        <v>1732</v>
      </c>
      <c r="K640"/>
      <c r="L640"/>
      <c r="M640"/>
    </row>
    <row r="641" spans="1:13">
      <c r="A641" s="2" t="s">
        <v>40</v>
      </c>
      <c r="B641" t="s">
        <v>1749</v>
      </c>
      <c r="C641" t="s">
        <v>1722</v>
      </c>
      <c r="D641" t="s">
        <v>1732</v>
      </c>
      <c r="K641"/>
      <c r="L641"/>
      <c r="M641"/>
    </row>
    <row r="642" spans="1:13">
      <c r="A642" s="2" t="s">
        <v>68</v>
      </c>
      <c r="B642" t="s">
        <v>1749</v>
      </c>
      <c r="C642" t="s">
        <v>1722</v>
      </c>
      <c r="D642" t="s">
        <v>1732</v>
      </c>
      <c r="K642"/>
      <c r="L642"/>
      <c r="M642"/>
    </row>
    <row r="643" spans="1:13">
      <c r="A643" s="2" t="s">
        <v>51</v>
      </c>
      <c r="B643" t="s">
        <v>1749</v>
      </c>
      <c r="C643" t="s">
        <v>1722</v>
      </c>
      <c r="D643" t="s">
        <v>1732</v>
      </c>
      <c r="K643"/>
      <c r="L643"/>
      <c r="M643"/>
    </row>
    <row r="644" spans="1:13">
      <c r="A644" s="2" t="s">
        <v>84</v>
      </c>
      <c r="B644" t="s">
        <v>1749</v>
      </c>
      <c r="C644" t="s">
        <v>1722</v>
      </c>
      <c r="D644" t="s">
        <v>1732</v>
      </c>
      <c r="K644"/>
      <c r="L644"/>
      <c r="M644"/>
    </row>
    <row r="645" spans="1:13">
      <c r="A645" s="2" t="s">
        <v>83</v>
      </c>
      <c r="B645" t="s">
        <v>1749</v>
      </c>
      <c r="C645" t="s">
        <v>1722</v>
      </c>
      <c r="D645" t="s">
        <v>1732</v>
      </c>
      <c r="K645"/>
      <c r="L645"/>
      <c r="M645"/>
    </row>
    <row r="646" spans="1:13">
      <c r="A646" s="2" t="s">
        <v>72</v>
      </c>
      <c r="B646" t="s">
        <v>1749</v>
      </c>
      <c r="C646" t="s">
        <v>1722</v>
      </c>
      <c r="D646" t="s">
        <v>1732</v>
      </c>
      <c r="K646"/>
      <c r="L646"/>
      <c r="M646"/>
    </row>
    <row r="647" spans="1:13">
      <c r="A647" s="2" t="s">
        <v>74</v>
      </c>
      <c r="B647" t="s">
        <v>1749</v>
      </c>
      <c r="C647" t="s">
        <v>1722</v>
      </c>
      <c r="D647" t="s">
        <v>1732</v>
      </c>
      <c r="K647"/>
      <c r="L647"/>
      <c r="M647"/>
    </row>
    <row r="648" spans="1:13">
      <c r="A648" s="2" t="s">
        <v>75</v>
      </c>
      <c r="B648" t="s">
        <v>1749</v>
      </c>
      <c r="C648" t="s">
        <v>1722</v>
      </c>
      <c r="D648" t="s">
        <v>1732</v>
      </c>
      <c r="K648"/>
      <c r="L648"/>
      <c r="M648"/>
    </row>
    <row r="649" spans="1:13">
      <c r="A649" s="2" t="s">
        <v>76</v>
      </c>
      <c r="B649" t="s">
        <v>1749</v>
      </c>
      <c r="C649" t="s">
        <v>1722</v>
      </c>
      <c r="D649" t="s">
        <v>1732</v>
      </c>
      <c r="K649"/>
      <c r="L649"/>
      <c r="M649"/>
    </row>
    <row r="650" spans="1:13">
      <c r="A650" s="2" t="s">
        <v>85</v>
      </c>
      <c r="B650" t="s">
        <v>1749</v>
      </c>
      <c r="C650" t="s">
        <v>1722</v>
      </c>
      <c r="D650" t="s">
        <v>1732</v>
      </c>
      <c r="K650"/>
      <c r="L650"/>
      <c r="M650"/>
    </row>
    <row r="651" spans="1:13">
      <c r="A651" s="2" t="s">
        <v>79</v>
      </c>
      <c r="B651" t="s">
        <v>1749</v>
      </c>
      <c r="C651" t="s">
        <v>1722</v>
      </c>
      <c r="D651" t="s">
        <v>1732</v>
      </c>
      <c r="K651"/>
      <c r="L651"/>
      <c r="M651"/>
    </row>
    <row r="652" spans="1:13">
      <c r="A652" s="2" t="s">
        <v>78</v>
      </c>
      <c r="B652" t="s">
        <v>1749</v>
      </c>
      <c r="C652" t="s">
        <v>1722</v>
      </c>
      <c r="D652" t="s">
        <v>1732</v>
      </c>
      <c r="K652"/>
      <c r="L652"/>
      <c r="M652"/>
    </row>
    <row r="653" spans="1:13">
      <c r="A653" s="2" t="s">
        <v>80</v>
      </c>
      <c r="B653" t="s">
        <v>1749</v>
      </c>
      <c r="C653" t="s">
        <v>1722</v>
      </c>
      <c r="D653" t="s">
        <v>1732</v>
      </c>
      <c r="K653"/>
      <c r="L653"/>
      <c r="M653"/>
    </row>
    <row r="654" spans="1:13">
      <c r="A654" s="2" t="s">
        <v>618</v>
      </c>
      <c r="B654" t="s">
        <v>1749</v>
      </c>
      <c r="C654" t="s">
        <v>1722</v>
      </c>
      <c r="D654" t="s">
        <v>1732</v>
      </c>
      <c r="K654"/>
      <c r="L654"/>
      <c r="M654"/>
    </row>
    <row r="655" spans="1:13">
      <c r="A655" s="2" t="s">
        <v>81</v>
      </c>
      <c r="B655" t="s">
        <v>1749</v>
      </c>
      <c r="C655" t="s">
        <v>1722</v>
      </c>
      <c r="D655" t="s">
        <v>1732</v>
      </c>
      <c r="K655"/>
      <c r="L655"/>
      <c r="M655"/>
    </row>
    <row r="656" spans="1:13">
      <c r="A656" s="2" t="s">
        <v>82</v>
      </c>
      <c r="B656" t="s">
        <v>1749</v>
      </c>
      <c r="C656" t="s">
        <v>1722</v>
      </c>
      <c r="D656" t="s">
        <v>1732</v>
      </c>
      <c r="K656"/>
      <c r="L656"/>
      <c r="M656"/>
    </row>
    <row r="657" spans="1:13">
      <c r="A657" s="2" t="s">
        <v>77</v>
      </c>
      <c r="B657" t="s">
        <v>1749</v>
      </c>
      <c r="C657" t="s">
        <v>1722</v>
      </c>
      <c r="D657" t="s">
        <v>1732</v>
      </c>
      <c r="K657"/>
      <c r="L657"/>
      <c r="M657"/>
    </row>
    <row r="658" spans="1:13">
      <c r="A658" s="2" t="s">
        <v>617</v>
      </c>
      <c r="B658" t="s">
        <v>1749</v>
      </c>
      <c r="C658" t="s">
        <v>1722</v>
      </c>
      <c r="D658" t="s">
        <v>1732</v>
      </c>
      <c r="K658"/>
      <c r="L658"/>
      <c r="M658"/>
    </row>
    <row r="659" spans="1:13">
      <c r="A659" s="2" t="s">
        <v>86</v>
      </c>
      <c r="B659" t="s">
        <v>1749</v>
      </c>
      <c r="C659" t="s">
        <v>1722</v>
      </c>
      <c r="D659" t="s">
        <v>1732</v>
      </c>
      <c r="K659"/>
      <c r="L659"/>
      <c r="M659"/>
    </row>
    <row r="660" spans="1:13">
      <c r="A660" s="2" t="s">
        <v>614</v>
      </c>
      <c r="B660" t="s">
        <v>1749</v>
      </c>
      <c r="C660" t="s">
        <v>1722</v>
      </c>
      <c r="D660" t="s">
        <v>1732</v>
      </c>
      <c r="K660"/>
      <c r="L660"/>
      <c r="M660"/>
    </row>
    <row r="661" spans="1:13">
      <c r="A661" s="2" t="s">
        <v>616</v>
      </c>
      <c r="B661" t="s">
        <v>1749</v>
      </c>
      <c r="C661" t="s">
        <v>1722</v>
      </c>
      <c r="D661" t="s">
        <v>1732</v>
      </c>
      <c r="K661"/>
      <c r="L661"/>
      <c r="M661"/>
    </row>
    <row r="662" spans="1:13">
      <c r="A662" s="2" t="s">
        <v>615</v>
      </c>
      <c r="B662" t="s">
        <v>1749</v>
      </c>
      <c r="C662" t="s">
        <v>1722</v>
      </c>
      <c r="D662" t="s">
        <v>1732</v>
      </c>
      <c r="K662"/>
      <c r="L662"/>
      <c r="M662"/>
    </row>
    <row r="663" spans="1:13">
      <c r="A663" s="2" t="s">
        <v>87</v>
      </c>
      <c r="B663" t="s">
        <v>1749</v>
      </c>
      <c r="C663" t="s">
        <v>1722</v>
      </c>
      <c r="D663" t="s">
        <v>1732</v>
      </c>
      <c r="K663"/>
      <c r="L663"/>
      <c r="M663"/>
    </row>
    <row r="664" spans="1:13">
      <c r="A664" s="2" t="s">
        <v>88</v>
      </c>
      <c r="B664" t="s">
        <v>1749</v>
      </c>
      <c r="C664" t="s">
        <v>1722</v>
      </c>
      <c r="D664" t="s">
        <v>1732</v>
      </c>
      <c r="K664"/>
      <c r="L664"/>
      <c r="M664"/>
    </row>
    <row r="665" spans="1:13">
      <c r="A665" s="2" t="s">
        <v>594</v>
      </c>
      <c r="B665" t="s">
        <v>1749</v>
      </c>
      <c r="C665" t="s">
        <v>1725</v>
      </c>
      <c r="D665" t="s">
        <v>1732</v>
      </c>
      <c r="K665"/>
      <c r="L665"/>
      <c r="M665"/>
    </row>
    <row r="666" spans="1:13">
      <c r="A666" s="2" t="s">
        <v>29</v>
      </c>
      <c r="B666" t="s">
        <v>1749</v>
      </c>
      <c r="C666" t="s">
        <v>1729</v>
      </c>
      <c r="D666" t="s">
        <v>1732</v>
      </c>
      <c r="K666"/>
      <c r="L666"/>
      <c r="M666"/>
    </row>
    <row r="667" spans="1:13">
      <c r="A667" s="2" t="s">
        <v>25</v>
      </c>
      <c r="B667" t="s">
        <v>1749</v>
      </c>
      <c r="C667" t="s">
        <v>1729</v>
      </c>
      <c r="D667" t="s">
        <v>1732</v>
      </c>
      <c r="K667"/>
      <c r="L667"/>
      <c r="M667"/>
    </row>
    <row r="668" spans="1:13">
      <c r="A668" s="2" t="s">
        <v>30</v>
      </c>
      <c r="B668" t="s">
        <v>1749</v>
      </c>
      <c r="C668" t="s">
        <v>1729</v>
      </c>
      <c r="D668" t="s">
        <v>1732</v>
      </c>
      <c r="K668"/>
      <c r="L668"/>
      <c r="M668"/>
    </row>
    <row r="669" spans="1:13">
      <c r="A669" s="2" t="s">
        <v>21</v>
      </c>
      <c r="B669" t="s">
        <v>1749</v>
      </c>
      <c r="C669" t="s">
        <v>1722</v>
      </c>
      <c r="D669" t="s">
        <v>1732</v>
      </c>
      <c r="K669"/>
      <c r="L669"/>
      <c r="M669"/>
    </row>
    <row r="670" spans="1:13">
      <c r="A670" s="2" t="s">
        <v>27</v>
      </c>
      <c r="B670" t="s">
        <v>1749</v>
      </c>
      <c r="C670" t="s">
        <v>1722</v>
      </c>
      <c r="D670" t="s">
        <v>1732</v>
      </c>
      <c r="K670"/>
      <c r="L670"/>
      <c r="M670"/>
    </row>
    <row r="671" spans="1:13">
      <c r="A671" s="2" t="s">
        <v>24</v>
      </c>
      <c r="B671" t="s">
        <v>1749</v>
      </c>
      <c r="C671" t="s">
        <v>1729</v>
      </c>
      <c r="D671" t="s">
        <v>1732</v>
      </c>
      <c r="K671"/>
      <c r="L671"/>
      <c r="M671"/>
    </row>
    <row r="672" spans="1:13">
      <c r="A672" s="2" t="s">
        <v>28</v>
      </c>
      <c r="B672" t="s">
        <v>1749</v>
      </c>
      <c r="C672" t="s">
        <v>1724</v>
      </c>
      <c r="D672" t="s">
        <v>1732</v>
      </c>
      <c r="K672"/>
      <c r="L672"/>
      <c r="M672"/>
    </row>
    <row r="673" spans="1:13">
      <c r="A673" s="2" t="s">
        <v>26</v>
      </c>
      <c r="B673" t="s">
        <v>1749</v>
      </c>
      <c r="C673" t="s">
        <v>1729</v>
      </c>
      <c r="D673" t="s">
        <v>1732</v>
      </c>
      <c r="K673"/>
      <c r="L673"/>
      <c r="M673"/>
    </row>
    <row r="674" spans="1:13">
      <c r="A674" s="2" t="s">
        <v>593</v>
      </c>
      <c r="B674" t="s">
        <v>1749</v>
      </c>
      <c r="C674" t="s">
        <v>1722</v>
      </c>
      <c r="D674" t="s">
        <v>1735</v>
      </c>
      <c r="K674"/>
      <c r="L674"/>
      <c r="M674"/>
    </row>
    <row r="675" spans="1:13">
      <c r="A675" s="2" t="s">
        <v>591</v>
      </c>
      <c r="B675" t="s">
        <v>1749</v>
      </c>
      <c r="C675" t="s">
        <v>1722</v>
      </c>
      <c r="D675" t="s">
        <v>1735</v>
      </c>
      <c r="K675"/>
      <c r="L675"/>
      <c r="M675"/>
    </row>
    <row r="676" spans="1:13">
      <c r="A676" s="2" t="s">
        <v>590</v>
      </c>
      <c r="B676" t="s">
        <v>1749</v>
      </c>
      <c r="C676" t="s">
        <v>1722</v>
      </c>
      <c r="D676" t="s">
        <v>1735</v>
      </c>
      <c r="K676"/>
      <c r="L676"/>
      <c r="M676"/>
    </row>
    <row r="677" spans="1:13">
      <c r="A677" s="2" t="s">
        <v>592</v>
      </c>
      <c r="B677" t="s">
        <v>1749</v>
      </c>
      <c r="C677" t="s">
        <v>1722</v>
      </c>
      <c r="D677" t="s">
        <v>1734</v>
      </c>
      <c r="K677"/>
      <c r="L677"/>
      <c r="M677"/>
    </row>
    <row r="678" spans="1:13">
      <c r="A678" s="2" t="s">
        <v>178</v>
      </c>
      <c r="B678" t="s">
        <v>1749</v>
      </c>
      <c r="C678" t="s">
        <v>1729</v>
      </c>
      <c r="D678" t="s">
        <v>1734</v>
      </c>
      <c r="K678"/>
      <c r="L678"/>
      <c r="M678"/>
    </row>
    <row r="679" spans="1:13">
      <c r="A679" s="2" t="s">
        <v>141</v>
      </c>
      <c r="B679" t="s">
        <v>1749</v>
      </c>
      <c r="C679" t="s">
        <v>1729</v>
      </c>
      <c r="D679" t="s">
        <v>1731</v>
      </c>
      <c r="K679"/>
      <c r="L679"/>
      <c r="M679"/>
    </row>
    <row r="680" spans="1:13">
      <c r="A680" s="2" t="s">
        <v>160</v>
      </c>
      <c r="B680" t="s">
        <v>1749</v>
      </c>
      <c r="C680" t="s">
        <v>1729</v>
      </c>
      <c r="D680" t="s">
        <v>1731</v>
      </c>
      <c r="K680"/>
      <c r="L680"/>
      <c r="M680"/>
    </row>
    <row r="681" spans="1:13">
      <c r="A681" s="2" t="s">
        <v>190</v>
      </c>
      <c r="B681" t="s">
        <v>1749</v>
      </c>
      <c r="C681" t="s">
        <v>1729</v>
      </c>
      <c r="D681" t="s">
        <v>1733</v>
      </c>
      <c r="K681"/>
      <c r="L681"/>
      <c r="M681"/>
    </row>
    <row r="682" spans="1:13">
      <c r="A682" s="2" t="s">
        <v>103</v>
      </c>
      <c r="B682" t="s">
        <v>1749</v>
      </c>
      <c r="C682" t="s">
        <v>1729</v>
      </c>
      <c r="D682" t="s">
        <v>1731</v>
      </c>
      <c r="K682"/>
      <c r="L682"/>
      <c r="M682"/>
    </row>
    <row r="683" spans="1:13">
      <c r="A683" s="2" t="s">
        <v>158</v>
      </c>
      <c r="B683" t="s">
        <v>1749</v>
      </c>
      <c r="C683" t="s">
        <v>1723</v>
      </c>
      <c r="D683" t="s">
        <v>1733</v>
      </c>
      <c r="K683"/>
      <c r="L683"/>
      <c r="M683"/>
    </row>
    <row r="684" spans="1:13">
      <c r="A684" s="2" t="s">
        <v>191</v>
      </c>
      <c r="B684" t="s">
        <v>1749</v>
      </c>
      <c r="C684" t="s">
        <v>1729</v>
      </c>
      <c r="D684" t="s">
        <v>1731</v>
      </c>
      <c r="K684"/>
      <c r="L684"/>
      <c r="M684"/>
    </row>
    <row r="685" spans="1:13">
      <c r="A685" s="2" t="s">
        <v>156</v>
      </c>
      <c r="B685" t="s">
        <v>1749</v>
      </c>
      <c r="C685" t="s">
        <v>1729</v>
      </c>
      <c r="D685" t="s">
        <v>1731</v>
      </c>
      <c r="K685"/>
      <c r="L685"/>
      <c r="M685"/>
    </row>
    <row r="686" spans="1:13">
      <c r="A686" s="2" t="s">
        <v>131</v>
      </c>
      <c r="B686" t="s">
        <v>1749</v>
      </c>
      <c r="C686" t="s">
        <v>1729</v>
      </c>
      <c r="D686" t="s">
        <v>1731</v>
      </c>
      <c r="K686"/>
      <c r="L686"/>
      <c r="M686"/>
    </row>
    <row r="687" spans="1:13">
      <c r="A687" s="2" t="s">
        <v>127</v>
      </c>
      <c r="B687" t="s">
        <v>1749</v>
      </c>
      <c r="C687" t="s">
        <v>1729</v>
      </c>
      <c r="D687" t="s">
        <v>1731</v>
      </c>
      <c r="K687"/>
      <c r="L687"/>
      <c r="M687"/>
    </row>
    <row r="688" spans="1:13">
      <c r="A688" s="2" t="s">
        <v>157</v>
      </c>
      <c r="B688" t="s">
        <v>1749</v>
      </c>
      <c r="C688" t="s">
        <v>1729</v>
      </c>
      <c r="D688" t="s">
        <v>1731</v>
      </c>
      <c r="K688"/>
      <c r="L688"/>
      <c r="M688"/>
    </row>
    <row r="689" spans="1:13">
      <c r="A689" s="2" t="s">
        <v>152</v>
      </c>
      <c r="B689" t="s">
        <v>1749</v>
      </c>
      <c r="C689" t="s">
        <v>1729</v>
      </c>
      <c r="D689" t="s">
        <v>1731</v>
      </c>
      <c r="K689"/>
      <c r="L689"/>
      <c r="M689"/>
    </row>
    <row r="690" spans="1:13">
      <c r="A690" s="2" t="s">
        <v>99</v>
      </c>
      <c r="B690" t="s">
        <v>1749</v>
      </c>
      <c r="C690" t="s">
        <v>1729</v>
      </c>
      <c r="D690" t="s">
        <v>1733</v>
      </c>
      <c r="K690"/>
      <c r="L690"/>
      <c r="M690"/>
    </row>
    <row r="691" spans="1:13">
      <c r="A691" s="2" t="s">
        <v>186</v>
      </c>
      <c r="B691" t="s">
        <v>1749</v>
      </c>
      <c r="C691" t="s">
        <v>1729</v>
      </c>
      <c r="D691" t="s">
        <v>1731</v>
      </c>
      <c r="K691"/>
      <c r="L691"/>
      <c r="M691"/>
    </row>
    <row r="692" spans="1:13">
      <c r="A692" s="2" t="s">
        <v>95</v>
      </c>
      <c r="B692" t="s">
        <v>1749</v>
      </c>
      <c r="C692" t="s">
        <v>1729</v>
      </c>
      <c r="D692" t="s">
        <v>1733</v>
      </c>
      <c r="K692"/>
      <c r="L692"/>
      <c r="M692"/>
    </row>
    <row r="693" spans="1:13">
      <c r="A693" s="2" t="s">
        <v>89</v>
      </c>
      <c r="B693" t="s">
        <v>1749</v>
      </c>
      <c r="C693" t="s">
        <v>1729</v>
      </c>
      <c r="D693" t="s">
        <v>1733</v>
      </c>
      <c r="K693"/>
      <c r="L693"/>
      <c r="M693"/>
    </row>
    <row r="694" spans="1:13">
      <c r="A694" s="2" t="s">
        <v>192</v>
      </c>
      <c r="B694" t="s">
        <v>1749</v>
      </c>
      <c r="C694" t="s">
        <v>1729</v>
      </c>
      <c r="D694" t="s">
        <v>1731</v>
      </c>
      <c r="K694"/>
      <c r="L694"/>
      <c r="M694"/>
    </row>
    <row r="695" spans="1:13">
      <c r="A695" s="2" t="s">
        <v>144</v>
      </c>
      <c r="B695" t="s">
        <v>1749</v>
      </c>
      <c r="C695" t="s">
        <v>1729</v>
      </c>
      <c r="D695" t="s">
        <v>1731</v>
      </c>
      <c r="K695"/>
      <c r="L695"/>
      <c r="M695"/>
    </row>
    <row r="696" spans="1:13">
      <c r="A696" s="2" t="s">
        <v>132</v>
      </c>
      <c r="B696" t="s">
        <v>1749</v>
      </c>
      <c r="C696" t="s">
        <v>1729</v>
      </c>
      <c r="D696" t="s">
        <v>1731</v>
      </c>
      <c r="K696"/>
      <c r="L696"/>
      <c r="M696"/>
    </row>
    <row r="697" spans="1:13">
      <c r="A697" s="2" t="s">
        <v>147</v>
      </c>
      <c r="B697" t="s">
        <v>1749</v>
      </c>
      <c r="C697" t="s">
        <v>1729</v>
      </c>
      <c r="D697" t="s">
        <v>1731</v>
      </c>
      <c r="K697"/>
      <c r="L697"/>
      <c r="M697"/>
    </row>
    <row r="698" spans="1:13">
      <c r="A698" s="2" t="s">
        <v>114</v>
      </c>
      <c r="B698" t="s">
        <v>1749</v>
      </c>
      <c r="C698" t="s">
        <v>1729</v>
      </c>
      <c r="D698" t="s">
        <v>1731</v>
      </c>
      <c r="K698"/>
      <c r="L698"/>
      <c r="M698"/>
    </row>
    <row r="699" spans="1:13">
      <c r="A699" s="2" t="s">
        <v>193</v>
      </c>
      <c r="B699" t="s">
        <v>1749</v>
      </c>
      <c r="C699" t="s">
        <v>1729</v>
      </c>
      <c r="D699" t="s">
        <v>1731</v>
      </c>
      <c r="K699"/>
      <c r="L699"/>
      <c r="M699"/>
    </row>
    <row r="700" spans="1:13">
      <c r="A700" s="2" t="s">
        <v>171</v>
      </c>
      <c r="B700" t="s">
        <v>1749</v>
      </c>
      <c r="C700" t="s">
        <v>1729</v>
      </c>
      <c r="D700" t="s">
        <v>1731</v>
      </c>
      <c r="K700"/>
      <c r="L700"/>
      <c r="M700"/>
    </row>
    <row r="701" spans="1:13">
      <c r="A701" s="2" t="s">
        <v>194</v>
      </c>
      <c r="B701" t="s">
        <v>1749</v>
      </c>
      <c r="C701" t="s">
        <v>1729</v>
      </c>
      <c r="D701" t="s">
        <v>1731</v>
      </c>
      <c r="K701"/>
      <c r="L701"/>
      <c r="M701"/>
    </row>
    <row r="702" spans="1:13">
      <c r="A702" s="2" t="s">
        <v>182</v>
      </c>
      <c r="B702" t="s">
        <v>1749</v>
      </c>
      <c r="C702" t="s">
        <v>1729</v>
      </c>
      <c r="D702" t="s">
        <v>1731</v>
      </c>
      <c r="K702"/>
      <c r="L702"/>
      <c r="M702"/>
    </row>
    <row r="703" spans="1:13">
      <c r="A703" s="2" t="s">
        <v>101</v>
      </c>
      <c r="B703" t="s">
        <v>1749</v>
      </c>
      <c r="C703" t="s">
        <v>1729</v>
      </c>
      <c r="D703" t="s">
        <v>1733</v>
      </c>
      <c r="K703"/>
      <c r="L703"/>
      <c r="M703"/>
    </row>
    <row r="704" spans="1:13">
      <c r="A704" s="2" t="s">
        <v>184</v>
      </c>
      <c r="B704" t="s">
        <v>1749</v>
      </c>
      <c r="C704" t="s">
        <v>1729</v>
      </c>
      <c r="D704" t="s">
        <v>1731</v>
      </c>
      <c r="K704"/>
      <c r="L704"/>
      <c r="M704"/>
    </row>
    <row r="705" spans="1:13">
      <c r="A705" s="2" t="s">
        <v>180</v>
      </c>
      <c r="B705" t="s">
        <v>1749</v>
      </c>
      <c r="C705" t="s">
        <v>1729</v>
      </c>
      <c r="D705" t="s">
        <v>1731</v>
      </c>
      <c r="K705"/>
      <c r="L705"/>
      <c r="M705"/>
    </row>
    <row r="706" spans="1:13">
      <c r="A706" s="2" t="s">
        <v>115</v>
      </c>
      <c r="B706" t="s">
        <v>1749</v>
      </c>
      <c r="C706" t="s">
        <v>1729</v>
      </c>
      <c r="D706" t="s">
        <v>1731</v>
      </c>
      <c r="K706"/>
      <c r="L706"/>
      <c r="M706"/>
    </row>
    <row r="707" spans="1:13">
      <c r="A707" s="2" t="s">
        <v>150</v>
      </c>
      <c r="B707" t="s">
        <v>1749</v>
      </c>
      <c r="C707" t="s">
        <v>1729</v>
      </c>
      <c r="D707" t="s">
        <v>1733</v>
      </c>
      <c r="K707"/>
      <c r="L707"/>
      <c r="M707"/>
    </row>
    <row r="708" spans="1:13">
      <c r="A708" s="2" t="s">
        <v>163</v>
      </c>
      <c r="B708" t="s">
        <v>1749</v>
      </c>
      <c r="C708" t="s">
        <v>1729</v>
      </c>
      <c r="D708" t="s">
        <v>1734</v>
      </c>
      <c r="K708"/>
      <c r="L708"/>
      <c r="M708"/>
    </row>
    <row r="709" spans="1:13">
      <c r="A709" s="2" t="s">
        <v>104</v>
      </c>
      <c r="B709" t="s">
        <v>1749</v>
      </c>
      <c r="C709" t="s">
        <v>1729</v>
      </c>
      <c r="D709" t="s">
        <v>1731</v>
      </c>
      <c r="K709"/>
      <c r="L709"/>
      <c r="M709"/>
    </row>
    <row r="710" spans="1:13">
      <c r="A710" s="2" t="s">
        <v>105</v>
      </c>
      <c r="B710" t="s">
        <v>1749</v>
      </c>
      <c r="C710" t="s">
        <v>1729</v>
      </c>
      <c r="D710" t="s">
        <v>1733</v>
      </c>
      <c r="K710"/>
      <c r="L710"/>
      <c r="M710"/>
    </row>
    <row r="711" spans="1:13">
      <c r="A711" s="2" t="s">
        <v>120</v>
      </c>
      <c r="B711" t="s">
        <v>1749</v>
      </c>
      <c r="C711" t="s">
        <v>1729</v>
      </c>
      <c r="D711" t="s">
        <v>1731</v>
      </c>
      <c r="K711"/>
      <c r="L711"/>
      <c r="M711"/>
    </row>
    <row r="712" spans="1:13">
      <c r="A712" s="2" t="s">
        <v>154</v>
      </c>
      <c r="B712" t="s">
        <v>1749</v>
      </c>
      <c r="C712" t="s">
        <v>1729</v>
      </c>
      <c r="D712" t="s">
        <v>1731</v>
      </c>
      <c r="K712"/>
      <c r="L712"/>
      <c r="M712"/>
    </row>
    <row r="713" spans="1:13">
      <c r="A713" s="2" t="s">
        <v>116</v>
      </c>
      <c r="B713" t="s">
        <v>1749</v>
      </c>
      <c r="C713" t="s">
        <v>1729</v>
      </c>
      <c r="D713" t="s">
        <v>1731</v>
      </c>
      <c r="K713"/>
      <c r="L713"/>
      <c r="M713"/>
    </row>
    <row r="714" spans="1:13">
      <c r="A714" s="2" t="s">
        <v>153</v>
      </c>
      <c r="B714" t="s">
        <v>1749</v>
      </c>
      <c r="C714" t="s">
        <v>1729</v>
      </c>
      <c r="D714" t="s">
        <v>1733</v>
      </c>
      <c r="K714"/>
      <c r="L714"/>
      <c r="M714"/>
    </row>
    <row r="715" spans="1:13">
      <c r="A715" s="2" t="s">
        <v>136</v>
      </c>
      <c r="B715" t="s">
        <v>1749</v>
      </c>
      <c r="C715" t="s">
        <v>1729</v>
      </c>
      <c r="D715" t="s">
        <v>1731</v>
      </c>
      <c r="K715"/>
      <c r="L715"/>
      <c r="M715"/>
    </row>
    <row r="716" spans="1:13">
      <c r="A716" s="2" t="s">
        <v>110</v>
      </c>
      <c r="B716" t="s">
        <v>1749</v>
      </c>
      <c r="C716" t="s">
        <v>1729</v>
      </c>
      <c r="D716" t="s">
        <v>1731</v>
      </c>
      <c r="K716"/>
      <c r="L716"/>
      <c r="M716"/>
    </row>
    <row r="717" spans="1:13">
      <c r="A717" s="2" t="s">
        <v>135</v>
      </c>
      <c r="B717" t="s">
        <v>1749</v>
      </c>
      <c r="C717" t="s">
        <v>1729</v>
      </c>
      <c r="D717" t="s">
        <v>1733</v>
      </c>
      <c r="K717"/>
      <c r="L717"/>
      <c r="M717"/>
    </row>
    <row r="718" spans="1:13">
      <c r="A718" s="2" t="s">
        <v>143</v>
      </c>
      <c r="B718" t="s">
        <v>1749</v>
      </c>
      <c r="C718" t="s">
        <v>1729</v>
      </c>
      <c r="D718" t="s">
        <v>1731</v>
      </c>
      <c r="K718"/>
      <c r="L718"/>
      <c r="M718"/>
    </row>
    <row r="719" spans="1:13">
      <c r="A719" s="2" t="s">
        <v>177</v>
      </c>
      <c r="B719" t="s">
        <v>1749</v>
      </c>
      <c r="C719" t="s">
        <v>1729</v>
      </c>
      <c r="D719" t="s">
        <v>1731</v>
      </c>
      <c r="K719"/>
      <c r="L719"/>
      <c r="M719"/>
    </row>
    <row r="720" spans="1:13">
      <c r="A720" s="2" t="s">
        <v>183</v>
      </c>
      <c r="B720" t="s">
        <v>1749</v>
      </c>
      <c r="C720" t="s">
        <v>1729</v>
      </c>
      <c r="D720" t="s">
        <v>1734</v>
      </c>
      <c r="K720"/>
      <c r="L720"/>
      <c r="M720"/>
    </row>
    <row r="721" spans="1:13">
      <c r="A721" s="2" t="s">
        <v>94</v>
      </c>
      <c r="B721" t="s">
        <v>1749</v>
      </c>
      <c r="C721" t="s">
        <v>1729</v>
      </c>
      <c r="D721" t="s">
        <v>1733</v>
      </c>
      <c r="K721"/>
      <c r="L721"/>
      <c r="M721"/>
    </row>
    <row r="722" spans="1:13">
      <c r="A722" s="2" t="s">
        <v>170</v>
      </c>
      <c r="B722" t="s">
        <v>1749</v>
      </c>
      <c r="C722" t="s">
        <v>1729</v>
      </c>
      <c r="D722" t="s">
        <v>1731</v>
      </c>
      <c r="K722"/>
      <c r="L722"/>
      <c r="M722"/>
    </row>
    <row r="723" spans="1:13">
      <c r="A723" s="2" t="s">
        <v>169</v>
      </c>
      <c r="B723" t="s">
        <v>1749</v>
      </c>
      <c r="C723" t="s">
        <v>1729</v>
      </c>
      <c r="D723" t="s">
        <v>1734</v>
      </c>
      <c r="K723"/>
      <c r="L723"/>
      <c r="M723"/>
    </row>
    <row r="724" spans="1:13">
      <c r="A724" s="2" t="s">
        <v>148</v>
      </c>
      <c r="B724" t="s">
        <v>1749</v>
      </c>
      <c r="C724" t="s">
        <v>1729</v>
      </c>
      <c r="D724" t="s">
        <v>1731</v>
      </c>
      <c r="K724"/>
      <c r="L724"/>
      <c r="M724"/>
    </row>
    <row r="725" spans="1:13">
      <c r="A725" s="2" t="s">
        <v>149</v>
      </c>
      <c r="B725" t="s">
        <v>1749</v>
      </c>
      <c r="C725" t="s">
        <v>1729</v>
      </c>
      <c r="D725" t="s">
        <v>1731</v>
      </c>
      <c r="K725"/>
      <c r="L725"/>
      <c r="M725"/>
    </row>
    <row r="726" spans="1:13">
      <c r="A726" s="2" t="s">
        <v>145</v>
      </c>
      <c r="B726" t="s">
        <v>1749</v>
      </c>
      <c r="C726" t="s">
        <v>1729</v>
      </c>
      <c r="D726" t="s">
        <v>1731</v>
      </c>
      <c r="K726"/>
      <c r="L726"/>
      <c r="M726"/>
    </row>
    <row r="727" spans="1:13">
      <c r="A727" s="2" t="s">
        <v>188</v>
      </c>
      <c r="B727" t="s">
        <v>1749</v>
      </c>
      <c r="C727" t="s">
        <v>1729</v>
      </c>
      <c r="D727" t="s">
        <v>1731</v>
      </c>
      <c r="K727"/>
      <c r="L727"/>
      <c r="M727"/>
    </row>
    <row r="728" spans="1:13">
      <c r="A728" s="2" t="s">
        <v>174</v>
      </c>
      <c r="B728" t="s">
        <v>1749</v>
      </c>
      <c r="C728" t="s">
        <v>1729</v>
      </c>
      <c r="D728" t="s">
        <v>1731</v>
      </c>
      <c r="K728"/>
      <c r="L728"/>
      <c r="M728"/>
    </row>
    <row r="729" spans="1:13">
      <c r="A729" s="2" t="s">
        <v>175</v>
      </c>
      <c r="B729" t="s">
        <v>1749</v>
      </c>
      <c r="C729" t="s">
        <v>1729</v>
      </c>
      <c r="D729" t="s">
        <v>1731</v>
      </c>
      <c r="K729"/>
      <c r="L729"/>
      <c r="M729"/>
    </row>
    <row r="730" spans="1:13">
      <c r="A730" s="2" t="s">
        <v>176</v>
      </c>
      <c r="B730" t="s">
        <v>1749</v>
      </c>
      <c r="C730" t="s">
        <v>1729</v>
      </c>
      <c r="D730" t="s">
        <v>1731</v>
      </c>
      <c r="K730"/>
      <c r="L730"/>
      <c r="M730"/>
    </row>
    <row r="731" spans="1:13">
      <c r="A731" s="2" t="s">
        <v>102</v>
      </c>
      <c r="B731" t="s">
        <v>1749</v>
      </c>
      <c r="C731" t="s">
        <v>1729</v>
      </c>
      <c r="D731" t="s">
        <v>1733</v>
      </c>
      <c r="K731"/>
      <c r="L731"/>
      <c r="M731"/>
    </row>
    <row r="732" spans="1:13">
      <c r="A732" s="2" t="s">
        <v>121</v>
      </c>
      <c r="B732" t="s">
        <v>1749</v>
      </c>
      <c r="C732" t="s">
        <v>1729</v>
      </c>
      <c r="D732" t="s">
        <v>1733</v>
      </c>
      <c r="K732"/>
      <c r="L732"/>
      <c r="M732"/>
    </row>
    <row r="733" spans="1:13">
      <c r="A733" s="2" t="s">
        <v>621</v>
      </c>
      <c r="B733" t="s">
        <v>1749</v>
      </c>
      <c r="C733" t="s">
        <v>1729</v>
      </c>
      <c r="D733" t="s">
        <v>1731</v>
      </c>
      <c r="K733"/>
      <c r="L733"/>
      <c r="M733"/>
    </row>
    <row r="734" spans="1:13">
      <c r="A734" s="2" t="s">
        <v>622</v>
      </c>
      <c r="B734" t="s">
        <v>1749</v>
      </c>
      <c r="C734" t="s">
        <v>1729</v>
      </c>
      <c r="D734" t="s">
        <v>1734</v>
      </c>
      <c r="K734"/>
      <c r="L734"/>
      <c r="M734"/>
    </row>
    <row r="735" spans="1:13">
      <c r="A735" s="2" t="s">
        <v>623</v>
      </c>
      <c r="B735" t="s">
        <v>1749</v>
      </c>
      <c r="C735" t="s">
        <v>1729</v>
      </c>
      <c r="D735" t="s">
        <v>1731</v>
      </c>
      <c r="K735"/>
      <c r="L735"/>
      <c r="M735"/>
    </row>
    <row r="736" spans="1:13">
      <c r="A736" s="2" t="s">
        <v>620</v>
      </c>
      <c r="B736" t="s">
        <v>1749</v>
      </c>
      <c r="C736" t="s">
        <v>1729</v>
      </c>
      <c r="D736" t="s">
        <v>1733</v>
      </c>
      <c r="K736"/>
      <c r="L736"/>
      <c r="M736"/>
    </row>
    <row r="737" spans="1:13">
      <c r="A737" s="2" t="s">
        <v>624</v>
      </c>
      <c r="B737" t="s">
        <v>1749</v>
      </c>
      <c r="C737" t="s">
        <v>1729</v>
      </c>
      <c r="D737" t="s">
        <v>1731</v>
      </c>
      <c r="K737"/>
      <c r="L737"/>
      <c r="M737"/>
    </row>
    <row r="738" spans="1:13">
      <c r="A738" s="2" t="s">
        <v>165</v>
      </c>
      <c r="B738" t="s">
        <v>1749</v>
      </c>
      <c r="C738" t="s">
        <v>1729</v>
      </c>
      <c r="D738" t="s">
        <v>1731</v>
      </c>
      <c r="K738"/>
      <c r="L738"/>
      <c r="M738"/>
    </row>
    <row r="739" spans="1:13">
      <c r="A739" s="2" t="s">
        <v>164</v>
      </c>
      <c r="B739" t="s">
        <v>1749</v>
      </c>
      <c r="C739" t="s">
        <v>1729</v>
      </c>
      <c r="D739" t="s">
        <v>1731</v>
      </c>
      <c r="K739"/>
      <c r="L739"/>
      <c r="M739"/>
    </row>
    <row r="740" spans="1:13">
      <c r="A740" s="2" t="s">
        <v>168</v>
      </c>
      <c r="B740" t="s">
        <v>1749</v>
      </c>
      <c r="C740" t="s">
        <v>1729</v>
      </c>
      <c r="D740" t="s">
        <v>1731</v>
      </c>
      <c r="K740"/>
      <c r="L740"/>
      <c r="M740"/>
    </row>
    <row r="741" spans="1:13">
      <c r="A741" s="2" t="s">
        <v>162</v>
      </c>
      <c r="B741" t="s">
        <v>1749</v>
      </c>
      <c r="C741" t="s">
        <v>1729</v>
      </c>
      <c r="D741" t="s">
        <v>1731</v>
      </c>
      <c r="K741"/>
      <c r="L741"/>
      <c r="M741"/>
    </row>
    <row r="742" spans="1:13">
      <c r="A742" s="2" t="s">
        <v>125</v>
      </c>
      <c r="B742" t="s">
        <v>1749</v>
      </c>
      <c r="C742" t="s">
        <v>1729</v>
      </c>
      <c r="D742" t="s">
        <v>1731</v>
      </c>
      <c r="K742"/>
      <c r="L742"/>
      <c r="M742"/>
    </row>
    <row r="743" spans="1:13">
      <c r="A743" s="2" t="s">
        <v>108</v>
      </c>
      <c r="B743" t="s">
        <v>1749</v>
      </c>
      <c r="C743" t="s">
        <v>1729</v>
      </c>
      <c r="D743" t="s">
        <v>1733</v>
      </c>
      <c r="K743"/>
      <c r="L743"/>
      <c r="M743"/>
    </row>
    <row r="744" spans="1:13">
      <c r="A744" s="2" t="s">
        <v>129</v>
      </c>
      <c r="B744" t="s">
        <v>1749</v>
      </c>
      <c r="C744" t="s">
        <v>1729</v>
      </c>
      <c r="D744" t="s">
        <v>1731</v>
      </c>
      <c r="K744"/>
      <c r="L744"/>
      <c r="M744"/>
    </row>
    <row r="745" spans="1:13">
      <c r="A745" s="2" t="s">
        <v>139</v>
      </c>
      <c r="B745" t="s">
        <v>1749</v>
      </c>
      <c r="C745" t="s">
        <v>1729</v>
      </c>
      <c r="D745" t="s">
        <v>1733</v>
      </c>
      <c r="K745"/>
      <c r="L745"/>
      <c r="M745"/>
    </row>
    <row r="746" spans="1:13">
      <c r="A746" s="2" t="s">
        <v>155</v>
      </c>
      <c r="B746" t="s">
        <v>1749</v>
      </c>
      <c r="C746" t="s">
        <v>1729</v>
      </c>
      <c r="D746" t="s">
        <v>1734</v>
      </c>
      <c r="K746"/>
      <c r="L746"/>
      <c r="M746"/>
    </row>
    <row r="747" spans="1:13">
      <c r="A747" s="2" t="s">
        <v>100</v>
      </c>
      <c r="B747" t="s">
        <v>1749</v>
      </c>
      <c r="C747" t="s">
        <v>1729</v>
      </c>
      <c r="D747" t="s">
        <v>1731</v>
      </c>
      <c r="K747"/>
      <c r="L747"/>
      <c r="M747"/>
    </row>
    <row r="748" spans="1:13">
      <c r="A748" s="2" t="s">
        <v>137</v>
      </c>
      <c r="B748" t="s">
        <v>1749</v>
      </c>
      <c r="C748" t="s">
        <v>1729</v>
      </c>
      <c r="D748" t="s">
        <v>1733</v>
      </c>
      <c r="K748"/>
      <c r="L748"/>
      <c r="M748"/>
    </row>
    <row r="749" spans="1:13">
      <c r="A749" s="2" t="s">
        <v>185</v>
      </c>
      <c r="B749" t="s">
        <v>1749</v>
      </c>
      <c r="C749" t="s">
        <v>1729</v>
      </c>
      <c r="D749" t="s">
        <v>1731</v>
      </c>
      <c r="K749"/>
      <c r="L749"/>
      <c r="M749"/>
    </row>
    <row r="750" spans="1:13">
      <c r="A750" s="2" t="s">
        <v>181</v>
      </c>
      <c r="B750" t="s">
        <v>1749</v>
      </c>
      <c r="C750" t="s">
        <v>1729</v>
      </c>
      <c r="D750" t="s">
        <v>1731</v>
      </c>
      <c r="K750"/>
      <c r="L750"/>
      <c r="M750"/>
    </row>
    <row r="751" spans="1:13">
      <c r="A751" s="2" t="s">
        <v>122</v>
      </c>
      <c r="B751" t="s">
        <v>1749</v>
      </c>
      <c r="C751" t="s">
        <v>1729</v>
      </c>
      <c r="D751" t="s">
        <v>1733</v>
      </c>
      <c r="K751"/>
      <c r="L751"/>
      <c r="M751"/>
    </row>
    <row r="752" spans="1:13">
      <c r="A752" s="2" t="s">
        <v>112</v>
      </c>
      <c r="B752" t="s">
        <v>1749</v>
      </c>
      <c r="C752" t="s">
        <v>1729</v>
      </c>
      <c r="D752" t="s">
        <v>1733</v>
      </c>
      <c r="K752"/>
      <c r="L752"/>
      <c r="M752"/>
    </row>
    <row r="753" spans="1:13">
      <c r="A753" s="2" t="s">
        <v>173</v>
      </c>
      <c r="B753" t="s">
        <v>1749</v>
      </c>
      <c r="C753" t="s">
        <v>1729</v>
      </c>
      <c r="D753" t="s">
        <v>1731</v>
      </c>
      <c r="K753"/>
      <c r="L753"/>
      <c r="M753"/>
    </row>
    <row r="754" spans="1:13">
      <c r="A754" s="2" t="s">
        <v>119</v>
      </c>
      <c r="B754" t="s">
        <v>1749</v>
      </c>
      <c r="C754" t="s">
        <v>1729</v>
      </c>
      <c r="D754" t="s">
        <v>1731</v>
      </c>
      <c r="K754"/>
      <c r="L754"/>
      <c r="M754"/>
    </row>
    <row r="755" spans="1:13">
      <c r="A755" s="2" t="s">
        <v>172</v>
      </c>
      <c r="B755" t="s">
        <v>1749</v>
      </c>
      <c r="C755" t="s">
        <v>1729</v>
      </c>
      <c r="D755" t="s">
        <v>1731</v>
      </c>
      <c r="K755"/>
      <c r="L755"/>
      <c r="M755"/>
    </row>
    <row r="756" spans="1:13">
      <c r="A756" s="2" t="s">
        <v>161</v>
      </c>
      <c r="B756" t="s">
        <v>1749</v>
      </c>
      <c r="C756" t="s">
        <v>1729</v>
      </c>
      <c r="D756" t="s">
        <v>1734</v>
      </c>
      <c r="K756"/>
      <c r="L756"/>
      <c r="M756"/>
    </row>
    <row r="757" spans="1:13">
      <c r="A757" s="2" t="s">
        <v>130</v>
      </c>
      <c r="B757" t="s">
        <v>1749</v>
      </c>
      <c r="C757" t="s">
        <v>1729</v>
      </c>
      <c r="D757" t="s">
        <v>1733</v>
      </c>
      <c r="K757"/>
      <c r="L757"/>
      <c r="M757"/>
    </row>
    <row r="758" spans="1:13">
      <c r="A758" s="2" t="s">
        <v>133</v>
      </c>
      <c r="B758" t="s">
        <v>1749</v>
      </c>
      <c r="C758" t="s">
        <v>1729</v>
      </c>
      <c r="D758" t="s">
        <v>1733</v>
      </c>
      <c r="K758"/>
      <c r="L758"/>
      <c r="M758"/>
    </row>
    <row r="759" spans="1:13">
      <c r="A759" s="2" t="s">
        <v>118</v>
      </c>
      <c r="B759" t="s">
        <v>1749</v>
      </c>
      <c r="C759" t="s">
        <v>1729</v>
      </c>
      <c r="D759" t="s">
        <v>1731</v>
      </c>
      <c r="K759"/>
      <c r="L759"/>
      <c r="M759"/>
    </row>
    <row r="760" spans="1:13">
      <c r="A760" s="2" t="s">
        <v>167</v>
      </c>
      <c r="B760" t="s">
        <v>1749</v>
      </c>
      <c r="C760" t="s">
        <v>1723</v>
      </c>
      <c r="D760" t="s">
        <v>1733</v>
      </c>
      <c r="K760"/>
      <c r="L760"/>
      <c r="M760"/>
    </row>
    <row r="761" spans="1:13">
      <c r="A761" s="2" t="s">
        <v>140</v>
      </c>
      <c r="B761" t="s">
        <v>1749</v>
      </c>
      <c r="C761" t="s">
        <v>1729</v>
      </c>
      <c r="D761" t="s">
        <v>1731</v>
      </c>
      <c r="K761"/>
      <c r="L761"/>
      <c r="M761"/>
    </row>
    <row r="762" spans="1:13">
      <c r="A762" s="2" t="s">
        <v>179</v>
      </c>
      <c r="B762" t="s">
        <v>1749</v>
      </c>
      <c r="C762" t="s">
        <v>1729</v>
      </c>
      <c r="D762" t="s">
        <v>1731</v>
      </c>
      <c r="K762"/>
      <c r="L762"/>
      <c r="M762"/>
    </row>
    <row r="763" spans="1:13">
      <c r="A763" s="2" t="s">
        <v>134</v>
      </c>
      <c r="B763" t="s">
        <v>1749</v>
      </c>
      <c r="C763" t="s">
        <v>1729</v>
      </c>
      <c r="D763" t="s">
        <v>1731</v>
      </c>
      <c r="K763"/>
      <c r="L763"/>
      <c r="M763"/>
    </row>
    <row r="764" spans="1:13">
      <c r="A764" s="2" t="s">
        <v>619</v>
      </c>
      <c r="B764" t="s">
        <v>1749</v>
      </c>
      <c r="C764" t="s">
        <v>1729</v>
      </c>
      <c r="D764" t="s">
        <v>1733</v>
      </c>
      <c r="K764"/>
      <c r="L764"/>
      <c r="M764"/>
    </row>
    <row r="765" spans="1:13">
      <c r="A765" s="2" t="s">
        <v>97</v>
      </c>
      <c r="B765" t="s">
        <v>1749</v>
      </c>
      <c r="C765" t="s">
        <v>1729</v>
      </c>
      <c r="D765" t="s">
        <v>1731</v>
      </c>
      <c r="K765"/>
      <c r="L765"/>
      <c r="M765"/>
    </row>
    <row r="766" spans="1:13">
      <c r="A766" s="2" t="s">
        <v>123</v>
      </c>
      <c r="B766" t="s">
        <v>1749</v>
      </c>
      <c r="C766" t="s">
        <v>1729</v>
      </c>
      <c r="D766" t="s">
        <v>1731</v>
      </c>
      <c r="K766"/>
      <c r="L766"/>
      <c r="M766"/>
    </row>
    <row r="767" spans="1:13">
      <c r="A767" s="2" t="s">
        <v>98</v>
      </c>
      <c r="B767" t="s">
        <v>1749</v>
      </c>
      <c r="C767" t="s">
        <v>1729</v>
      </c>
      <c r="D767" t="s">
        <v>1733</v>
      </c>
      <c r="K767"/>
      <c r="L767"/>
      <c r="M767"/>
    </row>
    <row r="768" spans="1:13">
      <c r="A768" s="2" t="s">
        <v>91</v>
      </c>
      <c r="B768" t="s">
        <v>1749</v>
      </c>
      <c r="C768" t="s">
        <v>1729</v>
      </c>
      <c r="D768" t="s">
        <v>1733</v>
      </c>
      <c r="K768"/>
      <c r="L768"/>
      <c r="M768"/>
    </row>
    <row r="769" spans="1:13">
      <c r="A769" s="2" t="s">
        <v>96</v>
      </c>
      <c r="B769" t="s">
        <v>1749</v>
      </c>
      <c r="C769" t="s">
        <v>1729</v>
      </c>
      <c r="D769" t="s">
        <v>1733</v>
      </c>
      <c r="K769"/>
      <c r="L769"/>
      <c r="M769"/>
    </row>
    <row r="770" spans="1:13">
      <c r="A770" s="2" t="s">
        <v>151</v>
      </c>
      <c r="B770" t="s">
        <v>1749</v>
      </c>
      <c r="C770" t="s">
        <v>1729</v>
      </c>
      <c r="D770" t="s">
        <v>1733</v>
      </c>
      <c r="K770"/>
      <c r="L770"/>
      <c r="M770"/>
    </row>
    <row r="771" spans="1:13">
      <c r="A771" s="2" t="s">
        <v>106</v>
      </c>
      <c r="B771" t="s">
        <v>1749</v>
      </c>
      <c r="C771" t="s">
        <v>1729</v>
      </c>
      <c r="D771" t="s">
        <v>1731</v>
      </c>
      <c r="K771"/>
      <c r="L771"/>
      <c r="M771"/>
    </row>
    <row r="772" spans="1:13">
      <c r="A772" s="2" t="s">
        <v>107</v>
      </c>
      <c r="B772" t="s">
        <v>1749</v>
      </c>
      <c r="C772" t="s">
        <v>1729</v>
      </c>
      <c r="D772" t="s">
        <v>1733</v>
      </c>
      <c r="K772"/>
      <c r="L772"/>
      <c r="M772"/>
    </row>
    <row r="773" spans="1:13">
      <c r="A773" s="2" t="s">
        <v>126</v>
      </c>
      <c r="B773" t="s">
        <v>1749</v>
      </c>
      <c r="C773" t="s">
        <v>1729</v>
      </c>
      <c r="D773" t="s">
        <v>1731</v>
      </c>
      <c r="K773"/>
      <c r="L773"/>
      <c r="M773"/>
    </row>
    <row r="774" spans="1:13">
      <c r="A774" s="2" t="s">
        <v>111</v>
      </c>
      <c r="B774" t="s">
        <v>1749</v>
      </c>
      <c r="C774" t="s">
        <v>1729</v>
      </c>
      <c r="D774" t="s">
        <v>1731</v>
      </c>
      <c r="K774"/>
      <c r="L774"/>
      <c r="M774"/>
    </row>
    <row r="775" spans="1:13">
      <c r="A775" s="2" t="s">
        <v>117</v>
      </c>
      <c r="B775" t="s">
        <v>1749</v>
      </c>
      <c r="C775" t="s">
        <v>1729</v>
      </c>
      <c r="D775" t="s">
        <v>1731</v>
      </c>
      <c r="K775"/>
      <c r="L775"/>
      <c r="M775"/>
    </row>
    <row r="776" spans="1:13">
      <c r="A776" s="2" t="s">
        <v>113</v>
      </c>
      <c r="B776" t="s">
        <v>1749</v>
      </c>
      <c r="C776" t="s">
        <v>1729</v>
      </c>
      <c r="D776" t="s">
        <v>1731</v>
      </c>
      <c r="K776"/>
      <c r="L776"/>
      <c r="M776"/>
    </row>
    <row r="777" spans="1:13">
      <c r="A777" s="2" t="s">
        <v>142</v>
      </c>
      <c r="B777" t="s">
        <v>1749</v>
      </c>
      <c r="C777" t="s">
        <v>1729</v>
      </c>
      <c r="D777" t="s">
        <v>1733</v>
      </c>
      <c r="K777"/>
      <c r="L777"/>
      <c r="M777"/>
    </row>
    <row r="778" spans="1:13">
      <c r="A778" s="2" t="s">
        <v>159</v>
      </c>
      <c r="B778" t="s">
        <v>1749</v>
      </c>
      <c r="C778" t="s">
        <v>1729</v>
      </c>
      <c r="D778" t="s">
        <v>1731</v>
      </c>
      <c r="K778"/>
      <c r="L778"/>
      <c r="M778"/>
    </row>
    <row r="779" spans="1:13">
      <c r="A779" s="2" t="s">
        <v>93</v>
      </c>
      <c r="B779" t="s">
        <v>1749</v>
      </c>
      <c r="C779" t="s">
        <v>1729</v>
      </c>
      <c r="D779" t="s">
        <v>1731</v>
      </c>
      <c r="K779"/>
      <c r="L779"/>
      <c r="M779"/>
    </row>
    <row r="780" spans="1:13">
      <c r="A780" s="2" t="s">
        <v>90</v>
      </c>
      <c r="B780" t="s">
        <v>1749</v>
      </c>
      <c r="C780" t="s">
        <v>1729</v>
      </c>
      <c r="D780" t="s">
        <v>1731</v>
      </c>
      <c r="K780"/>
      <c r="L780"/>
      <c r="M780"/>
    </row>
    <row r="781" spans="1:13">
      <c r="A781" s="2" t="s">
        <v>92</v>
      </c>
      <c r="B781" t="s">
        <v>1749</v>
      </c>
      <c r="C781" t="s">
        <v>1729</v>
      </c>
      <c r="D781" t="s">
        <v>1731</v>
      </c>
      <c r="K781"/>
      <c r="L781"/>
      <c r="M781"/>
    </row>
    <row r="782" spans="1:13">
      <c r="A782" s="2" t="s">
        <v>109</v>
      </c>
      <c r="B782" t="s">
        <v>1749</v>
      </c>
      <c r="C782" t="s">
        <v>1729</v>
      </c>
      <c r="D782" t="s">
        <v>1731</v>
      </c>
      <c r="K782"/>
      <c r="L782"/>
      <c r="M782"/>
    </row>
    <row r="783" spans="1:13">
      <c r="A783" s="2" t="s">
        <v>128</v>
      </c>
      <c r="B783" t="s">
        <v>1749</v>
      </c>
      <c r="C783" t="s">
        <v>1729</v>
      </c>
      <c r="D783" t="s">
        <v>1731</v>
      </c>
      <c r="K783"/>
      <c r="L783"/>
      <c r="M783"/>
    </row>
    <row r="784" spans="1:13">
      <c r="A784" s="2" t="s">
        <v>189</v>
      </c>
      <c r="B784" t="s">
        <v>1749</v>
      </c>
      <c r="C784" t="s">
        <v>1729</v>
      </c>
      <c r="D784" t="s">
        <v>1731</v>
      </c>
      <c r="K784"/>
      <c r="L784"/>
      <c r="M784"/>
    </row>
    <row r="785" spans="1:13">
      <c r="A785" s="2" t="s">
        <v>138</v>
      </c>
      <c r="B785" t="s">
        <v>1749</v>
      </c>
      <c r="C785" t="s">
        <v>1729</v>
      </c>
      <c r="D785" t="s">
        <v>1731</v>
      </c>
      <c r="K785"/>
      <c r="L785"/>
      <c r="M785"/>
    </row>
    <row r="786" spans="1:13">
      <c r="A786" s="2" t="s">
        <v>146</v>
      </c>
      <c r="B786" t="s">
        <v>1749</v>
      </c>
      <c r="C786" t="s">
        <v>1729</v>
      </c>
      <c r="D786" t="s">
        <v>1731</v>
      </c>
      <c r="K786"/>
      <c r="L786"/>
      <c r="M786"/>
    </row>
    <row r="787" spans="1:13">
      <c r="A787" s="2" t="s">
        <v>187</v>
      </c>
      <c r="B787" t="s">
        <v>1749</v>
      </c>
      <c r="C787" t="s">
        <v>1729</v>
      </c>
      <c r="D787" t="s">
        <v>1731</v>
      </c>
      <c r="K787"/>
      <c r="L787"/>
      <c r="M787"/>
    </row>
    <row r="788" spans="1:13">
      <c r="A788" s="2" t="s">
        <v>124</v>
      </c>
      <c r="B788" t="s">
        <v>1749</v>
      </c>
      <c r="C788" t="s">
        <v>1729</v>
      </c>
      <c r="D788" t="s">
        <v>1737</v>
      </c>
      <c r="K788"/>
      <c r="L788"/>
      <c r="M788"/>
    </row>
    <row r="789" spans="1:13">
      <c r="A789" s="2" t="s">
        <v>166</v>
      </c>
      <c r="B789" t="s">
        <v>1749</v>
      </c>
      <c r="C789" t="s">
        <v>1723</v>
      </c>
      <c r="D789" t="s">
        <v>1733</v>
      </c>
      <c r="K789"/>
      <c r="L789"/>
      <c r="M789"/>
    </row>
    <row r="790" spans="1:13">
      <c r="A790" s="2" t="s">
        <v>1753</v>
      </c>
      <c r="B790" t="s">
        <v>1749</v>
      </c>
      <c r="C790" t="s">
        <v>1722</v>
      </c>
      <c r="D790" t="s">
        <v>1731</v>
      </c>
    </row>
    <row r="791" spans="1:13">
      <c r="A791" s="2" t="s">
        <v>1756</v>
      </c>
      <c r="B791" t="s">
        <v>1749</v>
      </c>
      <c r="C791" t="s">
        <v>1729</v>
      </c>
      <c r="D791" t="s">
        <v>1731</v>
      </c>
    </row>
    <row r="792" spans="1:13">
      <c r="A792" s="2" t="s">
        <v>2842</v>
      </c>
      <c r="B792" t="s">
        <v>1750</v>
      </c>
      <c r="C792" t="s">
        <v>1721</v>
      </c>
      <c r="D792" t="s">
        <v>1732</v>
      </c>
    </row>
    <row r="793" spans="1:13">
      <c r="A793" s="2" t="s">
        <v>2986</v>
      </c>
      <c r="B793" t="s">
        <v>1749</v>
      </c>
      <c r="C793" t="s">
        <v>1729</v>
      </c>
      <c r="D793" t="s">
        <v>1732</v>
      </c>
    </row>
    <row r="794" spans="1:13">
      <c r="A794" s="2" t="s">
        <v>2988</v>
      </c>
      <c r="B794" t="s">
        <v>1749</v>
      </c>
      <c r="C794" t="s">
        <v>1722</v>
      </c>
      <c r="D794" t="s">
        <v>1732</v>
      </c>
    </row>
    <row r="795" spans="1:13">
      <c r="A795" t="s">
        <v>2992</v>
      </c>
      <c r="B795" t="s">
        <v>1749</v>
      </c>
      <c r="C795" t="s">
        <v>1729</v>
      </c>
      <c r="D795" t="s">
        <v>1731</v>
      </c>
    </row>
    <row r="796" spans="1:13">
      <c r="A796" t="s">
        <v>2994</v>
      </c>
      <c r="B796" t="s">
        <v>1749</v>
      </c>
      <c r="C796" t="s">
        <v>1729</v>
      </c>
      <c r="D796" t="s">
        <v>1731</v>
      </c>
    </row>
    <row r="797" spans="1:13">
      <c r="A797" s="2" t="s">
        <v>3011</v>
      </c>
      <c r="B797" t="s">
        <v>1749</v>
      </c>
      <c r="C797" t="s">
        <v>1722</v>
      </c>
      <c r="D797" t="s">
        <v>1731</v>
      </c>
    </row>
    <row r="798" spans="1:13">
      <c r="A798" s="2" t="s">
        <v>3013</v>
      </c>
      <c r="B798" t="s">
        <v>1749</v>
      </c>
      <c r="C798" t="s">
        <v>1725</v>
      </c>
      <c r="D798" t="s">
        <v>1731</v>
      </c>
    </row>
    <row r="799" spans="1:13">
      <c r="A799" s="2" t="s">
        <v>3016</v>
      </c>
      <c r="B799" t="s">
        <v>1750</v>
      </c>
      <c r="C799" t="s">
        <v>1722</v>
      </c>
      <c r="D799" t="s">
        <v>1731</v>
      </c>
    </row>
    <row r="800" spans="1:13">
      <c r="A800" s="2" t="s">
        <v>3019</v>
      </c>
      <c r="B800" t="s">
        <v>1749</v>
      </c>
      <c r="C800" t="s">
        <v>1722</v>
      </c>
      <c r="D800" t="s">
        <v>1731</v>
      </c>
    </row>
    <row r="801" spans="1:4">
      <c r="A801" s="2" t="s">
        <v>3022</v>
      </c>
      <c r="B801" t="s">
        <v>1749</v>
      </c>
      <c r="C801" t="s">
        <v>1722</v>
      </c>
      <c r="D801" t="s">
        <v>1731</v>
      </c>
    </row>
    <row r="802" spans="1:4">
      <c r="A802" s="2" t="s">
        <v>3024</v>
      </c>
      <c r="B802" t="s">
        <v>1749</v>
      </c>
      <c r="C802" t="s">
        <v>1722</v>
      </c>
      <c r="D802" t="s">
        <v>1731</v>
      </c>
    </row>
    <row r="803" spans="1:4">
      <c r="A803" s="2" t="s">
        <v>3027</v>
      </c>
      <c r="B803" t="s">
        <v>1750</v>
      </c>
      <c r="C803" t="s">
        <v>1722</v>
      </c>
      <c r="D803" t="s">
        <v>1731</v>
      </c>
    </row>
    <row r="804" spans="1:4">
      <c r="A804" s="2" t="s">
        <v>3032</v>
      </c>
      <c r="B804" t="s">
        <v>1749</v>
      </c>
      <c r="C804" t="s">
        <v>1726</v>
      </c>
      <c r="D804" t="s">
        <v>1733</v>
      </c>
    </row>
  </sheetData>
  <conditionalFormatting sqref="B1:C1048576">
    <cfRule type="containsText" dxfId="9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907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2972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2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1860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>
        <v>2</v>
      </c>
      <c r="N8" s="44"/>
      <c r="O8" s="44"/>
      <c r="P8" s="44"/>
      <c r="Q8" s="44"/>
      <c r="R8" s="44"/>
    </row>
    <row r="9" spans="1:18">
      <c r="A9">
        <v>1880</v>
      </c>
      <c r="B9" t="s">
        <v>2984</v>
      </c>
      <c r="C9" s="44"/>
      <c r="D9" s="44"/>
      <c r="E9" s="44"/>
      <c r="F9" s="44"/>
      <c r="G9" s="44"/>
      <c r="H9" s="44"/>
      <c r="I9" s="44"/>
      <c r="J9" s="44"/>
      <c r="K9" s="44"/>
      <c r="L9" s="44">
        <v>4</v>
      </c>
      <c r="M9" s="44">
        <v>2</v>
      </c>
      <c r="N9" s="44"/>
      <c r="O9" s="44"/>
      <c r="P9" s="44"/>
      <c r="Q9" s="44"/>
      <c r="R9" s="44"/>
    </row>
    <row r="10" spans="1:18">
      <c r="A10">
        <v>1900</v>
      </c>
      <c r="B10" t="s">
        <v>2984</v>
      </c>
      <c r="C10" s="44">
        <v>1</v>
      </c>
      <c r="D10" s="44"/>
      <c r="E10" s="44"/>
      <c r="F10" s="44"/>
      <c r="G10" s="44">
        <v>1</v>
      </c>
      <c r="H10" s="44"/>
      <c r="I10" s="44"/>
      <c r="J10" s="44">
        <v>4</v>
      </c>
      <c r="K10" s="44"/>
      <c r="L10" s="44">
        <v>3</v>
      </c>
      <c r="M10" s="44">
        <v>3</v>
      </c>
      <c r="N10" s="44">
        <v>1</v>
      </c>
      <c r="O10" s="44">
        <v>2</v>
      </c>
      <c r="P10" s="44">
        <v>1</v>
      </c>
      <c r="Q10" s="44"/>
      <c r="R10" s="44"/>
    </row>
    <row r="11" spans="1:18">
      <c r="A11">
        <v>1920</v>
      </c>
      <c r="B11" t="s">
        <v>2984</v>
      </c>
      <c r="C11" s="44">
        <v>2</v>
      </c>
      <c r="D11" s="44"/>
      <c r="E11" s="44"/>
      <c r="F11" s="44">
        <v>2</v>
      </c>
      <c r="G11" s="44"/>
      <c r="H11" s="44">
        <v>3</v>
      </c>
      <c r="I11" s="44"/>
      <c r="J11" s="44"/>
      <c r="K11" s="44"/>
      <c r="L11" s="44">
        <v>8</v>
      </c>
      <c r="M11" s="44">
        <v>2</v>
      </c>
      <c r="N11" s="44">
        <v>2</v>
      </c>
      <c r="O11" s="44">
        <v>2</v>
      </c>
      <c r="P11" s="44">
        <v>2</v>
      </c>
      <c r="Q11" s="44"/>
      <c r="R11" s="44"/>
    </row>
    <row r="12" spans="1:18">
      <c r="A12">
        <v>1940</v>
      </c>
      <c r="B12" t="s">
        <v>2984</v>
      </c>
      <c r="C12" s="44">
        <v>1</v>
      </c>
      <c r="D12" s="44"/>
      <c r="E12" s="44"/>
      <c r="F12" s="44">
        <v>6</v>
      </c>
      <c r="G12" s="44">
        <v>4</v>
      </c>
      <c r="H12" s="44">
        <v>1</v>
      </c>
      <c r="I12" s="44"/>
      <c r="J12" s="44"/>
      <c r="K12" s="44"/>
      <c r="L12" s="44">
        <v>7</v>
      </c>
      <c r="M12" s="44">
        <v>1</v>
      </c>
      <c r="N12" s="44">
        <v>2</v>
      </c>
      <c r="O12" s="44">
        <v>3</v>
      </c>
      <c r="P12" s="44">
        <v>2</v>
      </c>
      <c r="Q12" s="44">
        <v>2</v>
      </c>
      <c r="R12" s="44"/>
    </row>
    <row r="13" spans="1:18">
      <c r="A13">
        <v>1960</v>
      </c>
      <c r="B13" t="s">
        <v>2984</v>
      </c>
      <c r="C13" s="44">
        <v>2</v>
      </c>
      <c r="D13" s="44"/>
      <c r="E13" s="44"/>
      <c r="F13" s="44">
        <v>10</v>
      </c>
      <c r="G13" s="44">
        <v>1</v>
      </c>
      <c r="H13" s="44">
        <v>1</v>
      </c>
      <c r="I13" s="44"/>
      <c r="J13" s="44"/>
      <c r="K13" s="44"/>
      <c r="L13" s="44">
        <v>6</v>
      </c>
      <c r="M13" s="44"/>
      <c r="N13" s="44">
        <v>1</v>
      </c>
      <c r="O13" s="44"/>
      <c r="P13" s="44">
        <v>1</v>
      </c>
      <c r="Q13" s="44">
        <v>2</v>
      </c>
      <c r="R13" s="44"/>
    </row>
    <row r="14" spans="1:18">
      <c r="A14">
        <v>1980</v>
      </c>
      <c r="B14" t="s">
        <v>2984</v>
      </c>
      <c r="C14" s="44">
        <v>1</v>
      </c>
      <c r="D14" s="44">
        <v>1</v>
      </c>
      <c r="E14" s="44"/>
      <c r="F14" s="44">
        <v>2</v>
      </c>
      <c r="G14" s="44">
        <v>1</v>
      </c>
      <c r="H14" s="44">
        <v>1</v>
      </c>
      <c r="I14" s="44">
        <v>1</v>
      </c>
      <c r="J14" s="44">
        <v>2</v>
      </c>
      <c r="K14" s="44"/>
      <c r="L14" s="44">
        <v>8</v>
      </c>
      <c r="M14" s="44"/>
      <c r="N14" s="44"/>
      <c r="O14" s="44"/>
      <c r="P14" s="44">
        <v>1</v>
      </c>
      <c r="Q14" s="44">
        <v>1</v>
      </c>
      <c r="R14" s="44"/>
    </row>
    <row r="15" spans="1:18">
      <c r="A15">
        <v>2000</v>
      </c>
      <c r="B15" t="s">
        <v>2984</v>
      </c>
      <c r="C15" s="44">
        <v>2</v>
      </c>
      <c r="D15" s="44">
        <v>2</v>
      </c>
      <c r="E15" s="44">
        <v>1</v>
      </c>
      <c r="F15" s="44">
        <v>3</v>
      </c>
      <c r="G15" s="44"/>
      <c r="H15" s="44"/>
      <c r="I15" s="44">
        <v>1</v>
      </c>
      <c r="J15" s="44">
        <v>2</v>
      </c>
      <c r="K15" s="44"/>
      <c r="L15" s="44">
        <v>23</v>
      </c>
      <c r="M15" s="44"/>
      <c r="N15" s="44"/>
      <c r="O15" s="44"/>
      <c r="P15" s="44">
        <v>1</v>
      </c>
      <c r="Q15" s="44">
        <v>4</v>
      </c>
      <c r="R15" s="44">
        <v>1</v>
      </c>
    </row>
    <row r="16" spans="1:18">
      <c r="A16">
        <v>2020</v>
      </c>
      <c r="B16" t="s">
        <v>2984</v>
      </c>
      <c r="C16" s="44"/>
      <c r="D16" s="44"/>
      <c r="E16" s="44">
        <v>1</v>
      </c>
      <c r="F16" s="44"/>
      <c r="G16" s="44"/>
      <c r="H16" s="44"/>
      <c r="I16" s="44"/>
      <c r="J16" s="44"/>
      <c r="K16" s="44"/>
      <c r="L16" s="44">
        <v>14</v>
      </c>
      <c r="M16" s="44"/>
      <c r="N16" s="44">
        <v>1</v>
      </c>
      <c r="O16" s="44"/>
      <c r="P16" s="44">
        <v>1</v>
      </c>
      <c r="Q16" s="44">
        <v>1</v>
      </c>
      <c r="R16" s="44">
        <v>3</v>
      </c>
    </row>
    <row r="17" spans="1:18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/>
      <c r="K17" s="44">
        <v>1</v>
      </c>
      <c r="L17" s="44"/>
      <c r="M17" s="44"/>
      <c r="N17" s="44"/>
      <c r="O17" s="44"/>
      <c r="P17" s="44"/>
      <c r="Q17" s="44"/>
      <c r="R17" s="4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909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2971</v>
      </c>
      <c r="I4" t="s">
        <v>2980</v>
      </c>
      <c r="J4" t="s">
        <v>2972</v>
      </c>
      <c r="K4" t="s">
        <v>2981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/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>
        <v>1</v>
      </c>
      <c r="G7" s="44"/>
      <c r="H7" s="44"/>
      <c r="I7" s="44"/>
      <c r="J7" s="44"/>
      <c r="K7" s="44"/>
      <c r="L7" s="44"/>
      <c r="M7" s="44"/>
      <c r="N7" s="44"/>
      <c r="O7" s="44">
        <v>1</v>
      </c>
      <c r="P7" s="44">
        <v>1</v>
      </c>
      <c r="Q7" s="44"/>
      <c r="R7" s="44"/>
    </row>
    <row r="8" spans="1:18">
      <c r="A8">
        <v>1860</v>
      </c>
      <c r="B8" t="s">
        <v>2984</v>
      </c>
      <c r="C8" s="44"/>
      <c r="D8" s="44"/>
      <c r="E8" s="44"/>
      <c r="F8" s="44">
        <v>3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</row>
    <row r="9" spans="1:18">
      <c r="A9">
        <v>1880</v>
      </c>
      <c r="B9" t="s">
        <v>2984</v>
      </c>
      <c r="C9" s="44"/>
      <c r="D9" s="44"/>
      <c r="E9" s="44">
        <v>1</v>
      </c>
      <c r="F9" s="44">
        <v>1</v>
      </c>
      <c r="G9" s="44"/>
      <c r="H9" s="44">
        <v>2</v>
      </c>
      <c r="I9" s="44"/>
      <c r="J9" s="44"/>
      <c r="K9" s="44"/>
      <c r="L9" s="44">
        <v>3</v>
      </c>
      <c r="M9" s="44"/>
      <c r="N9" s="44"/>
      <c r="O9" s="44"/>
      <c r="P9" s="44"/>
      <c r="Q9" s="44"/>
      <c r="R9" s="44"/>
    </row>
    <row r="10" spans="1:18">
      <c r="A10">
        <v>1900</v>
      </c>
      <c r="B10" t="s">
        <v>2984</v>
      </c>
      <c r="C10" s="44">
        <v>2</v>
      </c>
      <c r="D10" s="44"/>
      <c r="E10" s="44"/>
      <c r="F10" s="44">
        <v>2</v>
      </c>
      <c r="G10" s="44">
        <v>3</v>
      </c>
      <c r="H10" s="44">
        <v>2</v>
      </c>
      <c r="I10" s="44">
        <v>4</v>
      </c>
      <c r="J10" s="44"/>
      <c r="K10" s="44"/>
      <c r="L10" s="44">
        <v>3</v>
      </c>
      <c r="M10" s="44"/>
      <c r="N10" s="44"/>
      <c r="O10" s="44">
        <v>1</v>
      </c>
      <c r="P10" s="44">
        <v>1</v>
      </c>
      <c r="Q10" s="44"/>
      <c r="R10" s="44"/>
    </row>
    <row r="11" spans="1:18">
      <c r="A11">
        <v>1920</v>
      </c>
      <c r="B11" t="s">
        <v>2984</v>
      </c>
      <c r="C11" s="44">
        <v>1</v>
      </c>
      <c r="D11" s="44"/>
      <c r="E11" s="44">
        <v>4</v>
      </c>
      <c r="F11" s="44">
        <v>2</v>
      </c>
      <c r="G11" s="44">
        <v>2</v>
      </c>
      <c r="H11" s="44">
        <v>1</v>
      </c>
      <c r="I11" s="44"/>
      <c r="J11" s="44"/>
      <c r="K11" s="44"/>
      <c r="L11" s="44">
        <v>6</v>
      </c>
      <c r="M11" s="44">
        <v>2</v>
      </c>
      <c r="N11" s="44"/>
      <c r="O11" s="44">
        <v>3</v>
      </c>
      <c r="P11" s="44">
        <v>2</v>
      </c>
      <c r="Q11" s="44"/>
      <c r="R11" s="44"/>
    </row>
    <row r="12" spans="1:18">
      <c r="A12">
        <v>1940</v>
      </c>
      <c r="B12" t="s">
        <v>2984</v>
      </c>
      <c r="C12" s="44">
        <v>1</v>
      </c>
      <c r="D12" s="44"/>
      <c r="E12" s="44">
        <v>4</v>
      </c>
      <c r="F12" s="44">
        <v>7</v>
      </c>
      <c r="G12" s="44">
        <v>3</v>
      </c>
      <c r="H12" s="44">
        <v>2</v>
      </c>
      <c r="I12" s="44"/>
      <c r="J12" s="44"/>
      <c r="K12" s="44"/>
      <c r="L12" s="44">
        <v>5</v>
      </c>
      <c r="M12" s="44"/>
      <c r="N12" s="44"/>
      <c r="O12" s="44">
        <v>2</v>
      </c>
      <c r="P12" s="44">
        <v>1</v>
      </c>
      <c r="Q12" s="44"/>
      <c r="R12" s="44"/>
    </row>
    <row r="13" spans="1:18">
      <c r="A13">
        <v>1960</v>
      </c>
      <c r="B13" t="s">
        <v>2984</v>
      </c>
      <c r="C13" s="44">
        <v>2</v>
      </c>
      <c r="D13" s="44">
        <v>2</v>
      </c>
      <c r="E13" s="44">
        <v>1</v>
      </c>
      <c r="F13" s="44">
        <v>3</v>
      </c>
      <c r="G13" s="44">
        <v>1</v>
      </c>
      <c r="H13" s="44">
        <v>2</v>
      </c>
      <c r="I13" s="44"/>
      <c r="J13" s="44"/>
      <c r="K13" s="44"/>
      <c r="L13" s="44">
        <v>5</v>
      </c>
      <c r="M13" s="44"/>
      <c r="N13" s="44"/>
      <c r="O13" s="44"/>
      <c r="P13" s="44">
        <v>1</v>
      </c>
      <c r="Q13" s="44">
        <v>5</v>
      </c>
      <c r="R13" s="44"/>
    </row>
    <row r="14" spans="1:18">
      <c r="A14">
        <v>1980</v>
      </c>
      <c r="B14" t="s">
        <v>2984</v>
      </c>
      <c r="C14" s="44"/>
      <c r="D14" s="44"/>
      <c r="E14" s="44">
        <v>3</v>
      </c>
      <c r="F14" s="44">
        <v>1</v>
      </c>
      <c r="G14" s="44">
        <v>2</v>
      </c>
      <c r="H14" s="44">
        <v>2</v>
      </c>
      <c r="I14" s="44">
        <v>2</v>
      </c>
      <c r="J14" s="44"/>
      <c r="K14" s="44">
        <v>1</v>
      </c>
      <c r="L14" s="44">
        <v>7</v>
      </c>
      <c r="M14" s="44"/>
      <c r="N14" s="44"/>
      <c r="O14" s="44"/>
      <c r="P14" s="44">
        <v>1</v>
      </c>
      <c r="Q14" s="44">
        <v>3</v>
      </c>
      <c r="R14" s="44"/>
    </row>
    <row r="15" spans="1:18">
      <c r="A15">
        <v>2000</v>
      </c>
      <c r="B15" t="s">
        <v>2984</v>
      </c>
      <c r="C15" s="44">
        <v>1</v>
      </c>
      <c r="D15" s="44">
        <v>1</v>
      </c>
      <c r="E15" s="44">
        <v>3</v>
      </c>
      <c r="F15" s="44">
        <v>1</v>
      </c>
      <c r="G15" s="44"/>
      <c r="H15" s="44">
        <v>1</v>
      </c>
      <c r="I15" s="44">
        <v>2</v>
      </c>
      <c r="J15" s="44"/>
      <c r="K15" s="44"/>
      <c r="L15" s="44">
        <v>19</v>
      </c>
      <c r="M15" s="44"/>
      <c r="N15" s="44"/>
      <c r="O15" s="44"/>
      <c r="P15" s="44">
        <v>1</v>
      </c>
      <c r="Q15" s="44">
        <v>4</v>
      </c>
      <c r="R15" s="44">
        <v>1</v>
      </c>
    </row>
    <row r="16" spans="1:18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>
        <v>10</v>
      </c>
      <c r="M16" s="44"/>
      <c r="N16" s="44">
        <v>1</v>
      </c>
      <c r="O16" s="44"/>
      <c r="P16" s="44">
        <v>1</v>
      </c>
      <c r="Q16" s="44">
        <v>1</v>
      </c>
      <c r="R16" s="44">
        <v>3</v>
      </c>
    </row>
    <row r="17" spans="1:18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>
        <v>1</v>
      </c>
      <c r="K17" s="44"/>
      <c r="L17" s="44"/>
      <c r="M17" s="44"/>
      <c r="N17" s="44"/>
      <c r="O17" s="44"/>
      <c r="P17" s="44"/>
      <c r="Q17" s="44"/>
      <c r="R17" s="4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2973</v>
      </c>
      <c r="C3" s="34" t="s">
        <v>2278</v>
      </c>
    </row>
    <row r="4" spans="1:17">
      <c r="A4" s="34" t="s">
        <v>2982</v>
      </c>
      <c r="B4" s="34" t="s">
        <v>911</v>
      </c>
      <c r="C4" t="s">
        <v>2974</v>
      </c>
      <c r="D4" t="s">
        <v>2979</v>
      </c>
      <c r="E4" t="s">
        <v>2976</v>
      </c>
      <c r="F4" t="s">
        <v>2970</v>
      </c>
      <c r="G4" t="s">
        <v>2975</v>
      </c>
      <c r="H4" t="s">
        <v>2971</v>
      </c>
      <c r="I4" t="s">
        <v>2980</v>
      </c>
      <c r="J4" t="s">
        <v>2972</v>
      </c>
      <c r="K4" t="s">
        <v>2985</v>
      </c>
      <c r="L4" t="s">
        <v>3080</v>
      </c>
      <c r="M4" t="s">
        <v>3081</v>
      </c>
      <c r="N4" t="s">
        <v>3082</v>
      </c>
      <c r="O4" t="s">
        <v>3083</v>
      </c>
      <c r="P4" t="s">
        <v>3084</v>
      </c>
      <c r="Q4" t="s">
        <v>3085</v>
      </c>
    </row>
    <row r="5" spans="1:17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>
        <v>1</v>
      </c>
      <c r="L5" s="44"/>
      <c r="M5" s="44"/>
      <c r="N5" s="44"/>
      <c r="O5" s="44"/>
      <c r="P5" s="44"/>
      <c r="Q5" s="44"/>
    </row>
    <row r="6" spans="1:17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>
        <v>4</v>
      </c>
      <c r="L6" s="44"/>
      <c r="M6" s="44"/>
      <c r="N6" s="44">
        <v>1</v>
      </c>
      <c r="O6" s="44">
        <v>1</v>
      </c>
      <c r="P6" s="44"/>
      <c r="Q6" s="44"/>
    </row>
    <row r="7" spans="1:17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1</v>
      </c>
      <c r="O7" s="44">
        <v>1</v>
      </c>
      <c r="P7" s="44"/>
      <c r="Q7" s="44"/>
    </row>
    <row r="8" spans="1:17">
      <c r="A8">
        <v>1860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1</v>
      </c>
      <c r="M8" s="44"/>
      <c r="N8" s="44"/>
      <c r="O8" s="44"/>
      <c r="P8" s="44"/>
      <c r="Q8" s="44"/>
    </row>
    <row r="9" spans="1:17">
      <c r="A9">
        <v>1880</v>
      </c>
      <c r="B9" t="s">
        <v>2984</v>
      </c>
      <c r="C9" s="44"/>
      <c r="D9" s="44"/>
      <c r="E9" s="44"/>
      <c r="F9" s="44"/>
      <c r="G9" s="44"/>
      <c r="H9" s="44"/>
      <c r="I9" s="44"/>
      <c r="J9" s="44"/>
      <c r="K9" s="44">
        <v>3</v>
      </c>
      <c r="L9" s="44"/>
      <c r="M9" s="44"/>
      <c r="N9" s="44"/>
      <c r="O9" s="44"/>
      <c r="P9" s="44"/>
      <c r="Q9" s="44"/>
    </row>
    <row r="10" spans="1:17">
      <c r="A10">
        <v>1900</v>
      </c>
      <c r="B10" t="s">
        <v>2984</v>
      </c>
      <c r="C10" s="44"/>
      <c r="D10" s="44"/>
      <c r="E10" s="44">
        <v>1</v>
      </c>
      <c r="F10" s="44"/>
      <c r="G10" s="44">
        <v>1</v>
      </c>
      <c r="H10" s="44">
        <v>1</v>
      </c>
      <c r="I10" s="44">
        <v>4</v>
      </c>
      <c r="J10" s="44"/>
      <c r="K10" s="44">
        <v>3</v>
      </c>
      <c r="L10" s="44"/>
      <c r="M10" s="44"/>
      <c r="N10" s="44">
        <v>1</v>
      </c>
      <c r="O10" s="44">
        <v>1</v>
      </c>
      <c r="P10" s="44"/>
      <c r="Q10" s="44"/>
    </row>
    <row r="11" spans="1:17">
      <c r="A11">
        <v>1920</v>
      </c>
      <c r="B11" t="s">
        <v>2984</v>
      </c>
      <c r="C11" s="44">
        <v>1</v>
      </c>
      <c r="D11" s="44">
        <v>1</v>
      </c>
      <c r="E11" s="44">
        <v>2</v>
      </c>
      <c r="F11" s="44">
        <v>1</v>
      </c>
      <c r="G11" s="44"/>
      <c r="H11" s="44"/>
      <c r="I11" s="44"/>
      <c r="J11" s="44"/>
      <c r="K11" s="44">
        <v>6</v>
      </c>
      <c r="L11" s="44"/>
      <c r="M11" s="44"/>
      <c r="N11" s="44">
        <v>3</v>
      </c>
      <c r="O11" s="44">
        <v>2</v>
      </c>
      <c r="P11" s="44"/>
      <c r="Q11" s="44"/>
    </row>
    <row r="12" spans="1:17">
      <c r="A12">
        <v>1940</v>
      </c>
      <c r="B12" t="s">
        <v>2984</v>
      </c>
      <c r="C12" s="44"/>
      <c r="D12" s="44"/>
      <c r="E12" s="44">
        <v>3</v>
      </c>
      <c r="F12" s="44">
        <v>2</v>
      </c>
      <c r="G12" s="44"/>
      <c r="H12" s="44"/>
      <c r="I12" s="44"/>
      <c r="J12" s="44"/>
      <c r="K12" s="44">
        <v>5</v>
      </c>
      <c r="L12" s="44"/>
      <c r="M12" s="44"/>
      <c r="N12" s="44">
        <v>2</v>
      </c>
      <c r="O12" s="44">
        <v>1</v>
      </c>
      <c r="P12" s="44"/>
      <c r="Q12" s="44"/>
    </row>
    <row r="13" spans="1:17">
      <c r="A13">
        <v>1960</v>
      </c>
      <c r="B13" t="s">
        <v>2984</v>
      </c>
      <c r="C13" s="44">
        <v>2</v>
      </c>
      <c r="D13" s="44"/>
      <c r="E13" s="44">
        <v>4</v>
      </c>
      <c r="F13" s="44">
        <v>2</v>
      </c>
      <c r="G13" s="44">
        <v>2</v>
      </c>
      <c r="H13" s="44">
        <v>1</v>
      </c>
      <c r="I13" s="44"/>
      <c r="J13" s="44"/>
      <c r="K13" s="44">
        <v>5</v>
      </c>
      <c r="L13" s="44"/>
      <c r="M13" s="44"/>
      <c r="N13" s="44"/>
      <c r="O13" s="44">
        <v>1</v>
      </c>
      <c r="P13" s="44">
        <v>5</v>
      </c>
      <c r="Q13" s="44"/>
    </row>
    <row r="14" spans="1:17">
      <c r="A14">
        <v>1980</v>
      </c>
      <c r="B14" t="s">
        <v>2984</v>
      </c>
      <c r="C14" s="44">
        <v>1</v>
      </c>
      <c r="D14" s="44">
        <v>1</v>
      </c>
      <c r="E14" s="44">
        <v>2</v>
      </c>
      <c r="F14" s="44">
        <v>1</v>
      </c>
      <c r="G14" s="44"/>
      <c r="H14" s="44">
        <v>2</v>
      </c>
      <c r="I14" s="44">
        <v>2</v>
      </c>
      <c r="J14" s="44"/>
      <c r="K14" s="44">
        <v>7</v>
      </c>
      <c r="L14" s="44"/>
      <c r="M14" s="44"/>
      <c r="N14" s="44"/>
      <c r="O14" s="44">
        <v>1</v>
      </c>
      <c r="P14" s="44">
        <v>3</v>
      </c>
      <c r="Q14" s="44"/>
    </row>
    <row r="15" spans="1:17">
      <c r="A15">
        <v>2000</v>
      </c>
      <c r="B15" t="s">
        <v>2984</v>
      </c>
      <c r="C15" s="44">
        <v>2</v>
      </c>
      <c r="D15" s="44"/>
      <c r="E15" s="44">
        <v>1</v>
      </c>
      <c r="F15" s="44"/>
      <c r="G15" s="44">
        <v>1</v>
      </c>
      <c r="H15" s="44">
        <v>2</v>
      </c>
      <c r="I15" s="44">
        <v>2</v>
      </c>
      <c r="J15" s="44"/>
      <c r="K15" s="44">
        <v>19</v>
      </c>
      <c r="L15" s="44"/>
      <c r="M15" s="44"/>
      <c r="N15" s="44"/>
      <c r="O15" s="44">
        <v>1</v>
      </c>
      <c r="P15" s="44">
        <v>4</v>
      </c>
      <c r="Q15" s="44">
        <v>1</v>
      </c>
    </row>
    <row r="16" spans="1:17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>
        <v>10</v>
      </c>
      <c r="L16" s="44"/>
      <c r="M16" s="44">
        <v>1</v>
      </c>
      <c r="N16" s="44"/>
      <c r="O16" s="44">
        <v>1</v>
      </c>
      <c r="P16" s="44">
        <v>1</v>
      </c>
      <c r="Q16" s="44">
        <v>3</v>
      </c>
    </row>
    <row r="17" spans="1:17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>
        <v>1</v>
      </c>
      <c r="K17" s="44"/>
      <c r="L17" s="44"/>
      <c r="M17" s="44"/>
      <c r="N17" s="44"/>
      <c r="O17" s="44"/>
      <c r="P17" s="44"/>
      <c r="Q17" s="4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2973</v>
      </c>
      <c r="C3" s="34" t="s">
        <v>2278</v>
      </c>
    </row>
    <row r="4" spans="1:19">
      <c r="A4" s="34" t="s">
        <v>2982</v>
      </c>
      <c r="B4" s="34" t="s">
        <v>912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2978</v>
      </c>
      <c r="L4" t="s">
        <v>2972</v>
      </c>
      <c r="M4" t="s">
        <v>2985</v>
      </c>
      <c r="N4" t="s">
        <v>3080</v>
      </c>
      <c r="O4" t="s">
        <v>3081</v>
      </c>
      <c r="P4" t="s">
        <v>3082</v>
      </c>
      <c r="Q4" t="s">
        <v>3083</v>
      </c>
      <c r="R4" t="s">
        <v>3084</v>
      </c>
      <c r="S4" t="s">
        <v>3085</v>
      </c>
    </row>
    <row r="5" spans="1:19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>
        <v>2</v>
      </c>
      <c r="N5" s="44"/>
      <c r="O5" s="44"/>
      <c r="P5" s="44"/>
      <c r="Q5" s="44"/>
      <c r="R5" s="44"/>
      <c r="S5" s="44"/>
    </row>
    <row r="6" spans="1:19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>
        <v>4</v>
      </c>
      <c r="N6" s="44"/>
      <c r="O6" s="44">
        <v>1</v>
      </c>
      <c r="P6" s="44">
        <v>1</v>
      </c>
      <c r="Q6" s="44">
        <v>1</v>
      </c>
      <c r="R6" s="44"/>
      <c r="S6" s="44"/>
    </row>
    <row r="7" spans="1:19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1</v>
      </c>
      <c r="O7" s="44">
        <v>2</v>
      </c>
      <c r="P7" s="44">
        <v>2</v>
      </c>
      <c r="Q7" s="44">
        <v>2</v>
      </c>
      <c r="R7" s="44"/>
      <c r="S7" s="44"/>
    </row>
    <row r="8" spans="1:19">
      <c r="A8">
        <v>1880</v>
      </c>
      <c r="B8" t="s">
        <v>2984</v>
      </c>
      <c r="C8" s="44"/>
      <c r="D8" s="44"/>
      <c r="E8" s="44"/>
      <c r="F8" s="44"/>
      <c r="G8" s="44"/>
      <c r="H8" s="44">
        <v>1</v>
      </c>
      <c r="I8" s="44"/>
      <c r="J8" s="44"/>
      <c r="K8" s="44"/>
      <c r="L8" s="44"/>
      <c r="M8" s="44">
        <v>4</v>
      </c>
      <c r="N8" s="44">
        <v>3</v>
      </c>
      <c r="O8" s="44"/>
      <c r="P8" s="44"/>
      <c r="Q8" s="44"/>
      <c r="R8" s="44"/>
      <c r="S8" s="44"/>
    </row>
    <row r="9" spans="1:19">
      <c r="A9">
        <v>1900</v>
      </c>
      <c r="B9" t="s">
        <v>2984</v>
      </c>
      <c r="C9" s="44"/>
      <c r="D9" s="44"/>
      <c r="E9" s="44"/>
      <c r="F9" s="44"/>
      <c r="G9" s="44">
        <v>1</v>
      </c>
      <c r="H9" s="44">
        <v>3</v>
      </c>
      <c r="I9" s="44"/>
      <c r="J9" s="44">
        <v>4</v>
      </c>
      <c r="K9" s="44"/>
      <c r="L9" s="44"/>
      <c r="M9" s="44">
        <v>3</v>
      </c>
      <c r="N9" s="44"/>
      <c r="O9" s="44">
        <v>1</v>
      </c>
      <c r="P9" s="44">
        <v>2</v>
      </c>
      <c r="Q9" s="44">
        <v>1</v>
      </c>
      <c r="R9" s="44"/>
      <c r="S9" s="44"/>
    </row>
    <row r="10" spans="1:19">
      <c r="A10">
        <v>1920</v>
      </c>
      <c r="B10" t="s">
        <v>2984</v>
      </c>
      <c r="C10" s="44">
        <v>1</v>
      </c>
      <c r="D10" s="44"/>
      <c r="E10" s="44"/>
      <c r="F10" s="44">
        <v>3</v>
      </c>
      <c r="G10" s="44">
        <v>1</v>
      </c>
      <c r="H10" s="44"/>
      <c r="I10" s="44">
        <v>2</v>
      </c>
      <c r="J10" s="44"/>
      <c r="K10" s="44"/>
      <c r="L10" s="44"/>
      <c r="M10" s="44">
        <v>8</v>
      </c>
      <c r="N10" s="44">
        <v>3</v>
      </c>
      <c r="O10" s="44">
        <v>2</v>
      </c>
      <c r="P10" s="44">
        <v>4</v>
      </c>
      <c r="Q10" s="44">
        <v>3</v>
      </c>
      <c r="R10" s="44"/>
      <c r="S10" s="44"/>
    </row>
    <row r="11" spans="1:19">
      <c r="A11">
        <v>1940</v>
      </c>
      <c r="B11" t="s">
        <v>2984</v>
      </c>
      <c r="C11" s="44">
        <v>1</v>
      </c>
      <c r="D11" s="44"/>
      <c r="E11" s="44">
        <v>1</v>
      </c>
      <c r="F11" s="44">
        <v>7</v>
      </c>
      <c r="G11" s="44">
        <v>2</v>
      </c>
      <c r="H11" s="44"/>
      <c r="I11" s="44">
        <v>1</v>
      </c>
      <c r="J11" s="44"/>
      <c r="K11" s="44"/>
      <c r="L11" s="44"/>
      <c r="M11" s="44">
        <v>7</v>
      </c>
      <c r="N11" s="44"/>
      <c r="O11" s="44">
        <v>3</v>
      </c>
      <c r="P11" s="44">
        <v>5</v>
      </c>
      <c r="Q11" s="44">
        <v>3</v>
      </c>
      <c r="R11" s="44">
        <v>2</v>
      </c>
      <c r="S11" s="44"/>
    </row>
    <row r="12" spans="1:19">
      <c r="A12">
        <v>1960</v>
      </c>
      <c r="B12" t="s">
        <v>2984</v>
      </c>
      <c r="C12" s="44">
        <v>4</v>
      </c>
      <c r="D12" s="44">
        <v>2</v>
      </c>
      <c r="E12" s="44">
        <v>1</v>
      </c>
      <c r="F12" s="44">
        <v>8</v>
      </c>
      <c r="G12" s="44">
        <v>2</v>
      </c>
      <c r="H12" s="44">
        <v>2</v>
      </c>
      <c r="I12" s="44"/>
      <c r="J12" s="44"/>
      <c r="K12" s="44"/>
      <c r="L12" s="44"/>
      <c r="M12" s="44">
        <v>6</v>
      </c>
      <c r="N12" s="44"/>
      <c r="O12" s="44">
        <v>1</v>
      </c>
      <c r="P12" s="44">
        <v>3</v>
      </c>
      <c r="Q12" s="44">
        <v>2</v>
      </c>
      <c r="R12" s="44">
        <v>2</v>
      </c>
      <c r="S12" s="44"/>
    </row>
    <row r="13" spans="1:19">
      <c r="A13">
        <v>1980</v>
      </c>
      <c r="B13" t="s">
        <v>2984</v>
      </c>
      <c r="C13" s="44">
        <v>4</v>
      </c>
      <c r="D13" s="44">
        <v>1</v>
      </c>
      <c r="E13" s="44">
        <v>1</v>
      </c>
      <c r="F13" s="44">
        <v>4</v>
      </c>
      <c r="G13" s="44">
        <v>4</v>
      </c>
      <c r="H13" s="44"/>
      <c r="I13" s="44">
        <v>5</v>
      </c>
      <c r="J13" s="44">
        <v>2</v>
      </c>
      <c r="K13" s="44"/>
      <c r="L13" s="44">
        <v>2</v>
      </c>
      <c r="M13" s="44">
        <v>8</v>
      </c>
      <c r="N13" s="44">
        <v>1</v>
      </c>
      <c r="O13" s="44"/>
      <c r="P13" s="44"/>
      <c r="Q13" s="44">
        <v>1</v>
      </c>
      <c r="R13" s="44">
        <v>1</v>
      </c>
      <c r="S13" s="44"/>
    </row>
    <row r="14" spans="1:19">
      <c r="A14">
        <v>2000</v>
      </c>
      <c r="B14" t="s">
        <v>2984</v>
      </c>
      <c r="C14" s="44">
        <v>4</v>
      </c>
      <c r="D14" s="44">
        <v>1</v>
      </c>
      <c r="E14" s="44">
        <v>4</v>
      </c>
      <c r="F14" s="44">
        <v>2</v>
      </c>
      <c r="G14" s="44">
        <v>4</v>
      </c>
      <c r="H14" s="44"/>
      <c r="I14" s="44">
        <v>4</v>
      </c>
      <c r="J14" s="44">
        <v>2</v>
      </c>
      <c r="K14" s="44">
        <v>1</v>
      </c>
      <c r="L14" s="44">
        <v>2</v>
      </c>
      <c r="M14" s="44">
        <v>23</v>
      </c>
      <c r="N14" s="44"/>
      <c r="O14" s="44"/>
      <c r="P14" s="44"/>
      <c r="Q14" s="44">
        <v>1</v>
      </c>
      <c r="R14" s="44">
        <v>4</v>
      </c>
      <c r="S14" s="44">
        <v>1</v>
      </c>
    </row>
    <row r="15" spans="1:19">
      <c r="A15">
        <v>2020</v>
      </c>
      <c r="B15" t="s">
        <v>2984</v>
      </c>
      <c r="C15" s="44"/>
      <c r="D15" s="44"/>
      <c r="E15" s="44"/>
      <c r="F15" s="44"/>
      <c r="G15" s="44"/>
      <c r="H15" s="44"/>
      <c r="I15" s="44"/>
      <c r="J15" s="44"/>
      <c r="K15" s="44"/>
      <c r="L15" s="44">
        <v>1</v>
      </c>
      <c r="M15" s="44">
        <v>14</v>
      </c>
      <c r="N15" s="44"/>
      <c r="O15" s="44">
        <v>1</v>
      </c>
      <c r="P15" s="44"/>
      <c r="Q15" s="44">
        <v>1</v>
      </c>
      <c r="R15" s="44">
        <v>1</v>
      </c>
      <c r="S15" s="44">
        <v>3</v>
      </c>
    </row>
    <row r="16" spans="1:19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>
        <v>1</v>
      </c>
      <c r="M16" s="44"/>
      <c r="N16" s="44"/>
      <c r="O16" s="44"/>
      <c r="P16" s="44"/>
      <c r="Q16" s="44"/>
      <c r="R16" s="44"/>
      <c r="S16" s="4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2973</v>
      </c>
      <c r="C3" s="34" t="s">
        <v>2278</v>
      </c>
    </row>
    <row r="4" spans="1:17">
      <c r="A4" s="34" t="s">
        <v>2982</v>
      </c>
      <c r="B4" s="34" t="s">
        <v>906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2980</v>
      </c>
      <c r="J4" t="s">
        <v>2972</v>
      </c>
      <c r="K4" t="s">
        <v>2985</v>
      </c>
      <c r="L4" t="s">
        <v>3080</v>
      </c>
      <c r="M4" t="s">
        <v>3081</v>
      </c>
      <c r="N4" t="s">
        <v>3082</v>
      </c>
      <c r="O4" t="s">
        <v>3083</v>
      </c>
      <c r="P4" t="s">
        <v>3084</v>
      </c>
      <c r="Q4" t="s">
        <v>3085</v>
      </c>
    </row>
    <row r="5" spans="1:17">
      <c r="A5">
        <v>1820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>
        <v>4</v>
      </c>
      <c r="L5" s="44"/>
      <c r="M5" s="44">
        <v>1</v>
      </c>
      <c r="N5" s="44">
        <v>1</v>
      </c>
      <c r="O5" s="44">
        <v>1</v>
      </c>
      <c r="P5" s="44"/>
      <c r="Q5" s="44"/>
    </row>
    <row r="6" spans="1:17">
      <c r="A6">
        <v>1840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1</v>
      </c>
      <c r="M6" s="44">
        <v>2</v>
      </c>
      <c r="N6" s="44">
        <v>2</v>
      </c>
      <c r="O6" s="44">
        <v>2</v>
      </c>
      <c r="P6" s="44"/>
      <c r="Q6" s="44"/>
    </row>
    <row r="7" spans="1:17">
      <c r="A7">
        <v>1880</v>
      </c>
      <c r="B7" t="s">
        <v>2984</v>
      </c>
      <c r="C7" s="44">
        <v>1</v>
      </c>
      <c r="D7" s="44"/>
      <c r="E7" s="44"/>
      <c r="F7" s="44">
        <v>1</v>
      </c>
      <c r="G7" s="44"/>
      <c r="H7" s="44"/>
      <c r="I7" s="44"/>
      <c r="J7" s="44"/>
      <c r="K7" s="44">
        <v>2</v>
      </c>
      <c r="L7" s="44"/>
      <c r="M7" s="44"/>
      <c r="N7" s="44"/>
      <c r="O7" s="44"/>
      <c r="P7" s="44"/>
      <c r="Q7" s="44"/>
    </row>
    <row r="8" spans="1:17">
      <c r="A8">
        <v>1900</v>
      </c>
      <c r="B8" t="s">
        <v>2984</v>
      </c>
      <c r="C8" s="44">
        <v>2</v>
      </c>
      <c r="D8" s="44"/>
      <c r="E8" s="44"/>
      <c r="F8" s="44">
        <v>1</v>
      </c>
      <c r="G8" s="44"/>
      <c r="H8" s="44"/>
      <c r="I8" s="44">
        <v>4</v>
      </c>
      <c r="J8" s="44"/>
      <c r="K8" s="44">
        <v>3</v>
      </c>
      <c r="L8" s="44">
        <v>1</v>
      </c>
      <c r="M8" s="44">
        <v>1</v>
      </c>
      <c r="N8" s="44">
        <v>3</v>
      </c>
      <c r="O8" s="44">
        <v>2</v>
      </c>
      <c r="P8" s="44"/>
      <c r="Q8" s="44"/>
    </row>
    <row r="9" spans="1:17">
      <c r="A9">
        <v>1920</v>
      </c>
      <c r="B9" t="s">
        <v>2984</v>
      </c>
      <c r="C9" s="44">
        <v>3</v>
      </c>
      <c r="D9" s="44"/>
      <c r="E9" s="44">
        <v>1</v>
      </c>
      <c r="F9" s="44">
        <v>3</v>
      </c>
      <c r="G9" s="44">
        <v>1</v>
      </c>
      <c r="H9" s="44">
        <v>1</v>
      </c>
      <c r="I9" s="44"/>
      <c r="J9" s="44"/>
      <c r="K9" s="44">
        <v>4</v>
      </c>
      <c r="L9" s="44">
        <v>1</v>
      </c>
      <c r="M9" s="44">
        <v>2</v>
      </c>
      <c r="N9" s="44">
        <v>4</v>
      </c>
      <c r="O9" s="44">
        <v>3</v>
      </c>
      <c r="P9" s="44"/>
      <c r="Q9" s="44"/>
    </row>
    <row r="10" spans="1:17">
      <c r="A10">
        <v>1940</v>
      </c>
      <c r="B10" t="s">
        <v>2984</v>
      </c>
      <c r="C10" s="44">
        <v>2</v>
      </c>
      <c r="D10" s="44"/>
      <c r="E10" s="44">
        <v>1</v>
      </c>
      <c r="F10" s="44">
        <v>3</v>
      </c>
      <c r="G10" s="44">
        <v>2</v>
      </c>
      <c r="H10" s="44"/>
      <c r="I10" s="44"/>
      <c r="J10" s="44"/>
      <c r="K10" s="44">
        <v>3</v>
      </c>
      <c r="L10" s="44">
        <v>1</v>
      </c>
      <c r="M10" s="44"/>
      <c r="N10" s="44">
        <v>2</v>
      </c>
      <c r="O10" s="44">
        <v>1</v>
      </c>
      <c r="P10" s="44">
        <v>1</v>
      </c>
      <c r="Q10" s="44"/>
    </row>
    <row r="11" spans="1:17">
      <c r="A11">
        <v>1960</v>
      </c>
      <c r="B11" t="s">
        <v>2984</v>
      </c>
      <c r="C11" s="44">
        <v>3</v>
      </c>
      <c r="D11" s="44"/>
      <c r="E11" s="44"/>
      <c r="F11" s="44">
        <v>3</v>
      </c>
      <c r="G11" s="44"/>
      <c r="H11" s="44"/>
      <c r="I11" s="44"/>
      <c r="J11" s="44"/>
      <c r="K11" s="44">
        <v>4</v>
      </c>
      <c r="L11" s="44"/>
      <c r="M11" s="44"/>
      <c r="N11" s="44"/>
      <c r="O11" s="44">
        <v>1</v>
      </c>
      <c r="P11" s="44">
        <v>5</v>
      </c>
      <c r="Q11" s="44"/>
    </row>
    <row r="12" spans="1:17">
      <c r="A12">
        <v>1980</v>
      </c>
      <c r="B12" t="s">
        <v>2984</v>
      </c>
      <c r="C12" s="44">
        <v>2</v>
      </c>
      <c r="D12" s="44">
        <v>1</v>
      </c>
      <c r="E12" s="44"/>
      <c r="F12" s="44">
        <v>4</v>
      </c>
      <c r="G12" s="44"/>
      <c r="H12" s="44"/>
      <c r="I12" s="44">
        <v>2</v>
      </c>
      <c r="J12" s="44"/>
      <c r="K12" s="44">
        <v>6</v>
      </c>
      <c r="L12" s="44"/>
      <c r="M12" s="44"/>
      <c r="N12" s="44"/>
      <c r="O12" s="44">
        <v>1</v>
      </c>
      <c r="P12" s="44">
        <v>3</v>
      </c>
      <c r="Q12" s="44"/>
    </row>
    <row r="13" spans="1:17">
      <c r="A13">
        <v>2000</v>
      </c>
      <c r="B13" t="s">
        <v>2984</v>
      </c>
      <c r="C13" s="44">
        <v>2</v>
      </c>
      <c r="D13" s="44">
        <v>2</v>
      </c>
      <c r="E13" s="44">
        <v>1</v>
      </c>
      <c r="F13" s="44">
        <v>2</v>
      </c>
      <c r="G13" s="44"/>
      <c r="H13" s="44">
        <v>2</v>
      </c>
      <c r="I13" s="44">
        <v>2</v>
      </c>
      <c r="J13" s="44"/>
      <c r="K13" s="44">
        <v>16</v>
      </c>
      <c r="L13" s="44"/>
      <c r="M13" s="44"/>
      <c r="N13" s="44"/>
      <c r="O13" s="44">
        <v>1</v>
      </c>
      <c r="P13" s="44">
        <v>4</v>
      </c>
      <c r="Q13" s="44">
        <v>1</v>
      </c>
    </row>
    <row r="14" spans="1:17">
      <c r="A14">
        <v>2020</v>
      </c>
      <c r="B14" t="s">
        <v>2984</v>
      </c>
      <c r="C14" s="44"/>
      <c r="D14" s="44"/>
      <c r="E14" s="44"/>
      <c r="F14" s="44"/>
      <c r="G14" s="44"/>
      <c r="H14" s="44"/>
      <c r="I14" s="44"/>
      <c r="J14" s="44"/>
      <c r="K14" s="44">
        <v>8</v>
      </c>
      <c r="L14" s="44"/>
      <c r="M14" s="44">
        <v>1</v>
      </c>
      <c r="N14" s="44"/>
      <c r="O14" s="44">
        <v>1</v>
      </c>
      <c r="P14" s="44">
        <v>1</v>
      </c>
      <c r="Q14" s="44">
        <v>3</v>
      </c>
    </row>
    <row r="15" spans="1:17">
      <c r="A15">
        <v>2040</v>
      </c>
      <c r="B15" t="s">
        <v>2984</v>
      </c>
      <c r="C15" s="44"/>
      <c r="D15" s="44"/>
      <c r="E15" s="44"/>
      <c r="F15" s="44"/>
      <c r="G15" s="44"/>
      <c r="H15" s="44"/>
      <c r="I15" s="44"/>
      <c r="J15" s="44">
        <v>1</v>
      </c>
      <c r="K15" s="44"/>
      <c r="L15" s="44"/>
      <c r="M15" s="44"/>
      <c r="N15" s="44"/>
      <c r="O15" s="44"/>
      <c r="P15" s="44"/>
      <c r="Q15" s="4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2973</v>
      </c>
      <c r="C3" s="34" t="s">
        <v>2278</v>
      </c>
    </row>
    <row r="4" spans="1:21">
      <c r="A4" s="34" t="s">
        <v>2982</v>
      </c>
      <c r="B4" s="34" t="s">
        <v>904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2977</v>
      </c>
      <c r="L4" t="s">
        <v>2978</v>
      </c>
      <c r="M4" t="s">
        <v>2972</v>
      </c>
      <c r="N4" t="s">
        <v>2981</v>
      </c>
      <c r="O4" t="s">
        <v>2985</v>
      </c>
      <c r="P4" t="s">
        <v>3080</v>
      </c>
      <c r="Q4" t="s">
        <v>3081</v>
      </c>
      <c r="R4" t="s">
        <v>3082</v>
      </c>
      <c r="S4" t="s">
        <v>3083</v>
      </c>
      <c r="T4" t="s">
        <v>3084</v>
      </c>
      <c r="U4" t="s">
        <v>3085</v>
      </c>
    </row>
    <row r="5" spans="1:21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>
        <v>1</v>
      </c>
      <c r="P5" s="44"/>
      <c r="Q5" s="44"/>
      <c r="R5" s="44"/>
      <c r="S5" s="44"/>
      <c r="T5" s="44"/>
      <c r="U5" s="44"/>
    </row>
    <row r="6" spans="1:21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>
        <v>4</v>
      </c>
      <c r="P6" s="44">
        <v>1</v>
      </c>
      <c r="Q6" s="44">
        <v>1</v>
      </c>
      <c r="R6" s="44">
        <v>1</v>
      </c>
      <c r="S6" s="44">
        <v>1</v>
      </c>
      <c r="T6" s="44"/>
      <c r="U6" s="44"/>
    </row>
    <row r="7" spans="1:21">
      <c r="A7">
        <v>1840</v>
      </c>
      <c r="B7" t="s">
        <v>2984</v>
      </c>
      <c r="C7" s="44"/>
      <c r="D7" s="44"/>
      <c r="E7" s="44"/>
      <c r="F7" s="44">
        <v>1</v>
      </c>
      <c r="G7" s="44"/>
      <c r="H7" s="44"/>
      <c r="I7" s="44"/>
      <c r="J7" s="44"/>
      <c r="K7" s="44"/>
      <c r="L7" s="44"/>
      <c r="M7" s="44"/>
      <c r="N7" s="44"/>
      <c r="O7" s="44"/>
      <c r="P7" s="44">
        <v>1</v>
      </c>
      <c r="Q7" s="44">
        <v>2</v>
      </c>
      <c r="R7" s="44">
        <v>2</v>
      </c>
      <c r="S7" s="44">
        <v>2</v>
      </c>
      <c r="T7" s="44"/>
      <c r="U7" s="44"/>
    </row>
    <row r="8" spans="1:21">
      <c r="A8">
        <v>1860</v>
      </c>
      <c r="B8" t="s">
        <v>2984</v>
      </c>
      <c r="C8" s="44"/>
      <c r="D8" s="44"/>
      <c r="E8" s="44"/>
      <c r="F8" s="44">
        <v>1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</row>
    <row r="9" spans="1:21">
      <c r="A9">
        <v>1880</v>
      </c>
      <c r="B9" t="s">
        <v>2984</v>
      </c>
      <c r="C9" s="44">
        <v>1</v>
      </c>
      <c r="D9" s="44"/>
      <c r="E9" s="44"/>
      <c r="F9" s="44">
        <v>1</v>
      </c>
      <c r="G9" s="44"/>
      <c r="H9" s="44">
        <v>1</v>
      </c>
      <c r="I9" s="44"/>
      <c r="J9" s="44"/>
      <c r="K9" s="44"/>
      <c r="L9" s="44"/>
      <c r="M9" s="44"/>
      <c r="N9" s="44"/>
      <c r="O9" s="44">
        <v>3</v>
      </c>
      <c r="P9" s="44">
        <v>3</v>
      </c>
      <c r="Q9" s="44"/>
      <c r="R9" s="44"/>
      <c r="S9" s="44"/>
      <c r="T9" s="44"/>
      <c r="U9" s="44"/>
    </row>
    <row r="10" spans="1:21">
      <c r="A10">
        <v>1900</v>
      </c>
      <c r="B10" t="s">
        <v>2984</v>
      </c>
      <c r="C10" s="44">
        <v>8</v>
      </c>
      <c r="D10" s="44"/>
      <c r="E10" s="44"/>
      <c r="F10" s="44">
        <v>5</v>
      </c>
      <c r="G10" s="44">
        <v>2</v>
      </c>
      <c r="H10" s="44">
        <v>1</v>
      </c>
      <c r="I10" s="44">
        <v>1</v>
      </c>
      <c r="J10" s="44">
        <v>4</v>
      </c>
      <c r="K10" s="44"/>
      <c r="L10" s="44"/>
      <c r="M10" s="44"/>
      <c r="N10" s="44"/>
      <c r="O10" s="44">
        <v>3</v>
      </c>
      <c r="P10" s="44">
        <v>4</v>
      </c>
      <c r="Q10" s="44">
        <v>1</v>
      </c>
      <c r="R10" s="44">
        <v>2</v>
      </c>
      <c r="S10" s="44">
        <v>1</v>
      </c>
      <c r="T10" s="44"/>
      <c r="U10" s="44"/>
    </row>
    <row r="11" spans="1:21">
      <c r="A11">
        <v>1920</v>
      </c>
      <c r="B11" t="s">
        <v>2984</v>
      </c>
      <c r="C11" s="44">
        <v>9</v>
      </c>
      <c r="D11" s="44">
        <v>1</v>
      </c>
      <c r="E11" s="44"/>
      <c r="F11" s="44">
        <v>6</v>
      </c>
      <c r="G11" s="44">
        <v>1</v>
      </c>
      <c r="H11" s="44"/>
      <c r="I11" s="44">
        <v>1</v>
      </c>
      <c r="J11" s="44"/>
      <c r="K11" s="44"/>
      <c r="L11" s="44"/>
      <c r="M11" s="44">
        <v>1</v>
      </c>
      <c r="N11" s="44"/>
      <c r="O11" s="44">
        <v>6</v>
      </c>
      <c r="P11" s="44">
        <v>5</v>
      </c>
      <c r="Q11" s="44">
        <v>2</v>
      </c>
      <c r="R11" s="44">
        <v>2</v>
      </c>
      <c r="S11" s="44">
        <v>2</v>
      </c>
      <c r="T11" s="44"/>
      <c r="U11" s="44"/>
    </row>
    <row r="12" spans="1:21">
      <c r="A12">
        <v>1940</v>
      </c>
      <c r="B12" t="s">
        <v>2984</v>
      </c>
      <c r="C12" s="44">
        <v>6</v>
      </c>
      <c r="D12" s="44">
        <v>1</v>
      </c>
      <c r="E12" s="44"/>
      <c r="F12" s="44">
        <v>9</v>
      </c>
      <c r="G12" s="44"/>
      <c r="H12" s="44"/>
      <c r="I12" s="44">
        <v>2</v>
      </c>
      <c r="J12" s="44"/>
      <c r="K12" s="44">
        <v>1</v>
      </c>
      <c r="L12" s="44"/>
      <c r="M12" s="44"/>
      <c r="N12" s="44"/>
      <c r="O12" s="44">
        <v>5</v>
      </c>
      <c r="P12" s="44">
        <v>4</v>
      </c>
      <c r="Q12" s="44">
        <v>2</v>
      </c>
      <c r="R12" s="44">
        <v>3</v>
      </c>
      <c r="S12" s="44">
        <v>2</v>
      </c>
      <c r="T12" s="44">
        <v>3</v>
      </c>
      <c r="U12" s="44"/>
    </row>
    <row r="13" spans="1:21">
      <c r="A13">
        <v>1960</v>
      </c>
      <c r="B13" t="s">
        <v>2984</v>
      </c>
      <c r="C13" s="44">
        <v>7</v>
      </c>
      <c r="D13" s="44">
        <v>2</v>
      </c>
      <c r="E13" s="44">
        <v>4</v>
      </c>
      <c r="F13" s="44">
        <v>4</v>
      </c>
      <c r="G13" s="44"/>
      <c r="H13" s="44"/>
      <c r="I13" s="44">
        <v>3</v>
      </c>
      <c r="J13" s="44"/>
      <c r="K13" s="44"/>
      <c r="L13" s="44"/>
      <c r="M13" s="44"/>
      <c r="N13" s="44">
        <v>1</v>
      </c>
      <c r="O13" s="44">
        <v>5</v>
      </c>
      <c r="P13" s="44"/>
      <c r="Q13" s="44">
        <v>1</v>
      </c>
      <c r="R13" s="44">
        <v>3</v>
      </c>
      <c r="S13" s="44">
        <v>2</v>
      </c>
      <c r="T13" s="44">
        <v>2</v>
      </c>
      <c r="U13" s="44"/>
    </row>
    <row r="14" spans="1:21">
      <c r="A14">
        <v>1980</v>
      </c>
      <c r="B14" t="s">
        <v>2984</v>
      </c>
      <c r="C14" s="44">
        <v>10</v>
      </c>
      <c r="D14" s="44">
        <v>3</v>
      </c>
      <c r="E14" s="44">
        <v>3</v>
      </c>
      <c r="F14" s="44">
        <v>3</v>
      </c>
      <c r="G14" s="44"/>
      <c r="H14" s="44"/>
      <c r="I14" s="44">
        <v>2</v>
      </c>
      <c r="J14" s="44">
        <v>2</v>
      </c>
      <c r="K14" s="44"/>
      <c r="L14" s="44">
        <v>1</v>
      </c>
      <c r="M14" s="44"/>
      <c r="N14" s="44">
        <v>4</v>
      </c>
      <c r="O14" s="44">
        <v>7</v>
      </c>
      <c r="P14" s="44"/>
      <c r="Q14" s="44"/>
      <c r="R14" s="44"/>
      <c r="S14" s="44">
        <v>1</v>
      </c>
      <c r="T14" s="44">
        <v>1</v>
      </c>
      <c r="U14" s="44"/>
    </row>
    <row r="15" spans="1:21">
      <c r="A15">
        <v>2000</v>
      </c>
      <c r="B15" t="s">
        <v>2984</v>
      </c>
      <c r="C15" s="44">
        <v>2</v>
      </c>
      <c r="D15" s="44">
        <v>2</v>
      </c>
      <c r="E15" s="44"/>
      <c r="F15" s="44">
        <v>5</v>
      </c>
      <c r="G15" s="44"/>
      <c r="H15" s="44"/>
      <c r="I15" s="44">
        <v>1</v>
      </c>
      <c r="J15" s="44">
        <v>2</v>
      </c>
      <c r="K15" s="44"/>
      <c r="L15" s="44"/>
      <c r="M15" s="44">
        <v>3</v>
      </c>
      <c r="N15" s="44">
        <v>2</v>
      </c>
      <c r="O15" s="44">
        <v>20</v>
      </c>
      <c r="P15" s="44"/>
      <c r="Q15" s="44"/>
      <c r="R15" s="44"/>
      <c r="S15" s="44">
        <v>1</v>
      </c>
      <c r="T15" s="44">
        <v>4</v>
      </c>
      <c r="U15" s="44">
        <v>1</v>
      </c>
    </row>
    <row r="16" spans="1:21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>
        <v>1</v>
      </c>
      <c r="N16" s="44"/>
      <c r="O16" s="44">
        <v>12</v>
      </c>
      <c r="P16" s="44"/>
      <c r="Q16" s="44">
        <v>1</v>
      </c>
      <c r="R16" s="44"/>
      <c r="S16" s="44">
        <v>1</v>
      </c>
      <c r="T16" s="44">
        <v>1</v>
      </c>
      <c r="U16" s="44">
        <v>3</v>
      </c>
    </row>
    <row r="17" spans="1:21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>
        <v>1</v>
      </c>
      <c r="N17" s="44"/>
      <c r="O17" s="44"/>
      <c r="P17" s="44"/>
      <c r="Q17" s="44"/>
      <c r="R17" s="44"/>
      <c r="S17" s="44"/>
      <c r="T17" s="44"/>
      <c r="U17" s="4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910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2972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1880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3</v>
      </c>
      <c r="M8" s="44">
        <v>1</v>
      </c>
      <c r="N8" s="44"/>
      <c r="O8" s="44"/>
      <c r="P8" s="44"/>
      <c r="Q8" s="44"/>
      <c r="R8" s="44"/>
    </row>
    <row r="9" spans="1:18">
      <c r="A9">
        <v>1900</v>
      </c>
      <c r="B9" t="s">
        <v>2984</v>
      </c>
      <c r="C9" s="44">
        <v>1</v>
      </c>
      <c r="D9" s="44"/>
      <c r="E9" s="44"/>
      <c r="F9" s="44"/>
      <c r="G9" s="44"/>
      <c r="H9" s="44">
        <v>1</v>
      </c>
      <c r="I9" s="44">
        <v>1</v>
      </c>
      <c r="J9" s="44">
        <v>4</v>
      </c>
      <c r="K9" s="44"/>
      <c r="L9" s="44">
        <v>3</v>
      </c>
      <c r="M9" s="44">
        <v>1</v>
      </c>
      <c r="N9" s="44">
        <v>1</v>
      </c>
      <c r="O9" s="44">
        <v>2</v>
      </c>
      <c r="P9" s="44">
        <v>1</v>
      </c>
      <c r="Q9" s="44"/>
      <c r="R9" s="44"/>
    </row>
    <row r="10" spans="1:18">
      <c r="A10">
        <v>1920</v>
      </c>
      <c r="B10" t="s">
        <v>2984</v>
      </c>
      <c r="C10" s="44">
        <v>4</v>
      </c>
      <c r="D10" s="44"/>
      <c r="E10" s="44">
        <v>1</v>
      </c>
      <c r="F10" s="44">
        <v>1</v>
      </c>
      <c r="G10" s="44">
        <v>1</v>
      </c>
      <c r="H10" s="44">
        <v>1</v>
      </c>
      <c r="I10" s="44"/>
      <c r="J10" s="44"/>
      <c r="K10" s="44"/>
      <c r="L10" s="44">
        <v>6</v>
      </c>
      <c r="M10" s="44"/>
      <c r="N10" s="44">
        <v>2</v>
      </c>
      <c r="O10" s="44">
        <v>2</v>
      </c>
      <c r="P10" s="44">
        <v>2</v>
      </c>
      <c r="Q10" s="44"/>
      <c r="R10" s="44"/>
    </row>
    <row r="11" spans="1:18">
      <c r="A11">
        <v>1940</v>
      </c>
      <c r="B11" t="s">
        <v>2984</v>
      </c>
      <c r="C11" s="44">
        <v>2</v>
      </c>
      <c r="D11" s="44"/>
      <c r="E11" s="44"/>
      <c r="F11" s="44">
        <v>3</v>
      </c>
      <c r="G11" s="44">
        <v>2</v>
      </c>
      <c r="H11" s="44"/>
      <c r="I11" s="44"/>
      <c r="J11" s="44"/>
      <c r="K11" s="44"/>
      <c r="L11" s="44">
        <v>5</v>
      </c>
      <c r="M11" s="44">
        <v>1</v>
      </c>
      <c r="N11" s="44">
        <v>2</v>
      </c>
      <c r="O11" s="44">
        <v>3</v>
      </c>
      <c r="P11" s="44">
        <v>2</v>
      </c>
      <c r="Q11" s="44">
        <v>3</v>
      </c>
      <c r="R11" s="44"/>
    </row>
    <row r="12" spans="1:18">
      <c r="A12">
        <v>1960</v>
      </c>
      <c r="B12" t="s">
        <v>2984</v>
      </c>
      <c r="C12" s="44">
        <v>4</v>
      </c>
      <c r="D12" s="44"/>
      <c r="E12" s="44"/>
      <c r="F12" s="44">
        <v>6</v>
      </c>
      <c r="G12" s="44">
        <v>1</v>
      </c>
      <c r="H12" s="44"/>
      <c r="I12" s="44">
        <v>2</v>
      </c>
      <c r="J12" s="44"/>
      <c r="K12" s="44"/>
      <c r="L12" s="44">
        <v>5</v>
      </c>
      <c r="M12" s="44"/>
      <c r="N12" s="44">
        <v>1</v>
      </c>
      <c r="O12" s="44">
        <v>3</v>
      </c>
      <c r="P12" s="44">
        <v>2</v>
      </c>
      <c r="Q12" s="44">
        <v>2</v>
      </c>
      <c r="R12" s="44"/>
    </row>
    <row r="13" spans="1:18">
      <c r="A13">
        <v>1980</v>
      </c>
      <c r="B13" t="s">
        <v>2984</v>
      </c>
      <c r="C13" s="44">
        <v>2</v>
      </c>
      <c r="D13" s="44">
        <v>1</v>
      </c>
      <c r="E13" s="44">
        <v>2</v>
      </c>
      <c r="F13" s="44">
        <v>4</v>
      </c>
      <c r="G13" s="44">
        <v>4</v>
      </c>
      <c r="H13" s="44"/>
      <c r="I13" s="44"/>
      <c r="J13" s="44">
        <v>2</v>
      </c>
      <c r="K13" s="44"/>
      <c r="L13" s="44">
        <v>7</v>
      </c>
      <c r="M13" s="44"/>
      <c r="N13" s="44"/>
      <c r="O13" s="44"/>
      <c r="P13" s="44">
        <v>1</v>
      </c>
      <c r="Q13" s="44">
        <v>1</v>
      </c>
      <c r="R13" s="44"/>
    </row>
    <row r="14" spans="1:18">
      <c r="A14">
        <v>2000</v>
      </c>
      <c r="B14" t="s">
        <v>2984</v>
      </c>
      <c r="C14" s="44">
        <v>4</v>
      </c>
      <c r="D14" s="44">
        <v>2</v>
      </c>
      <c r="E14" s="44">
        <v>3</v>
      </c>
      <c r="F14" s="44"/>
      <c r="G14" s="44"/>
      <c r="H14" s="44"/>
      <c r="I14" s="44"/>
      <c r="J14" s="44">
        <v>2</v>
      </c>
      <c r="K14" s="44"/>
      <c r="L14" s="44">
        <v>20</v>
      </c>
      <c r="M14" s="44"/>
      <c r="N14" s="44"/>
      <c r="O14" s="44"/>
      <c r="P14" s="44">
        <v>1</v>
      </c>
      <c r="Q14" s="44">
        <v>4</v>
      </c>
      <c r="R14" s="44">
        <v>1</v>
      </c>
    </row>
    <row r="15" spans="1:18">
      <c r="A15">
        <v>2020</v>
      </c>
      <c r="B15" t="s">
        <v>2984</v>
      </c>
      <c r="C15" s="44"/>
      <c r="D15" s="44"/>
      <c r="E15" s="44"/>
      <c r="F15" s="44"/>
      <c r="G15" s="44"/>
      <c r="H15" s="44"/>
      <c r="I15" s="44"/>
      <c r="J15" s="44"/>
      <c r="K15" s="44">
        <v>1</v>
      </c>
      <c r="L15" s="44">
        <v>12</v>
      </c>
      <c r="M15" s="44"/>
      <c r="N15" s="44">
        <v>1</v>
      </c>
      <c r="O15" s="44"/>
      <c r="P15" s="44">
        <v>1</v>
      </c>
      <c r="Q15" s="44">
        <v>1</v>
      </c>
      <c r="R15" s="44">
        <v>3</v>
      </c>
    </row>
    <row r="16" spans="1:18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>
        <v>1</v>
      </c>
      <c r="L16" s="44"/>
      <c r="M16" s="44"/>
      <c r="N16" s="44"/>
      <c r="O16" s="44"/>
      <c r="P16" s="44"/>
      <c r="Q16" s="44"/>
      <c r="R16" s="4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905</v>
      </c>
      <c r="C4" t="s">
        <v>2974</v>
      </c>
      <c r="D4" t="s">
        <v>2969</v>
      </c>
      <c r="E4" t="s">
        <v>2979</v>
      </c>
      <c r="F4" t="s">
        <v>2976</v>
      </c>
      <c r="G4" t="s">
        <v>2975</v>
      </c>
      <c r="H4" t="s">
        <v>2971</v>
      </c>
      <c r="I4" t="s">
        <v>2980</v>
      </c>
      <c r="J4" t="s">
        <v>2972</v>
      </c>
      <c r="K4" t="s">
        <v>2981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1880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3</v>
      </c>
      <c r="M8" s="44">
        <v>1</v>
      </c>
      <c r="N8" s="44"/>
      <c r="O8" s="44"/>
      <c r="P8" s="44"/>
      <c r="Q8" s="44"/>
      <c r="R8" s="44"/>
    </row>
    <row r="9" spans="1:18">
      <c r="A9">
        <v>1900</v>
      </c>
      <c r="B9" t="s">
        <v>2984</v>
      </c>
      <c r="C9" s="44">
        <v>1</v>
      </c>
      <c r="D9" s="44"/>
      <c r="E9" s="44"/>
      <c r="F9" s="44">
        <v>2</v>
      </c>
      <c r="G9" s="44"/>
      <c r="H9" s="44"/>
      <c r="I9" s="44">
        <v>4</v>
      </c>
      <c r="J9" s="44"/>
      <c r="K9" s="44"/>
      <c r="L9" s="44">
        <v>3</v>
      </c>
      <c r="M9" s="44">
        <v>1</v>
      </c>
      <c r="N9" s="44">
        <v>1</v>
      </c>
      <c r="O9" s="44">
        <v>2</v>
      </c>
      <c r="P9" s="44">
        <v>1</v>
      </c>
      <c r="Q9" s="44"/>
      <c r="R9" s="44"/>
    </row>
    <row r="10" spans="1:18">
      <c r="A10">
        <v>1920</v>
      </c>
      <c r="B10" t="s">
        <v>2984</v>
      </c>
      <c r="C10" s="44">
        <v>2</v>
      </c>
      <c r="D10" s="44">
        <v>1</v>
      </c>
      <c r="E10" s="44">
        <v>1</v>
      </c>
      <c r="F10" s="44">
        <v>1</v>
      </c>
      <c r="G10" s="44">
        <v>1</v>
      </c>
      <c r="H10" s="44"/>
      <c r="I10" s="44"/>
      <c r="J10" s="44"/>
      <c r="K10" s="44"/>
      <c r="L10" s="44">
        <v>6</v>
      </c>
      <c r="M10" s="44">
        <v>1</v>
      </c>
      <c r="N10" s="44">
        <v>2</v>
      </c>
      <c r="O10" s="44">
        <v>2</v>
      </c>
      <c r="P10" s="44">
        <v>2</v>
      </c>
      <c r="Q10" s="44"/>
      <c r="R10" s="44"/>
    </row>
    <row r="11" spans="1:18">
      <c r="A11">
        <v>1940</v>
      </c>
      <c r="B11" t="s">
        <v>2984</v>
      </c>
      <c r="C11" s="44">
        <v>6</v>
      </c>
      <c r="D11" s="44">
        <v>1</v>
      </c>
      <c r="E11" s="44">
        <v>1</v>
      </c>
      <c r="F11" s="44">
        <v>4</v>
      </c>
      <c r="G11" s="44">
        <v>2</v>
      </c>
      <c r="H11" s="44">
        <v>2</v>
      </c>
      <c r="I11" s="44"/>
      <c r="J11" s="44"/>
      <c r="K11" s="44"/>
      <c r="L11" s="44">
        <v>5</v>
      </c>
      <c r="M11" s="44"/>
      <c r="N11" s="44">
        <v>2</v>
      </c>
      <c r="O11" s="44">
        <v>3</v>
      </c>
      <c r="P11" s="44">
        <v>2</v>
      </c>
      <c r="Q11" s="44">
        <v>3</v>
      </c>
      <c r="R11" s="44"/>
    </row>
    <row r="12" spans="1:18">
      <c r="A12">
        <v>1960</v>
      </c>
      <c r="B12" t="s">
        <v>2984</v>
      </c>
      <c r="C12" s="44">
        <v>4</v>
      </c>
      <c r="D12" s="44"/>
      <c r="E12" s="44">
        <v>1</v>
      </c>
      <c r="F12" s="44">
        <v>6</v>
      </c>
      <c r="G12" s="44"/>
      <c r="H12" s="44">
        <v>1</v>
      </c>
      <c r="I12" s="44"/>
      <c r="J12" s="44"/>
      <c r="K12" s="44"/>
      <c r="L12" s="44">
        <v>5</v>
      </c>
      <c r="M12" s="44"/>
      <c r="N12" s="44">
        <v>1</v>
      </c>
      <c r="O12" s="44">
        <v>3</v>
      </c>
      <c r="P12" s="44">
        <v>2</v>
      </c>
      <c r="Q12" s="44">
        <v>2</v>
      </c>
      <c r="R12" s="44"/>
    </row>
    <row r="13" spans="1:18">
      <c r="A13">
        <v>1980</v>
      </c>
      <c r="B13" t="s">
        <v>2984</v>
      </c>
      <c r="C13" s="44">
        <v>4</v>
      </c>
      <c r="D13" s="44">
        <v>1</v>
      </c>
      <c r="E13" s="44">
        <v>2</v>
      </c>
      <c r="F13" s="44">
        <v>2</v>
      </c>
      <c r="G13" s="44"/>
      <c r="H13" s="44">
        <v>1</v>
      </c>
      <c r="I13" s="44">
        <v>2</v>
      </c>
      <c r="J13" s="44"/>
      <c r="K13" s="44">
        <v>1</v>
      </c>
      <c r="L13" s="44">
        <v>7</v>
      </c>
      <c r="M13" s="44"/>
      <c r="N13" s="44"/>
      <c r="O13" s="44"/>
      <c r="P13" s="44">
        <v>1</v>
      </c>
      <c r="Q13" s="44">
        <v>1</v>
      </c>
      <c r="R13" s="44"/>
    </row>
    <row r="14" spans="1:18">
      <c r="A14">
        <v>2000</v>
      </c>
      <c r="B14" t="s">
        <v>2984</v>
      </c>
      <c r="C14" s="44"/>
      <c r="D14" s="44"/>
      <c r="E14" s="44">
        <v>1</v>
      </c>
      <c r="F14" s="44">
        <v>1</v>
      </c>
      <c r="G14" s="44"/>
      <c r="H14" s="44"/>
      <c r="I14" s="44">
        <v>2</v>
      </c>
      <c r="J14" s="44">
        <v>3</v>
      </c>
      <c r="K14" s="44"/>
      <c r="L14" s="44">
        <v>20</v>
      </c>
      <c r="M14" s="44"/>
      <c r="N14" s="44"/>
      <c r="O14" s="44"/>
      <c r="P14" s="44">
        <v>1</v>
      </c>
      <c r="Q14" s="44">
        <v>4</v>
      </c>
      <c r="R14" s="44">
        <v>1</v>
      </c>
    </row>
    <row r="15" spans="1:18">
      <c r="A15">
        <v>2020</v>
      </c>
      <c r="B15" t="s">
        <v>2984</v>
      </c>
      <c r="C15" s="44"/>
      <c r="D15" s="44"/>
      <c r="E15" s="44"/>
      <c r="F15" s="44"/>
      <c r="G15" s="44"/>
      <c r="H15" s="44">
        <v>1</v>
      </c>
      <c r="I15" s="44"/>
      <c r="J15" s="44">
        <v>1</v>
      </c>
      <c r="K15" s="44"/>
      <c r="L15" s="44">
        <v>12</v>
      </c>
      <c r="M15" s="44"/>
      <c r="N15" s="44">
        <v>1</v>
      </c>
      <c r="O15" s="44"/>
      <c r="P15" s="44">
        <v>1</v>
      </c>
      <c r="Q15" s="44">
        <v>1</v>
      </c>
      <c r="R15" s="44">
        <v>3</v>
      </c>
    </row>
    <row r="16" spans="1:18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>
        <v>1</v>
      </c>
      <c r="K16" s="44"/>
      <c r="L16" s="44"/>
      <c r="M16" s="44"/>
      <c r="N16" s="44"/>
      <c r="O16" s="44"/>
      <c r="P16" s="44"/>
      <c r="Q16" s="44"/>
      <c r="R16" s="4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" sqref="C2:C804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2982</v>
      </c>
      <c r="C1" t="s">
        <v>2278</v>
      </c>
      <c r="D1" s="36" t="s">
        <v>684</v>
      </c>
      <c r="E1" s="36" t="s">
        <v>685</v>
      </c>
      <c r="F1" s="36" t="s">
        <v>2983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04" si="81">_xlfn.CONCAT($D771,"_",$E771)</f>
        <v>ALL_AMERICA_OCEANIA</v>
      </c>
      <c r="G771" t="b">
        <f t="shared" ref="G771:G804" si="82">OR(ISNUMBER(SEARCH("ALL_REGION",$F771)),
ISNUMBER(SEARCH("AFRICA",$F771)),
ISNUMBER(SEARCH("REGIONTYPE1",$F771)),
ISNUMBER(SEARCH("REGIONTYPE2",$F771)))</f>
        <v>0</v>
      </c>
      <c r="H771" t="b">
        <f t="shared" ref="H771:H80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0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04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04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</sheetData>
  <autoFilter ref="A1:O793" xr:uid="{94AF2F1A-9287-4526-9497-B34C300AF4DB}"/>
  <conditionalFormatting sqref="G1:G1048576">
    <cfRule type="containsText" dxfId="8" priority="17" operator="containsText" text="FALSE">
      <formula>NOT(ISERROR(SEARCH("FALSE",G1)))</formula>
    </cfRule>
  </conditionalFormatting>
  <conditionalFormatting sqref="H1:I792 H795:I1048576">
    <cfRule type="containsText" dxfId="7" priority="16" operator="containsText" text="FALSE">
      <formula>NOT(ISERROR(SEARCH("FALSE",H1)))</formula>
    </cfRule>
  </conditionalFormatting>
  <conditionalFormatting sqref="H2:O804">
    <cfRule type="containsText" dxfId="6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203" workbookViewId="0">
      <selection activeCell="M232" sqref="M232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2260</v>
      </c>
      <c r="N1" s="24" t="s">
        <v>2261</v>
      </c>
      <c r="O1" s="25" t="s">
        <v>3035</v>
      </c>
    </row>
    <row r="2" spans="1:15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2014</v>
      </c>
      <c r="N2" s="25" t="s">
        <v>1763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2026</v>
      </c>
      <c r="N3" s="25" t="s">
        <v>1775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2017</v>
      </c>
      <c r="N4" s="25" t="s">
        <v>1766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2073</v>
      </c>
      <c r="N5" s="25" t="s">
        <v>1822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995</v>
      </c>
      <c r="G6" t="s">
        <v>996</v>
      </c>
      <c r="K6" s="22" t="s">
        <v>940</v>
      </c>
      <c r="M6" s="25" t="s">
        <v>2022</v>
      </c>
      <c r="N6" s="25" t="s">
        <v>1771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987</v>
      </c>
      <c r="G7" t="s">
        <v>988</v>
      </c>
      <c r="K7" s="22" t="s">
        <v>942</v>
      </c>
      <c r="M7" s="25" t="s">
        <v>2012</v>
      </c>
      <c r="N7" s="25" t="s">
        <v>1761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999</v>
      </c>
      <c r="G8" t="s">
        <v>1000</v>
      </c>
      <c r="K8" s="23" t="s">
        <v>944</v>
      </c>
      <c r="M8" s="25" t="s">
        <v>2019</v>
      </c>
      <c r="N8" s="25" t="s">
        <v>1768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981</v>
      </c>
      <c r="G9" t="s">
        <v>982</v>
      </c>
      <c r="K9" s="23" t="s">
        <v>946</v>
      </c>
      <c r="M9" s="25" t="s">
        <v>2016</v>
      </c>
      <c r="N9" s="25" t="s">
        <v>1765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1003</v>
      </c>
      <c r="G10" t="s">
        <v>1004</v>
      </c>
      <c r="K10" s="23" t="s">
        <v>948</v>
      </c>
      <c r="M10" s="25" t="s">
        <v>2020</v>
      </c>
      <c r="N10" s="25" t="s">
        <v>1769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2015</v>
      </c>
      <c r="N11" s="25" t="s">
        <v>1764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993</v>
      </c>
      <c r="G12" t="s">
        <v>994</v>
      </c>
      <c r="K12" s="22" t="s">
        <v>952</v>
      </c>
      <c r="M12" s="25" t="s">
        <v>2021</v>
      </c>
      <c r="N12" s="25" t="s">
        <v>1770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1001</v>
      </c>
      <c r="G13" t="s">
        <v>1002</v>
      </c>
      <c r="K13" s="22" t="s">
        <v>954</v>
      </c>
      <c r="M13" s="25" t="s">
        <v>2018</v>
      </c>
      <c r="N13" s="25" t="s">
        <v>1767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989</v>
      </c>
      <c r="G14" t="s">
        <v>990</v>
      </c>
      <c r="K14" s="22" t="s">
        <v>958</v>
      </c>
      <c r="M14" s="25" t="s">
        <v>2025</v>
      </c>
      <c r="N14" s="25" t="s">
        <v>1774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983</v>
      </c>
      <c r="G15" t="s">
        <v>984</v>
      </c>
      <c r="K15" s="23" t="s">
        <v>970</v>
      </c>
      <c r="M15" s="25" t="s">
        <v>2024</v>
      </c>
      <c r="N15" s="25" t="s">
        <v>1773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2023</v>
      </c>
      <c r="N16" s="25" t="s">
        <v>1772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972</v>
      </c>
      <c r="M17" s="25" t="s">
        <v>2027</v>
      </c>
      <c r="N17" s="25" t="s">
        <v>1776</v>
      </c>
      <c r="O17" s="25">
        <f>COUNTIF(COUNTRIES[COUNTRY_LABEL],COUNTRIES[[#This Row],[COUNTRY_LABEL]])</f>
        <v>1</v>
      </c>
    </row>
    <row r="18" spans="1:15">
      <c r="K18" s="23" t="s">
        <v>973</v>
      </c>
      <c r="M18" s="25" t="s">
        <v>2043</v>
      </c>
      <c r="N18" s="25" t="s">
        <v>1792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2034</v>
      </c>
      <c r="N19" s="25" t="s">
        <v>1783</v>
      </c>
      <c r="O19" s="25">
        <f>COUNTIF(COUNTRIES[COUNTRY_LABEL],COUNTRIES[[#This Row],[COUNTRY_LABEL]])</f>
        <v>1</v>
      </c>
    </row>
    <row r="20" spans="1:15">
      <c r="K20" s="23" t="s">
        <v>964</v>
      </c>
      <c r="M20" s="25" t="s">
        <v>2030</v>
      </c>
      <c r="N20" s="25" t="s">
        <v>1779</v>
      </c>
      <c r="O20" s="25">
        <f>COUNTIF(COUNTRIES[COUNTRY_LABEL],COUNTRIES[[#This Row],[COUNTRY_LABEL]])</f>
        <v>1</v>
      </c>
    </row>
    <row r="21" spans="1:15">
      <c r="K21" s="23" t="s">
        <v>969</v>
      </c>
      <c r="M21" s="25" t="s">
        <v>2029</v>
      </c>
      <c r="N21" s="25" t="s">
        <v>1778</v>
      </c>
      <c r="O21" s="25">
        <f>COUNTIF(COUNTRIES[COUNTRY_LABEL],COUNTRIES[[#This Row],[COUNTRY_LABEL]])</f>
        <v>1</v>
      </c>
    </row>
    <row r="22" spans="1:15">
      <c r="K22" s="23" t="s">
        <v>965</v>
      </c>
      <c r="M22" s="25" t="s">
        <v>2047</v>
      </c>
      <c r="N22" s="25" t="s">
        <v>1796</v>
      </c>
      <c r="O22" s="25">
        <f>COUNTIF(COUNTRIES[COUNTRY_LABEL],COUNTRIES[[#This Row],[COUNTRY_LABEL]])</f>
        <v>1</v>
      </c>
    </row>
    <row r="23" spans="1:15">
      <c r="K23" s="23" t="s">
        <v>967</v>
      </c>
      <c r="M23" s="25" t="s">
        <v>2031</v>
      </c>
      <c r="N23" s="25" t="s">
        <v>1780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2048</v>
      </c>
      <c r="N24" s="25" t="s">
        <v>1797</v>
      </c>
      <c r="O24" s="25">
        <f>COUNTIF(COUNTRIES[COUNTRY_LABEL],COUNTRIES[[#This Row],[COUNTRY_LABEL]])</f>
        <v>1</v>
      </c>
    </row>
    <row r="25" spans="1:15">
      <c r="K25" s="23" t="s">
        <v>2837</v>
      </c>
      <c r="M25" s="25" t="s">
        <v>2036</v>
      </c>
      <c r="N25" s="25" t="s">
        <v>1785</v>
      </c>
      <c r="O25" s="25">
        <f>COUNTIF(COUNTRIES[COUNTRY_LABEL],COUNTRIES[[#This Row],[COUNTRY_LABEL]])</f>
        <v>1</v>
      </c>
    </row>
    <row r="26" spans="1:15">
      <c r="M26" s="25" t="s">
        <v>2038</v>
      </c>
      <c r="N26" s="25" t="s">
        <v>1787</v>
      </c>
      <c r="O26" s="25">
        <f>COUNTIF(COUNTRIES[COUNTRY_LABEL],COUNTRIES[[#This Row],[COUNTRY_LABEL]])</f>
        <v>1</v>
      </c>
    </row>
    <row r="27" spans="1:15">
      <c r="M27" s="25" t="s">
        <v>2044</v>
      </c>
      <c r="N27" s="25" t="s">
        <v>1793</v>
      </c>
      <c r="O27" s="25">
        <f>COUNTIF(COUNTRIES[COUNTRY_LABEL],COUNTRIES[[#This Row],[COUNTRY_LABEL]])</f>
        <v>1</v>
      </c>
    </row>
    <row r="28" spans="1:15">
      <c r="M28" s="25" t="s">
        <v>2040</v>
      </c>
      <c r="N28" s="25" t="s">
        <v>1789</v>
      </c>
      <c r="O28" s="25">
        <f>COUNTIF(COUNTRIES[COUNTRY_LABEL],COUNTRIES[[#This Row],[COUNTRY_LABEL]])</f>
        <v>1</v>
      </c>
    </row>
    <row r="29" spans="1:15">
      <c r="M29" s="25" t="s">
        <v>2028</v>
      </c>
      <c r="N29" s="25" t="s">
        <v>1777</v>
      </c>
      <c r="O29" s="25">
        <f>COUNTIF(COUNTRIES[COUNTRY_LABEL],COUNTRIES[[#This Row],[COUNTRY_LABEL]])</f>
        <v>1</v>
      </c>
    </row>
    <row r="30" spans="1:15">
      <c r="M30" s="25" t="s">
        <v>2046</v>
      </c>
      <c r="N30" s="25" t="s">
        <v>1795</v>
      </c>
      <c r="O30" s="25">
        <f>COUNTIF(COUNTRIES[COUNTRY_LABEL],COUNTRIES[[#This Row],[COUNTRY_LABEL]])</f>
        <v>1</v>
      </c>
    </row>
    <row r="31" spans="1:15">
      <c r="M31" s="25" t="s">
        <v>2045</v>
      </c>
      <c r="N31" s="25" t="s">
        <v>1794</v>
      </c>
      <c r="O31" s="25">
        <f>COUNTIF(COUNTRIES[COUNTRY_LABEL],COUNTRIES[[#This Row],[COUNTRY_LABEL]])</f>
        <v>1</v>
      </c>
    </row>
    <row r="32" spans="1:15">
      <c r="M32" s="25" t="s">
        <v>2042</v>
      </c>
      <c r="N32" s="25" t="s">
        <v>1791</v>
      </c>
      <c r="O32" s="25">
        <f>COUNTIF(COUNTRIES[COUNTRY_LABEL],COUNTRIES[[#This Row],[COUNTRY_LABEL]])</f>
        <v>1</v>
      </c>
    </row>
    <row r="33" spans="13:15">
      <c r="M33" s="25" t="s">
        <v>2117</v>
      </c>
      <c r="N33" s="25" t="s">
        <v>1865</v>
      </c>
      <c r="O33" s="25">
        <f>COUNTIF(COUNTRIES[COUNTRY_LABEL],COUNTRIES[[#This Row],[COUNTRY_LABEL]])</f>
        <v>1</v>
      </c>
    </row>
    <row r="34" spans="13:15">
      <c r="M34" s="25" t="s">
        <v>2039</v>
      </c>
      <c r="N34" s="25" t="s">
        <v>1788</v>
      </c>
      <c r="O34" s="25">
        <f>COUNTIF(COUNTRIES[COUNTRY_LABEL],COUNTRIES[[#This Row],[COUNTRY_LABEL]])</f>
        <v>1</v>
      </c>
    </row>
    <row r="35" spans="13:15">
      <c r="M35" s="25" t="s">
        <v>2033</v>
      </c>
      <c r="N35" s="25" t="s">
        <v>1782</v>
      </c>
      <c r="O35" s="25">
        <f>COUNTIF(COUNTRIES[COUNTRY_LABEL],COUNTRIES[[#This Row],[COUNTRY_LABEL]])</f>
        <v>1</v>
      </c>
    </row>
    <row r="36" spans="13:15">
      <c r="M36" s="25" t="s">
        <v>2032</v>
      </c>
      <c r="N36" s="25" t="s">
        <v>1781</v>
      </c>
      <c r="O36" s="25">
        <f>COUNTIF(COUNTRIES[COUNTRY_LABEL],COUNTRIES[[#This Row],[COUNTRY_LABEL]])</f>
        <v>1</v>
      </c>
    </row>
    <row r="37" spans="13:15">
      <c r="M37" s="25" t="s">
        <v>2035</v>
      </c>
      <c r="N37" s="25" t="s">
        <v>1784</v>
      </c>
      <c r="O37" s="25">
        <f>COUNTIF(COUNTRIES[COUNTRY_LABEL],COUNTRIES[[#This Row],[COUNTRY_LABEL]])</f>
        <v>1</v>
      </c>
    </row>
    <row r="38" spans="13:15">
      <c r="M38" s="25" t="s">
        <v>2128</v>
      </c>
      <c r="N38" s="25" t="s">
        <v>1876</v>
      </c>
      <c r="O38" s="25">
        <f>COUNTIF(COUNTRIES[COUNTRY_LABEL],COUNTRIES[[#This Row],[COUNTRY_LABEL]])</f>
        <v>1</v>
      </c>
    </row>
    <row r="39" spans="13:15">
      <c r="M39" s="25" t="s">
        <v>2058</v>
      </c>
      <c r="N39" s="25" t="s">
        <v>1807</v>
      </c>
      <c r="O39" s="25">
        <f>COUNTIF(COUNTRIES[COUNTRY_LABEL],COUNTRIES[[#This Row],[COUNTRY_LABEL]])</f>
        <v>1</v>
      </c>
    </row>
    <row r="40" spans="13:15">
      <c r="M40" s="25" t="s">
        <v>2049</v>
      </c>
      <c r="N40" s="25" t="s">
        <v>1798</v>
      </c>
      <c r="O40" s="25">
        <f>COUNTIF(COUNTRIES[COUNTRY_LABEL],COUNTRIES[[#This Row],[COUNTRY_LABEL]])</f>
        <v>1</v>
      </c>
    </row>
    <row r="41" spans="13:15">
      <c r="M41" s="25" t="s">
        <v>2063</v>
      </c>
      <c r="N41" s="25" t="s">
        <v>1812</v>
      </c>
      <c r="O41" s="25">
        <f>COUNTIF(COUNTRIES[COUNTRY_LABEL],COUNTRIES[[#This Row],[COUNTRY_LABEL]])</f>
        <v>1</v>
      </c>
    </row>
    <row r="42" spans="13:15">
      <c r="M42" s="25" t="s">
        <v>2041</v>
      </c>
      <c r="N42" s="25" t="s">
        <v>1790</v>
      </c>
      <c r="O42" s="25">
        <f>COUNTIF(COUNTRIES[COUNTRY_LABEL],COUNTRIES[[#This Row],[COUNTRY_LABEL]])</f>
        <v>1</v>
      </c>
    </row>
    <row r="43" spans="13:15">
      <c r="M43" s="25" t="s">
        <v>2135</v>
      </c>
      <c r="N43" s="25" t="s">
        <v>1883</v>
      </c>
      <c r="O43" s="25">
        <f>COUNTIF(COUNTRIES[COUNTRY_LABEL],COUNTRIES[[#This Row],[COUNTRY_LABEL]])</f>
        <v>1</v>
      </c>
    </row>
    <row r="44" spans="13:15">
      <c r="M44" s="25" t="s">
        <v>2052</v>
      </c>
      <c r="N44" s="25" t="s">
        <v>1801</v>
      </c>
      <c r="O44" s="25">
        <f>COUNTIF(COUNTRIES[COUNTRY_LABEL],COUNTRIES[[#This Row],[COUNTRY_LABEL]])</f>
        <v>1</v>
      </c>
    </row>
    <row r="45" spans="13:15">
      <c r="M45" s="25" t="s">
        <v>2225</v>
      </c>
      <c r="N45" s="25" t="s">
        <v>1974</v>
      </c>
      <c r="O45" s="25">
        <f>COUNTIF(COUNTRIES[COUNTRY_LABEL],COUNTRIES[[#This Row],[COUNTRY_LABEL]])</f>
        <v>1</v>
      </c>
    </row>
    <row r="46" spans="13:15">
      <c r="M46" s="25" t="s">
        <v>2057</v>
      </c>
      <c r="N46" s="25" t="s">
        <v>1806</v>
      </c>
      <c r="O46" s="25">
        <f>COUNTIF(COUNTRIES[COUNTRY_LABEL],COUNTRIES[[#This Row],[COUNTRY_LABEL]])</f>
        <v>1</v>
      </c>
    </row>
    <row r="47" spans="13:15">
      <c r="M47" s="25" t="s">
        <v>2059</v>
      </c>
      <c r="N47" s="25" t="s">
        <v>1808</v>
      </c>
      <c r="O47" s="25">
        <f>COUNTIF(COUNTRIES[COUNTRY_LABEL],COUNTRIES[[#This Row],[COUNTRY_LABEL]])</f>
        <v>1</v>
      </c>
    </row>
    <row r="48" spans="13:15">
      <c r="M48" s="25" t="s">
        <v>2065</v>
      </c>
      <c r="N48" s="25" t="s">
        <v>1814</v>
      </c>
      <c r="O48" s="25">
        <f>COUNTIF(COUNTRIES[COUNTRY_LABEL],COUNTRIES[[#This Row],[COUNTRY_LABEL]])</f>
        <v>1</v>
      </c>
    </row>
    <row r="49" spans="13:15">
      <c r="M49" s="25" t="s">
        <v>2050</v>
      </c>
      <c r="N49" s="25" t="s">
        <v>1799</v>
      </c>
      <c r="O49" s="25">
        <f>COUNTIF(COUNTRIES[COUNTRY_LABEL],COUNTRIES[[#This Row],[COUNTRY_LABEL]])</f>
        <v>1</v>
      </c>
    </row>
    <row r="50" spans="13:15">
      <c r="M50" s="25" t="s">
        <v>2060</v>
      </c>
      <c r="N50" s="25" t="s">
        <v>1809</v>
      </c>
      <c r="O50" s="25">
        <f>COUNTIF(COUNTRIES[COUNTRY_LABEL],COUNTRIES[[#This Row],[COUNTRY_LABEL]])</f>
        <v>1</v>
      </c>
    </row>
    <row r="51" spans="13:15">
      <c r="M51" s="25" t="s">
        <v>2130</v>
      </c>
      <c r="N51" s="25" t="s">
        <v>1878</v>
      </c>
      <c r="O51" s="25">
        <f>COUNTIF(COUNTRIES[COUNTRY_LABEL],COUNTRIES[[#This Row],[COUNTRY_LABEL]])</f>
        <v>1</v>
      </c>
    </row>
    <row r="52" spans="13:15">
      <c r="M52" s="25" t="s">
        <v>2056</v>
      </c>
      <c r="N52" s="25" t="s">
        <v>1805</v>
      </c>
      <c r="O52" s="25">
        <f>COUNTIF(COUNTRIES[COUNTRY_LABEL],COUNTRIES[[#This Row],[COUNTRY_LABEL]])</f>
        <v>1</v>
      </c>
    </row>
    <row r="53" spans="13:15">
      <c r="M53" s="25" t="s">
        <v>2061</v>
      </c>
      <c r="N53" s="25" t="s">
        <v>1810</v>
      </c>
      <c r="O53" s="25">
        <f>COUNTIF(COUNTRIES[COUNTRY_LABEL],COUNTRIES[[#This Row],[COUNTRY_LABEL]])</f>
        <v>1</v>
      </c>
    </row>
    <row r="54" spans="13:15">
      <c r="M54" s="25" t="s">
        <v>2109</v>
      </c>
      <c r="N54" s="25" t="s">
        <v>1857</v>
      </c>
      <c r="O54" s="25">
        <f>COUNTIF(COUNTRIES[COUNTRY_LABEL],COUNTRIES[[#This Row],[COUNTRY_LABEL]])</f>
        <v>1</v>
      </c>
    </row>
    <row r="55" spans="13:15">
      <c r="M55" s="25" t="s">
        <v>2062</v>
      </c>
      <c r="N55" s="25" t="s">
        <v>1811</v>
      </c>
      <c r="O55" s="25">
        <f>COUNTIF(COUNTRIES[COUNTRY_LABEL],COUNTRIES[[#This Row],[COUNTRY_LABEL]])</f>
        <v>1</v>
      </c>
    </row>
    <row r="56" spans="13:15">
      <c r="M56" s="25" t="s">
        <v>2064</v>
      </c>
      <c r="N56" s="25" t="s">
        <v>1813</v>
      </c>
      <c r="O56" s="25">
        <f>COUNTIF(COUNTRIES[COUNTRY_LABEL],COUNTRIES[[#This Row],[COUNTRY_LABEL]])</f>
        <v>1</v>
      </c>
    </row>
    <row r="57" spans="13:15">
      <c r="M57" s="25" t="s">
        <v>2066</v>
      </c>
      <c r="N57" s="25" t="s">
        <v>1815</v>
      </c>
      <c r="O57" s="25">
        <f>COUNTIF(COUNTRIES[COUNTRY_LABEL],COUNTRIES[[#This Row],[COUNTRY_LABEL]])</f>
        <v>1</v>
      </c>
    </row>
    <row r="58" spans="13:15">
      <c r="M58" s="25" t="s">
        <v>2067</v>
      </c>
      <c r="N58" s="25" t="s">
        <v>1816</v>
      </c>
      <c r="O58" s="25">
        <f>COUNTIF(COUNTRIES[COUNTRY_LABEL],COUNTRIES[[#This Row],[COUNTRY_LABEL]])</f>
        <v>1</v>
      </c>
    </row>
    <row r="59" spans="13:15">
      <c r="M59" s="25" t="s">
        <v>2051</v>
      </c>
      <c r="N59" s="25" t="s">
        <v>1800</v>
      </c>
      <c r="O59" s="25">
        <f>COUNTIF(COUNTRIES[COUNTRY_LABEL],COUNTRIES[[#This Row],[COUNTRY_LABEL]])</f>
        <v>1</v>
      </c>
    </row>
    <row r="60" spans="13:15">
      <c r="M60" s="25" t="s">
        <v>2070</v>
      </c>
      <c r="N60" s="25" t="s">
        <v>1819</v>
      </c>
      <c r="O60" s="25">
        <f>COUNTIF(COUNTRIES[COUNTRY_LABEL],COUNTRIES[[#This Row],[COUNTRY_LABEL]])</f>
        <v>1</v>
      </c>
    </row>
    <row r="61" spans="13:15">
      <c r="M61" s="25" t="s">
        <v>2069</v>
      </c>
      <c r="N61" s="25" t="s">
        <v>1818</v>
      </c>
      <c r="O61" s="25">
        <f>COUNTIF(COUNTRIES[COUNTRY_LABEL],COUNTRIES[[#This Row],[COUNTRY_LABEL]])</f>
        <v>1</v>
      </c>
    </row>
    <row r="62" spans="13:15">
      <c r="M62" s="25" t="s">
        <v>2071</v>
      </c>
      <c r="N62" s="25" t="s">
        <v>1820</v>
      </c>
      <c r="O62" s="25">
        <f>COUNTIF(COUNTRIES[COUNTRY_LABEL],COUNTRIES[[#This Row],[COUNTRY_LABEL]])</f>
        <v>1</v>
      </c>
    </row>
    <row r="63" spans="13:15">
      <c r="M63" s="25" t="s">
        <v>2072</v>
      </c>
      <c r="N63" s="25" t="s">
        <v>1821</v>
      </c>
      <c r="O63" s="25">
        <f>COUNTIF(COUNTRIES[COUNTRY_LABEL],COUNTRIES[[#This Row],[COUNTRY_LABEL]])</f>
        <v>1</v>
      </c>
    </row>
    <row r="64" spans="13:15">
      <c r="M64" s="25" t="s">
        <v>2276</v>
      </c>
      <c r="N64" s="25" t="s">
        <v>2008</v>
      </c>
      <c r="O64" s="25">
        <f>COUNTIF(COUNTRIES[COUNTRY_LABEL],COUNTRIES[[#This Row],[COUNTRY_LABEL]])</f>
        <v>1</v>
      </c>
    </row>
    <row r="65" spans="13:15">
      <c r="M65" s="25" t="s">
        <v>2074</v>
      </c>
      <c r="N65" s="25" t="s">
        <v>1823</v>
      </c>
      <c r="O65" s="25">
        <f>COUNTIF(COUNTRIES[COUNTRY_LABEL],COUNTRIES[[#This Row],[COUNTRY_LABEL]])</f>
        <v>1</v>
      </c>
    </row>
    <row r="66" spans="13:15">
      <c r="M66" s="25" t="s">
        <v>2076</v>
      </c>
      <c r="N66" s="25" t="s">
        <v>1825</v>
      </c>
      <c r="O66" s="25">
        <f>COUNTIF(COUNTRIES[COUNTRY_LABEL],COUNTRIES[[#This Row],[COUNTRY_LABEL]])</f>
        <v>1</v>
      </c>
    </row>
    <row r="67" spans="13:15">
      <c r="M67" s="25" t="s">
        <v>2220</v>
      </c>
      <c r="N67" s="25" t="s">
        <v>1969</v>
      </c>
      <c r="O67" s="25">
        <f>COUNTIF(COUNTRIES[COUNTRY_LABEL],COUNTRIES[[#This Row],[COUNTRY_LABEL]])</f>
        <v>1</v>
      </c>
    </row>
    <row r="68" spans="13:15">
      <c r="M68" s="25" t="s">
        <v>2099</v>
      </c>
      <c r="N68" s="25" t="s">
        <v>1847</v>
      </c>
      <c r="O68" s="25">
        <f>COUNTIF(COUNTRIES[COUNTRY_LABEL],COUNTRIES[[#This Row],[COUNTRY_LABEL]])</f>
        <v>1</v>
      </c>
    </row>
    <row r="69" spans="13:15">
      <c r="M69" s="25" t="s">
        <v>2078</v>
      </c>
      <c r="N69" s="25" t="s">
        <v>1827</v>
      </c>
      <c r="O69" s="25">
        <f>COUNTIF(COUNTRIES[COUNTRY_LABEL],COUNTRIES[[#This Row],[COUNTRY_LABEL]])</f>
        <v>1</v>
      </c>
    </row>
    <row r="70" spans="13:15">
      <c r="M70" s="25" t="s">
        <v>2075</v>
      </c>
      <c r="N70" s="25" t="s">
        <v>1824</v>
      </c>
      <c r="O70" s="25">
        <f>COUNTIF(COUNTRIES[COUNTRY_LABEL],COUNTRIES[[#This Row],[COUNTRY_LABEL]])</f>
        <v>1</v>
      </c>
    </row>
    <row r="71" spans="13:15">
      <c r="M71" s="25" t="s">
        <v>2223</v>
      </c>
      <c r="N71" s="25" t="s">
        <v>1972</v>
      </c>
      <c r="O71" s="25">
        <f>COUNTIF(COUNTRIES[COUNTRY_LABEL],COUNTRIES[[#This Row],[COUNTRY_LABEL]])</f>
        <v>1</v>
      </c>
    </row>
    <row r="72" spans="13:15">
      <c r="M72" s="25" t="s">
        <v>2080</v>
      </c>
      <c r="N72" s="25" t="s">
        <v>1829</v>
      </c>
      <c r="O72" s="25">
        <f>COUNTIF(COUNTRIES[COUNTRY_LABEL],COUNTRIES[[#This Row],[COUNTRY_LABEL]])</f>
        <v>1</v>
      </c>
    </row>
    <row r="73" spans="13:15">
      <c r="M73" s="25" t="s">
        <v>2275</v>
      </c>
      <c r="N73" s="25" t="s">
        <v>2009</v>
      </c>
      <c r="O73" s="25">
        <f>COUNTIF(COUNTRIES[COUNTRY_LABEL],COUNTRIES[[#This Row],[COUNTRY_LABEL]])</f>
        <v>1</v>
      </c>
    </row>
    <row r="74" spans="13:15">
      <c r="M74" s="25" t="s">
        <v>2083</v>
      </c>
      <c r="N74" s="25" t="s">
        <v>1832</v>
      </c>
      <c r="O74" s="25">
        <f>COUNTIF(COUNTRIES[COUNTRY_LABEL],COUNTRIES[[#This Row],[COUNTRY_LABEL]])</f>
        <v>1</v>
      </c>
    </row>
    <row r="75" spans="13:15">
      <c r="M75" s="25" t="s">
        <v>2085</v>
      </c>
      <c r="N75" s="25" t="s">
        <v>1834</v>
      </c>
      <c r="O75" s="25">
        <f>COUNTIF(COUNTRIES[COUNTRY_LABEL],COUNTRIES[[#This Row],[COUNTRY_LABEL]])</f>
        <v>1</v>
      </c>
    </row>
    <row r="76" spans="13:15">
      <c r="M76" s="25" t="s">
        <v>2082</v>
      </c>
      <c r="N76" s="25" t="s">
        <v>1831</v>
      </c>
      <c r="O76" s="25">
        <f>COUNTIF(COUNTRIES[COUNTRY_LABEL],COUNTRIES[[#This Row],[COUNTRY_LABEL]])</f>
        <v>1</v>
      </c>
    </row>
    <row r="77" spans="13:15">
      <c r="M77" s="25" t="s">
        <v>2081</v>
      </c>
      <c r="N77" s="25" t="s">
        <v>1830</v>
      </c>
      <c r="O77" s="25">
        <f>COUNTIF(COUNTRIES[COUNTRY_LABEL],COUNTRIES[[#This Row],[COUNTRY_LABEL]])</f>
        <v>1</v>
      </c>
    </row>
    <row r="78" spans="13:15">
      <c r="M78" s="25" t="s">
        <v>2086</v>
      </c>
      <c r="N78" s="25" t="s">
        <v>1835</v>
      </c>
      <c r="O78" s="25">
        <f>COUNTIF(COUNTRIES[COUNTRY_LABEL],COUNTRIES[[#This Row],[COUNTRY_LABEL]])</f>
        <v>1</v>
      </c>
    </row>
    <row r="79" spans="13:15">
      <c r="M79" s="25" t="s">
        <v>2091</v>
      </c>
      <c r="N79" s="25" t="s">
        <v>1839</v>
      </c>
      <c r="O79" s="25">
        <f>COUNTIF(COUNTRIES[COUNTRY_LABEL],COUNTRIES[[#This Row],[COUNTRY_LABEL]])</f>
        <v>1</v>
      </c>
    </row>
    <row r="80" spans="13:15">
      <c r="M80" s="25" t="s">
        <v>2185</v>
      </c>
      <c r="N80" s="25" t="s">
        <v>1934</v>
      </c>
      <c r="O80" s="25">
        <f>COUNTIF(COUNTRIES[COUNTRY_LABEL],COUNTRIES[[#This Row],[COUNTRY_LABEL]])</f>
        <v>1</v>
      </c>
    </row>
    <row r="81" spans="13:15">
      <c r="M81" s="25" t="s">
        <v>2226</v>
      </c>
      <c r="N81" s="25" t="s">
        <v>1975</v>
      </c>
      <c r="O81" s="25">
        <f>COUNTIF(COUNTRIES[COUNTRY_LABEL],COUNTRIES[[#This Row],[COUNTRY_LABEL]])</f>
        <v>1</v>
      </c>
    </row>
    <row r="82" spans="13:15">
      <c r="M82" s="25" t="s">
        <v>2087</v>
      </c>
      <c r="N82" s="25" t="s">
        <v>2264</v>
      </c>
      <c r="O82" s="25">
        <f>COUNTIF(COUNTRIES[COUNTRY_LABEL],COUNTRIES[[#This Row],[COUNTRY_LABEL]])</f>
        <v>1</v>
      </c>
    </row>
    <row r="83" spans="13:15">
      <c r="M83" s="25" t="s">
        <v>2096</v>
      </c>
      <c r="N83" s="25" t="s">
        <v>1844</v>
      </c>
      <c r="O83" s="25">
        <f>COUNTIF(COUNTRIES[COUNTRY_LABEL],COUNTRIES[[#This Row],[COUNTRY_LABEL]])</f>
        <v>1</v>
      </c>
    </row>
    <row r="84" spans="13:15">
      <c r="M84" s="25" t="s">
        <v>2102</v>
      </c>
      <c r="N84" s="25" t="s">
        <v>1850</v>
      </c>
      <c r="O84" s="25">
        <f>COUNTIF(COUNTRIES[COUNTRY_LABEL],COUNTRIES[[#This Row],[COUNTRY_LABEL]])</f>
        <v>1</v>
      </c>
    </row>
    <row r="85" spans="13:15">
      <c r="M85" s="25" t="s">
        <v>2090</v>
      </c>
      <c r="N85" s="25" t="s">
        <v>1838</v>
      </c>
      <c r="O85" s="25">
        <f>COUNTIF(COUNTRIES[COUNTRY_LABEL],COUNTRIES[[#This Row],[COUNTRY_LABEL]])</f>
        <v>1</v>
      </c>
    </row>
    <row r="86" spans="13:15">
      <c r="M86" s="25" t="s">
        <v>2068</v>
      </c>
      <c r="N86" s="25" t="s">
        <v>1817</v>
      </c>
      <c r="O86" s="25">
        <f>COUNTIF(COUNTRIES[COUNTRY_LABEL],COUNTRIES[[#This Row],[COUNTRY_LABEL]])</f>
        <v>1</v>
      </c>
    </row>
    <row r="87" spans="13:15">
      <c r="M87" s="25" t="s">
        <v>2093</v>
      </c>
      <c r="N87" s="25" t="s">
        <v>1841</v>
      </c>
      <c r="O87" s="25">
        <f>COUNTIF(COUNTRIES[COUNTRY_LABEL],COUNTRIES[[#This Row],[COUNTRY_LABEL]])</f>
        <v>1</v>
      </c>
    </row>
    <row r="88" spans="13:15">
      <c r="M88" s="25" t="s">
        <v>2094</v>
      </c>
      <c r="N88" s="25" t="s">
        <v>1842</v>
      </c>
      <c r="O88" s="25">
        <f>COUNTIF(COUNTRIES[COUNTRY_LABEL],COUNTRIES[[#This Row],[COUNTRY_LABEL]])</f>
        <v>1</v>
      </c>
    </row>
    <row r="89" spans="13:15">
      <c r="M89" s="25" t="s">
        <v>2100</v>
      </c>
      <c r="N89" s="25" t="s">
        <v>1848</v>
      </c>
      <c r="O89" s="25">
        <f>COUNTIF(COUNTRIES[COUNTRY_LABEL],COUNTRIES[[#This Row],[COUNTRY_LABEL]])</f>
        <v>1</v>
      </c>
    </row>
    <row r="90" spans="13:15">
      <c r="M90" s="25" t="s">
        <v>2095</v>
      </c>
      <c r="N90" s="25" t="s">
        <v>1843</v>
      </c>
      <c r="O90" s="25">
        <f>COUNTIF(COUNTRIES[COUNTRY_LABEL],COUNTRIES[[#This Row],[COUNTRY_LABEL]])</f>
        <v>1</v>
      </c>
    </row>
    <row r="91" spans="13:15">
      <c r="M91" s="25" t="s">
        <v>2089</v>
      </c>
      <c r="N91" s="25" t="s">
        <v>1837</v>
      </c>
      <c r="O91" s="25">
        <f>COUNTIF(COUNTRIES[COUNTRY_LABEL],COUNTRIES[[#This Row],[COUNTRY_LABEL]])</f>
        <v>1</v>
      </c>
    </row>
    <row r="92" spans="13:15">
      <c r="M92" s="25" t="s">
        <v>2098</v>
      </c>
      <c r="N92" s="25" t="s">
        <v>1846</v>
      </c>
      <c r="O92" s="25">
        <f>COUNTIF(COUNTRIES[COUNTRY_LABEL],COUNTRIES[[#This Row],[COUNTRY_LABEL]])</f>
        <v>1</v>
      </c>
    </row>
    <row r="93" spans="13:15">
      <c r="M93" s="25" t="s">
        <v>2103</v>
      </c>
      <c r="N93" s="25" t="s">
        <v>1851</v>
      </c>
      <c r="O93" s="25">
        <f>COUNTIF(COUNTRIES[COUNTRY_LABEL],COUNTRIES[[#This Row],[COUNTRY_LABEL]])</f>
        <v>1</v>
      </c>
    </row>
    <row r="94" spans="13:15">
      <c r="M94" s="25" t="s">
        <v>2092</v>
      </c>
      <c r="N94" s="25" t="s">
        <v>1840</v>
      </c>
      <c r="O94" s="25">
        <f>COUNTIF(COUNTRIES[COUNTRY_LABEL],COUNTRIES[[#This Row],[COUNTRY_LABEL]])</f>
        <v>1</v>
      </c>
    </row>
    <row r="95" spans="13:15">
      <c r="M95" s="25" t="s">
        <v>2097</v>
      </c>
      <c r="N95" s="25" t="s">
        <v>1845</v>
      </c>
      <c r="O95" s="25">
        <f>COUNTIF(COUNTRIES[COUNTRY_LABEL],COUNTRIES[[#This Row],[COUNTRY_LABEL]])</f>
        <v>1</v>
      </c>
    </row>
    <row r="96" spans="13:15">
      <c r="M96" s="25" t="s">
        <v>2104</v>
      </c>
      <c r="N96" s="25" t="s">
        <v>1852</v>
      </c>
      <c r="O96" s="25">
        <f>COUNTIF(COUNTRIES[COUNTRY_LABEL],COUNTRIES[[#This Row],[COUNTRY_LABEL]])</f>
        <v>1</v>
      </c>
    </row>
    <row r="97" spans="13:15">
      <c r="M97" s="25" t="s">
        <v>2105</v>
      </c>
      <c r="N97" s="25" t="s">
        <v>1853</v>
      </c>
      <c r="O97" s="25">
        <f>COUNTIF(COUNTRIES[COUNTRY_LABEL],COUNTRIES[[#This Row],[COUNTRY_LABEL]])</f>
        <v>1</v>
      </c>
    </row>
    <row r="98" spans="13:15">
      <c r="M98" s="25" t="s">
        <v>2110</v>
      </c>
      <c r="N98" s="25" t="s">
        <v>1858</v>
      </c>
      <c r="O98" s="25">
        <f>COUNTIF(COUNTRIES[COUNTRY_LABEL],COUNTRIES[[#This Row],[COUNTRY_LABEL]])</f>
        <v>1</v>
      </c>
    </row>
    <row r="99" spans="13:15">
      <c r="M99" s="25" t="s">
        <v>2107</v>
      </c>
      <c r="N99" s="25" t="s">
        <v>1855</v>
      </c>
      <c r="O99" s="25">
        <f>COUNTIF(COUNTRIES[COUNTRY_LABEL],COUNTRIES[[#This Row],[COUNTRY_LABEL]])</f>
        <v>1</v>
      </c>
    </row>
    <row r="100" spans="13:15">
      <c r="M100" s="25" t="s">
        <v>2246</v>
      </c>
      <c r="N100" s="25" t="s">
        <v>1994</v>
      </c>
      <c r="O100" s="25">
        <f>COUNTIF(COUNTRIES[COUNTRY_LABEL],COUNTRIES[[#This Row],[COUNTRY_LABEL]])</f>
        <v>1</v>
      </c>
    </row>
    <row r="101" spans="13:15">
      <c r="M101" s="25" t="s">
        <v>2108</v>
      </c>
      <c r="N101" s="25" t="s">
        <v>1856</v>
      </c>
      <c r="O101" s="25">
        <f>COUNTIF(COUNTRIES[COUNTRY_LABEL],COUNTRIES[[#This Row],[COUNTRY_LABEL]])</f>
        <v>1</v>
      </c>
    </row>
    <row r="102" spans="13:15">
      <c r="M102" s="25" t="s">
        <v>2106</v>
      </c>
      <c r="N102" s="25" t="s">
        <v>1854</v>
      </c>
      <c r="O102" s="25">
        <f>COUNTIF(COUNTRIES[COUNTRY_LABEL],COUNTRIES[[#This Row],[COUNTRY_LABEL]])</f>
        <v>1</v>
      </c>
    </row>
    <row r="103" spans="13:15">
      <c r="M103" s="25" t="s">
        <v>2111</v>
      </c>
      <c r="N103" s="25" t="s">
        <v>1859</v>
      </c>
      <c r="O103" s="25">
        <f>COUNTIF(COUNTRIES[COUNTRY_LABEL],COUNTRIES[[#This Row],[COUNTRY_LABEL]])</f>
        <v>1</v>
      </c>
    </row>
    <row r="104" spans="13:15">
      <c r="M104" s="25" t="s">
        <v>2120</v>
      </c>
      <c r="N104" s="25" t="s">
        <v>1868</v>
      </c>
      <c r="O104" s="25">
        <f>COUNTIF(COUNTRIES[COUNTRY_LABEL],COUNTRIES[[#This Row],[COUNTRY_LABEL]])</f>
        <v>1</v>
      </c>
    </row>
    <row r="105" spans="13:15">
      <c r="M105" s="25" t="s">
        <v>2116</v>
      </c>
      <c r="N105" s="25" t="s">
        <v>1864</v>
      </c>
      <c r="O105" s="25">
        <f>COUNTIF(COUNTRIES[COUNTRY_LABEL],COUNTRIES[[#This Row],[COUNTRY_LABEL]])</f>
        <v>1</v>
      </c>
    </row>
    <row r="106" spans="13:15">
      <c r="M106" s="25" t="s">
        <v>2112</v>
      </c>
      <c r="N106" s="25" t="s">
        <v>1860</v>
      </c>
      <c r="O106" s="25">
        <f>COUNTIF(COUNTRIES[COUNTRY_LABEL],COUNTRIES[[#This Row],[COUNTRY_LABEL]])</f>
        <v>1</v>
      </c>
    </row>
    <row r="107" spans="13:15">
      <c r="M107" s="25" t="s">
        <v>2119</v>
      </c>
      <c r="N107" s="25" t="s">
        <v>1867</v>
      </c>
      <c r="O107" s="25">
        <f>COUNTIF(COUNTRIES[COUNTRY_LABEL],COUNTRIES[[#This Row],[COUNTRY_LABEL]])</f>
        <v>1</v>
      </c>
    </row>
    <row r="108" spans="13:15">
      <c r="M108" s="25" t="s">
        <v>2118</v>
      </c>
      <c r="N108" s="25" t="s">
        <v>1866</v>
      </c>
      <c r="O108" s="25">
        <f>COUNTIF(COUNTRIES[COUNTRY_LABEL],COUNTRIES[[#This Row],[COUNTRY_LABEL]])</f>
        <v>1</v>
      </c>
    </row>
    <row r="109" spans="13:15">
      <c r="M109" s="25" t="s">
        <v>2113</v>
      </c>
      <c r="N109" s="25" t="s">
        <v>1861</v>
      </c>
      <c r="O109" s="25">
        <f>COUNTIF(COUNTRIES[COUNTRY_LABEL],COUNTRIES[[#This Row],[COUNTRY_LABEL]])</f>
        <v>1</v>
      </c>
    </row>
    <row r="110" spans="13:15">
      <c r="M110" s="25" t="s">
        <v>2115</v>
      </c>
      <c r="N110" s="25" t="s">
        <v>1863</v>
      </c>
      <c r="O110" s="25">
        <f>COUNTIF(COUNTRIES[COUNTRY_LABEL],COUNTRIES[[#This Row],[COUNTRY_LABEL]])</f>
        <v>1</v>
      </c>
    </row>
    <row r="111" spans="13:15">
      <c r="M111" s="25" t="s">
        <v>2114</v>
      </c>
      <c r="N111" s="25" t="s">
        <v>1862</v>
      </c>
      <c r="O111" s="25">
        <f>COUNTIF(COUNTRIES[COUNTRY_LABEL],COUNTRIES[[#This Row],[COUNTRY_LABEL]])</f>
        <v>1</v>
      </c>
    </row>
    <row r="112" spans="13:15">
      <c r="M112" s="25" t="s">
        <v>2121</v>
      </c>
      <c r="N112" s="25" t="s">
        <v>1869</v>
      </c>
      <c r="O112" s="25">
        <f>COUNTIF(COUNTRIES[COUNTRY_LABEL],COUNTRIES[[#This Row],[COUNTRY_LABEL]])</f>
        <v>1</v>
      </c>
    </row>
    <row r="113" spans="13:15">
      <c r="M113" s="25" t="s">
        <v>2055</v>
      </c>
      <c r="N113" s="25" t="s">
        <v>1804</v>
      </c>
      <c r="O113" s="25">
        <f>COUNTIF(COUNTRIES[COUNTRY_LABEL],COUNTRIES[[#This Row],[COUNTRY_LABEL]])</f>
        <v>1</v>
      </c>
    </row>
    <row r="114" spans="13:15">
      <c r="M114" s="25" t="s">
        <v>2123</v>
      </c>
      <c r="N114" s="25" t="s">
        <v>1871</v>
      </c>
      <c r="O114" s="25">
        <f>COUNTIF(COUNTRIES[COUNTRY_LABEL],COUNTRIES[[#This Row],[COUNTRY_LABEL]])</f>
        <v>1</v>
      </c>
    </row>
    <row r="115" spans="13:15">
      <c r="M115" s="25" t="s">
        <v>2125</v>
      </c>
      <c r="N115" s="25" t="s">
        <v>1873</v>
      </c>
      <c r="O115" s="25">
        <f>COUNTIF(COUNTRIES[COUNTRY_LABEL],COUNTRIES[[#This Row],[COUNTRY_LABEL]])</f>
        <v>1</v>
      </c>
    </row>
    <row r="116" spans="13:15">
      <c r="M116" s="25" t="s">
        <v>2122</v>
      </c>
      <c r="N116" s="25" t="s">
        <v>1870</v>
      </c>
      <c r="O116" s="25">
        <f>COUNTIF(COUNTRIES[COUNTRY_LABEL],COUNTRIES[[#This Row],[COUNTRY_LABEL]])</f>
        <v>1</v>
      </c>
    </row>
    <row r="117" spans="13:15">
      <c r="M117" s="25" t="s">
        <v>2124</v>
      </c>
      <c r="N117" s="25" t="s">
        <v>1872</v>
      </c>
      <c r="O117" s="25">
        <f>COUNTIF(COUNTRIES[COUNTRY_LABEL],COUNTRIES[[#This Row],[COUNTRY_LABEL]])</f>
        <v>1</v>
      </c>
    </row>
    <row r="118" spans="13:15">
      <c r="M118" s="25" t="s">
        <v>2136</v>
      </c>
      <c r="N118" s="25" t="s">
        <v>1884</v>
      </c>
      <c r="O118" s="25">
        <f>COUNTIF(COUNTRIES[COUNTRY_LABEL],COUNTRIES[[#This Row],[COUNTRY_LABEL]])</f>
        <v>1</v>
      </c>
    </row>
    <row r="119" spans="13:15">
      <c r="M119" s="25" t="s">
        <v>2126</v>
      </c>
      <c r="N119" s="25" t="s">
        <v>1874</v>
      </c>
      <c r="O119" s="25">
        <f>COUNTIF(COUNTRIES[COUNTRY_LABEL],COUNTRIES[[#This Row],[COUNTRY_LABEL]])</f>
        <v>1</v>
      </c>
    </row>
    <row r="120" spans="13:15">
      <c r="M120" s="25" t="s">
        <v>2129</v>
      </c>
      <c r="N120" s="25" t="s">
        <v>1877</v>
      </c>
      <c r="O120" s="25">
        <f>COUNTIF(COUNTRIES[COUNTRY_LABEL],COUNTRIES[[#This Row],[COUNTRY_LABEL]])</f>
        <v>1</v>
      </c>
    </row>
    <row r="121" spans="13:15">
      <c r="M121" s="25" t="s">
        <v>2134</v>
      </c>
      <c r="N121" s="25" t="s">
        <v>1882</v>
      </c>
      <c r="O121" s="25">
        <f>COUNTIF(COUNTRIES[COUNTRY_LABEL],COUNTRIES[[#This Row],[COUNTRY_LABEL]])</f>
        <v>1</v>
      </c>
    </row>
    <row r="122" spans="13:15">
      <c r="M122" s="25" t="s">
        <v>2127</v>
      </c>
      <c r="N122" s="25" t="s">
        <v>1875</v>
      </c>
      <c r="O122" s="25">
        <f>COUNTIF(COUNTRIES[COUNTRY_LABEL],COUNTRIES[[#This Row],[COUNTRY_LABEL]])</f>
        <v>1</v>
      </c>
    </row>
    <row r="123" spans="13:15">
      <c r="M123" s="25" t="s">
        <v>2137</v>
      </c>
      <c r="N123" s="25" t="s">
        <v>1885</v>
      </c>
      <c r="O123" s="25">
        <f>COUNTIF(COUNTRIES[COUNTRY_LABEL],COUNTRIES[[#This Row],[COUNTRY_LABEL]])</f>
        <v>1</v>
      </c>
    </row>
    <row r="124" spans="13:15">
      <c r="M124" s="25" t="s">
        <v>2146</v>
      </c>
      <c r="N124" s="25" t="s">
        <v>1894</v>
      </c>
      <c r="O124" s="25">
        <f>COUNTIF(COUNTRIES[COUNTRY_LABEL],COUNTRIES[[#This Row],[COUNTRY_LABEL]])</f>
        <v>1</v>
      </c>
    </row>
    <row r="125" spans="13:15">
      <c r="M125" s="25" t="s">
        <v>2138</v>
      </c>
      <c r="N125" s="25" t="s">
        <v>1886</v>
      </c>
      <c r="O125" s="25">
        <f>COUNTIF(COUNTRIES[COUNTRY_LABEL],COUNTRIES[[#This Row],[COUNTRY_LABEL]])</f>
        <v>1</v>
      </c>
    </row>
    <row r="126" spans="13:15">
      <c r="M126" s="25" t="s">
        <v>2143</v>
      </c>
      <c r="N126" s="25" t="s">
        <v>1891</v>
      </c>
      <c r="O126" s="25">
        <f>COUNTIF(COUNTRIES[COUNTRY_LABEL],COUNTRIES[[#This Row],[COUNTRY_LABEL]])</f>
        <v>1</v>
      </c>
    </row>
    <row r="127" spans="13:15">
      <c r="M127" s="25" t="s">
        <v>2142</v>
      </c>
      <c r="N127" s="25" t="s">
        <v>1890</v>
      </c>
      <c r="O127" s="25">
        <f>COUNTIF(COUNTRIES[COUNTRY_LABEL],COUNTRIES[[#This Row],[COUNTRY_LABEL]])</f>
        <v>1</v>
      </c>
    </row>
    <row r="128" spans="13:15">
      <c r="M128" s="25" t="s">
        <v>2147</v>
      </c>
      <c r="N128" s="25" t="s">
        <v>1895</v>
      </c>
      <c r="O128" s="25">
        <f>COUNTIF(COUNTRIES[COUNTRY_LABEL],COUNTRIES[[#This Row],[COUNTRY_LABEL]])</f>
        <v>1</v>
      </c>
    </row>
    <row r="129" spans="13:15">
      <c r="M129" s="25" t="s">
        <v>2140</v>
      </c>
      <c r="N129" s="25" t="s">
        <v>1888</v>
      </c>
      <c r="O129" s="25">
        <f>COUNTIF(COUNTRIES[COUNTRY_LABEL],COUNTRIES[[#This Row],[COUNTRY_LABEL]])</f>
        <v>1</v>
      </c>
    </row>
    <row r="130" spans="13:15">
      <c r="M130" s="25" t="s">
        <v>2144</v>
      </c>
      <c r="N130" s="25" t="s">
        <v>1892</v>
      </c>
      <c r="O130" s="25">
        <f>COUNTIF(COUNTRIES[COUNTRY_LABEL],COUNTRIES[[#This Row],[COUNTRY_LABEL]])</f>
        <v>1</v>
      </c>
    </row>
    <row r="131" spans="13:15">
      <c r="M131" s="25" t="s">
        <v>2145</v>
      </c>
      <c r="N131" s="25" t="s">
        <v>1893</v>
      </c>
      <c r="O131" s="25">
        <f>COUNTIF(COUNTRIES[COUNTRY_LABEL],COUNTRIES[[#This Row],[COUNTRY_LABEL]])</f>
        <v>1</v>
      </c>
    </row>
    <row r="132" spans="13:15">
      <c r="M132" s="25" t="s">
        <v>2159</v>
      </c>
      <c r="N132" s="25" t="s">
        <v>1907</v>
      </c>
      <c r="O132" s="25">
        <f>COUNTIF(COUNTRIES[COUNTRY_LABEL],COUNTRIES[[#This Row],[COUNTRY_LABEL]])</f>
        <v>1</v>
      </c>
    </row>
    <row r="133" spans="13:15">
      <c r="M133" s="25" t="s">
        <v>2153</v>
      </c>
      <c r="N133" s="25" t="s">
        <v>1901</v>
      </c>
      <c r="O133" s="25">
        <f>COUNTIF(COUNTRIES[COUNTRY_LABEL],COUNTRIES[[#This Row],[COUNTRY_LABEL]])</f>
        <v>1</v>
      </c>
    </row>
    <row r="134" spans="13:15">
      <c r="M134" s="25" t="s">
        <v>2167</v>
      </c>
      <c r="N134" s="25" t="s">
        <v>1915</v>
      </c>
      <c r="O134" s="25">
        <f>COUNTIF(COUNTRIES[COUNTRY_LABEL],COUNTRIES[[#This Row],[COUNTRY_LABEL]])</f>
        <v>1</v>
      </c>
    </row>
    <row r="135" spans="13:15">
      <c r="M135" s="25" t="s">
        <v>2169</v>
      </c>
      <c r="N135" s="25" t="s">
        <v>1917</v>
      </c>
      <c r="O135" s="25">
        <f>COUNTIF(COUNTRIES[COUNTRY_LABEL],COUNTRIES[[#This Row],[COUNTRY_LABEL]])</f>
        <v>1</v>
      </c>
    </row>
    <row r="136" spans="13:15">
      <c r="M136" s="25" t="s">
        <v>2166</v>
      </c>
      <c r="N136" s="25" t="s">
        <v>1914</v>
      </c>
      <c r="O136" s="25">
        <f>COUNTIF(COUNTRIES[COUNTRY_LABEL],COUNTRIES[[#This Row],[COUNTRY_LABEL]])</f>
        <v>1</v>
      </c>
    </row>
    <row r="137" spans="13:15">
      <c r="M137" s="25" t="s">
        <v>2156</v>
      </c>
      <c r="N137" s="25" t="s">
        <v>1904</v>
      </c>
      <c r="O137" s="25">
        <f>COUNTIF(COUNTRIES[COUNTRY_LABEL],COUNTRIES[[#This Row],[COUNTRY_LABEL]])</f>
        <v>1</v>
      </c>
    </row>
    <row r="138" spans="13:15">
      <c r="M138" s="25" t="s">
        <v>2164</v>
      </c>
      <c r="N138" s="25" t="s">
        <v>1912</v>
      </c>
      <c r="O138" s="25">
        <f>COUNTIF(COUNTRIES[COUNTRY_LABEL],COUNTRIES[[#This Row],[COUNTRY_LABEL]])</f>
        <v>1</v>
      </c>
    </row>
    <row r="139" spans="13:15">
      <c r="M139" s="25" t="s">
        <v>2154</v>
      </c>
      <c r="N139" s="25" t="s">
        <v>1902</v>
      </c>
      <c r="O139" s="25">
        <f>COUNTIF(COUNTRIES[COUNTRY_LABEL],COUNTRIES[[#This Row],[COUNTRY_LABEL]])</f>
        <v>1</v>
      </c>
    </row>
    <row r="140" spans="13:15">
      <c r="M140" s="25" t="s">
        <v>2161</v>
      </c>
      <c r="N140" s="25" t="s">
        <v>1909</v>
      </c>
      <c r="O140" s="25">
        <f>COUNTIF(COUNTRIES[COUNTRY_LABEL],COUNTRIES[[#This Row],[COUNTRY_LABEL]])</f>
        <v>1</v>
      </c>
    </row>
    <row r="141" spans="13:15">
      <c r="M141" s="25" t="s">
        <v>2162</v>
      </c>
      <c r="N141" s="25" t="s">
        <v>1910</v>
      </c>
      <c r="O141" s="25">
        <f>COUNTIF(COUNTRIES[COUNTRY_LABEL],COUNTRIES[[#This Row],[COUNTRY_LABEL]])</f>
        <v>1</v>
      </c>
    </row>
    <row r="142" spans="13:15">
      <c r="M142" s="25" t="s">
        <v>2165</v>
      </c>
      <c r="N142" s="25" t="s">
        <v>1913</v>
      </c>
      <c r="O142" s="25">
        <f>COUNTIF(COUNTRIES[COUNTRY_LABEL],COUNTRIES[[#This Row],[COUNTRY_LABEL]])</f>
        <v>1</v>
      </c>
    </row>
    <row r="143" spans="13:15">
      <c r="M143" s="25" t="s">
        <v>2256</v>
      </c>
      <c r="N143" s="25" t="s">
        <v>2004</v>
      </c>
      <c r="O143" s="25">
        <f>COUNTIF(COUNTRIES[COUNTRY_LABEL],COUNTRIES[[#This Row],[COUNTRY_LABEL]])</f>
        <v>1</v>
      </c>
    </row>
    <row r="144" spans="13:15">
      <c r="M144" s="25" t="s">
        <v>2168</v>
      </c>
      <c r="N144" s="25" t="s">
        <v>1916</v>
      </c>
      <c r="O144" s="25">
        <f>COUNTIF(COUNTRIES[COUNTRY_LABEL],COUNTRIES[[#This Row],[COUNTRY_LABEL]])</f>
        <v>1</v>
      </c>
    </row>
    <row r="145" spans="13:15">
      <c r="M145" s="25" t="s">
        <v>2084</v>
      </c>
      <c r="N145" s="25" t="s">
        <v>1833</v>
      </c>
      <c r="O145" s="25">
        <f>COUNTIF(COUNTRIES[COUNTRY_LABEL],COUNTRIES[[#This Row],[COUNTRY_LABEL]])</f>
        <v>1</v>
      </c>
    </row>
    <row r="146" spans="13:15">
      <c r="M146" s="25" t="s">
        <v>2150</v>
      </c>
      <c r="N146" s="25" t="s">
        <v>1898</v>
      </c>
      <c r="O146" s="25">
        <f>COUNTIF(COUNTRIES[COUNTRY_LABEL],COUNTRIES[[#This Row],[COUNTRY_LABEL]])</f>
        <v>1</v>
      </c>
    </row>
    <row r="147" spans="13:15">
      <c r="M147" s="25" t="s">
        <v>2149</v>
      </c>
      <c r="N147" s="25" t="s">
        <v>1897</v>
      </c>
      <c r="O147" s="25">
        <f>COUNTIF(COUNTRIES[COUNTRY_LABEL],COUNTRIES[[#This Row],[COUNTRY_LABEL]])</f>
        <v>1</v>
      </c>
    </row>
    <row r="148" spans="13:15">
      <c r="M148" s="25" t="s">
        <v>2158</v>
      </c>
      <c r="N148" s="25" t="s">
        <v>1906</v>
      </c>
      <c r="O148" s="25">
        <f>COUNTIF(COUNTRIES[COUNTRY_LABEL],COUNTRIES[[#This Row],[COUNTRY_LABEL]])</f>
        <v>1</v>
      </c>
    </row>
    <row r="149" spans="13:15">
      <c r="M149" s="25" t="s">
        <v>2151</v>
      </c>
      <c r="N149" s="25" t="s">
        <v>1899</v>
      </c>
      <c r="O149" s="25">
        <f>COUNTIF(COUNTRIES[COUNTRY_LABEL],COUNTRIES[[#This Row],[COUNTRY_LABEL]])</f>
        <v>1</v>
      </c>
    </row>
    <row r="150" spans="13:15">
      <c r="M150" s="25" t="s">
        <v>2163</v>
      </c>
      <c r="N150" s="25" t="s">
        <v>1911</v>
      </c>
      <c r="O150" s="25">
        <f>COUNTIF(COUNTRIES[COUNTRY_LABEL],COUNTRIES[[#This Row],[COUNTRY_LABEL]])</f>
        <v>1</v>
      </c>
    </row>
    <row r="151" spans="13:15">
      <c r="M151" s="25" t="s">
        <v>2148</v>
      </c>
      <c r="N151" s="25" t="s">
        <v>1896</v>
      </c>
      <c r="O151" s="25">
        <f>COUNTIF(COUNTRIES[COUNTRY_LABEL],COUNTRIES[[#This Row],[COUNTRY_LABEL]])</f>
        <v>1</v>
      </c>
    </row>
    <row r="152" spans="13:15">
      <c r="M152" s="25" t="s">
        <v>2170</v>
      </c>
      <c r="N152" s="25" t="s">
        <v>1918</v>
      </c>
      <c r="O152" s="25">
        <f>COUNTIF(COUNTRIES[COUNTRY_LABEL],COUNTRIES[[#This Row],[COUNTRY_LABEL]])</f>
        <v>1</v>
      </c>
    </row>
    <row r="153" spans="13:15">
      <c r="M153" s="25" t="s">
        <v>2157</v>
      </c>
      <c r="N153" s="25" t="s">
        <v>1905</v>
      </c>
      <c r="O153" s="25">
        <f>COUNTIF(COUNTRIES[COUNTRY_LABEL],COUNTRIES[[#This Row],[COUNTRY_LABEL]])</f>
        <v>1</v>
      </c>
    </row>
    <row r="154" spans="13:15">
      <c r="M154" s="25" t="s">
        <v>1749</v>
      </c>
      <c r="N154" s="25" t="s">
        <v>1919</v>
      </c>
      <c r="O154" s="25">
        <f>COUNTIF(COUNTRIES[COUNTRY_LABEL],COUNTRIES[[#This Row],[COUNTRY_LABEL]])</f>
        <v>1</v>
      </c>
    </row>
    <row r="155" spans="13:15">
      <c r="M155" s="25" t="s">
        <v>2179</v>
      </c>
      <c r="N155" s="25" t="s">
        <v>1928</v>
      </c>
      <c r="O155" s="25">
        <f>COUNTIF(COUNTRIES[COUNTRY_LABEL],COUNTRIES[[#This Row],[COUNTRY_LABEL]])</f>
        <v>1</v>
      </c>
    </row>
    <row r="156" spans="13:15">
      <c r="M156" s="25" t="s">
        <v>2178</v>
      </c>
      <c r="N156" s="25" t="s">
        <v>1927</v>
      </c>
      <c r="O156" s="25">
        <f>COUNTIF(COUNTRIES[COUNTRY_LABEL],COUNTRIES[[#This Row],[COUNTRY_LABEL]])</f>
        <v>1</v>
      </c>
    </row>
    <row r="157" spans="13:15">
      <c r="M157" s="25" t="s">
        <v>2176</v>
      </c>
      <c r="N157" s="25" t="s">
        <v>1925</v>
      </c>
      <c r="O157" s="25">
        <f>COUNTIF(COUNTRIES[COUNTRY_LABEL],COUNTRIES[[#This Row],[COUNTRY_LABEL]])</f>
        <v>1</v>
      </c>
    </row>
    <row r="158" spans="13:15">
      <c r="M158" s="25" t="s">
        <v>2171</v>
      </c>
      <c r="N158" s="25" t="s">
        <v>1920</v>
      </c>
      <c r="O158" s="25">
        <f>COUNTIF(COUNTRIES[COUNTRY_LABEL],COUNTRIES[[#This Row],[COUNTRY_LABEL]])</f>
        <v>1</v>
      </c>
    </row>
    <row r="159" spans="13:15">
      <c r="M159" s="25" t="s">
        <v>2181</v>
      </c>
      <c r="N159" s="25" t="s">
        <v>1930</v>
      </c>
      <c r="O159" s="25">
        <f>COUNTIF(COUNTRIES[COUNTRY_LABEL],COUNTRIES[[#This Row],[COUNTRY_LABEL]])</f>
        <v>1</v>
      </c>
    </row>
    <row r="160" spans="13:15">
      <c r="M160" s="25" t="s">
        <v>2175</v>
      </c>
      <c r="N160" s="25" t="s">
        <v>1924</v>
      </c>
      <c r="O160" s="25">
        <f>COUNTIF(COUNTRIES[COUNTRY_LABEL],COUNTRIES[[#This Row],[COUNTRY_LABEL]])</f>
        <v>1</v>
      </c>
    </row>
    <row r="161" spans="13:15">
      <c r="M161" s="25" t="s">
        <v>2172</v>
      </c>
      <c r="N161" s="25" t="s">
        <v>1921</v>
      </c>
      <c r="O161" s="25">
        <f>COUNTIF(COUNTRIES[COUNTRY_LABEL],COUNTRIES[[#This Row],[COUNTRY_LABEL]])</f>
        <v>1</v>
      </c>
    </row>
    <row r="162" spans="13:15">
      <c r="M162" s="25" t="s">
        <v>2174</v>
      </c>
      <c r="N162" s="25" t="s">
        <v>1923</v>
      </c>
      <c r="O162" s="25">
        <f>COUNTIF(COUNTRIES[COUNTRY_LABEL],COUNTRIES[[#This Row],[COUNTRY_LABEL]])</f>
        <v>1</v>
      </c>
    </row>
    <row r="163" spans="13:15">
      <c r="M163" s="25" t="s">
        <v>2180</v>
      </c>
      <c r="N163" s="25" t="s">
        <v>1929</v>
      </c>
      <c r="O163" s="25">
        <f>COUNTIF(COUNTRIES[COUNTRY_LABEL],COUNTRIES[[#This Row],[COUNTRY_LABEL]])</f>
        <v>1</v>
      </c>
    </row>
    <row r="164" spans="13:15">
      <c r="M164" s="25" t="s">
        <v>2173</v>
      </c>
      <c r="N164" s="25" t="s">
        <v>1922</v>
      </c>
      <c r="O164" s="25">
        <f>COUNTIF(COUNTRIES[COUNTRY_LABEL],COUNTRIES[[#This Row],[COUNTRY_LABEL]])</f>
        <v>1</v>
      </c>
    </row>
    <row r="165" spans="13:15">
      <c r="M165" s="25" t="s">
        <v>2132</v>
      </c>
      <c r="N165" s="25" t="s">
        <v>1880</v>
      </c>
      <c r="O165" s="25">
        <f>COUNTIF(COUNTRIES[COUNTRY_LABEL],COUNTRIES[[#This Row],[COUNTRY_LABEL]])</f>
        <v>1</v>
      </c>
    </row>
    <row r="166" spans="13:15">
      <c r="M166" s="25" t="s">
        <v>2155</v>
      </c>
      <c r="N166" s="25" t="s">
        <v>1903</v>
      </c>
      <c r="O166" s="25">
        <f>COUNTIF(COUNTRIES[COUNTRY_LABEL],COUNTRIES[[#This Row],[COUNTRY_LABEL]])</f>
        <v>1</v>
      </c>
    </row>
    <row r="167" spans="13:15">
      <c r="M167" s="25" t="s">
        <v>2160</v>
      </c>
      <c r="N167" s="25" t="s">
        <v>1908</v>
      </c>
      <c r="O167" s="25">
        <f>COUNTIF(COUNTRIES[COUNTRY_LABEL],COUNTRIES[[#This Row],[COUNTRY_LABEL]])</f>
        <v>1</v>
      </c>
    </row>
    <row r="168" spans="13:15">
      <c r="M168" s="25" t="s">
        <v>2177</v>
      </c>
      <c r="N168" s="25" t="s">
        <v>1926</v>
      </c>
      <c r="O168" s="25">
        <f>COUNTIF(COUNTRIES[COUNTRY_LABEL],COUNTRIES[[#This Row],[COUNTRY_LABEL]])</f>
        <v>1</v>
      </c>
    </row>
    <row r="169" spans="13:15">
      <c r="M169" s="25" t="s">
        <v>2182</v>
      </c>
      <c r="N169" s="25" t="s">
        <v>1931</v>
      </c>
      <c r="O169" s="25">
        <f>COUNTIF(COUNTRIES[COUNTRY_LABEL],COUNTRIES[[#This Row],[COUNTRY_LABEL]])</f>
        <v>1</v>
      </c>
    </row>
    <row r="170" spans="13:15">
      <c r="M170" s="25" t="s">
        <v>2188</v>
      </c>
      <c r="N170" s="25" t="s">
        <v>1937</v>
      </c>
      <c r="O170" s="25">
        <f>COUNTIF(COUNTRIES[COUNTRY_LABEL],COUNTRIES[[#This Row],[COUNTRY_LABEL]])</f>
        <v>1</v>
      </c>
    </row>
    <row r="171" spans="13:15">
      <c r="M171" s="25" t="s">
        <v>2195</v>
      </c>
      <c r="N171" s="25" t="s">
        <v>1944</v>
      </c>
      <c r="O171" s="25">
        <f>COUNTIF(COUNTRIES[COUNTRY_LABEL],COUNTRIES[[#This Row],[COUNTRY_LABEL]])</f>
        <v>1</v>
      </c>
    </row>
    <row r="172" spans="13:15">
      <c r="M172" s="25" t="s">
        <v>2193</v>
      </c>
      <c r="N172" s="25" t="s">
        <v>1942</v>
      </c>
      <c r="O172" s="25">
        <f>COUNTIF(COUNTRIES[COUNTRY_LABEL],COUNTRIES[[#This Row],[COUNTRY_LABEL]])</f>
        <v>1</v>
      </c>
    </row>
    <row r="173" spans="13:15">
      <c r="M173" s="25" t="s">
        <v>2183</v>
      </c>
      <c r="N173" s="25" t="s">
        <v>1932</v>
      </c>
      <c r="O173" s="25">
        <f>COUNTIF(COUNTRIES[COUNTRY_LABEL],COUNTRIES[[#This Row],[COUNTRY_LABEL]])</f>
        <v>1</v>
      </c>
    </row>
    <row r="174" spans="13:15">
      <c r="M174" s="25" t="s">
        <v>2186</v>
      </c>
      <c r="N174" s="25" t="s">
        <v>1935</v>
      </c>
      <c r="O174" s="25">
        <f>COUNTIF(COUNTRIES[COUNTRY_LABEL],COUNTRIES[[#This Row],[COUNTRY_LABEL]])</f>
        <v>1</v>
      </c>
    </row>
    <row r="175" spans="13:15">
      <c r="M175" s="25" t="s">
        <v>2196</v>
      </c>
      <c r="N175" s="25" t="s">
        <v>1945</v>
      </c>
      <c r="O175" s="25">
        <f>COUNTIF(COUNTRIES[COUNTRY_LABEL],COUNTRIES[[#This Row],[COUNTRY_LABEL]])</f>
        <v>1</v>
      </c>
    </row>
    <row r="176" spans="13:15">
      <c r="M176" s="25" t="s">
        <v>2184</v>
      </c>
      <c r="N176" s="25" t="s">
        <v>1933</v>
      </c>
      <c r="O176" s="25">
        <f>COUNTIF(COUNTRIES[COUNTRY_LABEL],COUNTRIES[[#This Row],[COUNTRY_LABEL]])</f>
        <v>1</v>
      </c>
    </row>
    <row r="177" spans="13:15">
      <c r="M177" s="25" t="s">
        <v>2187</v>
      </c>
      <c r="N177" s="25" t="s">
        <v>1936</v>
      </c>
      <c r="O177" s="25">
        <f>COUNTIF(COUNTRIES[COUNTRY_LABEL],COUNTRIES[[#This Row],[COUNTRY_LABEL]])</f>
        <v>1</v>
      </c>
    </row>
    <row r="178" spans="13:15">
      <c r="M178" s="25" t="s">
        <v>2191</v>
      </c>
      <c r="N178" s="25" t="s">
        <v>1940</v>
      </c>
      <c r="O178" s="25">
        <f>COUNTIF(COUNTRIES[COUNTRY_LABEL],COUNTRIES[[#This Row],[COUNTRY_LABEL]])</f>
        <v>1</v>
      </c>
    </row>
    <row r="179" spans="13:15">
      <c r="M179" s="25" t="s">
        <v>2189</v>
      </c>
      <c r="N179" s="25" t="s">
        <v>1938</v>
      </c>
      <c r="O179" s="25">
        <f>COUNTIF(COUNTRIES[COUNTRY_LABEL],COUNTRIES[[#This Row],[COUNTRY_LABEL]])</f>
        <v>1</v>
      </c>
    </row>
    <row r="180" spans="13:15">
      <c r="M180" s="25" t="s">
        <v>2194</v>
      </c>
      <c r="N180" s="25" t="s">
        <v>1943</v>
      </c>
      <c r="O180" s="25">
        <f>COUNTIF(COUNTRIES[COUNTRY_LABEL],COUNTRIES[[#This Row],[COUNTRY_LABEL]])</f>
        <v>1</v>
      </c>
    </row>
    <row r="181" spans="13:15">
      <c r="M181" s="25" t="s">
        <v>2192</v>
      </c>
      <c r="N181" s="25" t="s">
        <v>1941</v>
      </c>
      <c r="O181" s="25">
        <f>COUNTIF(COUNTRIES[COUNTRY_LABEL],COUNTRIES[[#This Row],[COUNTRY_LABEL]])</f>
        <v>1</v>
      </c>
    </row>
    <row r="182" spans="13:15">
      <c r="M182" s="25" t="s">
        <v>2197</v>
      </c>
      <c r="N182" s="25" t="s">
        <v>1946</v>
      </c>
      <c r="O182" s="25">
        <f>COUNTIF(COUNTRIES[COUNTRY_LABEL],COUNTRIES[[#This Row],[COUNTRY_LABEL]])</f>
        <v>1</v>
      </c>
    </row>
    <row r="183" spans="13:15">
      <c r="M183" s="25" t="s">
        <v>2053</v>
      </c>
      <c r="N183" s="25" t="s">
        <v>1802</v>
      </c>
      <c r="O183" s="25">
        <f>COUNTIF(COUNTRIES[COUNTRY_LABEL],COUNTRIES[[#This Row],[COUNTRY_LABEL]])</f>
        <v>1</v>
      </c>
    </row>
    <row r="184" spans="13:15">
      <c r="M184" s="25" t="s">
        <v>2198</v>
      </c>
      <c r="N184" s="25" t="s">
        <v>1947</v>
      </c>
      <c r="O184" s="25">
        <f>COUNTIF(COUNTRIES[COUNTRY_LABEL],COUNTRIES[[#This Row],[COUNTRY_LABEL]])</f>
        <v>1</v>
      </c>
    </row>
    <row r="185" spans="13:15">
      <c r="M185" s="25" t="s">
        <v>2199</v>
      </c>
      <c r="N185" s="25" t="s">
        <v>1948</v>
      </c>
      <c r="O185" s="25">
        <f>COUNTIF(COUNTRIES[COUNTRY_LABEL],COUNTRIES[[#This Row],[COUNTRY_LABEL]])</f>
        <v>1</v>
      </c>
    </row>
    <row r="186" spans="13:15">
      <c r="M186" s="25" t="s">
        <v>2201</v>
      </c>
      <c r="N186" s="25" t="s">
        <v>1950</v>
      </c>
      <c r="O186" s="25">
        <f>COUNTIF(COUNTRIES[COUNTRY_LABEL],COUNTRIES[[#This Row],[COUNTRY_LABEL]])</f>
        <v>1</v>
      </c>
    </row>
    <row r="187" spans="13:15">
      <c r="M187" s="25" t="s">
        <v>2202</v>
      </c>
      <c r="N187" s="25" t="s">
        <v>1951</v>
      </c>
      <c r="O187" s="25">
        <f>COUNTIF(COUNTRIES[COUNTRY_LABEL],COUNTRIES[[#This Row],[COUNTRY_LABEL]])</f>
        <v>1</v>
      </c>
    </row>
    <row r="188" spans="13:15">
      <c r="M188" s="25" t="s">
        <v>2037</v>
      </c>
      <c r="N188" s="25" t="s">
        <v>1786</v>
      </c>
      <c r="O188" s="25">
        <f>COUNTIF(COUNTRIES[COUNTRY_LABEL],COUNTRIES[[#This Row],[COUNTRY_LABEL]])</f>
        <v>1</v>
      </c>
    </row>
    <row r="189" spans="13:15">
      <c r="M189" s="25" t="s">
        <v>2209</v>
      </c>
      <c r="N189" s="25" t="s">
        <v>1958</v>
      </c>
      <c r="O189" s="25">
        <f>COUNTIF(COUNTRIES[COUNTRY_LABEL],COUNTRIES[[#This Row],[COUNTRY_LABEL]])</f>
        <v>1</v>
      </c>
    </row>
    <row r="190" spans="13:15">
      <c r="M190" s="25" t="s">
        <v>2131</v>
      </c>
      <c r="N190" s="25" t="s">
        <v>1879</v>
      </c>
      <c r="O190" s="25">
        <f>COUNTIF(COUNTRIES[COUNTRY_LABEL],COUNTRIES[[#This Row],[COUNTRY_LABEL]])</f>
        <v>1</v>
      </c>
    </row>
    <row r="191" spans="13:15">
      <c r="M191" s="25" t="s">
        <v>2139</v>
      </c>
      <c r="N191" s="25" t="s">
        <v>1887</v>
      </c>
      <c r="O191" s="25">
        <f>COUNTIF(COUNTRIES[COUNTRY_LABEL],COUNTRIES[[#This Row],[COUNTRY_LABEL]])</f>
        <v>1</v>
      </c>
    </row>
    <row r="192" spans="13:15">
      <c r="M192" s="25" t="s">
        <v>2152</v>
      </c>
      <c r="N192" s="25" t="s">
        <v>1900</v>
      </c>
      <c r="O192" s="25">
        <f>COUNTIF(COUNTRIES[COUNTRY_LABEL],COUNTRIES[[#This Row],[COUNTRY_LABEL]])</f>
        <v>1</v>
      </c>
    </row>
    <row r="193" spans="13:15">
      <c r="M193" s="25" t="s">
        <v>2190</v>
      </c>
      <c r="N193" s="25" t="s">
        <v>1939</v>
      </c>
      <c r="O193" s="25">
        <f>COUNTIF(COUNTRIES[COUNTRY_LABEL],COUNTRIES[[#This Row],[COUNTRY_LABEL]])</f>
        <v>1</v>
      </c>
    </row>
    <row r="194" spans="13:15">
      <c r="M194" s="25" t="s">
        <v>2247</v>
      </c>
      <c r="N194" s="25" t="s">
        <v>1995</v>
      </c>
      <c r="O194" s="25">
        <f>COUNTIF(COUNTRIES[COUNTRY_LABEL],COUNTRIES[[#This Row],[COUNTRY_LABEL]])</f>
        <v>1</v>
      </c>
    </row>
    <row r="195" spans="13:15">
      <c r="M195" s="25" t="s">
        <v>2254</v>
      </c>
      <c r="N195" s="25" t="s">
        <v>2002</v>
      </c>
      <c r="O195" s="25">
        <f>COUNTIF(COUNTRIES[COUNTRY_LABEL],COUNTRIES[[#This Row],[COUNTRY_LABEL]])</f>
        <v>1</v>
      </c>
    </row>
    <row r="196" spans="13:15">
      <c r="M196" s="25" t="s">
        <v>2214</v>
      </c>
      <c r="N196" s="25" t="s">
        <v>1963</v>
      </c>
      <c r="O196" s="25">
        <f>COUNTIF(COUNTRIES[COUNTRY_LABEL],COUNTRIES[[#This Row],[COUNTRY_LABEL]])</f>
        <v>1</v>
      </c>
    </row>
    <row r="197" spans="13:15">
      <c r="M197" s="25" t="s">
        <v>2219</v>
      </c>
      <c r="N197" s="25" t="s">
        <v>1968</v>
      </c>
      <c r="O197" s="25">
        <f>COUNTIF(COUNTRIES[COUNTRY_LABEL],COUNTRIES[[#This Row],[COUNTRY_LABEL]])</f>
        <v>1</v>
      </c>
    </row>
    <row r="198" spans="13:15">
      <c r="M198" s="25" t="s">
        <v>2203</v>
      </c>
      <c r="N198" s="25" t="s">
        <v>1952</v>
      </c>
      <c r="O198" s="25">
        <f>COUNTIF(COUNTRIES[COUNTRY_LABEL],COUNTRIES[[#This Row],[COUNTRY_LABEL]])</f>
        <v>1</v>
      </c>
    </row>
    <row r="199" spans="13:15">
      <c r="M199" s="25" t="s">
        <v>2215</v>
      </c>
      <c r="N199" s="25" t="s">
        <v>1964</v>
      </c>
      <c r="O199" s="25">
        <f>COUNTIF(COUNTRIES[COUNTRY_LABEL],COUNTRIES[[#This Row],[COUNTRY_LABEL]])</f>
        <v>1</v>
      </c>
    </row>
    <row r="200" spans="13:15">
      <c r="M200" s="25" t="s">
        <v>2200</v>
      </c>
      <c r="N200" s="25" t="s">
        <v>1949</v>
      </c>
      <c r="O200" s="25">
        <f>COUNTIF(COUNTRIES[COUNTRY_LABEL],COUNTRIES[[#This Row],[COUNTRY_LABEL]])</f>
        <v>1</v>
      </c>
    </row>
    <row r="201" spans="13:15">
      <c r="M201" s="25" t="s">
        <v>2205</v>
      </c>
      <c r="N201" s="25" t="s">
        <v>1954</v>
      </c>
      <c r="O201" s="25">
        <f>COUNTIF(COUNTRIES[COUNTRY_LABEL],COUNTRIES[[#This Row],[COUNTRY_LABEL]])</f>
        <v>1</v>
      </c>
    </row>
    <row r="202" spans="13:15">
      <c r="M202" s="25" t="s">
        <v>2213</v>
      </c>
      <c r="N202" s="25" t="s">
        <v>1962</v>
      </c>
      <c r="O202" s="25">
        <f>COUNTIF(COUNTRIES[COUNTRY_LABEL],COUNTRIES[[#This Row],[COUNTRY_LABEL]])</f>
        <v>1</v>
      </c>
    </row>
    <row r="203" spans="13:15">
      <c r="M203" s="25" t="s">
        <v>2208</v>
      </c>
      <c r="N203" s="25" t="s">
        <v>1957</v>
      </c>
      <c r="O203" s="25">
        <f>COUNTIF(COUNTRIES[COUNTRY_LABEL],COUNTRIES[[#This Row],[COUNTRY_LABEL]])</f>
        <v>1</v>
      </c>
    </row>
    <row r="204" spans="13:15">
      <c r="M204" s="25" t="s">
        <v>2221</v>
      </c>
      <c r="N204" s="25" t="s">
        <v>1970</v>
      </c>
      <c r="O204" s="25">
        <f>COUNTIF(COUNTRIES[COUNTRY_LABEL],COUNTRIES[[#This Row],[COUNTRY_LABEL]])</f>
        <v>1</v>
      </c>
    </row>
    <row r="205" spans="13:15">
      <c r="M205" s="25" t="s">
        <v>2212</v>
      </c>
      <c r="N205" s="25" t="s">
        <v>1961</v>
      </c>
      <c r="O205" s="25">
        <f>COUNTIF(COUNTRIES[COUNTRY_LABEL],COUNTRIES[[#This Row],[COUNTRY_LABEL]])</f>
        <v>1</v>
      </c>
    </row>
    <row r="206" spans="13:15">
      <c r="M206" s="25" t="s">
        <v>2210</v>
      </c>
      <c r="N206" s="25" t="s">
        <v>1959</v>
      </c>
      <c r="O206" s="25">
        <f>COUNTIF(COUNTRIES[COUNTRY_LABEL],COUNTRIES[[#This Row],[COUNTRY_LABEL]])</f>
        <v>1</v>
      </c>
    </row>
    <row r="207" spans="13:15">
      <c r="M207" s="25" t="s">
        <v>2204</v>
      </c>
      <c r="N207" s="25" t="s">
        <v>1953</v>
      </c>
      <c r="O207" s="25">
        <f>COUNTIF(COUNTRIES[COUNTRY_LABEL],COUNTRIES[[#This Row],[COUNTRY_LABEL]])</f>
        <v>1</v>
      </c>
    </row>
    <row r="208" spans="13:15">
      <c r="M208" s="25" t="s">
        <v>2216</v>
      </c>
      <c r="N208" s="25" t="s">
        <v>1965</v>
      </c>
      <c r="O208" s="25">
        <f>COUNTIF(COUNTRIES[COUNTRY_LABEL],COUNTRIES[[#This Row],[COUNTRY_LABEL]])</f>
        <v>1</v>
      </c>
    </row>
    <row r="209" spans="13:15">
      <c r="M209" s="25" t="s">
        <v>2257</v>
      </c>
      <c r="N209" s="25" t="s">
        <v>2005</v>
      </c>
      <c r="O209" s="25">
        <f>COUNTIF(COUNTRIES[COUNTRY_LABEL],COUNTRIES[[#This Row],[COUNTRY_LABEL]])</f>
        <v>1</v>
      </c>
    </row>
    <row r="210" spans="13:15">
      <c r="M210" s="25" t="s">
        <v>2101</v>
      </c>
      <c r="N210" s="25" t="s">
        <v>1849</v>
      </c>
      <c r="O210" s="25">
        <f>COUNTIF(COUNTRIES[COUNTRY_LABEL],COUNTRIES[[#This Row],[COUNTRY_LABEL]])</f>
        <v>1</v>
      </c>
    </row>
    <row r="211" spans="13:15">
      <c r="M211" s="25" t="s">
        <v>2133</v>
      </c>
      <c r="N211" s="25" t="s">
        <v>1881</v>
      </c>
      <c r="O211" s="25">
        <f>COUNTIF(COUNTRIES[COUNTRY_LABEL],COUNTRIES[[#This Row],[COUNTRY_LABEL]])</f>
        <v>1</v>
      </c>
    </row>
    <row r="212" spans="13:15">
      <c r="M212" s="25" t="s">
        <v>2218</v>
      </c>
      <c r="N212" s="25" t="s">
        <v>1967</v>
      </c>
      <c r="O212" s="25">
        <f>COUNTIF(COUNTRIES[COUNTRY_LABEL],COUNTRIES[[#This Row],[COUNTRY_LABEL]])</f>
        <v>1</v>
      </c>
    </row>
    <row r="213" spans="13:15">
      <c r="M213" s="25" t="s">
        <v>2079</v>
      </c>
      <c r="N213" s="25" t="s">
        <v>1828</v>
      </c>
      <c r="O213" s="25">
        <f>COUNTIF(COUNTRIES[COUNTRY_LABEL],COUNTRIES[[#This Row],[COUNTRY_LABEL]])</f>
        <v>1</v>
      </c>
    </row>
    <row r="214" spans="13:15">
      <c r="M214" s="25" t="s">
        <v>2141</v>
      </c>
      <c r="N214" s="25" t="s">
        <v>1889</v>
      </c>
      <c r="O214" s="25">
        <f>COUNTIF(COUNTRIES[COUNTRY_LABEL],COUNTRIES[[#This Row],[COUNTRY_LABEL]])</f>
        <v>1</v>
      </c>
    </row>
    <row r="215" spans="13:15">
      <c r="M215" s="25" t="s">
        <v>2206</v>
      </c>
      <c r="N215" s="25" t="s">
        <v>1955</v>
      </c>
      <c r="O215" s="25">
        <f>COUNTIF(COUNTRIES[COUNTRY_LABEL],COUNTRIES[[#This Row],[COUNTRY_LABEL]])</f>
        <v>1</v>
      </c>
    </row>
    <row r="216" spans="13:15">
      <c r="M216" s="25" t="s">
        <v>2217</v>
      </c>
      <c r="N216" s="25" t="s">
        <v>1966</v>
      </c>
      <c r="O216" s="25">
        <f>COUNTIF(COUNTRIES[COUNTRY_LABEL],COUNTRIES[[#This Row],[COUNTRY_LABEL]])</f>
        <v>1</v>
      </c>
    </row>
    <row r="217" spans="13:15">
      <c r="M217" s="25" t="s">
        <v>2211</v>
      </c>
      <c r="N217" s="25" t="s">
        <v>1960</v>
      </c>
      <c r="O217" s="25">
        <f>COUNTIF(COUNTRIES[COUNTRY_LABEL],COUNTRIES[[#This Row],[COUNTRY_LABEL]])</f>
        <v>1</v>
      </c>
    </row>
    <row r="218" spans="13:15">
      <c r="M218" s="25" t="s">
        <v>2207</v>
      </c>
      <c r="N218" s="25" t="s">
        <v>1956</v>
      </c>
      <c r="O218" s="25">
        <f>COUNTIF(COUNTRIES[COUNTRY_LABEL],COUNTRIES[[#This Row],[COUNTRY_LABEL]])</f>
        <v>1</v>
      </c>
    </row>
    <row r="219" spans="13:15">
      <c r="M219" s="25" t="s">
        <v>2054</v>
      </c>
      <c r="N219" s="25" t="s">
        <v>1803</v>
      </c>
      <c r="O219" s="25">
        <f>COUNTIF(COUNTRIES[COUNTRY_LABEL],COUNTRIES[[#This Row],[COUNTRY_LABEL]])</f>
        <v>1</v>
      </c>
    </row>
    <row r="220" spans="13:15">
      <c r="M220" s="25" t="s">
        <v>2222</v>
      </c>
      <c r="N220" s="25" t="s">
        <v>1971</v>
      </c>
      <c r="O220" s="25">
        <f>COUNTIF(COUNTRIES[COUNTRY_LABEL],COUNTRIES[[#This Row],[COUNTRY_LABEL]])</f>
        <v>1</v>
      </c>
    </row>
    <row r="221" spans="13:15">
      <c r="M221" s="25" t="s">
        <v>2238</v>
      </c>
      <c r="N221" s="25" t="s">
        <v>1986</v>
      </c>
      <c r="O221" s="25">
        <f>COUNTIF(COUNTRIES[COUNTRY_LABEL],COUNTRIES[[#This Row],[COUNTRY_LABEL]])</f>
        <v>1</v>
      </c>
    </row>
    <row r="222" spans="13:15">
      <c r="M222" s="25" t="s">
        <v>2229</v>
      </c>
      <c r="N222" s="25" t="s">
        <v>1978</v>
      </c>
      <c r="O222" s="25">
        <f>COUNTIF(COUNTRIES[COUNTRY_LABEL],COUNTRIES[[#This Row],[COUNTRY_LABEL]])</f>
        <v>1</v>
      </c>
    </row>
    <row r="223" spans="13:15">
      <c r="M223" s="25" t="s">
        <v>2239</v>
      </c>
      <c r="N223" s="25" t="s">
        <v>1987</v>
      </c>
      <c r="O223" s="25">
        <f>COUNTIF(COUNTRIES[COUNTRY_LABEL],COUNTRIES[[#This Row],[COUNTRY_LABEL]])</f>
        <v>1</v>
      </c>
    </row>
    <row r="224" spans="13:15">
      <c r="M224" s="25" t="s">
        <v>2228</v>
      </c>
      <c r="N224" s="25" t="s">
        <v>1977</v>
      </c>
      <c r="O224" s="25">
        <f>COUNTIF(COUNTRIES[COUNTRY_LABEL],COUNTRIES[[#This Row],[COUNTRY_LABEL]])</f>
        <v>1</v>
      </c>
    </row>
    <row r="225" spans="13:15">
      <c r="M225" s="25" t="s">
        <v>2231</v>
      </c>
      <c r="N225" s="25" t="s">
        <v>1980</v>
      </c>
      <c r="O225" s="25">
        <f>COUNTIF(COUNTRIES[COUNTRY_LABEL],COUNTRIES[[#This Row],[COUNTRY_LABEL]])</f>
        <v>1</v>
      </c>
    </row>
    <row r="226" spans="13:15">
      <c r="M226" s="25" t="s">
        <v>2227</v>
      </c>
      <c r="N226" s="25" t="s">
        <v>1976</v>
      </c>
      <c r="O226" s="25">
        <f>COUNTIF(COUNTRIES[COUNTRY_LABEL],COUNTRIES[[#This Row],[COUNTRY_LABEL]])</f>
        <v>1</v>
      </c>
    </row>
    <row r="227" spans="13:15">
      <c r="M227" s="25" t="s">
        <v>2230</v>
      </c>
      <c r="N227" s="25" t="s">
        <v>1979</v>
      </c>
      <c r="O227" s="25">
        <f>COUNTIF(COUNTRIES[COUNTRY_LABEL],COUNTRIES[[#This Row],[COUNTRY_LABEL]])</f>
        <v>1</v>
      </c>
    </row>
    <row r="228" spans="13:15">
      <c r="M228" s="25" t="s">
        <v>2234</v>
      </c>
      <c r="N228" s="25" t="s">
        <v>1983</v>
      </c>
      <c r="O228" s="25">
        <f>COUNTIF(COUNTRIES[COUNTRY_LABEL],COUNTRIES[[#This Row],[COUNTRY_LABEL]])</f>
        <v>1</v>
      </c>
    </row>
    <row r="229" spans="13:15">
      <c r="M229" s="25" t="s">
        <v>2236</v>
      </c>
      <c r="N229" s="25" t="s">
        <v>1984</v>
      </c>
      <c r="O229" s="25">
        <f>COUNTIF(COUNTRIES[COUNTRY_LABEL],COUNTRIES[[#This Row],[COUNTRY_LABEL]])</f>
        <v>1</v>
      </c>
    </row>
    <row r="230" spans="13:15">
      <c r="M230" s="25" t="s">
        <v>2233</v>
      </c>
      <c r="N230" s="25" t="s">
        <v>1982</v>
      </c>
      <c r="O230" s="25">
        <f>COUNTIF(COUNTRIES[COUNTRY_LABEL],COUNTRIES[[#This Row],[COUNTRY_LABEL]])</f>
        <v>1</v>
      </c>
    </row>
    <row r="231" spans="13:15">
      <c r="M231" s="25" t="s">
        <v>2235</v>
      </c>
      <c r="N231" s="25" t="s">
        <v>2262</v>
      </c>
      <c r="O231" s="25">
        <f>COUNTIF(COUNTRIES[COUNTRY_LABEL],COUNTRIES[[#This Row],[COUNTRY_LABEL]])</f>
        <v>1</v>
      </c>
    </row>
    <row r="232" spans="13:15">
      <c r="M232" s="25" t="s">
        <v>2232</v>
      </c>
      <c r="N232" s="25" t="s">
        <v>1981</v>
      </c>
      <c r="O232" s="25">
        <f>COUNTIF(COUNTRIES[COUNTRY_LABEL],COUNTRIES[[#This Row],[COUNTRY_LABEL]])</f>
        <v>1</v>
      </c>
    </row>
    <row r="233" spans="13:15">
      <c r="M233" s="25" t="s">
        <v>2224</v>
      </c>
      <c r="N233" s="25" t="s">
        <v>1973</v>
      </c>
      <c r="O233" s="25">
        <f>COUNTIF(COUNTRIES[COUNTRY_LABEL],COUNTRIES[[#This Row],[COUNTRY_LABEL]])</f>
        <v>1</v>
      </c>
    </row>
    <row r="234" spans="13:15">
      <c r="M234" s="25" t="s">
        <v>2237</v>
      </c>
      <c r="N234" s="25" t="s">
        <v>1985</v>
      </c>
      <c r="O234" s="25">
        <f>COUNTIF(COUNTRIES[COUNTRY_LABEL],COUNTRIES[[#This Row],[COUNTRY_LABEL]])</f>
        <v>1</v>
      </c>
    </row>
    <row r="235" spans="13:15">
      <c r="M235" s="25" t="s">
        <v>2241</v>
      </c>
      <c r="N235" s="25" t="s">
        <v>1989</v>
      </c>
      <c r="O235" s="25">
        <f>COUNTIF(COUNTRIES[COUNTRY_LABEL],COUNTRIES[[#This Row],[COUNTRY_LABEL]])</f>
        <v>1</v>
      </c>
    </row>
    <row r="236" spans="13:15">
      <c r="M236" s="25" t="s">
        <v>2240</v>
      </c>
      <c r="N236" s="25" t="s">
        <v>1988</v>
      </c>
      <c r="O236" s="25">
        <f>COUNTIF(COUNTRIES[COUNTRY_LABEL],COUNTRIES[[#This Row],[COUNTRY_LABEL]])</f>
        <v>1</v>
      </c>
    </row>
    <row r="237" spans="13:15">
      <c r="M237" s="25" t="s">
        <v>2013</v>
      </c>
      <c r="N237" s="25" t="s">
        <v>1762</v>
      </c>
      <c r="O237" s="25">
        <f>COUNTIF(COUNTRIES[COUNTRY_LABEL],COUNTRIES[[#This Row],[COUNTRY_LABEL]])</f>
        <v>1</v>
      </c>
    </row>
    <row r="238" spans="13:15">
      <c r="M238" s="25" t="s">
        <v>2088</v>
      </c>
      <c r="N238" s="25" t="s">
        <v>1836</v>
      </c>
      <c r="O238" s="25">
        <f>COUNTIF(COUNTRIES[COUNTRY_LABEL],COUNTRIES[[#This Row],[COUNTRY_LABEL]])</f>
        <v>1</v>
      </c>
    </row>
    <row r="239" spans="13:15">
      <c r="M239" s="25" t="s">
        <v>2243</v>
      </c>
      <c r="N239" s="25" t="s">
        <v>1991</v>
      </c>
      <c r="O239" s="25">
        <f>COUNTIF(COUNTRIES[COUNTRY_LABEL],COUNTRIES[[#This Row],[COUNTRY_LABEL]])</f>
        <v>1</v>
      </c>
    </row>
    <row r="240" spans="13:15">
      <c r="M240" s="25" t="s">
        <v>2242</v>
      </c>
      <c r="N240" s="25" t="s">
        <v>1990</v>
      </c>
      <c r="O240" s="25">
        <f>COUNTIF(COUNTRIES[COUNTRY_LABEL],COUNTRIES[[#This Row],[COUNTRY_LABEL]])</f>
        <v>1</v>
      </c>
    </row>
    <row r="241" spans="13:15">
      <c r="M241" s="25" t="s">
        <v>2244</v>
      </c>
      <c r="N241" s="25" t="s">
        <v>1992</v>
      </c>
      <c r="O241" s="25">
        <f>COUNTIF(COUNTRIES[COUNTRY_LABEL],COUNTRIES[[#This Row],[COUNTRY_LABEL]])</f>
        <v>1</v>
      </c>
    </row>
    <row r="242" spans="13:15">
      <c r="M242" s="25" t="s">
        <v>2274</v>
      </c>
      <c r="N242" s="25" t="s">
        <v>2010</v>
      </c>
      <c r="O242" s="25">
        <f>COUNTIF(COUNTRIES[COUNTRY_LABEL],COUNTRIES[[#This Row],[COUNTRY_LABEL]])</f>
        <v>1</v>
      </c>
    </row>
    <row r="243" spans="13:15">
      <c r="M243" s="25" t="s">
        <v>2245</v>
      </c>
      <c r="N243" s="25" t="s">
        <v>1993</v>
      </c>
      <c r="O243" s="25">
        <f>COUNTIF(COUNTRIES[COUNTRY_LABEL],COUNTRIES[[#This Row],[COUNTRY_LABEL]])</f>
        <v>1</v>
      </c>
    </row>
    <row r="244" spans="13:15">
      <c r="M244" s="25" t="s">
        <v>2252</v>
      </c>
      <c r="N244" s="25" t="s">
        <v>2000</v>
      </c>
      <c r="O244" s="25">
        <f>COUNTIF(COUNTRIES[COUNTRY_LABEL],COUNTRIES[[#This Row],[COUNTRY_LABEL]])</f>
        <v>1</v>
      </c>
    </row>
    <row r="245" spans="13:15">
      <c r="M245" s="25" t="s">
        <v>2248</v>
      </c>
      <c r="N245" s="25" t="s">
        <v>1996</v>
      </c>
      <c r="O245" s="25">
        <f>COUNTIF(COUNTRIES[COUNTRY_LABEL],COUNTRIES[[#This Row],[COUNTRY_LABEL]])</f>
        <v>1</v>
      </c>
    </row>
    <row r="246" spans="13:15">
      <c r="M246" s="25" t="s">
        <v>2251</v>
      </c>
      <c r="N246" s="25" t="s">
        <v>1999</v>
      </c>
      <c r="O246" s="25">
        <f>COUNTIF(COUNTRIES[COUNTRY_LABEL],COUNTRIES[[#This Row],[COUNTRY_LABEL]])</f>
        <v>1</v>
      </c>
    </row>
    <row r="247" spans="13:15">
      <c r="M247" s="25" t="s">
        <v>2249</v>
      </c>
      <c r="N247" s="25" t="s">
        <v>1997</v>
      </c>
      <c r="O247" s="25">
        <f>COUNTIF(COUNTRIES[COUNTRY_LABEL],COUNTRIES[[#This Row],[COUNTRY_LABEL]])</f>
        <v>1</v>
      </c>
    </row>
    <row r="248" spans="13:15">
      <c r="M248" s="25" t="s">
        <v>2250</v>
      </c>
      <c r="N248" s="25" t="s">
        <v>1998</v>
      </c>
      <c r="O248" s="25">
        <f>COUNTIF(COUNTRIES[COUNTRY_LABEL],COUNTRIES[[#This Row],[COUNTRY_LABEL]])</f>
        <v>1</v>
      </c>
    </row>
    <row r="249" spans="13:15">
      <c r="M249" s="25" t="s">
        <v>2253</v>
      </c>
      <c r="N249" s="25" t="s">
        <v>2001</v>
      </c>
      <c r="O249" s="25">
        <f>COUNTIF(COUNTRIES[COUNTRY_LABEL],COUNTRIES[[#This Row],[COUNTRY_LABEL]])</f>
        <v>1</v>
      </c>
    </row>
    <row r="250" spans="13:15">
      <c r="M250" s="25" t="s">
        <v>2077</v>
      </c>
      <c r="N250" s="25" t="s">
        <v>1826</v>
      </c>
      <c r="O250" s="25">
        <f>COUNTIF(COUNTRIES[COUNTRY_LABEL],COUNTRIES[[#This Row],[COUNTRY_LABEL]])</f>
        <v>1</v>
      </c>
    </row>
    <row r="251" spans="13:15">
      <c r="M251" s="25" t="s">
        <v>2255</v>
      </c>
      <c r="N251" s="25" t="s">
        <v>2003</v>
      </c>
      <c r="O251" s="25">
        <f>COUNTIF(COUNTRIES[COUNTRY_LABEL],COUNTRIES[[#This Row],[COUNTRY_LABEL]])</f>
        <v>1</v>
      </c>
    </row>
    <row r="252" spans="13:15">
      <c r="M252" s="25" t="s">
        <v>2273</v>
      </c>
      <c r="N252" s="25" t="s">
        <v>2011</v>
      </c>
      <c r="O252" s="25">
        <f>COUNTIF(COUNTRIES[COUNTRY_LABEL],COUNTRIES[[#This Row],[COUNTRY_LABEL]])</f>
        <v>1</v>
      </c>
    </row>
    <row r="253" spans="13:15">
      <c r="M253" s="25" t="s">
        <v>2258</v>
      </c>
      <c r="N253" s="25" t="s">
        <v>2006</v>
      </c>
      <c r="O253" s="25">
        <f>COUNTIF(COUNTRIES[COUNTRY_LABEL],COUNTRIES[[#This Row],[COUNTRY_LABEL]])</f>
        <v>1</v>
      </c>
    </row>
    <row r="254" spans="13:15">
      <c r="M254" s="25" t="s">
        <v>2259</v>
      </c>
      <c r="N254" s="25" t="s">
        <v>2007</v>
      </c>
      <c r="O254" s="25">
        <f>COUNTIF(COUNTRIES[COUNTRY_LABEL],COUNTRIES[[#This Row],[COUNTRY_LABEL]])</f>
        <v>1</v>
      </c>
    </row>
    <row r="255" spans="13:15">
      <c r="M255" s="25" t="s">
        <v>2277</v>
      </c>
      <c r="N255" s="25" t="s">
        <v>2263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2837</v>
      </c>
      <c r="B25" t="s">
        <v>2838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2026-04-19T07:26:52Z</dcterms:modified>
</cp:coreProperties>
</file>