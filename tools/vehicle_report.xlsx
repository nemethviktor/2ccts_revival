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oogle Drive\Sajat\Apps\2ccts_revival\tools\"/>
    </mc:Choice>
  </mc:AlternateContent>
  <xr:revisionPtr revIDLastSave="0" documentId="13_ncr:1_{B795506C-720C-4E8B-8C44-A698888FE7E1}" xr6:coauthVersionLast="47" xr6:coauthVersionMax="47" xr10:uidLastSave="{00000000-0000-0000-0000-000000000000}"/>
  <bookViews>
    <workbookView xWindow="-103" yWindow="-103" windowWidth="22149" windowHeight="13320" xr2:uid="{CD617D9B-F36C-46EF-BCBA-53A7DDA5DBDF}"/>
  </bookViews>
  <sheets>
    <sheet name="properties" sheetId="1" r:id="rId1"/>
    <sheet name="copyright_text" sheetId="6" r:id="rId2"/>
    <sheet name="item_validation" sheetId="7" r:id="rId3"/>
    <sheet name="vehicle_id_ranges" sheetId="8" r:id="rId4"/>
  </sheets>
  <definedNames>
    <definedName name="VALID_REGIONS">Table3[VALID_REGIONS]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2" i="1" l="1"/>
  <c r="AM3" i="1"/>
  <c r="AM4" i="1"/>
  <c r="AM5" i="1"/>
  <c r="AM6" i="1"/>
  <c r="AM7" i="1"/>
  <c r="AM8" i="1"/>
  <c r="AM9" i="1"/>
  <c r="AM10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09" i="1"/>
  <c r="AM510" i="1"/>
  <c r="AM511" i="1"/>
  <c r="AM512" i="1"/>
  <c r="AM513" i="1"/>
  <c r="AM514" i="1"/>
  <c r="AM515" i="1"/>
  <c r="AM516" i="1"/>
  <c r="AM517" i="1"/>
  <c r="AM518" i="1"/>
  <c r="AM519" i="1"/>
  <c r="AM520" i="1"/>
  <c r="AM521" i="1"/>
  <c r="AM522" i="1"/>
  <c r="AM523" i="1"/>
  <c r="AM524" i="1"/>
  <c r="AM525" i="1"/>
  <c r="AM526" i="1"/>
  <c r="AM527" i="1"/>
  <c r="AM528" i="1"/>
  <c r="AM529" i="1"/>
  <c r="AM530" i="1"/>
  <c r="AM531" i="1"/>
  <c r="AM532" i="1"/>
  <c r="AM533" i="1"/>
  <c r="AM534" i="1"/>
  <c r="AM535" i="1"/>
  <c r="AM536" i="1"/>
  <c r="AM537" i="1"/>
  <c r="AM538" i="1"/>
  <c r="AM539" i="1"/>
  <c r="AM540" i="1"/>
  <c r="AM541" i="1"/>
  <c r="AM542" i="1"/>
  <c r="AM543" i="1"/>
  <c r="AM544" i="1"/>
  <c r="AM545" i="1"/>
  <c r="AM546" i="1"/>
  <c r="AM547" i="1"/>
  <c r="AM548" i="1"/>
  <c r="AM549" i="1"/>
  <c r="AM550" i="1"/>
  <c r="AM551" i="1"/>
  <c r="AM552" i="1"/>
  <c r="AM553" i="1"/>
  <c r="AM554" i="1"/>
  <c r="AM555" i="1"/>
  <c r="AM556" i="1"/>
  <c r="AM557" i="1"/>
  <c r="AM558" i="1"/>
  <c r="AM559" i="1"/>
  <c r="AM560" i="1"/>
  <c r="AM561" i="1"/>
  <c r="AM562" i="1"/>
  <c r="AM563" i="1"/>
  <c r="AM564" i="1"/>
  <c r="AM565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M583" i="1"/>
  <c r="AM584" i="1"/>
  <c r="AM585" i="1"/>
  <c r="AM586" i="1"/>
  <c r="AM587" i="1"/>
  <c r="AM588" i="1"/>
  <c r="AM589" i="1"/>
  <c r="AM590" i="1"/>
  <c r="AM591" i="1"/>
  <c r="AM592" i="1"/>
  <c r="AM593" i="1"/>
  <c r="AM594" i="1"/>
  <c r="AM595" i="1"/>
  <c r="AM596" i="1"/>
  <c r="AM597" i="1"/>
  <c r="AM598" i="1"/>
  <c r="AM599" i="1"/>
  <c r="AM600" i="1"/>
  <c r="AM601" i="1"/>
  <c r="AM602" i="1"/>
  <c r="AM603" i="1"/>
  <c r="AM604" i="1"/>
  <c r="AM605" i="1"/>
  <c r="AM606" i="1"/>
  <c r="AM607" i="1"/>
  <c r="AM608" i="1"/>
  <c r="AM609" i="1"/>
  <c r="AM610" i="1"/>
  <c r="AM611" i="1"/>
  <c r="AM612" i="1"/>
  <c r="AM613" i="1"/>
  <c r="AM614" i="1"/>
  <c r="AM615" i="1"/>
  <c r="AM616" i="1"/>
  <c r="AM617" i="1"/>
  <c r="AM618" i="1"/>
  <c r="AM619" i="1"/>
  <c r="AM620" i="1"/>
  <c r="AM621" i="1"/>
  <c r="AM622" i="1"/>
  <c r="AM623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39" i="1"/>
  <c r="AM640" i="1"/>
  <c r="AM641" i="1"/>
  <c r="AM642" i="1"/>
  <c r="AM643" i="1"/>
  <c r="AM644" i="1"/>
  <c r="AM645" i="1"/>
  <c r="AM646" i="1"/>
  <c r="AM647" i="1"/>
  <c r="AM648" i="1"/>
  <c r="AM649" i="1"/>
  <c r="AM650" i="1"/>
  <c r="AM651" i="1"/>
  <c r="AM652" i="1"/>
  <c r="AM653" i="1"/>
  <c r="AM654" i="1"/>
  <c r="AM655" i="1"/>
  <c r="AM656" i="1"/>
  <c r="AM657" i="1"/>
  <c r="AM658" i="1"/>
  <c r="AM659" i="1"/>
  <c r="AM660" i="1"/>
  <c r="AM661" i="1"/>
  <c r="AM662" i="1"/>
  <c r="AM663" i="1"/>
  <c r="AM664" i="1"/>
  <c r="AM665" i="1"/>
  <c r="AM666" i="1"/>
  <c r="AM667" i="1"/>
  <c r="AM668" i="1"/>
  <c r="AM669" i="1"/>
  <c r="AM670" i="1"/>
  <c r="AM671" i="1"/>
  <c r="AM672" i="1"/>
  <c r="AM673" i="1"/>
  <c r="AM674" i="1"/>
  <c r="AM675" i="1"/>
  <c r="AM676" i="1"/>
  <c r="AM677" i="1"/>
  <c r="AM678" i="1"/>
  <c r="AM679" i="1"/>
  <c r="AM680" i="1"/>
  <c r="AM681" i="1"/>
  <c r="AM682" i="1"/>
  <c r="AM683" i="1"/>
  <c r="AM684" i="1"/>
  <c r="AM685" i="1"/>
  <c r="AM686" i="1"/>
  <c r="AM687" i="1"/>
  <c r="AM688" i="1"/>
  <c r="AM689" i="1"/>
  <c r="AM690" i="1"/>
  <c r="AM691" i="1"/>
  <c r="AM692" i="1"/>
  <c r="AM693" i="1"/>
  <c r="AM694" i="1"/>
  <c r="AM695" i="1"/>
  <c r="AM696" i="1"/>
  <c r="AM697" i="1"/>
  <c r="AM698" i="1"/>
  <c r="AM699" i="1"/>
  <c r="AM700" i="1"/>
  <c r="AM701" i="1"/>
  <c r="AM702" i="1"/>
  <c r="AM703" i="1"/>
  <c r="AM704" i="1"/>
  <c r="AM705" i="1"/>
  <c r="AM706" i="1"/>
  <c r="AM707" i="1"/>
  <c r="AM708" i="1"/>
  <c r="AM709" i="1"/>
  <c r="AM710" i="1"/>
  <c r="AM711" i="1"/>
  <c r="AM712" i="1"/>
  <c r="AM713" i="1"/>
  <c r="AM714" i="1"/>
  <c r="AM715" i="1"/>
  <c r="AM716" i="1"/>
  <c r="AM717" i="1"/>
  <c r="AM718" i="1"/>
  <c r="AM719" i="1"/>
  <c r="AM720" i="1"/>
  <c r="AM721" i="1"/>
  <c r="AM722" i="1"/>
  <c r="AM723" i="1"/>
  <c r="AM724" i="1"/>
  <c r="AM725" i="1"/>
  <c r="AM726" i="1"/>
  <c r="AM727" i="1"/>
  <c r="AM728" i="1"/>
  <c r="AM729" i="1"/>
  <c r="AM730" i="1"/>
  <c r="AM731" i="1"/>
  <c r="AM732" i="1"/>
  <c r="AM733" i="1"/>
  <c r="AM734" i="1"/>
  <c r="AM735" i="1"/>
  <c r="AM736" i="1"/>
  <c r="AM737" i="1"/>
  <c r="AM738" i="1"/>
  <c r="AM739" i="1"/>
  <c r="AM740" i="1"/>
  <c r="AM741" i="1"/>
  <c r="AM742" i="1"/>
  <c r="AM743" i="1"/>
  <c r="AM744" i="1"/>
  <c r="AM745" i="1"/>
  <c r="AM746" i="1"/>
  <c r="AM747" i="1"/>
  <c r="AM748" i="1"/>
  <c r="AM749" i="1"/>
  <c r="AM750" i="1"/>
  <c r="AM751" i="1"/>
  <c r="AM752" i="1"/>
  <c r="AM753" i="1"/>
  <c r="AM754" i="1"/>
  <c r="AM755" i="1"/>
  <c r="AM756" i="1"/>
  <c r="AM757" i="1"/>
  <c r="AM758" i="1"/>
  <c r="AM759" i="1"/>
  <c r="AM760" i="1"/>
  <c r="AM761" i="1"/>
  <c r="AM762" i="1"/>
  <c r="AM763" i="1"/>
  <c r="AM764" i="1"/>
  <c r="AM765" i="1"/>
  <c r="AM766" i="1"/>
  <c r="AM767" i="1"/>
  <c r="AM768" i="1"/>
  <c r="AM769" i="1"/>
  <c r="AM770" i="1"/>
  <c r="AM771" i="1"/>
  <c r="AM772" i="1"/>
  <c r="AM773" i="1"/>
  <c r="AM774" i="1"/>
  <c r="AM775" i="1"/>
  <c r="AM776" i="1"/>
  <c r="AM777" i="1"/>
  <c r="AM778" i="1"/>
  <c r="AM779" i="1"/>
  <c r="AM780" i="1"/>
  <c r="AM781" i="1"/>
  <c r="AM782" i="1"/>
  <c r="AM783" i="1"/>
  <c r="AM784" i="1"/>
  <c r="AM785" i="1"/>
  <c r="AM786" i="1"/>
  <c r="AM787" i="1"/>
  <c r="AM788" i="1"/>
  <c r="AM789" i="1"/>
  <c r="B2" i="1"/>
  <c r="F2" i="1" s="1"/>
  <c r="BI2" i="1" s="1"/>
  <c r="B3" i="1"/>
  <c r="F3" i="1" s="1"/>
  <c r="BI3" i="1" s="1"/>
  <c r="B4" i="1"/>
  <c r="F4" i="1" s="1"/>
  <c r="BI4" i="1" s="1"/>
  <c r="B5" i="1"/>
  <c r="F5" i="1" s="1"/>
  <c r="BI5" i="1" s="1"/>
  <c r="B6" i="1"/>
  <c r="F6" i="1" s="1"/>
  <c r="BI6" i="1" s="1"/>
  <c r="B7" i="1"/>
  <c r="F7" i="1" s="1"/>
  <c r="BI7" i="1" s="1"/>
  <c r="B8" i="1"/>
  <c r="F8" i="1" s="1"/>
  <c r="BI8" i="1" s="1"/>
  <c r="B9" i="1"/>
  <c r="F9" i="1" s="1"/>
  <c r="BI9" i="1" s="1"/>
  <c r="B10" i="1"/>
  <c r="F10" i="1" s="1"/>
  <c r="BI10" i="1" s="1"/>
  <c r="B11" i="1"/>
  <c r="F11" i="1" s="1"/>
  <c r="BI11" i="1" s="1"/>
  <c r="B12" i="1"/>
  <c r="F12" i="1" s="1"/>
  <c r="BI12" i="1" s="1"/>
  <c r="B13" i="1"/>
  <c r="F13" i="1" s="1"/>
  <c r="BI13" i="1" s="1"/>
  <c r="B14" i="1"/>
  <c r="F14" i="1" s="1"/>
  <c r="BI14" i="1" s="1"/>
  <c r="B15" i="1"/>
  <c r="F15" i="1" s="1"/>
  <c r="BI15" i="1" s="1"/>
  <c r="B16" i="1"/>
  <c r="F16" i="1" s="1"/>
  <c r="BI16" i="1" s="1"/>
  <c r="B17" i="1"/>
  <c r="F17" i="1" s="1"/>
  <c r="BI17" i="1" s="1"/>
  <c r="B18" i="1"/>
  <c r="F18" i="1" s="1"/>
  <c r="BI18" i="1" s="1"/>
  <c r="B19" i="1"/>
  <c r="F19" i="1" s="1"/>
  <c r="BI19" i="1" s="1"/>
  <c r="B20" i="1"/>
  <c r="F20" i="1" s="1"/>
  <c r="BI20" i="1" s="1"/>
  <c r="B21" i="1"/>
  <c r="F21" i="1" s="1"/>
  <c r="BI21" i="1" s="1"/>
  <c r="B22" i="1"/>
  <c r="F22" i="1" s="1"/>
  <c r="BI22" i="1" s="1"/>
  <c r="B23" i="1"/>
  <c r="F23" i="1" s="1"/>
  <c r="BI23" i="1" s="1"/>
  <c r="B24" i="1"/>
  <c r="F24" i="1" s="1"/>
  <c r="BI24" i="1" s="1"/>
  <c r="B25" i="1"/>
  <c r="F25" i="1" s="1"/>
  <c r="BI25" i="1" s="1"/>
  <c r="B26" i="1"/>
  <c r="F26" i="1" s="1"/>
  <c r="BI26" i="1" s="1"/>
  <c r="B27" i="1"/>
  <c r="F27" i="1" s="1"/>
  <c r="BI27" i="1" s="1"/>
  <c r="B28" i="1"/>
  <c r="F28" i="1" s="1"/>
  <c r="BI28" i="1" s="1"/>
  <c r="B29" i="1"/>
  <c r="F29" i="1" s="1"/>
  <c r="BI29" i="1" s="1"/>
  <c r="B30" i="1"/>
  <c r="F30" i="1" s="1"/>
  <c r="BI30" i="1" s="1"/>
  <c r="B31" i="1"/>
  <c r="F31" i="1" s="1"/>
  <c r="BI31" i="1" s="1"/>
  <c r="B32" i="1"/>
  <c r="F32" i="1" s="1"/>
  <c r="BI32" i="1" s="1"/>
  <c r="B33" i="1"/>
  <c r="F33" i="1" s="1"/>
  <c r="BI33" i="1" s="1"/>
  <c r="B34" i="1"/>
  <c r="F34" i="1" s="1"/>
  <c r="BI34" i="1" s="1"/>
  <c r="B35" i="1"/>
  <c r="F35" i="1" s="1"/>
  <c r="BI35" i="1" s="1"/>
  <c r="B36" i="1"/>
  <c r="F36" i="1" s="1"/>
  <c r="BI36" i="1" s="1"/>
  <c r="B37" i="1"/>
  <c r="F37" i="1" s="1"/>
  <c r="BI37" i="1" s="1"/>
  <c r="B38" i="1"/>
  <c r="F38" i="1" s="1"/>
  <c r="BI38" i="1" s="1"/>
  <c r="B39" i="1"/>
  <c r="F39" i="1" s="1"/>
  <c r="BI39" i="1" s="1"/>
  <c r="B40" i="1"/>
  <c r="F40" i="1" s="1"/>
  <c r="BI40" i="1" s="1"/>
  <c r="B41" i="1"/>
  <c r="F41" i="1" s="1"/>
  <c r="BI41" i="1" s="1"/>
  <c r="B42" i="1"/>
  <c r="F42" i="1" s="1"/>
  <c r="BI42" i="1" s="1"/>
  <c r="B43" i="1"/>
  <c r="F43" i="1" s="1"/>
  <c r="BI43" i="1" s="1"/>
  <c r="B44" i="1"/>
  <c r="F44" i="1" s="1"/>
  <c r="BI44" i="1" s="1"/>
  <c r="B45" i="1"/>
  <c r="F45" i="1" s="1"/>
  <c r="BI45" i="1" s="1"/>
  <c r="B46" i="1"/>
  <c r="F46" i="1" s="1"/>
  <c r="BI46" i="1" s="1"/>
  <c r="B47" i="1"/>
  <c r="F47" i="1" s="1"/>
  <c r="BI47" i="1" s="1"/>
  <c r="B48" i="1"/>
  <c r="F48" i="1" s="1"/>
  <c r="BI48" i="1" s="1"/>
  <c r="B49" i="1"/>
  <c r="F49" i="1" s="1"/>
  <c r="BI49" i="1" s="1"/>
  <c r="B50" i="1"/>
  <c r="F50" i="1" s="1"/>
  <c r="BI50" i="1" s="1"/>
  <c r="B51" i="1"/>
  <c r="F51" i="1" s="1"/>
  <c r="BI51" i="1" s="1"/>
  <c r="B52" i="1"/>
  <c r="F52" i="1" s="1"/>
  <c r="BI52" i="1" s="1"/>
  <c r="B53" i="1"/>
  <c r="F53" i="1" s="1"/>
  <c r="BI53" i="1" s="1"/>
  <c r="B54" i="1"/>
  <c r="F54" i="1" s="1"/>
  <c r="BI54" i="1" s="1"/>
  <c r="B55" i="1"/>
  <c r="F55" i="1" s="1"/>
  <c r="BI55" i="1" s="1"/>
  <c r="B56" i="1"/>
  <c r="F56" i="1" s="1"/>
  <c r="BI56" i="1" s="1"/>
  <c r="B57" i="1"/>
  <c r="F57" i="1" s="1"/>
  <c r="BI57" i="1" s="1"/>
  <c r="B58" i="1"/>
  <c r="F58" i="1" s="1"/>
  <c r="BI58" i="1" s="1"/>
  <c r="B59" i="1"/>
  <c r="F59" i="1" s="1"/>
  <c r="BI59" i="1" s="1"/>
  <c r="B60" i="1"/>
  <c r="F60" i="1" s="1"/>
  <c r="BI60" i="1" s="1"/>
  <c r="B61" i="1"/>
  <c r="F61" i="1" s="1"/>
  <c r="BI61" i="1" s="1"/>
  <c r="B62" i="1"/>
  <c r="F62" i="1" s="1"/>
  <c r="BI62" i="1" s="1"/>
  <c r="B63" i="1"/>
  <c r="F63" i="1" s="1"/>
  <c r="BI63" i="1" s="1"/>
  <c r="B64" i="1"/>
  <c r="F64" i="1" s="1"/>
  <c r="BI64" i="1" s="1"/>
  <c r="B65" i="1"/>
  <c r="F65" i="1" s="1"/>
  <c r="BI65" i="1" s="1"/>
  <c r="B66" i="1"/>
  <c r="F66" i="1" s="1"/>
  <c r="BI66" i="1" s="1"/>
  <c r="B67" i="1"/>
  <c r="F67" i="1" s="1"/>
  <c r="BI67" i="1" s="1"/>
  <c r="B68" i="1"/>
  <c r="F68" i="1" s="1"/>
  <c r="BI68" i="1" s="1"/>
  <c r="B69" i="1"/>
  <c r="F69" i="1" s="1"/>
  <c r="BI69" i="1" s="1"/>
  <c r="B70" i="1"/>
  <c r="F70" i="1" s="1"/>
  <c r="BI70" i="1" s="1"/>
  <c r="B71" i="1"/>
  <c r="F71" i="1" s="1"/>
  <c r="BI71" i="1" s="1"/>
  <c r="B72" i="1"/>
  <c r="F72" i="1" s="1"/>
  <c r="BI72" i="1" s="1"/>
  <c r="B73" i="1"/>
  <c r="F73" i="1" s="1"/>
  <c r="BI73" i="1" s="1"/>
  <c r="B74" i="1"/>
  <c r="F74" i="1" s="1"/>
  <c r="BI74" i="1" s="1"/>
  <c r="B75" i="1"/>
  <c r="F75" i="1" s="1"/>
  <c r="BI75" i="1" s="1"/>
  <c r="B76" i="1"/>
  <c r="F76" i="1" s="1"/>
  <c r="BI76" i="1" s="1"/>
  <c r="B77" i="1"/>
  <c r="F77" i="1" s="1"/>
  <c r="BI77" i="1" s="1"/>
  <c r="B78" i="1"/>
  <c r="F78" i="1" s="1"/>
  <c r="BI78" i="1" s="1"/>
  <c r="B79" i="1"/>
  <c r="F79" i="1" s="1"/>
  <c r="BI79" i="1" s="1"/>
  <c r="B80" i="1"/>
  <c r="F80" i="1" s="1"/>
  <c r="BI80" i="1" s="1"/>
  <c r="B81" i="1"/>
  <c r="F81" i="1" s="1"/>
  <c r="BI81" i="1" s="1"/>
  <c r="B82" i="1"/>
  <c r="F82" i="1" s="1"/>
  <c r="BI82" i="1" s="1"/>
  <c r="B83" i="1"/>
  <c r="F83" i="1" s="1"/>
  <c r="BI83" i="1" s="1"/>
  <c r="B84" i="1"/>
  <c r="F84" i="1" s="1"/>
  <c r="BI84" i="1" s="1"/>
  <c r="B85" i="1"/>
  <c r="F85" i="1" s="1"/>
  <c r="BI85" i="1" s="1"/>
  <c r="B86" i="1"/>
  <c r="F86" i="1" s="1"/>
  <c r="BI86" i="1" s="1"/>
  <c r="B87" i="1"/>
  <c r="F87" i="1" s="1"/>
  <c r="BI87" i="1" s="1"/>
  <c r="B88" i="1"/>
  <c r="F88" i="1" s="1"/>
  <c r="BI88" i="1" s="1"/>
  <c r="B89" i="1"/>
  <c r="F89" i="1" s="1"/>
  <c r="BI89" i="1" s="1"/>
  <c r="B90" i="1"/>
  <c r="F90" i="1" s="1"/>
  <c r="BI90" i="1" s="1"/>
  <c r="B91" i="1"/>
  <c r="F91" i="1" s="1"/>
  <c r="BI91" i="1" s="1"/>
  <c r="B92" i="1"/>
  <c r="F92" i="1" s="1"/>
  <c r="BI92" i="1" s="1"/>
  <c r="B93" i="1"/>
  <c r="F93" i="1" s="1"/>
  <c r="BI93" i="1" s="1"/>
  <c r="B94" i="1"/>
  <c r="F94" i="1" s="1"/>
  <c r="BI94" i="1" s="1"/>
  <c r="B95" i="1"/>
  <c r="F95" i="1" s="1"/>
  <c r="BI95" i="1" s="1"/>
  <c r="B96" i="1"/>
  <c r="F96" i="1" s="1"/>
  <c r="BI96" i="1" s="1"/>
  <c r="B97" i="1"/>
  <c r="F97" i="1" s="1"/>
  <c r="BI97" i="1" s="1"/>
  <c r="B98" i="1"/>
  <c r="F98" i="1" s="1"/>
  <c r="BI98" i="1" s="1"/>
  <c r="B99" i="1"/>
  <c r="F99" i="1" s="1"/>
  <c r="BI99" i="1" s="1"/>
  <c r="B100" i="1"/>
  <c r="F100" i="1" s="1"/>
  <c r="BI100" i="1" s="1"/>
  <c r="B101" i="1"/>
  <c r="F101" i="1" s="1"/>
  <c r="BI101" i="1" s="1"/>
  <c r="B102" i="1"/>
  <c r="F102" i="1" s="1"/>
  <c r="BI102" i="1" s="1"/>
  <c r="B103" i="1"/>
  <c r="F103" i="1" s="1"/>
  <c r="BI103" i="1" s="1"/>
  <c r="B104" i="1"/>
  <c r="F104" i="1" s="1"/>
  <c r="BI104" i="1" s="1"/>
  <c r="B105" i="1"/>
  <c r="F105" i="1" s="1"/>
  <c r="BI105" i="1" s="1"/>
  <c r="B106" i="1"/>
  <c r="F106" i="1" s="1"/>
  <c r="BI106" i="1" s="1"/>
  <c r="B107" i="1"/>
  <c r="F107" i="1" s="1"/>
  <c r="BI107" i="1" s="1"/>
  <c r="B108" i="1"/>
  <c r="F108" i="1" s="1"/>
  <c r="BI108" i="1" s="1"/>
  <c r="B109" i="1"/>
  <c r="F109" i="1" s="1"/>
  <c r="BI109" i="1" s="1"/>
  <c r="B110" i="1"/>
  <c r="F110" i="1" s="1"/>
  <c r="BI110" i="1" s="1"/>
  <c r="B111" i="1"/>
  <c r="F111" i="1" s="1"/>
  <c r="BI111" i="1" s="1"/>
  <c r="B112" i="1"/>
  <c r="F112" i="1" s="1"/>
  <c r="BI112" i="1" s="1"/>
  <c r="B113" i="1"/>
  <c r="F113" i="1" s="1"/>
  <c r="BI113" i="1" s="1"/>
  <c r="B114" i="1"/>
  <c r="F114" i="1" s="1"/>
  <c r="BI114" i="1" s="1"/>
  <c r="B115" i="1"/>
  <c r="F115" i="1" s="1"/>
  <c r="BI115" i="1" s="1"/>
  <c r="B116" i="1"/>
  <c r="F116" i="1" s="1"/>
  <c r="BI116" i="1" s="1"/>
  <c r="B117" i="1"/>
  <c r="F117" i="1" s="1"/>
  <c r="BI117" i="1" s="1"/>
  <c r="B118" i="1"/>
  <c r="F118" i="1" s="1"/>
  <c r="BI118" i="1" s="1"/>
  <c r="B119" i="1"/>
  <c r="F119" i="1" s="1"/>
  <c r="BI119" i="1" s="1"/>
  <c r="B120" i="1"/>
  <c r="F120" i="1" s="1"/>
  <c r="BI120" i="1" s="1"/>
  <c r="B121" i="1"/>
  <c r="F121" i="1" s="1"/>
  <c r="BI121" i="1" s="1"/>
  <c r="B122" i="1"/>
  <c r="F122" i="1" s="1"/>
  <c r="BI122" i="1" s="1"/>
  <c r="B123" i="1"/>
  <c r="F123" i="1" s="1"/>
  <c r="BI123" i="1" s="1"/>
  <c r="B124" i="1"/>
  <c r="F124" i="1" s="1"/>
  <c r="BI124" i="1" s="1"/>
  <c r="B125" i="1"/>
  <c r="F125" i="1" s="1"/>
  <c r="BI125" i="1" s="1"/>
  <c r="B126" i="1"/>
  <c r="F126" i="1" s="1"/>
  <c r="BI126" i="1" s="1"/>
  <c r="B127" i="1"/>
  <c r="F127" i="1" s="1"/>
  <c r="BI127" i="1" s="1"/>
  <c r="B128" i="1"/>
  <c r="F128" i="1" s="1"/>
  <c r="BI128" i="1" s="1"/>
  <c r="B129" i="1"/>
  <c r="F129" i="1" s="1"/>
  <c r="BI129" i="1" s="1"/>
  <c r="B130" i="1"/>
  <c r="F130" i="1" s="1"/>
  <c r="BI130" i="1" s="1"/>
  <c r="B131" i="1"/>
  <c r="F131" i="1" s="1"/>
  <c r="BI131" i="1" s="1"/>
  <c r="B132" i="1"/>
  <c r="F132" i="1" s="1"/>
  <c r="BI132" i="1" s="1"/>
  <c r="B133" i="1"/>
  <c r="F133" i="1" s="1"/>
  <c r="BI133" i="1" s="1"/>
  <c r="B134" i="1"/>
  <c r="F134" i="1" s="1"/>
  <c r="BI134" i="1" s="1"/>
  <c r="B135" i="1"/>
  <c r="F135" i="1" s="1"/>
  <c r="BI135" i="1" s="1"/>
  <c r="B136" i="1"/>
  <c r="F136" i="1" s="1"/>
  <c r="BI136" i="1" s="1"/>
  <c r="B137" i="1"/>
  <c r="F137" i="1" s="1"/>
  <c r="BI137" i="1" s="1"/>
  <c r="B138" i="1"/>
  <c r="F138" i="1" s="1"/>
  <c r="BI138" i="1" s="1"/>
  <c r="B139" i="1"/>
  <c r="F139" i="1" s="1"/>
  <c r="BI139" i="1" s="1"/>
  <c r="B140" i="1"/>
  <c r="F140" i="1" s="1"/>
  <c r="BI140" i="1" s="1"/>
  <c r="B141" i="1"/>
  <c r="F141" i="1" s="1"/>
  <c r="BI141" i="1" s="1"/>
  <c r="B142" i="1"/>
  <c r="F142" i="1" s="1"/>
  <c r="BI142" i="1" s="1"/>
  <c r="B143" i="1"/>
  <c r="F143" i="1" s="1"/>
  <c r="BI143" i="1" s="1"/>
  <c r="B144" i="1"/>
  <c r="F144" i="1" s="1"/>
  <c r="BI144" i="1" s="1"/>
  <c r="B145" i="1"/>
  <c r="F145" i="1" s="1"/>
  <c r="BI145" i="1" s="1"/>
  <c r="B146" i="1"/>
  <c r="F146" i="1" s="1"/>
  <c r="BI146" i="1" s="1"/>
  <c r="B147" i="1"/>
  <c r="F147" i="1" s="1"/>
  <c r="BI147" i="1" s="1"/>
  <c r="B148" i="1"/>
  <c r="F148" i="1" s="1"/>
  <c r="BI148" i="1" s="1"/>
  <c r="B149" i="1"/>
  <c r="F149" i="1" s="1"/>
  <c r="BI149" i="1" s="1"/>
  <c r="B150" i="1"/>
  <c r="F150" i="1" s="1"/>
  <c r="BI150" i="1" s="1"/>
  <c r="B151" i="1"/>
  <c r="F151" i="1" s="1"/>
  <c r="BI151" i="1" s="1"/>
  <c r="B152" i="1"/>
  <c r="F152" i="1" s="1"/>
  <c r="BI152" i="1" s="1"/>
  <c r="B153" i="1"/>
  <c r="F153" i="1" s="1"/>
  <c r="BI153" i="1" s="1"/>
  <c r="B154" i="1"/>
  <c r="F154" i="1" s="1"/>
  <c r="BI154" i="1" s="1"/>
  <c r="B155" i="1"/>
  <c r="F155" i="1" s="1"/>
  <c r="BI155" i="1" s="1"/>
  <c r="B156" i="1"/>
  <c r="F156" i="1" s="1"/>
  <c r="BI156" i="1" s="1"/>
  <c r="B157" i="1"/>
  <c r="F157" i="1" s="1"/>
  <c r="BI157" i="1" s="1"/>
  <c r="B158" i="1"/>
  <c r="F158" i="1" s="1"/>
  <c r="BI158" i="1" s="1"/>
  <c r="B159" i="1"/>
  <c r="F159" i="1" s="1"/>
  <c r="BI159" i="1" s="1"/>
  <c r="B160" i="1"/>
  <c r="F160" i="1" s="1"/>
  <c r="BI160" i="1" s="1"/>
  <c r="B161" i="1"/>
  <c r="F161" i="1" s="1"/>
  <c r="BI161" i="1" s="1"/>
  <c r="B162" i="1"/>
  <c r="F162" i="1" s="1"/>
  <c r="BI162" i="1" s="1"/>
  <c r="B163" i="1"/>
  <c r="F163" i="1" s="1"/>
  <c r="BI163" i="1" s="1"/>
  <c r="B164" i="1"/>
  <c r="F164" i="1" s="1"/>
  <c r="BI164" i="1" s="1"/>
  <c r="B165" i="1"/>
  <c r="F165" i="1" s="1"/>
  <c r="BI165" i="1" s="1"/>
  <c r="B166" i="1"/>
  <c r="F166" i="1" s="1"/>
  <c r="BI166" i="1" s="1"/>
  <c r="B167" i="1"/>
  <c r="F167" i="1" s="1"/>
  <c r="BI167" i="1" s="1"/>
  <c r="B168" i="1"/>
  <c r="F168" i="1" s="1"/>
  <c r="BI168" i="1" s="1"/>
  <c r="B169" i="1"/>
  <c r="F169" i="1" s="1"/>
  <c r="BI169" i="1" s="1"/>
  <c r="B170" i="1"/>
  <c r="F170" i="1" s="1"/>
  <c r="BI170" i="1" s="1"/>
  <c r="B171" i="1"/>
  <c r="F171" i="1" s="1"/>
  <c r="BI171" i="1" s="1"/>
  <c r="B172" i="1"/>
  <c r="F172" i="1" s="1"/>
  <c r="BI172" i="1" s="1"/>
  <c r="B173" i="1"/>
  <c r="F173" i="1" s="1"/>
  <c r="BI173" i="1" s="1"/>
  <c r="B174" i="1"/>
  <c r="F174" i="1" s="1"/>
  <c r="BI174" i="1" s="1"/>
  <c r="B175" i="1"/>
  <c r="F175" i="1" s="1"/>
  <c r="BI175" i="1" s="1"/>
  <c r="B176" i="1"/>
  <c r="F176" i="1" s="1"/>
  <c r="BI176" i="1" s="1"/>
  <c r="B177" i="1"/>
  <c r="F177" i="1" s="1"/>
  <c r="BI177" i="1" s="1"/>
  <c r="B178" i="1"/>
  <c r="F178" i="1" s="1"/>
  <c r="BI178" i="1" s="1"/>
  <c r="B179" i="1"/>
  <c r="F179" i="1" s="1"/>
  <c r="BI179" i="1" s="1"/>
  <c r="B180" i="1"/>
  <c r="F180" i="1" s="1"/>
  <c r="BI180" i="1" s="1"/>
  <c r="B181" i="1"/>
  <c r="F181" i="1" s="1"/>
  <c r="BI181" i="1" s="1"/>
  <c r="B182" i="1"/>
  <c r="F182" i="1" s="1"/>
  <c r="BI182" i="1" s="1"/>
  <c r="B183" i="1"/>
  <c r="F183" i="1" s="1"/>
  <c r="BI183" i="1" s="1"/>
  <c r="B184" i="1"/>
  <c r="F184" i="1" s="1"/>
  <c r="BI184" i="1" s="1"/>
  <c r="B185" i="1"/>
  <c r="F185" i="1" s="1"/>
  <c r="BI185" i="1" s="1"/>
  <c r="B186" i="1"/>
  <c r="F186" i="1" s="1"/>
  <c r="BI186" i="1" s="1"/>
  <c r="B187" i="1"/>
  <c r="F187" i="1" s="1"/>
  <c r="BI187" i="1" s="1"/>
  <c r="B188" i="1"/>
  <c r="F188" i="1" s="1"/>
  <c r="BI188" i="1" s="1"/>
  <c r="B189" i="1"/>
  <c r="F189" i="1" s="1"/>
  <c r="BI189" i="1" s="1"/>
  <c r="B190" i="1"/>
  <c r="F190" i="1" s="1"/>
  <c r="BI190" i="1" s="1"/>
  <c r="B191" i="1"/>
  <c r="F191" i="1" s="1"/>
  <c r="BI191" i="1" s="1"/>
  <c r="B192" i="1"/>
  <c r="F192" i="1" s="1"/>
  <c r="BI192" i="1" s="1"/>
  <c r="B193" i="1"/>
  <c r="F193" i="1" s="1"/>
  <c r="BI193" i="1" s="1"/>
  <c r="B194" i="1"/>
  <c r="F194" i="1" s="1"/>
  <c r="BI194" i="1" s="1"/>
  <c r="B195" i="1"/>
  <c r="F195" i="1" s="1"/>
  <c r="BI195" i="1" s="1"/>
  <c r="B196" i="1"/>
  <c r="F196" i="1" s="1"/>
  <c r="BI196" i="1" s="1"/>
  <c r="B197" i="1"/>
  <c r="F197" i="1" s="1"/>
  <c r="BI197" i="1" s="1"/>
  <c r="B198" i="1"/>
  <c r="F198" i="1" s="1"/>
  <c r="BI198" i="1" s="1"/>
  <c r="B199" i="1"/>
  <c r="F199" i="1" s="1"/>
  <c r="BI199" i="1" s="1"/>
  <c r="B200" i="1"/>
  <c r="F200" i="1" s="1"/>
  <c r="BI200" i="1" s="1"/>
  <c r="B201" i="1"/>
  <c r="F201" i="1" s="1"/>
  <c r="BI201" i="1" s="1"/>
  <c r="B202" i="1"/>
  <c r="F202" i="1" s="1"/>
  <c r="BI202" i="1" s="1"/>
  <c r="B203" i="1"/>
  <c r="F203" i="1" s="1"/>
  <c r="BI203" i="1" s="1"/>
  <c r="B204" i="1"/>
  <c r="F204" i="1" s="1"/>
  <c r="BI204" i="1" s="1"/>
  <c r="B205" i="1"/>
  <c r="F205" i="1" s="1"/>
  <c r="BI205" i="1" s="1"/>
  <c r="B206" i="1"/>
  <c r="F206" i="1" s="1"/>
  <c r="BI206" i="1" s="1"/>
  <c r="B207" i="1"/>
  <c r="F207" i="1" s="1"/>
  <c r="BI207" i="1" s="1"/>
  <c r="B208" i="1"/>
  <c r="F208" i="1" s="1"/>
  <c r="BI208" i="1" s="1"/>
  <c r="B209" i="1"/>
  <c r="F209" i="1" s="1"/>
  <c r="BI209" i="1" s="1"/>
  <c r="B210" i="1"/>
  <c r="F210" i="1" s="1"/>
  <c r="BI210" i="1" s="1"/>
  <c r="B211" i="1"/>
  <c r="F211" i="1" s="1"/>
  <c r="BI211" i="1" s="1"/>
  <c r="B212" i="1"/>
  <c r="F212" i="1" s="1"/>
  <c r="BI212" i="1" s="1"/>
  <c r="B213" i="1"/>
  <c r="F213" i="1" s="1"/>
  <c r="BI213" i="1" s="1"/>
  <c r="B214" i="1"/>
  <c r="F214" i="1" s="1"/>
  <c r="BI214" i="1" s="1"/>
  <c r="B215" i="1"/>
  <c r="F215" i="1" s="1"/>
  <c r="BI215" i="1" s="1"/>
  <c r="B216" i="1"/>
  <c r="F216" i="1" s="1"/>
  <c r="BI216" i="1" s="1"/>
  <c r="B217" i="1"/>
  <c r="F217" i="1" s="1"/>
  <c r="BI217" i="1" s="1"/>
  <c r="B218" i="1"/>
  <c r="F218" i="1" s="1"/>
  <c r="BI218" i="1" s="1"/>
  <c r="B219" i="1"/>
  <c r="F219" i="1" s="1"/>
  <c r="BI219" i="1" s="1"/>
  <c r="B220" i="1"/>
  <c r="F220" i="1" s="1"/>
  <c r="BI220" i="1" s="1"/>
  <c r="B221" i="1"/>
  <c r="F221" i="1" s="1"/>
  <c r="BI221" i="1" s="1"/>
  <c r="B222" i="1"/>
  <c r="F222" i="1" s="1"/>
  <c r="BI222" i="1" s="1"/>
  <c r="B223" i="1"/>
  <c r="F223" i="1" s="1"/>
  <c r="BI223" i="1" s="1"/>
  <c r="B224" i="1"/>
  <c r="F224" i="1" s="1"/>
  <c r="BI224" i="1" s="1"/>
  <c r="B225" i="1"/>
  <c r="F225" i="1" s="1"/>
  <c r="BI225" i="1" s="1"/>
  <c r="B226" i="1"/>
  <c r="F226" i="1" s="1"/>
  <c r="BI226" i="1" s="1"/>
  <c r="B227" i="1"/>
  <c r="F227" i="1" s="1"/>
  <c r="BI227" i="1" s="1"/>
  <c r="B228" i="1"/>
  <c r="F228" i="1" s="1"/>
  <c r="BI228" i="1" s="1"/>
  <c r="B229" i="1"/>
  <c r="F229" i="1" s="1"/>
  <c r="BI229" i="1" s="1"/>
  <c r="B230" i="1"/>
  <c r="F230" i="1" s="1"/>
  <c r="BI230" i="1" s="1"/>
  <c r="B231" i="1"/>
  <c r="F231" i="1" s="1"/>
  <c r="BI231" i="1" s="1"/>
  <c r="B232" i="1"/>
  <c r="F232" i="1" s="1"/>
  <c r="BI232" i="1" s="1"/>
  <c r="B233" i="1"/>
  <c r="F233" i="1" s="1"/>
  <c r="BI233" i="1" s="1"/>
  <c r="B234" i="1"/>
  <c r="F234" i="1" s="1"/>
  <c r="BI234" i="1" s="1"/>
  <c r="B235" i="1"/>
  <c r="F235" i="1" s="1"/>
  <c r="BI235" i="1" s="1"/>
  <c r="B236" i="1"/>
  <c r="F236" i="1" s="1"/>
  <c r="BI236" i="1" s="1"/>
  <c r="B237" i="1"/>
  <c r="F237" i="1" s="1"/>
  <c r="BI237" i="1" s="1"/>
  <c r="B238" i="1"/>
  <c r="F238" i="1" s="1"/>
  <c r="BI238" i="1" s="1"/>
  <c r="B239" i="1"/>
  <c r="F239" i="1" s="1"/>
  <c r="BI239" i="1" s="1"/>
  <c r="B240" i="1"/>
  <c r="F240" i="1" s="1"/>
  <c r="BI240" i="1" s="1"/>
  <c r="B241" i="1"/>
  <c r="F241" i="1" s="1"/>
  <c r="BI241" i="1" s="1"/>
  <c r="B242" i="1"/>
  <c r="F242" i="1" s="1"/>
  <c r="BI242" i="1" s="1"/>
  <c r="B243" i="1"/>
  <c r="F243" i="1" s="1"/>
  <c r="BI243" i="1" s="1"/>
  <c r="B244" i="1"/>
  <c r="F244" i="1" s="1"/>
  <c r="BI244" i="1" s="1"/>
  <c r="B245" i="1"/>
  <c r="F245" i="1" s="1"/>
  <c r="BI245" i="1" s="1"/>
  <c r="B246" i="1"/>
  <c r="F246" i="1" s="1"/>
  <c r="BI246" i="1" s="1"/>
  <c r="B247" i="1"/>
  <c r="F247" i="1" s="1"/>
  <c r="BI247" i="1" s="1"/>
  <c r="B248" i="1"/>
  <c r="F248" i="1" s="1"/>
  <c r="BI248" i="1" s="1"/>
  <c r="B249" i="1"/>
  <c r="F249" i="1" s="1"/>
  <c r="BI249" i="1" s="1"/>
  <c r="B250" i="1"/>
  <c r="F250" i="1" s="1"/>
  <c r="BI250" i="1" s="1"/>
  <c r="B251" i="1"/>
  <c r="F251" i="1" s="1"/>
  <c r="BI251" i="1" s="1"/>
  <c r="B252" i="1"/>
  <c r="F252" i="1" s="1"/>
  <c r="BI252" i="1" s="1"/>
  <c r="B253" i="1"/>
  <c r="F253" i="1" s="1"/>
  <c r="BI253" i="1" s="1"/>
  <c r="B254" i="1"/>
  <c r="F254" i="1" s="1"/>
  <c r="BI254" i="1" s="1"/>
  <c r="B255" i="1"/>
  <c r="F255" i="1" s="1"/>
  <c r="BI255" i="1" s="1"/>
  <c r="B256" i="1"/>
  <c r="F256" i="1" s="1"/>
  <c r="BI256" i="1" s="1"/>
  <c r="B257" i="1"/>
  <c r="F257" i="1" s="1"/>
  <c r="BI257" i="1" s="1"/>
  <c r="B258" i="1"/>
  <c r="F258" i="1" s="1"/>
  <c r="BI258" i="1" s="1"/>
  <c r="B259" i="1"/>
  <c r="F259" i="1" s="1"/>
  <c r="BI259" i="1" s="1"/>
  <c r="B260" i="1"/>
  <c r="F260" i="1" s="1"/>
  <c r="BI260" i="1" s="1"/>
  <c r="B261" i="1"/>
  <c r="F261" i="1" s="1"/>
  <c r="BI261" i="1" s="1"/>
  <c r="B262" i="1"/>
  <c r="F262" i="1" s="1"/>
  <c r="BI262" i="1" s="1"/>
  <c r="B263" i="1"/>
  <c r="F263" i="1" s="1"/>
  <c r="BI263" i="1" s="1"/>
  <c r="B264" i="1"/>
  <c r="F264" i="1" s="1"/>
  <c r="BI264" i="1" s="1"/>
  <c r="B265" i="1"/>
  <c r="F265" i="1" s="1"/>
  <c r="BI265" i="1" s="1"/>
  <c r="B266" i="1"/>
  <c r="F266" i="1" s="1"/>
  <c r="BI266" i="1" s="1"/>
  <c r="B267" i="1"/>
  <c r="F267" i="1" s="1"/>
  <c r="BI267" i="1" s="1"/>
  <c r="B268" i="1"/>
  <c r="F268" i="1" s="1"/>
  <c r="BI268" i="1" s="1"/>
  <c r="B269" i="1"/>
  <c r="F269" i="1" s="1"/>
  <c r="BI269" i="1" s="1"/>
  <c r="B270" i="1"/>
  <c r="F270" i="1" s="1"/>
  <c r="BI270" i="1" s="1"/>
  <c r="B271" i="1"/>
  <c r="F271" i="1" s="1"/>
  <c r="BI271" i="1" s="1"/>
  <c r="B272" i="1"/>
  <c r="F272" i="1" s="1"/>
  <c r="BI272" i="1" s="1"/>
  <c r="B273" i="1"/>
  <c r="F273" i="1" s="1"/>
  <c r="BI273" i="1" s="1"/>
  <c r="B274" i="1"/>
  <c r="F274" i="1" s="1"/>
  <c r="BI274" i="1" s="1"/>
  <c r="B275" i="1"/>
  <c r="F275" i="1" s="1"/>
  <c r="BI275" i="1" s="1"/>
  <c r="B276" i="1"/>
  <c r="F276" i="1" s="1"/>
  <c r="BI276" i="1" s="1"/>
  <c r="B277" i="1"/>
  <c r="F277" i="1" s="1"/>
  <c r="BI277" i="1" s="1"/>
  <c r="B278" i="1"/>
  <c r="F278" i="1" s="1"/>
  <c r="BI278" i="1" s="1"/>
  <c r="B279" i="1"/>
  <c r="F279" i="1" s="1"/>
  <c r="BI279" i="1" s="1"/>
  <c r="B280" i="1"/>
  <c r="F280" i="1" s="1"/>
  <c r="BI280" i="1" s="1"/>
  <c r="B281" i="1"/>
  <c r="F281" i="1" s="1"/>
  <c r="BI281" i="1" s="1"/>
  <c r="B282" i="1"/>
  <c r="F282" i="1" s="1"/>
  <c r="BI282" i="1" s="1"/>
  <c r="B283" i="1"/>
  <c r="F283" i="1" s="1"/>
  <c r="BI283" i="1" s="1"/>
  <c r="B284" i="1"/>
  <c r="F284" i="1" s="1"/>
  <c r="BI284" i="1" s="1"/>
  <c r="B285" i="1"/>
  <c r="F285" i="1" s="1"/>
  <c r="BI285" i="1" s="1"/>
  <c r="B286" i="1"/>
  <c r="F286" i="1" s="1"/>
  <c r="BI286" i="1" s="1"/>
  <c r="B287" i="1"/>
  <c r="F287" i="1" s="1"/>
  <c r="BI287" i="1" s="1"/>
  <c r="B288" i="1"/>
  <c r="F288" i="1" s="1"/>
  <c r="BI288" i="1" s="1"/>
  <c r="B289" i="1"/>
  <c r="F289" i="1" s="1"/>
  <c r="BI289" i="1" s="1"/>
  <c r="B290" i="1"/>
  <c r="F290" i="1" s="1"/>
  <c r="BI290" i="1" s="1"/>
  <c r="B291" i="1"/>
  <c r="F291" i="1" s="1"/>
  <c r="BI291" i="1" s="1"/>
  <c r="B292" i="1"/>
  <c r="F292" i="1" s="1"/>
  <c r="BI292" i="1" s="1"/>
  <c r="B293" i="1"/>
  <c r="F293" i="1" s="1"/>
  <c r="BI293" i="1" s="1"/>
  <c r="B294" i="1"/>
  <c r="F294" i="1" s="1"/>
  <c r="BI294" i="1" s="1"/>
  <c r="B295" i="1"/>
  <c r="F295" i="1" s="1"/>
  <c r="BI295" i="1" s="1"/>
  <c r="B296" i="1"/>
  <c r="F296" i="1" s="1"/>
  <c r="BI296" i="1" s="1"/>
  <c r="B297" i="1"/>
  <c r="F297" i="1" s="1"/>
  <c r="BI297" i="1" s="1"/>
  <c r="B298" i="1"/>
  <c r="F298" i="1" s="1"/>
  <c r="BI298" i="1" s="1"/>
  <c r="B299" i="1"/>
  <c r="F299" i="1" s="1"/>
  <c r="BI299" i="1" s="1"/>
  <c r="B300" i="1"/>
  <c r="F300" i="1" s="1"/>
  <c r="BI300" i="1" s="1"/>
  <c r="B301" i="1"/>
  <c r="F301" i="1" s="1"/>
  <c r="BI301" i="1" s="1"/>
  <c r="B302" i="1"/>
  <c r="F302" i="1" s="1"/>
  <c r="BI302" i="1" s="1"/>
  <c r="B303" i="1"/>
  <c r="F303" i="1" s="1"/>
  <c r="BI303" i="1" s="1"/>
  <c r="B304" i="1"/>
  <c r="F304" i="1" s="1"/>
  <c r="BI304" i="1" s="1"/>
  <c r="B305" i="1"/>
  <c r="F305" i="1" s="1"/>
  <c r="BI305" i="1" s="1"/>
  <c r="B306" i="1"/>
  <c r="F306" i="1" s="1"/>
  <c r="BI306" i="1" s="1"/>
  <c r="B307" i="1"/>
  <c r="F307" i="1" s="1"/>
  <c r="BI307" i="1" s="1"/>
  <c r="B308" i="1"/>
  <c r="F308" i="1" s="1"/>
  <c r="BI308" i="1" s="1"/>
  <c r="B309" i="1"/>
  <c r="F309" i="1" s="1"/>
  <c r="BI309" i="1" s="1"/>
  <c r="B310" i="1"/>
  <c r="F310" i="1" s="1"/>
  <c r="BI310" i="1" s="1"/>
  <c r="B311" i="1"/>
  <c r="F311" i="1" s="1"/>
  <c r="BI311" i="1" s="1"/>
  <c r="B312" i="1"/>
  <c r="F312" i="1" s="1"/>
  <c r="BI312" i="1" s="1"/>
  <c r="B313" i="1"/>
  <c r="F313" i="1" s="1"/>
  <c r="BI313" i="1" s="1"/>
  <c r="B314" i="1"/>
  <c r="F314" i="1" s="1"/>
  <c r="BI314" i="1" s="1"/>
  <c r="B315" i="1"/>
  <c r="F315" i="1" s="1"/>
  <c r="BI315" i="1" s="1"/>
  <c r="B316" i="1"/>
  <c r="F316" i="1" s="1"/>
  <c r="BI316" i="1" s="1"/>
  <c r="B317" i="1"/>
  <c r="F317" i="1" s="1"/>
  <c r="BI317" i="1" s="1"/>
  <c r="B318" i="1"/>
  <c r="F318" i="1" s="1"/>
  <c r="BI318" i="1" s="1"/>
  <c r="B319" i="1"/>
  <c r="F319" i="1" s="1"/>
  <c r="BI319" i="1" s="1"/>
  <c r="B320" i="1"/>
  <c r="F320" i="1" s="1"/>
  <c r="BI320" i="1" s="1"/>
  <c r="B321" i="1"/>
  <c r="F321" i="1" s="1"/>
  <c r="BI321" i="1" s="1"/>
  <c r="B322" i="1"/>
  <c r="F322" i="1" s="1"/>
  <c r="BI322" i="1" s="1"/>
  <c r="B323" i="1"/>
  <c r="F323" i="1" s="1"/>
  <c r="BI323" i="1" s="1"/>
  <c r="B324" i="1"/>
  <c r="F324" i="1" s="1"/>
  <c r="BI324" i="1" s="1"/>
  <c r="B325" i="1"/>
  <c r="F325" i="1" s="1"/>
  <c r="BI325" i="1" s="1"/>
  <c r="B326" i="1"/>
  <c r="F326" i="1" s="1"/>
  <c r="BI326" i="1" s="1"/>
  <c r="B327" i="1"/>
  <c r="F327" i="1" s="1"/>
  <c r="BI327" i="1" s="1"/>
  <c r="B328" i="1"/>
  <c r="F328" i="1" s="1"/>
  <c r="BI328" i="1" s="1"/>
  <c r="B329" i="1"/>
  <c r="F329" i="1" s="1"/>
  <c r="BI329" i="1" s="1"/>
  <c r="B330" i="1"/>
  <c r="F330" i="1" s="1"/>
  <c r="BI330" i="1" s="1"/>
  <c r="B331" i="1"/>
  <c r="F331" i="1" s="1"/>
  <c r="BI331" i="1" s="1"/>
  <c r="B332" i="1"/>
  <c r="F332" i="1" s="1"/>
  <c r="BI332" i="1" s="1"/>
  <c r="B333" i="1"/>
  <c r="F333" i="1" s="1"/>
  <c r="BI333" i="1" s="1"/>
  <c r="B334" i="1"/>
  <c r="F334" i="1" s="1"/>
  <c r="BI334" i="1" s="1"/>
  <c r="B335" i="1"/>
  <c r="F335" i="1" s="1"/>
  <c r="BI335" i="1" s="1"/>
  <c r="B336" i="1"/>
  <c r="F336" i="1" s="1"/>
  <c r="BI336" i="1" s="1"/>
  <c r="B337" i="1"/>
  <c r="F337" i="1" s="1"/>
  <c r="BI337" i="1" s="1"/>
  <c r="B338" i="1"/>
  <c r="F338" i="1" s="1"/>
  <c r="BI338" i="1" s="1"/>
  <c r="B339" i="1"/>
  <c r="F339" i="1" s="1"/>
  <c r="BI339" i="1" s="1"/>
  <c r="B340" i="1"/>
  <c r="F340" i="1" s="1"/>
  <c r="BI340" i="1" s="1"/>
  <c r="B341" i="1"/>
  <c r="F341" i="1" s="1"/>
  <c r="BI341" i="1" s="1"/>
  <c r="B342" i="1"/>
  <c r="F342" i="1" s="1"/>
  <c r="BI342" i="1" s="1"/>
  <c r="B343" i="1"/>
  <c r="F343" i="1" s="1"/>
  <c r="BI343" i="1" s="1"/>
  <c r="B344" i="1"/>
  <c r="F344" i="1" s="1"/>
  <c r="BI344" i="1" s="1"/>
  <c r="B345" i="1"/>
  <c r="F345" i="1" s="1"/>
  <c r="BI345" i="1" s="1"/>
  <c r="B346" i="1"/>
  <c r="F346" i="1" s="1"/>
  <c r="BI346" i="1" s="1"/>
  <c r="B347" i="1"/>
  <c r="F347" i="1" s="1"/>
  <c r="BI347" i="1" s="1"/>
  <c r="B348" i="1"/>
  <c r="F348" i="1" s="1"/>
  <c r="BI348" i="1" s="1"/>
  <c r="B349" i="1"/>
  <c r="F349" i="1" s="1"/>
  <c r="BI349" i="1" s="1"/>
  <c r="B350" i="1"/>
  <c r="F350" i="1" s="1"/>
  <c r="BI350" i="1" s="1"/>
  <c r="B351" i="1"/>
  <c r="F351" i="1" s="1"/>
  <c r="BI351" i="1" s="1"/>
  <c r="B352" i="1"/>
  <c r="F352" i="1" s="1"/>
  <c r="BI352" i="1" s="1"/>
  <c r="B353" i="1"/>
  <c r="F353" i="1" s="1"/>
  <c r="BI353" i="1" s="1"/>
  <c r="B354" i="1"/>
  <c r="F354" i="1" s="1"/>
  <c r="BI354" i="1" s="1"/>
  <c r="B355" i="1"/>
  <c r="F355" i="1" s="1"/>
  <c r="BI355" i="1" s="1"/>
  <c r="B356" i="1"/>
  <c r="F356" i="1" s="1"/>
  <c r="BI356" i="1" s="1"/>
  <c r="B357" i="1"/>
  <c r="F357" i="1" s="1"/>
  <c r="BI357" i="1" s="1"/>
  <c r="B358" i="1"/>
  <c r="F358" i="1" s="1"/>
  <c r="BI358" i="1" s="1"/>
  <c r="B359" i="1"/>
  <c r="F359" i="1" s="1"/>
  <c r="BI359" i="1" s="1"/>
  <c r="B360" i="1"/>
  <c r="F360" i="1" s="1"/>
  <c r="BI360" i="1" s="1"/>
  <c r="B361" i="1"/>
  <c r="F361" i="1" s="1"/>
  <c r="BI361" i="1" s="1"/>
  <c r="B362" i="1"/>
  <c r="F362" i="1" s="1"/>
  <c r="BI362" i="1" s="1"/>
  <c r="B363" i="1"/>
  <c r="F363" i="1" s="1"/>
  <c r="BI363" i="1" s="1"/>
  <c r="B364" i="1"/>
  <c r="F364" i="1" s="1"/>
  <c r="BI364" i="1" s="1"/>
  <c r="B365" i="1"/>
  <c r="F365" i="1" s="1"/>
  <c r="BI365" i="1" s="1"/>
  <c r="B366" i="1"/>
  <c r="F366" i="1" s="1"/>
  <c r="BI366" i="1" s="1"/>
  <c r="B367" i="1"/>
  <c r="F367" i="1" s="1"/>
  <c r="BI367" i="1" s="1"/>
  <c r="B368" i="1"/>
  <c r="F368" i="1" s="1"/>
  <c r="BI368" i="1" s="1"/>
  <c r="B369" i="1"/>
  <c r="F369" i="1" s="1"/>
  <c r="BI369" i="1" s="1"/>
  <c r="B370" i="1"/>
  <c r="F370" i="1" s="1"/>
  <c r="BI370" i="1" s="1"/>
  <c r="B371" i="1"/>
  <c r="F371" i="1" s="1"/>
  <c r="BI371" i="1" s="1"/>
  <c r="B372" i="1"/>
  <c r="F372" i="1" s="1"/>
  <c r="BI372" i="1" s="1"/>
  <c r="B373" i="1"/>
  <c r="F373" i="1" s="1"/>
  <c r="BI373" i="1" s="1"/>
  <c r="B374" i="1"/>
  <c r="F374" i="1" s="1"/>
  <c r="BI374" i="1" s="1"/>
  <c r="B375" i="1"/>
  <c r="F375" i="1" s="1"/>
  <c r="BI375" i="1" s="1"/>
  <c r="B376" i="1"/>
  <c r="F376" i="1" s="1"/>
  <c r="BI376" i="1" s="1"/>
  <c r="B377" i="1"/>
  <c r="F377" i="1" s="1"/>
  <c r="BI377" i="1" s="1"/>
  <c r="B378" i="1"/>
  <c r="F378" i="1" s="1"/>
  <c r="BI378" i="1" s="1"/>
  <c r="B379" i="1"/>
  <c r="F379" i="1" s="1"/>
  <c r="BI379" i="1" s="1"/>
  <c r="B380" i="1"/>
  <c r="F380" i="1" s="1"/>
  <c r="BI380" i="1" s="1"/>
  <c r="B381" i="1"/>
  <c r="F381" i="1" s="1"/>
  <c r="BI381" i="1" s="1"/>
  <c r="B382" i="1"/>
  <c r="F382" i="1" s="1"/>
  <c r="BI382" i="1" s="1"/>
  <c r="B383" i="1"/>
  <c r="F383" i="1" s="1"/>
  <c r="BI383" i="1" s="1"/>
  <c r="B384" i="1"/>
  <c r="F384" i="1" s="1"/>
  <c r="BI384" i="1" s="1"/>
  <c r="B385" i="1"/>
  <c r="F385" i="1" s="1"/>
  <c r="BI385" i="1" s="1"/>
  <c r="B386" i="1"/>
  <c r="F386" i="1" s="1"/>
  <c r="BI386" i="1" s="1"/>
  <c r="B387" i="1"/>
  <c r="F387" i="1" s="1"/>
  <c r="BI387" i="1" s="1"/>
  <c r="B388" i="1"/>
  <c r="F388" i="1" s="1"/>
  <c r="BI388" i="1" s="1"/>
  <c r="B389" i="1"/>
  <c r="F389" i="1" s="1"/>
  <c r="BI389" i="1" s="1"/>
  <c r="B390" i="1"/>
  <c r="F390" i="1" s="1"/>
  <c r="BI390" i="1" s="1"/>
  <c r="B391" i="1"/>
  <c r="F391" i="1" s="1"/>
  <c r="BI391" i="1" s="1"/>
  <c r="B392" i="1"/>
  <c r="F392" i="1" s="1"/>
  <c r="BI392" i="1" s="1"/>
  <c r="B393" i="1"/>
  <c r="F393" i="1" s="1"/>
  <c r="BI393" i="1" s="1"/>
  <c r="B394" i="1"/>
  <c r="F394" i="1" s="1"/>
  <c r="BI394" i="1" s="1"/>
  <c r="B395" i="1"/>
  <c r="F395" i="1" s="1"/>
  <c r="BI395" i="1" s="1"/>
  <c r="B396" i="1"/>
  <c r="F396" i="1" s="1"/>
  <c r="BI396" i="1" s="1"/>
  <c r="B397" i="1"/>
  <c r="F397" i="1" s="1"/>
  <c r="BI397" i="1" s="1"/>
  <c r="B398" i="1"/>
  <c r="F398" i="1" s="1"/>
  <c r="BI398" i="1" s="1"/>
  <c r="B399" i="1"/>
  <c r="F399" i="1" s="1"/>
  <c r="BI399" i="1" s="1"/>
  <c r="B400" i="1"/>
  <c r="F400" i="1" s="1"/>
  <c r="BI400" i="1" s="1"/>
  <c r="B401" i="1"/>
  <c r="F401" i="1" s="1"/>
  <c r="BI401" i="1" s="1"/>
  <c r="B402" i="1"/>
  <c r="F402" i="1" s="1"/>
  <c r="BI402" i="1" s="1"/>
  <c r="B403" i="1"/>
  <c r="F403" i="1" s="1"/>
  <c r="BI403" i="1" s="1"/>
  <c r="B404" i="1"/>
  <c r="F404" i="1" s="1"/>
  <c r="BI404" i="1" s="1"/>
  <c r="B405" i="1"/>
  <c r="F405" i="1" s="1"/>
  <c r="BI405" i="1" s="1"/>
  <c r="B406" i="1"/>
  <c r="F406" i="1" s="1"/>
  <c r="BI406" i="1" s="1"/>
  <c r="B407" i="1"/>
  <c r="F407" i="1" s="1"/>
  <c r="BI407" i="1" s="1"/>
  <c r="B408" i="1"/>
  <c r="F408" i="1" s="1"/>
  <c r="BI408" i="1" s="1"/>
  <c r="B409" i="1"/>
  <c r="F409" i="1" s="1"/>
  <c r="BI409" i="1" s="1"/>
  <c r="B410" i="1"/>
  <c r="F410" i="1" s="1"/>
  <c r="BI410" i="1" s="1"/>
  <c r="B411" i="1"/>
  <c r="F411" i="1" s="1"/>
  <c r="BI411" i="1" s="1"/>
  <c r="B412" i="1"/>
  <c r="F412" i="1" s="1"/>
  <c r="BI412" i="1" s="1"/>
  <c r="B413" i="1"/>
  <c r="F413" i="1" s="1"/>
  <c r="BI413" i="1" s="1"/>
  <c r="B414" i="1"/>
  <c r="F414" i="1" s="1"/>
  <c r="BI414" i="1" s="1"/>
  <c r="B415" i="1"/>
  <c r="F415" i="1" s="1"/>
  <c r="BI415" i="1" s="1"/>
  <c r="B416" i="1"/>
  <c r="F416" i="1" s="1"/>
  <c r="BI416" i="1" s="1"/>
  <c r="B417" i="1"/>
  <c r="F417" i="1" s="1"/>
  <c r="BI417" i="1" s="1"/>
  <c r="B418" i="1"/>
  <c r="F418" i="1" s="1"/>
  <c r="BI418" i="1" s="1"/>
  <c r="B419" i="1"/>
  <c r="F419" i="1" s="1"/>
  <c r="BI419" i="1" s="1"/>
  <c r="B420" i="1"/>
  <c r="F420" i="1" s="1"/>
  <c r="BI420" i="1" s="1"/>
  <c r="B421" i="1"/>
  <c r="F421" i="1" s="1"/>
  <c r="BI421" i="1" s="1"/>
  <c r="B422" i="1"/>
  <c r="F422" i="1" s="1"/>
  <c r="BI422" i="1" s="1"/>
  <c r="B423" i="1"/>
  <c r="F423" i="1" s="1"/>
  <c r="BI423" i="1" s="1"/>
  <c r="B424" i="1"/>
  <c r="F424" i="1" s="1"/>
  <c r="BI424" i="1" s="1"/>
  <c r="B425" i="1"/>
  <c r="F425" i="1" s="1"/>
  <c r="BI425" i="1" s="1"/>
  <c r="B426" i="1"/>
  <c r="F426" i="1" s="1"/>
  <c r="BI426" i="1" s="1"/>
  <c r="B427" i="1"/>
  <c r="F427" i="1" s="1"/>
  <c r="BI427" i="1" s="1"/>
  <c r="B428" i="1"/>
  <c r="F428" i="1" s="1"/>
  <c r="BI428" i="1" s="1"/>
  <c r="B429" i="1"/>
  <c r="F429" i="1" s="1"/>
  <c r="BI429" i="1" s="1"/>
  <c r="B430" i="1"/>
  <c r="F430" i="1" s="1"/>
  <c r="BI430" i="1" s="1"/>
  <c r="B431" i="1"/>
  <c r="F431" i="1" s="1"/>
  <c r="BI431" i="1" s="1"/>
  <c r="B432" i="1"/>
  <c r="F432" i="1" s="1"/>
  <c r="BI432" i="1" s="1"/>
  <c r="B433" i="1"/>
  <c r="F433" i="1" s="1"/>
  <c r="BI433" i="1" s="1"/>
  <c r="B434" i="1"/>
  <c r="F434" i="1" s="1"/>
  <c r="BI434" i="1" s="1"/>
  <c r="B435" i="1"/>
  <c r="F435" i="1" s="1"/>
  <c r="BI435" i="1" s="1"/>
  <c r="B436" i="1"/>
  <c r="F436" i="1" s="1"/>
  <c r="BI436" i="1" s="1"/>
  <c r="B437" i="1"/>
  <c r="F437" i="1" s="1"/>
  <c r="BI437" i="1" s="1"/>
  <c r="B438" i="1"/>
  <c r="F438" i="1" s="1"/>
  <c r="BI438" i="1" s="1"/>
  <c r="B439" i="1"/>
  <c r="F439" i="1" s="1"/>
  <c r="BI439" i="1" s="1"/>
  <c r="B440" i="1"/>
  <c r="F440" i="1" s="1"/>
  <c r="BI440" i="1" s="1"/>
  <c r="B441" i="1"/>
  <c r="F441" i="1" s="1"/>
  <c r="BI441" i="1" s="1"/>
  <c r="B442" i="1"/>
  <c r="F442" i="1" s="1"/>
  <c r="BI442" i="1" s="1"/>
  <c r="B443" i="1"/>
  <c r="F443" i="1" s="1"/>
  <c r="BI443" i="1" s="1"/>
  <c r="B444" i="1"/>
  <c r="F444" i="1" s="1"/>
  <c r="BI444" i="1" s="1"/>
  <c r="B445" i="1"/>
  <c r="F445" i="1" s="1"/>
  <c r="BI445" i="1" s="1"/>
  <c r="B446" i="1"/>
  <c r="F446" i="1" s="1"/>
  <c r="BI446" i="1" s="1"/>
  <c r="B447" i="1"/>
  <c r="F447" i="1" s="1"/>
  <c r="BI447" i="1" s="1"/>
  <c r="B448" i="1"/>
  <c r="F448" i="1" s="1"/>
  <c r="BI448" i="1" s="1"/>
  <c r="B449" i="1"/>
  <c r="F449" i="1" s="1"/>
  <c r="BI449" i="1" s="1"/>
  <c r="B450" i="1"/>
  <c r="F450" i="1" s="1"/>
  <c r="BI450" i="1" s="1"/>
  <c r="B451" i="1"/>
  <c r="F451" i="1" s="1"/>
  <c r="BI451" i="1" s="1"/>
  <c r="B452" i="1"/>
  <c r="F452" i="1" s="1"/>
  <c r="BI452" i="1" s="1"/>
  <c r="B453" i="1"/>
  <c r="F453" i="1" s="1"/>
  <c r="BI453" i="1" s="1"/>
  <c r="B454" i="1"/>
  <c r="F454" i="1" s="1"/>
  <c r="BI454" i="1" s="1"/>
  <c r="B455" i="1"/>
  <c r="F455" i="1" s="1"/>
  <c r="BI455" i="1" s="1"/>
  <c r="B456" i="1"/>
  <c r="F456" i="1" s="1"/>
  <c r="BI456" i="1" s="1"/>
  <c r="B457" i="1"/>
  <c r="F457" i="1" s="1"/>
  <c r="BI457" i="1" s="1"/>
  <c r="B458" i="1"/>
  <c r="F458" i="1" s="1"/>
  <c r="BI458" i="1" s="1"/>
  <c r="B459" i="1"/>
  <c r="F459" i="1" s="1"/>
  <c r="BI459" i="1" s="1"/>
  <c r="B460" i="1"/>
  <c r="F460" i="1" s="1"/>
  <c r="BI460" i="1" s="1"/>
  <c r="B461" i="1"/>
  <c r="F461" i="1" s="1"/>
  <c r="BI461" i="1" s="1"/>
  <c r="B462" i="1"/>
  <c r="F462" i="1" s="1"/>
  <c r="BI462" i="1" s="1"/>
  <c r="B463" i="1"/>
  <c r="F463" i="1" s="1"/>
  <c r="BI463" i="1" s="1"/>
  <c r="B464" i="1"/>
  <c r="F464" i="1" s="1"/>
  <c r="BI464" i="1" s="1"/>
  <c r="B465" i="1"/>
  <c r="F465" i="1" s="1"/>
  <c r="BI465" i="1" s="1"/>
  <c r="B466" i="1"/>
  <c r="F466" i="1" s="1"/>
  <c r="BI466" i="1" s="1"/>
  <c r="B467" i="1"/>
  <c r="F467" i="1" s="1"/>
  <c r="BI467" i="1" s="1"/>
  <c r="B468" i="1"/>
  <c r="F468" i="1" s="1"/>
  <c r="BI468" i="1" s="1"/>
  <c r="B469" i="1"/>
  <c r="F469" i="1" s="1"/>
  <c r="BI469" i="1" s="1"/>
  <c r="B470" i="1"/>
  <c r="F470" i="1" s="1"/>
  <c r="BI470" i="1" s="1"/>
  <c r="B471" i="1"/>
  <c r="F471" i="1" s="1"/>
  <c r="BI471" i="1" s="1"/>
  <c r="B472" i="1"/>
  <c r="F472" i="1" s="1"/>
  <c r="BI472" i="1" s="1"/>
  <c r="B473" i="1"/>
  <c r="F473" i="1" s="1"/>
  <c r="BI473" i="1" s="1"/>
  <c r="B474" i="1"/>
  <c r="F474" i="1" s="1"/>
  <c r="BI474" i="1" s="1"/>
  <c r="B475" i="1"/>
  <c r="F475" i="1" s="1"/>
  <c r="BI475" i="1" s="1"/>
  <c r="B476" i="1"/>
  <c r="F476" i="1" s="1"/>
  <c r="BI476" i="1" s="1"/>
  <c r="B477" i="1"/>
  <c r="F477" i="1" s="1"/>
  <c r="BI477" i="1" s="1"/>
  <c r="B478" i="1"/>
  <c r="F478" i="1" s="1"/>
  <c r="BI478" i="1" s="1"/>
  <c r="B479" i="1"/>
  <c r="F479" i="1" s="1"/>
  <c r="BI479" i="1" s="1"/>
  <c r="B480" i="1"/>
  <c r="F480" i="1" s="1"/>
  <c r="BI480" i="1" s="1"/>
  <c r="B481" i="1"/>
  <c r="F481" i="1" s="1"/>
  <c r="BI481" i="1" s="1"/>
  <c r="B482" i="1"/>
  <c r="F482" i="1" s="1"/>
  <c r="BI482" i="1" s="1"/>
  <c r="B483" i="1"/>
  <c r="F483" i="1" s="1"/>
  <c r="BI483" i="1" s="1"/>
  <c r="B484" i="1"/>
  <c r="F484" i="1" s="1"/>
  <c r="BI484" i="1" s="1"/>
  <c r="B485" i="1"/>
  <c r="F485" i="1" s="1"/>
  <c r="BI485" i="1" s="1"/>
  <c r="B486" i="1"/>
  <c r="F486" i="1" s="1"/>
  <c r="BI486" i="1" s="1"/>
  <c r="B487" i="1"/>
  <c r="F487" i="1" s="1"/>
  <c r="BI487" i="1" s="1"/>
  <c r="B488" i="1"/>
  <c r="F488" i="1" s="1"/>
  <c r="BI488" i="1" s="1"/>
  <c r="B489" i="1"/>
  <c r="F489" i="1" s="1"/>
  <c r="BI489" i="1" s="1"/>
  <c r="B490" i="1"/>
  <c r="F490" i="1" s="1"/>
  <c r="BI490" i="1" s="1"/>
  <c r="B491" i="1"/>
  <c r="F491" i="1" s="1"/>
  <c r="BI491" i="1" s="1"/>
  <c r="B492" i="1"/>
  <c r="F492" i="1" s="1"/>
  <c r="BI492" i="1" s="1"/>
  <c r="B493" i="1"/>
  <c r="F493" i="1" s="1"/>
  <c r="BI493" i="1" s="1"/>
  <c r="B494" i="1"/>
  <c r="F494" i="1" s="1"/>
  <c r="BI494" i="1" s="1"/>
  <c r="B495" i="1"/>
  <c r="F495" i="1" s="1"/>
  <c r="BI495" i="1" s="1"/>
  <c r="B496" i="1"/>
  <c r="F496" i="1" s="1"/>
  <c r="BI496" i="1" s="1"/>
  <c r="B497" i="1"/>
  <c r="F497" i="1" s="1"/>
  <c r="BI497" i="1" s="1"/>
  <c r="B498" i="1"/>
  <c r="F498" i="1" s="1"/>
  <c r="BI498" i="1" s="1"/>
  <c r="B499" i="1"/>
  <c r="F499" i="1" s="1"/>
  <c r="BI499" i="1" s="1"/>
  <c r="B500" i="1"/>
  <c r="F500" i="1" s="1"/>
  <c r="BI500" i="1" s="1"/>
  <c r="B501" i="1"/>
  <c r="F501" i="1" s="1"/>
  <c r="BI501" i="1" s="1"/>
  <c r="B502" i="1"/>
  <c r="F502" i="1" s="1"/>
  <c r="BI502" i="1" s="1"/>
  <c r="B503" i="1"/>
  <c r="F503" i="1" s="1"/>
  <c r="BI503" i="1" s="1"/>
  <c r="B504" i="1"/>
  <c r="F504" i="1" s="1"/>
  <c r="BI504" i="1" s="1"/>
  <c r="B505" i="1"/>
  <c r="F505" i="1" s="1"/>
  <c r="BI505" i="1" s="1"/>
  <c r="B506" i="1"/>
  <c r="F506" i="1" s="1"/>
  <c r="BI506" i="1" s="1"/>
  <c r="B507" i="1"/>
  <c r="F507" i="1" s="1"/>
  <c r="BI507" i="1" s="1"/>
  <c r="B508" i="1"/>
  <c r="F508" i="1" s="1"/>
  <c r="BI508" i="1" s="1"/>
  <c r="B509" i="1"/>
  <c r="F509" i="1" s="1"/>
  <c r="BI509" i="1" s="1"/>
  <c r="B510" i="1"/>
  <c r="F510" i="1" s="1"/>
  <c r="BI510" i="1" s="1"/>
  <c r="B511" i="1"/>
  <c r="F511" i="1" s="1"/>
  <c r="BI511" i="1" s="1"/>
  <c r="B512" i="1"/>
  <c r="F512" i="1" s="1"/>
  <c r="BI512" i="1" s="1"/>
  <c r="B513" i="1"/>
  <c r="F513" i="1" s="1"/>
  <c r="BI513" i="1" s="1"/>
  <c r="B514" i="1"/>
  <c r="F514" i="1" s="1"/>
  <c r="BI514" i="1" s="1"/>
  <c r="B515" i="1"/>
  <c r="F515" i="1" s="1"/>
  <c r="BI515" i="1" s="1"/>
  <c r="B516" i="1"/>
  <c r="F516" i="1" s="1"/>
  <c r="BI516" i="1" s="1"/>
  <c r="B517" i="1"/>
  <c r="F517" i="1" s="1"/>
  <c r="BI517" i="1" s="1"/>
  <c r="B518" i="1"/>
  <c r="F518" i="1" s="1"/>
  <c r="BI518" i="1" s="1"/>
  <c r="B519" i="1"/>
  <c r="F519" i="1" s="1"/>
  <c r="BI519" i="1" s="1"/>
  <c r="B520" i="1"/>
  <c r="F520" i="1" s="1"/>
  <c r="BI520" i="1" s="1"/>
  <c r="B521" i="1"/>
  <c r="F521" i="1" s="1"/>
  <c r="BI521" i="1" s="1"/>
  <c r="B522" i="1"/>
  <c r="F522" i="1" s="1"/>
  <c r="BI522" i="1" s="1"/>
  <c r="B523" i="1"/>
  <c r="F523" i="1" s="1"/>
  <c r="BI523" i="1" s="1"/>
  <c r="B524" i="1"/>
  <c r="F524" i="1" s="1"/>
  <c r="BI524" i="1" s="1"/>
  <c r="B525" i="1"/>
  <c r="F525" i="1" s="1"/>
  <c r="BI525" i="1" s="1"/>
  <c r="B526" i="1"/>
  <c r="F526" i="1" s="1"/>
  <c r="BI526" i="1" s="1"/>
  <c r="B527" i="1"/>
  <c r="F527" i="1" s="1"/>
  <c r="BI527" i="1" s="1"/>
  <c r="B528" i="1"/>
  <c r="F528" i="1" s="1"/>
  <c r="BI528" i="1" s="1"/>
  <c r="B529" i="1"/>
  <c r="F529" i="1" s="1"/>
  <c r="BI529" i="1" s="1"/>
  <c r="B530" i="1"/>
  <c r="F530" i="1" s="1"/>
  <c r="BI530" i="1" s="1"/>
  <c r="B531" i="1"/>
  <c r="F531" i="1" s="1"/>
  <c r="BI531" i="1" s="1"/>
  <c r="B532" i="1"/>
  <c r="F532" i="1" s="1"/>
  <c r="BI532" i="1" s="1"/>
  <c r="B533" i="1"/>
  <c r="F533" i="1" s="1"/>
  <c r="BI533" i="1" s="1"/>
  <c r="B534" i="1"/>
  <c r="F534" i="1" s="1"/>
  <c r="BI534" i="1" s="1"/>
  <c r="B535" i="1"/>
  <c r="F535" i="1" s="1"/>
  <c r="BI535" i="1" s="1"/>
  <c r="B536" i="1"/>
  <c r="F536" i="1" s="1"/>
  <c r="BI536" i="1" s="1"/>
  <c r="B537" i="1"/>
  <c r="F537" i="1" s="1"/>
  <c r="BI537" i="1" s="1"/>
  <c r="B538" i="1"/>
  <c r="F538" i="1" s="1"/>
  <c r="BI538" i="1" s="1"/>
  <c r="B539" i="1"/>
  <c r="F539" i="1" s="1"/>
  <c r="BI539" i="1" s="1"/>
  <c r="B540" i="1"/>
  <c r="F540" i="1" s="1"/>
  <c r="BI540" i="1" s="1"/>
  <c r="B541" i="1"/>
  <c r="F541" i="1" s="1"/>
  <c r="BI541" i="1" s="1"/>
  <c r="B542" i="1"/>
  <c r="F542" i="1" s="1"/>
  <c r="BI542" i="1" s="1"/>
  <c r="B543" i="1"/>
  <c r="F543" i="1" s="1"/>
  <c r="BI543" i="1" s="1"/>
  <c r="B544" i="1"/>
  <c r="F544" i="1" s="1"/>
  <c r="BI544" i="1" s="1"/>
  <c r="B545" i="1"/>
  <c r="F545" i="1" s="1"/>
  <c r="BI545" i="1" s="1"/>
  <c r="B546" i="1"/>
  <c r="F546" i="1" s="1"/>
  <c r="BI546" i="1" s="1"/>
  <c r="B547" i="1"/>
  <c r="F547" i="1" s="1"/>
  <c r="BI547" i="1" s="1"/>
  <c r="B548" i="1"/>
  <c r="F548" i="1" s="1"/>
  <c r="BI548" i="1" s="1"/>
  <c r="B549" i="1"/>
  <c r="F549" i="1" s="1"/>
  <c r="BI549" i="1" s="1"/>
  <c r="B550" i="1"/>
  <c r="F550" i="1" s="1"/>
  <c r="BI550" i="1" s="1"/>
  <c r="B551" i="1"/>
  <c r="F551" i="1" s="1"/>
  <c r="BI551" i="1" s="1"/>
  <c r="B552" i="1"/>
  <c r="F552" i="1" s="1"/>
  <c r="BI552" i="1" s="1"/>
  <c r="B553" i="1"/>
  <c r="F553" i="1" s="1"/>
  <c r="BI553" i="1" s="1"/>
  <c r="B554" i="1"/>
  <c r="F554" i="1" s="1"/>
  <c r="BI554" i="1" s="1"/>
  <c r="B555" i="1"/>
  <c r="F555" i="1" s="1"/>
  <c r="BI555" i="1" s="1"/>
  <c r="B556" i="1"/>
  <c r="F556" i="1" s="1"/>
  <c r="BI556" i="1" s="1"/>
  <c r="B557" i="1"/>
  <c r="F557" i="1" s="1"/>
  <c r="BI557" i="1" s="1"/>
  <c r="B558" i="1"/>
  <c r="F558" i="1" s="1"/>
  <c r="BI558" i="1" s="1"/>
  <c r="B559" i="1"/>
  <c r="F559" i="1" s="1"/>
  <c r="BI559" i="1" s="1"/>
  <c r="B560" i="1"/>
  <c r="F560" i="1" s="1"/>
  <c r="BI560" i="1" s="1"/>
  <c r="B561" i="1"/>
  <c r="F561" i="1" s="1"/>
  <c r="BI561" i="1" s="1"/>
  <c r="B562" i="1"/>
  <c r="F562" i="1" s="1"/>
  <c r="BI562" i="1" s="1"/>
  <c r="B563" i="1"/>
  <c r="F563" i="1" s="1"/>
  <c r="BI563" i="1" s="1"/>
  <c r="B564" i="1"/>
  <c r="F564" i="1" s="1"/>
  <c r="BI564" i="1" s="1"/>
  <c r="B565" i="1"/>
  <c r="F565" i="1" s="1"/>
  <c r="BI565" i="1" s="1"/>
  <c r="B566" i="1"/>
  <c r="F566" i="1" s="1"/>
  <c r="BI566" i="1" s="1"/>
  <c r="B567" i="1"/>
  <c r="F567" i="1" s="1"/>
  <c r="BI567" i="1" s="1"/>
  <c r="B568" i="1"/>
  <c r="F568" i="1" s="1"/>
  <c r="BI568" i="1" s="1"/>
  <c r="B569" i="1"/>
  <c r="F569" i="1" s="1"/>
  <c r="BI569" i="1" s="1"/>
  <c r="B570" i="1"/>
  <c r="F570" i="1" s="1"/>
  <c r="BI570" i="1" s="1"/>
  <c r="B571" i="1"/>
  <c r="F571" i="1" s="1"/>
  <c r="BI571" i="1" s="1"/>
  <c r="B572" i="1"/>
  <c r="F572" i="1" s="1"/>
  <c r="BI572" i="1" s="1"/>
  <c r="B573" i="1"/>
  <c r="F573" i="1" s="1"/>
  <c r="BI573" i="1" s="1"/>
  <c r="B574" i="1"/>
  <c r="F574" i="1" s="1"/>
  <c r="BI574" i="1" s="1"/>
  <c r="B575" i="1"/>
  <c r="F575" i="1" s="1"/>
  <c r="BI575" i="1" s="1"/>
  <c r="B576" i="1"/>
  <c r="F576" i="1" s="1"/>
  <c r="BI576" i="1" s="1"/>
  <c r="B577" i="1"/>
  <c r="F577" i="1" s="1"/>
  <c r="BI577" i="1" s="1"/>
  <c r="B578" i="1"/>
  <c r="F578" i="1" s="1"/>
  <c r="BI578" i="1" s="1"/>
  <c r="B579" i="1"/>
  <c r="F579" i="1" s="1"/>
  <c r="BI579" i="1" s="1"/>
  <c r="B580" i="1"/>
  <c r="F580" i="1" s="1"/>
  <c r="BI580" i="1" s="1"/>
  <c r="B581" i="1"/>
  <c r="F581" i="1" s="1"/>
  <c r="BI581" i="1" s="1"/>
  <c r="B582" i="1"/>
  <c r="F582" i="1" s="1"/>
  <c r="BI582" i="1" s="1"/>
  <c r="B583" i="1"/>
  <c r="F583" i="1" s="1"/>
  <c r="BI583" i="1" s="1"/>
  <c r="B584" i="1"/>
  <c r="F584" i="1" s="1"/>
  <c r="BI584" i="1" s="1"/>
  <c r="B585" i="1"/>
  <c r="F585" i="1" s="1"/>
  <c r="BI585" i="1" s="1"/>
  <c r="B586" i="1"/>
  <c r="F586" i="1" s="1"/>
  <c r="BI586" i="1" s="1"/>
  <c r="B587" i="1"/>
  <c r="F587" i="1" s="1"/>
  <c r="BI587" i="1" s="1"/>
  <c r="B588" i="1"/>
  <c r="F588" i="1" s="1"/>
  <c r="BI588" i="1" s="1"/>
  <c r="B589" i="1"/>
  <c r="F589" i="1" s="1"/>
  <c r="BI589" i="1" s="1"/>
  <c r="B590" i="1"/>
  <c r="F590" i="1" s="1"/>
  <c r="BI590" i="1" s="1"/>
  <c r="B591" i="1"/>
  <c r="F591" i="1" s="1"/>
  <c r="BI591" i="1" s="1"/>
  <c r="B592" i="1"/>
  <c r="F592" i="1" s="1"/>
  <c r="BI592" i="1" s="1"/>
  <c r="B593" i="1"/>
  <c r="F593" i="1" s="1"/>
  <c r="BI593" i="1" s="1"/>
  <c r="B594" i="1"/>
  <c r="F594" i="1" s="1"/>
  <c r="BI594" i="1" s="1"/>
  <c r="B595" i="1"/>
  <c r="F595" i="1" s="1"/>
  <c r="BI595" i="1" s="1"/>
  <c r="B596" i="1"/>
  <c r="F596" i="1" s="1"/>
  <c r="BI596" i="1" s="1"/>
  <c r="B597" i="1"/>
  <c r="F597" i="1" s="1"/>
  <c r="BI597" i="1" s="1"/>
  <c r="B598" i="1"/>
  <c r="F598" i="1" s="1"/>
  <c r="BI598" i="1" s="1"/>
  <c r="B599" i="1"/>
  <c r="F599" i="1" s="1"/>
  <c r="BI599" i="1" s="1"/>
  <c r="B600" i="1"/>
  <c r="F600" i="1" s="1"/>
  <c r="BI600" i="1" s="1"/>
  <c r="B601" i="1"/>
  <c r="F601" i="1" s="1"/>
  <c r="BI601" i="1" s="1"/>
  <c r="B602" i="1"/>
  <c r="F602" i="1" s="1"/>
  <c r="BI602" i="1" s="1"/>
  <c r="B603" i="1"/>
  <c r="F603" i="1" s="1"/>
  <c r="BI603" i="1" s="1"/>
  <c r="B604" i="1"/>
  <c r="F604" i="1" s="1"/>
  <c r="BI604" i="1" s="1"/>
  <c r="B605" i="1"/>
  <c r="F605" i="1" s="1"/>
  <c r="BI605" i="1" s="1"/>
  <c r="B606" i="1"/>
  <c r="F606" i="1" s="1"/>
  <c r="BI606" i="1" s="1"/>
  <c r="B607" i="1"/>
  <c r="F607" i="1" s="1"/>
  <c r="BI607" i="1" s="1"/>
  <c r="B608" i="1"/>
  <c r="F608" i="1" s="1"/>
  <c r="BI608" i="1" s="1"/>
  <c r="B609" i="1"/>
  <c r="F609" i="1" s="1"/>
  <c r="BI609" i="1" s="1"/>
  <c r="B610" i="1"/>
  <c r="F610" i="1" s="1"/>
  <c r="BI610" i="1" s="1"/>
  <c r="B611" i="1"/>
  <c r="F611" i="1" s="1"/>
  <c r="BI611" i="1" s="1"/>
  <c r="B612" i="1"/>
  <c r="F612" i="1" s="1"/>
  <c r="BI612" i="1" s="1"/>
  <c r="B613" i="1"/>
  <c r="F613" i="1" s="1"/>
  <c r="BI613" i="1" s="1"/>
  <c r="B614" i="1"/>
  <c r="F614" i="1" s="1"/>
  <c r="BI614" i="1" s="1"/>
  <c r="B615" i="1"/>
  <c r="F615" i="1" s="1"/>
  <c r="BI615" i="1" s="1"/>
  <c r="B616" i="1"/>
  <c r="F616" i="1" s="1"/>
  <c r="BI616" i="1" s="1"/>
  <c r="B617" i="1"/>
  <c r="F617" i="1" s="1"/>
  <c r="BI617" i="1" s="1"/>
  <c r="B618" i="1"/>
  <c r="F618" i="1" s="1"/>
  <c r="BI618" i="1" s="1"/>
  <c r="B619" i="1"/>
  <c r="F619" i="1" s="1"/>
  <c r="BI619" i="1" s="1"/>
  <c r="B620" i="1"/>
  <c r="F620" i="1" s="1"/>
  <c r="BI620" i="1" s="1"/>
  <c r="B621" i="1"/>
  <c r="F621" i="1" s="1"/>
  <c r="BI621" i="1" s="1"/>
  <c r="B622" i="1"/>
  <c r="F622" i="1" s="1"/>
  <c r="BI622" i="1" s="1"/>
  <c r="B623" i="1"/>
  <c r="F623" i="1" s="1"/>
  <c r="BI623" i="1" s="1"/>
  <c r="B624" i="1"/>
  <c r="F624" i="1" s="1"/>
  <c r="BI624" i="1" s="1"/>
  <c r="B625" i="1"/>
  <c r="F625" i="1" s="1"/>
  <c r="BI625" i="1" s="1"/>
  <c r="B626" i="1"/>
  <c r="F626" i="1" s="1"/>
  <c r="BI626" i="1" s="1"/>
  <c r="B627" i="1"/>
  <c r="F627" i="1" s="1"/>
  <c r="BI627" i="1" s="1"/>
  <c r="B628" i="1"/>
  <c r="F628" i="1" s="1"/>
  <c r="BI628" i="1" s="1"/>
  <c r="B629" i="1"/>
  <c r="F629" i="1" s="1"/>
  <c r="BI629" i="1" s="1"/>
  <c r="B630" i="1"/>
  <c r="F630" i="1" s="1"/>
  <c r="BI630" i="1" s="1"/>
  <c r="B631" i="1"/>
  <c r="F631" i="1" s="1"/>
  <c r="BI631" i="1" s="1"/>
  <c r="B632" i="1"/>
  <c r="F632" i="1" s="1"/>
  <c r="BI632" i="1" s="1"/>
  <c r="B633" i="1"/>
  <c r="F633" i="1" s="1"/>
  <c r="BI633" i="1" s="1"/>
  <c r="B634" i="1"/>
  <c r="F634" i="1" s="1"/>
  <c r="BI634" i="1" s="1"/>
  <c r="B635" i="1"/>
  <c r="F635" i="1" s="1"/>
  <c r="BI635" i="1" s="1"/>
  <c r="B636" i="1"/>
  <c r="F636" i="1" s="1"/>
  <c r="BI636" i="1" s="1"/>
  <c r="B637" i="1"/>
  <c r="F637" i="1" s="1"/>
  <c r="BI637" i="1" s="1"/>
  <c r="B638" i="1"/>
  <c r="F638" i="1" s="1"/>
  <c r="BI638" i="1" s="1"/>
  <c r="B639" i="1"/>
  <c r="F639" i="1" s="1"/>
  <c r="BI639" i="1" s="1"/>
  <c r="B640" i="1"/>
  <c r="F640" i="1" s="1"/>
  <c r="BI640" i="1" s="1"/>
  <c r="B641" i="1"/>
  <c r="F641" i="1" s="1"/>
  <c r="BI641" i="1" s="1"/>
  <c r="B642" i="1"/>
  <c r="F642" i="1" s="1"/>
  <c r="BI642" i="1" s="1"/>
  <c r="B643" i="1"/>
  <c r="F643" i="1" s="1"/>
  <c r="BI643" i="1" s="1"/>
  <c r="B644" i="1"/>
  <c r="F644" i="1" s="1"/>
  <c r="BI644" i="1" s="1"/>
  <c r="B645" i="1"/>
  <c r="F645" i="1" s="1"/>
  <c r="BI645" i="1" s="1"/>
  <c r="B646" i="1"/>
  <c r="F646" i="1" s="1"/>
  <c r="BI646" i="1" s="1"/>
  <c r="B647" i="1"/>
  <c r="F647" i="1" s="1"/>
  <c r="BI647" i="1" s="1"/>
  <c r="B648" i="1"/>
  <c r="F648" i="1" s="1"/>
  <c r="BI648" i="1" s="1"/>
  <c r="B649" i="1"/>
  <c r="F649" i="1" s="1"/>
  <c r="BI649" i="1" s="1"/>
  <c r="B650" i="1"/>
  <c r="F650" i="1" s="1"/>
  <c r="BI650" i="1" s="1"/>
  <c r="B651" i="1"/>
  <c r="F651" i="1" s="1"/>
  <c r="BI651" i="1" s="1"/>
  <c r="B652" i="1"/>
  <c r="F652" i="1" s="1"/>
  <c r="BI652" i="1" s="1"/>
  <c r="B653" i="1"/>
  <c r="F653" i="1" s="1"/>
  <c r="BI653" i="1" s="1"/>
  <c r="B654" i="1"/>
  <c r="F654" i="1" s="1"/>
  <c r="BI654" i="1" s="1"/>
  <c r="B655" i="1"/>
  <c r="F655" i="1" s="1"/>
  <c r="BI655" i="1" s="1"/>
  <c r="B656" i="1"/>
  <c r="F656" i="1" s="1"/>
  <c r="BI656" i="1" s="1"/>
  <c r="B657" i="1"/>
  <c r="F657" i="1" s="1"/>
  <c r="BI657" i="1" s="1"/>
  <c r="B658" i="1"/>
  <c r="F658" i="1" s="1"/>
  <c r="BI658" i="1" s="1"/>
  <c r="B659" i="1"/>
  <c r="F659" i="1" s="1"/>
  <c r="BI659" i="1" s="1"/>
  <c r="B660" i="1"/>
  <c r="F660" i="1" s="1"/>
  <c r="BI660" i="1" s="1"/>
  <c r="B661" i="1"/>
  <c r="F661" i="1" s="1"/>
  <c r="BI661" i="1" s="1"/>
  <c r="B662" i="1"/>
  <c r="F662" i="1" s="1"/>
  <c r="BI662" i="1" s="1"/>
  <c r="B663" i="1"/>
  <c r="F663" i="1" s="1"/>
  <c r="BI663" i="1" s="1"/>
  <c r="B664" i="1"/>
  <c r="F664" i="1" s="1"/>
  <c r="BI664" i="1" s="1"/>
  <c r="B665" i="1"/>
  <c r="F665" i="1" s="1"/>
  <c r="BI665" i="1" s="1"/>
  <c r="B666" i="1"/>
  <c r="F666" i="1" s="1"/>
  <c r="BI666" i="1" s="1"/>
  <c r="B667" i="1"/>
  <c r="F667" i="1" s="1"/>
  <c r="BI667" i="1" s="1"/>
  <c r="B668" i="1"/>
  <c r="F668" i="1" s="1"/>
  <c r="BI668" i="1" s="1"/>
  <c r="B669" i="1"/>
  <c r="F669" i="1" s="1"/>
  <c r="BI669" i="1" s="1"/>
  <c r="B670" i="1"/>
  <c r="F670" i="1" s="1"/>
  <c r="BI670" i="1" s="1"/>
  <c r="B671" i="1"/>
  <c r="F671" i="1" s="1"/>
  <c r="BI671" i="1" s="1"/>
  <c r="B672" i="1"/>
  <c r="F672" i="1" s="1"/>
  <c r="BI672" i="1" s="1"/>
  <c r="B673" i="1"/>
  <c r="F673" i="1" s="1"/>
  <c r="BI673" i="1" s="1"/>
  <c r="B674" i="1"/>
  <c r="F674" i="1" s="1"/>
  <c r="BI674" i="1" s="1"/>
  <c r="B675" i="1"/>
  <c r="F675" i="1" s="1"/>
  <c r="BI675" i="1" s="1"/>
  <c r="B676" i="1"/>
  <c r="F676" i="1" s="1"/>
  <c r="BI676" i="1" s="1"/>
  <c r="B677" i="1"/>
  <c r="F677" i="1" s="1"/>
  <c r="BI677" i="1" s="1"/>
  <c r="B678" i="1"/>
  <c r="F678" i="1" s="1"/>
  <c r="BI678" i="1" s="1"/>
  <c r="B679" i="1"/>
  <c r="F679" i="1" s="1"/>
  <c r="BI679" i="1" s="1"/>
  <c r="B680" i="1"/>
  <c r="F680" i="1" s="1"/>
  <c r="BI680" i="1" s="1"/>
  <c r="B681" i="1"/>
  <c r="F681" i="1" s="1"/>
  <c r="BI681" i="1" s="1"/>
  <c r="B682" i="1"/>
  <c r="F682" i="1" s="1"/>
  <c r="BI682" i="1" s="1"/>
  <c r="B683" i="1"/>
  <c r="F683" i="1" s="1"/>
  <c r="BI683" i="1" s="1"/>
  <c r="B684" i="1"/>
  <c r="F684" i="1" s="1"/>
  <c r="BI684" i="1" s="1"/>
  <c r="B685" i="1"/>
  <c r="F685" i="1" s="1"/>
  <c r="BI685" i="1" s="1"/>
  <c r="B686" i="1"/>
  <c r="F686" i="1" s="1"/>
  <c r="BI686" i="1" s="1"/>
  <c r="B687" i="1"/>
  <c r="F687" i="1" s="1"/>
  <c r="BI687" i="1" s="1"/>
  <c r="B688" i="1"/>
  <c r="F688" i="1" s="1"/>
  <c r="BI688" i="1" s="1"/>
  <c r="B689" i="1"/>
  <c r="F689" i="1" s="1"/>
  <c r="BI689" i="1" s="1"/>
  <c r="B690" i="1"/>
  <c r="F690" i="1" s="1"/>
  <c r="BI690" i="1" s="1"/>
  <c r="B691" i="1"/>
  <c r="F691" i="1" s="1"/>
  <c r="BI691" i="1" s="1"/>
  <c r="B692" i="1"/>
  <c r="F692" i="1" s="1"/>
  <c r="BI692" i="1" s="1"/>
  <c r="B693" i="1"/>
  <c r="F693" i="1" s="1"/>
  <c r="BI693" i="1" s="1"/>
  <c r="B694" i="1"/>
  <c r="F694" i="1" s="1"/>
  <c r="BI694" i="1" s="1"/>
  <c r="B695" i="1"/>
  <c r="F695" i="1" s="1"/>
  <c r="BI695" i="1" s="1"/>
  <c r="B696" i="1"/>
  <c r="F696" i="1" s="1"/>
  <c r="BI696" i="1" s="1"/>
  <c r="B697" i="1"/>
  <c r="F697" i="1" s="1"/>
  <c r="BI697" i="1" s="1"/>
  <c r="B698" i="1"/>
  <c r="F698" i="1" s="1"/>
  <c r="BI698" i="1" s="1"/>
  <c r="B699" i="1"/>
  <c r="F699" i="1" s="1"/>
  <c r="BI699" i="1" s="1"/>
  <c r="B700" i="1"/>
  <c r="F700" i="1" s="1"/>
  <c r="BI700" i="1" s="1"/>
  <c r="B701" i="1"/>
  <c r="F701" i="1" s="1"/>
  <c r="BI701" i="1" s="1"/>
  <c r="B702" i="1"/>
  <c r="F702" i="1" s="1"/>
  <c r="BI702" i="1" s="1"/>
  <c r="B703" i="1"/>
  <c r="F703" i="1" s="1"/>
  <c r="BI703" i="1" s="1"/>
  <c r="B704" i="1"/>
  <c r="F704" i="1" s="1"/>
  <c r="BI704" i="1" s="1"/>
  <c r="B705" i="1"/>
  <c r="F705" i="1" s="1"/>
  <c r="BI705" i="1" s="1"/>
  <c r="B706" i="1"/>
  <c r="F706" i="1" s="1"/>
  <c r="BI706" i="1" s="1"/>
  <c r="B707" i="1"/>
  <c r="F707" i="1" s="1"/>
  <c r="BI707" i="1" s="1"/>
  <c r="B708" i="1"/>
  <c r="F708" i="1" s="1"/>
  <c r="BI708" i="1" s="1"/>
  <c r="B709" i="1"/>
  <c r="F709" i="1" s="1"/>
  <c r="BI709" i="1" s="1"/>
  <c r="B710" i="1"/>
  <c r="F710" i="1" s="1"/>
  <c r="BI710" i="1" s="1"/>
  <c r="B711" i="1"/>
  <c r="F711" i="1" s="1"/>
  <c r="BI711" i="1" s="1"/>
  <c r="B712" i="1"/>
  <c r="F712" i="1" s="1"/>
  <c r="BI712" i="1" s="1"/>
  <c r="B713" i="1"/>
  <c r="F713" i="1" s="1"/>
  <c r="BI713" i="1" s="1"/>
  <c r="B714" i="1"/>
  <c r="F714" i="1" s="1"/>
  <c r="BI714" i="1" s="1"/>
  <c r="B715" i="1"/>
  <c r="F715" i="1" s="1"/>
  <c r="BI715" i="1" s="1"/>
  <c r="B716" i="1"/>
  <c r="F716" i="1" s="1"/>
  <c r="BI716" i="1" s="1"/>
  <c r="B717" i="1"/>
  <c r="F717" i="1" s="1"/>
  <c r="BI717" i="1" s="1"/>
  <c r="B718" i="1"/>
  <c r="F718" i="1" s="1"/>
  <c r="BI718" i="1" s="1"/>
  <c r="B719" i="1"/>
  <c r="F719" i="1" s="1"/>
  <c r="BI719" i="1" s="1"/>
  <c r="B720" i="1"/>
  <c r="F720" i="1" s="1"/>
  <c r="BI720" i="1" s="1"/>
  <c r="B721" i="1"/>
  <c r="F721" i="1" s="1"/>
  <c r="BI721" i="1" s="1"/>
  <c r="B722" i="1"/>
  <c r="F722" i="1" s="1"/>
  <c r="BI722" i="1" s="1"/>
  <c r="B723" i="1"/>
  <c r="F723" i="1" s="1"/>
  <c r="BI723" i="1" s="1"/>
  <c r="B724" i="1"/>
  <c r="F724" i="1" s="1"/>
  <c r="BI724" i="1" s="1"/>
  <c r="B725" i="1"/>
  <c r="F725" i="1" s="1"/>
  <c r="BI725" i="1" s="1"/>
  <c r="B726" i="1"/>
  <c r="F726" i="1" s="1"/>
  <c r="BI726" i="1" s="1"/>
  <c r="B727" i="1"/>
  <c r="F727" i="1" s="1"/>
  <c r="BI727" i="1" s="1"/>
  <c r="B728" i="1"/>
  <c r="F728" i="1" s="1"/>
  <c r="BI728" i="1" s="1"/>
  <c r="B729" i="1"/>
  <c r="F729" i="1" s="1"/>
  <c r="BI729" i="1" s="1"/>
  <c r="B730" i="1"/>
  <c r="F730" i="1" s="1"/>
  <c r="BI730" i="1" s="1"/>
  <c r="B731" i="1"/>
  <c r="F731" i="1" s="1"/>
  <c r="BI731" i="1" s="1"/>
  <c r="B732" i="1"/>
  <c r="F732" i="1" s="1"/>
  <c r="BI732" i="1" s="1"/>
  <c r="B733" i="1"/>
  <c r="F733" i="1" s="1"/>
  <c r="BI733" i="1" s="1"/>
  <c r="B734" i="1"/>
  <c r="F734" i="1" s="1"/>
  <c r="BI734" i="1" s="1"/>
  <c r="B735" i="1"/>
  <c r="F735" i="1" s="1"/>
  <c r="BI735" i="1" s="1"/>
  <c r="B736" i="1"/>
  <c r="F736" i="1" s="1"/>
  <c r="BI736" i="1" s="1"/>
  <c r="B737" i="1"/>
  <c r="F737" i="1" s="1"/>
  <c r="BI737" i="1" s="1"/>
  <c r="B738" i="1"/>
  <c r="F738" i="1" s="1"/>
  <c r="BI738" i="1" s="1"/>
  <c r="B739" i="1"/>
  <c r="F739" i="1" s="1"/>
  <c r="BI739" i="1" s="1"/>
  <c r="B740" i="1"/>
  <c r="F740" i="1" s="1"/>
  <c r="BI740" i="1" s="1"/>
  <c r="B741" i="1"/>
  <c r="F741" i="1" s="1"/>
  <c r="BI741" i="1" s="1"/>
  <c r="B742" i="1"/>
  <c r="F742" i="1" s="1"/>
  <c r="BI742" i="1" s="1"/>
  <c r="B743" i="1"/>
  <c r="F743" i="1" s="1"/>
  <c r="BI743" i="1" s="1"/>
  <c r="B744" i="1"/>
  <c r="F744" i="1" s="1"/>
  <c r="BI744" i="1" s="1"/>
  <c r="B745" i="1"/>
  <c r="F745" i="1" s="1"/>
  <c r="BI745" i="1" s="1"/>
  <c r="B746" i="1"/>
  <c r="F746" i="1" s="1"/>
  <c r="BI746" i="1" s="1"/>
  <c r="B747" i="1"/>
  <c r="F747" i="1" s="1"/>
  <c r="BI747" i="1" s="1"/>
  <c r="B748" i="1"/>
  <c r="F748" i="1" s="1"/>
  <c r="BI748" i="1" s="1"/>
  <c r="B749" i="1"/>
  <c r="F749" i="1" s="1"/>
  <c r="BI749" i="1" s="1"/>
  <c r="B750" i="1"/>
  <c r="F750" i="1" s="1"/>
  <c r="BI750" i="1" s="1"/>
  <c r="B751" i="1"/>
  <c r="F751" i="1" s="1"/>
  <c r="BI751" i="1" s="1"/>
  <c r="B752" i="1"/>
  <c r="F752" i="1" s="1"/>
  <c r="BI752" i="1" s="1"/>
  <c r="B753" i="1"/>
  <c r="F753" i="1" s="1"/>
  <c r="BI753" i="1" s="1"/>
  <c r="B754" i="1"/>
  <c r="F754" i="1" s="1"/>
  <c r="BI754" i="1" s="1"/>
  <c r="B755" i="1"/>
  <c r="F755" i="1" s="1"/>
  <c r="BI755" i="1" s="1"/>
  <c r="B756" i="1"/>
  <c r="F756" i="1" s="1"/>
  <c r="BI756" i="1" s="1"/>
  <c r="B757" i="1"/>
  <c r="F757" i="1" s="1"/>
  <c r="BI757" i="1" s="1"/>
  <c r="B758" i="1"/>
  <c r="F758" i="1" s="1"/>
  <c r="BI758" i="1" s="1"/>
  <c r="B759" i="1"/>
  <c r="F759" i="1" s="1"/>
  <c r="BI759" i="1" s="1"/>
  <c r="B760" i="1"/>
  <c r="F760" i="1" s="1"/>
  <c r="BI760" i="1" s="1"/>
  <c r="B761" i="1"/>
  <c r="F761" i="1" s="1"/>
  <c r="BI761" i="1" s="1"/>
  <c r="B762" i="1"/>
  <c r="F762" i="1" s="1"/>
  <c r="BI762" i="1" s="1"/>
  <c r="B763" i="1"/>
  <c r="F763" i="1" s="1"/>
  <c r="BI763" i="1" s="1"/>
  <c r="B764" i="1"/>
  <c r="F764" i="1" s="1"/>
  <c r="BI764" i="1" s="1"/>
  <c r="B765" i="1"/>
  <c r="F765" i="1" s="1"/>
  <c r="BI765" i="1" s="1"/>
  <c r="B766" i="1"/>
  <c r="F766" i="1" s="1"/>
  <c r="BI766" i="1" s="1"/>
  <c r="B767" i="1"/>
  <c r="F767" i="1" s="1"/>
  <c r="BI767" i="1" s="1"/>
  <c r="B768" i="1"/>
  <c r="F768" i="1" s="1"/>
  <c r="BI768" i="1" s="1"/>
  <c r="B769" i="1"/>
  <c r="F769" i="1" s="1"/>
  <c r="BI769" i="1" s="1"/>
  <c r="B770" i="1"/>
  <c r="F770" i="1" s="1"/>
  <c r="BI770" i="1" s="1"/>
  <c r="B771" i="1"/>
  <c r="F771" i="1" s="1"/>
  <c r="BI771" i="1" s="1"/>
  <c r="B772" i="1"/>
  <c r="F772" i="1" s="1"/>
  <c r="BI772" i="1" s="1"/>
  <c r="B773" i="1"/>
  <c r="F773" i="1" s="1"/>
  <c r="BI773" i="1" s="1"/>
  <c r="B774" i="1"/>
  <c r="F774" i="1" s="1"/>
  <c r="BI774" i="1" s="1"/>
  <c r="B775" i="1"/>
  <c r="F775" i="1" s="1"/>
  <c r="BI775" i="1" s="1"/>
  <c r="B776" i="1"/>
  <c r="F776" i="1" s="1"/>
  <c r="BI776" i="1" s="1"/>
  <c r="B777" i="1"/>
  <c r="F777" i="1" s="1"/>
  <c r="BI777" i="1" s="1"/>
  <c r="B778" i="1"/>
  <c r="F778" i="1" s="1"/>
  <c r="BI778" i="1" s="1"/>
  <c r="B779" i="1"/>
  <c r="F779" i="1" s="1"/>
  <c r="BI779" i="1" s="1"/>
  <c r="B780" i="1"/>
  <c r="F780" i="1" s="1"/>
  <c r="BI780" i="1" s="1"/>
  <c r="B781" i="1"/>
  <c r="F781" i="1" s="1"/>
  <c r="BI781" i="1" s="1"/>
  <c r="B782" i="1"/>
  <c r="F782" i="1" s="1"/>
  <c r="BI782" i="1" s="1"/>
  <c r="B783" i="1"/>
  <c r="F783" i="1" s="1"/>
  <c r="BI783" i="1" s="1"/>
  <c r="B784" i="1"/>
  <c r="F784" i="1" s="1"/>
  <c r="BI784" i="1" s="1"/>
  <c r="B785" i="1"/>
  <c r="F785" i="1" s="1"/>
  <c r="BI785" i="1" s="1"/>
  <c r="B786" i="1"/>
  <c r="F786" i="1" s="1"/>
  <c r="BI786" i="1" s="1"/>
  <c r="B787" i="1"/>
  <c r="F787" i="1" s="1"/>
  <c r="BI787" i="1" s="1"/>
  <c r="B788" i="1"/>
  <c r="F788" i="1" s="1"/>
  <c r="BI788" i="1" s="1"/>
  <c r="B789" i="1"/>
  <c r="F789" i="1" s="1"/>
  <c r="BI789" i="1" s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G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BI1" authorId="0" shapeId="0" xr:uid="{8785470B-FD28-4E66-B6F1-A3B34BC5FFB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TYPE</t>
        </r>
      </text>
    </comment>
    <comment ref="BJ1" authorId="0" shapeId="0" xr:uid="{FECE53BE-C316-422F-9608-E274093235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OFFSET</t>
        </r>
      </text>
    </comment>
    <comment ref="BK1" authorId="0" shapeId="0" xr:uid="{7A411C55-683B-4655-9D36-4D7822702CE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DISABLE_WAGON_POWER</t>
        </r>
      </text>
    </comment>
    <comment ref="BO1" authorId="0" shapeId="0" xr:uid="{A81E49DC-98FD-45FE-A373-9F9CD730E0D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0</t>
        </r>
      </text>
    </comment>
    <comment ref="BP1" authorId="0" shapeId="0" xr:uid="{3A9AC68E-B201-4D93-A054-C63DD692E7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DEFAULT_BITMASK</t>
        </r>
      </text>
    </comment>
    <comment ref="BQ1" authorId="0" shapeId="0" xr:uid="{573171C9-8E04-4D0D-8CDC-728B361D78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DEFAULT_CARGO_AGE_PERIOD</t>
        </r>
      </text>
    </comment>
    <comment ref="BR1" authorId="0" shapeId="0" xr:uid="{89F39150-9204-4FF1-A31B-DB7B70750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DEFAULT_POWER_PER_WAGON</t>
        </r>
      </text>
    </comment>
    <comment ref="BS1" authorId="0" shapeId="0" xr:uid="{32AF02B4-9DBC-4BEF-A065-3320EFC5DE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DEFAULT_REFIT_COST</t>
        </r>
      </text>
    </comment>
    <comment ref="BT1" authorId="0" shapeId="0" xr:uid="{5FF6C129-29ED-45B9-87AE-85B70E2621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DEFAULT_RELIABILITY_DECAY</t>
        </r>
      </text>
    </comment>
    <comment ref="BU1" authorId="0" shapeId="0" xr:uid="{C1BE089A-DB3E-4B36-8AD3-944B04E594F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DEFAULT_RETIRE_EARLY</t>
        </r>
      </text>
    </comment>
  </commentList>
</comments>
</file>

<file path=xl/sharedStrings.xml><?xml version="1.0" encoding="utf-8"?>
<sst xmlns="http://schemas.openxmlformats.org/spreadsheetml/2006/main" count="13728" uniqueCount="997">
  <si>
    <t>VEHIDCODE</t>
  </si>
  <si>
    <t>ACTUAL_LENGTH</t>
  </si>
  <si>
    <t>CARGODEF</t>
  </si>
  <si>
    <t>DUAL_HEADED</t>
  </si>
  <si>
    <t>ENGINE_CLASS</t>
  </si>
  <si>
    <t>HEAD_CAPACITY</t>
  </si>
  <si>
    <t>INTRODUCTION_YEAR</t>
  </si>
  <si>
    <t>LENGTH</t>
  </si>
  <si>
    <t>LOADINGSPEED</t>
  </si>
  <si>
    <t>MODEL_LIFE</t>
  </si>
  <si>
    <t>PASSENGER</t>
  </si>
  <si>
    <t>POWER</t>
  </si>
  <si>
    <t>SPEED</t>
  </si>
  <si>
    <t>TE_COEFFICIENT</t>
  </si>
  <si>
    <t>VEHICLE_LIFE</t>
  </si>
  <si>
    <t>WAGON_CAPACITY</t>
  </si>
  <si>
    <t>WAGON_LENGTH</t>
  </si>
  <si>
    <t>WEIGHT</t>
  </si>
  <si>
    <t>PASSENGERS</t>
  </si>
  <si>
    <t>MAGLEV</t>
  </si>
  <si>
    <t>NONE</t>
  </si>
  <si>
    <t>VEHICLE_NEVER_EXPIRES</t>
  </si>
  <si>
    <t>rbs_Austria_NOLB_1</t>
  </si>
  <si>
    <t>STEAM</t>
  </si>
  <si>
    <t>COMMUTER</t>
  </si>
  <si>
    <t>rbs_Italy_FS_86</t>
  </si>
  <si>
    <t>rbs_Australia_Victorian_Railways_Rowan_Railmotor</t>
  </si>
  <si>
    <t>rbs_Switzerland_UeBB_Czm_1_2</t>
  </si>
  <si>
    <t>rbs_Germany_Bavarian_MCCi</t>
  </si>
  <si>
    <t>rbs_South_Africa_CSAR_Railmotor</t>
  </si>
  <si>
    <t>rbs_Australia_Victorian_Railways_Motor_Car_3</t>
  </si>
  <si>
    <t>rbs_Austria_kkStB_4_0</t>
  </si>
  <si>
    <t>GOODS_RAILBUS</t>
  </si>
  <si>
    <t>CARGO</t>
  </si>
  <si>
    <t>rbd_Australia_Victorian_Railways_AEC_RM1</t>
  </si>
  <si>
    <t>DIESEL</t>
  </si>
  <si>
    <t>rbd_Germany_DB_VT_133</t>
  </si>
  <si>
    <t>rbd_United_Kingdom_GWR_AEC_Railcar</t>
  </si>
  <si>
    <t>rbd_Austria_OBB_5042</t>
  </si>
  <si>
    <t>rbd_New_Zealand_NZR_RM31</t>
  </si>
  <si>
    <t>rbd_Portugal_CP_0100</t>
  </si>
  <si>
    <t>rbd_USA_Amtrak_Budd_RDC</t>
  </si>
  <si>
    <t>rbd_Germany_DB_VT_989</t>
  </si>
  <si>
    <t>rbd_Germany_OHE_520_GDT</t>
  </si>
  <si>
    <t>rbd_Netherlands_NS_20_Kameel</t>
  </si>
  <si>
    <t>rbd_Netherlands_NS_DH1</t>
  </si>
  <si>
    <t>rbd_Austria_OBB_5047</t>
  </si>
  <si>
    <t>rbd_United_Kingdom_BR_153_Super_Sprinter</t>
  </si>
  <si>
    <t>rbd_Czech_Republic_CD_809</t>
  </si>
  <si>
    <t>rbd_Germany_DB_670</t>
  </si>
  <si>
    <t>rbd_Lithuania_Lithuanian_Railways_AR2</t>
  </si>
  <si>
    <t>rbd_Austria_kkStB_19</t>
  </si>
  <si>
    <t>rbd_USA_Virginia_Truckee_Motor_Car_22</t>
  </si>
  <si>
    <t>rbd_Germany_Saxon_DET_1_2</t>
  </si>
  <si>
    <t>rbd_UK_WC_PR_Drewry_Railcar</t>
  </si>
  <si>
    <t>rbd_Germany_BSt_6001</t>
  </si>
  <si>
    <t>rbd_Australia_Victorian_Railways_DERM</t>
  </si>
  <si>
    <t>rbd_Czech_Republic_CD_M120</t>
  </si>
  <si>
    <t>rbd_Germany_Schienenzeppelin</t>
  </si>
  <si>
    <t>rbd_Denmark_DSB_MO</t>
  </si>
  <si>
    <t>rbd_Norway_NSB_Cmb_17</t>
  </si>
  <si>
    <t>rbd_Czech_Republic_CD_M290</t>
  </si>
  <si>
    <t>rbd_Netherlands_NS_omBC</t>
  </si>
  <si>
    <t>rbd_Australia_NSWGR_Class_400</t>
  </si>
  <si>
    <t>rbd_Portugal_CP_USD_9050</t>
  </si>
  <si>
    <t>rbd_Belgium_SNCB_Class_42</t>
  </si>
  <si>
    <t>rbd_Bulgaria_BDZ_19</t>
  </si>
  <si>
    <t>rbd_Greece_OSE_AA71</t>
  </si>
  <si>
    <t>rbd_Tunisia_SNCFT_Z431</t>
  </si>
  <si>
    <t>rbd_USA_Amtrak_SPV_200</t>
  </si>
  <si>
    <t>rbd_Finland_VR_Dm12</t>
  </si>
  <si>
    <t>rbd_Czech_Republic_CD_840</t>
  </si>
  <si>
    <t>rbd_Italy_FS_ALn_668</t>
  </si>
  <si>
    <t>rbe_Czech_Republic_CD_M400</t>
  </si>
  <si>
    <t>ELECTRIC</t>
  </si>
  <si>
    <t>rbe_France_SNCF_Z_7100</t>
  </si>
  <si>
    <t>rbe_Germany_Buckower_Kleinbahn_Nr_1_3</t>
  </si>
  <si>
    <t>rbe_Germany_DB_4792</t>
  </si>
  <si>
    <t>rbe_Slovakia_ZSSK_490</t>
  </si>
  <si>
    <t>rbe_Italy_FS_ALe_840</t>
  </si>
  <si>
    <t>rbe_Italy_FG_ALe_80</t>
  </si>
  <si>
    <t>rbe_Italy_FS_E623</t>
  </si>
  <si>
    <t>rbe_Morocco_ONCFM_ZAB1000</t>
  </si>
  <si>
    <t>rbe_Poland_PKP_EN81</t>
  </si>
  <si>
    <t>rbe_Austria_OBB_4855</t>
  </si>
  <si>
    <t>rbe_Austria_MBS_ET_10109</t>
  </si>
  <si>
    <t>rbe_Germany_DB_ET_85</t>
  </si>
  <si>
    <t>rbe_Sweden_SJ_X16</t>
  </si>
  <si>
    <t>rbe_USA_Pennsylvania_Railroad_Silverliner_II</t>
  </si>
  <si>
    <t>rbe_USA_SEPTA_Silverliner_V</t>
  </si>
  <si>
    <t>steam_Belgium_Le_Belge</t>
  </si>
  <si>
    <t>steam_USA_4_4_0_American</t>
  </si>
  <si>
    <t>steam_Switzerland_SBB_Ec_2_5</t>
  </si>
  <si>
    <t>steam_USA_4_6_0_Ten_wheeler</t>
  </si>
  <si>
    <t>steam_USA_2_8_0_Consolidation</t>
  </si>
  <si>
    <t>steam_Hungary_MAV_377</t>
  </si>
  <si>
    <t>steam_Austria_KkStB_99</t>
  </si>
  <si>
    <t>steam_UK_Caledonian_Railway_439</t>
  </si>
  <si>
    <t>steam_Switzerland_SBB_A_3_5</t>
  </si>
  <si>
    <t>steam_Switzerland_SBB_E_3_3</t>
  </si>
  <si>
    <t>steam_Austria_KkStB_299</t>
  </si>
  <si>
    <t>steam_New_Zealand_NZR_X_Class</t>
  </si>
  <si>
    <t>steam_Croatia_HZ_51</t>
  </si>
  <si>
    <t>steam_Italy_FS_880</t>
  </si>
  <si>
    <t>steam_Argentina_FCNEA_11B_2_8_0</t>
  </si>
  <si>
    <t>steam_France_SNCF_140C</t>
  </si>
  <si>
    <t>steam_France_SNCF_141TA</t>
  </si>
  <si>
    <t>steam_UK_GWR_4900</t>
  </si>
  <si>
    <t>steam_UK_GWR_5700</t>
  </si>
  <si>
    <t>steam_Netherlands_NS_6300</t>
  </si>
  <si>
    <t>steam_USA_AT_SF_5000</t>
  </si>
  <si>
    <t>steam_Germany_Prussian_S10</t>
  </si>
  <si>
    <t>steam_UK_LMS_5MT_Black_Five</t>
  </si>
  <si>
    <t>steam_Russia_RZD_9P</t>
  </si>
  <si>
    <t>steam_UK_LNER_A4_Gresley</t>
  </si>
  <si>
    <t>steam_Canada_CPR_Royal_Hudson</t>
  </si>
  <si>
    <t>steam_Denmark_DSB_E</t>
  </si>
  <si>
    <t>steam_Germany_DB_52</t>
  </si>
  <si>
    <t>steam_UK_LNER_A1_Peppercorn</t>
  </si>
  <si>
    <t>steam_South_Africa_SAR_25</t>
  </si>
  <si>
    <t>steam_Russia_RZD_P36</t>
  </si>
  <si>
    <t>steam_France_SNCF_150B</t>
  </si>
  <si>
    <t>steam_Italy_FS_895</t>
  </si>
  <si>
    <t>steam_Poland_PKP_Okz32</t>
  </si>
  <si>
    <t>steam_Switzerland_SBB_C_5_6</t>
  </si>
  <si>
    <t>steam_USA_UP_4000_Big_Boy</t>
  </si>
  <si>
    <t>steam_Netherlands_NRS_11</t>
  </si>
  <si>
    <t>steam_UK_GWR_Iron_DUKe_Class</t>
  </si>
  <si>
    <t>steam_Australia_Sidney_Railway_Locomotive_No1</t>
  </si>
  <si>
    <t>steam_USA_Central_Pacific_4_2_2</t>
  </si>
  <si>
    <t>steam_Netherlands_NS_700</t>
  </si>
  <si>
    <t>steam_South_Africa_Natal_Government_Railways_2_6_0T</t>
  </si>
  <si>
    <t>steam_Australia_NSWGR_Z25_Class</t>
  </si>
  <si>
    <t>steam_Canada_Canadian_Pacific_374</t>
  </si>
  <si>
    <t>steam_South_Africa_PPR_35_tonner_4_6_0T</t>
  </si>
  <si>
    <t>steam_Spain_RENFE_Class_040</t>
  </si>
  <si>
    <t>steam_Germany_Saxon_IV_K</t>
  </si>
  <si>
    <t>steam_Germany_Prussian_S_3</t>
  </si>
  <si>
    <t>steam_Norway_NSB_Class_XXI</t>
  </si>
  <si>
    <t>steam_USA_PRR_D16</t>
  </si>
  <si>
    <t>steam_Netherlands_NS_8100</t>
  </si>
  <si>
    <t>steam_South_Africa_SAR_MD_Class</t>
  </si>
  <si>
    <t>steam_Angola_South_West_African_2_8_0</t>
  </si>
  <si>
    <t>steam_UK_LNER_N7</t>
  </si>
  <si>
    <t>steam_Germany_Saxon_XX_HV</t>
  </si>
  <si>
    <t>steam_Belgium_NMBS_Type_7</t>
  </si>
  <si>
    <t>steam_Ireland_DSER_15</t>
  </si>
  <si>
    <t>steam_USA_Sierra_Railroad_28</t>
  </si>
  <si>
    <t>steam_Canada_CN_U_1_Class</t>
  </si>
  <si>
    <t>steam_India_Indian_Railways_XB_Class</t>
  </si>
  <si>
    <t>steam_Iraq_Iraqi_State_Railways_PC_Class</t>
  </si>
  <si>
    <t>steam_Egypt_ENR_1100</t>
  </si>
  <si>
    <t>steam_UK_GWR_1600_Class</t>
  </si>
  <si>
    <t>steam_Australia_Victorian_Railways_R_Class</t>
  </si>
  <si>
    <t>steam_Germany_DB_9977_79</t>
  </si>
  <si>
    <t>steam_Germany_DB_18_201</t>
  </si>
  <si>
    <t>steam_New_Zealand_NZR_WAB</t>
  </si>
  <si>
    <t>steam_Australia_NSWGR_D57</t>
  </si>
  <si>
    <t>steam_Australia_South_Australian_Railways_520</t>
  </si>
  <si>
    <t>steam_Australia_NSWGR_AD60</t>
  </si>
  <si>
    <t>steam_Uruguay_AFE_N1_2_6_0</t>
  </si>
  <si>
    <t>steam_Argentina_FCCA_PS11</t>
  </si>
  <si>
    <t>steam_South_Africa_Harbour_Board_EL_0_4_0</t>
  </si>
  <si>
    <t>steam_Mozambique_Beira_Railway_BR6_F2_Falcon</t>
  </si>
  <si>
    <t>steam_Eritrea_Eritrean_Railway_R440</t>
  </si>
  <si>
    <t>steam_Kenya_East_African_Railway_23</t>
  </si>
  <si>
    <t>steam_Kenya_East_African_Railway_21</t>
  </si>
  <si>
    <t>steam_Zimbabwe_Zimbabwe_Railways_15</t>
  </si>
  <si>
    <t>steam_South_Africa_SAR_GMA_4_8_2_2_8_4</t>
  </si>
  <si>
    <t>steam_Kenya_East_African_Railway_31</t>
  </si>
  <si>
    <t>steam_India_Fairy_Queen</t>
  </si>
  <si>
    <t>steam_India_DHR_B</t>
  </si>
  <si>
    <t>steam_China_China_Railways_H</t>
  </si>
  <si>
    <t>steam_Russia_RZD_U</t>
  </si>
  <si>
    <t>steam_Russia_RZD_E</t>
  </si>
  <si>
    <t>steam_Israel_Israel_Railways_H</t>
  </si>
  <si>
    <t>steam_Italy_FS_480</t>
  </si>
  <si>
    <t>steam_Italy_FS_691</t>
  </si>
  <si>
    <t>steam_Greece_SEK_Lb</t>
  </si>
  <si>
    <t>steam_Albania_HSH_01</t>
  </si>
  <si>
    <t>steam_Spain_RENFE_242F</t>
  </si>
  <si>
    <t>steam_Czech_Republic_CD_5341</t>
  </si>
  <si>
    <t>steam_Poland_PKP_Ok22</t>
  </si>
  <si>
    <t>steam_Croatia_HZ_11</t>
  </si>
  <si>
    <t>steam_Hungary_MAV_242</t>
  </si>
  <si>
    <t>steam_Czech_Republic_CD_4590</t>
  </si>
  <si>
    <t>steam_Poland_PKP_OI49</t>
  </si>
  <si>
    <t>steam_Austria_KKStB_310</t>
  </si>
  <si>
    <t>steam_USA_Southern_Pacific_GS_4_Daylight</t>
  </si>
  <si>
    <t>steam_Ireland_GS_WR_101</t>
  </si>
  <si>
    <t>steam_USA_NYC_H_6A_Light_Mikado</t>
  </si>
  <si>
    <t>steam_Argentina_FCGR_315</t>
  </si>
  <si>
    <t>steam_Australia_NSWGR_C35</t>
  </si>
  <si>
    <t>steam_Belgium_NMBS_SNCB_Type_29</t>
  </si>
  <si>
    <t>steam_Chile_FCAB_4_8_2</t>
  </si>
  <si>
    <t>steam_China_Railways_QJ</t>
  </si>
  <si>
    <t>diesel_Germany_DB_Kof_II</t>
  </si>
  <si>
    <t>diesel_USA_CNJ_ALCo_GE_IR_Boxcab</t>
  </si>
  <si>
    <t>diesel_Netherlands_NS_200</t>
  </si>
  <si>
    <t>diesel_Germany_DB_270</t>
  </si>
  <si>
    <t>diesel_Switzerland_SBB_Am_4_6</t>
  </si>
  <si>
    <t>diesel_Australia_NSWGR_79</t>
  </si>
  <si>
    <t>diesel_USA_Western_Pacific_ALCO_S_2</t>
  </si>
  <si>
    <t>diesel_USA_AT_SF_EMD_F3</t>
  </si>
  <si>
    <t>diesel_USA_UP_EMD_E8</t>
  </si>
  <si>
    <t>diesel_Brazil_EFCB_ALCO_RS_3</t>
  </si>
  <si>
    <t>diesel_Netherlands_NS_600</t>
  </si>
  <si>
    <t>diesel_USA_Pennsylvania_Railroad_RF_16_Sharknose</t>
  </si>
  <si>
    <t>diesel_Uruguay_AFE_1500</t>
  </si>
  <si>
    <t>diesel_Canada_CPR_Trainmaster</t>
  </si>
  <si>
    <t>diesel_Liberia_Liberia_Railways_Class_08</t>
  </si>
  <si>
    <t>diesel_Austria_OBB_2060</t>
  </si>
  <si>
    <t>diesel_Canada_CNR_SW1200</t>
  </si>
  <si>
    <t>diesel_Canada_VIA_Rail_FP9</t>
  </si>
  <si>
    <t>diesel_Hungary_MAV_M44</t>
  </si>
  <si>
    <t>diesel_Hungary_MAV_M28</t>
  </si>
  <si>
    <t>diesel_Belgium_NMBS_SNCB_83</t>
  </si>
  <si>
    <t>diesel_Germany_DB_220</t>
  </si>
  <si>
    <t>diesel_USA_Amtrak_FL9</t>
  </si>
  <si>
    <t>diesel_Czech_Republic_CD_720_ChME2</t>
  </si>
  <si>
    <t>diesel_Finland_VR_Dr12</t>
  </si>
  <si>
    <t>diesel_Romania_CFR_060_DA</t>
  </si>
  <si>
    <t>diesel_Brazil_BF_EMD_GL8</t>
  </si>
  <si>
    <t>diesel_Brazil_EFVM_ML4000</t>
  </si>
  <si>
    <t>diesel_Russia_RZD_TEP60</t>
  </si>
  <si>
    <t>diesel_Belgium_NMBS_SNCB_62</t>
  </si>
  <si>
    <t>diesel_Denmark_DSB_MaK_100</t>
  </si>
  <si>
    <t>diesel_India_Indian_Railways_WDM_2</t>
  </si>
  <si>
    <t>diesel_UK_BR_14</t>
  </si>
  <si>
    <t>diesel_Russia_RZD_ChME3</t>
  </si>
  <si>
    <t>diesel_Argentina_MF_GM_EMD_J16CW_AC</t>
  </si>
  <si>
    <t>diesel_Russia_RZD_M62</t>
  </si>
  <si>
    <t>diesel_Australia_NSWGR_422</t>
  </si>
  <si>
    <t>diesel_Egypt_ENR_G22W</t>
  </si>
  <si>
    <t>diesel_USA_UP_EMD_DDA40X</t>
  </si>
  <si>
    <t>diesel_Australia_Queensland_Rail_2100</t>
  </si>
  <si>
    <t>diesel_Croatia_HZ_2062</t>
  </si>
  <si>
    <t>diesel_Sweden_SJ_V4</t>
  </si>
  <si>
    <t>diesel_Canada_CNR_MLW_M420W</t>
  </si>
  <si>
    <t>diesel_China_China_Railways_DFH3</t>
  </si>
  <si>
    <t>diesel_Panama_Panama_Canal_Railway_EMD_F40PH</t>
  </si>
  <si>
    <t>diesel_Portugal_CP_1900</t>
  </si>
  <si>
    <t>diesel_Finland_VR_Dr16</t>
  </si>
  <si>
    <t>diesel_Russia_RZD_TEP80</t>
  </si>
  <si>
    <t>diesel_Australia_Australian_National_AN</t>
  </si>
  <si>
    <t>diesel_USA_Amtrak_P42DC_Genesis</t>
  </si>
  <si>
    <t>diesel_Turkey_TCDD_DH7000</t>
  </si>
  <si>
    <t>diesel_Argentina_MF_GE_U20C</t>
  </si>
  <si>
    <t>diesel_Belgium_NMBS_SNCB_7800</t>
  </si>
  <si>
    <t>diesel_UK_BR_66</t>
  </si>
  <si>
    <t>diesel_UK_BR_67</t>
  </si>
  <si>
    <t>diesel_Iran_RAI_DE43CA_Prima</t>
  </si>
  <si>
    <t>diesel_Ukraine_UZ_TEP150</t>
  </si>
  <si>
    <t>diesel_China_China_Railways_HXN5</t>
  </si>
  <si>
    <t>diesel_Germany_DB_261_Gravita_10BB</t>
  </si>
  <si>
    <t>diesel_Russia_RZD_GT1</t>
  </si>
  <si>
    <t>diesel_China_MTR_8000</t>
  </si>
  <si>
    <t>diesel_Germany_HVLE_V490</t>
  </si>
  <si>
    <t>diesel_Russia_RZD_Emch_3</t>
  </si>
  <si>
    <t>diesel_Canada_CNR_9000</t>
  </si>
  <si>
    <t>diesel_UK_LMS_7051_Diesel_Shunter</t>
  </si>
  <si>
    <t>diesel_USA_Rock_Island_EMC_TA</t>
  </si>
  <si>
    <t>diesel_USA_NYC_Baldwin_VO_660</t>
  </si>
  <si>
    <t>diesel_UK_BR_Class_D3_7</t>
  </si>
  <si>
    <t>diesel_Australia_Queensland_Railways_DL_Class</t>
  </si>
  <si>
    <t>diesel_USA_PRR_FM_H_10_44</t>
  </si>
  <si>
    <t>diesel_Algeria_SNTF_Baldwin_DRS6_4_1000</t>
  </si>
  <si>
    <t>diesel_Ireland_CIE_113</t>
  </si>
  <si>
    <t>diesel_Brazil_EFC_3300_Baldwin_AS_616</t>
  </si>
  <si>
    <t>diesel_Mexico_CHP_500_FM_H_16_44</t>
  </si>
  <si>
    <t>diesel_Australia_South_Australian_Railways_900</t>
  </si>
  <si>
    <t>diesel_Sri_Lanka_Sri_Lanka_Railways_M2</t>
  </si>
  <si>
    <t>diesel_Ireland_CIE_001</t>
  </si>
  <si>
    <t>diesel_Italy_FS_D341</t>
  </si>
  <si>
    <t>diesel_Australia_NSWGR_44</t>
  </si>
  <si>
    <t>diesel_Zimbabwe_Zimbabwe_Railways_DH_1</t>
  </si>
  <si>
    <t>diesel_South_Korea_Korail_6000_EMD_SD18</t>
  </si>
  <si>
    <t>diesel_Italy_FS_D345</t>
  </si>
  <si>
    <t>diesel_Norway_NSB_Di4</t>
  </si>
  <si>
    <t>diesel_China_China_Railways_DF8</t>
  </si>
  <si>
    <t>diesel_Australia_Pacific_National_G_Class</t>
  </si>
  <si>
    <t>diesel_UK_BR_60</t>
  </si>
  <si>
    <t>diesel_Australia_Westrail_P_Class</t>
  </si>
  <si>
    <t>diesel_Saudi_Arabia_Saudi_Railways_4000_EMD_SD70ACS</t>
  </si>
  <si>
    <t>diesel_Ireland_IE_201</t>
  </si>
  <si>
    <t>diesel_USA_Metrolink_EMD_F59PH</t>
  </si>
  <si>
    <t>diesel_France_SNCF_461000</t>
  </si>
  <si>
    <t>diesel_Italy_ACT_D_200</t>
  </si>
  <si>
    <t>diesel_Canada_GO_Transit_MP40PH_3C</t>
  </si>
  <si>
    <t>diesel_Spain_RENFE_Class_334</t>
  </si>
  <si>
    <t>diesel_Indonesia_Indonesia_Railways_CC300</t>
  </si>
  <si>
    <t>diesel_Argentina_Great_Southern_Railway_DH501</t>
  </si>
  <si>
    <t>diesel_Brazil_EE_VFFLB</t>
  </si>
  <si>
    <t>diesel_Chile_EFE_GE_U5B</t>
  </si>
  <si>
    <t>diesel_Peru_Ferrocarril_Central_Andino_Alco_RSD_39</t>
  </si>
  <si>
    <t>diesel_Brazil_EFVM_EMD_DDM45</t>
  </si>
  <si>
    <t>diesel_Peru_Ferrocarril_Central_Andino_GE_C39_8</t>
  </si>
  <si>
    <t>diesel_Argentina_SOFSE_3193</t>
  </si>
  <si>
    <t>diesel_Argentina_SOFSE_CNR_CKD8</t>
  </si>
  <si>
    <t>diesel_South_Africa_SAR_DS</t>
  </si>
  <si>
    <t>diesel_Algeria_SNTF_040_DG</t>
  </si>
  <si>
    <t>diesel_Tunisia_SNCFT_040_DF</t>
  </si>
  <si>
    <t>diesel_Egypt_ENR_TE114E</t>
  </si>
  <si>
    <t>diesel_Tunisia_SNCFT_040_DJ</t>
  </si>
  <si>
    <t>diesel_Morocco_ONCF_DF_100</t>
  </si>
  <si>
    <t>diesel_Ukraine_UZ_TEP10L</t>
  </si>
  <si>
    <t>diesel_Belarus_BCh_2TE10M</t>
  </si>
  <si>
    <t>diesel_Poland_PKP_SP32</t>
  </si>
  <si>
    <t>diesel_Ukraine_UZ_2TE126</t>
  </si>
  <si>
    <t>diesel_Ukraine_UZ_2TE10Ut</t>
  </si>
  <si>
    <t>diesel_Serbia_ZS_621</t>
  </si>
  <si>
    <t>diesel_Italy_FS_207</t>
  </si>
  <si>
    <t>diesel_Russia_RZD_Db</t>
  </si>
  <si>
    <t>diesel_Portugal_CP_1500</t>
  </si>
  <si>
    <t>diesel_France_SNCF_BB_67400</t>
  </si>
  <si>
    <t>diesel_Netherlands_NS_6400</t>
  </si>
  <si>
    <t>diesel_Egypt_ENR_2400_GE_ES40ACi</t>
  </si>
  <si>
    <t>diesel_South_Africa_SAR_Afro_4000</t>
  </si>
  <si>
    <t>diesel_Spain_RENFE_308</t>
  </si>
  <si>
    <t>diesel_Australia_Pacific_National_XR_XRB</t>
  </si>
  <si>
    <t>diesel_Norway_CargoNet_312</t>
  </si>
  <si>
    <t>diesel_Australia_Pacific_National_92</t>
  </si>
  <si>
    <t>diesel_UK_BR_68</t>
  </si>
  <si>
    <t>diesel_USA_Amtrak_Charger</t>
  </si>
  <si>
    <t>mtro_Argentina_Le_Brugeoise</t>
  </si>
  <si>
    <t>PASSENGERS_ONLY</t>
  </si>
  <si>
    <t>METRO</t>
  </si>
  <si>
    <t>mtro_USA_NY_R1</t>
  </si>
  <si>
    <t>mtro_Germany_DB_ET_171</t>
  </si>
  <si>
    <t>mtro_France_Paris_M2_840</t>
  </si>
  <si>
    <t>mtro_Portugal_Lisbon_ML7</t>
  </si>
  <si>
    <t>mtro_Hungary_Budapest_Ev3_200</t>
  </si>
  <si>
    <t>mtro_Norway_Oslo_T1000</t>
  </si>
  <si>
    <t>mtro_Canada_Toronto_H_series</t>
  </si>
  <si>
    <t>mtro_Germany_Munchen_MVG_A2</t>
  </si>
  <si>
    <t>mtro_USA_NY_R44</t>
  </si>
  <si>
    <t>mtro_Netherlands_Amsterdam_Type_M1</t>
  </si>
  <si>
    <t>mtro_Sweden_Stockholm_C8</t>
  </si>
  <si>
    <t>mtro_North_Korea_Pyongyang_D_stock</t>
  </si>
  <si>
    <t>mtro_Finland_Helsinki_M100</t>
  </si>
  <si>
    <t>mtro_Brazil_Sao_Paulo_Serie_5500</t>
  </si>
  <si>
    <t>mtro_Russia_Moscow_81_720</t>
  </si>
  <si>
    <t>mtro_Japan_Tokyo_S01</t>
  </si>
  <si>
    <t>mtro_Egypt_Cairo_1987_Stock</t>
  </si>
  <si>
    <t>mtro_UK_DLR_P86</t>
  </si>
  <si>
    <t>mtro_Russia_Moscow_81_7175M</t>
  </si>
  <si>
    <t>mtro_USA_Boston_01800</t>
  </si>
  <si>
    <t>mtro_USA_LA_A650</t>
  </si>
  <si>
    <t>mtro_Taiwan_Taipei_C301</t>
  </si>
  <si>
    <t>mtro_Netherlands_Amsterdam_CAF_90</t>
  </si>
  <si>
    <t>mtro_France_Paris_MP89</t>
  </si>
  <si>
    <t>mtro_Russia_Moscow_81_740</t>
  </si>
  <si>
    <t>mtro_Singapore_Singapore_C830_Metropolis</t>
  </si>
  <si>
    <t>mtro_Norway_Oslo_MX3000</t>
  </si>
  <si>
    <t>mtro_Japan_Osaka_30000</t>
  </si>
  <si>
    <t>mtro_Singapore_Singapore_C151A</t>
  </si>
  <si>
    <t>mtro_USA_Washington_7000</t>
  </si>
  <si>
    <t>mtro_Greece_Thessaloniki_2014</t>
  </si>
  <si>
    <t>mtro_Germany_Berlin_U_Bahn_A_I</t>
  </si>
  <si>
    <t>mtro_USA_NY_Hedley_Hi_V</t>
  </si>
  <si>
    <t>mtro_Japan_Osaka_1000</t>
  </si>
  <si>
    <t>mtro_Russia_Moscow_Type_A</t>
  </si>
  <si>
    <t>mtro_USA_NY_R10</t>
  </si>
  <si>
    <t>mtro_Italy_Rome_MR_100</t>
  </si>
  <si>
    <t>mtro_Russia_Moscow_Type_D</t>
  </si>
  <si>
    <t>mtro_Netherlands_Rotterdam_MG2_Type_M</t>
  </si>
  <si>
    <t>mtro_Czech_Republic_Prague_ECS_Set</t>
  </si>
  <si>
    <t>mtro_Argentina_Buenos_Aires_Serie_1200</t>
  </si>
  <si>
    <t>mtro_Chile_Santiago_NS_93</t>
  </si>
  <si>
    <t>mtro_Chile_Santiago_AS_2002</t>
  </si>
  <si>
    <t>mtro_Brazil_Recife_VLT_Mobile_3</t>
  </si>
  <si>
    <t>mtro_Spain_Madrid_Series_5000</t>
  </si>
  <si>
    <t>mtro_Italy_Rome_S_300</t>
  </si>
  <si>
    <t>mtro_Algeria_Algiers_CAF_2011_Stock</t>
  </si>
  <si>
    <t>mtro_Germany_Berlin_U_Bahn_IK</t>
  </si>
  <si>
    <t>mtro_USA_Chicago_L_6000</t>
  </si>
  <si>
    <t>mtro_UK_London_1903_Stock</t>
  </si>
  <si>
    <t>mtro_UK_London_1938_Stock</t>
  </si>
  <si>
    <t>electric_UK_NER_EF1</t>
  </si>
  <si>
    <t>electric_Japan_JNR_EB10</t>
  </si>
  <si>
    <t>electric_Japan_JNR_EF55</t>
  </si>
  <si>
    <t>electric_Netherlands_NS_1000</t>
  </si>
  <si>
    <t>electric_Netherlands_NS_1600</t>
  </si>
  <si>
    <t>electric_Australia_Victorian_Railways_E_Class</t>
  </si>
  <si>
    <t>electric_UK_NER_ES1</t>
  </si>
  <si>
    <t>electric_USA_NYC_S_motor</t>
  </si>
  <si>
    <t>electric_Japan_Aichi_Railroad_DeKi_400</t>
  </si>
  <si>
    <t>electric_India_Indian_Railways_WCG_1</t>
  </si>
  <si>
    <t>electric_France_SNCF_BB_9004</t>
  </si>
  <si>
    <t>electric_Indonesia_ESS_3200</t>
  </si>
  <si>
    <t>electric_UK_BR_77_Metrovic</t>
  </si>
  <si>
    <t>electric_UK_NER_EE1</t>
  </si>
  <si>
    <t>electric_USA_Milwaukee_Road_ES_2</t>
  </si>
  <si>
    <t>electric_USA_Milwaukee_Road_EP_2_Bipolar</t>
  </si>
  <si>
    <t>electric_Chile_EFE_E_28</t>
  </si>
  <si>
    <t>electric_Italy_FS_E428</t>
  </si>
  <si>
    <t>electric_South_Africa_SAR_ES_Class</t>
  </si>
  <si>
    <t>electric_Poland_PKP_EU06</t>
  </si>
  <si>
    <t>electric_Poland_PKP_ET41</t>
  </si>
  <si>
    <t>electric_Poland_PKP_EP09</t>
  </si>
  <si>
    <t>electric_Slovakia_ZSSK_162</t>
  </si>
  <si>
    <t>electric_Italy_FS_E646</t>
  </si>
  <si>
    <t>electric_Italy_FS_E424</t>
  </si>
  <si>
    <t>electric_Italy_FS_E444</t>
  </si>
  <si>
    <t>electric_Italy_FS_E633</t>
  </si>
  <si>
    <t>electric_Belgium_NMBS_Class_255</t>
  </si>
  <si>
    <t>electric_Spain_RENFE_250</t>
  </si>
  <si>
    <t>electric_Chile_EFE_E_29</t>
  </si>
  <si>
    <t>electric_Chile_EFE_E_17</t>
  </si>
  <si>
    <t>electric_Morocco_ONCF_E_700</t>
  </si>
  <si>
    <t>electric_India_Indian_Railways_WCM_1</t>
  </si>
  <si>
    <t>electric_South_Africa_SAR_E38</t>
  </si>
  <si>
    <t>electric_Chile_EFE_E_269</t>
  </si>
  <si>
    <t>electric_Czech_Republic_CD_363</t>
  </si>
  <si>
    <t>electric_Norway_NSB_EL7</t>
  </si>
  <si>
    <t>electric_USA_Pennsylvania_Railroad_FF_1</t>
  </si>
  <si>
    <t>electric_Austria_OBB_1161</t>
  </si>
  <si>
    <t>electric_Germany_DB_169</t>
  </si>
  <si>
    <t>electric_Norway_NSB_EL10</t>
  </si>
  <si>
    <t>electric_Germany_DB_104</t>
  </si>
  <si>
    <t>electric_USA_Pennsylvania_Railroad_GG_1</t>
  </si>
  <si>
    <t>electric_Austria_OBB_1020_Crocodile</t>
  </si>
  <si>
    <t>electric_Germany_DB_1031</t>
  </si>
  <si>
    <t>electric_Germany_DB_E_919</t>
  </si>
  <si>
    <t>electric_Switzerland_BLS_Ce_4_4</t>
  </si>
  <si>
    <t>electric_Switzerland_SBB_Ae_6_6</t>
  </si>
  <si>
    <t>electric_Switzerland_SBB_Re460_Lok_2000</t>
  </si>
  <si>
    <t>electric_Switzerland_SBB_Eem_923</t>
  </si>
  <si>
    <t>electric_Austria_OBB_1044</t>
  </si>
  <si>
    <t>electric_Austria_OBB_1063</t>
  </si>
  <si>
    <t>electric_Sweden_MTAB_Dm3</t>
  </si>
  <si>
    <t>electric_Sweden_MTAB_IORE</t>
  </si>
  <si>
    <t>electric_Sweden_SJ_O_Class</t>
  </si>
  <si>
    <t>electric_Sweden_SJ_F_Class</t>
  </si>
  <si>
    <t>electric_Norway_NSB_EL17</t>
  </si>
  <si>
    <t>electric_Germany_Prussian_ES_6</t>
  </si>
  <si>
    <t>electric_USA_Virginian_Railway_EL_2B</t>
  </si>
  <si>
    <t>electric_USA_GN_W_1</t>
  </si>
  <si>
    <t>electric_USA_PRR_B1</t>
  </si>
  <si>
    <t>electric_Australia_Aurizon_E40_AG_V1</t>
  </si>
  <si>
    <t>electric_China_China_Railways_SS6</t>
  </si>
  <si>
    <t>electric_China_China_Railways_SS3</t>
  </si>
  <si>
    <t>electric_China_China_Railways_HXD3</t>
  </si>
  <si>
    <t>electric_China_China_Railways_HXD1D</t>
  </si>
  <si>
    <t>electric_China_China_Railways_6K</t>
  </si>
  <si>
    <t>electric_USA_PRR_E44</t>
  </si>
  <si>
    <t>electric_Croatia_HZ_1141</t>
  </si>
  <si>
    <t>electric_Hungary_MAV_Class_V43</t>
  </si>
  <si>
    <t>electric_Portugal_CP_2500</t>
  </si>
  <si>
    <t>electric_Portugal_CP_2600</t>
  </si>
  <si>
    <t>electric_South_Africa_SAR_20E</t>
  </si>
  <si>
    <t>electric_South_Korea_Korail_8200</t>
  </si>
  <si>
    <t>electric_Ukraine_UZ_DS3</t>
  </si>
  <si>
    <t>electric_Czech_Republic_CD_S499</t>
  </si>
  <si>
    <t>electric_Italy_FS_E491</t>
  </si>
  <si>
    <t>electric_Macedonia_Macedonian_Railways_462</t>
  </si>
  <si>
    <t>electric_Morocco_ONCFM_E_500</t>
  </si>
  <si>
    <t>electric_UK_BR_85</t>
  </si>
  <si>
    <t>electric_Mexico_FNM_GE_E60C_2</t>
  </si>
  <si>
    <t>electric_Morocco_ONCF_E_1400_Prima_II</t>
  </si>
  <si>
    <t>electric_New_Zealand_NZR_EA</t>
  </si>
  <si>
    <t>electric_Canada_BC_Rail_GF6C</t>
  </si>
  <si>
    <t>electric_France_SNCF_BB_22200</t>
  </si>
  <si>
    <t>electric_France_SNCF_BB_26000</t>
  </si>
  <si>
    <t>electric_France_SNCF_BB_25500</t>
  </si>
  <si>
    <t>electric_Germany_DB_182_ES64U_Taurus</t>
  </si>
  <si>
    <t>electric_Japan_JR_EH500</t>
  </si>
  <si>
    <t>electric_USA_Amtrak_EMD_AEM_7</t>
  </si>
  <si>
    <t>electric_USA_Amtrak_HHP_8</t>
  </si>
  <si>
    <t>electric_Czech_Republic_CD_380</t>
  </si>
  <si>
    <t>electric_Spain_RENFE_252</t>
  </si>
  <si>
    <t>electric_Germany_DB_185_TRAXX_F140</t>
  </si>
  <si>
    <t>electric_Italy_FS_E550</t>
  </si>
  <si>
    <t>electric_Japan_JNR_EF81</t>
  </si>
  <si>
    <t>electric_UK_BR_92</t>
  </si>
  <si>
    <t>electric_USA_Amtrak_ACS_64</t>
  </si>
  <si>
    <t>electric_France_SNCF_CC_40100</t>
  </si>
  <si>
    <t>electric_Belgium_NMBS_SNCB_13_HLE</t>
  </si>
  <si>
    <t>dmu_Germany_DB_VT_040_Flying_Hamburger</t>
  </si>
  <si>
    <t>INTERCITY</t>
  </si>
  <si>
    <t>dmu_Australia_NSWGR_Silver_City_Comet</t>
  </si>
  <si>
    <t>dmu_Czech_Republic_CD_M131</t>
  </si>
  <si>
    <t>dmu_Germany_DB_VT_085</t>
  </si>
  <si>
    <t>dmu_Australia_Queensland_Rail_400</t>
  </si>
  <si>
    <t>dmu_Germany_DB_VT_115</t>
  </si>
  <si>
    <t>dmu_Netherlands_NS_Plan_U_DE_III</t>
  </si>
  <si>
    <t>dmu_Canada_CNR_Turbo_Train</t>
  </si>
  <si>
    <t>dmu_Serbia_ZS_811</t>
  </si>
  <si>
    <t>dmu_UK_BR_43_IC125</t>
  </si>
  <si>
    <t>dmu_Canada_VIA_Rail_LRC</t>
  </si>
  <si>
    <t>dmu_Sweden_SJ_Y2</t>
  </si>
  <si>
    <t>dmu_Spain_RENFE_594_TRD</t>
  </si>
  <si>
    <t>dmu_UK_BR_168</t>
  </si>
  <si>
    <t>dmu_Germany_DB_612_Regio_Swinger</t>
  </si>
  <si>
    <t>dmu_Germany_DB_642_Desiro</t>
  </si>
  <si>
    <t>dmu_Denmark_Arriva_Lint_41</t>
  </si>
  <si>
    <t>dmu_Norway_NSB_BM_93_Talent</t>
  </si>
  <si>
    <t>dmu_Australia_Transwa_Prospector</t>
  </si>
  <si>
    <t>dmu_Australia_CityRail_Hunter_Railcar</t>
  </si>
  <si>
    <t>dmu_Russia_RZD_RA2</t>
  </si>
  <si>
    <t>dmu_Denmark_DSB_IC4</t>
  </si>
  <si>
    <t>dmu_Croatia_HZ_7022</t>
  </si>
  <si>
    <t>dmu_Turkey_TCDD_MT_5500</t>
  </si>
  <si>
    <t>dmu_Japan_JNR_KiHa_181</t>
  </si>
  <si>
    <t>dmu_Czech_Republic_CD_814</t>
  </si>
  <si>
    <t>dmu_UK_BR_150_0_Sprinter</t>
  </si>
  <si>
    <t>dmu_Iran_RAI_141_Pacer</t>
  </si>
  <si>
    <t>dmu_Israel_Israel_Railways_IC3</t>
  </si>
  <si>
    <t>dmu_Australia_TransAdelaide_3100</t>
  </si>
  <si>
    <t>dmu_Australia_NSWGR_Xplorer</t>
  </si>
  <si>
    <t>dmu_Japan_JR_KiHa_189</t>
  </si>
  <si>
    <t>dmu_Sri_Lanka_Sri_Lanka_Railways_S11</t>
  </si>
  <si>
    <t>dmu_Slovakia_ZSSK_861</t>
  </si>
  <si>
    <t>dmu_Chile_EFE_TLD_500</t>
  </si>
  <si>
    <t>dmu_Cameroon_Camrail_ZE_500</t>
  </si>
  <si>
    <t>dmu_UK_BR_251_Blue_Pullman</t>
  </si>
  <si>
    <t>dmu_Australia_WAGR_ADK_ADB</t>
  </si>
  <si>
    <t>dmu_France_SNCF_X_4630</t>
  </si>
  <si>
    <t>dmu_France_SNCF_T_2000</t>
  </si>
  <si>
    <t>dmu_Netherlands_NS_DH2</t>
  </si>
  <si>
    <t>dmu_Germany_DB_6282</t>
  </si>
  <si>
    <t>dmu_Algeria_SNTF_ZZ_2200_Autorail</t>
  </si>
  <si>
    <t>dmu_Tunisia_SNCFT_AMT_800</t>
  </si>
  <si>
    <t>dmu_Ghana_Ghana_Railways_DEMU</t>
  </si>
  <si>
    <t>dmu_Australia_Queensland_Rail_Diesel_Tilt_Train</t>
  </si>
  <si>
    <t>dmu_Canada_UP_Express_Nippon_Sharyo_DMU</t>
  </si>
  <si>
    <t>dmu_Argentina_FCGU_CMM_400_2</t>
  </si>
  <si>
    <t>dmu_Italy_FS_ALn_442_448</t>
  </si>
  <si>
    <t>dmu_Portugal_CP_0400</t>
  </si>
  <si>
    <t>dmu_Portugal_CP_0600</t>
  </si>
  <si>
    <t>dmu_Spain_FEVE_2400_Apollos</t>
  </si>
  <si>
    <t>cargodmu_Germany_DB_691_CargoSprinter</t>
  </si>
  <si>
    <t>CONTAINER</t>
  </si>
  <si>
    <t>emu_Australia_Sydney_Trains_A_Set_Waratah</t>
  </si>
  <si>
    <t>emu_Denmark_DSB_S_Tog_II</t>
  </si>
  <si>
    <t>emu_Denmark_DSB_S_Tog_IV</t>
  </si>
  <si>
    <t>emu_Italy_ATAC_ECD_21_30</t>
  </si>
  <si>
    <t>emu_Netherlands_NS_Mat24</t>
  </si>
  <si>
    <t>emu_Netherlands_NS_Mat36</t>
  </si>
  <si>
    <t>emu_Netherlands_NS_Mat54</t>
  </si>
  <si>
    <t>emu_Netherlands_NS_Plan_Y</t>
  </si>
  <si>
    <t>emu_Netherlands_NS_ICM_4000</t>
  </si>
  <si>
    <t>emu_Netherlands_NS_DD_IRM_VIRM</t>
  </si>
  <si>
    <t>emu_Netherlands_NS_mDDm_390</t>
  </si>
  <si>
    <t>emu_Poland_PKP_EW90</t>
  </si>
  <si>
    <t>emu_Italy_FS_ETR200</t>
  </si>
  <si>
    <t>emu_Italy_FS_ETR300_Settebello</t>
  </si>
  <si>
    <t>emu_Italy_FS_ETR500</t>
  </si>
  <si>
    <t>emu_Italy_FS_ALe426</t>
  </si>
  <si>
    <t>emu_Morocco_ONCF_ZMC</t>
  </si>
  <si>
    <t>emu_Poland_PKP_EW54</t>
  </si>
  <si>
    <t>emu_Italy_FS_ALe_801</t>
  </si>
  <si>
    <t>emu_Austria_OBB_4030</t>
  </si>
  <si>
    <t>emu_Austria_OBB_4041</t>
  </si>
  <si>
    <t>emu_Austria_WESTbahn_4010_KISS</t>
  </si>
  <si>
    <t>emu_Germany_DB_ET420</t>
  </si>
  <si>
    <t>emu_Norway_NSB_BM73</t>
  </si>
  <si>
    <t>emu_Norway_NSB_BM65</t>
  </si>
  <si>
    <t>emu_Sweden_SJ_X2000</t>
  </si>
  <si>
    <t>emu_Switzerland_SBB_RABDe_510</t>
  </si>
  <si>
    <t>emu_Switzerland_SBB_RBDe_560</t>
  </si>
  <si>
    <t>emu_Switzerland_SBB_RABe_523_Flirt</t>
  </si>
  <si>
    <t>emu_USA_Amtrak_Budd_Metroliner</t>
  </si>
  <si>
    <t>emu_Germany_DB_403_ICE_3</t>
  </si>
  <si>
    <t>emu_Bulgaria_BDZ_10_Desiro</t>
  </si>
  <si>
    <t>emu_Finland_VR_Sm2</t>
  </si>
  <si>
    <t>emu_Finland_VR_Sm4</t>
  </si>
  <si>
    <t>emu_Hungary_MAV_BDVmot</t>
  </si>
  <si>
    <t>emu_Europe_Sureot</t>
  </si>
  <si>
    <t>emu_Japan_JNR_Shinkansen_Series_0</t>
  </si>
  <si>
    <t>emu_Japan_JR_Shinkansen_Series_700</t>
  </si>
  <si>
    <t>emu_Japan_JR_Shinkansen_Series_E1_Max</t>
  </si>
  <si>
    <t>emu_Luxembourg_CFL_2200_Coradia_Duplex</t>
  </si>
  <si>
    <t>emu_Macedonia_Macedonian_Railways_412</t>
  </si>
  <si>
    <t>emu_Romania_CFR_58</t>
  </si>
  <si>
    <t>emu_South_Africa_Gautrain_Electrostar</t>
  </si>
  <si>
    <t>emu_Turkey_TCDD_E8000</t>
  </si>
  <si>
    <t>emu_China_Railways_CHR380A</t>
  </si>
  <si>
    <t>emu_USA_PRR_MP54</t>
  </si>
  <si>
    <t>emu_Italy_NTV_AGV</t>
  </si>
  <si>
    <t>emu_Italy_NTV_AGV_Duplex</t>
  </si>
  <si>
    <t>emu_Netherlands_NS_Hispeed_V250_Albatros</t>
  </si>
  <si>
    <t>emu_Netherlands_NS_4800_HSA</t>
  </si>
  <si>
    <t>emu_Switzerland_SBB_Rae_TEE_II</t>
  </si>
  <si>
    <t>emu_USA_Erie_Lackawanna_MU_Cars</t>
  </si>
  <si>
    <t>emu_France_SNCF_TGV_Sud_Est</t>
  </si>
  <si>
    <t>emu_France_SNCF_TGV_Duplex</t>
  </si>
  <si>
    <t>emu_France_Thalys_PBKA</t>
  </si>
  <si>
    <t>emu_Czech_Republic_CD_680_Pendolino</t>
  </si>
  <si>
    <t>emu_Spain_RENFE_120</t>
  </si>
  <si>
    <t>emu_USA_Amtrak_Acela_Express</t>
  </si>
  <si>
    <t>singlemtro_USA_Brooklyn_Union_Gate_Car</t>
  </si>
  <si>
    <t>singlemtro_Hungary_Budapest_1894_Stock</t>
  </si>
  <si>
    <t>singlemtro_USA_Chicago_L_Northwest_Elevated_1907_Stock</t>
  </si>
  <si>
    <t>singlemtro_Germany_Berlin_U_Bahn_C_II</t>
  </si>
  <si>
    <t>rbm_World_Turbobus</t>
  </si>
  <si>
    <t>mglv_Germany_DB_182_ES64UM_Mutus</t>
  </si>
  <si>
    <t>mglv_China_Transrapid</t>
  </si>
  <si>
    <t>mglv_Japan_MLX01_901</t>
  </si>
  <si>
    <t>BOXCAR</t>
  </si>
  <si>
    <t>CARTRANSPORTER</t>
  </si>
  <si>
    <t>CENTERBEAM</t>
  </si>
  <si>
    <t>DOUBLECONTAINER</t>
  </si>
  <si>
    <t>FLAT_WAGON</t>
  </si>
  <si>
    <t>GONDOLA</t>
  </si>
  <si>
    <t>HEAVYFLAT</t>
  </si>
  <si>
    <t>HOPPER</t>
  </si>
  <si>
    <t>SILO</t>
  </si>
  <si>
    <t>SUPERHEAVY</t>
  </si>
  <si>
    <t>TANKER</t>
  </si>
  <si>
    <t>rbd_Japan_JR_Shikoku_1000</t>
  </si>
  <si>
    <t>rbd_Japan_JR_KiHa_E120</t>
  </si>
  <si>
    <t>rbd_Chile_EFE_Buscarril</t>
  </si>
  <si>
    <t>rbd_Argentina_FCPBA_M_Railcar</t>
  </si>
  <si>
    <t>rbd_Eritrea_Eritrean_Railway_A62_70_Littorina</t>
  </si>
  <si>
    <t>rbe_Switzerland_AB_CFe_3_3</t>
  </si>
  <si>
    <t>rbe_Switzerland_TPC_BVB_Be_2_2</t>
  </si>
  <si>
    <t>rbe_Switzerland_MVR_Beh_2_4</t>
  </si>
  <si>
    <t>rbe_Spain_Ferrocarril_de_Soller_1_3</t>
  </si>
  <si>
    <t>rbe_Japan_Choshi_DeHa_1000</t>
  </si>
  <si>
    <t>steam_Switzerland_RhB_G_3_4</t>
  </si>
  <si>
    <t>steam_Japan_JNR_Class_E10</t>
  </si>
  <si>
    <t>steam_Japan_JNR_7100</t>
  </si>
  <si>
    <t>steam_Japan_JNR_860</t>
  </si>
  <si>
    <t>steam_Japan_JNR_9600</t>
  </si>
  <si>
    <t>steam_Japan_JNR_D50</t>
  </si>
  <si>
    <t>diesel_Japan_JNR_DF50</t>
  </si>
  <si>
    <t>electric_Switzerland_RhB_DE_2_2</t>
  </si>
  <si>
    <t>electric_Japan_JNR_EH10</t>
  </si>
  <si>
    <t>electric_Japan_JNR_EF64</t>
  </si>
  <si>
    <t>electric_New_Zealand_NZR_EO_Class</t>
  </si>
  <si>
    <t>electric_Australia_NSWGR_71</t>
  </si>
  <si>
    <t>electric_South_Africa_SAR_4E</t>
  </si>
  <si>
    <t>electric_South_Africa_SAR_5E1</t>
  </si>
  <si>
    <t>electric_South_Africa_SAR_6E</t>
  </si>
  <si>
    <t>electric_Switzerland_RhB_Ge_4_4_I</t>
  </si>
  <si>
    <t>electric_Switzerland_RhB_Ge_6_6_Krokodil</t>
  </si>
  <si>
    <t>electric_Brasil_MRS_He_4_4</t>
  </si>
  <si>
    <t>electric_South_Africa_SAR_7E</t>
  </si>
  <si>
    <t>electric_South_Africa_SAR_11E</t>
  </si>
  <si>
    <t>electric_New_Zealand_TranzRail_EF</t>
  </si>
  <si>
    <t>emu_Japan_Odakyu_3100_Series_Romance</t>
  </si>
  <si>
    <t>emu_Japan_Odakyu_10000_Series_Romance</t>
  </si>
  <si>
    <t>emu_Australia_Sydney_Trains_S_Set</t>
  </si>
  <si>
    <t>emu_Australia_Sydney_Trains_OSCars</t>
  </si>
  <si>
    <t>emu_Australia_Victorian_Railways_Swing_Door</t>
  </si>
  <si>
    <t>emu_New_Zealand_NZR_EM_ET_Class</t>
  </si>
  <si>
    <t>emu_South_Africa_SAR_5M2</t>
  </si>
  <si>
    <t>emu_Chile_EFE_XTrapolis_100</t>
  </si>
  <si>
    <t>emu_Chile_EFE_AES_Railcar</t>
  </si>
  <si>
    <t>emu_Tunisia_SNCFT_YZ_E</t>
  </si>
  <si>
    <t>emu_Australia_Queensland_Rail_Tilt_Train</t>
  </si>
  <si>
    <t>electric_Russia_RZD_VL15</t>
  </si>
  <si>
    <t>electric_Russia_RZD_VL11</t>
  </si>
  <si>
    <t>electric_Russia_RZD_VL22M</t>
  </si>
  <si>
    <t>electric_Ukraine_UZ_DE1</t>
  </si>
  <si>
    <t>electric_Russia_RZD_ChS3</t>
  </si>
  <si>
    <t>electric_Ukraine_UZ_ChS7</t>
  </si>
  <si>
    <t>electric_Brasil_RFFSA_GE_C_C_4400</t>
  </si>
  <si>
    <t>electric_Russia_RZD_VL85</t>
  </si>
  <si>
    <t>electric_Russia_RZD_VL41</t>
  </si>
  <si>
    <t>electric_India_Indian_Railways_WAP_4</t>
  </si>
  <si>
    <t>electric_Finland_VR_Sr1</t>
  </si>
  <si>
    <t>electric_Kazakhstan_KTZ_KZ4A</t>
  </si>
  <si>
    <t>electric_Kazakhstan_KTZ_KZ8A</t>
  </si>
  <si>
    <t>electric_Russia_RZD_EP20</t>
  </si>
  <si>
    <t>rbd_Finland_VR_Dm7</t>
  </si>
  <si>
    <t>rbd_Russia_RZD_ACh2</t>
  </si>
  <si>
    <t>emu_Russia_RZD_ER200</t>
  </si>
  <si>
    <t>emu_Russia_RZD_S</t>
  </si>
  <si>
    <t>emu_Croatia_HZ_6112</t>
  </si>
  <si>
    <t>emu_Russia_RZD_ES1_Lastochka</t>
  </si>
  <si>
    <t>OPEN_WAGON</t>
  </si>
  <si>
    <t>MAIL_ONLY</t>
  </si>
  <si>
    <t>MAIL</t>
  </si>
  <si>
    <t>TRACK_TYPE_STANDARD_GAUGE_RAILTYPE_OHLE</t>
  </si>
  <si>
    <t>TRACK_TYPE_STANDARD_GAUGE_RAILTYPE_25KV</t>
  </si>
  <si>
    <t>TRACK_TYPE_STANDARD_GAUGE_RAILTYPE_15KV</t>
  </si>
  <si>
    <t>TRACK_TYPE_STANDARD_GAUGE_RAILTYPE_DUAL</t>
  </si>
  <si>
    <t>TRACK_TYPE_STANDARD_GAUGE_RAILTYPE_NONE</t>
  </si>
  <si>
    <t>TRACK_TYPE_NARROW_GAUGE_RAILTYPE_1500V</t>
  </si>
  <si>
    <t>TRACK_TYPE_BROAD_GAUGE_RAILTYPE_1500V</t>
  </si>
  <si>
    <t>TRACK_TYPE_MONO</t>
  </si>
  <si>
    <t>TRACK_TYPE_MGLV</t>
  </si>
  <si>
    <t>TRACK_TYPE_MTRO</t>
  </si>
  <si>
    <t>REGION1</t>
  </si>
  <si>
    <t>REGION2</t>
  </si>
  <si>
    <t>REGION3</t>
  </si>
  <si>
    <t>SAVE_TO</t>
  </si>
  <si>
    <t>AIR_DRAG_COEFFICIENT</t>
  </si>
  <si>
    <t>BITMASK_VEHICLE_INFO</t>
  </si>
  <si>
    <t>DEFAULT_BITMASK</t>
  </si>
  <si>
    <t>CARGO_AGE_PERIOD</t>
  </si>
  <si>
    <t>DEFAULT_CARGO_AGE_PERIOD</t>
  </si>
  <si>
    <t>ITEM</t>
  </si>
  <si>
    <t>NAME</t>
  </si>
  <si>
    <t>MISC_FLAGS_TRAIN_FLAG_2CC</t>
  </si>
  <si>
    <t>MISC_FLAGS_TRAIN_FLAG_MU</t>
  </si>
  <si>
    <t>MISC_FLAGS_TRAIN_FLAG_AUTOREFIT</t>
  </si>
  <si>
    <t>POWER_PER_WAGON</t>
  </si>
  <si>
    <t>DEFAULT_POWER_PER_WAGON</t>
  </si>
  <si>
    <t>REFIT_COST</t>
  </si>
  <si>
    <t>RELIABILITY_DECAY</t>
  </si>
  <si>
    <t>RETIRE_EARLY</t>
  </si>
  <si>
    <t>DEFAULT_REFIT_COST</t>
  </si>
  <si>
    <t>DEFAULT_RELIABILITY_DECAY</t>
  </si>
  <si>
    <t>DEFAULT_RETIRE_EARLY</t>
  </si>
  <si>
    <t>RUNNING_COST_BASE</t>
  </si>
  <si>
    <t>RUNNING_COST_ELECTRIC</t>
  </si>
  <si>
    <t>RUNNING_COST_STEAM</t>
  </si>
  <si>
    <t>RUNNING_COST_DIESEL</t>
  </si>
  <si>
    <t>VISUAL_EFFECT_1</t>
  </si>
  <si>
    <t>TRACK_TYPE_STANDARD_GAUGE_RAILTYPE_3KV</t>
  </si>
  <si>
    <t>TRACK_TYPE_STANDARD_GAUGE_RAILTYPE_3RD</t>
  </si>
  <si>
    <t>TRACK_TYPE_STANDARD_GAUGE_RAILTYPE_4TH</t>
  </si>
  <si>
    <t>TRACK_TYPE_NARROW_GAUGE_RAILTYPE_OHLE</t>
  </si>
  <si>
    <t>TRACK_TYPE_NARROW_GAUGE_RAILTYPE_25KV</t>
  </si>
  <si>
    <t>TRACK_TYPE_NARROW_GAUGE_RAILTYPE_15KV</t>
  </si>
  <si>
    <t>TRACK_TYPE_NARROW_GAUGE_RAILTYPE_3KV</t>
  </si>
  <si>
    <t>TRACK_TYPE_NARROW_GAUGE_RAILTYPE_3RD</t>
  </si>
  <si>
    <t>TRACK_TYPE_NARROW_GAUGE_RAILTYPE_4TH</t>
  </si>
  <si>
    <t>TRACK_TYPE_NARROW_GAUGE_RAILTYPE_DUAL</t>
  </si>
  <si>
    <t>TRACK_TYPE_NARROW_GAUGE_RAILTYPE_NONE</t>
  </si>
  <si>
    <t>TRACK_TYPE_BROAD_GAUGE_RAILTYPE_OHLE</t>
  </si>
  <si>
    <t>TRACK_TYPE_BROAD_GAUGE_RAILTYPE_25KV</t>
  </si>
  <si>
    <t>TRACK_TYPE_BROAD_GAUGE_RAILTYPE_15KV</t>
  </si>
  <si>
    <t>TRACK_TYPE_BROAD_GAUGE_RAILTYPE_3KV</t>
  </si>
  <si>
    <t>TRACK_TYPE_BROAD_GAUGE_RAILTYPE_3RD</t>
  </si>
  <si>
    <t>TRACK_TYPE_BROAD_GAUGE_RAILTYPE_4TH</t>
  </si>
  <si>
    <t>TRACK_TYPE_BROAD_GAUGE_RAILTYPE_DUAL</t>
  </si>
  <si>
    <t>TRACK_TYPE_BROAD_GAUGE_RAILTYPE_NONE</t>
  </si>
  <si>
    <t>VISUAL_EFFECT_2</t>
  </si>
  <si>
    <t>VISUAL_EFFECT_3</t>
  </si>
  <si>
    <t>DISABLE_WAGON_POWER</t>
  </si>
  <si>
    <t>//  Copyright (C) 2017 Transportman // V. Nemeth 2026+
//  This file is part of the 2cc Trains In NML (Revival) - GNU General Public License v3</t>
  </si>
  <si>
    <t>src\Railbus\Railbus_steam</t>
  </si>
  <si>
    <t>src\Railbus\Railbus_diesel</t>
  </si>
  <si>
    <t>src\Railbus\Railbus_electric</t>
  </si>
  <si>
    <t>src\Steam</t>
  </si>
  <si>
    <t>src\Diesel</t>
  </si>
  <si>
    <t>src\Electric</t>
  </si>
  <si>
    <t>src\DMU</t>
  </si>
  <si>
    <t>src\CargoDMU</t>
  </si>
  <si>
    <t>src\EMU</t>
  </si>
  <si>
    <t>src\Single_Metro</t>
  </si>
  <si>
    <t>src\Railbus\Railbus_maglev</t>
  </si>
  <si>
    <t>src\Maglev</t>
  </si>
  <si>
    <t>src\Wagons\Gen1</t>
  </si>
  <si>
    <t>src\Wagons\Gen2</t>
  </si>
  <si>
    <t>src\Wagons\Gen3</t>
  </si>
  <si>
    <t>src\Wagons\Gen4</t>
  </si>
  <si>
    <t>src\Wagons\Gen5</t>
  </si>
  <si>
    <t>src\Wagons\Gen6</t>
  </si>
  <si>
    <t>src\Wagons\Service_Car</t>
  </si>
  <si>
    <t>src\Coaches\Gen1</t>
  </si>
  <si>
    <t>src\Coaches\Gen2</t>
  </si>
  <si>
    <t>src\Coaches\Gen3</t>
  </si>
  <si>
    <t>src\Coaches\Gen4</t>
  </si>
  <si>
    <t>src\Coaches\Gen5</t>
  </si>
  <si>
    <t>src\Coaches\Gen6</t>
  </si>
  <si>
    <t>mglv_Maglev_Wagon_Powered</t>
  </si>
  <si>
    <t>mglv_Maglev_Wagon_Unpowered</t>
  </si>
  <si>
    <t>mtro_Metro_Wagon_Unpowered</t>
  </si>
  <si>
    <t>mtro_Metro_Wagon_Powered</t>
  </si>
  <si>
    <t>mu_MU_Cargo_Wagon_Powered</t>
  </si>
  <si>
    <t>mu_MU_Cargo_Wagon_Unpowered</t>
  </si>
  <si>
    <t>mu_MU_Wagon_Powered</t>
  </si>
  <si>
    <t>mu_MU_Wagon_Unpowered</t>
  </si>
  <si>
    <t>src\Wagons_Maglev\Gen7M</t>
  </si>
  <si>
    <t>mu_Wagon_Gen1_Flat_Wagon</t>
  </si>
  <si>
    <t>mu_Wagon_Gen1_Boxcar</t>
  </si>
  <si>
    <t>mu_Wagon_Gen1_Tanker</t>
  </si>
  <si>
    <t>mu_Wagon_Gen1_Open_Wagon</t>
  </si>
  <si>
    <t>mu_Coach_Gen1_Wooden_2_axle_Compartment_Coach</t>
  </si>
  <si>
    <t>mu_Coach_Gen1_Wooden_2_axle_Regional_Coach</t>
  </si>
  <si>
    <t>mu_Coach_Gen1_Wooden_2_axle_Mail_Coach</t>
  </si>
  <si>
    <t>mu_Coach_Gen1_Clerestory_Compartment_Coach</t>
  </si>
  <si>
    <t>mu_Coach_Gen1_Clerestory_Regional_Coach</t>
  </si>
  <si>
    <t>mu_Coach_Gen1_Clerestory_Mail_Coach</t>
  </si>
  <si>
    <t>mu_Coach_Gen1_Wooden_3_axle_Compartment_Coach</t>
  </si>
  <si>
    <t>mu_Coach_Gen1_Wooden_3_axle_Regional_Coach</t>
  </si>
  <si>
    <t>mu_Coach_Gen1_Wooden_3_axle_Mail_Coach</t>
  </si>
  <si>
    <t>mu_Coach_Gen2_Heavyweight_Intercity_Coach</t>
  </si>
  <si>
    <t>mu_Coach_Gen2_Heavyweight_Mail_Coach</t>
  </si>
  <si>
    <t>mu_Coach_Gen2_Steel_Intercity_Coach</t>
  </si>
  <si>
    <t>mu_Coach_Gen2_Steel_Compartment_Coach</t>
  </si>
  <si>
    <t>mu_Coach_Gen2_Steel_Regional_Coach</t>
  </si>
  <si>
    <t>mu_Coach_Gen2_Steel_Mail_Coach</t>
  </si>
  <si>
    <t>mu_Coach_Gen2_Steel_2_axle_Compartment_Coach</t>
  </si>
  <si>
    <t>mu_Coach_Gen2_Steel_2_axle_Regional_Coach</t>
  </si>
  <si>
    <t>mu_Coach_Gen2_Steel_2_axle_Mail_Coach</t>
  </si>
  <si>
    <t>mu_Coach_Gen2_Steel_3_axle_Compartment_Coach</t>
  </si>
  <si>
    <t>mu_Coach_Gen2_Steel_3_axle_Regional_Coach</t>
  </si>
  <si>
    <t>mu_Coach_Gen2_Steel_3_axle_Mail_Coach</t>
  </si>
  <si>
    <t>mu_Coach_Gen3_Steel_Lightweight_Intercity_Coach</t>
  </si>
  <si>
    <t>mu_Coach_Gen3_Steel_Lightweight_Regional_Coach</t>
  </si>
  <si>
    <t>mu_Coach_Gen3_Steel_Lightweight_Mail_Coach</t>
  </si>
  <si>
    <t>mu_Coach_Gen3_Aluminium_Lightweight_Intercity_Coach</t>
  </si>
  <si>
    <t>mu_Coach_Gen3_Aluminium_Lightweight_Regional_Coach</t>
  </si>
  <si>
    <t>mu_Coach_Gen3_Aluminium_Lightweight_Mail_Coach</t>
  </si>
  <si>
    <t>mu_Coach_Gen3_Gallery_Car</t>
  </si>
  <si>
    <t>mu_Coach_Gen3_Mk1_Intercity_Coach</t>
  </si>
  <si>
    <t>mu_Coach_Gen3_Mk1_Regional_Coach</t>
  </si>
  <si>
    <t>mu_Coach_Gen3_Mk1_Mail_Coach</t>
  </si>
  <si>
    <t>mu_Coach_Gen3_UIC_X_Intercity_Coach</t>
  </si>
  <si>
    <t>mu_Coach_Gen3_TEE_Intercity_Coach</t>
  </si>
  <si>
    <t>mu_Coach_Gen3_UIC_X_Regional_Coach</t>
  </si>
  <si>
    <t>mu_Coach_Gen3_Umbauwagen_Local_Coach</t>
  </si>
  <si>
    <t>mu_Coach_Gen3_Doppelstockwagen_Local_Coach</t>
  </si>
  <si>
    <t>mu_Coach_Gen3_UIC_X_Mail_Coach</t>
  </si>
  <si>
    <t>mu_Coach_Gen3_Indian_Intercity_Coach</t>
  </si>
  <si>
    <t>mu_Coach_Gen3_Indian_Local_Coach</t>
  </si>
  <si>
    <t>mu_Coach_Gen3_Indian_Regional_Coach</t>
  </si>
  <si>
    <t>mu_Coach_Gen3_Indian_Mail_Coach</t>
  </si>
  <si>
    <t>mu_Coach_Gen4_Eurofima_Intercity_Coach</t>
  </si>
  <si>
    <t>mu_Coach_Gen4_InterRegio_Coach</t>
  </si>
  <si>
    <t>mu_Coach_Gen4_Silberling_Commuter_Coach</t>
  </si>
  <si>
    <t>mu_Coach_Gen4_Eurofima_Mail_Coach</t>
  </si>
  <si>
    <t>mu_Coach_Gen4_Double_Decker_Coach</t>
  </si>
  <si>
    <t>mu_Coach_Gen4_Russian_Intercity_Coach</t>
  </si>
  <si>
    <t>mu_Coach_Gen4_Russian_Regional_Coach</t>
  </si>
  <si>
    <t>mu_Coach_Gen4_Russian_Mail_Coach</t>
  </si>
  <si>
    <t>mu_Coach_Gen4_Superliner_Coach</t>
  </si>
  <si>
    <t>mu_Coach_Gen4_Superliner_California</t>
  </si>
  <si>
    <t>mu_Coach_Gen4_Amfleet_Regional_Coach</t>
  </si>
  <si>
    <t>mu_Coach_Gen4_Amfleet_Intercity_Coach</t>
  </si>
  <si>
    <t>mu_Coach_Gen4_Comet_Commuter_Coach</t>
  </si>
  <si>
    <t>mu_Coach_Gen4_Horizon_Regional_Coach</t>
  </si>
  <si>
    <t>mu_Coach_Gen4_Horizon_Baggage_Coach</t>
  </si>
  <si>
    <t>mu_Coach_Gen4_Bombardier_Bi_level</t>
  </si>
  <si>
    <t>mu_Coach_Gen5_High_Speed_Coach</t>
  </si>
  <si>
    <t>mu_Coach_Gen5_Modern_Regional_Coach</t>
  </si>
  <si>
    <t>mu_Coach_Gen5_Modern_Commuter_Coach</t>
  </si>
  <si>
    <t>mu_Coach_Gen5_Modern_Double_Decker_Coach</t>
  </si>
  <si>
    <t>mu_Coach_Gen5_High_Speed_Double_Decker_IC2000</t>
  </si>
  <si>
    <t>mu_Coach_Gen5_High_Speed_Mail_Coach</t>
  </si>
  <si>
    <t>mu_Coach_Gen5_Talgo_Pendular</t>
  </si>
  <si>
    <t>mu_Coach_Gen5_Talgo_Pendular_Mail</t>
  </si>
  <si>
    <t>mu_Coach_Gen6_Grand_Voyager_Coach</t>
  </si>
  <si>
    <t>mu_Coach_Gen6_Grand_Regio_Coach</t>
  </si>
  <si>
    <t>mu_Coach_Gen6_Metropolis_Coach</t>
  </si>
  <si>
    <t>mu_Coach_Gen6_Speedmail_Coach</t>
  </si>
  <si>
    <t>mu_Coach_Gen6_Super_Regio_Coach</t>
  </si>
  <si>
    <t>mu_Coach_Gen6_Super_Voyager_Coach</t>
  </si>
  <si>
    <t>mu_Wagon_Gen2_Flat_Wagon</t>
  </si>
  <si>
    <t>mu_Wagon_Gen2_Boxcar_Type1</t>
  </si>
  <si>
    <t>mu_Wagon_Gen2_Boxcar_Type2</t>
  </si>
  <si>
    <t>mu_Wagon_Gen2_Tanker</t>
  </si>
  <si>
    <t>mu_Wagon_Gen2_Open_Wagon</t>
  </si>
  <si>
    <t>mu_Wagon_Gen2_Silo</t>
  </si>
  <si>
    <t>mu_Wagon_Gen2_Hopper</t>
  </si>
  <si>
    <t>mu_Wagon_Gen3_Flat_Wagon</t>
  </si>
  <si>
    <t>mu_Wagon_Gen3_Boxcar_Type1</t>
  </si>
  <si>
    <t>mu_Wagon_Gen3_Boxcar_Type2</t>
  </si>
  <si>
    <t>mu_Wagon_Gen3_Tanker</t>
  </si>
  <si>
    <t>mu_Wagon_Gen3_Open_Wagon</t>
  </si>
  <si>
    <t>mu_Wagon_Gen3_Silo_Type1</t>
  </si>
  <si>
    <t>mu_Wagon_Gen3_Silo_Type2</t>
  </si>
  <si>
    <t>mu_Wagon_Gen3_Hopper</t>
  </si>
  <si>
    <t>mu_Wagon_Gen4_Flatcar</t>
  </si>
  <si>
    <t>mu_Wagon_Gen4_Heavy_Flatcar</t>
  </si>
  <si>
    <t>mu_Wagon_Gen4_Boxcar_Type1</t>
  </si>
  <si>
    <t>mu_Wagon_Gen4_Boxcar_Type2</t>
  </si>
  <si>
    <t>mu_Wagon_Gen4_Tanker</t>
  </si>
  <si>
    <t>mu_Wagon_Gen4_Gondola</t>
  </si>
  <si>
    <t>mu_Wagon_Gen4_Silo_Type1</t>
  </si>
  <si>
    <t>mu_Wagon_Gen4_Silo_Type2</t>
  </si>
  <si>
    <t>mu_Wagon_Gen4_Hopper_Type1</t>
  </si>
  <si>
    <t>mu_Wagon_Gen4_Hopper_Type2</t>
  </si>
  <si>
    <t>mu_Wagon_Gen4_Car_Transporter</t>
  </si>
  <si>
    <t>mu_Wagon_Gen4_Container_Carrier</t>
  </si>
  <si>
    <t>mu_Wagon_Gen4_Centerbeam</t>
  </si>
  <si>
    <t>mu_Wagon_Gen5_Flatcar</t>
  </si>
  <si>
    <t>mu_Wagon_Gen5_Heavy_Flatcar</t>
  </si>
  <si>
    <t>mu_Wagon_Gen5_Boxcar_Type1</t>
  </si>
  <si>
    <t>mu_Wagon_Gen5_Boxcar_Type2</t>
  </si>
  <si>
    <t>mu_Wagon_Gen5_Tanker</t>
  </si>
  <si>
    <t>mu_Wagon_Gen5_Gondola</t>
  </si>
  <si>
    <t>mu_Wagon_Gen5_Silo_Type1</t>
  </si>
  <si>
    <t>mu_Wagon_Gen5_Silo_Type2</t>
  </si>
  <si>
    <t>mu_Wagon_Gen5_Hopper_Type1</t>
  </si>
  <si>
    <t>mu_Wagon_Gen5_Hopper_Type2</t>
  </si>
  <si>
    <t>mu_Wagon_Gen5_Car_Transporter</t>
  </si>
  <si>
    <t>mu_Wagon_Gen5_Container_Carrier</t>
  </si>
  <si>
    <t>mu_Wagon_Gen5_Centerbeam</t>
  </si>
  <si>
    <t>mu_Wagon_Gen5_Container_Doublestack</t>
  </si>
  <si>
    <t>mu_Wagon_Gen5_Superheavy_Flatcar</t>
  </si>
  <si>
    <t>mu_Wagon_Gen6_Flatcar</t>
  </si>
  <si>
    <t>mu_Wagon_Gen6_Heavy_Flatcar</t>
  </si>
  <si>
    <t>mu_Wagon_Gen6_Boxcar_Type1</t>
  </si>
  <si>
    <t>mu_Wagon_Gen6_Boxcar_Type2</t>
  </si>
  <si>
    <t>mu_Wagon_Gen6_Tanker</t>
  </si>
  <si>
    <t>mu_Wagon_Gen6_Gondola</t>
  </si>
  <si>
    <t>mu_Wagon_Gen6_Silo_Type1</t>
  </si>
  <si>
    <t>mu_Wagon_Gen6_Silo_Type2</t>
  </si>
  <si>
    <t>mu_Wagon_Gen6_Hopper_Type1</t>
  </si>
  <si>
    <t>mu_Wagon_Gen6_Hopper_Type2</t>
  </si>
  <si>
    <t>mu_Wagon_Gen6_Car_Transporter</t>
  </si>
  <si>
    <t>mu_Wagon_Gen6_Container_Carrier</t>
  </si>
  <si>
    <t>mu_Wagon_Gen6_Centerbeam</t>
  </si>
  <si>
    <t>mu_Wagon_Gen6_Container_Doublestack</t>
  </si>
  <si>
    <t>mu_Wagon_Gen6_Superheavy_Flatcar</t>
  </si>
  <si>
    <t>mglv_Wagon_Gen7M_Boxcar_Type2</t>
  </si>
  <si>
    <t>mglv_Wagon_Gen7M_Car_Transporter</t>
  </si>
  <si>
    <t>mglv_Wagon_Gen7M_Centerbeam</t>
  </si>
  <si>
    <t>mglv_Wagon_Gen7M_Container_Carrier</t>
  </si>
  <si>
    <t>mglv_Wagon_Gen7M_Container_Doublestack</t>
  </si>
  <si>
    <t>mglv_Wagon_Gen7M_Flatcar</t>
  </si>
  <si>
    <t>mglv_Wagon_Gen7M_Gondola</t>
  </si>
  <si>
    <t>mglv_Wagon_Gen7M_Heavy_Flatcar</t>
  </si>
  <si>
    <t>mglv_Wagon_Gen7M_Hopper_Type1</t>
  </si>
  <si>
    <t>mglv_Wagon_Gen7M_Hopper_Type2</t>
  </si>
  <si>
    <t>mglv_Wagon_Gen7M_Silo_Type1</t>
  </si>
  <si>
    <t>mglv_Wagon_Gen7M_Silo_Type2</t>
  </si>
  <si>
    <t>mglv_Wagon_Gen7M_Superheavy_Flatcar</t>
  </si>
  <si>
    <t>mglv_Wagon_Gen7M_Tanker</t>
  </si>
  <si>
    <t>mu_Wagon_Service_Car_Type1</t>
  </si>
  <si>
    <t>mu_Wagon_Service_Car_Type2</t>
  </si>
  <si>
    <t>src\Special</t>
  </si>
  <si>
    <t>mglv_Wagon_Gen7M_Boxcar_Type1</t>
  </si>
  <si>
    <t>FILENAMES_EXPECTED</t>
  </si>
  <si>
    <t>NO_REGION</t>
  </si>
  <si>
    <t>WESTERN_EUROPE</t>
  </si>
  <si>
    <t>SOUTHERN_EUROPE</t>
  </si>
  <si>
    <t>OCEANIA</t>
  </si>
  <si>
    <t>AFRICA</t>
  </si>
  <si>
    <t>NORTHERN_EUROPE</t>
  </si>
  <si>
    <t>NORTH_AMERICA</t>
  </si>
  <si>
    <t>EASTERN_EUROPE</t>
  </si>
  <si>
    <t>SOUTH_AMERICA</t>
  </si>
  <si>
    <t>ASIA</t>
  </si>
  <si>
    <t>ALL_EUROPE</t>
  </si>
  <si>
    <t>REGIONTYPE1</t>
  </si>
  <si>
    <t>REGIONTYPE2</t>
  </si>
  <si>
    <t>ALL_AMERICA</t>
  </si>
  <si>
    <t>ALL_REGION</t>
  </si>
  <si>
    <t>REGIONTYPE3</t>
  </si>
  <si>
    <t>VALID_REGIONS</t>
  </si>
  <si>
    <t>VALID_CONCEPTS</t>
  </si>
  <si>
    <t>NO_CONCEPT</t>
  </si>
  <si>
    <t>IS_CONCEPT</t>
  </si>
  <si>
    <t>IS_WAGON_OR_COACH</t>
  </si>
  <si>
    <t>CHECK_ANY_TT</t>
  </si>
  <si>
    <t>TRACK_TYPE_STANDARD_GAUGE_RAILTYPE_1500V</t>
  </si>
  <si>
    <t>VEHID_ID</t>
  </si>
  <si>
    <t>diesel_USA_Amtrak_SDP_40F</t>
  </si>
  <si>
    <t>ID Type</t>
  </si>
  <si>
    <t>English Title</t>
  </si>
  <si>
    <t>Range Start</t>
  </si>
  <si>
    <t>Range End</t>
  </si>
  <si>
    <t>ID_RANGE_RBS</t>
  </si>
  <si>
    <t>Railbus (Steam)</t>
  </si>
  <si>
    <t>Railbus (Diese)</t>
  </si>
  <si>
    <t>ID_RANGE_RBD</t>
  </si>
  <si>
    <t xml:space="preserve">ID_RANGE_RBE </t>
  </si>
  <si>
    <t>Railbus (Electric)</t>
  </si>
  <si>
    <t>ID_RANGE_STEAM</t>
  </si>
  <si>
    <t>Steam</t>
  </si>
  <si>
    <t>ID_RANGE_DIESEL</t>
  </si>
  <si>
    <t>Diesel</t>
  </si>
  <si>
    <t>ID_RANGE_ELECTRIC</t>
  </si>
  <si>
    <t>Electric</t>
  </si>
  <si>
    <t>ID_RANGE_DMU</t>
  </si>
  <si>
    <t>DMU</t>
  </si>
  <si>
    <t>ID_RANGE_EMU</t>
  </si>
  <si>
    <t>EMU</t>
  </si>
  <si>
    <t>ID_RANGE_MULTIMETRO</t>
  </si>
  <si>
    <t>Multi Unit Metro</t>
  </si>
  <si>
    <t>ID_RANGE_MULTIMAGLEV</t>
  </si>
  <si>
    <t>Multi Unit Maglev</t>
  </si>
  <si>
    <t>ID_RANGE_COACHES</t>
  </si>
  <si>
    <t>Coaches</t>
  </si>
  <si>
    <t>ID_RANGE_WAGONS</t>
  </si>
  <si>
    <t>Wagons</t>
  </si>
  <si>
    <t>ID_RANGE_WAGONS_MGLV</t>
  </si>
  <si>
    <t>Maglev Wagons</t>
  </si>
  <si>
    <t>ID_RANGE_UNIT_WAGONS</t>
  </si>
  <si>
    <t>Unit Wagons</t>
  </si>
  <si>
    <t>Single Unit Metros</t>
  </si>
  <si>
    <t>ID_RANGE_SINGLEMETRO</t>
  </si>
  <si>
    <t>Single Unit Maglev</t>
  </si>
  <si>
    <t>Maglev (Single Engine)</t>
  </si>
  <si>
    <t>ID_RANGE_SMU</t>
  </si>
  <si>
    <t>ID_RANGE_CARGODMU</t>
  </si>
  <si>
    <t>Cargo DMU</t>
  </si>
  <si>
    <t>ID_RANGE_RBM</t>
  </si>
  <si>
    <t>Railbus (Maglev)</t>
  </si>
  <si>
    <t>ID_RANGE_SINGLEMAGLEV</t>
  </si>
  <si>
    <t>ID_RANGE_UNIT_WAGONS_RAIL</t>
  </si>
  <si>
    <t>ID_RANGE_UNIT_WAGONS_MTRO</t>
  </si>
  <si>
    <t>ID_RANGE_UNIT_WAGONS_MGLV</t>
  </si>
  <si>
    <t>ID_RANGE_UNIT_WAGONS_RAIL_CARGO</t>
  </si>
  <si>
    <t>Unit Wagons (Rail)</t>
  </si>
  <si>
    <t>Unit Wagons (Metro)</t>
  </si>
  <si>
    <t>Unit Wagons (Maglev)</t>
  </si>
  <si>
    <t>Unit Wagons (Rail Cargo)</t>
  </si>
  <si>
    <t>VEHID_ID_CATEGORY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</si>
</sst>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0.34998626667073579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4">
    <xf numFmtId="0" fontId="0" fillId="0" borderId="0" xfId="0"/>
    <xf numFmtId="0" fontId="0" fillId="0" borderId="0" xfId="0" applyAlignment="1">
      <alignment wrapText="1"/>
    </xf>
    <xf numFmtId="0" fontId="0" fillId="0" borderId="10" xfId="0" applyBorder="1"/>
    <xf numFmtId="0" fontId="0" fillId="0" borderId="10" xfId="0" applyBorder="1" applyAlignment="1">
      <alignment wrapText="1"/>
    </xf>
    <xf numFmtId="0" fontId="0" fillId="33" borderId="0" xfId="0" applyFill="1" applyAlignment="1">
      <alignment wrapText="1"/>
    </xf>
    <xf numFmtId="0" fontId="0" fillId="33" borderId="10" xfId="0" applyFill="1" applyBorder="1" applyAlignment="1">
      <alignment wrapText="1"/>
    </xf>
    <xf numFmtId="0" fontId="0" fillId="0" borderId="11" xfId="0" applyBorder="1" applyAlignment="1">
      <alignment wrapText="1"/>
    </xf>
    <xf numFmtId="0" fontId="0" fillId="0" borderId="11" xfId="0" applyBorder="1"/>
    <xf numFmtId="0" fontId="0" fillId="34" borderId="0" xfId="0" applyFill="1" applyAlignment="1">
      <alignment wrapText="1"/>
    </xf>
    <xf numFmtId="0" fontId="0" fillId="35" borderId="0" xfId="0" applyFill="1" applyAlignment="1">
      <alignment wrapText="1"/>
    </xf>
    <xf numFmtId="1" fontId="0" fillId="0" borderId="0" xfId="0" applyNumberFormat="1" applyAlignment="1">
      <alignment wrapText="1"/>
    </xf>
    <xf numFmtId="1" fontId="0" fillId="0" borderId="0" xfId="0" applyNumberFormat="1"/>
    <xf numFmtId="1" fontId="0" fillId="0" borderId="10" xfId="0" applyNumberFormat="1" applyBorder="1"/>
    <xf numFmtId="1" fontId="0" fillId="0" borderId="11" xfId="0" applyNumberFormat="1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57">
    <dxf>
      <numFmt numFmtId="0" formatCode="General"/>
    </dxf>
    <dxf>
      <font>
        <color rgb="FF9C0006"/>
      </font>
      <fill>
        <patternFill>
          <bgColor rgb="FFFFC7CE"/>
        </patternFill>
      </fill>
    </dxf>
    <dxf>
      <numFmt numFmtId="1" formatCode="0"/>
    </dxf>
    <dxf>
      <numFmt numFmtId="1" formatCode="0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</dxf>
    <dxf>
      <numFmt numFmtId="0" formatCode="General"/>
    </dxf>
    <dxf>
      <numFmt numFmtId="0" formatCode="General"/>
    </dxf>
    <dxf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DCCB998-B5D1-4B0D-8701-BC0E171A94CA}" name="Table1" displayName="Table1" ref="A1:BU789" totalsRowShown="0" headerRowDxfId="56">
  <autoFilter ref="A1:BU789" xr:uid="{6DCCB998-B5D1-4B0D-8701-BC0E171A94CA}"/>
  <tableColumns count="73">
    <tableColumn id="1" xr3:uid="{CDEAF13A-A986-4600-A992-A08C1CA6142C}" name="VEHIDCODE" dataDxfId="55"/>
    <tableColumn id="112" xr3:uid="{049A88D8-80A1-4C10-8581-DF629C4922C4}" name="FILENAMES_EXPECTED" dataDxfId="54">
      <calculatedColumnFormula>_xlfn.TEXTAFTER(Table1[[#This Row],[VEHIDCODE]],"_")</calculatedColumnFormula>
    </tableColumn>
    <tableColumn id="92" xr3:uid="{B4A804C3-2F90-463F-AFEA-7EBC01C87129}" name="SAVE_TO" dataDxfId="53"/>
    <tableColumn id="27" xr3:uid="{5BE66C42-8758-41A5-AED9-B162FE3F056D}" name="VEHID_ID_CATEGORY" dataDxfId="0"/>
    <tableColumn id="23" xr3:uid="{07B279F2-E966-45BB-9EEB-EB3A5E306411}" name="VEHID_ID" dataDxfId="4"/>
    <tableColumn id="15" xr3:uid="{09CA1D5C-18B9-45AB-94E0-5AFCC2BC0A87}" name="IS_WAGON_OR_COACH">
      <calculatedColumnFormula>OR(ISNUMBER(SEARCH("wagon_",Table1[[#This Row],[FILENAMES_EXPECTED]])),ISNUMBER(SEARCH("coach_",Table1[[#This Row],[FILENAMES_EXPECTED]])))</calculatedColumnFormula>
    </tableColumn>
    <tableColumn id="98" xr3:uid="{04AA3EC9-5215-4C40-A8DE-679A8D5B0EAF}" name="ITEM" dataDxfId="52">
      <calculatedColumnFormula>"item_"&amp;Table1[[#This Row],[VEHIDCODE]]</calculatedColumnFormula>
    </tableColumn>
    <tableColumn id="97" xr3:uid="{EB95F6E8-1329-4809-90E6-94CB9915C79B}" name="NAME" dataDxfId="51">
      <calculatedColumnFormula>"str_"&amp;Table1[[#This Row],[VEHIDCODE]]</calculatedColumnFormula>
    </tableColumn>
    <tableColumn id="55" xr3:uid="{839D134C-3027-42F4-BA04-3BA8BFF71A3B}" name="TRACK_TYPE_STANDARD_GAUGE_RAILTYPE_OHLE" dataDxfId="35"/>
    <tableColumn id="54" xr3:uid="{5D83FD10-ABCB-4FE7-A7DB-4A857A58D719}" name="TRACK_TYPE_STANDARD_GAUGE_RAILTYPE_25KV" dataDxfId="34"/>
    <tableColumn id="53" xr3:uid="{56183170-0B7F-45FB-91B4-356C62C246AD}" name="TRACK_TYPE_STANDARD_GAUGE_RAILTYPE_15KV" dataDxfId="33"/>
    <tableColumn id="52" xr3:uid="{5B71BE07-0EB9-4DEB-A8E8-252C9D979AC2}" name="TRACK_TYPE_STANDARD_GAUGE_RAILTYPE_3KV" dataDxfId="32"/>
    <tableColumn id="51" xr3:uid="{5A6435EB-111E-4AED-A8E1-AEFF82C34393}" name="TRACK_TYPE_STANDARD_GAUGE_RAILTYPE_1500V" dataDxfId="31"/>
    <tableColumn id="50" xr3:uid="{14CA70EA-0EE7-44BA-9D77-FC902C0596DD}" name="TRACK_TYPE_STANDARD_GAUGE_RAILTYPE_3RD" dataDxfId="30"/>
    <tableColumn id="49" xr3:uid="{3A15447A-9663-43FB-8EFF-8F8034548FB0}" name="TRACK_TYPE_STANDARD_GAUGE_RAILTYPE_4TH" dataDxfId="29"/>
    <tableColumn id="48" xr3:uid="{E44E324A-492F-4566-8DC9-0A6F58F40EA9}" name="TRACK_TYPE_STANDARD_GAUGE_RAILTYPE_DUAL" dataDxfId="28"/>
    <tableColumn id="47" xr3:uid="{FE3223C6-E685-4456-91E9-10AEB3B699E7}" name="TRACK_TYPE_STANDARD_GAUGE_RAILTYPE_NONE" dataDxfId="9"/>
    <tableColumn id="46" xr3:uid="{D39969E8-C0CA-4A59-A556-D29019991069}" name="TRACK_TYPE_NARROW_GAUGE_RAILTYPE_OHLE" dataDxfId="27"/>
    <tableColumn id="45" xr3:uid="{5266A9E9-D840-4460-AB81-A081897372F3}" name="TRACK_TYPE_NARROW_GAUGE_RAILTYPE_25KV" dataDxfId="26"/>
    <tableColumn id="44" xr3:uid="{7B4C44D1-C745-4291-86A0-777579742A84}" name="TRACK_TYPE_NARROW_GAUGE_RAILTYPE_15KV" dataDxfId="25"/>
    <tableColumn id="43" xr3:uid="{8736D285-A163-4DBE-84E1-870118B47F14}" name="TRACK_TYPE_NARROW_GAUGE_RAILTYPE_3KV" dataDxfId="24"/>
    <tableColumn id="42" xr3:uid="{6FBBA2FB-4743-4072-B4E0-C42BBDA1CC47}" name="TRACK_TYPE_NARROW_GAUGE_RAILTYPE_1500V" dataDxfId="23"/>
    <tableColumn id="41" xr3:uid="{D3ED2E70-19BF-4D92-A76B-0F0F03D31947}" name="TRACK_TYPE_NARROW_GAUGE_RAILTYPE_3RD" dataDxfId="22"/>
    <tableColumn id="40" xr3:uid="{F38AE7AF-B798-40A5-992A-13685296E710}" name="TRACK_TYPE_NARROW_GAUGE_RAILTYPE_4TH" dataDxfId="21"/>
    <tableColumn id="39" xr3:uid="{16463F64-2239-4E7F-8257-47F324BF8959}" name="TRACK_TYPE_NARROW_GAUGE_RAILTYPE_DUAL" dataDxfId="20"/>
    <tableColumn id="38" xr3:uid="{97037A15-9172-4057-863E-582804353817}" name="TRACK_TYPE_NARROW_GAUGE_RAILTYPE_NONE" dataDxfId="8"/>
    <tableColumn id="37" xr3:uid="{24999D59-5A4F-4A21-B8B4-EBDBF9F8BF1E}" name="TRACK_TYPE_BROAD_GAUGE_RAILTYPE_OHLE" dataDxfId="19"/>
    <tableColumn id="36" xr3:uid="{31AB3927-D18B-49AD-8EF5-C7E9FF4CEDF3}" name="TRACK_TYPE_BROAD_GAUGE_RAILTYPE_25KV" dataDxfId="18"/>
    <tableColumn id="35" xr3:uid="{CB3432E7-4DAE-4807-9CE5-4CB1ACECD395}" name="TRACK_TYPE_BROAD_GAUGE_RAILTYPE_15KV" dataDxfId="17"/>
    <tableColumn id="34" xr3:uid="{E3936FE4-2B46-4DC0-84C0-44C7892A0927}" name="TRACK_TYPE_BROAD_GAUGE_RAILTYPE_3KV" dataDxfId="16"/>
    <tableColumn id="33" xr3:uid="{A5FAA105-CF81-4A75-8967-5721104454E8}" name="TRACK_TYPE_BROAD_GAUGE_RAILTYPE_1500V" dataDxfId="15"/>
    <tableColumn id="32" xr3:uid="{439CDFDE-6BFC-446C-87CF-28C8FF65FCE0}" name="TRACK_TYPE_BROAD_GAUGE_RAILTYPE_3RD" dataDxfId="14"/>
    <tableColumn id="31" xr3:uid="{219AB5E3-CDFF-41B3-BD58-F7427606D15F}" name="TRACK_TYPE_BROAD_GAUGE_RAILTYPE_4TH" dataDxfId="13"/>
    <tableColumn id="30" xr3:uid="{01529768-EA0D-4662-B835-74641896CE3F}" name="TRACK_TYPE_BROAD_GAUGE_RAILTYPE_DUAL" dataDxfId="12"/>
    <tableColumn id="29" xr3:uid="{32C384AB-18DB-4161-B29B-A363A2547BB2}" name="TRACK_TYPE_BROAD_GAUGE_RAILTYPE_NONE" dataDxfId="7"/>
    <tableColumn id="26" xr3:uid="{1CFC6F26-22A8-42EE-972B-0F7ED6623B5A}" name="TRACK_TYPE_MONO" dataDxfId="11"/>
    <tableColumn id="25" xr3:uid="{62939270-15C1-494E-9C53-6EA9E8209C3B}" name="TRACK_TYPE_MGLV" dataDxfId="10"/>
    <tableColumn id="24" xr3:uid="{9DA86EDA-F2AB-4C2D-918E-5260313FD8B3}" name="TRACK_TYPE_MTRO" dataDxfId="6"/>
    <tableColumn id="21" xr3:uid="{E6F11214-E912-4D1C-980D-A111C93B0BED}" name="CHECK_ANY_TT" dataDxfId="5">
      <calculatedColumnFormula>LEN(_xlfn.CONCAT(Table1[[#This Row],[TRACK_TYPE_STANDARD_GAUGE_RAILTYPE_OHLE]:[TRACK_TYPE_MTRO]]))&gt;0</calculatedColumnFormula>
    </tableColumn>
    <tableColumn id="2" xr3:uid="{3A01A7AB-09DD-4D65-8893-1ACE9810CDB7}" name="ACTUAL_LENGTH"/>
    <tableColumn id="3" xr3:uid="{5BBF796C-A6C3-46CD-9877-08A3B37D9263}" name="CARGODEF"/>
    <tableColumn id="4" xr3:uid="{FCDAC31F-DC88-437B-B8DF-0440E9E9053F}" name="DUAL_HEADED"/>
    <tableColumn id="5" xr3:uid="{38AF64EB-F7BC-4818-9892-6415335F9FD3}" name="ENGINE_CLASS"/>
    <tableColumn id="6" xr3:uid="{A3E4457A-E003-42F3-8A75-91252C2658FB}" name="HEAD_CAPACITY"/>
    <tableColumn id="7" xr3:uid="{E5E7166A-FC1D-4D79-AF72-DEED9B69654D}" name="INTRODUCTION_YEAR"/>
    <tableColumn id="8" xr3:uid="{173C09CB-6ABB-4443-A5D3-2998FCBD4A99}" name="LENGTH"/>
    <tableColumn id="9" xr3:uid="{86E17647-A9E5-4E3B-8924-25C508832269}" name="LOADINGSPEED" dataDxfId="50"/>
    <tableColumn id="101" xr3:uid="{6FAA9DDE-5F72-41E5-B16F-921F4B9C09E2}" name="MISC_FLAGS_TRAIN_FLAG_2CC" dataDxfId="49"/>
    <tableColumn id="100" xr3:uid="{3CCF1CA2-4D6E-4A71-878A-CEF5EF6919CB}" name="MISC_FLAGS_TRAIN_FLAG_MU" dataDxfId="48"/>
    <tableColumn id="99" xr3:uid="{9002C8EF-B1BC-4B2D-BB78-6A36329A581D}" name="MISC_FLAGS_TRAIN_FLAG_AUTOREFIT" dataDxfId="47"/>
    <tableColumn id="10" xr3:uid="{89A8EF9A-A44B-4348-8B75-5CEF5739F11D}" name="MODEL_LIFE"/>
    <tableColumn id="11" xr3:uid="{99F6E46F-87FB-4781-BC79-631728520667}" name="PASSENGER"/>
    <tableColumn id="12" xr3:uid="{776DDA15-7CA4-4083-BF1A-C7AFDBA0E92E}" name="POWER"/>
    <tableColumn id="107" xr3:uid="{A933A65B-2E6A-407F-9FF7-D9CA17652C9D}" name="RUNNING_COST_BASE" dataDxfId="46"/>
    <tableColumn id="13" xr3:uid="{BAAB638D-1636-4161-AE20-8AC5BFA72FF1}" name="SPEED"/>
    <tableColumn id="14" xr3:uid="{1CE0FE0E-6140-41CB-8C7B-F65AFADE6392}" name="TE_COEFFICIENT" dataDxfId="45"/>
    <tableColumn id="90" xr3:uid="{4F4ADD01-5968-4AFC-AEE2-AE952C73B03E}" name="REGION1" dataDxfId="38"/>
    <tableColumn id="91" xr3:uid="{40CEC63B-BEDA-4207-AF4D-270580C5B346}" name="REGION2" dataDxfId="37"/>
    <tableColumn id="17" xr3:uid="{C980AD63-3FDB-4A60-A121-0C502BDDC0C4}" name="REGION3" dataDxfId="36"/>
    <tableColumn id="16" xr3:uid="{180F0B47-AFC4-4978-B838-4826DAD0C0F6}" name="VEHICLE_LIFE" dataDxfId="44"/>
    <tableColumn id="108" xr3:uid="{1A859885-66E4-4CC5-AD48-43DDD28E88B8}" name="VISUAL_EFFECT_1" dataDxfId="43">
      <calculatedColumnFormula>IF(Table1[[#This Row],[IS_WAGON_OR_COACH]]=TRUE,"DISABLE",IF(OR(Table1[[#This Row],[ENGINE_CLASS]]="STEAM",Table1[[#This Row],[ENGINE_CLASS]]="ELECTRIC",Table1[[#This Row],[ENGINE_CLASS]]="DIESEL"),Table1[[#This Row],[ENGINE_CLASS]],"DISABLE"))</calculatedColumnFormula>
    </tableColumn>
    <tableColumn id="109" xr3:uid="{15AE2C58-3C66-4A43-A1F6-13C2958241EE}" name="VISUAL_EFFECT_2" dataDxfId="42"/>
    <tableColumn id="110" xr3:uid="{E67A20AF-BD42-42A3-8D5B-09B0E2B0137C}" name="VISUAL_EFFECT_3"/>
    <tableColumn id="18" xr3:uid="{995C9564-B37D-46D0-AB3F-7BC78CF4DA7F}" name="WAGON_CAPACITY" dataDxfId="41"/>
    <tableColumn id="19" xr3:uid="{6EE658C7-FC65-4A02-882A-925DA6FC785D}" name="WAGON_LENGTH" dataDxfId="40"/>
    <tableColumn id="20" xr3:uid="{06C795AC-0E95-4D8C-8333-5CDB8B75589F}" name="WEIGHT" dataDxfId="39"/>
    <tableColumn id="93" xr3:uid="{A8DAFACB-B2AD-49BF-870F-B2C526296F5B}" name="AIR_DRAG_COEFFICIENT"/>
    <tableColumn id="94" xr3:uid="{DC5351D7-B1B9-4638-A658-3BCECB91F747}" name="BITMASK_VEHICLE_INFO"/>
    <tableColumn id="95" xr3:uid="{512DCD58-79D7-4D27-964F-51E00737D1D7}" name="CARGO_AGE_PERIOD"/>
    <tableColumn id="103" xr3:uid="{7250ECD2-4BFD-44C1-A204-C84B5BB79BAB}" name="POWER_PER_WAGON"/>
    <tableColumn id="106" xr3:uid="{BAF10CFF-58D7-42E4-9463-8D9EC8AB90FA}" name="REFIT_COST"/>
    <tableColumn id="105" xr3:uid="{EDC596DF-8B7A-4CAB-95C7-936F7E8F8349}" name="RELIABILITY_DECAY"/>
    <tableColumn id="104" xr3:uid="{8277BC82-FBAD-497D-BE0E-039744AF51CA}" name="RETIRE_EARLY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2F482C9-2676-4F66-AEBC-B0E4CB3F0CDA}" name="Table3" displayName="Table3" ref="A1:A17" totalsRowShown="0">
  <autoFilter ref="A1:A17" xr:uid="{42F482C9-2676-4F66-AEBC-B0E4CB3F0CDA}"/>
  <tableColumns count="1">
    <tableColumn id="1" xr3:uid="{08CCAA74-4E74-4E66-A1F0-510147D6B1D4}" name="VALID_REGION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507B88B-67A8-41AF-B7AA-6998CA93498A}" name="Table6" displayName="Table6" ref="C1:C3" totalsRowShown="0">
  <autoFilter ref="C1:C3" xr:uid="{2507B88B-67A8-41AF-B7AA-6998CA93498A}"/>
  <tableColumns count="1">
    <tableColumn id="1" xr3:uid="{ACD5B0EA-823F-4F6D-8C10-41757ECC7CC7}" name="VALID_CONCEPT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F644B35-EBDC-4591-9617-A762FA1AAE47}" name="Table4" displayName="Table4" ref="A1:D24" totalsRowShown="0">
  <autoFilter ref="A1:D24" xr:uid="{6F644B35-EBDC-4591-9617-A762FA1AAE47}"/>
  <sortState xmlns:xlrd2="http://schemas.microsoft.com/office/spreadsheetml/2017/richdata2" ref="A2:D24">
    <sortCondition ref="C1:C24"/>
  </sortState>
  <tableColumns count="4">
    <tableColumn id="1" xr3:uid="{D6EBFD08-AF88-4096-B241-03168AE9DF0B}" name="ID Type"/>
    <tableColumn id="2" xr3:uid="{F6758D5E-75DD-401A-8691-2142E9373221}" name="English Title"/>
    <tableColumn id="3" xr3:uid="{40029B66-ACCC-4F04-A4CD-FEA07BA189EA}" name="Range Start" dataDxfId="3"/>
    <tableColumn id="4" xr3:uid="{3DDC8685-BA3D-40E8-A910-1E59013A762D}" name="Range End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98CC2-EA96-4749-AB2B-3364884F9AFC}">
  <dimension ref="A1:CV789"/>
  <sheetViews>
    <sheetView tabSelected="1" zoomScale="85" zoomScaleNormal="85" workbookViewId="0">
      <pane xSplit="1" ySplit="1" topLeftCell="B762" activePane="bottomRight" state="frozen"/>
      <selection pane="topRight" activeCell="B1" sqref="B1"/>
      <selection pane="bottomLeft" activeCell="A2" sqref="A2"/>
      <selection pane="bottomRight" activeCell="D789" sqref="D789"/>
    </sheetView>
  </sheetViews>
  <sheetFormatPr defaultRowHeight="14.6" x14ac:dyDescent="0.4"/>
  <cols>
    <col min="1" max="1" width="50.765625" bestFit="1" customWidth="1"/>
    <col min="2" max="2" width="45" bestFit="1" customWidth="1"/>
    <col min="3" max="3" width="23.61328125" bestFit="1" customWidth="1"/>
    <col min="4" max="5" width="23.61328125" customWidth="1"/>
    <col min="6" max="6" width="22.765625" bestFit="1" customWidth="1"/>
    <col min="7" max="7" width="55.3046875" hidden="1" customWidth="1"/>
    <col min="8" max="8" width="53.84375" hidden="1" customWidth="1"/>
    <col min="9" max="16" width="26.15234375" bestFit="1" customWidth="1"/>
    <col min="17" max="17" width="27.23046875" style="2" bestFit="1" customWidth="1"/>
    <col min="18" max="20" width="25.69140625" bestFit="1" customWidth="1"/>
    <col min="21" max="21" width="24.61328125" bestFit="1" customWidth="1"/>
    <col min="22" max="23" width="25.69140625" bestFit="1" customWidth="1"/>
    <col min="24" max="24" width="24.61328125" bestFit="1" customWidth="1"/>
    <col min="25" max="25" width="25.69140625" bestFit="1" customWidth="1"/>
    <col min="26" max="26" width="25.69140625" style="2" bestFit="1" customWidth="1"/>
    <col min="27" max="29" width="25.23046875" bestFit="1" customWidth="1"/>
    <col min="30" max="30" width="24" bestFit="1" customWidth="1"/>
    <col min="31" max="31" width="25.23046875" bestFit="1" customWidth="1"/>
    <col min="32" max="33" width="24" bestFit="1" customWidth="1"/>
    <col min="34" max="34" width="25.23046875" bestFit="1" customWidth="1"/>
    <col min="35" max="35" width="25.23046875" style="2" bestFit="1" customWidth="1"/>
    <col min="36" max="36" width="20.07421875" bestFit="1" customWidth="1"/>
    <col min="37" max="37" width="19.53515625" bestFit="1" customWidth="1"/>
    <col min="38" max="38" width="19.61328125" bestFit="1" customWidth="1"/>
    <col min="39" max="39" width="16.3046875" bestFit="1" customWidth="1"/>
    <col min="40" max="40" width="17.4609375" bestFit="1" customWidth="1"/>
    <col min="41" max="41" width="17.53515625" bestFit="1" customWidth="1"/>
    <col min="42" max="42" width="13.3828125" bestFit="1" customWidth="1"/>
    <col min="43" max="43" width="13.84375" bestFit="1" customWidth="1"/>
    <col min="44" max="44" width="13.3828125" bestFit="1" customWidth="1"/>
    <col min="45" max="45" width="21.69140625" bestFit="1" customWidth="1"/>
    <col min="46" max="46" width="10" bestFit="1" customWidth="1"/>
    <col min="47" max="47" width="16.53515625" bestFit="1" customWidth="1"/>
    <col min="48" max="48" width="21.69140625" bestFit="1" customWidth="1"/>
    <col min="49" max="49" width="22.61328125" bestFit="1" customWidth="1"/>
    <col min="50" max="50" width="26.921875" bestFit="1" customWidth="1"/>
    <col min="51" max="51" width="21.921875" bestFit="1" customWidth="1"/>
    <col min="52" max="52" width="13.4609375" style="2" bestFit="1" customWidth="1"/>
    <col min="53" max="53" width="9.61328125" bestFit="1" customWidth="1"/>
    <col min="54" max="54" width="23" bestFit="1" customWidth="1"/>
    <col min="55" max="55" width="8.84375" style="2" bestFit="1" customWidth="1"/>
    <col min="56" max="56" width="17.3046875" bestFit="1" customWidth="1"/>
    <col min="88" max="88" width="17.84375" bestFit="1" customWidth="1"/>
    <col min="89" max="89" width="12" bestFit="1" customWidth="1"/>
    <col min="90" max="90" width="12.3828125" bestFit="1" customWidth="1"/>
    <col min="91" max="91" width="14.765625" bestFit="1" customWidth="1"/>
    <col min="95" max="96" width="18.23046875" bestFit="1" customWidth="1"/>
    <col min="97" max="97" width="22.3046875" bestFit="1" customWidth="1"/>
    <col min="98" max="98" width="19.15234375" style="11" bestFit="1" customWidth="1"/>
    <col min="99" max="99" width="17.4609375" style="12" bestFit="1" customWidth="1"/>
    <col min="100" max="100" width="10" style="13" bestFit="1" customWidth="1"/>
    <col min="101" max="101" width="24" bestFit="1" customWidth="1"/>
    <col min="102" max="102" width="23.69140625" bestFit="1" customWidth="1"/>
    <col min="103" max="103" width="26.69140625" bestFit="1" customWidth="1"/>
    <col min="104" max="104" width="26.921875" bestFit="1" customWidth="1"/>
    <col min="105" max="105" width="19" bestFit="1" customWidth="1"/>
    <col min="106" max="106" width="25.15234375" bestFit="1" customWidth="1"/>
    <col min="107" max="107" width="20.61328125" bestFit="1" customWidth="1"/>
    <col min="108" max="108" width="11.15234375" customWidth="1"/>
    <col min="109" max="110" width="21.3828125" customWidth="1"/>
    <col min="111" max="111" width="20.921875" bestFit="1" customWidth="1"/>
    <col min="112" max="112" width="18.921875" bestFit="1" customWidth="1"/>
    <col min="114" max="116" width="11.15234375" customWidth="1"/>
    <col min="117" max="117" width="11.53515625" bestFit="1" customWidth="1"/>
  </cols>
  <sheetData>
    <row r="1" spans="1:100" s="1" customFormat="1" ht="30" customHeight="1" x14ac:dyDescent="0.4">
      <c r="A1" s="1" t="s">
        <v>0</v>
      </c>
      <c r="B1" s="8" t="s">
        <v>920</v>
      </c>
      <c r="C1" s="8" t="s">
        <v>688</v>
      </c>
      <c r="D1" s="8" t="s">
        <v>996</v>
      </c>
      <c r="E1" s="8" t="s">
        <v>944</v>
      </c>
      <c r="F1" s="8" t="s">
        <v>941</v>
      </c>
      <c r="G1" s="9" t="s">
        <v>694</v>
      </c>
      <c r="H1" s="9" t="s">
        <v>695</v>
      </c>
      <c r="I1" s="4" t="s">
        <v>675</v>
      </c>
      <c r="J1" s="4" t="s">
        <v>676</v>
      </c>
      <c r="K1" s="4" t="s">
        <v>677</v>
      </c>
      <c r="L1" s="4" t="s">
        <v>712</v>
      </c>
      <c r="M1" s="4" t="s">
        <v>943</v>
      </c>
      <c r="N1" s="4" t="s">
        <v>713</v>
      </c>
      <c r="O1" s="4" t="s">
        <v>714</v>
      </c>
      <c r="P1" s="4" t="s">
        <v>678</v>
      </c>
      <c r="Q1" s="5" t="s">
        <v>679</v>
      </c>
      <c r="R1" s="4" t="s">
        <v>715</v>
      </c>
      <c r="S1" s="4" t="s">
        <v>716</v>
      </c>
      <c r="T1" s="4" t="s">
        <v>717</v>
      </c>
      <c r="U1" s="4" t="s">
        <v>718</v>
      </c>
      <c r="V1" s="4" t="s">
        <v>680</v>
      </c>
      <c r="W1" s="4" t="s">
        <v>719</v>
      </c>
      <c r="X1" s="4" t="s">
        <v>720</v>
      </c>
      <c r="Y1" s="4" t="s">
        <v>721</v>
      </c>
      <c r="Z1" s="5" t="s">
        <v>722</v>
      </c>
      <c r="AA1" s="4" t="s">
        <v>723</v>
      </c>
      <c r="AB1" s="4" t="s">
        <v>724</v>
      </c>
      <c r="AC1" s="4" t="s">
        <v>725</v>
      </c>
      <c r="AD1" s="4" t="s">
        <v>726</v>
      </c>
      <c r="AE1" s="4" t="s">
        <v>681</v>
      </c>
      <c r="AF1" s="4" t="s">
        <v>727</v>
      </c>
      <c r="AG1" s="4" t="s">
        <v>728</v>
      </c>
      <c r="AH1" s="4" t="s">
        <v>729</v>
      </c>
      <c r="AI1" s="5" t="s">
        <v>730</v>
      </c>
      <c r="AJ1" s="4" t="s">
        <v>682</v>
      </c>
      <c r="AK1" s="4" t="s">
        <v>683</v>
      </c>
      <c r="AL1" s="5" t="s">
        <v>684</v>
      </c>
      <c r="AM1" s="5" t="s">
        <v>942</v>
      </c>
      <c r="AN1" s="1" t="s">
        <v>1</v>
      </c>
      <c r="AO1" s="1" t="s">
        <v>2</v>
      </c>
      <c r="AP1" s="1" t="s">
        <v>3</v>
      </c>
      <c r="AQ1" s="1" t="s">
        <v>4</v>
      </c>
      <c r="AR1" s="1" t="s">
        <v>5</v>
      </c>
      <c r="AS1" s="1" t="s">
        <v>6</v>
      </c>
      <c r="AT1" s="1" t="s">
        <v>7</v>
      </c>
      <c r="AU1" s="3" t="s">
        <v>8</v>
      </c>
      <c r="AV1" s="4" t="s">
        <v>696</v>
      </c>
      <c r="AW1" s="4" t="s">
        <v>697</v>
      </c>
      <c r="AX1" s="4" t="s">
        <v>698</v>
      </c>
      <c r="AY1" s="1" t="s">
        <v>9</v>
      </c>
      <c r="AZ1" s="1" t="s">
        <v>10</v>
      </c>
      <c r="BA1" s="1" t="s">
        <v>11</v>
      </c>
      <c r="BB1" t="s">
        <v>707</v>
      </c>
      <c r="BC1" s="1" t="s">
        <v>12</v>
      </c>
      <c r="BD1" s="3" t="s">
        <v>13</v>
      </c>
      <c r="BE1" s="1" t="s">
        <v>685</v>
      </c>
      <c r="BF1" s="1" t="s">
        <v>686</v>
      </c>
      <c r="BG1" s="1" t="s">
        <v>687</v>
      </c>
      <c r="BH1" s="6" t="s">
        <v>14</v>
      </c>
      <c r="BI1" s="1" t="s">
        <v>711</v>
      </c>
      <c r="BJ1" s="1" t="s">
        <v>731</v>
      </c>
      <c r="BK1" s="9" t="s">
        <v>732</v>
      </c>
      <c r="BL1" s="10" t="s">
        <v>15</v>
      </c>
      <c r="BM1" s="10" t="s">
        <v>16</v>
      </c>
      <c r="BN1" s="10" t="s">
        <v>17</v>
      </c>
      <c r="BO1" s="9" t="s">
        <v>689</v>
      </c>
      <c r="BP1" s="9" t="s">
        <v>690</v>
      </c>
      <c r="BQ1" s="9" t="s">
        <v>692</v>
      </c>
      <c r="BR1" s="9" t="s">
        <v>699</v>
      </c>
      <c r="BS1" s="9" t="s">
        <v>701</v>
      </c>
      <c r="BT1" s="9" t="s">
        <v>702</v>
      </c>
      <c r="BU1" s="9" t="s">
        <v>703</v>
      </c>
    </row>
    <row r="2" spans="1:100" x14ac:dyDescent="0.4">
      <c r="A2" s="2" t="s">
        <v>760</v>
      </c>
      <c r="B2" t="str">
        <f>_xlfn.TEXTAFTER(Table1[[#This Row],[VEHIDCODE]],"_")</f>
        <v>Maglev_Wagon_Powered</v>
      </c>
      <c r="C2" t="s">
        <v>918</v>
      </c>
      <c r="D2" t="s">
        <v>990</v>
      </c>
      <c r="E2">
        <v>13005</v>
      </c>
      <c r="F2" t="b">
        <f>OR(ISNUMBER(SEARCH("wagon_",Table1[[#This Row],[FILENAMES_EXPECTED]])),ISNUMBER(SEARCH("coach_",Table1[[#This Row],[FILENAMES_EXPECTED]])))</f>
        <v>1</v>
      </c>
      <c r="G2" t="str">
        <f>"item_"&amp;Table1[[#This Row],[VEHIDCODE]]</f>
        <v>item_mglv_Maglev_Wagon_Powered</v>
      </c>
      <c r="H2" t="str">
        <f>"str_"&amp;Table1[[#This Row],[VEHIDCODE]]</f>
        <v>str_mglv_Maglev_Wagon_Powered</v>
      </c>
      <c r="AK2" t="b">
        <v>1</v>
      </c>
      <c r="AL2" s="2"/>
      <c r="AM2" s="2" t="b">
        <f>LEN(_xlfn.CONCAT(Table1[[#This Row],[TRACK_TYPE_STANDARD_GAUGE_RAILTYPE_OHLE]:[TRACK_TYPE_MTRO]]))&gt;0</f>
        <v>1</v>
      </c>
      <c r="AN2">
        <v>8</v>
      </c>
      <c r="AO2" t="s">
        <v>18</v>
      </c>
      <c r="AP2">
        <v>0</v>
      </c>
      <c r="AQ2" t="s">
        <v>19</v>
      </c>
      <c r="AR2">
        <v>1</v>
      </c>
      <c r="AS2">
        <v>2000</v>
      </c>
      <c r="AT2">
        <v>8</v>
      </c>
      <c r="AU2" s="2" t="s">
        <v>20</v>
      </c>
      <c r="AV2" t="b">
        <v>1</v>
      </c>
      <c r="AX2" s="2"/>
      <c r="AY2" t="s">
        <v>21</v>
      </c>
      <c r="AZ2">
        <v>1</v>
      </c>
      <c r="BA2">
        <v>0</v>
      </c>
      <c r="BB2" t="s">
        <v>708</v>
      </c>
      <c r="BC2">
        <v>0</v>
      </c>
      <c r="BD2" s="2">
        <v>0.3</v>
      </c>
      <c r="BE2" t="s">
        <v>935</v>
      </c>
      <c r="BF2" t="s">
        <v>921</v>
      </c>
      <c r="BG2" t="s">
        <v>939</v>
      </c>
      <c r="BH2" s="7">
        <v>25</v>
      </c>
      <c r="BI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2">
        <v>0</v>
      </c>
      <c r="BK2" t="s">
        <v>733</v>
      </c>
      <c r="BL2" s="11"/>
      <c r="BM2" s="11"/>
      <c r="BN2" s="11">
        <v>0</v>
      </c>
      <c r="BO2">
        <v>0</v>
      </c>
      <c r="BP2" t="s">
        <v>691</v>
      </c>
      <c r="BQ2" t="s">
        <v>693</v>
      </c>
      <c r="BR2" t="s">
        <v>700</v>
      </c>
      <c r="BS2" t="s">
        <v>704</v>
      </c>
      <c r="BT2" t="s">
        <v>705</v>
      </c>
      <c r="BU2" t="s">
        <v>706</v>
      </c>
      <c r="CT2"/>
      <c r="CU2"/>
      <c r="CV2"/>
    </row>
    <row r="3" spans="1:100" x14ac:dyDescent="0.4">
      <c r="A3" s="2" t="s">
        <v>761</v>
      </c>
      <c r="B3" t="str">
        <f>_xlfn.TEXTAFTER(Table1[[#This Row],[VEHIDCODE]],"_")</f>
        <v>Maglev_Wagon_Unpowered</v>
      </c>
      <c r="C3" t="s">
        <v>918</v>
      </c>
      <c r="D3" t="s">
        <v>990</v>
      </c>
      <c r="E3">
        <v>13004</v>
      </c>
      <c r="F3" t="b">
        <f>OR(ISNUMBER(SEARCH("wagon_",Table1[[#This Row],[FILENAMES_EXPECTED]])),ISNUMBER(SEARCH("coach_",Table1[[#This Row],[FILENAMES_EXPECTED]])))</f>
        <v>1</v>
      </c>
      <c r="G3" t="str">
        <f>"item_"&amp;Table1[[#This Row],[VEHIDCODE]]</f>
        <v>item_mglv_Maglev_Wagon_Unpowered</v>
      </c>
      <c r="H3" t="str">
        <f>"str_"&amp;Table1[[#This Row],[VEHIDCODE]]</f>
        <v>str_mglv_Maglev_Wagon_Unpowered</v>
      </c>
      <c r="AK3" t="b">
        <v>1</v>
      </c>
      <c r="AL3" s="2"/>
      <c r="AM3" s="2" t="b">
        <f>LEN(_xlfn.CONCAT(Table1[[#This Row],[TRACK_TYPE_STANDARD_GAUGE_RAILTYPE_OHLE]:[TRACK_TYPE_MTRO]]))&gt;0</f>
        <v>1</v>
      </c>
      <c r="AN3">
        <v>8</v>
      </c>
      <c r="AO3" t="s">
        <v>18</v>
      </c>
      <c r="AP3">
        <v>0</v>
      </c>
      <c r="AQ3" t="s">
        <v>19</v>
      </c>
      <c r="AR3">
        <v>1</v>
      </c>
      <c r="AS3">
        <v>2000</v>
      </c>
      <c r="AT3">
        <v>8</v>
      </c>
      <c r="AU3" s="2" t="s">
        <v>20</v>
      </c>
      <c r="AV3" t="b">
        <v>1</v>
      </c>
      <c r="AX3" s="2"/>
      <c r="AY3" t="s">
        <v>21</v>
      </c>
      <c r="AZ3">
        <v>1</v>
      </c>
      <c r="BA3">
        <v>0</v>
      </c>
      <c r="BB3" t="s">
        <v>708</v>
      </c>
      <c r="BC3">
        <v>0</v>
      </c>
      <c r="BD3" s="2">
        <v>0.3</v>
      </c>
      <c r="BE3" t="s">
        <v>935</v>
      </c>
      <c r="BF3" t="s">
        <v>921</v>
      </c>
      <c r="BG3" t="s">
        <v>939</v>
      </c>
      <c r="BH3" s="7">
        <v>25</v>
      </c>
      <c r="BI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3">
        <v>0</v>
      </c>
      <c r="BK3" t="s">
        <v>733</v>
      </c>
      <c r="BL3" s="11"/>
      <c r="BM3" s="11"/>
      <c r="BN3" s="11">
        <v>0</v>
      </c>
      <c r="BO3">
        <v>0</v>
      </c>
      <c r="BP3" t="s">
        <v>691</v>
      </c>
      <c r="BQ3" t="s">
        <v>693</v>
      </c>
      <c r="BR3" t="s">
        <v>700</v>
      </c>
      <c r="BS3" t="s">
        <v>704</v>
      </c>
      <c r="BT3" t="s">
        <v>705</v>
      </c>
      <c r="BU3" t="s">
        <v>706</v>
      </c>
      <c r="CT3"/>
      <c r="CU3"/>
      <c r="CV3"/>
    </row>
    <row r="4" spans="1:100" x14ac:dyDescent="0.4">
      <c r="A4" s="2" t="s">
        <v>22</v>
      </c>
      <c r="B4" t="str">
        <f>_xlfn.TEXTAFTER(Table1[[#This Row],[VEHIDCODE]],"_")</f>
        <v>Austria_NOLB_1</v>
      </c>
      <c r="C4" t="s">
        <v>735</v>
      </c>
      <c r="D4" t="s">
        <v>950</v>
      </c>
      <c r="E4">
        <v>1000</v>
      </c>
      <c r="F4" t="b">
        <f>OR(ISNUMBER(SEARCH("wagon_",Table1[[#This Row],[FILENAMES_EXPECTED]])),ISNUMBER(SEARCH("coach_",Table1[[#This Row],[FILENAMES_EXPECTED]])))</f>
        <v>0</v>
      </c>
      <c r="G4" t="str">
        <f>"item_"&amp;Table1[[#This Row],[VEHIDCODE]]</f>
        <v>item_rbs_Austria_NOLB_1</v>
      </c>
      <c r="H4" t="str">
        <f>"str_"&amp;Table1[[#This Row],[VEHIDCODE]]</f>
        <v>str_rbs_Austria_NOLB_1</v>
      </c>
      <c r="Q4" s="2" t="b">
        <v>1</v>
      </c>
      <c r="AL4" s="2"/>
      <c r="AM4" s="2" t="b">
        <f>LEN(_xlfn.CONCAT(Table1[[#This Row],[TRACK_TYPE_STANDARD_GAUGE_RAILTYPE_OHLE]:[TRACK_TYPE_MTRO]]))&gt;0</f>
        <v>1</v>
      </c>
      <c r="AN4">
        <v>5</v>
      </c>
      <c r="AO4" t="s">
        <v>18</v>
      </c>
      <c r="AP4">
        <v>0</v>
      </c>
      <c r="AQ4" t="s">
        <v>23</v>
      </c>
      <c r="AR4">
        <v>22</v>
      </c>
      <c r="AS4">
        <v>1903</v>
      </c>
      <c r="AT4">
        <v>5</v>
      </c>
      <c r="AU4" s="2" t="s">
        <v>24</v>
      </c>
      <c r="AV4" t="b">
        <v>1</v>
      </c>
      <c r="AX4" s="2"/>
      <c r="AY4">
        <v>45</v>
      </c>
      <c r="AZ4">
        <v>1</v>
      </c>
      <c r="BA4">
        <v>39</v>
      </c>
      <c r="BB4" t="s">
        <v>709</v>
      </c>
      <c r="BC4">
        <v>35</v>
      </c>
      <c r="BD4" s="2">
        <v>0.18</v>
      </c>
      <c r="BE4" t="s">
        <v>922</v>
      </c>
      <c r="BF4" t="s">
        <v>921</v>
      </c>
      <c r="BG4" t="s">
        <v>939</v>
      </c>
      <c r="BH4" s="7">
        <v>15</v>
      </c>
      <c r="BI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4">
        <v>-3</v>
      </c>
      <c r="BK4" t="s">
        <v>733</v>
      </c>
      <c r="BL4" s="11"/>
      <c r="BM4" s="11"/>
      <c r="BN4" s="11">
        <v>8</v>
      </c>
      <c r="BO4">
        <v>0</v>
      </c>
      <c r="BP4" t="s">
        <v>691</v>
      </c>
      <c r="BQ4" t="s">
        <v>693</v>
      </c>
      <c r="BR4" t="s">
        <v>700</v>
      </c>
      <c r="BS4" t="s">
        <v>704</v>
      </c>
      <c r="BT4" t="s">
        <v>705</v>
      </c>
      <c r="BU4" t="s">
        <v>706</v>
      </c>
      <c r="CT4"/>
      <c r="CU4"/>
      <c r="CV4"/>
    </row>
    <row r="5" spans="1:100" x14ac:dyDescent="0.4">
      <c r="A5" s="2" t="s">
        <v>25</v>
      </c>
      <c r="B5" t="str">
        <f>_xlfn.TEXTAFTER(Table1[[#This Row],[VEHIDCODE]],"_")</f>
        <v>Italy_FS_86</v>
      </c>
      <c r="C5" t="s">
        <v>735</v>
      </c>
      <c r="D5" t="s">
        <v>950</v>
      </c>
      <c r="E5">
        <v>1001</v>
      </c>
      <c r="F5" t="b">
        <f>OR(ISNUMBER(SEARCH("wagon_",Table1[[#This Row],[FILENAMES_EXPECTED]])),ISNUMBER(SEARCH("coach_",Table1[[#This Row],[FILENAMES_EXPECTED]])))</f>
        <v>0</v>
      </c>
      <c r="G5" t="str">
        <f>"item_"&amp;Table1[[#This Row],[VEHIDCODE]]</f>
        <v>item_rbs_Italy_FS_86</v>
      </c>
      <c r="H5" t="str">
        <f>"str_"&amp;Table1[[#This Row],[VEHIDCODE]]</f>
        <v>str_rbs_Italy_FS_86</v>
      </c>
      <c r="Q5" s="2" t="b">
        <v>1</v>
      </c>
      <c r="AL5" s="2"/>
      <c r="AM5" s="2" t="b">
        <f>LEN(_xlfn.CONCAT(Table1[[#This Row],[TRACK_TYPE_STANDARD_GAUGE_RAILTYPE_OHLE]:[TRACK_TYPE_MTRO]]))&gt;0</f>
        <v>1</v>
      </c>
      <c r="AN5">
        <v>8</v>
      </c>
      <c r="AO5" t="s">
        <v>18</v>
      </c>
      <c r="AP5">
        <v>0</v>
      </c>
      <c r="AQ5" t="s">
        <v>23</v>
      </c>
      <c r="AR5">
        <v>86</v>
      </c>
      <c r="AS5">
        <v>1906</v>
      </c>
      <c r="AT5">
        <v>8</v>
      </c>
      <c r="AU5" s="2" t="s">
        <v>24</v>
      </c>
      <c r="AV5" t="b">
        <v>1</v>
      </c>
      <c r="AX5" s="2"/>
      <c r="AY5">
        <v>45</v>
      </c>
      <c r="AZ5">
        <v>1</v>
      </c>
      <c r="BA5">
        <v>132</v>
      </c>
      <c r="BB5" t="s">
        <v>709</v>
      </c>
      <c r="BC5">
        <v>60</v>
      </c>
      <c r="BD5" s="2">
        <v>0.08</v>
      </c>
      <c r="BE5" t="s">
        <v>923</v>
      </c>
      <c r="BF5" t="s">
        <v>921</v>
      </c>
      <c r="BG5" t="s">
        <v>939</v>
      </c>
      <c r="BH5" s="7">
        <v>15</v>
      </c>
      <c r="BI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5">
        <v>-3</v>
      </c>
      <c r="BK5" t="s">
        <v>733</v>
      </c>
      <c r="BL5" s="11"/>
      <c r="BM5" s="11"/>
      <c r="BN5" s="11">
        <v>47</v>
      </c>
      <c r="BO5">
        <v>0</v>
      </c>
      <c r="BP5" t="s">
        <v>691</v>
      </c>
      <c r="BQ5" t="s">
        <v>693</v>
      </c>
      <c r="BR5" t="s">
        <v>700</v>
      </c>
      <c r="BS5" t="s">
        <v>704</v>
      </c>
      <c r="BT5" t="s">
        <v>705</v>
      </c>
      <c r="BU5" t="s">
        <v>706</v>
      </c>
      <c r="CT5"/>
      <c r="CU5"/>
      <c r="CV5"/>
    </row>
    <row r="6" spans="1:100" x14ac:dyDescent="0.4">
      <c r="A6" s="2" t="s">
        <v>26</v>
      </c>
      <c r="B6" t="str">
        <f>_xlfn.TEXTAFTER(Table1[[#This Row],[VEHIDCODE]],"_")</f>
        <v>Australia_Victorian_Railways_Rowan_Railmotor</v>
      </c>
      <c r="C6" t="s">
        <v>735</v>
      </c>
      <c r="D6" t="s">
        <v>950</v>
      </c>
      <c r="E6">
        <v>1002</v>
      </c>
      <c r="F6" t="b">
        <f>OR(ISNUMBER(SEARCH("wagon_",Table1[[#This Row],[FILENAMES_EXPECTED]])),ISNUMBER(SEARCH("coach_",Table1[[#This Row],[FILENAMES_EXPECTED]])))</f>
        <v>0</v>
      </c>
      <c r="G6" t="str">
        <f>"item_"&amp;Table1[[#This Row],[VEHIDCODE]]</f>
        <v>item_rbs_Australia_Victorian_Railways_Rowan_Railmotor</v>
      </c>
      <c r="H6" t="str">
        <f>"str_"&amp;Table1[[#This Row],[VEHIDCODE]]</f>
        <v>str_rbs_Australia_Victorian_Railways_Rowan_Railmotor</v>
      </c>
      <c r="Z6" s="2" t="b">
        <v>1</v>
      </c>
      <c r="AL6" s="2"/>
      <c r="AM6" s="2" t="b">
        <f>LEN(_xlfn.CONCAT(Table1[[#This Row],[TRACK_TYPE_STANDARD_GAUGE_RAILTYPE_OHLE]:[TRACK_TYPE_MTRO]]))&gt;0</f>
        <v>1</v>
      </c>
      <c r="AN6">
        <v>6</v>
      </c>
      <c r="AO6" t="s">
        <v>18</v>
      </c>
      <c r="AP6">
        <v>0</v>
      </c>
      <c r="AQ6" t="s">
        <v>23</v>
      </c>
      <c r="AR6">
        <v>42</v>
      </c>
      <c r="AS6">
        <v>1883</v>
      </c>
      <c r="AT6">
        <v>6</v>
      </c>
      <c r="AU6" s="2" t="s">
        <v>24</v>
      </c>
      <c r="AV6" t="b">
        <v>1</v>
      </c>
      <c r="AX6" s="2"/>
      <c r="AY6">
        <v>45</v>
      </c>
      <c r="AZ6">
        <v>1</v>
      </c>
      <c r="BA6">
        <v>40</v>
      </c>
      <c r="BB6" t="s">
        <v>709</v>
      </c>
      <c r="BC6">
        <v>48</v>
      </c>
      <c r="BD6" s="2">
        <v>0.34</v>
      </c>
      <c r="BE6" t="s">
        <v>924</v>
      </c>
      <c r="BF6" t="s">
        <v>921</v>
      </c>
      <c r="BG6" t="s">
        <v>939</v>
      </c>
      <c r="BH6" s="7">
        <v>15</v>
      </c>
      <c r="BI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6">
        <v>0</v>
      </c>
      <c r="BK6" t="s">
        <v>733</v>
      </c>
      <c r="BL6" s="11"/>
      <c r="BM6" s="11"/>
      <c r="BN6" s="11">
        <v>15</v>
      </c>
      <c r="BO6">
        <v>0</v>
      </c>
      <c r="BP6" t="s">
        <v>691</v>
      </c>
      <c r="BQ6" t="s">
        <v>693</v>
      </c>
      <c r="BR6" t="s">
        <v>700</v>
      </c>
      <c r="BS6" t="s">
        <v>704</v>
      </c>
      <c r="BT6" t="s">
        <v>705</v>
      </c>
      <c r="BU6" t="s">
        <v>706</v>
      </c>
      <c r="CT6"/>
      <c r="CU6"/>
      <c r="CV6"/>
    </row>
    <row r="7" spans="1:100" x14ac:dyDescent="0.4">
      <c r="A7" s="2" t="s">
        <v>27</v>
      </c>
      <c r="B7" t="str">
        <f>_xlfn.TEXTAFTER(Table1[[#This Row],[VEHIDCODE]],"_")</f>
        <v>Switzerland_UeBB_Czm_1_2</v>
      </c>
      <c r="C7" t="s">
        <v>735</v>
      </c>
      <c r="D7" t="s">
        <v>950</v>
      </c>
      <c r="E7">
        <v>1003</v>
      </c>
      <c r="F7" t="b">
        <f>OR(ISNUMBER(SEARCH("wagon_",Table1[[#This Row],[FILENAMES_EXPECTED]])),ISNUMBER(SEARCH("coach_",Table1[[#This Row],[FILENAMES_EXPECTED]])))</f>
        <v>0</v>
      </c>
      <c r="G7" t="str">
        <f>"item_"&amp;Table1[[#This Row],[VEHIDCODE]]</f>
        <v>item_rbs_Switzerland_UeBB_Czm_1_2</v>
      </c>
      <c r="H7" t="str">
        <f>"str_"&amp;Table1[[#This Row],[VEHIDCODE]]</f>
        <v>str_rbs_Switzerland_UeBB_Czm_1_2</v>
      </c>
      <c r="Q7" s="2" t="b">
        <v>1</v>
      </c>
      <c r="AL7" s="2"/>
      <c r="AM7" s="2" t="b">
        <f>LEN(_xlfn.CONCAT(Table1[[#This Row],[TRACK_TYPE_STANDARD_GAUGE_RAILTYPE_OHLE]:[TRACK_TYPE_MTRO]]))&gt;0</f>
        <v>1</v>
      </c>
      <c r="AN7">
        <v>5</v>
      </c>
      <c r="AO7" t="s">
        <v>18</v>
      </c>
      <c r="AP7">
        <v>0</v>
      </c>
      <c r="AQ7" t="s">
        <v>23</v>
      </c>
      <c r="AR7">
        <v>30</v>
      </c>
      <c r="AS7">
        <v>1902</v>
      </c>
      <c r="AT7">
        <v>5</v>
      </c>
      <c r="AU7" s="2" t="s">
        <v>24</v>
      </c>
      <c r="AV7" t="b">
        <v>1</v>
      </c>
      <c r="AX7" s="2"/>
      <c r="AY7">
        <v>45</v>
      </c>
      <c r="AZ7">
        <v>1</v>
      </c>
      <c r="BA7">
        <v>99</v>
      </c>
      <c r="BB7" t="s">
        <v>709</v>
      </c>
      <c r="BC7">
        <v>45</v>
      </c>
      <c r="BD7" s="2">
        <v>0.34</v>
      </c>
      <c r="BE7" t="s">
        <v>922</v>
      </c>
      <c r="BF7" t="s">
        <v>921</v>
      </c>
      <c r="BG7" t="s">
        <v>939</v>
      </c>
      <c r="BH7" s="7">
        <v>15</v>
      </c>
      <c r="BI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7">
        <v>0</v>
      </c>
      <c r="BK7" t="s">
        <v>733</v>
      </c>
      <c r="BL7" s="11"/>
      <c r="BM7" s="11"/>
      <c r="BN7" s="11">
        <v>21</v>
      </c>
      <c r="BO7">
        <v>0</v>
      </c>
      <c r="BP7" t="s">
        <v>691</v>
      </c>
      <c r="BQ7" t="s">
        <v>693</v>
      </c>
      <c r="BR7" t="s">
        <v>700</v>
      </c>
      <c r="BS7" t="s">
        <v>704</v>
      </c>
      <c r="BT7" t="s">
        <v>705</v>
      </c>
      <c r="BU7" t="s">
        <v>706</v>
      </c>
      <c r="CT7"/>
      <c r="CU7"/>
      <c r="CV7"/>
    </row>
    <row r="8" spans="1:100" x14ac:dyDescent="0.4">
      <c r="A8" s="2" t="s">
        <v>28</v>
      </c>
      <c r="B8" t="str">
        <f>_xlfn.TEXTAFTER(Table1[[#This Row],[VEHIDCODE]],"_")</f>
        <v>Germany_Bavarian_MCCi</v>
      </c>
      <c r="C8" t="s">
        <v>735</v>
      </c>
      <c r="D8" t="s">
        <v>950</v>
      </c>
      <c r="E8">
        <v>1004</v>
      </c>
      <c r="F8" t="b">
        <f>OR(ISNUMBER(SEARCH("wagon_",Table1[[#This Row],[FILENAMES_EXPECTED]])),ISNUMBER(SEARCH("coach_",Table1[[#This Row],[FILENAMES_EXPECTED]])))</f>
        <v>0</v>
      </c>
      <c r="G8" t="str">
        <f>"item_"&amp;Table1[[#This Row],[VEHIDCODE]]</f>
        <v>item_rbs_Germany_Bavarian_MCCi</v>
      </c>
      <c r="H8" t="str">
        <f>"str_"&amp;Table1[[#This Row],[VEHIDCODE]]</f>
        <v>str_rbs_Germany_Bavarian_MCCi</v>
      </c>
      <c r="Q8" s="2" t="b">
        <v>1</v>
      </c>
      <c r="AL8" s="2"/>
      <c r="AM8" s="2" t="b">
        <f>LEN(_xlfn.CONCAT(Table1[[#This Row],[TRACK_TYPE_STANDARD_GAUGE_RAILTYPE_OHLE]:[TRACK_TYPE_MTRO]]))&gt;0</f>
        <v>1</v>
      </c>
      <c r="AN8">
        <v>8</v>
      </c>
      <c r="AO8" t="s">
        <v>18</v>
      </c>
      <c r="AP8">
        <v>0</v>
      </c>
      <c r="AQ8" t="s">
        <v>23</v>
      </c>
      <c r="AR8">
        <v>52</v>
      </c>
      <c r="AS8">
        <v>1906</v>
      </c>
      <c r="AT8">
        <v>8</v>
      </c>
      <c r="AU8" s="2" t="s">
        <v>24</v>
      </c>
      <c r="AV8" t="b">
        <v>1</v>
      </c>
      <c r="AX8" s="2"/>
      <c r="AY8">
        <v>45</v>
      </c>
      <c r="AZ8">
        <v>1</v>
      </c>
      <c r="BA8">
        <v>195</v>
      </c>
      <c r="BB8" t="s">
        <v>709</v>
      </c>
      <c r="BC8">
        <v>50</v>
      </c>
      <c r="BD8" s="2">
        <v>0.34</v>
      </c>
      <c r="BE8" t="s">
        <v>922</v>
      </c>
      <c r="BF8" t="s">
        <v>921</v>
      </c>
      <c r="BG8" t="s">
        <v>939</v>
      </c>
      <c r="BH8" s="7">
        <v>15</v>
      </c>
      <c r="BI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8">
        <v>0</v>
      </c>
      <c r="BK8" t="s">
        <v>733</v>
      </c>
      <c r="BL8" s="11"/>
      <c r="BM8" s="11"/>
      <c r="BN8" s="11">
        <v>32</v>
      </c>
      <c r="BO8">
        <v>0</v>
      </c>
      <c r="BP8" t="s">
        <v>691</v>
      </c>
      <c r="BQ8" t="s">
        <v>693</v>
      </c>
      <c r="BR8" t="s">
        <v>700</v>
      </c>
      <c r="BS8" t="s">
        <v>704</v>
      </c>
      <c r="BT8" t="s">
        <v>705</v>
      </c>
      <c r="BU8" t="s">
        <v>706</v>
      </c>
      <c r="CT8"/>
      <c r="CU8"/>
      <c r="CV8"/>
    </row>
    <row r="9" spans="1:100" x14ac:dyDescent="0.4">
      <c r="A9" s="2" t="s">
        <v>29</v>
      </c>
      <c r="B9" t="str">
        <f>_xlfn.TEXTAFTER(Table1[[#This Row],[VEHIDCODE]],"_")</f>
        <v>South_Africa_CSAR_Railmotor</v>
      </c>
      <c r="C9" t="s">
        <v>735</v>
      </c>
      <c r="D9" t="s">
        <v>950</v>
      </c>
      <c r="E9">
        <v>1005</v>
      </c>
      <c r="F9" t="b">
        <f>OR(ISNUMBER(SEARCH("wagon_",Table1[[#This Row],[FILENAMES_EXPECTED]])),ISNUMBER(SEARCH("coach_",Table1[[#This Row],[FILENAMES_EXPECTED]])))</f>
        <v>0</v>
      </c>
      <c r="G9" t="str">
        <f>"item_"&amp;Table1[[#This Row],[VEHIDCODE]]</f>
        <v>item_rbs_South_Africa_CSAR_Railmotor</v>
      </c>
      <c r="H9" t="str">
        <f>"str_"&amp;Table1[[#This Row],[VEHIDCODE]]</f>
        <v>str_rbs_South_Africa_CSAR_Railmotor</v>
      </c>
      <c r="Q9" s="2" t="b">
        <v>1</v>
      </c>
      <c r="AL9" s="2"/>
      <c r="AM9" s="2" t="b">
        <f>LEN(_xlfn.CONCAT(Table1[[#This Row],[TRACK_TYPE_STANDARD_GAUGE_RAILTYPE_OHLE]:[TRACK_TYPE_MTRO]]))&gt;0</f>
        <v>1</v>
      </c>
      <c r="AN9">
        <v>4</v>
      </c>
      <c r="AO9" t="s">
        <v>18</v>
      </c>
      <c r="AP9">
        <v>0</v>
      </c>
      <c r="AQ9" t="s">
        <v>23</v>
      </c>
      <c r="AR9">
        <v>50</v>
      </c>
      <c r="AS9">
        <v>1906</v>
      </c>
      <c r="AT9">
        <v>8</v>
      </c>
      <c r="AU9" s="2" t="s">
        <v>24</v>
      </c>
      <c r="AV9" t="b">
        <v>1</v>
      </c>
      <c r="AX9" s="2"/>
      <c r="AY9">
        <v>45</v>
      </c>
      <c r="AZ9">
        <v>1</v>
      </c>
      <c r="BA9">
        <v>86</v>
      </c>
      <c r="BB9" t="s">
        <v>709</v>
      </c>
      <c r="BC9">
        <v>60</v>
      </c>
      <c r="BD9" s="2">
        <v>0.33</v>
      </c>
      <c r="BE9" t="s">
        <v>925</v>
      </c>
      <c r="BF9" t="s">
        <v>921</v>
      </c>
      <c r="BG9" t="s">
        <v>939</v>
      </c>
      <c r="BH9" s="7">
        <v>15</v>
      </c>
      <c r="BI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9">
        <v>0</v>
      </c>
      <c r="BK9" t="s">
        <v>733</v>
      </c>
      <c r="BL9" s="11"/>
      <c r="BM9" s="11"/>
      <c r="BN9" s="11">
        <v>35</v>
      </c>
      <c r="BO9">
        <v>0</v>
      </c>
      <c r="BP9" t="s">
        <v>691</v>
      </c>
      <c r="BQ9" t="s">
        <v>693</v>
      </c>
      <c r="BR9" t="s">
        <v>700</v>
      </c>
      <c r="BS9" t="s">
        <v>704</v>
      </c>
      <c r="BT9" t="s">
        <v>705</v>
      </c>
      <c r="BU9" t="s">
        <v>706</v>
      </c>
      <c r="CT9"/>
      <c r="CU9"/>
      <c r="CV9"/>
    </row>
    <row r="10" spans="1:100" x14ac:dyDescent="0.4">
      <c r="A10" s="2" t="s">
        <v>30</v>
      </c>
      <c r="B10" t="str">
        <f>_xlfn.TEXTAFTER(Table1[[#This Row],[VEHIDCODE]],"_")</f>
        <v>Australia_Victorian_Railways_Motor_Car_3</v>
      </c>
      <c r="C10" t="s">
        <v>735</v>
      </c>
      <c r="D10" t="s">
        <v>950</v>
      </c>
      <c r="E10">
        <v>1006</v>
      </c>
      <c r="F10" t="b">
        <f>OR(ISNUMBER(SEARCH("wagon_",Table1[[#This Row],[FILENAMES_EXPECTED]])),ISNUMBER(SEARCH("coach_",Table1[[#This Row],[FILENAMES_EXPECTED]])))</f>
        <v>0</v>
      </c>
      <c r="G10" t="str">
        <f>"item_"&amp;Table1[[#This Row],[VEHIDCODE]]</f>
        <v>item_rbs_Australia_Victorian_Railways_Motor_Car_3</v>
      </c>
      <c r="H10" t="str">
        <f>"str_"&amp;Table1[[#This Row],[VEHIDCODE]]</f>
        <v>str_rbs_Australia_Victorian_Railways_Motor_Car_3</v>
      </c>
      <c r="Q10" s="2" t="b">
        <v>1</v>
      </c>
      <c r="AL10" s="2"/>
      <c r="AM10" s="2" t="b">
        <f>LEN(_xlfn.CONCAT(Table1[[#This Row],[TRACK_TYPE_STANDARD_GAUGE_RAILTYPE_OHLE]:[TRACK_TYPE_MTRO]]))&gt;0</f>
        <v>1</v>
      </c>
      <c r="AN10">
        <v>6</v>
      </c>
      <c r="AO10" t="s">
        <v>18</v>
      </c>
      <c r="AP10">
        <v>0</v>
      </c>
      <c r="AQ10" t="s">
        <v>23</v>
      </c>
      <c r="AR10">
        <v>32</v>
      </c>
      <c r="AS10">
        <v>1912</v>
      </c>
      <c r="AT10">
        <v>6</v>
      </c>
      <c r="AU10" s="2" t="s">
        <v>24</v>
      </c>
      <c r="AV10" t="b">
        <v>1</v>
      </c>
      <c r="AX10" s="2"/>
      <c r="AY10">
        <v>45</v>
      </c>
      <c r="AZ10">
        <v>1</v>
      </c>
      <c r="BA10">
        <v>91</v>
      </c>
      <c r="BB10" t="s">
        <v>709</v>
      </c>
      <c r="BC10">
        <v>55</v>
      </c>
      <c r="BD10" s="2">
        <v>0.34</v>
      </c>
      <c r="BE10" t="s">
        <v>924</v>
      </c>
      <c r="BF10" t="s">
        <v>921</v>
      </c>
      <c r="BG10" t="s">
        <v>939</v>
      </c>
      <c r="BH10" s="7">
        <v>15</v>
      </c>
      <c r="BI1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10">
        <v>0</v>
      </c>
      <c r="BK10" t="s">
        <v>733</v>
      </c>
      <c r="BL10" s="11"/>
      <c r="BM10" s="11"/>
      <c r="BN10" s="11">
        <v>42</v>
      </c>
      <c r="BO10">
        <v>0</v>
      </c>
      <c r="BP10" t="s">
        <v>691</v>
      </c>
      <c r="BQ10" t="s">
        <v>693</v>
      </c>
      <c r="BR10" t="s">
        <v>700</v>
      </c>
      <c r="BS10" t="s">
        <v>704</v>
      </c>
      <c r="BT10" t="s">
        <v>705</v>
      </c>
      <c r="BU10" t="s">
        <v>706</v>
      </c>
      <c r="CT10"/>
      <c r="CU10"/>
      <c r="CV10"/>
    </row>
    <row r="11" spans="1:100" x14ac:dyDescent="0.4">
      <c r="A11" s="2" t="s">
        <v>31</v>
      </c>
      <c r="B11" t="str">
        <f>_xlfn.TEXTAFTER(Table1[[#This Row],[VEHIDCODE]],"_")</f>
        <v>Austria_kkStB_4_0</v>
      </c>
      <c r="C11" t="s">
        <v>735</v>
      </c>
      <c r="D11" t="s">
        <v>950</v>
      </c>
      <c r="E11">
        <v>1007</v>
      </c>
      <c r="F11" t="b">
        <f>OR(ISNUMBER(SEARCH("wagon_",Table1[[#This Row],[FILENAMES_EXPECTED]])),ISNUMBER(SEARCH("coach_",Table1[[#This Row],[FILENAMES_EXPECTED]])))</f>
        <v>0</v>
      </c>
      <c r="G11" t="str">
        <f>"item_"&amp;Table1[[#This Row],[VEHIDCODE]]</f>
        <v>item_rbs_Austria_kkStB_4_0</v>
      </c>
      <c r="H11" t="str">
        <f>"str_"&amp;Table1[[#This Row],[VEHIDCODE]]</f>
        <v>str_rbs_Austria_kkStB_4_0</v>
      </c>
      <c r="Q11" s="2" t="b">
        <v>1</v>
      </c>
      <c r="AL11" s="2"/>
      <c r="AM11" s="2" t="b">
        <f>LEN(_xlfn.CONCAT(Table1[[#This Row],[TRACK_TYPE_STANDARD_GAUGE_RAILTYPE_OHLE]:[TRACK_TYPE_MTRO]]))&gt;0</f>
        <v>1</v>
      </c>
      <c r="AN11">
        <v>5</v>
      </c>
      <c r="AO11" t="s">
        <v>32</v>
      </c>
      <c r="AP11">
        <v>0</v>
      </c>
      <c r="AQ11" t="s">
        <v>23</v>
      </c>
      <c r="AR11">
        <v>14</v>
      </c>
      <c r="AS11">
        <v>1880</v>
      </c>
      <c r="AT11">
        <v>5</v>
      </c>
      <c r="AU11" s="2" t="s">
        <v>33</v>
      </c>
      <c r="AV11" t="b">
        <v>1</v>
      </c>
      <c r="AX11" s="2"/>
      <c r="AY11">
        <v>45</v>
      </c>
      <c r="AZ11">
        <v>0</v>
      </c>
      <c r="BA11">
        <v>28</v>
      </c>
      <c r="BB11" t="s">
        <v>709</v>
      </c>
      <c r="BC11">
        <v>45</v>
      </c>
      <c r="BD11" s="2">
        <v>0.34</v>
      </c>
      <c r="BE11" t="s">
        <v>922</v>
      </c>
      <c r="BF11" t="s">
        <v>921</v>
      </c>
      <c r="BG11" t="s">
        <v>939</v>
      </c>
      <c r="BH11" s="7">
        <v>15</v>
      </c>
      <c r="BI1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11">
        <v>-3</v>
      </c>
      <c r="BK11" t="s">
        <v>733</v>
      </c>
      <c r="BL11" s="11"/>
      <c r="BM11" s="11"/>
      <c r="BN11" s="11">
        <v>20</v>
      </c>
      <c r="BO11">
        <v>0</v>
      </c>
      <c r="BP11" t="s">
        <v>691</v>
      </c>
      <c r="BQ11" t="s">
        <v>693</v>
      </c>
      <c r="BR11" t="s">
        <v>700</v>
      </c>
      <c r="BS11" t="s">
        <v>704</v>
      </c>
      <c r="BT11" t="s">
        <v>705</v>
      </c>
      <c r="BU11" t="s">
        <v>706</v>
      </c>
      <c r="CT11"/>
      <c r="CU11"/>
      <c r="CV11"/>
    </row>
    <row r="12" spans="1:100" x14ac:dyDescent="0.4">
      <c r="A12" s="2" t="s">
        <v>34</v>
      </c>
      <c r="B12" t="str">
        <f>_xlfn.TEXTAFTER(Table1[[#This Row],[VEHIDCODE]],"_")</f>
        <v>Australia_Victorian_Railways_AEC_RM1</v>
      </c>
      <c r="C12" t="s">
        <v>736</v>
      </c>
      <c r="D12" t="s">
        <v>953</v>
      </c>
      <c r="E12">
        <v>2000</v>
      </c>
      <c r="F12" t="b">
        <f>OR(ISNUMBER(SEARCH("wagon_",Table1[[#This Row],[FILENAMES_EXPECTED]])),ISNUMBER(SEARCH("coach_",Table1[[#This Row],[FILENAMES_EXPECTED]])))</f>
        <v>0</v>
      </c>
      <c r="G12" t="str">
        <f>"item_"&amp;Table1[[#This Row],[VEHIDCODE]]</f>
        <v>item_rbd_Australia_Victorian_Railways_AEC_RM1</v>
      </c>
      <c r="H12" t="str">
        <f>"str_"&amp;Table1[[#This Row],[VEHIDCODE]]</f>
        <v>str_rbd_Australia_Victorian_Railways_AEC_RM1</v>
      </c>
      <c r="Q12" s="2" t="b">
        <v>1</v>
      </c>
      <c r="AL12" s="2"/>
      <c r="AM12" s="2" t="b">
        <f>LEN(_xlfn.CONCAT(Table1[[#This Row],[TRACK_TYPE_STANDARD_GAUGE_RAILTYPE_OHLE]:[TRACK_TYPE_MTRO]]))&gt;0</f>
        <v>1</v>
      </c>
      <c r="AN12">
        <v>5</v>
      </c>
      <c r="AO12" t="s">
        <v>18</v>
      </c>
      <c r="AP12">
        <v>0</v>
      </c>
      <c r="AQ12" t="s">
        <v>35</v>
      </c>
      <c r="AR12">
        <v>33</v>
      </c>
      <c r="AS12">
        <v>1922</v>
      </c>
      <c r="AT12">
        <v>5</v>
      </c>
      <c r="AU12" s="2" t="s">
        <v>24</v>
      </c>
      <c r="AV12" t="b">
        <v>1</v>
      </c>
      <c r="AX12" s="2"/>
      <c r="AY12">
        <v>45</v>
      </c>
      <c r="AZ12">
        <v>1</v>
      </c>
      <c r="BA12">
        <v>45</v>
      </c>
      <c r="BB12" t="s">
        <v>710</v>
      </c>
      <c r="BC12">
        <v>50</v>
      </c>
      <c r="BD12" s="2">
        <v>0.1</v>
      </c>
      <c r="BE12" t="s">
        <v>924</v>
      </c>
      <c r="BF12" t="s">
        <v>921</v>
      </c>
      <c r="BG12" t="s">
        <v>939</v>
      </c>
      <c r="BH12" s="7">
        <v>15</v>
      </c>
      <c r="BI1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12">
        <v>-3</v>
      </c>
      <c r="BK12" t="s">
        <v>733</v>
      </c>
      <c r="BL12" s="11"/>
      <c r="BM12" s="11"/>
      <c r="BN12" s="11">
        <v>24</v>
      </c>
      <c r="BO12">
        <v>0</v>
      </c>
      <c r="BP12" t="s">
        <v>691</v>
      </c>
      <c r="BQ12" t="s">
        <v>693</v>
      </c>
      <c r="BR12" t="s">
        <v>700</v>
      </c>
      <c r="BS12" t="s">
        <v>704</v>
      </c>
      <c r="BT12" t="s">
        <v>705</v>
      </c>
      <c r="BU12" t="s">
        <v>706</v>
      </c>
      <c r="CT12"/>
      <c r="CU12"/>
      <c r="CV12"/>
    </row>
    <row r="13" spans="1:100" x14ac:dyDescent="0.4">
      <c r="A13" s="2" t="s">
        <v>36</v>
      </c>
      <c r="B13" t="str">
        <f>_xlfn.TEXTAFTER(Table1[[#This Row],[VEHIDCODE]],"_")</f>
        <v>Germany_DB_VT_133</v>
      </c>
      <c r="C13" t="s">
        <v>736</v>
      </c>
      <c r="D13" t="s">
        <v>953</v>
      </c>
      <c r="E13">
        <v>2001</v>
      </c>
      <c r="F13" t="b">
        <f>OR(ISNUMBER(SEARCH("wagon_",Table1[[#This Row],[FILENAMES_EXPECTED]])),ISNUMBER(SEARCH("coach_",Table1[[#This Row],[FILENAMES_EXPECTED]])))</f>
        <v>0</v>
      </c>
      <c r="G13" t="str">
        <f>"item_"&amp;Table1[[#This Row],[VEHIDCODE]]</f>
        <v>item_rbd_Germany_DB_VT_133</v>
      </c>
      <c r="H13" t="str">
        <f>"str_"&amp;Table1[[#This Row],[VEHIDCODE]]</f>
        <v>str_rbd_Germany_DB_VT_133</v>
      </c>
      <c r="Q13" s="2" t="b">
        <v>1</v>
      </c>
      <c r="AL13" s="2"/>
      <c r="AM13" s="2" t="b">
        <f>LEN(_xlfn.CONCAT(Table1[[#This Row],[TRACK_TYPE_STANDARD_GAUGE_RAILTYPE_OHLE]:[TRACK_TYPE_MTRO]]))&gt;0</f>
        <v>1</v>
      </c>
      <c r="AN13">
        <v>6</v>
      </c>
      <c r="AO13" t="s">
        <v>18</v>
      </c>
      <c r="AP13">
        <v>0</v>
      </c>
      <c r="AQ13" t="s">
        <v>35</v>
      </c>
      <c r="AR13">
        <v>24</v>
      </c>
      <c r="AS13">
        <v>1932</v>
      </c>
      <c r="AT13">
        <v>6</v>
      </c>
      <c r="AU13" s="2" t="s">
        <v>24</v>
      </c>
      <c r="AV13" t="b">
        <v>1</v>
      </c>
      <c r="AX13" s="2"/>
      <c r="AY13">
        <v>45</v>
      </c>
      <c r="AZ13">
        <v>1</v>
      </c>
      <c r="BA13">
        <v>38</v>
      </c>
      <c r="BB13" t="s">
        <v>710</v>
      </c>
      <c r="BC13">
        <v>56</v>
      </c>
      <c r="BD13" s="2">
        <v>0.5</v>
      </c>
      <c r="BE13" t="s">
        <v>922</v>
      </c>
      <c r="BF13" t="s">
        <v>921</v>
      </c>
      <c r="BG13" t="s">
        <v>939</v>
      </c>
      <c r="BH13" s="7">
        <v>15</v>
      </c>
      <c r="BI1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13">
        <v>-3</v>
      </c>
      <c r="BK13" t="s">
        <v>733</v>
      </c>
      <c r="BL13" s="11"/>
      <c r="BM13" s="11"/>
      <c r="BN13" s="11">
        <v>6</v>
      </c>
      <c r="BO13">
        <v>0</v>
      </c>
      <c r="BP13" t="s">
        <v>691</v>
      </c>
      <c r="BQ13" t="s">
        <v>693</v>
      </c>
      <c r="BR13" t="s">
        <v>700</v>
      </c>
      <c r="BS13" t="s">
        <v>704</v>
      </c>
      <c r="BT13" t="s">
        <v>705</v>
      </c>
      <c r="BU13" t="s">
        <v>706</v>
      </c>
      <c r="CT13"/>
      <c r="CU13"/>
      <c r="CV13"/>
    </row>
    <row r="14" spans="1:100" x14ac:dyDescent="0.4">
      <c r="A14" s="2" t="s">
        <v>37</v>
      </c>
      <c r="B14" t="str">
        <f>_xlfn.TEXTAFTER(Table1[[#This Row],[VEHIDCODE]],"_")</f>
        <v>United_Kingdom_GWR_AEC_Railcar</v>
      </c>
      <c r="C14" t="s">
        <v>736</v>
      </c>
      <c r="D14" t="s">
        <v>953</v>
      </c>
      <c r="E14">
        <v>2002</v>
      </c>
      <c r="F14" t="b">
        <f>OR(ISNUMBER(SEARCH("wagon_",Table1[[#This Row],[FILENAMES_EXPECTED]])),ISNUMBER(SEARCH("coach_",Table1[[#This Row],[FILENAMES_EXPECTED]])))</f>
        <v>0</v>
      </c>
      <c r="G14" t="str">
        <f>"item_"&amp;Table1[[#This Row],[VEHIDCODE]]</f>
        <v>item_rbd_United_Kingdom_GWR_AEC_Railcar</v>
      </c>
      <c r="H14" t="str">
        <f>"str_"&amp;Table1[[#This Row],[VEHIDCODE]]</f>
        <v>str_rbd_United_Kingdom_GWR_AEC_Railcar</v>
      </c>
      <c r="Q14" s="2" t="b">
        <v>1</v>
      </c>
      <c r="AL14" s="2"/>
      <c r="AM14" s="2" t="b">
        <f>LEN(_xlfn.CONCAT(Table1[[#This Row],[TRACK_TYPE_STANDARD_GAUGE_RAILTYPE_OHLE]:[TRACK_TYPE_MTRO]]))&gt;0</f>
        <v>1</v>
      </c>
      <c r="AN14">
        <v>6</v>
      </c>
      <c r="AO14" t="s">
        <v>18</v>
      </c>
      <c r="AP14">
        <v>0</v>
      </c>
      <c r="AQ14" t="s">
        <v>35</v>
      </c>
      <c r="AR14">
        <v>70</v>
      </c>
      <c r="AS14">
        <v>1933</v>
      </c>
      <c r="AT14">
        <v>6</v>
      </c>
      <c r="AU14" s="2" t="s">
        <v>24</v>
      </c>
      <c r="AV14" t="b">
        <v>1</v>
      </c>
      <c r="AX14" s="2"/>
      <c r="AY14">
        <v>45</v>
      </c>
      <c r="AZ14">
        <v>1</v>
      </c>
      <c r="BA14">
        <v>175</v>
      </c>
      <c r="BB14" t="s">
        <v>710</v>
      </c>
      <c r="BC14">
        <v>80</v>
      </c>
      <c r="BD14" s="2">
        <v>0.27</v>
      </c>
      <c r="BE14" t="s">
        <v>926</v>
      </c>
      <c r="BF14" t="s">
        <v>921</v>
      </c>
      <c r="BG14" t="s">
        <v>939</v>
      </c>
      <c r="BH14" s="7">
        <v>15</v>
      </c>
      <c r="BI1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14">
        <v>-3</v>
      </c>
      <c r="BK14" t="s">
        <v>733</v>
      </c>
      <c r="BL14" s="11"/>
      <c r="BM14" s="11"/>
      <c r="BN14" s="11">
        <v>25</v>
      </c>
      <c r="BO14">
        <v>0</v>
      </c>
      <c r="BP14" t="s">
        <v>691</v>
      </c>
      <c r="BQ14" t="s">
        <v>693</v>
      </c>
      <c r="BR14" t="s">
        <v>700</v>
      </c>
      <c r="BS14" t="s">
        <v>704</v>
      </c>
      <c r="BT14" t="s">
        <v>705</v>
      </c>
      <c r="BU14" t="s">
        <v>706</v>
      </c>
      <c r="CT14"/>
      <c r="CU14"/>
      <c r="CV14"/>
    </row>
    <row r="15" spans="1:100" x14ac:dyDescent="0.4">
      <c r="A15" s="2" t="s">
        <v>38</v>
      </c>
      <c r="B15" t="str">
        <f>_xlfn.TEXTAFTER(Table1[[#This Row],[VEHIDCODE]],"_")</f>
        <v>Austria_OBB_5042</v>
      </c>
      <c r="C15" t="s">
        <v>736</v>
      </c>
      <c r="D15" t="s">
        <v>953</v>
      </c>
      <c r="E15">
        <v>2003</v>
      </c>
      <c r="F15" t="b">
        <f>OR(ISNUMBER(SEARCH("wagon_",Table1[[#This Row],[FILENAMES_EXPECTED]])),ISNUMBER(SEARCH("coach_",Table1[[#This Row],[FILENAMES_EXPECTED]])))</f>
        <v>0</v>
      </c>
      <c r="G15" t="str">
        <f>"item_"&amp;Table1[[#This Row],[VEHIDCODE]]</f>
        <v>item_rbd_Austria_OBB_5042</v>
      </c>
      <c r="H15" t="str">
        <f>"str_"&amp;Table1[[#This Row],[VEHIDCODE]]</f>
        <v>str_rbd_Austria_OBB_5042</v>
      </c>
      <c r="Q15" s="2" t="b">
        <v>1</v>
      </c>
      <c r="AL15" s="2"/>
      <c r="AM15" s="2" t="b">
        <f>LEN(_xlfn.CONCAT(Table1[[#This Row],[TRACK_TYPE_STANDARD_GAUGE_RAILTYPE_OHLE]:[TRACK_TYPE_MTRO]]))&gt;0</f>
        <v>1</v>
      </c>
      <c r="AN15">
        <v>8</v>
      </c>
      <c r="AO15" t="s">
        <v>18</v>
      </c>
      <c r="AP15">
        <v>0</v>
      </c>
      <c r="AQ15" t="s">
        <v>35</v>
      </c>
      <c r="AR15">
        <v>78</v>
      </c>
      <c r="AS15">
        <v>1935</v>
      </c>
      <c r="AT15">
        <v>8</v>
      </c>
      <c r="AU15" s="2" t="s">
        <v>24</v>
      </c>
      <c r="AV15" t="b">
        <v>1</v>
      </c>
      <c r="AX15" s="2"/>
      <c r="AY15">
        <v>45</v>
      </c>
      <c r="AZ15">
        <v>1</v>
      </c>
      <c r="BA15">
        <v>410</v>
      </c>
      <c r="BB15" t="s">
        <v>710</v>
      </c>
      <c r="BC15">
        <v>110</v>
      </c>
      <c r="BD15" s="2">
        <v>0.08</v>
      </c>
      <c r="BE15" t="s">
        <v>922</v>
      </c>
      <c r="BF15" t="s">
        <v>921</v>
      </c>
      <c r="BG15" t="s">
        <v>939</v>
      </c>
      <c r="BH15" s="7">
        <v>15</v>
      </c>
      <c r="BI1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15">
        <v>-3</v>
      </c>
      <c r="BK15" t="s">
        <v>733</v>
      </c>
      <c r="BL15" s="11"/>
      <c r="BM15" s="11"/>
      <c r="BN15" s="11">
        <v>59</v>
      </c>
      <c r="BO15">
        <v>0</v>
      </c>
      <c r="BP15" t="s">
        <v>691</v>
      </c>
      <c r="BQ15" t="s">
        <v>693</v>
      </c>
      <c r="BR15" t="s">
        <v>700</v>
      </c>
      <c r="BS15" t="s">
        <v>704</v>
      </c>
      <c r="BT15" t="s">
        <v>705</v>
      </c>
      <c r="BU15" t="s">
        <v>706</v>
      </c>
      <c r="CT15"/>
      <c r="CU15"/>
      <c r="CV15"/>
    </row>
    <row r="16" spans="1:100" x14ac:dyDescent="0.4">
      <c r="A16" s="2" t="s">
        <v>39</v>
      </c>
      <c r="B16" t="str">
        <f>_xlfn.TEXTAFTER(Table1[[#This Row],[VEHIDCODE]],"_")</f>
        <v>New_Zealand_NZR_RM31</v>
      </c>
      <c r="C16" t="s">
        <v>736</v>
      </c>
      <c r="D16" t="s">
        <v>953</v>
      </c>
      <c r="E16">
        <v>2004</v>
      </c>
      <c r="F16" t="b">
        <f>OR(ISNUMBER(SEARCH("wagon_",Table1[[#This Row],[FILENAMES_EXPECTED]])),ISNUMBER(SEARCH("coach_",Table1[[#This Row],[FILENAMES_EXPECTED]])))</f>
        <v>0</v>
      </c>
      <c r="G16" t="str">
        <f>"item_"&amp;Table1[[#This Row],[VEHIDCODE]]</f>
        <v>item_rbd_New_Zealand_NZR_RM31</v>
      </c>
      <c r="H16" t="str">
        <f>"str_"&amp;Table1[[#This Row],[VEHIDCODE]]</f>
        <v>str_rbd_New_Zealand_NZR_RM31</v>
      </c>
      <c r="Z16" s="2" t="b">
        <v>1</v>
      </c>
      <c r="AL16" s="2"/>
      <c r="AM16" s="2" t="b">
        <f>LEN(_xlfn.CONCAT(Table1[[#This Row],[TRACK_TYPE_STANDARD_GAUGE_RAILTYPE_OHLE]:[TRACK_TYPE_MTRO]]))&gt;0</f>
        <v>1</v>
      </c>
      <c r="AN16">
        <v>8</v>
      </c>
      <c r="AO16" t="s">
        <v>18</v>
      </c>
      <c r="AP16">
        <v>0</v>
      </c>
      <c r="AQ16" t="s">
        <v>35</v>
      </c>
      <c r="AR16">
        <v>50</v>
      </c>
      <c r="AS16">
        <v>1940</v>
      </c>
      <c r="AT16">
        <v>8</v>
      </c>
      <c r="AU16" s="2" t="s">
        <v>24</v>
      </c>
      <c r="AV16" t="b">
        <v>1</v>
      </c>
      <c r="AX16" s="2"/>
      <c r="AY16">
        <v>45</v>
      </c>
      <c r="AZ16">
        <v>1</v>
      </c>
      <c r="BA16">
        <v>250</v>
      </c>
      <c r="BB16" t="s">
        <v>710</v>
      </c>
      <c r="BC16">
        <v>120</v>
      </c>
      <c r="BD16" s="2">
        <v>0.2</v>
      </c>
      <c r="BE16" t="s">
        <v>924</v>
      </c>
      <c r="BF16" t="s">
        <v>921</v>
      </c>
      <c r="BG16" t="s">
        <v>939</v>
      </c>
      <c r="BH16" s="7">
        <v>15</v>
      </c>
      <c r="BI1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16">
        <v>-3</v>
      </c>
      <c r="BK16" t="s">
        <v>733</v>
      </c>
      <c r="BL16" s="11"/>
      <c r="BM16" s="11"/>
      <c r="BN16" s="11">
        <v>37</v>
      </c>
      <c r="BO16">
        <v>0</v>
      </c>
      <c r="BP16" t="s">
        <v>691</v>
      </c>
      <c r="BQ16" t="s">
        <v>693</v>
      </c>
      <c r="BR16" t="s">
        <v>700</v>
      </c>
      <c r="BS16" t="s">
        <v>704</v>
      </c>
      <c r="BT16" t="s">
        <v>705</v>
      </c>
      <c r="BU16" t="s">
        <v>706</v>
      </c>
      <c r="CT16"/>
      <c r="CU16"/>
      <c r="CV16"/>
    </row>
    <row r="17" spans="1:100" x14ac:dyDescent="0.4">
      <c r="A17" s="2" t="s">
        <v>40</v>
      </c>
      <c r="B17" t="str">
        <f>_xlfn.TEXTAFTER(Table1[[#This Row],[VEHIDCODE]],"_")</f>
        <v>Portugal_CP_0100</v>
      </c>
      <c r="C17" t="s">
        <v>736</v>
      </c>
      <c r="D17" t="s">
        <v>953</v>
      </c>
      <c r="E17">
        <v>2005</v>
      </c>
      <c r="F17" t="b">
        <f>OR(ISNUMBER(SEARCH("wagon_",Table1[[#This Row],[FILENAMES_EXPECTED]])),ISNUMBER(SEARCH("coach_",Table1[[#This Row],[FILENAMES_EXPECTED]])))</f>
        <v>0</v>
      </c>
      <c r="G17" t="str">
        <f>"item_"&amp;Table1[[#This Row],[VEHIDCODE]]</f>
        <v>item_rbd_Portugal_CP_0100</v>
      </c>
      <c r="H17" t="str">
        <f>"str_"&amp;Table1[[#This Row],[VEHIDCODE]]</f>
        <v>str_rbd_Portugal_CP_0100</v>
      </c>
      <c r="Q17" s="2" t="b">
        <v>1</v>
      </c>
      <c r="AL17" s="2"/>
      <c r="AM17" s="2" t="b">
        <f>LEN(_xlfn.CONCAT(Table1[[#This Row],[TRACK_TYPE_STANDARD_GAUGE_RAILTYPE_OHLE]:[TRACK_TYPE_MTRO]]))&gt;0</f>
        <v>1</v>
      </c>
      <c r="AN17">
        <v>8</v>
      </c>
      <c r="AO17" t="s">
        <v>18</v>
      </c>
      <c r="AP17">
        <v>0</v>
      </c>
      <c r="AQ17" t="s">
        <v>35</v>
      </c>
      <c r="AR17">
        <v>70</v>
      </c>
      <c r="AS17">
        <v>1948</v>
      </c>
      <c r="AT17">
        <v>8</v>
      </c>
      <c r="AU17" s="2" t="s">
        <v>24</v>
      </c>
      <c r="AV17" t="b">
        <v>1</v>
      </c>
      <c r="AX17" s="2"/>
      <c r="AY17">
        <v>45</v>
      </c>
      <c r="AZ17">
        <v>1</v>
      </c>
      <c r="BA17">
        <v>250</v>
      </c>
      <c r="BB17" t="s">
        <v>710</v>
      </c>
      <c r="BC17">
        <v>112</v>
      </c>
      <c r="BD17" s="2">
        <v>0.26</v>
      </c>
      <c r="BE17" t="s">
        <v>923</v>
      </c>
      <c r="BF17" t="s">
        <v>921</v>
      </c>
      <c r="BG17" t="s">
        <v>939</v>
      </c>
      <c r="BH17" s="7">
        <v>15</v>
      </c>
      <c r="BI1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17">
        <v>-3</v>
      </c>
      <c r="BK17" t="s">
        <v>733</v>
      </c>
      <c r="BL17" s="11"/>
      <c r="BM17" s="11"/>
      <c r="BN17" s="11">
        <v>32</v>
      </c>
      <c r="BO17">
        <v>0</v>
      </c>
      <c r="BP17" t="s">
        <v>691</v>
      </c>
      <c r="BQ17" t="s">
        <v>693</v>
      </c>
      <c r="BR17" t="s">
        <v>700</v>
      </c>
      <c r="BS17" t="s">
        <v>704</v>
      </c>
      <c r="BT17" t="s">
        <v>705</v>
      </c>
      <c r="BU17" t="s">
        <v>706</v>
      </c>
      <c r="CT17"/>
      <c r="CU17"/>
      <c r="CV17"/>
    </row>
    <row r="18" spans="1:100" x14ac:dyDescent="0.4">
      <c r="A18" s="2" t="s">
        <v>41</v>
      </c>
      <c r="B18" t="str">
        <f>_xlfn.TEXTAFTER(Table1[[#This Row],[VEHIDCODE]],"_")</f>
        <v>USA_Amtrak_Budd_RDC</v>
      </c>
      <c r="C18" t="s">
        <v>736</v>
      </c>
      <c r="D18" t="s">
        <v>953</v>
      </c>
      <c r="E18">
        <v>2006</v>
      </c>
      <c r="F18" t="b">
        <f>OR(ISNUMBER(SEARCH("wagon_",Table1[[#This Row],[FILENAMES_EXPECTED]])),ISNUMBER(SEARCH("coach_",Table1[[#This Row],[FILENAMES_EXPECTED]])))</f>
        <v>0</v>
      </c>
      <c r="G18" t="str">
        <f>"item_"&amp;Table1[[#This Row],[VEHIDCODE]]</f>
        <v>item_rbd_USA_Amtrak_Budd_RDC</v>
      </c>
      <c r="H18" t="str">
        <f>"str_"&amp;Table1[[#This Row],[VEHIDCODE]]</f>
        <v>str_rbd_USA_Amtrak_Budd_RDC</v>
      </c>
      <c r="Q18" s="2" t="b">
        <v>1</v>
      </c>
      <c r="AL18" s="2"/>
      <c r="AM18" s="2" t="b">
        <f>LEN(_xlfn.CONCAT(Table1[[#This Row],[TRACK_TYPE_STANDARD_GAUGE_RAILTYPE_OHLE]:[TRACK_TYPE_MTRO]]))&gt;0</f>
        <v>1</v>
      </c>
      <c r="AN18">
        <v>8</v>
      </c>
      <c r="AO18" t="s">
        <v>18</v>
      </c>
      <c r="AP18">
        <v>0</v>
      </c>
      <c r="AQ18" t="s">
        <v>35</v>
      </c>
      <c r="AR18">
        <v>90</v>
      </c>
      <c r="AS18">
        <v>1949</v>
      </c>
      <c r="AT18">
        <v>8</v>
      </c>
      <c r="AU18" s="2" t="s">
        <v>24</v>
      </c>
      <c r="AV18" t="b">
        <v>1</v>
      </c>
      <c r="AX18" s="2"/>
      <c r="AY18">
        <v>45</v>
      </c>
      <c r="AZ18">
        <v>1</v>
      </c>
      <c r="BA18">
        <v>550</v>
      </c>
      <c r="BB18" t="s">
        <v>710</v>
      </c>
      <c r="BC18">
        <v>136</v>
      </c>
      <c r="BD18" s="2">
        <v>0.1</v>
      </c>
      <c r="BE18" t="s">
        <v>927</v>
      </c>
      <c r="BF18" t="s">
        <v>921</v>
      </c>
      <c r="BG18" t="s">
        <v>939</v>
      </c>
      <c r="BH18" s="7">
        <v>15</v>
      </c>
      <c r="BI1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18">
        <v>-3</v>
      </c>
      <c r="BK18" t="s">
        <v>733</v>
      </c>
      <c r="BL18" s="11"/>
      <c r="BM18" s="11"/>
      <c r="BN18" s="11">
        <v>49</v>
      </c>
      <c r="BO18">
        <v>0</v>
      </c>
      <c r="BP18" t="s">
        <v>691</v>
      </c>
      <c r="BQ18" t="s">
        <v>693</v>
      </c>
      <c r="BR18" t="s">
        <v>700</v>
      </c>
      <c r="BS18" t="s">
        <v>704</v>
      </c>
      <c r="BT18" t="s">
        <v>705</v>
      </c>
      <c r="BU18" t="s">
        <v>706</v>
      </c>
      <c r="CT18"/>
      <c r="CU18"/>
      <c r="CV18"/>
    </row>
    <row r="19" spans="1:100" x14ac:dyDescent="0.4">
      <c r="A19" s="2" t="s">
        <v>42</v>
      </c>
      <c r="B19" t="str">
        <f>_xlfn.TEXTAFTER(Table1[[#This Row],[VEHIDCODE]],"_")</f>
        <v>Germany_DB_VT_989</v>
      </c>
      <c r="C19" t="s">
        <v>736</v>
      </c>
      <c r="D19" t="s">
        <v>953</v>
      </c>
      <c r="E19">
        <v>2044</v>
      </c>
      <c r="F19" t="b">
        <f>OR(ISNUMBER(SEARCH("wagon_",Table1[[#This Row],[FILENAMES_EXPECTED]])),ISNUMBER(SEARCH("coach_",Table1[[#This Row],[FILENAMES_EXPECTED]])))</f>
        <v>0</v>
      </c>
      <c r="G19" t="str">
        <f>"item_"&amp;Table1[[#This Row],[VEHIDCODE]]</f>
        <v>item_rbd_Germany_DB_VT_989</v>
      </c>
      <c r="H19" t="str">
        <f>"str_"&amp;Table1[[#This Row],[VEHIDCODE]]</f>
        <v>str_rbd_Germany_DB_VT_989</v>
      </c>
      <c r="Q19" s="2" t="b">
        <v>1</v>
      </c>
      <c r="AL19" s="2"/>
      <c r="AM19" s="2" t="b">
        <f>LEN(_xlfn.CONCAT(Table1[[#This Row],[TRACK_TYPE_STANDARD_GAUGE_RAILTYPE_OHLE]:[TRACK_TYPE_MTRO]]))&gt;0</f>
        <v>1</v>
      </c>
      <c r="AN19">
        <v>6</v>
      </c>
      <c r="AO19" t="s">
        <v>18</v>
      </c>
      <c r="AP19">
        <v>0</v>
      </c>
      <c r="AQ19" t="s">
        <v>35</v>
      </c>
      <c r="AR19">
        <v>56</v>
      </c>
      <c r="AS19">
        <v>1953</v>
      </c>
      <c r="AT19">
        <v>6</v>
      </c>
      <c r="AU19" s="2" t="s">
        <v>24</v>
      </c>
      <c r="AV19" t="b">
        <v>1</v>
      </c>
      <c r="AX19" s="2"/>
      <c r="AY19">
        <v>45</v>
      </c>
      <c r="AZ19">
        <v>1</v>
      </c>
      <c r="BA19">
        <v>290</v>
      </c>
      <c r="BB19" t="s">
        <v>710</v>
      </c>
      <c r="BC19">
        <v>90</v>
      </c>
      <c r="BD19" s="2">
        <v>0.2</v>
      </c>
      <c r="BE19" t="s">
        <v>922</v>
      </c>
      <c r="BF19" t="s">
        <v>921</v>
      </c>
      <c r="BG19" t="s">
        <v>939</v>
      </c>
      <c r="BH19" s="7">
        <v>15</v>
      </c>
      <c r="BI1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19">
        <v>-3</v>
      </c>
      <c r="BK19" t="s">
        <v>733</v>
      </c>
      <c r="BL19" s="11"/>
      <c r="BM19" s="11"/>
      <c r="BN19" s="11">
        <v>21</v>
      </c>
      <c r="BO19">
        <v>0</v>
      </c>
      <c r="BP19" t="s">
        <v>691</v>
      </c>
      <c r="BQ19" t="s">
        <v>693</v>
      </c>
      <c r="BR19" t="s">
        <v>700</v>
      </c>
      <c r="BS19" t="s">
        <v>704</v>
      </c>
      <c r="BT19" t="s">
        <v>705</v>
      </c>
      <c r="BU19" t="s">
        <v>706</v>
      </c>
      <c r="CT19"/>
      <c r="CU19"/>
      <c r="CV19"/>
    </row>
    <row r="20" spans="1:100" x14ac:dyDescent="0.4">
      <c r="A20" s="2" t="s">
        <v>43</v>
      </c>
      <c r="B20" t="str">
        <f>_xlfn.TEXTAFTER(Table1[[#This Row],[VEHIDCODE]],"_")</f>
        <v>Germany_OHE_520_GDT</v>
      </c>
      <c r="C20" t="s">
        <v>736</v>
      </c>
      <c r="D20" t="s">
        <v>953</v>
      </c>
      <c r="E20">
        <v>2008</v>
      </c>
      <c r="F20" t="b">
        <f>OR(ISNUMBER(SEARCH("wagon_",Table1[[#This Row],[FILENAMES_EXPECTED]])),ISNUMBER(SEARCH("coach_",Table1[[#This Row],[FILENAMES_EXPECTED]])))</f>
        <v>0</v>
      </c>
      <c r="G20" t="str">
        <f>"item_"&amp;Table1[[#This Row],[VEHIDCODE]]</f>
        <v>item_rbd_Germany_OHE_520_GDT</v>
      </c>
      <c r="H20" t="str">
        <f>"str_"&amp;Table1[[#This Row],[VEHIDCODE]]</f>
        <v>str_rbd_Germany_OHE_520_GDT</v>
      </c>
      <c r="Q20" s="2" t="b">
        <v>1</v>
      </c>
      <c r="AL20" s="2"/>
      <c r="AM20" s="2" t="b">
        <f>LEN(_xlfn.CONCAT(Table1[[#This Row],[TRACK_TYPE_STANDARD_GAUGE_RAILTYPE_OHLE]:[TRACK_TYPE_MTRO]]))&gt;0</f>
        <v>1</v>
      </c>
      <c r="AN20">
        <v>8</v>
      </c>
      <c r="AO20" t="s">
        <v>18</v>
      </c>
      <c r="AP20">
        <v>0</v>
      </c>
      <c r="AQ20" t="s">
        <v>35</v>
      </c>
      <c r="AR20">
        <v>108</v>
      </c>
      <c r="AS20">
        <v>1953</v>
      </c>
      <c r="AT20">
        <v>8</v>
      </c>
      <c r="AU20" s="2" t="s">
        <v>24</v>
      </c>
      <c r="AV20" t="b">
        <v>1</v>
      </c>
      <c r="AX20" s="2"/>
      <c r="AY20">
        <v>45</v>
      </c>
      <c r="AZ20">
        <v>1</v>
      </c>
      <c r="BA20">
        <v>600</v>
      </c>
      <c r="BB20" t="s">
        <v>710</v>
      </c>
      <c r="BC20">
        <v>75</v>
      </c>
      <c r="BD20" s="2">
        <v>0.25</v>
      </c>
      <c r="BE20" t="s">
        <v>922</v>
      </c>
      <c r="BF20" t="s">
        <v>921</v>
      </c>
      <c r="BG20" t="s">
        <v>939</v>
      </c>
      <c r="BH20" s="7">
        <v>15</v>
      </c>
      <c r="BI2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0">
        <v>-3</v>
      </c>
      <c r="BK20" t="s">
        <v>733</v>
      </c>
      <c r="BL20" s="11"/>
      <c r="BM20" s="11"/>
      <c r="BN20" s="11">
        <v>41</v>
      </c>
      <c r="BO20">
        <v>0</v>
      </c>
      <c r="BP20" t="s">
        <v>691</v>
      </c>
      <c r="BQ20" t="s">
        <v>693</v>
      </c>
      <c r="BR20" t="s">
        <v>700</v>
      </c>
      <c r="BS20" t="s">
        <v>704</v>
      </c>
      <c r="BT20" t="s">
        <v>705</v>
      </c>
      <c r="BU20" t="s">
        <v>706</v>
      </c>
      <c r="CT20"/>
      <c r="CU20"/>
      <c r="CV20"/>
    </row>
    <row r="21" spans="1:100" x14ac:dyDescent="0.4">
      <c r="A21" s="2" t="s">
        <v>44</v>
      </c>
      <c r="B21" t="str">
        <f>_xlfn.TEXTAFTER(Table1[[#This Row],[VEHIDCODE]],"_")</f>
        <v>Netherlands_NS_20_Kameel</v>
      </c>
      <c r="C21" t="s">
        <v>736</v>
      </c>
      <c r="D21" t="s">
        <v>953</v>
      </c>
      <c r="E21">
        <v>2009</v>
      </c>
      <c r="F21" t="b">
        <f>OR(ISNUMBER(SEARCH("wagon_",Table1[[#This Row],[FILENAMES_EXPECTED]])),ISNUMBER(SEARCH("coach_",Table1[[#This Row],[FILENAMES_EXPECTED]])))</f>
        <v>0</v>
      </c>
      <c r="G21" t="str">
        <f>"item_"&amp;Table1[[#This Row],[VEHIDCODE]]</f>
        <v>item_rbd_Netherlands_NS_20_Kameel</v>
      </c>
      <c r="H21" t="str">
        <f>"str_"&amp;Table1[[#This Row],[VEHIDCODE]]</f>
        <v>str_rbd_Netherlands_NS_20_Kameel</v>
      </c>
      <c r="Q21" s="2" t="b">
        <v>1</v>
      </c>
      <c r="AL21" s="2"/>
      <c r="AM21" s="2" t="b">
        <f>LEN(_xlfn.CONCAT(Table1[[#This Row],[TRACK_TYPE_STANDARD_GAUGE_RAILTYPE_OHLE]:[TRACK_TYPE_MTRO]]))&gt;0</f>
        <v>1</v>
      </c>
      <c r="AN21">
        <v>8</v>
      </c>
      <c r="AO21" t="s">
        <v>18</v>
      </c>
      <c r="AP21">
        <v>0</v>
      </c>
      <c r="AQ21" t="s">
        <v>35</v>
      </c>
      <c r="AR21">
        <v>28</v>
      </c>
      <c r="AS21">
        <v>1954</v>
      </c>
      <c r="AT21">
        <v>8</v>
      </c>
      <c r="AU21" s="2" t="s">
        <v>24</v>
      </c>
      <c r="AV21" t="b">
        <v>1</v>
      </c>
      <c r="AX21" s="2"/>
      <c r="AY21">
        <v>45</v>
      </c>
      <c r="AZ21">
        <v>1</v>
      </c>
      <c r="BA21">
        <v>285</v>
      </c>
      <c r="BB21" t="s">
        <v>710</v>
      </c>
      <c r="BC21">
        <v>125</v>
      </c>
      <c r="BD21" s="2">
        <v>0.12</v>
      </c>
      <c r="BE21" t="s">
        <v>922</v>
      </c>
      <c r="BF21" t="s">
        <v>921</v>
      </c>
      <c r="BG21" t="s">
        <v>939</v>
      </c>
      <c r="BH21" s="7">
        <v>15</v>
      </c>
      <c r="BI2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1">
        <v>-3</v>
      </c>
      <c r="BK21" t="s">
        <v>733</v>
      </c>
      <c r="BL21" s="11"/>
      <c r="BM21" s="11"/>
      <c r="BN21" s="11">
        <v>58</v>
      </c>
      <c r="BO21">
        <v>0</v>
      </c>
      <c r="BP21" t="s">
        <v>691</v>
      </c>
      <c r="BQ21" t="s">
        <v>693</v>
      </c>
      <c r="BR21" t="s">
        <v>700</v>
      </c>
      <c r="BS21" t="s">
        <v>704</v>
      </c>
      <c r="BT21" t="s">
        <v>705</v>
      </c>
      <c r="BU21" t="s">
        <v>706</v>
      </c>
      <c r="CT21"/>
      <c r="CU21"/>
      <c r="CV21"/>
    </row>
    <row r="22" spans="1:100" x14ac:dyDescent="0.4">
      <c r="A22" s="2" t="s">
        <v>45</v>
      </c>
      <c r="B22" t="str">
        <f>_xlfn.TEXTAFTER(Table1[[#This Row],[VEHIDCODE]],"_")</f>
        <v>Netherlands_NS_DH1</v>
      </c>
      <c r="C22" t="s">
        <v>736</v>
      </c>
      <c r="D22" t="s">
        <v>953</v>
      </c>
      <c r="E22">
        <v>2012</v>
      </c>
      <c r="F22" t="b">
        <f>OR(ISNUMBER(SEARCH("wagon_",Table1[[#This Row],[FILENAMES_EXPECTED]])),ISNUMBER(SEARCH("coach_",Table1[[#This Row],[FILENAMES_EXPECTED]])))</f>
        <v>0</v>
      </c>
      <c r="G22" t="str">
        <f>"item_"&amp;Table1[[#This Row],[VEHIDCODE]]</f>
        <v>item_rbd_Netherlands_NS_DH1</v>
      </c>
      <c r="H22" t="str">
        <f>"str_"&amp;Table1[[#This Row],[VEHIDCODE]]</f>
        <v>str_rbd_Netherlands_NS_DH1</v>
      </c>
      <c r="Q22" s="2" t="b">
        <v>1</v>
      </c>
      <c r="AL22" s="2"/>
      <c r="AM22" s="2" t="b">
        <f>LEN(_xlfn.CONCAT(Table1[[#This Row],[TRACK_TYPE_STANDARD_GAUGE_RAILTYPE_OHLE]:[TRACK_TYPE_MTRO]]))&gt;0</f>
        <v>1</v>
      </c>
      <c r="AN22">
        <v>8</v>
      </c>
      <c r="AO22" t="s">
        <v>18</v>
      </c>
      <c r="AP22">
        <v>0</v>
      </c>
      <c r="AQ22" t="s">
        <v>35</v>
      </c>
      <c r="AR22">
        <v>56</v>
      </c>
      <c r="AS22">
        <v>1984</v>
      </c>
      <c r="AT22">
        <v>8</v>
      </c>
      <c r="AU22" s="2" t="s">
        <v>24</v>
      </c>
      <c r="AV22" t="b">
        <v>1</v>
      </c>
      <c r="AX22" s="2"/>
      <c r="AY22">
        <v>45</v>
      </c>
      <c r="AZ22">
        <v>1</v>
      </c>
      <c r="BA22">
        <v>285</v>
      </c>
      <c r="BB22" t="s">
        <v>710</v>
      </c>
      <c r="BC22">
        <v>100</v>
      </c>
      <c r="BD22" s="2">
        <v>0.23</v>
      </c>
      <c r="BE22" t="s">
        <v>922</v>
      </c>
      <c r="BF22" t="s">
        <v>921</v>
      </c>
      <c r="BG22" t="s">
        <v>939</v>
      </c>
      <c r="BH22" s="7">
        <v>15</v>
      </c>
      <c r="BI2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2">
        <v>-3</v>
      </c>
      <c r="BK22" t="s">
        <v>733</v>
      </c>
      <c r="BL22" s="11"/>
      <c r="BM22" s="11"/>
      <c r="BN22" s="11">
        <v>37</v>
      </c>
      <c r="BO22">
        <v>0</v>
      </c>
      <c r="BP22" t="s">
        <v>691</v>
      </c>
      <c r="BQ22" t="s">
        <v>693</v>
      </c>
      <c r="BR22" t="s">
        <v>700</v>
      </c>
      <c r="BS22" t="s">
        <v>704</v>
      </c>
      <c r="BT22" t="s">
        <v>705</v>
      </c>
      <c r="BU22" t="s">
        <v>706</v>
      </c>
      <c r="CT22"/>
      <c r="CU22"/>
      <c r="CV22"/>
    </row>
    <row r="23" spans="1:100" x14ac:dyDescent="0.4">
      <c r="A23" s="2" t="s">
        <v>46</v>
      </c>
      <c r="B23" t="str">
        <f>_xlfn.TEXTAFTER(Table1[[#This Row],[VEHIDCODE]],"_")</f>
        <v>Austria_OBB_5047</v>
      </c>
      <c r="C23" t="s">
        <v>736</v>
      </c>
      <c r="D23" t="s">
        <v>953</v>
      </c>
      <c r="E23">
        <v>2013</v>
      </c>
      <c r="F23" t="b">
        <f>OR(ISNUMBER(SEARCH("wagon_",Table1[[#This Row],[FILENAMES_EXPECTED]])),ISNUMBER(SEARCH("coach_",Table1[[#This Row],[FILENAMES_EXPECTED]])))</f>
        <v>0</v>
      </c>
      <c r="G23" t="str">
        <f>"item_"&amp;Table1[[#This Row],[VEHIDCODE]]</f>
        <v>item_rbd_Austria_OBB_5047</v>
      </c>
      <c r="H23" t="str">
        <f>"str_"&amp;Table1[[#This Row],[VEHIDCODE]]</f>
        <v>str_rbd_Austria_OBB_5047</v>
      </c>
      <c r="Q23" s="2" t="b">
        <v>1</v>
      </c>
      <c r="AL23" s="2"/>
      <c r="AM23" s="2" t="b">
        <f>LEN(_xlfn.CONCAT(Table1[[#This Row],[TRACK_TYPE_STANDARD_GAUGE_RAILTYPE_OHLE]:[TRACK_TYPE_MTRO]]))&gt;0</f>
        <v>1</v>
      </c>
      <c r="AN23">
        <v>8</v>
      </c>
      <c r="AO23" t="s">
        <v>18</v>
      </c>
      <c r="AP23">
        <v>0</v>
      </c>
      <c r="AQ23" t="s">
        <v>35</v>
      </c>
      <c r="AR23">
        <v>62</v>
      </c>
      <c r="AS23">
        <v>1987</v>
      </c>
      <c r="AT23">
        <v>8</v>
      </c>
      <c r="AU23" s="2" t="s">
        <v>24</v>
      </c>
      <c r="AV23" t="b">
        <v>1</v>
      </c>
      <c r="AX23" s="2"/>
      <c r="AY23">
        <v>45</v>
      </c>
      <c r="AZ23">
        <v>1</v>
      </c>
      <c r="BA23">
        <v>562</v>
      </c>
      <c r="BB23" t="s">
        <v>710</v>
      </c>
      <c r="BC23">
        <v>120</v>
      </c>
      <c r="BD23" s="2">
        <v>0.11</v>
      </c>
      <c r="BE23" t="s">
        <v>922</v>
      </c>
      <c r="BF23" t="s">
        <v>921</v>
      </c>
      <c r="BG23" t="s">
        <v>939</v>
      </c>
      <c r="BH23" s="7">
        <v>15</v>
      </c>
      <c r="BI2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3">
        <v>-3</v>
      </c>
      <c r="BK23" t="s">
        <v>733</v>
      </c>
      <c r="BL23" s="11"/>
      <c r="BM23" s="11"/>
      <c r="BN23" s="11">
        <v>44</v>
      </c>
      <c r="BO23">
        <v>0</v>
      </c>
      <c r="BP23" t="s">
        <v>691</v>
      </c>
      <c r="BQ23" t="s">
        <v>693</v>
      </c>
      <c r="BR23" t="s">
        <v>700</v>
      </c>
      <c r="BS23" t="s">
        <v>704</v>
      </c>
      <c r="BT23" t="s">
        <v>705</v>
      </c>
      <c r="BU23" t="s">
        <v>706</v>
      </c>
      <c r="CT23"/>
      <c r="CU23"/>
      <c r="CV23"/>
    </row>
    <row r="24" spans="1:100" x14ac:dyDescent="0.4">
      <c r="A24" s="2" t="s">
        <v>47</v>
      </c>
      <c r="B24" t="str">
        <f>_xlfn.TEXTAFTER(Table1[[#This Row],[VEHIDCODE]],"_")</f>
        <v>United_Kingdom_BR_153_Super_Sprinter</v>
      </c>
      <c r="C24" t="s">
        <v>736</v>
      </c>
      <c r="D24" t="s">
        <v>953</v>
      </c>
      <c r="E24">
        <v>2014</v>
      </c>
      <c r="F24" t="b">
        <f>OR(ISNUMBER(SEARCH("wagon_",Table1[[#This Row],[FILENAMES_EXPECTED]])),ISNUMBER(SEARCH("coach_",Table1[[#This Row],[FILENAMES_EXPECTED]])))</f>
        <v>0</v>
      </c>
      <c r="G24" t="str">
        <f>"item_"&amp;Table1[[#This Row],[VEHIDCODE]]</f>
        <v>item_rbd_United_Kingdom_BR_153_Super_Sprinter</v>
      </c>
      <c r="H24" t="str">
        <f>"str_"&amp;Table1[[#This Row],[VEHIDCODE]]</f>
        <v>str_rbd_United_Kingdom_BR_153_Super_Sprinter</v>
      </c>
      <c r="Q24" s="2" t="b">
        <v>1</v>
      </c>
      <c r="AL24" s="2"/>
      <c r="AM24" s="2" t="b">
        <f>LEN(_xlfn.CONCAT(Table1[[#This Row],[TRACK_TYPE_STANDARD_GAUGE_RAILTYPE_OHLE]:[TRACK_TYPE_MTRO]]))&gt;0</f>
        <v>1</v>
      </c>
      <c r="AN24">
        <v>8</v>
      </c>
      <c r="AO24" t="s">
        <v>18</v>
      </c>
      <c r="AP24">
        <v>0</v>
      </c>
      <c r="AQ24" t="s">
        <v>35</v>
      </c>
      <c r="AR24">
        <v>75</v>
      </c>
      <c r="AS24">
        <v>1991</v>
      </c>
      <c r="AT24">
        <v>8</v>
      </c>
      <c r="AU24" s="2" t="s">
        <v>24</v>
      </c>
      <c r="AV24" t="b">
        <v>1</v>
      </c>
      <c r="AX24" s="2"/>
      <c r="AY24">
        <v>45</v>
      </c>
      <c r="AZ24">
        <v>1</v>
      </c>
      <c r="BA24">
        <v>285</v>
      </c>
      <c r="BB24" t="s">
        <v>710</v>
      </c>
      <c r="BC24">
        <v>144</v>
      </c>
      <c r="BD24" s="2">
        <v>0.1</v>
      </c>
      <c r="BE24" t="s">
        <v>926</v>
      </c>
      <c r="BF24" t="s">
        <v>921</v>
      </c>
      <c r="BG24" t="s">
        <v>939</v>
      </c>
      <c r="BH24" s="7">
        <v>15</v>
      </c>
      <c r="BI2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4">
        <v>-3</v>
      </c>
      <c r="BK24" t="s">
        <v>733</v>
      </c>
      <c r="BL24" s="11"/>
      <c r="BM24" s="11"/>
      <c r="BN24" s="11">
        <v>42</v>
      </c>
      <c r="BO24">
        <v>0</v>
      </c>
      <c r="BP24" t="s">
        <v>691</v>
      </c>
      <c r="BQ24" t="s">
        <v>693</v>
      </c>
      <c r="BR24" t="s">
        <v>700</v>
      </c>
      <c r="BS24" t="s">
        <v>704</v>
      </c>
      <c r="BT24" t="s">
        <v>705</v>
      </c>
      <c r="BU24" t="s">
        <v>706</v>
      </c>
      <c r="CT24"/>
      <c r="CU24"/>
      <c r="CV24"/>
    </row>
    <row r="25" spans="1:100" x14ac:dyDescent="0.4">
      <c r="A25" s="2" t="s">
        <v>48</v>
      </c>
      <c r="B25" t="str">
        <f>_xlfn.TEXTAFTER(Table1[[#This Row],[VEHIDCODE]],"_")</f>
        <v>Czech_Republic_CD_809</v>
      </c>
      <c r="C25" t="s">
        <v>736</v>
      </c>
      <c r="D25" t="s">
        <v>953</v>
      </c>
      <c r="E25">
        <v>2015</v>
      </c>
      <c r="F25" t="b">
        <f>OR(ISNUMBER(SEARCH("wagon_",Table1[[#This Row],[FILENAMES_EXPECTED]])),ISNUMBER(SEARCH("coach_",Table1[[#This Row],[FILENAMES_EXPECTED]])))</f>
        <v>0</v>
      </c>
      <c r="G25" t="str">
        <f>"item_"&amp;Table1[[#This Row],[VEHIDCODE]]</f>
        <v>item_rbd_Czech_Republic_CD_809</v>
      </c>
      <c r="H25" t="str">
        <f>"str_"&amp;Table1[[#This Row],[VEHIDCODE]]</f>
        <v>str_rbd_Czech_Republic_CD_809</v>
      </c>
      <c r="Q25" s="2" t="b">
        <v>1</v>
      </c>
      <c r="AL25" s="2"/>
      <c r="AM25" s="2" t="b">
        <f>LEN(_xlfn.CONCAT(Table1[[#This Row],[TRACK_TYPE_STANDARD_GAUGE_RAILTYPE_OHLE]:[TRACK_TYPE_MTRO]]))&gt;0</f>
        <v>1</v>
      </c>
      <c r="AN25">
        <v>7</v>
      </c>
      <c r="AO25" t="s">
        <v>18</v>
      </c>
      <c r="AP25">
        <v>0</v>
      </c>
      <c r="AQ25" t="s">
        <v>35</v>
      </c>
      <c r="AR25">
        <v>55</v>
      </c>
      <c r="AS25">
        <v>1996</v>
      </c>
      <c r="AT25">
        <v>7</v>
      </c>
      <c r="AU25" s="2" t="s">
        <v>24</v>
      </c>
      <c r="AV25" t="b">
        <v>1</v>
      </c>
      <c r="AX25" s="2"/>
      <c r="AY25" t="s">
        <v>21</v>
      </c>
      <c r="AZ25">
        <v>1</v>
      </c>
      <c r="BA25">
        <v>210</v>
      </c>
      <c r="BB25" t="s">
        <v>710</v>
      </c>
      <c r="BC25">
        <v>80</v>
      </c>
      <c r="BD25" s="2">
        <v>0.15</v>
      </c>
      <c r="BE25" t="s">
        <v>928</v>
      </c>
      <c r="BF25" t="s">
        <v>921</v>
      </c>
      <c r="BG25" t="s">
        <v>939</v>
      </c>
      <c r="BH25" s="7">
        <v>15</v>
      </c>
      <c r="BI2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5">
        <v>-3</v>
      </c>
      <c r="BK25" t="s">
        <v>733</v>
      </c>
      <c r="BL25" s="11"/>
      <c r="BM25" s="11"/>
      <c r="BN25" s="11">
        <v>20</v>
      </c>
      <c r="BO25">
        <v>0</v>
      </c>
      <c r="BP25" t="s">
        <v>691</v>
      </c>
      <c r="BQ25" t="s">
        <v>693</v>
      </c>
      <c r="BR25" t="s">
        <v>700</v>
      </c>
      <c r="BS25" t="s">
        <v>704</v>
      </c>
      <c r="BT25" t="s">
        <v>705</v>
      </c>
      <c r="BU25" t="s">
        <v>706</v>
      </c>
      <c r="CT25"/>
      <c r="CU25"/>
      <c r="CV25"/>
    </row>
    <row r="26" spans="1:100" x14ac:dyDescent="0.4">
      <c r="A26" s="2" t="s">
        <v>49</v>
      </c>
      <c r="B26" t="str">
        <f>_xlfn.TEXTAFTER(Table1[[#This Row],[VEHIDCODE]],"_")</f>
        <v>Germany_DB_670</v>
      </c>
      <c r="C26" t="s">
        <v>736</v>
      </c>
      <c r="D26" t="s">
        <v>953</v>
      </c>
      <c r="E26">
        <v>2017</v>
      </c>
      <c r="F26" t="b">
        <f>OR(ISNUMBER(SEARCH("wagon_",Table1[[#This Row],[FILENAMES_EXPECTED]])),ISNUMBER(SEARCH("coach_",Table1[[#This Row],[FILENAMES_EXPECTED]])))</f>
        <v>0</v>
      </c>
      <c r="G26" t="str">
        <f>"item_"&amp;Table1[[#This Row],[VEHIDCODE]]</f>
        <v>item_rbd_Germany_DB_670</v>
      </c>
      <c r="H26" t="str">
        <f>"str_"&amp;Table1[[#This Row],[VEHIDCODE]]</f>
        <v>str_rbd_Germany_DB_670</v>
      </c>
      <c r="Q26" s="2" t="b">
        <v>1</v>
      </c>
      <c r="AL26" s="2"/>
      <c r="AM26" s="2" t="b">
        <f>LEN(_xlfn.CONCAT(Table1[[#This Row],[TRACK_TYPE_STANDARD_GAUGE_RAILTYPE_OHLE]:[TRACK_TYPE_MTRO]]))&gt;0</f>
        <v>1</v>
      </c>
      <c r="AN26">
        <v>7</v>
      </c>
      <c r="AO26" t="s">
        <v>18</v>
      </c>
      <c r="AP26">
        <v>0</v>
      </c>
      <c r="AQ26" t="s">
        <v>35</v>
      </c>
      <c r="AR26">
        <v>110</v>
      </c>
      <c r="AS26">
        <v>1996</v>
      </c>
      <c r="AT26">
        <v>7</v>
      </c>
      <c r="AU26" s="2" t="s">
        <v>24</v>
      </c>
      <c r="AV26" t="b">
        <v>1</v>
      </c>
      <c r="AX26" s="2"/>
      <c r="AY26" t="s">
        <v>21</v>
      </c>
      <c r="AZ26">
        <v>1</v>
      </c>
      <c r="BA26">
        <v>335</v>
      </c>
      <c r="BB26" t="s">
        <v>710</v>
      </c>
      <c r="BC26">
        <v>100</v>
      </c>
      <c r="BD26" s="2">
        <v>0.21</v>
      </c>
      <c r="BE26" t="s">
        <v>922</v>
      </c>
      <c r="BF26" t="s">
        <v>921</v>
      </c>
      <c r="BG26" t="s">
        <v>939</v>
      </c>
      <c r="BH26" s="7">
        <v>15</v>
      </c>
      <c r="BI2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6">
        <v>-3</v>
      </c>
      <c r="BK26" t="s">
        <v>733</v>
      </c>
      <c r="BL26" s="11"/>
      <c r="BM26" s="11"/>
      <c r="BN26" s="11">
        <v>34</v>
      </c>
      <c r="BO26">
        <v>0</v>
      </c>
      <c r="BP26" t="s">
        <v>691</v>
      </c>
      <c r="BQ26" t="s">
        <v>693</v>
      </c>
      <c r="BR26" t="s">
        <v>700</v>
      </c>
      <c r="BS26" t="s">
        <v>704</v>
      </c>
      <c r="BT26" t="s">
        <v>705</v>
      </c>
      <c r="BU26" t="s">
        <v>706</v>
      </c>
      <c r="CT26"/>
      <c r="CU26"/>
      <c r="CV26"/>
    </row>
    <row r="27" spans="1:100" x14ac:dyDescent="0.4">
      <c r="A27" s="2" t="s">
        <v>50</v>
      </c>
      <c r="B27" t="str">
        <f>_xlfn.TEXTAFTER(Table1[[#This Row],[VEHIDCODE]],"_")</f>
        <v>Lithuania_Lithuanian_Railways_AR2</v>
      </c>
      <c r="C27" t="s">
        <v>736</v>
      </c>
      <c r="D27" t="s">
        <v>953</v>
      </c>
      <c r="E27">
        <v>2018</v>
      </c>
      <c r="F27" t="b">
        <f>OR(ISNUMBER(SEARCH("wagon_",Table1[[#This Row],[FILENAMES_EXPECTED]])),ISNUMBER(SEARCH("coach_",Table1[[#This Row],[FILENAMES_EXPECTED]])))</f>
        <v>0</v>
      </c>
      <c r="G27" t="str">
        <f>"item_"&amp;Table1[[#This Row],[VEHIDCODE]]</f>
        <v>item_rbd_Lithuania_Lithuanian_Railways_AR2</v>
      </c>
      <c r="H27" t="str">
        <f>"str_"&amp;Table1[[#This Row],[VEHIDCODE]]</f>
        <v>str_rbd_Lithuania_Lithuanian_Railways_AR2</v>
      </c>
      <c r="Q27" s="2" t="b">
        <v>1</v>
      </c>
      <c r="AL27" s="2"/>
      <c r="AM27" s="2" t="b">
        <f>LEN(_xlfn.CONCAT(Table1[[#This Row],[TRACK_TYPE_STANDARD_GAUGE_RAILTYPE_OHLE]:[TRACK_TYPE_MTRO]]))&gt;0</f>
        <v>1</v>
      </c>
      <c r="AN27">
        <v>8</v>
      </c>
      <c r="AO27" t="s">
        <v>18</v>
      </c>
      <c r="AP27">
        <v>0</v>
      </c>
      <c r="AQ27" t="s">
        <v>35</v>
      </c>
      <c r="AR27">
        <v>73</v>
      </c>
      <c r="AS27">
        <v>1997</v>
      </c>
      <c r="AT27">
        <v>8</v>
      </c>
      <c r="AU27" s="2" t="s">
        <v>24</v>
      </c>
      <c r="AV27" t="b">
        <v>1</v>
      </c>
      <c r="AX27" s="2"/>
      <c r="AY27" t="s">
        <v>21</v>
      </c>
      <c r="AZ27">
        <v>1</v>
      </c>
      <c r="BA27">
        <v>400</v>
      </c>
      <c r="BB27" t="s">
        <v>710</v>
      </c>
      <c r="BC27">
        <v>120</v>
      </c>
      <c r="BD27" s="2">
        <v>0.12</v>
      </c>
      <c r="BE27" t="s">
        <v>926</v>
      </c>
      <c r="BF27" t="s">
        <v>921</v>
      </c>
      <c r="BG27" t="s">
        <v>939</v>
      </c>
      <c r="BH27" s="7">
        <v>15</v>
      </c>
      <c r="BI2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7">
        <v>-3</v>
      </c>
      <c r="BK27" t="s">
        <v>733</v>
      </c>
      <c r="BL27" s="11"/>
      <c r="BM27" s="11"/>
      <c r="BN27" s="11">
        <v>32</v>
      </c>
      <c r="BO27">
        <v>0</v>
      </c>
      <c r="BP27" t="s">
        <v>691</v>
      </c>
      <c r="BQ27" t="s">
        <v>693</v>
      </c>
      <c r="BR27" t="s">
        <v>700</v>
      </c>
      <c r="BS27" t="s">
        <v>704</v>
      </c>
      <c r="BT27" t="s">
        <v>705</v>
      </c>
      <c r="BU27" t="s">
        <v>706</v>
      </c>
      <c r="CT27"/>
      <c r="CU27"/>
      <c r="CV27"/>
    </row>
    <row r="28" spans="1:100" x14ac:dyDescent="0.4">
      <c r="A28" s="2" t="s">
        <v>51</v>
      </c>
      <c r="B28" t="str">
        <f>_xlfn.TEXTAFTER(Table1[[#This Row],[VEHIDCODE]],"_")</f>
        <v>Austria_kkStB_19</v>
      </c>
      <c r="C28" t="s">
        <v>736</v>
      </c>
      <c r="D28" t="s">
        <v>953</v>
      </c>
      <c r="E28">
        <v>2019</v>
      </c>
      <c r="F28" t="b">
        <f>OR(ISNUMBER(SEARCH("wagon_",Table1[[#This Row],[FILENAMES_EXPECTED]])),ISNUMBER(SEARCH("coach_",Table1[[#This Row],[FILENAMES_EXPECTED]])))</f>
        <v>0</v>
      </c>
      <c r="G28" t="str">
        <f>"item_"&amp;Table1[[#This Row],[VEHIDCODE]]</f>
        <v>item_rbd_Austria_kkStB_19</v>
      </c>
      <c r="H28" t="str">
        <f>"str_"&amp;Table1[[#This Row],[VEHIDCODE]]</f>
        <v>str_rbd_Austria_kkStB_19</v>
      </c>
      <c r="Q28" s="2" t="b">
        <v>1</v>
      </c>
      <c r="AL28" s="2"/>
      <c r="AM28" s="2" t="b">
        <f>LEN(_xlfn.CONCAT(Table1[[#This Row],[TRACK_TYPE_STANDARD_GAUGE_RAILTYPE_OHLE]:[TRACK_TYPE_MTRO]]))&gt;0</f>
        <v>1</v>
      </c>
      <c r="AN28">
        <v>4</v>
      </c>
      <c r="AO28" t="s">
        <v>18</v>
      </c>
      <c r="AP28">
        <v>0</v>
      </c>
      <c r="AQ28" t="s">
        <v>35</v>
      </c>
      <c r="AR28">
        <v>16</v>
      </c>
      <c r="AS28">
        <v>1902</v>
      </c>
      <c r="AT28">
        <v>4</v>
      </c>
      <c r="AU28" s="2" t="s">
        <v>24</v>
      </c>
      <c r="AV28" t="b">
        <v>1</v>
      </c>
      <c r="AX28" s="2"/>
      <c r="AY28">
        <v>45</v>
      </c>
      <c r="AZ28">
        <v>1</v>
      </c>
      <c r="BA28">
        <v>55</v>
      </c>
      <c r="BB28" t="s">
        <v>710</v>
      </c>
      <c r="BC28">
        <v>35</v>
      </c>
      <c r="BD28" s="2">
        <v>0.34</v>
      </c>
      <c r="BE28" t="s">
        <v>922</v>
      </c>
      <c r="BF28" t="s">
        <v>921</v>
      </c>
      <c r="BG28" t="s">
        <v>939</v>
      </c>
      <c r="BH28" s="7">
        <v>15</v>
      </c>
      <c r="BI2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8">
        <v>0</v>
      </c>
      <c r="BK28" t="s">
        <v>733</v>
      </c>
      <c r="BL28" s="11"/>
      <c r="BM28" s="11"/>
      <c r="BN28" s="11">
        <v>13</v>
      </c>
      <c r="BO28">
        <v>0</v>
      </c>
      <c r="BP28" t="s">
        <v>691</v>
      </c>
      <c r="BQ28" t="s">
        <v>693</v>
      </c>
      <c r="BR28" t="s">
        <v>700</v>
      </c>
      <c r="BS28" t="s">
        <v>704</v>
      </c>
      <c r="BT28" t="s">
        <v>705</v>
      </c>
      <c r="BU28" t="s">
        <v>706</v>
      </c>
      <c r="CT28"/>
      <c r="CU28"/>
      <c r="CV28"/>
    </row>
    <row r="29" spans="1:100" x14ac:dyDescent="0.4">
      <c r="A29" s="2" t="s">
        <v>52</v>
      </c>
      <c r="B29" t="str">
        <f>_xlfn.TEXTAFTER(Table1[[#This Row],[VEHIDCODE]],"_")</f>
        <v>USA_Virginia_Truckee_Motor_Car_22</v>
      </c>
      <c r="C29" t="s">
        <v>736</v>
      </c>
      <c r="D29" t="s">
        <v>953</v>
      </c>
      <c r="E29">
        <v>2020</v>
      </c>
      <c r="F29" t="b">
        <f>OR(ISNUMBER(SEARCH("wagon_",Table1[[#This Row],[FILENAMES_EXPECTED]])),ISNUMBER(SEARCH("coach_",Table1[[#This Row],[FILENAMES_EXPECTED]])))</f>
        <v>0</v>
      </c>
      <c r="G29" t="str">
        <f>"item_"&amp;Table1[[#This Row],[VEHIDCODE]]</f>
        <v>item_rbd_USA_Virginia_Truckee_Motor_Car_22</v>
      </c>
      <c r="H29" t="str">
        <f>"str_"&amp;Table1[[#This Row],[VEHIDCODE]]</f>
        <v>str_rbd_USA_Virginia_Truckee_Motor_Car_22</v>
      </c>
      <c r="Q29" s="2" t="b">
        <v>1</v>
      </c>
      <c r="AL29" s="2"/>
      <c r="AM29" s="2" t="b">
        <f>LEN(_xlfn.CONCAT(Table1[[#This Row],[TRACK_TYPE_STANDARD_GAUGE_RAILTYPE_OHLE]:[TRACK_TYPE_MTRO]]))&gt;0</f>
        <v>1</v>
      </c>
      <c r="AN29">
        <v>8</v>
      </c>
      <c r="AO29" t="s">
        <v>18</v>
      </c>
      <c r="AP29">
        <v>0</v>
      </c>
      <c r="AQ29" t="s">
        <v>35</v>
      </c>
      <c r="AR29">
        <v>84</v>
      </c>
      <c r="AS29">
        <v>1909</v>
      </c>
      <c r="AT29">
        <v>8</v>
      </c>
      <c r="AU29" s="2" t="s">
        <v>24</v>
      </c>
      <c r="AV29" t="b">
        <v>1</v>
      </c>
      <c r="AX29" s="2"/>
      <c r="AY29">
        <v>45</v>
      </c>
      <c r="AZ29">
        <v>1</v>
      </c>
      <c r="BA29">
        <v>200</v>
      </c>
      <c r="BB29" t="s">
        <v>710</v>
      </c>
      <c r="BC29">
        <v>52</v>
      </c>
      <c r="BD29" s="2">
        <v>0.34</v>
      </c>
      <c r="BE29" t="s">
        <v>927</v>
      </c>
      <c r="BF29" t="s">
        <v>921</v>
      </c>
      <c r="BG29" t="s">
        <v>939</v>
      </c>
      <c r="BH29" s="7">
        <v>15</v>
      </c>
      <c r="BI2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9">
        <v>0</v>
      </c>
      <c r="BK29" t="s">
        <v>733</v>
      </c>
      <c r="BL29" s="11"/>
      <c r="BM29" s="11"/>
      <c r="BN29" s="11">
        <v>30</v>
      </c>
      <c r="BO29">
        <v>0</v>
      </c>
      <c r="BP29" t="s">
        <v>691</v>
      </c>
      <c r="BQ29" t="s">
        <v>693</v>
      </c>
      <c r="BR29" t="s">
        <v>700</v>
      </c>
      <c r="BS29" t="s">
        <v>704</v>
      </c>
      <c r="BT29" t="s">
        <v>705</v>
      </c>
      <c r="BU29" t="s">
        <v>706</v>
      </c>
      <c r="CT29"/>
      <c r="CU29"/>
      <c r="CV29"/>
    </row>
    <row r="30" spans="1:100" x14ac:dyDescent="0.4">
      <c r="A30" s="2" t="s">
        <v>53</v>
      </c>
      <c r="B30" t="str">
        <f>_xlfn.TEXTAFTER(Table1[[#This Row],[VEHIDCODE]],"_")</f>
        <v>Germany_Saxon_DET_1_2</v>
      </c>
      <c r="C30" t="s">
        <v>736</v>
      </c>
      <c r="D30" t="s">
        <v>953</v>
      </c>
      <c r="E30">
        <v>2021</v>
      </c>
      <c r="F30" t="b">
        <f>OR(ISNUMBER(SEARCH("wagon_",Table1[[#This Row],[FILENAMES_EXPECTED]])),ISNUMBER(SEARCH("coach_",Table1[[#This Row],[FILENAMES_EXPECTED]])))</f>
        <v>0</v>
      </c>
      <c r="G30" t="str">
        <f>"item_"&amp;Table1[[#This Row],[VEHIDCODE]]</f>
        <v>item_rbd_Germany_Saxon_DET_1_2</v>
      </c>
      <c r="H30" t="str">
        <f>"str_"&amp;Table1[[#This Row],[VEHIDCODE]]</f>
        <v>str_rbd_Germany_Saxon_DET_1_2</v>
      </c>
      <c r="Q30" s="2" t="b">
        <v>1</v>
      </c>
      <c r="AL30" s="2"/>
      <c r="AM30" s="2" t="b">
        <f>LEN(_xlfn.CONCAT(Table1[[#This Row],[TRACK_TYPE_STANDARD_GAUGE_RAILTYPE_OHLE]:[TRACK_TYPE_MTRO]]))&gt;0</f>
        <v>1</v>
      </c>
      <c r="AN30">
        <v>4</v>
      </c>
      <c r="AO30" t="s">
        <v>18</v>
      </c>
      <c r="AP30">
        <v>0</v>
      </c>
      <c r="AQ30" t="s">
        <v>35</v>
      </c>
      <c r="AR30">
        <v>69</v>
      </c>
      <c r="AS30">
        <v>1914</v>
      </c>
      <c r="AT30">
        <v>8</v>
      </c>
      <c r="AU30" s="2" t="s">
        <v>24</v>
      </c>
      <c r="AV30" t="b">
        <v>1</v>
      </c>
      <c r="AX30" s="2"/>
      <c r="AY30">
        <v>45</v>
      </c>
      <c r="AZ30">
        <v>1</v>
      </c>
      <c r="BA30">
        <v>200</v>
      </c>
      <c r="BB30" t="s">
        <v>710</v>
      </c>
      <c r="BC30">
        <v>70</v>
      </c>
      <c r="BD30" s="2">
        <v>0.34</v>
      </c>
      <c r="BE30" t="s">
        <v>922</v>
      </c>
      <c r="BF30" t="s">
        <v>921</v>
      </c>
      <c r="BG30" t="s">
        <v>939</v>
      </c>
      <c r="BH30" s="7">
        <v>15</v>
      </c>
      <c r="BI3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30">
        <v>0</v>
      </c>
      <c r="BK30" t="s">
        <v>733</v>
      </c>
      <c r="BL30" s="11"/>
      <c r="BM30" s="11"/>
      <c r="BN30" s="11">
        <v>64</v>
      </c>
      <c r="BO30">
        <v>0</v>
      </c>
      <c r="BP30" t="s">
        <v>691</v>
      </c>
      <c r="BQ30" t="s">
        <v>693</v>
      </c>
      <c r="BR30" t="s">
        <v>700</v>
      </c>
      <c r="BS30" t="s">
        <v>704</v>
      </c>
      <c r="BT30" t="s">
        <v>705</v>
      </c>
      <c r="BU30" t="s">
        <v>706</v>
      </c>
      <c r="CT30"/>
      <c r="CU30"/>
      <c r="CV30"/>
    </row>
    <row r="31" spans="1:100" x14ac:dyDescent="0.4">
      <c r="A31" s="2" t="s">
        <v>54</v>
      </c>
      <c r="B31" t="str">
        <f>_xlfn.TEXTAFTER(Table1[[#This Row],[VEHIDCODE]],"_")</f>
        <v>UK_WC_PR_Drewry_Railcar</v>
      </c>
      <c r="C31" t="s">
        <v>736</v>
      </c>
      <c r="D31" t="s">
        <v>953</v>
      </c>
      <c r="E31">
        <v>2022</v>
      </c>
      <c r="F31" t="b">
        <f>OR(ISNUMBER(SEARCH("wagon_",Table1[[#This Row],[FILENAMES_EXPECTED]])),ISNUMBER(SEARCH("coach_",Table1[[#This Row],[FILENAMES_EXPECTED]])))</f>
        <v>0</v>
      </c>
      <c r="G31" t="str">
        <f>"item_"&amp;Table1[[#This Row],[VEHIDCODE]]</f>
        <v>item_rbd_UK_WC_PR_Drewry_Railcar</v>
      </c>
      <c r="H31" t="str">
        <f>"str_"&amp;Table1[[#This Row],[VEHIDCODE]]</f>
        <v>str_rbd_UK_WC_PR_Drewry_Railcar</v>
      </c>
      <c r="Q31" s="2" t="b">
        <v>1</v>
      </c>
      <c r="AL31" s="2"/>
      <c r="AM31" s="2" t="b">
        <f>LEN(_xlfn.CONCAT(Table1[[#This Row],[TRACK_TYPE_STANDARD_GAUGE_RAILTYPE_OHLE]:[TRACK_TYPE_MTRO]]))&gt;0</f>
        <v>1</v>
      </c>
      <c r="AN31">
        <v>4</v>
      </c>
      <c r="AO31" t="s">
        <v>18</v>
      </c>
      <c r="AP31">
        <v>0</v>
      </c>
      <c r="AQ31" t="s">
        <v>35</v>
      </c>
      <c r="AR31">
        <v>30</v>
      </c>
      <c r="AS31">
        <v>1921</v>
      </c>
      <c r="AT31">
        <v>4</v>
      </c>
      <c r="AU31" s="2" t="s">
        <v>24</v>
      </c>
      <c r="AV31" t="b">
        <v>1</v>
      </c>
      <c r="AX31" s="2"/>
      <c r="AY31">
        <v>45</v>
      </c>
      <c r="AZ31">
        <v>1</v>
      </c>
      <c r="BA31">
        <v>35</v>
      </c>
      <c r="BB31" t="s">
        <v>710</v>
      </c>
      <c r="BC31">
        <v>40</v>
      </c>
      <c r="BD31" s="2">
        <v>0.21</v>
      </c>
      <c r="BE31" t="s">
        <v>926</v>
      </c>
      <c r="BF31" t="s">
        <v>921</v>
      </c>
      <c r="BG31" t="s">
        <v>939</v>
      </c>
      <c r="BH31" s="7">
        <v>15</v>
      </c>
      <c r="BI3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31">
        <v>0</v>
      </c>
      <c r="BK31" t="s">
        <v>733</v>
      </c>
      <c r="BL31" s="11"/>
      <c r="BM31" s="11"/>
      <c r="BN31" s="11">
        <v>10</v>
      </c>
      <c r="BO31">
        <v>0</v>
      </c>
      <c r="BP31" t="s">
        <v>691</v>
      </c>
      <c r="BQ31" t="s">
        <v>693</v>
      </c>
      <c r="BR31" t="s">
        <v>700</v>
      </c>
      <c r="BS31" t="s">
        <v>704</v>
      </c>
      <c r="BT31" t="s">
        <v>705</v>
      </c>
      <c r="BU31" t="s">
        <v>706</v>
      </c>
      <c r="CT31"/>
      <c r="CU31"/>
      <c r="CV31"/>
    </row>
    <row r="32" spans="1:100" x14ac:dyDescent="0.4">
      <c r="A32" s="2" t="s">
        <v>55</v>
      </c>
      <c r="B32" t="str">
        <f>_xlfn.TEXTAFTER(Table1[[#This Row],[VEHIDCODE]],"_")</f>
        <v>Germany_BSt_6001</v>
      </c>
      <c r="C32" t="s">
        <v>736</v>
      </c>
      <c r="D32" t="s">
        <v>953</v>
      </c>
      <c r="E32">
        <v>2023</v>
      </c>
      <c r="F32" t="b">
        <f>OR(ISNUMBER(SEARCH("wagon_",Table1[[#This Row],[FILENAMES_EXPECTED]])),ISNUMBER(SEARCH("coach_",Table1[[#This Row],[FILENAMES_EXPECTED]])))</f>
        <v>0</v>
      </c>
      <c r="G32" t="str">
        <f>"item_"&amp;Table1[[#This Row],[VEHIDCODE]]</f>
        <v>item_rbd_Germany_BSt_6001</v>
      </c>
      <c r="H32" t="str">
        <f>"str_"&amp;Table1[[#This Row],[VEHIDCODE]]</f>
        <v>str_rbd_Germany_BSt_6001</v>
      </c>
      <c r="Q32" s="2" t="b">
        <v>1</v>
      </c>
      <c r="AL32" s="2"/>
      <c r="AM32" s="2" t="b">
        <f>LEN(_xlfn.CONCAT(Table1[[#This Row],[TRACK_TYPE_STANDARD_GAUGE_RAILTYPE_OHLE]:[TRACK_TYPE_MTRO]]))&gt;0</f>
        <v>1</v>
      </c>
      <c r="AN32">
        <v>5</v>
      </c>
      <c r="AO32" t="s">
        <v>18</v>
      </c>
      <c r="AP32">
        <v>0</v>
      </c>
      <c r="AQ32" t="s">
        <v>35</v>
      </c>
      <c r="AR32">
        <v>18</v>
      </c>
      <c r="AS32">
        <v>1922</v>
      </c>
      <c r="AT32">
        <v>5</v>
      </c>
      <c r="AU32" s="2" t="s">
        <v>24</v>
      </c>
      <c r="AV32" t="b">
        <v>1</v>
      </c>
      <c r="AX32" s="2"/>
      <c r="AY32">
        <v>45</v>
      </c>
      <c r="AZ32">
        <v>1</v>
      </c>
      <c r="BA32">
        <v>75</v>
      </c>
      <c r="BB32" t="s">
        <v>710</v>
      </c>
      <c r="BC32">
        <v>40</v>
      </c>
      <c r="BD32" s="2">
        <v>0.34</v>
      </c>
      <c r="BE32" t="s">
        <v>922</v>
      </c>
      <c r="BF32" t="s">
        <v>921</v>
      </c>
      <c r="BG32" t="s">
        <v>939</v>
      </c>
      <c r="BH32" s="7">
        <v>15</v>
      </c>
      <c r="BI3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32">
        <v>0</v>
      </c>
      <c r="BK32" t="s">
        <v>733</v>
      </c>
      <c r="BL32" s="11"/>
      <c r="BM32" s="11"/>
      <c r="BN32" s="11">
        <v>11</v>
      </c>
      <c r="BO32">
        <v>0</v>
      </c>
      <c r="BP32" t="s">
        <v>691</v>
      </c>
      <c r="BQ32" t="s">
        <v>693</v>
      </c>
      <c r="BR32" t="s">
        <v>700</v>
      </c>
      <c r="BS32" t="s">
        <v>704</v>
      </c>
      <c r="BT32" t="s">
        <v>705</v>
      </c>
      <c r="BU32" t="s">
        <v>706</v>
      </c>
      <c r="CT32"/>
      <c r="CU32"/>
      <c r="CV32"/>
    </row>
    <row r="33" spans="1:100" x14ac:dyDescent="0.4">
      <c r="A33" s="2" t="s">
        <v>56</v>
      </c>
      <c r="B33" t="str">
        <f>_xlfn.TEXTAFTER(Table1[[#This Row],[VEHIDCODE]],"_")</f>
        <v>Australia_Victorian_Railways_DERM</v>
      </c>
      <c r="C33" t="s">
        <v>736</v>
      </c>
      <c r="D33" t="s">
        <v>953</v>
      </c>
      <c r="E33">
        <v>2024</v>
      </c>
      <c r="F33" t="b">
        <f>OR(ISNUMBER(SEARCH("wagon_",Table1[[#This Row],[FILENAMES_EXPECTED]])),ISNUMBER(SEARCH("coach_",Table1[[#This Row],[FILENAMES_EXPECTED]])))</f>
        <v>0</v>
      </c>
      <c r="G33" t="str">
        <f>"item_"&amp;Table1[[#This Row],[VEHIDCODE]]</f>
        <v>item_rbd_Australia_Victorian_Railways_DERM</v>
      </c>
      <c r="H33" t="str">
        <f>"str_"&amp;Table1[[#This Row],[VEHIDCODE]]</f>
        <v>str_rbd_Australia_Victorian_Railways_DERM</v>
      </c>
      <c r="Q33" s="2" t="b">
        <v>1</v>
      </c>
      <c r="AL33" s="2"/>
      <c r="AM33" s="2" t="b">
        <f>LEN(_xlfn.CONCAT(Table1[[#This Row],[TRACK_TYPE_STANDARD_GAUGE_RAILTYPE_OHLE]:[TRACK_TYPE_MTRO]]))&gt;0</f>
        <v>1</v>
      </c>
      <c r="AN33">
        <v>7</v>
      </c>
      <c r="AO33" t="s">
        <v>18</v>
      </c>
      <c r="AP33">
        <v>0</v>
      </c>
      <c r="AQ33" t="s">
        <v>35</v>
      </c>
      <c r="AR33">
        <v>40</v>
      </c>
      <c r="AS33">
        <v>1928</v>
      </c>
      <c r="AT33">
        <v>7</v>
      </c>
      <c r="AU33" s="2" t="s">
        <v>24</v>
      </c>
      <c r="AV33" t="b">
        <v>1</v>
      </c>
      <c r="AX33" s="2"/>
      <c r="AY33">
        <v>45</v>
      </c>
      <c r="AZ33">
        <v>1</v>
      </c>
      <c r="BA33">
        <v>255</v>
      </c>
      <c r="BB33" t="s">
        <v>710</v>
      </c>
      <c r="BC33">
        <v>60</v>
      </c>
      <c r="BD33" s="2">
        <v>0.34</v>
      </c>
      <c r="BE33" t="s">
        <v>924</v>
      </c>
      <c r="BF33" t="s">
        <v>921</v>
      </c>
      <c r="BG33" t="s">
        <v>939</v>
      </c>
      <c r="BH33" s="7">
        <v>15</v>
      </c>
      <c r="BI3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33">
        <v>0</v>
      </c>
      <c r="BK33" t="s">
        <v>733</v>
      </c>
      <c r="BL33" s="11"/>
      <c r="BM33" s="11"/>
      <c r="BN33" s="11">
        <v>34</v>
      </c>
      <c r="BO33">
        <v>0</v>
      </c>
      <c r="BP33" t="s">
        <v>691</v>
      </c>
      <c r="BQ33" t="s">
        <v>693</v>
      </c>
      <c r="BR33" t="s">
        <v>700</v>
      </c>
      <c r="BS33" t="s">
        <v>704</v>
      </c>
      <c r="BT33" t="s">
        <v>705</v>
      </c>
      <c r="BU33" t="s">
        <v>706</v>
      </c>
      <c r="CT33"/>
      <c r="CU33"/>
      <c r="CV33"/>
    </row>
    <row r="34" spans="1:100" x14ac:dyDescent="0.4">
      <c r="A34" s="2" t="s">
        <v>57</v>
      </c>
      <c r="B34" t="str">
        <f>_xlfn.TEXTAFTER(Table1[[#This Row],[VEHIDCODE]],"_")</f>
        <v>Czech_Republic_CD_M120</v>
      </c>
      <c r="C34" t="s">
        <v>736</v>
      </c>
      <c r="D34" t="s">
        <v>953</v>
      </c>
      <c r="E34">
        <v>2025</v>
      </c>
      <c r="F34" t="b">
        <f>OR(ISNUMBER(SEARCH("wagon_",Table1[[#This Row],[FILENAMES_EXPECTED]])),ISNUMBER(SEARCH("coach_",Table1[[#This Row],[FILENAMES_EXPECTED]])))</f>
        <v>0</v>
      </c>
      <c r="G34" t="str">
        <f>"item_"&amp;Table1[[#This Row],[VEHIDCODE]]</f>
        <v>item_rbd_Czech_Republic_CD_M120</v>
      </c>
      <c r="H34" t="str">
        <f>"str_"&amp;Table1[[#This Row],[VEHIDCODE]]</f>
        <v>str_rbd_Czech_Republic_CD_M120</v>
      </c>
      <c r="Q34" s="2" t="b">
        <v>1</v>
      </c>
      <c r="AL34" s="2"/>
      <c r="AM34" s="2" t="b">
        <f>LEN(_xlfn.CONCAT(Table1[[#This Row],[TRACK_TYPE_STANDARD_GAUGE_RAILTYPE_OHLE]:[TRACK_TYPE_MTRO]]))&gt;0</f>
        <v>1</v>
      </c>
      <c r="AN34">
        <v>5</v>
      </c>
      <c r="AO34" t="s">
        <v>18</v>
      </c>
      <c r="AP34">
        <v>0</v>
      </c>
      <c r="AQ34" t="s">
        <v>35</v>
      </c>
      <c r="AR34">
        <v>38</v>
      </c>
      <c r="AS34">
        <v>1930</v>
      </c>
      <c r="AT34">
        <v>5</v>
      </c>
      <c r="AU34" s="2" t="s">
        <v>24</v>
      </c>
      <c r="AV34" t="b">
        <v>1</v>
      </c>
      <c r="AX34" s="2"/>
      <c r="AY34">
        <v>45</v>
      </c>
      <c r="AZ34">
        <v>1</v>
      </c>
      <c r="BA34">
        <v>120</v>
      </c>
      <c r="BB34" t="s">
        <v>710</v>
      </c>
      <c r="BC34">
        <v>60</v>
      </c>
      <c r="BD34" s="2">
        <v>0.35</v>
      </c>
      <c r="BE34" t="s">
        <v>928</v>
      </c>
      <c r="BF34" t="s">
        <v>921</v>
      </c>
      <c r="BG34" t="s">
        <v>939</v>
      </c>
      <c r="BH34" s="7">
        <v>15</v>
      </c>
      <c r="BI3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34">
        <v>0</v>
      </c>
      <c r="BK34" t="s">
        <v>733</v>
      </c>
      <c r="BL34" s="11"/>
      <c r="BM34" s="11"/>
      <c r="BN34" s="11">
        <v>13</v>
      </c>
      <c r="BO34">
        <v>0</v>
      </c>
      <c r="BP34" t="s">
        <v>691</v>
      </c>
      <c r="BQ34" t="s">
        <v>693</v>
      </c>
      <c r="BR34" t="s">
        <v>700</v>
      </c>
      <c r="BS34" t="s">
        <v>704</v>
      </c>
      <c r="BT34" t="s">
        <v>705</v>
      </c>
      <c r="BU34" t="s">
        <v>706</v>
      </c>
      <c r="CT34"/>
      <c r="CU34"/>
      <c r="CV34"/>
    </row>
    <row r="35" spans="1:100" x14ac:dyDescent="0.4">
      <c r="A35" s="2" t="s">
        <v>58</v>
      </c>
      <c r="B35" t="str">
        <f>_xlfn.TEXTAFTER(Table1[[#This Row],[VEHIDCODE]],"_")</f>
        <v>Germany_Schienenzeppelin</v>
      </c>
      <c r="C35" t="s">
        <v>736</v>
      </c>
      <c r="D35" t="s">
        <v>953</v>
      </c>
      <c r="E35">
        <v>2026</v>
      </c>
      <c r="F35" t="b">
        <f>OR(ISNUMBER(SEARCH("wagon_",Table1[[#This Row],[FILENAMES_EXPECTED]])),ISNUMBER(SEARCH("coach_",Table1[[#This Row],[FILENAMES_EXPECTED]])))</f>
        <v>0</v>
      </c>
      <c r="G35" t="str">
        <f>"item_"&amp;Table1[[#This Row],[VEHIDCODE]]</f>
        <v>item_rbd_Germany_Schienenzeppelin</v>
      </c>
      <c r="H35" t="str">
        <f>"str_"&amp;Table1[[#This Row],[VEHIDCODE]]</f>
        <v>str_rbd_Germany_Schienenzeppelin</v>
      </c>
      <c r="Q35" s="2" t="b">
        <v>1</v>
      </c>
      <c r="AL35" s="2"/>
      <c r="AM35" s="2" t="b">
        <f>LEN(_xlfn.CONCAT(Table1[[#This Row],[TRACK_TYPE_STANDARD_GAUGE_RAILTYPE_OHLE]:[TRACK_TYPE_MTRO]]))&gt;0</f>
        <v>1</v>
      </c>
      <c r="AN35">
        <v>8</v>
      </c>
      <c r="AO35" t="s">
        <v>18</v>
      </c>
      <c r="AP35">
        <v>0</v>
      </c>
      <c r="AQ35" t="s">
        <v>35</v>
      </c>
      <c r="AR35">
        <v>40</v>
      </c>
      <c r="AS35">
        <v>1930</v>
      </c>
      <c r="AT35">
        <v>8</v>
      </c>
      <c r="AU35" s="2" t="s">
        <v>24</v>
      </c>
      <c r="AV35" t="b">
        <v>1</v>
      </c>
      <c r="AX35" s="2"/>
      <c r="AY35">
        <v>45</v>
      </c>
      <c r="AZ35">
        <v>1</v>
      </c>
      <c r="BA35">
        <v>600</v>
      </c>
      <c r="BB35" t="s">
        <v>710</v>
      </c>
      <c r="BC35">
        <v>230</v>
      </c>
      <c r="BD35" s="2">
        <v>0.39</v>
      </c>
      <c r="BE35" t="s">
        <v>922</v>
      </c>
      <c r="BF35" t="s">
        <v>921</v>
      </c>
      <c r="BG35" t="s">
        <v>939</v>
      </c>
      <c r="BH35" s="7">
        <v>15</v>
      </c>
      <c r="BI3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35">
        <v>0</v>
      </c>
      <c r="BK35" t="s">
        <v>733</v>
      </c>
      <c r="BL35" s="11"/>
      <c r="BM35" s="11"/>
      <c r="BN35" s="11">
        <v>20</v>
      </c>
      <c r="BO35">
        <v>0</v>
      </c>
      <c r="BP35" t="s">
        <v>691</v>
      </c>
      <c r="BQ35" t="s">
        <v>693</v>
      </c>
      <c r="BR35" t="s">
        <v>700</v>
      </c>
      <c r="BS35" t="s">
        <v>704</v>
      </c>
      <c r="BT35" t="s">
        <v>705</v>
      </c>
      <c r="BU35" t="s">
        <v>706</v>
      </c>
      <c r="CT35"/>
      <c r="CU35"/>
      <c r="CV35"/>
    </row>
    <row r="36" spans="1:100" x14ac:dyDescent="0.4">
      <c r="A36" s="2" t="s">
        <v>59</v>
      </c>
      <c r="B36" t="str">
        <f>_xlfn.TEXTAFTER(Table1[[#This Row],[VEHIDCODE]],"_")</f>
        <v>Denmark_DSB_MO</v>
      </c>
      <c r="C36" t="s">
        <v>736</v>
      </c>
      <c r="D36" t="s">
        <v>953</v>
      </c>
      <c r="E36">
        <v>2027</v>
      </c>
      <c r="F36" t="b">
        <f>OR(ISNUMBER(SEARCH("wagon_",Table1[[#This Row],[FILENAMES_EXPECTED]])),ISNUMBER(SEARCH("coach_",Table1[[#This Row],[FILENAMES_EXPECTED]])))</f>
        <v>0</v>
      </c>
      <c r="G36" t="str">
        <f>"item_"&amp;Table1[[#This Row],[VEHIDCODE]]</f>
        <v>item_rbd_Denmark_DSB_MO</v>
      </c>
      <c r="H36" t="str">
        <f>"str_"&amp;Table1[[#This Row],[VEHIDCODE]]</f>
        <v>str_rbd_Denmark_DSB_MO</v>
      </c>
      <c r="Q36" s="2" t="b">
        <v>1</v>
      </c>
      <c r="AL36" s="2"/>
      <c r="AM36" s="2" t="b">
        <f>LEN(_xlfn.CONCAT(Table1[[#This Row],[TRACK_TYPE_STANDARD_GAUGE_RAILTYPE_OHLE]:[TRACK_TYPE_MTRO]]))&gt;0</f>
        <v>1</v>
      </c>
      <c r="AN36">
        <v>8</v>
      </c>
      <c r="AO36" t="s">
        <v>18</v>
      </c>
      <c r="AP36">
        <v>0</v>
      </c>
      <c r="AQ36" t="s">
        <v>35</v>
      </c>
      <c r="AR36">
        <v>52</v>
      </c>
      <c r="AS36">
        <v>1935</v>
      </c>
      <c r="AT36">
        <v>8</v>
      </c>
      <c r="AU36" s="2" t="s">
        <v>24</v>
      </c>
      <c r="AV36" t="b">
        <v>1</v>
      </c>
      <c r="AX36" s="2"/>
      <c r="AY36">
        <v>45</v>
      </c>
      <c r="AZ36">
        <v>1</v>
      </c>
      <c r="BA36">
        <v>500</v>
      </c>
      <c r="BB36" t="s">
        <v>710</v>
      </c>
      <c r="BC36">
        <v>120</v>
      </c>
      <c r="BD36" s="2">
        <v>0.31</v>
      </c>
      <c r="BE36" t="s">
        <v>926</v>
      </c>
      <c r="BF36" t="s">
        <v>921</v>
      </c>
      <c r="BG36" t="s">
        <v>939</v>
      </c>
      <c r="BH36" s="7">
        <v>15</v>
      </c>
      <c r="BI3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36">
        <v>0</v>
      </c>
      <c r="BK36" t="s">
        <v>733</v>
      </c>
      <c r="BL36" s="11"/>
      <c r="BM36" s="11"/>
      <c r="BN36" s="11">
        <v>58</v>
      </c>
      <c r="BO36">
        <v>0</v>
      </c>
      <c r="BP36" t="s">
        <v>691</v>
      </c>
      <c r="BQ36" t="s">
        <v>693</v>
      </c>
      <c r="BR36" t="s">
        <v>700</v>
      </c>
      <c r="BS36" t="s">
        <v>704</v>
      </c>
      <c r="BT36" t="s">
        <v>705</v>
      </c>
      <c r="BU36" t="s">
        <v>706</v>
      </c>
      <c r="CT36"/>
      <c r="CU36"/>
      <c r="CV36"/>
    </row>
    <row r="37" spans="1:100" x14ac:dyDescent="0.4">
      <c r="A37" s="2" t="s">
        <v>60</v>
      </c>
      <c r="B37" t="str">
        <f>_xlfn.TEXTAFTER(Table1[[#This Row],[VEHIDCODE]],"_")</f>
        <v>Norway_NSB_Cmb_17</v>
      </c>
      <c r="C37" t="s">
        <v>736</v>
      </c>
      <c r="D37" t="s">
        <v>953</v>
      </c>
      <c r="E37">
        <v>2028</v>
      </c>
      <c r="F37" t="b">
        <f>OR(ISNUMBER(SEARCH("wagon_",Table1[[#This Row],[FILENAMES_EXPECTED]])),ISNUMBER(SEARCH("coach_",Table1[[#This Row],[FILENAMES_EXPECTED]])))</f>
        <v>0</v>
      </c>
      <c r="G37" t="str">
        <f>"item_"&amp;Table1[[#This Row],[VEHIDCODE]]</f>
        <v>item_rbd_Norway_NSB_Cmb_17</v>
      </c>
      <c r="H37" t="str">
        <f>"str_"&amp;Table1[[#This Row],[VEHIDCODE]]</f>
        <v>str_rbd_Norway_NSB_Cmb_17</v>
      </c>
      <c r="Q37" s="2" t="b">
        <v>1</v>
      </c>
      <c r="AL37" s="2"/>
      <c r="AM37" s="2" t="b">
        <f>LEN(_xlfn.CONCAT(Table1[[#This Row],[TRACK_TYPE_STANDARD_GAUGE_RAILTYPE_OHLE]:[TRACK_TYPE_MTRO]]))&gt;0</f>
        <v>1</v>
      </c>
      <c r="AN37">
        <v>6</v>
      </c>
      <c r="AO37" t="s">
        <v>18</v>
      </c>
      <c r="AP37">
        <v>0</v>
      </c>
      <c r="AQ37" t="s">
        <v>35</v>
      </c>
      <c r="AR37">
        <v>45</v>
      </c>
      <c r="AS37">
        <v>1935</v>
      </c>
      <c r="AT37">
        <v>6</v>
      </c>
      <c r="AU37" s="2" t="s">
        <v>24</v>
      </c>
      <c r="AV37" t="b">
        <v>1</v>
      </c>
      <c r="AX37" s="2"/>
      <c r="AY37">
        <v>45</v>
      </c>
      <c r="AZ37">
        <v>1</v>
      </c>
      <c r="BA37">
        <v>120</v>
      </c>
      <c r="BB37" t="s">
        <v>710</v>
      </c>
      <c r="BC37">
        <v>100</v>
      </c>
      <c r="BD37" s="2">
        <v>0.41</v>
      </c>
      <c r="BE37" t="s">
        <v>926</v>
      </c>
      <c r="BF37" t="s">
        <v>921</v>
      </c>
      <c r="BG37" t="s">
        <v>939</v>
      </c>
      <c r="BH37" s="7">
        <v>15</v>
      </c>
      <c r="BI3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37">
        <v>0</v>
      </c>
      <c r="BK37" t="s">
        <v>733</v>
      </c>
      <c r="BL37" s="11"/>
      <c r="BM37" s="11"/>
      <c r="BN37" s="11">
        <v>10</v>
      </c>
      <c r="BO37">
        <v>0</v>
      </c>
      <c r="BP37" t="s">
        <v>691</v>
      </c>
      <c r="BQ37" t="s">
        <v>693</v>
      </c>
      <c r="BR37" t="s">
        <v>700</v>
      </c>
      <c r="BS37" t="s">
        <v>704</v>
      </c>
      <c r="BT37" t="s">
        <v>705</v>
      </c>
      <c r="BU37" t="s">
        <v>706</v>
      </c>
      <c r="CT37"/>
      <c r="CU37"/>
      <c r="CV37"/>
    </row>
    <row r="38" spans="1:100" x14ac:dyDescent="0.4">
      <c r="A38" s="2" t="s">
        <v>61</v>
      </c>
      <c r="B38" t="str">
        <f>_xlfn.TEXTAFTER(Table1[[#This Row],[VEHIDCODE]],"_")</f>
        <v>Czech_Republic_CD_M290</v>
      </c>
      <c r="C38" t="s">
        <v>736</v>
      </c>
      <c r="D38" t="s">
        <v>953</v>
      </c>
      <c r="E38">
        <v>2029</v>
      </c>
      <c r="F38" t="b">
        <f>OR(ISNUMBER(SEARCH("wagon_",Table1[[#This Row],[FILENAMES_EXPECTED]])),ISNUMBER(SEARCH("coach_",Table1[[#This Row],[FILENAMES_EXPECTED]])))</f>
        <v>0</v>
      </c>
      <c r="G38" t="str">
        <f>"item_"&amp;Table1[[#This Row],[VEHIDCODE]]</f>
        <v>item_rbd_Czech_Republic_CD_M290</v>
      </c>
      <c r="H38" t="str">
        <f>"str_"&amp;Table1[[#This Row],[VEHIDCODE]]</f>
        <v>str_rbd_Czech_Republic_CD_M290</v>
      </c>
      <c r="Q38" s="2" t="b">
        <v>1</v>
      </c>
      <c r="AL38" s="2"/>
      <c r="AM38" s="2" t="b">
        <f>LEN(_xlfn.CONCAT(Table1[[#This Row],[TRACK_TYPE_STANDARD_GAUGE_RAILTYPE_OHLE]:[TRACK_TYPE_MTRO]]))&gt;0</f>
        <v>1</v>
      </c>
      <c r="AN38">
        <v>7</v>
      </c>
      <c r="AO38" t="s">
        <v>18</v>
      </c>
      <c r="AP38">
        <v>0</v>
      </c>
      <c r="AQ38" t="s">
        <v>35</v>
      </c>
      <c r="AR38">
        <v>72</v>
      </c>
      <c r="AS38">
        <v>1936</v>
      </c>
      <c r="AT38">
        <v>7</v>
      </c>
      <c r="AU38" s="2" t="s">
        <v>24</v>
      </c>
      <c r="AV38" t="b">
        <v>1</v>
      </c>
      <c r="AX38" s="2"/>
      <c r="AY38">
        <v>45</v>
      </c>
      <c r="AZ38">
        <v>1</v>
      </c>
      <c r="BA38">
        <v>330</v>
      </c>
      <c r="BB38" t="s">
        <v>710</v>
      </c>
      <c r="BC38">
        <v>148</v>
      </c>
      <c r="BD38" s="2">
        <v>0.33</v>
      </c>
      <c r="BE38" t="s">
        <v>928</v>
      </c>
      <c r="BF38" t="s">
        <v>921</v>
      </c>
      <c r="BG38" t="s">
        <v>939</v>
      </c>
      <c r="BH38" s="7">
        <v>15</v>
      </c>
      <c r="BI3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38">
        <v>0</v>
      </c>
      <c r="BK38" t="s">
        <v>733</v>
      </c>
      <c r="BL38" s="11"/>
      <c r="BM38" s="11"/>
      <c r="BN38" s="11">
        <v>36</v>
      </c>
      <c r="BO38">
        <v>0</v>
      </c>
      <c r="BP38" t="s">
        <v>691</v>
      </c>
      <c r="BQ38" t="s">
        <v>693</v>
      </c>
      <c r="BR38" t="s">
        <v>700</v>
      </c>
      <c r="BS38" t="s">
        <v>704</v>
      </c>
      <c r="BT38" t="s">
        <v>705</v>
      </c>
      <c r="BU38" t="s">
        <v>706</v>
      </c>
      <c r="CT38"/>
      <c r="CU38"/>
      <c r="CV38"/>
    </row>
    <row r="39" spans="1:100" x14ac:dyDescent="0.4">
      <c r="A39" s="2" t="s">
        <v>62</v>
      </c>
      <c r="B39" t="str">
        <f>_xlfn.TEXTAFTER(Table1[[#This Row],[VEHIDCODE]],"_")</f>
        <v>Netherlands_NS_omBC</v>
      </c>
      <c r="C39" t="s">
        <v>736</v>
      </c>
      <c r="D39" t="s">
        <v>953</v>
      </c>
      <c r="E39">
        <v>2030</v>
      </c>
      <c r="F39" t="b">
        <f>OR(ISNUMBER(SEARCH("wagon_",Table1[[#This Row],[FILENAMES_EXPECTED]])),ISNUMBER(SEARCH("coach_",Table1[[#This Row],[FILENAMES_EXPECTED]])))</f>
        <v>0</v>
      </c>
      <c r="G39" t="str">
        <f>"item_"&amp;Table1[[#This Row],[VEHIDCODE]]</f>
        <v>item_rbd_Netherlands_NS_omBC</v>
      </c>
      <c r="H39" t="str">
        <f>"str_"&amp;Table1[[#This Row],[VEHIDCODE]]</f>
        <v>str_rbd_Netherlands_NS_omBC</v>
      </c>
      <c r="Q39" s="2" t="b">
        <v>1</v>
      </c>
      <c r="AL39" s="2"/>
      <c r="AM39" s="2" t="b">
        <f>LEN(_xlfn.CONCAT(Table1[[#This Row],[TRACK_TYPE_STANDARD_GAUGE_RAILTYPE_OHLE]:[TRACK_TYPE_MTRO]]))&gt;0</f>
        <v>1</v>
      </c>
      <c r="AN39">
        <v>8</v>
      </c>
      <c r="AO39" t="s">
        <v>18</v>
      </c>
      <c r="AP39">
        <v>0</v>
      </c>
      <c r="AQ39" t="s">
        <v>35</v>
      </c>
      <c r="AR39">
        <v>63</v>
      </c>
      <c r="AS39">
        <v>1937</v>
      </c>
      <c r="AT39">
        <v>8</v>
      </c>
      <c r="AU39" s="2" t="s">
        <v>24</v>
      </c>
      <c r="AV39" t="b">
        <v>1</v>
      </c>
      <c r="AX39" s="2"/>
      <c r="AY39">
        <v>45</v>
      </c>
      <c r="AZ39">
        <v>1</v>
      </c>
      <c r="BA39">
        <v>294</v>
      </c>
      <c r="BB39" t="s">
        <v>710</v>
      </c>
      <c r="BC39">
        <v>105</v>
      </c>
      <c r="BD39" s="2">
        <v>0.34</v>
      </c>
      <c r="BE39" t="s">
        <v>922</v>
      </c>
      <c r="BF39" t="s">
        <v>921</v>
      </c>
      <c r="BG39" t="s">
        <v>939</v>
      </c>
      <c r="BH39" s="7">
        <v>15</v>
      </c>
      <c r="BI3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39">
        <v>0</v>
      </c>
      <c r="BK39" t="s">
        <v>733</v>
      </c>
      <c r="BL39" s="11"/>
      <c r="BM39" s="11"/>
      <c r="BN39" s="11">
        <v>53</v>
      </c>
      <c r="BO39">
        <v>0</v>
      </c>
      <c r="BP39" t="s">
        <v>691</v>
      </c>
      <c r="BQ39" t="s">
        <v>693</v>
      </c>
      <c r="BR39" t="s">
        <v>700</v>
      </c>
      <c r="BS39" t="s">
        <v>704</v>
      </c>
      <c r="BT39" t="s">
        <v>705</v>
      </c>
      <c r="BU39" t="s">
        <v>706</v>
      </c>
      <c r="CT39"/>
      <c r="CU39"/>
      <c r="CV39"/>
    </row>
    <row r="40" spans="1:100" x14ac:dyDescent="0.4">
      <c r="A40" s="2" t="s">
        <v>63</v>
      </c>
      <c r="B40" t="str">
        <f>_xlfn.TEXTAFTER(Table1[[#This Row],[VEHIDCODE]],"_")</f>
        <v>Australia_NSWGR_Class_400</v>
      </c>
      <c r="C40" t="s">
        <v>736</v>
      </c>
      <c r="D40" t="s">
        <v>953</v>
      </c>
      <c r="E40">
        <v>2031</v>
      </c>
      <c r="F40" t="b">
        <f>OR(ISNUMBER(SEARCH("wagon_",Table1[[#This Row],[FILENAMES_EXPECTED]])),ISNUMBER(SEARCH("coach_",Table1[[#This Row],[FILENAMES_EXPECTED]])))</f>
        <v>0</v>
      </c>
      <c r="G40" t="str">
        <f>"item_"&amp;Table1[[#This Row],[VEHIDCODE]]</f>
        <v>item_rbd_Australia_NSWGR_Class_400</v>
      </c>
      <c r="H40" t="str">
        <f>"str_"&amp;Table1[[#This Row],[VEHIDCODE]]</f>
        <v>str_rbd_Australia_NSWGR_Class_400</v>
      </c>
      <c r="Q40" s="2" t="b">
        <v>1</v>
      </c>
      <c r="AL40" s="2"/>
      <c r="AM40" s="2" t="b">
        <f>LEN(_xlfn.CONCAT(Table1[[#This Row],[TRACK_TYPE_STANDARD_GAUGE_RAILTYPE_OHLE]:[TRACK_TYPE_MTRO]]))&gt;0</f>
        <v>1</v>
      </c>
      <c r="AN40">
        <v>7</v>
      </c>
      <c r="AO40" t="s">
        <v>18</v>
      </c>
      <c r="AP40">
        <v>0</v>
      </c>
      <c r="AQ40" t="s">
        <v>35</v>
      </c>
      <c r="AR40">
        <v>56</v>
      </c>
      <c r="AS40">
        <v>1938</v>
      </c>
      <c r="AT40">
        <v>7</v>
      </c>
      <c r="AU40" s="2" t="s">
        <v>24</v>
      </c>
      <c r="AV40" t="b">
        <v>1</v>
      </c>
      <c r="AX40" s="2"/>
      <c r="AY40">
        <v>45</v>
      </c>
      <c r="AZ40">
        <v>1</v>
      </c>
      <c r="BA40">
        <v>300</v>
      </c>
      <c r="BB40" t="s">
        <v>710</v>
      </c>
      <c r="BC40">
        <v>100</v>
      </c>
      <c r="BD40" s="2">
        <v>0.34</v>
      </c>
      <c r="BE40" t="s">
        <v>924</v>
      </c>
      <c r="BF40" t="s">
        <v>921</v>
      </c>
      <c r="BG40" t="s">
        <v>939</v>
      </c>
      <c r="BH40" s="7">
        <v>15</v>
      </c>
      <c r="BI4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40">
        <v>0</v>
      </c>
      <c r="BK40" t="s">
        <v>733</v>
      </c>
      <c r="BL40" s="11"/>
      <c r="BM40" s="11"/>
      <c r="BN40" s="11">
        <v>48</v>
      </c>
      <c r="BO40">
        <v>0</v>
      </c>
      <c r="BP40" t="s">
        <v>691</v>
      </c>
      <c r="BQ40" t="s">
        <v>693</v>
      </c>
      <c r="BR40" t="s">
        <v>700</v>
      </c>
      <c r="BS40" t="s">
        <v>704</v>
      </c>
      <c r="BT40" t="s">
        <v>705</v>
      </c>
      <c r="BU40" t="s">
        <v>706</v>
      </c>
      <c r="CT40"/>
      <c r="CU40"/>
      <c r="CV40"/>
    </row>
    <row r="41" spans="1:100" x14ac:dyDescent="0.4">
      <c r="A41" s="2" t="s">
        <v>64</v>
      </c>
      <c r="B41" t="str">
        <f>_xlfn.TEXTAFTER(Table1[[#This Row],[VEHIDCODE]],"_")</f>
        <v>Portugal_CP_USD_9050</v>
      </c>
      <c r="C41" t="s">
        <v>736</v>
      </c>
      <c r="D41" t="s">
        <v>953</v>
      </c>
      <c r="E41">
        <v>2032</v>
      </c>
      <c r="F41" t="b">
        <f>OR(ISNUMBER(SEARCH("wagon_",Table1[[#This Row],[FILENAMES_EXPECTED]])),ISNUMBER(SEARCH("coach_",Table1[[#This Row],[FILENAMES_EXPECTED]])))</f>
        <v>0</v>
      </c>
      <c r="G41" t="str">
        <f>"item_"&amp;Table1[[#This Row],[VEHIDCODE]]</f>
        <v>item_rbd_Portugal_CP_USD_9050</v>
      </c>
      <c r="H41" t="str">
        <f>"str_"&amp;Table1[[#This Row],[VEHIDCODE]]</f>
        <v>str_rbd_Portugal_CP_USD_9050</v>
      </c>
      <c r="Q41" s="2" t="b">
        <v>1</v>
      </c>
      <c r="AL41" s="2"/>
      <c r="AM41" s="2" t="b">
        <f>LEN(_xlfn.CONCAT(Table1[[#This Row],[TRACK_TYPE_STANDARD_GAUGE_RAILTYPE_OHLE]:[TRACK_TYPE_MTRO]]))&gt;0</f>
        <v>1</v>
      </c>
      <c r="AN41">
        <v>5</v>
      </c>
      <c r="AO41" t="s">
        <v>18</v>
      </c>
      <c r="AP41">
        <v>0</v>
      </c>
      <c r="AQ41" t="s">
        <v>35</v>
      </c>
      <c r="AR41">
        <v>25</v>
      </c>
      <c r="AS41">
        <v>1941</v>
      </c>
      <c r="AT41">
        <v>5</v>
      </c>
      <c r="AU41" s="2" t="s">
        <v>24</v>
      </c>
      <c r="AV41" t="b">
        <v>1</v>
      </c>
      <c r="AX41" s="2"/>
      <c r="AY41">
        <v>45</v>
      </c>
      <c r="AZ41">
        <v>1</v>
      </c>
      <c r="BA41">
        <v>90</v>
      </c>
      <c r="BB41" t="s">
        <v>710</v>
      </c>
      <c r="BC41">
        <v>89</v>
      </c>
      <c r="BD41" s="2">
        <v>0.2</v>
      </c>
      <c r="BE41" t="s">
        <v>923</v>
      </c>
      <c r="BF41" t="s">
        <v>921</v>
      </c>
      <c r="BG41" t="s">
        <v>939</v>
      </c>
      <c r="BH41" s="7">
        <v>15</v>
      </c>
      <c r="BI4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41">
        <v>0</v>
      </c>
      <c r="BK41" t="s">
        <v>733</v>
      </c>
      <c r="BL41" s="11"/>
      <c r="BM41" s="11"/>
      <c r="BN41" s="11">
        <v>8</v>
      </c>
      <c r="BO41">
        <v>0</v>
      </c>
      <c r="BP41" t="s">
        <v>691</v>
      </c>
      <c r="BQ41" t="s">
        <v>693</v>
      </c>
      <c r="BR41" t="s">
        <v>700</v>
      </c>
      <c r="BS41" t="s">
        <v>704</v>
      </c>
      <c r="BT41" t="s">
        <v>705</v>
      </c>
      <c r="BU41" t="s">
        <v>706</v>
      </c>
      <c r="CT41"/>
      <c r="CU41"/>
      <c r="CV41"/>
    </row>
    <row r="42" spans="1:100" x14ac:dyDescent="0.4">
      <c r="A42" s="2" t="s">
        <v>65</v>
      </c>
      <c r="B42" t="str">
        <f>_xlfn.TEXTAFTER(Table1[[#This Row],[VEHIDCODE]],"_")</f>
        <v>Belgium_SNCB_Class_42</v>
      </c>
      <c r="C42" t="s">
        <v>736</v>
      </c>
      <c r="D42" t="s">
        <v>953</v>
      </c>
      <c r="E42">
        <v>2033</v>
      </c>
      <c r="F42" t="b">
        <f>OR(ISNUMBER(SEARCH("wagon_",Table1[[#This Row],[FILENAMES_EXPECTED]])),ISNUMBER(SEARCH("coach_",Table1[[#This Row],[FILENAMES_EXPECTED]])))</f>
        <v>0</v>
      </c>
      <c r="G42" t="str">
        <f>"item_"&amp;Table1[[#This Row],[VEHIDCODE]]</f>
        <v>item_rbd_Belgium_SNCB_Class_42</v>
      </c>
      <c r="H42" t="str">
        <f>"str_"&amp;Table1[[#This Row],[VEHIDCODE]]</f>
        <v>str_rbd_Belgium_SNCB_Class_42</v>
      </c>
      <c r="Q42" s="2" t="b">
        <v>1</v>
      </c>
      <c r="AL42" s="2"/>
      <c r="AM42" s="2" t="b">
        <f>LEN(_xlfn.CONCAT(Table1[[#This Row],[TRACK_TYPE_STANDARD_GAUGE_RAILTYPE_OHLE]:[TRACK_TYPE_MTRO]]))&gt;0</f>
        <v>1</v>
      </c>
      <c r="AN42">
        <v>7</v>
      </c>
      <c r="AO42" t="s">
        <v>18</v>
      </c>
      <c r="AP42">
        <v>0</v>
      </c>
      <c r="AQ42" t="s">
        <v>35</v>
      </c>
      <c r="AR42">
        <v>99</v>
      </c>
      <c r="AS42">
        <v>1954</v>
      </c>
      <c r="AT42">
        <v>7</v>
      </c>
      <c r="AU42" s="2" t="s">
        <v>24</v>
      </c>
      <c r="AV42" t="b">
        <v>1</v>
      </c>
      <c r="AX42" s="2"/>
      <c r="AY42">
        <v>45</v>
      </c>
      <c r="AZ42">
        <v>1</v>
      </c>
      <c r="BA42">
        <v>400</v>
      </c>
      <c r="BB42" t="s">
        <v>710</v>
      </c>
      <c r="BC42">
        <v>90</v>
      </c>
      <c r="BD42" s="2">
        <v>0.34</v>
      </c>
      <c r="BE42" t="s">
        <v>922</v>
      </c>
      <c r="BF42" t="s">
        <v>921</v>
      </c>
      <c r="BG42" t="s">
        <v>939</v>
      </c>
      <c r="BH42" s="7">
        <v>15</v>
      </c>
      <c r="BI4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42">
        <v>0</v>
      </c>
      <c r="BK42" t="s">
        <v>733</v>
      </c>
      <c r="BL42" s="11"/>
      <c r="BM42" s="11"/>
      <c r="BN42" s="11">
        <v>54</v>
      </c>
      <c r="BO42">
        <v>0</v>
      </c>
      <c r="BP42" t="s">
        <v>691</v>
      </c>
      <c r="BQ42" t="s">
        <v>693</v>
      </c>
      <c r="BR42" t="s">
        <v>700</v>
      </c>
      <c r="BS42" t="s">
        <v>704</v>
      </c>
      <c r="BT42" t="s">
        <v>705</v>
      </c>
      <c r="BU42" t="s">
        <v>706</v>
      </c>
      <c r="CT42"/>
      <c r="CU42"/>
      <c r="CV42"/>
    </row>
    <row r="43" spans="1:100" x14ac:dyDescent="0.4">
      <c r="A43" s="2" t="s">
        <v>66</v>
      </c>
      <c r="B43" t="str">
        <f>_xlfn.TEXTAFTER(Table1[[#This Row],[VEHIDCODE]],"_")</f>
        <v>Bulgaria_BDZ_19</v>
      </c>
      <c r="C43" t="s">
        <v>736</v>
      </c>
      <c r="D43" t="s">
        <v>953</v>
      </c>
      <c r="E43">
        <v>2034</v>
      </c>
      <c r="F43" t="b">
        <f>OR(ISNUMBER(SEARCH("wagon_",Table1[[#This Row],[FILENAMES_EXPECTED]])),ISNUMBER(SEARCH("coach_",Table1[[#This Row],[FILENAMES_EXPECTED]])))</f>
        <v>0</v>
      </c>
      <c r="G43" t="str">
        <f>"item_"&amp;Table1[[#This Row],[VEHIDCODE]]</f>
        <v>item_rbd_Bulgaria_BDZ_19</v>
      </c>
      <c r="H43" t="str">
        <f>"str_"&amp;Table1[[#This Row],[VEHIDCODE]]</f>
        <v>str_rbd_Bulgaria_BDZ_19</v>
      </c>
      <c r="Q43" s="2" t="b">
        <v>1</v>
      </c>
      <c r="AL43" s="2"/>
      <c r="AM43" s="2" t="b">
        <f>LEN(_xlfn.CONCAT(Table1[[#This Row],[TRACK_TYPE_STANDARD_GAUGE_RAILTYPE_OHLE]:[TRACK_TYPE_MTRO]]))&gt;0</f>
        <v>1</v>
      </c>
      <c r="AN43">
        <v>8</v>
      </c>
      <c r="AO43" t="s">
        <v>18</v>
      </c>
      <c r="AP43">
        <v>0</v>
      </c>
      <c r="AQ43" t="s">
        <v>35</v>
      </c>
      <c r="AR43">
        <v>37</v>
      </c>
      <c r="AS43">
        <v>1960</v>
      </c>
      <c r="AT43">
        <v>8</v>
      </c>
      <c r="AU43" s="2" t="s">
        <v>24</v>
      </c>
      <c r="AV43" t="b">
        <v>1</v>
      </c>
      <c r="AX43" s="2"/>
      <c r="AY43">
        <v>45</v>
      </c>
      <c r="AZ43">
        <v>1</v>
      </c>
      <c r="BA43">
        <v>550</v>
      </c>
      <c r="BB43" t="s">
        <v>710</v>
      </c>
      <c r="BC43">
        <v>125</v>
      </c>
      <c r="BD43" s="2">
        <v>0.2</v>
      </c>
      <c r="BE43" t="s">
        <v>928</v>
      </c>
      <c r="BF43" t="s">
        <v>921</v>
      </c>
      <c r="BG43" t="s">
        <v>939</v>
      </c>
      <c r="BH43" s="7">
        <v>15</v>
      </c>
      <c r="BI4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43">
        <v>0</v>
      </c>
      <c r="BK43" t="s">
        <v>733</v>
      </c>
      <c r="BL43" s="11"/>
      <c r="BM43" s="11"/>
      <c r="BN43" s="11">
        <v>52</v>
      </c>
      <c r="BO43">
        <v>0</v>
      </c>
      <c r="BP43" t="s">
        <v>691</v>
      </c>
      <c r="BQ43" t="s">
        <v>693</v>
      </c>
      <c r="BR43" t="s">
        <v>700</v>
      </c>
      <c r="BS43" t="s">
        <v>704</v>
      </c>
      <c r="BT43" t="s">
        <v>705</v>
      </c>
      <c r="BU43" t="s">
        <v>706</v>
      </c>
      <c r="CT43"/>
      <c r="CU43"/>
      <c r="CV43"/>
    </row>
    <row r="44" spans="1:100" x14ac:dyDescent="0.4">
      <c r="A44" s="2" t="s">
        <v>67</v>
      </c>
      <c r="B44" t="str">
        <f>_xlfn.TEXTAFTER(Table1[[#This Row],[VEHIDCODE]],"_")</f>
        <v>Greece_OSE_AA71</v>
      </c>
      <c r="C44" t="s">
        <v>736</v>
      </c>
      <c r="D44" t="s">
        <v>953</v>
      </c>
      <c r="E44">
        <v>2035</v>
      </c>
      <c r="F44" t="b">
        <f>OR(ISNUMBER(SEARCH("wagon_",Table1[[#This Row],[FILENAMES_EXPECTED]])),ISNUMBER(SEARCH("coach_",Table1[[#This Row],[FILENAMES_EXPECTED]])))</f>
        <v>0</v>
      </c>
      <c r="G44" t="str">
        <f>"item_"&amp;Table1[[#This Row],[VEHIDCODE]]</f>
        <v>item_rbd_Greece_OSE_AA71</v>
      </c>
      <c r="H44" t="str">
        <f>"str_"&amp;Table1[[#This Row],[VEHIDCODE]]</f>
        <v>str_rbd_Greece_OSE_AA71</v>
      </c>
      <c r="Q44" s="2" t="b">
        <v>1</v>
      </c>
      <c r="AL44" s="2"/>
      <c r="AM44" s="2" t="b">
        <f>LEN(_xlfn.CONCAT(Table1[[#This Row],[TRACK_TYPE_STANDARD_GAUGE_RAILTYPE_OHLE]:[TRACK_TYPE_MTRO]]))&gt;0</f>
        <v>1</v>
      </c>
      <c r="AN44">
        <v>8</v>
      </c>
      <c r="AO44" t="s">
        <v>18</v>
      </c>
      <c r="AP44">
        <v>0</v>
      </c>
      <c r="AQ44" t="s">
        <v>35</v>
      </c>
      <c r="AR44">
        <v>68</v>
      </c>
      <c r="AS44">
        <v>1962</v>
      </c>
      <c r="AT44">
        <v>8</v>
      </c>
      <c r="AU44" s="2" t="s">
        <v>24</v>
      </c>
      <c r="AV44" t="b">
        <v>1</v>
      </c>
      <c r="AX44" s="2"/>
      <c r="AY44">
        <v>45</v>
      </c>
      <c r="AZ44">
        <v>1</v>
      </c>
      <c r="BA44">
        <v>790</v>
      </c>
      <c r="BB44" t="s">
        <v>710</v>
      </c>
      <c r="BC44">
        <v>105</v>
      </c>
      <c r="BD44" s="2">
        <v>0.19</v>
      </c>
      <c r="BE44" t="s">
        <v>923</v>
      </c>
      <c r="BF44" t="s">
        <v>921</v>
      </c>
      <c r="BG44" t="s">
        <v>939</v>
      </c>
      <c r="BH44" s="7">
        <v>15</v>
      </c>
      <c r="BI4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44">
        <v>0</v>
      </c>
      <c r="BK44" t="s">
        <v>733</v>
      </c>
      <c r="BL44" s="11"/>
      <c r="BM44" s="11"/>
      <c r="BN44" s="11">
        <v>48</v>
      </c>
      <c r="BO44">
        <v>0</v>
      </c>
      <c r="BP44" t="s">
        <v>691</v>
      </c>
      <c r="BQ44" t="s">
        <v>693</v>
      </c>
      <c r="BR44" t="s">
        <v>700</v>
      </c>
      <c r="BS44" t="s">
        <v>704</v>
      </c>
      <c r="BT44" t="s">
        <v>705</v>
      </c>
      <c r="BU44" t="s">
        <v>706</v>
      </c>
      <c r="CT44"/>
      <c r="CU44"/>
      <c r="CV44"/>
    </row>
    <row r="45" spans="1:100" x14ac:dyDescent="0.4">
      <c r="A45" s="2" t="s">
        <v>68</v>
      </c>
      <c r="B45" t="str">
        <f>_xlfn.TEXTAFTER(Table1[[#This Row],[VEHIDCODE]],"_")</f>
        <v>Tunisia_SNCFT_Z431</v>
      </c>
      <c r="C45" t="s">
        <v>736</v>
      </c>
      <c r="D45" t="s">
        <v>953</v>
      </c>
      <c r="E45">
        <v>2036</v>
      </c>
      <c r="F45" t="b">
        <f>OR(ISNUMBER(SEARCH("wagon_",Table1[[#This Row],[FILENAMES_EXPECTED]])),ISNUMBER(SEARCH("coach_",Table1[[#This Row],[FILENAMES_EXPECTED]])))</f>
        <v>0</v>
      </c>
      <c r="G45" t="str">
        <f>"item_"&amp;Table1[[#This Row],[VEHIDCODE]]</f>
        <v>item_rbd_Tunisia_SNCFT_Z431</v>
      </c>
      <c r="H45" t="str">
        <f>"str_"&amp;Table1[[#This Row],[VEHIDCODE]]</f>
        <v>str_rbd_Tunisia_SNCFT_Z431</v>
      </c>
      <c r="Q45" s="2" t="b">
        <v>1</v>
      </c>
      <c r="AL45" s="2"/>
      <c r="AM45" s="2" t="b">
        <f>LEN(_xlfn.CONCAT(Table1[[#This Row],[TRACK_TYPE_STANDARD_GAUGE_RAILTYPE_OHLE]:[TRACK_TYPE_MTRO]]))&gt;0</f>
        <v>1</v>
      </c>
      <c r="AN45">
        <v>8</v>
      </c>
      <c r="AO45" t="s">
        <v>18</v>
      </c>
      <c r="AP45">
        <v>0</v>
      </c>
      <c r="AQ45" t="s">
        <v>35</v>
      </c>
      <c r="AR45">
        <v>54</v>
      </c>
      <c r="AS45">
        <v>1975</v>
      </c>
      <c r="AT45">
        <v>8</v>
      </c>
      <c r="AU45" s="2" t="s">
        <v>24</v>
      </c>
      <c r="AV45" t="b">
        <v>1</v>
      </c>
      <c r="AX45" s="2"/>
      <c r="AY45">
        <v>45</v>
      </c>
      <c r="AZ45">
        <v>1</v>
      </c>
      <c r="BA45">
        <v>1045</v>
      </c>
      <c r="BB45" t="s">
        <v>710</v>
      </c>
      <c r="BC45">
        <v>130</v>
      </c>
      <c r="BD45" s="2">
        <v>0.38</v>
      </c>
      <c r="BE45" t="s">
        <v>925</v>
      </c>
      <c r="BF45" t="s">
        <v>921</v>
      </c>
      <c r="BG45" t="s">
        <v>939</v>
      </c>
      <c r="BH45" s="7">
        <v>15</v>
      </c>
      <c r="BI4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45">
        <v>0</v>
      </c>
      <c r="BK45" t="s">
        <v>733</v>
      </c>
      <c r="BL45" s="11"/>
      <c r="BM45" s="11"/>
      <c r="BN45" s="11">
        <v>60</v>
      </c>
      <c r="BO45">
        <v>0</v>
      </c>
      <c r="BP45" t="s">
        <v>691</v>
      </c>
      <c r="BQ45" t="s">
        <v>693</v>
      </c>
      <c r="BR45" t="s">
        <v>700</v>
      </c>
      <c r="BS45" t="s">
        <v>704</v>
      </c>
      <c r="BT45" t="s">
        <v>705</v>
      </c>
      <c r="BU45" t="s">
        <v>706</v>
      </c>
      <c r="CT45"/>
      <c r="CU45"/>
      <c r="CV45"/>
    </row>
    <row r="46" spans="1:100" x14ac:dyDescent="0.4">
      <c r="A46" s="2" t="s">
        <v>69</v>
      </c>
      <c r="B46" t="str">
        <f>_xlfn.TEXTAFTER(Table1[[#This Row],[VEHIDCODE]],"_")</f>
        <v>USA_Amtrak_SPV_200</v>
      </c>
      <c r="C46" t="s">
        <v>736</v>
      </c>
      <c r="D46" t="s">
        <v>953</v>
      </c>
      <c r="E46">
        <v>2037</v>
      </c>
      <c r="F46" t="b">
        <f>OR(ISNUMBER(SEARCH("wagon_",Table1[[#This Row],[FILENAMES_EXPECTED]])),ISNUMBER(SEARCH("coach_",Table1[[#This Row],[FILENAMES_EXPECTED]])))</f>
        <v>0</v>
      </c>
      <c r="G46" t="str">
        <f>"item_"&amp;Table1[[#This Row],[VEHIDCODE]]</f>
        <v>item_rbd_USA_Amtrak_SPV_200</v>
      </c>
      <c r="H46" t="str">
        <f>"str_"&amp;Table1[[#This Row],[VEHIDCODE]]</f>
        <v>str_rbd_USA_Amtrak_SPV_200</v>
      </c>
      <c r="Q46" s="2" t="b">
        <v>1</v>
      </c>
      <c r="AL46" s="2"/>
      <c r="AM46" s="2" t="b">
        <f>LEN(_xlfn.CONCAT(Table1[[#This Row],[TRACK_TYPE_STANDARD_GAUGE_RAILTYPE_OHLE]:[TRACK_TYPE_MTRO]]))&gt;0</f>
        <v>1</v>
      </c>
      <c r="AN46">
        <v>8</v>
      </c>
      <c r="AO46" t="s">
        <v>18</v>
      </c>
      <c r="AP46">
        <v>0</v>
      </c>
      <c r="AQ46" t="s">
        <v>35</v>
      </c>
      <c r="AR46">
        <v>86</v>
      </c>
      <c r="AS46">
        <v>1979</v>
      </c>
      <c r="AT46">
        <v>8</v>
      </c>
      <c r="AU46" s="2" t="s">
        <v>24</v>
      </c>
      <c r="AV46" t="b">
        <v>1</v>
      </c>
      <c r="AX46" s="2"/>
      <c r="AY46">
        <v>45</v>
      </c>
      <c r="AZ46">
        <v>1</v>
      </c>
      <c r="BA46">
        <v>360</v>
      </c>
      <c r="BB46" t="s">
        <v>710</v>
      </c>
      <c r="BC46">
        <v>130</v>
      </c>
      <c r="BD46" s="2">
        <v>0.26</v>
      </c>
      <c r="BE46" t="s">
        <v>927</v>
      </c>
      <c r="BF46" t="s">
        <v>921</v>
      </c>
      <c r="BG46" t="s">
        <v>939</v>
      </c>
      <c r="BH46" s="7">
        <v>15</v>
      </c>
      <c r="BI4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46">
        <v>0</v>
      </c>
      <c r="BK46" t="s">
        <v>733</v>
      </c>
      <c r="BL46" s="11"/>
      <c r="BM46" s="11"/>
      <c r="BN46" s="11">
        <v>58</v>
      </c>
      <c r="BO46">
        <v>0</v>
      </c>
      <c r="BP46" t="s">
        <v>691</v>
      </c>
      <c r="BQ46" t="s">
        <v>693</v>
      </c>
      <c r="BR46" t="s">
        <v>700</v>
      </c>
      <c r="BS46" t="s">
        <v>704</v>
      </c>
      <c r="BT46" t="s">
        <v>705</v>
      </c>
      <c r="BU46" t="s">
        <v>706</v>
      </c>
      <c r="CT46"/>
      <c r="CU46"/>
      <c r="CV46"/>
    </row>
    <row r="47" spans="1:100" x14ac:dyDescent="0.4">
      <c r="A47" s="2" t="s">
        <v>70</v>
      </c>
      <c r="B47" t="str">
        <f>_xlfn.TEXTAFTER(Table1[[#This Row],[VEHIDCODE]],"_")</f>
        <v>Finland_VR_Dm12</v>
      </c>
      <c r="C47" t="s">
        <v>736</v>
      </c>
      <c r="D47" t="s">
        <v>953</v>
      </c>
      <c r="E47">
        <v>2039</v>
      </c>
      <c r="F47" t="b">
        <f>OR(ISNUMBER(SEARCH("wagon_",Table1[[#This Row],[FILENAMES_EXPECTED]])),ISNUMBER(SEARCH("coach_",Table1[[#This Row],[FILENAMES_EXPECTED]])))</f>
        <v>0</v>
      </c>
      <c r="G47" t="str">
        <f>"item_"&amp;Table1[[#This Row],[VEHIDCODE]]</f>
        <v>item_rbd_Finland_VR_Dm12</v>
      </c>
      <c r="H47" t="str">
        <f>"str_"&amp;Table1[[#This Row],[VEHIDCODE]]</f>
        <v>str_rbd_Finland_VR_Dm12</v>
      </c>
      <c r="AI47" s="2" t="b">
        <v>1</v>
      </c>
      <c r="AL47" s="2"/>
      <c r="AM47" s="2" t="b">
        <f>LEN(_xlfn.CONCAT(Table1[[#This Row],[TRACK_TYPE_STANDARD_GAUGE_RAILTYPE_OHLE]:[TRACK_TYPE_MTRO]]))&gt;0</f>
        <v>1</v>
      </c>
      <c r="AN47">
        <v>8</v>
      </c>
      <c r="AO47" t="s">
        <v>18</v>
      </c>
      <c r="AP47">
        <v>0</v>
      </c>
      <c r="AQ47" t="s">
        <v>35</v>
      </c>
      <c r="AR47">
        <v>63</v>
      </c>
      <c r="AS47">
        <v>2005</v>
      </c>
      <c r="AT47">
        <v>8</v>
      </c>
      <c r="AU47" s="2" t="s">
        <v>24</v>
      </c>
      <c r="AV47" t="b">
        <v>1</v>
      </c>
      <c r="AX47" s="2"/>
      <c r="AY47" t="s">
        <v>21</v>
      </c>
      <c r="AZ47">
        <v>1</v>
      </c>
      <c r="BA47">
        <v>710</v>
      </c>
      <c r="BB47" t="s">
        <v>710</v>
      </c>
      <c r="BC47">
        <v>120</v>
      </c>
      <c r="BD47" s="2">
        <v>0.35</v>
      </c>
      <c r="BE47" t="s">
        <v>926</v>
      </c>
      <c r="BF47" t="s">
        <v>921</v>
      </c>
      <c r="BG47" t="s">
        <v>939</v>
      </c>
      <c r="BH47" s="7">
        <v>15</v>
      </c>
      <c r="BI4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47">
        <v>0</v>
      </c>
      <c r="BK47" t="s">
        <v>733</v>
      </c>
      <c r="BL47" s="11"/>
      <c r="BM47" s="11"/>
      <c r="BN47" s="11">
        <v>48</v>
      </c>
      <c r="BO47">
        <v>0</v>
      </c>
      <c r="BP47" t="s">
        <v>691</v>
      </c>
      <c r="BQ47" t="s">
        <v>693</v>
      </c>
      <c r="BR47" t="s">
        <v>700</v>
      </c>
      <c r="BS47" t="s">
        <v>704</v>
      </c>
      <c r="BT47" t="s">
        <v>705</v>
      </c>
      <c r="BU47" t="s">
        <v>706</v>
      </c>
      <c r="CT47"/>
      <c r="CU47"/>
      <c r="CV47"/>
    </row>
    <row r="48" spans="1:100" x14ac:dyDescent="0.4">
      <c r="A48" s="2" t="s">
        <v>71</v>
      </c>
      <c r="B48" t="str">
        <f>_xlfn.TEXTAFTER(Table1[[#This Row],[VEHIDCODE]],"_")</f>
        <v>Czech_Republic_CD_840</v>
      </c>
      <c r="C48" t="s">
        <v>736</v>
      </c>
      <c r="D48" t="s">
        <v>953</v>
      </c>
      <c r="E48">
        <v>2041</v>
      </c>
      <c r="F48" t="b">
        <f>OR(ISNUMBER(SEARCH("wagon_",Table1[[#This Row],[FILENAMES_EXPECTED]])),ISNUMBER(SEARCH("coach_",Table1[[#This Row],[FILENAMES_EXPECTED]])))</f>
        <v>0</v>
      </c>
      <c r="G48" t="str">
        <f>"item_"&amp;Table1[[#This Row],[VEHIDCODE]]</f>
        <v>item_rbd_Czech_Republic_CD_840</v>
      </c>
      <c r="H48" t="str">
        <f>"str_"&amp;Table1[[#This Row],[VEHIDCODE]]</f>
        <v>str_rbd_Czech_Republic_CD_840</v>
      </c>
      <c r="Q48" s="2" t="b">
        <v>1</v>
      </c>
      <c r="AL48" s="2"/>
      <c r="AM48" s="2" t="b">
        <f>LEN(_xlfn.CONCAT(Table1[[#This Row],[TRACK_TYPE_STANDARD_GAUGE_RAILTYPE_OHLE]:[TRACK_TYPE_MTRO]]))&gt;0</f>
        <v>1</v>
      </c>
      <c r="AN48">
        <v>8</v>
      </c>
      <c r="AO48" t="s">
        <v>18</v>
      </c>
      <c r="AP48">
        <v>0</v>
      </c>
      <c r="AQ48" t="s">
        <v>35</v>
      </c>
      <c r="AR48">
        <v>71</v>
      </c>
      <c r="AS48">
        <v>2011</v>
      </c>
      <c r="AT48">
        <v>8</v>
      </c>
      <c r="AU48" s="2" t="s">
        <v>24</v>
      </c>
      <c r="AV48" t="b">
        <v>1</v>
      </c>
      <c r="AX48" s="2"/>
      <c r="AY48" t="s">
        <v>21</v>
      </c>
      <c r="AZ48">
        <v>1</v>
      </c>
      <c r="BA48">
        <v>710</v>
      </c>
      <c r="BB48" t="s">
        <v>710</v>
      </c>
      <c r="BC48">
        <v>120</v>
      </c>
      <c r="BD48" s="2">
        <v>0.37</v>
      </c>
      <c r="BE48" t="s">
        <v>928</v>
      </c>
      <c r="BF48" t="s">
        <v>921</v>
      </c>
      <c r="BG48" t="s">
        <v>939</v>
      </c>
      <c r="BH48" s="7">
        <v>15</v>
      </c>
      <c r="BI4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48">
        <v>0</v>
      </c>
      <c r="BK48" t="s">
        <v>733</v>
      </c>
      <c r="BL48" s="11"/>
      <c r="BM48" s="11"/>
      <c r="BN48" s="11">
        <v>43</v>
      </c>
      <c r="BO48">
        <v>0</v>
      </c>
      <c r="BP48" t="s">
        <v>691</v>
      </c>
      <c r="BQ48" t="s">
        <v>693</v>
      </c>
      <c r="BR48" t="s">
        <v>700</v>
      </c>
      <c r="BS48" t="s">
        <v>704</v>
      </c>
      <c r="BT48" t="s">
        <v>705</v>
      </c>
      <c r="BU48" t="s">
        <v>706</v>
      </c>
      <c r="CT48"/>
      <c r="CU48"/>
      <c r="CV48"/>
    </row>
    <row r="49" spans="1:100" x14ac:dyDescent="0.4">
      <c r="A49" s="2" t="s">
        <v>72</v>
      </c>
      <c r="B49" t="str">
        <f>_xlfn.TEXTAFTER(Table1[[#This Row],[VEHIDCODE]],"_")</f>
        <v>Italy_FS_ALn_668</v>
      </c>
      <c r="C49" t="s">
        <v>736</v>
      </c>
      <c r="D49" t="s">
        <v>953</v>
      </c>
      <c r="E49">
        <v>2046</v>
      </c>
      <c r="F49" t="b">
        <f>OR(ISNUMBER(SEARCH("wagon_",Table1[[#This Row],[FILENAMES_EXPECTED]])),ISNUMBER(SEARCH("coach_",Table1[[#This Row],[FILENAMES_EXPECTED]])))</f>
        <v>0</v>
      </c>
      <c r="G49" t="str">
        <f>"item_"&amp;Table1[[#This Row],[VEHIDCODE]]</f>
        <v>item_rbd_Italy_FS_ALn_668</v>
      </c>
      <c r="H49" t="str">
        <f>"str_"&amp;Table1[[#This Row],[VEHIDCODE]]</f>
        <v>str_rbd_Italy_FS_ALn_668</v>
      </c>
      <c r="Q49" s="2" t="b">
        <v>1</v>
      </c>
      <c r="AL49" s="2"/>
      <c r="AM49" s="2" t="b">
        <f>LEN(_xlfn.CONCAT(Table1[[#This Row],[TRACK_TYPE_STANDARD_GAUGE_RAILTYPE_OHLE]:[TRACK_TYPE_MTRO]]))&gt;0</f>
        <v>1</v>
      </c>
      <c r="AN49">
        <v>8</v>
      </c>
      <c r="AO49" t="s">
        <v>18</v>
      </c>
      <c r="AP49">
        <v>0</v>
      </c>
      <c r="AQ49" t="s">
        <v>35</v>
      </c>
      <c r="AR49">
        <v>68</v>
      </c>
      <c r="AS49">
        <v>1956</v>
      </c>
      <c r="AT49">
        <v>8</v>
      </c>
      <c r="AU49" s="2" t="s">
        <v>24</v>
      </c>
      <c r="AV49" t="b">
        <v>1</v>
      </c>
      <c r="AX49" s="2"/>
      <c r="AY49">
        <v>45</v>
      </c>
      <c r="AZ49">
        <v>1</v>
      </c>
      <c r="BA49">
        <v>335</v>
      </c>
      <c r="BB49" t="s">
        <v>710</v>
      </c>
      <c r="BC49">
        <v>110</v>
      </c>
      <c r="BD49" s="2">
        <v>0.23</v>
      </c>
      <c r="BE49" t="s">
        <v>923</v>
      </c>
      <c r="BF49" t="s">
        <v>921</v>
      </c>
      <c r="BG49" t="s">
        <v>939</v>
      </c>
      <c r="BH49" s="7">
        <v>25</v>
      </c>
      <c r="BI4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49">
        <v>0</v>
      </c>
      <c r="BK49" t="s">
        <v>733</v>
      </c>
      <c r="BL49" s="11"/>
      <c r="BM49" s="11"/>
      <c r="BN49" s="11">
        <v>32</v>
      </c>
      <c r="BO49">
        <v>0</v>
      </c>
      <c r="BP49" t="s">
        <v>691</v>
      </c>
      <c r="BQ49" t="s">
        <v>693</v>
      </c>
      <c r="BR49" t="s">
        <v>700</v>
      </c>
      <c r="BS49" t="s">
        <v>704</v>
      </c>
      <c r="BT49" t="s">
        <v>705</v>
      </c>
      <c r="BU49" t="s">
        <v>706</v>
      </c>
      <c r="CT49"/>
      <c r="CU49"/>
      <c r="CV49"/>
    </row>
    <row r="50" spans="1:100" x14ac:dyDescent="0.4">
      <c r="A50" s="2" t="s">
        <v>73</v>
      </c>
      <c r="B50" t="str">
        <f>_xlfn.TEXTAFTER(Table1[[#This Row],[VEHIDCODE]],"_")</f>
        <v>Czech_Republic_CD_M400</v>
      </c>
      <c r="C50" t="s">
        <v>737</v>
      </c>
      <c r="D50" t="s">
        <v>954</v>
      </c>
      <c r="E50">
        <v>3005</v>
      </c>
      <c r="F50" t="b">
        <f>OR(ISNUMBER(SEARCH("wagon_",Table1[[#This Row],[FILENAMES_EXPECTED]])),ISNUMBER(SEARCH("coach_",Table1[[#This Row],[FILENAMES_EXPECTED]])))</f>
        <v>0</v>
      </c>
      <c r="G50" t="str">
        <f>"item_"&amp;Table1[[#This Row],[VEHIDCODE]]</f>
        <v>item_rbe_Czech_Republic_CD_M400</v>
      </c>
      <c r="H50" t="str">
        <f>"str_"&amp;Table1[[#This Row],[VEHIDCODE]]</f>
        <v>str_rbe_Czech_Republic_CD_M400</v>
      </c>
      <c r="M50" t="b">
        <v>1</v>
      </c>
      <c r="AL50" s="2"/>
      <c r="AM50" s="2" t="b">
        <f>LEN(_xlfn.CONCAT(Table1[[#This Row],[TRACK_TYPE_STANDARD_GAUGE_RAILTYPE_OHLE]:[TRACK_TYPE_MTRO]]))&gt;0</f>
        <v>1</v>
      </c>
      <c r="AN50">
        <v>7</v>
      </c>
      <c r="AO50" t="s">
        <v>18</v>
      </c>
      <c r="AP50">
        <v>0</v>
      </c>
      <c r="AQ50" t="s">
        <v>74</v>
      </c>
      <c r="AR50">
        <v>40</v>
      </c>
      <c r="AS50">
        <v>1903</v>
      </c>
      <c r="AT50">
        <v>7</v>
      </c>
      <c r="AU50" s="2" t="s">
        <v>24</v>
      </c>
      <c r="AV50" t="b">
        <v>1</v>
      </c>
      <c r="AX50" s="2"/>
      <c r="AY50">
        <v>45</v>
      </c>
      <c r="AZ50">
        <v>1</v>
      </c>
      <c r="BA50">
        <v>150</v>
      </c>
      <c r="BB50" t="s">
        <v>708</v>
      </c>
      <c r="BC50">
        <v>35</v>
      </c>
      <c r="BD50" s="2">
        <v>0.33</v>
      </c>
      <c r="BE50" t="s">
        <v>928</v>
      </c>
      <c r="BF50" t="s">
        <v>921</v>
      </c>
      <c r="BG50" t="s">
        <v>939</v>
      </c>
      <c r="BH50" s="7">
        <v>15</v>
      </c>
      <c r="BI5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50">
        <v>0</v>
      </c>
      <c r="BK50" t="s">
        <v>733</v>
      </c>
      <c r="BL50" s="11"/>
      <c r="BM50" s="11"/>
      <c r="BN50" s="11">
        <v>23</v>
      </c>
      <c r="BO50">
        <v>0</v>
      </c>
      <c r="BP50" t="s">
        <v>691</v>
      </c>
      <c r="BQ50" t="s">
        <v>693</v>
      </c>
      <c r="BR50" t="s">
        <v>700</v>
      </c>
      <c r="BS50" t="s">
        <v>704</v>
      </c>
      <c r="BT50" t="s">
        <v>705</v>
      </c>
      <c r="BU50" t="s">
        <v>706</v>
      </c>
      <c r="CT50"/>
      <c r="CU50"/>
      <c r="CV50"/>
    </row>
    <row r="51" spans="1:100" x14ac:dyDescent="0.4">
      <c r="A51" s="2" t="s">
        <v>75</v>
      </c>
      <c r="B51" t="str">
        <f>_xlfn.TEXTAFTER(Table1[[#This Row],[VEHIDCODE]],"_")</f>
        <v>France_SNCF_Z_7100</v>
      </c>
      <c r="C51" t="s">
        <v>737</v>
      </c>
      <c r="D51" t="s">
        <v>954</v>
      </c>
      <c r="E51">
        <v>3012</v>
      </c>
      <c r="F51" t="b">
        <f>OR(ISNUMBER(SEARCH("wagon_",Table1[[#This Row],[FILENAMES_EXPECTED]])),ISNUMBER(SEARCH("coach_",Table1[[#This Row],[FILENAMES_EXPECTED]])))</f>
        <v>0</v>
      </c>
      <c r="G51" t="str">
        <f>"item_"&amp;Table1[[#This Row],[VEHIDCODE]]</f>
        <v>item_rbe_France_SNCF_Z_7100</v>
      </c>
      <c r="H51" t="str">
        <f>"str_"&amp;Table1[[#This Row],[VEHIDCODE]]</f>
        <v>str_rbe_France_SNCF_Z_7100</v>
      </c>
      <c r="M51" t="b">
        <v>1</v>
      </c>
      <c r="AL51" s="2"/>
      <c r="AM51" s="2" t="b">
        <f>LEN(_xlfn.CONCAT(Table1[[#This Row],[TRACK_TYPE_STANDARD_GAUGE_RAILTYPE_OHLE]:[TRACK_TYPE_MTRO]]))&gt;0</f>
        <v>1</v>
      </c>
      <c r="AN51">
        <v>8</v>
      </c>
      <c r="AO51" t="s">
        <v>18</v>
      </c>
      <c r="AP51">
        <v>0</v>
      </c>
      <c r="AQ51" t="s">
        <v>74</v>
      </c>
      <c r="AR51">
        <v>70</v>
      </c>
      <c r="AS51">
        <v>1960</v>
      </c>
      <c r="AT51">
        <v>8</v>
      </c>
      <c r="AU51" s="2" t="s">
        <v>24</v>
      </c>
      <c r="AV51" t="b">
        <v>1</v>
      </c>
      <c r="AX51" s="2"/>
      <c r="AY51">
        <v>45</v>
      </c>
      <c r="AZ51">
        <v>1</v>
      </c>
      <c r="BA51">
        <v>1260</v>
      </c>
      <c r="BB51" t="s">
        <v>708</v>
      </c>
      <c r="BC51">
        <v>130</v>
      </c>
      <c r="BD51" s="2">
        <v>0.21</v>
      </c>
      <c r="BE51" t="s">
        <v>922</v>
      </c>
      <c r="BF51" t="s">
        <v>921</v>
      </c>
      <c r="BG51" t="s">
        <v>939</v>
      </c>
      <c r="BH51" s="7">
        <v>15</v>
      </c>
      <c r="BI5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51">
        <v>0</v>
      </c>
      <c r="BK51" t="s">
        <v>733</v>
      </c>
      <c r="BL51" s="11"/>
      <c r="BM51" s="11"/>
      <c r="BN51" s="11">
        <v>58</v>
      </c>
      <c r="BO51">
        <v>0</v>
      </c>
      <c r="BP51" t="s">
        <v>691</v>
      </c>
      <c r="BQ51" t="s">
        <v>693</v>
      </c>
      <c r="BR51" t="s">
        <v>700</v>
      </c>
      <c r="BS51" t="s">
        <v>704</v>
      </c>
      <c r="BT51" t="s">
        <v>705</v>
      </c>
      <c r="BU51" t="s">
        <v>706</v>
      </c>
      <c r="CT51"/>
      <c r="CU51"/>
      <c r="CV51"/>
    </row>
    <row r="52" spans="1:100" x14ac:dyDescent="0.4">
      <c r="A52" s="2" t="s">
        <v>76</v>
      </c>
      <c r="B52" t="str">
        <f>_xlfn.TEXTAFTER(Table1[[#This Row],[VEHIDCODE]],"_")</f>
        <v>Germany_Buckower_Kleinbahn_Nr_1_3</v>
      </c>
      <c r="C52" t="s">
        <v>737</v>
      </c>
      <c r="D52" t="s">
        <v>954</v>
      </c>
      <c r="E52">
        <v>3021</v>
      </c>
      <c r="F52" t="b">
        <f>OR(ISNUMBER(SEARCH("wagon_",Table1[[#This Row],[FILENAMES_EXPECTED]])),ISNUMBER(SEARCH("coach_",Table1[[#This Row],[FILENAMES_EXPECTED]])))</f>
        <v>0</v>
      </c>
      <c r="G52" t="str">
        <f>"item_"&amp;Table1[[#This Row],[VEHIDCODE]]</f>
        <v>item_rbe_Germany_Buckower_Kleinbahn_Nr_1_3</v>
      </c>
      <c r="H52" t="str">
        <f>"str_"&amp;Table1[[#This Row],[VEHIDCODE]]</f>
        <v>str_rbe_Germany_Buckower_Kleinbahn_Nr_1_3</v>
      </c>
      <c r="M52" t="b">
        <v>1</v>
      </c>
      <c r="AL52" s="2"/>
      <c r="AM52" s="2" t="b">
        <f>LEN(_xlfn.CONCAT(Table1[[#This Row],[TRACK_TYPE_STANDARD_GAUGE_RAILTYPE_OHLE]:[TRACK_TYPE_MTRO]]))&gt;0</f>
        <v>1</v>
      </c>
      <c r="AN52">
        <v>4</v>
      </c>
      <c r="AO52" t="s">
        <v>18</v>
      </c>
      <c r="AP52">
        <v>0</v>
      </c>
      <c r="AQ52" t="s">
        <v>74</v>
      </c>
      <c r="AR52">
        <v>50</v>
      </c>
      <c r="AS52">
        <v>1930</v>
      </c>
      <c r="AT52">
        <v>4</v>
      </c>
      <c r="AU52" s="2" t="s">
        <v>24</v>
      </c>
      <c r="AV52" t="b">
        <v>1</v>
      </c>
      <c r="AX52" s="2"/>
      <c r="AY52">
        <v>45</v>
      </c>
      <c r="AZ52">
        <v>1</v>
      </c>
      <c r="BA52">
        <v>175</v>
      </c>
      <c r="BB52" t="s">
        <v>708</v>
      </c>
      <c r="BC52">
        <v>50</v>
      </c>
      <c r="BD52" s="2">
        <v>0.08</v>
      </c>
      <c r="BE52" t="s">
        <v>922</v>
      </c>
      <c r="BF52" t="s">
        <v>921</v>
      </c>
      <c r="BG52" t="s">
        <v>939</v>
      </c>
      <c r="BH52" s="7">
        <v>15</v>
      </c>
      <c r="BI5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52">
        <v>-3</v>
      </c>
      <c r="BK52" t="s">
        <v>733</v>
      </c>
      <c r="BL52" s="11"/>
      <c r="BM52" s="11"/>
      <c r="BN52" s="11">
        <v>23</v>
      </c>
      <c r="BO52">
        <v>0</v>
      </c>
      <c r="BP52" t="s">
        <v>691</v>
      </c>
      <c r="BQ52" t="s">
        <v>693</v>
      </c>
      <c r="BR52" t="s">
        <v>700</v>
      </c>
      <c r="BS52" t="s">
        <v>704</v>
      </c>
      <c r="BT52" t="s">
        <v>705</v>
      </c>
      <c r="BU52" t="s">
        <v>706</v>
      </c>
      <c r="CT52"/>
      <c r="CU52"/>
      <c r="CV52"/>
    </row>
    <row r="53" spans="1:100" x14ac:dyDescent="0.4">
      <c r="A53" s="2" t="s">
        <v>77</v>
      </c>
      <c r="B53" t="str">
        <f>_xlfn.TEXTAFTER(Table1[[#This Row],[VEHIDCODE]],"_")</f>
        <v>Germany_DB_4792</v>
      </c>
      <c r="C53" t="s">
        <v>737</v>
      </c>
      <c r="D53" t="s">
        <v>954</v>
      </c>
      <c r="E53">
        <v>3020</v>
      </c>
      <c r="F53" t="b">
        <f>OR(ISNUMBER(SEARCH("wagon_",Table1[[#This Row],[FILENAMES_EXPECTED]])),ISNUMBER(SEARCH("coach_",Table1[[#This Row],[FILENAMES_EXPECTED]])))</f>
        <v>0</v>
      </c>
      <c r="G53" t="str">
        <f>"item_"&amp;Table1[[#This Row],[VEHIDCODE]]</f>
        <v>item_rbe_Germany_DB_4792</v>
      </c>
      <c r="H53" t="str">
        <f>"str_"&amp;Table1[[#This Row],[VEHIDCODE]]</f>
        <v>str_rbe_Germany_DB_4792</v>
      </c>
      <c r="M53" t="b">
        <v>1</v>
      </c>
      <c r="AL53" s="2"/>
      <c r="AM53" s="2" t="b">
        <f>LEN(_xlfn.CONCAT(Table1[[#This Row],[TRACK_TYPE_STANDARD_GAUGE_RAILTYPE_OHLE]:[TRACK_TYPE_MTRO]]))&gt;0</f>
        <v>1</v>
      </c>
      <c r="AN53">
        <v>5</v>
      </c>
      <c r="AO53" t="s">
        <v>18</v>
      </c>
      <c r="AP53">
        <v>0</v>
      </c>
      <c r="AQ53" t="s">
        <v>74</v>
      </c>
      <c r="AR53">
        <v>24</v>
      </c>
      <c r="AS53">
        <v>1982</v>
      </c>
      <c r="AT53">
        <v>5</v>
      </c>
      <c r="AU53" s="2" t="s">
        <v>24</v>
      </c>
      <c r="AV53" t="b">
        <v>1</v>
      </c>
      <c r="AX53" s="2"/>
      <c r="AY53">
        <v>45</v>
      </c>
      <c r="AZ53">
        <v>1</v>
      </c>
      <c r="BA53">
        <v>160</v>
      </c>
      <c r="BB53" t="s">
        <v>708</v>
      </c>
      <c r="BC53">
        <v>50</v>
      </c>
      <c r="BD53" s="2">
        <v>0.13</v>
      </c>
      <c r="BE53" t="s">
        <v>922</v>
      </c>
      <c r="BF53" t="s">
        <v>921</v>
      </c>
      <c r="BG53" t="s">
        <v>939</v>
      </c>
      <c r="BH53" s="7">
        <v>15</v>
      </c>
      <c r="BI5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53">
        <v>-3</v>
      </c>
      <c r="BK53" t="s">
        <v>733</v>
      </c>
      <c r="BL53" s="11"/>
      <c r="BM53" s="11"/>
      <c r="BN53" s="11">
        <v>20</v>
      </c>
      <c r="BO53">
        <v>0</v>
      </c>
      <c r="BP53" t="s">
        <v>691</v>
      </c>
      <c r="BQ53" t="s">
        <v>693</v>
      </c>
      <c r="BR53" t="s">
        <v>700</v>
      </c>
      <c r="BS53" t="s">
        <v>704</v>
      </c>
      <c r="BT53" t="s">
        <v>705</v>
      </c>
      <c r="BU53" t="s">
        <v>706</v>
      </c>
      <c r="CT53"/>
      <c r="CU53"/>
      <c r="CV53"/>
    </row>
    <row r="54" spans="1:100" x14ac:dyDescent="0.4">
      <c r="A54" s="2" t="s">
        <v>78</v>
      </c>
      <c r="B54" t="str">
        <f>_xlfn.TEXTAFTER(Table1[[#This Row],[VEHIDCODE]],"_")</f>
        <v>Slovakia_ZSSK_490</v>
      </c>
      <c r="C54" t="s">
        <v>737</v>
      </c>
      <c r="D54" t="s">
        <v>954</v>
      </c>
      <c r="E54">
        <v>3008</v>
      </c>
      <c r="F54" t="b">
        <f>OR(ISNUMBER(SEARCH("wagon_",Table1[[#This Row],[FILENAMES_EXPECTED]])),ISNUMBER(SEARCH("coach_",Table1[[#This Row],[FILENAMES_EXPECTED]])))</f>
        <v>0</v>
      </c>
      <c r="G54" t="str">
        <f>"item_"&amp;Table1[[#This Row],[VEHIDCODE]]</f>
        <v>item_rbe_Slovakia_ZSSK_490</v>
      </c>
      <c r="H54" t="str">
        <f>"str_"&amp;Table1[[#This Row],[VEHIDCODE]]</f>
        <v>str_rbe_Slovakia_ZSSK_490</v>
      </c>
      <c r="M54" t="b">
        <v>1</v>
      </c>
      <c r="AL54" s="2"/>
      <c r="AM54" s="2" t="b">
        <f>LEN(_xlfn.CONCAT(Table1[[#This Row],[TRACK_TYPE_STANDARD_GAUGE_RAILTYPE_OHLE]:[TRACK_TYPE_MTRO]]))&gt;0</f>
        <v>1</v>
      </c>
      <c r="AN54">
        <v>7</v>
      </c>
      <c r="AO54" t="s">
        <v>18</v>
      </c>
      <c r="AP54">
        <v>0</v>
      </c>
      <c r="AQ54" t="s">
        <v>74</v>
      </c>
      <c r="AR54">
        <v>48</v>
      </c>
      <c r="AS54">
        <v>1930</v>
      </c>
      <c r="AT54">
        <v>7</v>
      </c>
      <c r="AU54" s="2" t="s">
        <v>24</v>
      </c>
      <c r="AV54" t="b">
        <v>1</v>
      </c>
      <c r="AX54" s="2"/>
      <c r="AY54">
        <v>45</v>
      </c>
      <c r="AZ54">
        <v>1</v>
      </c>
      <c r="BA54">
        <v>270</v>
      </c>
      <c r="BB54" t="s">
        <v>708</v>
      </c>
      <c r="BC54">
        <v>40</v>
      </c>
      <c r="BD54" s="2">
        <v>0.08</v>
      </c>
      <c r="BE54" t="s">
        <v>928</v>
      </c>
      <c r="BF54" t="s">
        <v>921</v>
      </c>
      <c r="BG54" t="s">
        <v>939</v>
      </c>
      <c r="BH54" s="7">
        <v>15</v>
      </c>
      <c r="BI5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54">
        <v>0</v>
      </c>
      <c r="BK54" t="s">
        <v>733</v>
      </c>
      <c r="BL54" s="11"/>
      <c r="BM54" s="11"/>
      <c r="BN54" s="11">
        <v>45</v>
      </c>
      <c r="BO54">
        <v>0</v>
      </c>
      <c r="BP54" t="s">
        <v>691</v>
      </c>
      <c r="BQ54" t="s">
        <v>693</v>
      </c>
      <c r="BR54" t="s">
        <v>700</v>
      </c>
      <c r="BS54" t="s">
        <v>704</v>
      </c>
      <c r="BT54" t="s">
        <v>705</v>
      </c>
      <c r="BU54" t="s">
        <v>706</v>
      </c>
      <c r="CT54"/>
      <c r="CU54"/>
      <c r="CV54"/>
    </row>
    <row r="55" spans="1:100" x14ac:dyDescent="0.4">
      <c r="A55" s="2" t="s">
        <v>79</v>
      </c>
      <c r="B55" t="str">
        <f>_xlfn.TEXTAFTER(Table1[[#This Row],[VEHIDCODE]],"_")</f>
        <v>Italy_FS_ALe_840</v>
      </c>
      <c r="C55" t="s">
        <v>737</v>
      </c>
      <c r="D55" t="s">
        <v>954</v>
      </c>
      <c r="E55">
        <v>3004</v>
      </c>
      <c r="F55" t="b">
        <f>OR(ISNUMBER(SEARCH("wagon_",Table1[[#This Row],[FILENAMES_EXPECTED]])),ISNUMBER(SEARCH("coach_",Table1[[#This Row],[FILENAMES_EXPECTED]])))</f>
        <v>0</v>
      </c>
      <c r="G55" t="str">
        <f>"item_"&amp;Table1[[#This Row],[VEHIDCODE]]</f>
        <v>item_rbe_Italy_FS_ALe_840</v>
      </c>
      <c r="H55" t="str">
        <f>"str_"&amp;Table1[[#This Row],[VEHIDCODE]]</f>
        <v>str_rbe_Italy_FS_ALe_840</v>
      </c>
      <c r="I55" t="b">
        <v>1</v>
      </c>
      <c r="AL55" s="2"/>
      <c r="AM55" s="2" t="b">
        <f>LEN(_xlfn.CONCAT(Table1[[#This Row],[TRACK_TYPE_STANDARD_GAUGE_RAILTYPE_OHLE]:[TRACK_TYPE_MTRO]]))&gt;0</f>
        <v>1</v>
      </c>
      <c r="AN55">
        <v>8</v>
      </c>
      <c r="AO55" t="s">
        <v>18</v>
      </c>
      <c r="AP55">
        <v>0</v>
      </c>
      <c r="AQ55" t="s">
        <v>74</v>
      </c>
      <c r="AR55">
        <v>84</v>
      </c>
      <c r="AS55">
        <v>1949</v>
      </c>
      <c r="AT55">
        <v>8</v>
      </c>
      <c r="AU55" s="2" t="s">
        <v>24</v>
      </c>
      <c r="AV55" t="b">
        <v>1</v>
      </c>
      <c r="AX55" s="2"/>
      <c r="AY55">
        <v>45</v>
      </c>
      <c r="AZ55">
        <v>1</v>
      </c>
      <c r="BA55">
        <v>800</v>
      </c>
      <c r="BB55" t="s">
        <v>708</v>
      </c>
      <c r="BC55">
        <v>150</v>
      </c>
      <c r="BD55" s="2">
        <v>0.21</v>
      </c>
      <c r="BE55" t="s">
        <v>923</v>
      </c>
      <c r="BF55" t="s">
        <v>921</v>
      </c>
      <c r="BG55" t="s">
        <v>939</v>
      </c>
      <c r="BH55" s="7">
        <v>15</v>
      </c>
      <c r="BI5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55">
        <v>-3</v>
      </c>
      <c r="BK55" t="s">
        <v>733</v>
      </c>
      <c r="BL55" s="11"/>
      <c r="BM55" s="11"/>
      <c r="BN55" s="11">
        <v>58</v>
      </c>
      <c r="BO55">
        <v>0</v>
      </c>
      <c r="BP55" t="s">
        <v>691</v>
      </c>
      <c r="BQ55" t="s">
        <v>693</v>
      </c>
      <c r="BR55" t="s">
        <v>700</v>
      </c>
      <c r="BS55" t="s">
        <v>704</v>
      </c>
      <c r="BT55" t="s">
        <v>705</v>
      </c>
      <c r="BU55" t="s">
        <v>706</v>
      </c>
      <c r="CT55"/>
      <c r="CU55"/>
      <c r="CV55"/>
    </row>
    <row r="56" spans="1:100" x14ac:dyDescent="0.4">
      <c r="A56" s="2" t="s">
        <v>80</v>
      </c>
      <c r="B56" t="str">
        <f>_xlfn.TEXTAFTER(Table1[[#This Row],[VEHIDCODE]],"_")</f>
        <v>Italy_FG_ALe_80</v>
      </c>
      <c r="C56" t="s">
        <v>737</v>
      </c>
      <c r="D56" t="s">
        <v>954</v>
      </c>
      <c r="E56">
        <v>3014</v>
      </c>
      <c r="F56" t="b">
        <f>OR(ISNUMBER(SEARCH("wagon_",Table1[[#This Row],[FILENAMES_EXPECTED]])),ISNUMBER(SEARCH("coach_",Table1[[#This Row],[FILENAMES_EXPECTED]])))</f>
        <v>0</v>
      </c>
      <c r="G56" t="str">
        <f>"item_"&amp;Table1[[#This Row],[VEHIDCODE]]</f>
        <v>item_rbe_Italy_FG_ALe_80</v>
      </c>
      <c r="H56" t="str">
        <f>"str_"&amp;Table1[[#This Row],[VEHIDCODE]]</f>
        <v>str_rbe_Italy_FG_ALe_80</v>
      </c>
      <c r="I56" t="b">
        <v>1</v>
      </c>
      <c r="AL56" s="2"/>
      <c r="AM56" s="2" t="b">
        <f>LEN(_xlfn.CONCAT(Table1[[#This Row],[TRACK_TYPE_STANDARD_GAUGE_RAILTYPE_OHLE]:[TRACK_TYPE_MTRO]]))&gt;0</f>
        <v>1</v>
      </c>
      <c r="AN56">
        <v>7</v>
      </c>
      <c r="AO56" t="s">
        <v>18</v>
      </c>
      <c r="AP56">
        <v>0</v>
      </c>
      <c r="AQ56" t="s">
        <v>74</v>
      </c>
      <c r="AR56">
        <v>80</v>
      </c>
      <c r="AS56">
        <v>1981</v>
      </c>
      <c r="AT56">
        <v>7</v>
      </c>
      <c r="AU56" s="2" t="s">
        <v>24</v>
      </c>
      <c r="AV56" t="b">
        <v>1</v>
      </c>
      <c r="AX56" s="2"/>
      <c r="AY56">
        <v>45</v>
      </c>
      <c r="AZ56">
        <v>1</v>
      </c>
      <c r="BA56">
        <v>720</v>
      </c>
      <c r="BB56" t="s">
        <v>708</v>
      </c>
      <c r="BC56">
        <v>120</v>
      </c>
      <c r="BD56" s="2">
        <v>0.17</v>
      </c>
      <c r="BE56" t="s">
        <v>923</v>
      </c>
      <c r="BF56" t="s">
        <v>921</v>
      </c>
      <c r="BG56" t="s">
        <v>939</v>
      </c>
      <c r="BH56" s="7">
        <v>15</v>
      </c>
      <c r="BI5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56">
        <v>0</v>
      </c>
      <c r="BK56" t="s">
        <v>733</v>
      </c>
      <c r="BL56" s="11"/>
      <c r="BM56" s="11"/>
      <c r="BN56" s="11">
        <v>49</v>
      </c>
      <c r="BO56">
        <v>0</v>
      </c>
      <c r="BP56" t="s">
        <v>691</v>
      </c>
      <c r="BQ56" t="s">
        <v>693</v>
      </c>
      <c r="BR56" t="s">
        <v>700</v>
      </c>
      <c r="BS56" t="s">
        <v>704</v>
      </c>
      <c r="BT56" t="s">
        <v>705</v>
      </c>
      <c r="BU56" t="s">
        <v>706</v>
      </c>
      <c r="CT56"/>
      <c r="CU56"/>
      <c r="CV56"/>
    </row>
    <row r="57" spans="1:100" x14ac:dyDescent="0.4">
      <c r="A57" s="2" t="s">
        <v>81</v>
      </c>
      <c r="B57" t="str">
        <f>_xlfn.TEXTAFTER(Table1[[#This Row],[VEHIDCODE]],"_")</f>
        <v>Italy_FS_E623</v>
      </c>
      <c r="C57" t="s">
        <v>737</v>
      </c>
      <c r="D57" t="s">
        <v>954</v>
      </c>
      <c r="E57">
        <v>3009</v>
      </c>
      <c r="F57" t="b">
        <f>OR(ISNUMBER(SEARCH("wagon_",Table1[[#This Row],[FILENAMES_EXPECTED]])),ISNUMBER(SEARCH("coach_",Table1[[#This Row],[FILENAMES_EXPECTED]])))</f>
        <v>0</v>
      </c>
      <c r="G57" t="str">
        <f>"item_"&amp;Table1[[#This Row],[VEHIDCODE]]</f>
        <v>item_rbe_Italy_FS_E623</v>
      </c>
      <c r="H57" t="str">
        <f>"str_"&amp;Table1[[#This Row],[VEHIDCODE]]</f>
        <v>str_rbe_Italy_FS_E623</v>
      </c>
      <c r="I57" t="b">
        <v>1</v>
      </c>
      <c r="AL57" s="2"/>
      <c r="AM57" s="2" t="b">
        <f>LEN(_xlfn.CONCAT(Table1[[#This Row],[TRACK_TYPE_STANDARD_GAUGE_RAILTYPE_OHLE]:[TRACK_TYPE_MTRO]]))&gt;0</f>
        <v>1</v>
      </c>
      <c r="AN57">
        <v>8</v>
      </c>
      <c r="AO57" t="s">
        <v>18</v>
      </c>
      <c r="AP57">
        <v>0</v>
      </c>
      <c r="AQ57" t="s">
        <v>74</v>
      </c>
      <c r="AR57">
        <v>54</v>
      </c>
      <c r="AS57">
        <v>1950</v>
      </c>
      <c r="AT57">
        <v>8</v>
      </c>
      <c r="AU57" s="2" t="s">
        <v>24</v>
      </c>
      <c r="AV57" t="b">
        <v>1</v>
      </c>
      <c r="AX57" s="2"/>
      <c r="AY57">
        <v>45</v>
      </c>
      <c r="AZ57">
        <v>1</v>
      </c>
      <c r="BA57">
        <v>965</v>
      </c>
      <c r="BB57" t="s">
        <v>708</v>
      </c>
      <c r="BC57">
        <v>110</v>
      </c>
      <c r="BD57" s="2">
        <v>0.08</v>
      </c>
      <c r="BE57" t="s">
        <v>923</v>
      </c>
      <c r="BF57" t="s">
        <v>921</v>
      </c>
      <c r="BG57" t="s">
        <v>939</v>
      </c>
      <c r="BH57" s="7">
        <v>15</v>
      </c>
      <c r="BI5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57">
        <v>0</v>
      </c>
      <c r="BK57" t="s">
        <v>733</v>
      </c>
      <c r="BL57" s="11"/>
      <c r="BM57" s="11"/>
      <c r="BN57" s="11">
        <v>66</v>
      </c>
      <c r="BO57">
        <v>0</v>
      </c>
      <c r="BP57" t="s">
        <v>691</v>
      </c>
      <c r="BQ57" t="s">
        <v>693</v>
      </c>
      <c r="BR57" t="s">
        <v>700</v>
      </c>
      <c r="BS57" t="s">
        <v>704</v>
      </c>
      <c r="BT57" t="s">
        <v>705</v>
      </c>
      <c r="BU57" t="s">
        <v>706</v>
      </c>
      <c r="CT57"/>
      <c r="CU57"/>
      <c r="CV57"/>
    </row>
    <row r="58" spans="1:100" x14ac:dyDescent="0.4">
      <c r="A58" s="2" t="s">
        <v>82</v>
      </c>
      <c r="B58" t="str">
        <f>_xlfn.TEXTAFTER(Table1[[#This Row],[VEHIDCODE]],"_")</f>
        <v>Morocco_ONCFM_ZAB1000</v>
      </c>
      <c r="C58" t="s">
        <v>737</v>
      </c>
      <c r="D58" t="s">
        <v>954</v>
      </c>
      <c r="E58">
        <v>3001</v>
      </c>
      <c r="F58" t="b">
        <f>OR(ISNUMBER(SEARCH("wagon_",Table1[[#This Row],[FILENAMES_EXPECTED]])),ISNUMBER(SEARCH("coach_",Table1[[#This Row],[FILENAMES_EXPECTED]])))</f>
        <v>0</v>
      </c>
      <c r="G58" t="str">
        <f>"item_"&amp;Table1[[#This Row],[VEHIDCODE]]</f>
        <v>item_rbe_Morocco_ONCFM_ZAB1000</v>
      </c>
      <c r="H58" t="str">
        <f>"str_"&amp;Table1[[#This Row],[VEHIDCODE]]</f>
        <v>str_rbe_Morocco_ONCFM_ZAB1000</v>
      </c>
      <c r="I58" t="b">
        <v>1</v>
      </c>
      <c r="AL58" s="2"/>
      <c r="AM58" s="2" t="b">
        <f>LEN(_xlfn.CONCAT(Table1[[#This Row],[TRACK_TYPE_STANDARD_GAUGE_RAILTYPE_OHLE]:[TRACK_TYPE_MTRO]]))&gt;0</f>
        <v>1</v>
      </c>
      <c r="AN58">
        <v>8</v>
      </c>
      <c r="AO58" t="s">
        <v>18</v>
      </c>
      <c r="AP58">
        <v>0</v>
      </c>
      <c r="AQ58" t="s">
        <v>74</v>
      </c>
      <c r="AR58">
        <v>44</v>
      </c>
      <c r="AS58">
        <v>1925</v>
      </c>
      <c r="AT58">
        <v>8</v>
      </c>
      <c r="AU58" s="2" t="s">
        <v>24</v>
      </c>
      <c r="AV58" t="b">
        <v>1</v>
      </c>
      <c r="AX58" s="2"/>
      <c r="AY58">
        <v>45</v>
      </c>
      <c r="AZ58">
        <v>1</v>
      </c>
      <c r="BA58">
        <v>480</v>
      </c>
      <c r="BB58" t="s">
        <v>708</v>
      </c>
      <c r="BC58">
        <v>85</v>
      </c>
      <c r="BD58" s="2">
        <v>0.13</v>
      </c>
      <c r="BE58" t="s">
        <v>925</v>
      </c>
      <c r="BF58" t="s">
        <v>921</v>
      </c>
      <c r="BG58" t="s">
        <v>939</v>
      </c>
      <c r="BH58" s="7">
        <v>15</v>
      </c>
      <c r="BI5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58">
        <v>-3</v>
      </c>
      <c r="BK58" t="s">
        <v>733</v>
      </c>
      <c r="BL58" s="11"/>
      <c r="BM58" s="11"/>
      <c r="BN58" s="11">
        <v>40</v>
      </c>
      <c r="BO58">
        <v>0</v>
      </c>
      <c r="BP58" t="s">
        <v>691</v>
      </c>
      <c r="BQ58" t="s">
        <v>693</v>
      </c>
      <c r="BR58" t="s">
        <v>700</v>
      </c>
      <c r="BS58" t="s">
        <v>704</v>
      </c>
      <c r="BT58" t="s">
        <v>705</v>
      </c>
      <c r="BU58" t="s">
        <v>706</v>
      </c>
      <c r="CT58"/>
      <c r="CU58"/>
      <c r="CV58"/>
    </row>
    <row r="59" spans="1:100" x14ac:dyDescent="0.4">
      <c r="A59" s="2" t="s">
        <v>83</v>
      </c>
      <c r="B59" t="str">
        <f>_xlfn.TEXTAFTER(Table1[[#This Row],[VEHIDCODE]],"_")</f>
        <v>Poland_PKP_EN81</v>
      </c>
      <c r="C59" t="s">
        <v>737</v>
      </c>
      <c r="D59" t="s">
        <v>954</v>
      </c>
      <c r="E59">
        <v>3018</v>
      </c>
      <c r="F59" t="b">
        <f>OR(ISNUMBER(SEARCH("wagon_",Table1[[#This Row],[FILENAMES_EXPECTED]])),ISNUMBER(SEARCH("coach_",Table1[[#This Row],[FILENAMES_EXPECTED]])))</f>
        <v>0</v>
      </c>
      <c r="G59" t="str">
        <f>"item_"&amp;Table1[[#This Row],[VEHIDCODE]]</f>
        <v>item_rbe_Poland_PKP_EN81</v>
      </c>
      <c r="H59" t="str">
        <f>"str_"&amp;Table1[[#This Row],[VEHIDCODE]]</f>
        <v>str_rbe_Poland_PKP_EN81</v>
      </c>
      <c r="I59" t="b">
        <v>1</v>
      </c>
      <c r="AL59" s="2"/>
      <c r="AM59" s="2" t="b">
        <f>LEN(_xlfn.CONCAT(Table1[[#This Row],[TRACK_TYPE_STANDARD_GAUGE_RAILTYPE_OHLE]:[TRACK_TYPE_MTRO]]))&gt;0</f>
        <v>1</v>
      </c>
      <c r="AN59">
        <v>8</v>
      </c>
      <c r="AO59" t="s">
        <v>18</v>
      </c>
      <c r="AP59">
        <v>0</v>
      </c>
      <c r="AQ59" t="s">
        <v>74</v>
      </c>
      <c r="AR59">
        <v>60</v>
      </c>
      <c r="AS59">
        <v>2005</v>
      </c>
      <c r="AT59">
        <v>8</v>
      </c>
      <c r="AU59" s="2" t="s">
        <v>24</v>
      </c>
      <c r="AV59" t="b">
        <v>1</v>
      </c>
      <c r="AX59" s="2"/>
      <c r="AY59" t="s">
        <v>21</v>
      </c>
      <c r="AZ59">
        <v>1</v>
      </c>
      <c r="BA59">
        <v>750</v>
      </c>
      <c r="BB59" t="s">
        <v>708</v>
      </c>
      <c r="BC59">
        <v>120</v>
      </c>
      <c r="BD59" s="2">
        <v>0.08</v>
      </c>
      <c r="BE59" t="s">
        <v>928</v>
      </c>
      <c r="BF59" t="s">
        <v>921</v>
      </c>
      <c r="BG59" t="s">
        <v>939</v>
      </c>
      <c r="BH59" s="7">
        <v>15</v>
      </c>
      <c r="BI5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59">
        <v>0</v>
      </c>
      <c r="BK59" t="s">
        <v>733</v>
      </c>
      <c r="BL59" s="11"/>
      <c r="BM59" s="11"/>
      <c r="BN59" s="11">
        <v>53</v>
      </c>
      <c r="BO59">
        <v>0</v>
      </c>
      <c r="BP59" t="s">
        <v>691</v>
      </c>
      <c r="BQ59" t="s">
        <v>693</v>
      </c>
      <c r="BR59" t="s">
        <v>700</v>
      </c>
      <c r="BS59" t="s">
        <v>704</v>
      </c>
      <c r="BT59" t="s">
        <v>705</v>
      </c>
      <c r="BU59" t="s">
        <v>706</v>
      </c>
      <c r="CT59"/>
      <c r="CU59"/>
      <c r="CV59"/>
    </row>
    <row r="60" spans="1:100" x14ac:dyDescent="0.4">
      <c r="A60" s="2" t="s">
        <v>84</v>
      </c>
      <c r="B60" t="str">
        <f>_xlfn.TEXTAFTER(Table1[[#This Row],[VEHIDCODE]],"_")</f>
        <v>Austria_OBB_4855</v>
      </c>
      <c r="C60" t="s">
        <v>737</v>
      </c>
      <c r="D60" t="s">
        <v>954</v>
      </c>
      <c r="E60">
        <v>3015</v>
      </c>
      <c r="F60" t="b">
        <f>OR(ISNUMBER(SEARCH("wagon_",Table1[[#This Row],[FILENAMES_EXPECTED]])),ISNUMBER(SEARCH("coach_",Table1[[#This Row],[FILENAMES_EXPECTED]])))</f>
        <v>0</v>
      </c>
      <c r="G60" t="str">
        <f>"item_"&amp;Table1[[#This Row],[VEHIDCODE]]</f>
        <v>item_rbe_Austria_OBB_4855</v>
      </c>
      <c r="H60" t="str">
        <f>"str_"&amp;Table1[[#This Row],[VEHIDCODE]]</f>
        <v>str_rbe_Austria_OBB_4855</v>
      </c>
      <c r="K60" t="b">
        <v>1</v>
      </c>
      <c r="AL60" s="2"/>
      <c r="AM60" s="2" t="b">
        <f>LEN(_xlfn.CONCAT(Table1[[#This Row],[TRACK_TYPE_STANDARD_GAUGE_RAILTYPE_OHLE]:[TRACK_TYPE_MTRO]]))&gt;0</f>
        <v>1</v>
      </c>
      <c r="AN60">
        <v>8</v>
      </c>
      <c r="AO60" t="s">
        <v>18</v>
      </c>
      <c r="AP60">
        <v>0</v>
      </c>
      <c r="AQ60" t="s">
        <v>74</v>
      </c>
      <c r="AR60">
        <v>64</v>
      </c>
      <c r="AS60">
        <v>1989</v>
      </c>
      <c r="AT60">
        <v>8</v>
      </c>
      <c r="AU60" s="2" t="s">
        <v>24</v>
      </c>
      <c r="AV60" t="b">
        <v>1</v>
      </c>
      <c r="AX60" s="2"/>
      <c r="AY60">
        <v>45</v>
      </c>
      <c r="AZ60">
        <v>1</v>
      </c>
      <c r="BA60">
        <v>643</v>
      </c>
      <c r="BB60" t="s">
        <v>708</v>
      </c>
      <c r="BC60">
        <v>120</v>
      </c>
      <c r="BD60" s="2">
        <v>0.21</v>
      </c>
      <c r="BE60" t="s">
        <v>922</v>
      </c>
      <c r="BF60" t="s">
        <v>921</v>
      </c>
      <c r="BG60" t="s">
        <v>939</v>
      </c>
      <c r="BH60" s="7">
        <v>15</v>
      </c>
      <c r="BI6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60">
        <v>0</v>
      </c>
      <c r="BK60" t="s">
        <v>733</v>
      </c>
      <c r="BL60" s="11"/>
      <c r="BM60" s="11"/>
      <c r="BN60" s="11">
        <v>42</v>
      </c>
      <c r="BO60">
        <v>0</v>
      </c>
      <c r="BP60" t="s">
        <v>691</v>
      </c>
      <c r="BQ60" t="s">
        <v>693</v>
      </c>
      <c r="BR60" t="s">
        <v>700</v>
      </c>
      <c r="BS60" t="s">
        <v>704</v>
      </c>
      <c r="BT60" t="s">
        <v>705</v>
      </c>
      <c r="BU60" t="s">
        <v>706</v>
      </c>
      <c r="CT60"/>
      <c r="CU60"/>
      <c r="CV60"/>
    </row>
    <row r="61" spans="1:100" x14ac:dyDescent="0.4">
      <c r="A61" s="2" t="s">
        <v>85</v>
      </c>
      <c r="B61" t="str">
        <f>_xlfn.TEXTAFTER(Table1[[#This Row],[VEHIDCODE]],"_")</f>
        <v>Austria_MBS_ET_10109</v>
      </c>
      <c r="C61" t="s">
        <v>737</v>
      </c>
      <c r="D61" t="s">
        <v>954</v>
      </c>
      <c r="E61">
        <v>3017</v>
      </c>
      <c r="F61" t="b">
        <f>OR(ISNUMBER(SEARCH("wagon_",Table1[[#This Row],[FILENAMES_EXPECTED]])),ISNUMBER(SEARCH("coach_",Table1[[#This Row],[FILENAMES_EXPECTED]])))</f>
        <v>0</v>
      </c>
      <c r="G61" t="str">
        <f>"item_"&amp;Table1[[#This Row],[VEHIDCODE]]</f>
        <v>item_rbe_Austria_MBS_ET_10109</v>
      </c>
      <c r="H61" t="str">
        <f>"str_"&amp;Table1[[#This Row],[VEHIDCODE]]</f>
        <v>str_rbe_Austria_MBS_ET_10109</v>
      </c>
      <c r="K61" t="b">
        <v>1</v>
      </c>
      <c r="AL61" s="2"/>
      <c r="AM61" s="2" t="b">
        <f>LEN(_xlfn.CONCAT(Table1[[#This Row],[TRACK_TYPE_STANDARD_GAUGE_RAILTYPE_OHLE]:[TRACK_TYPE_MTRO]]))&gt;0</f>
        <v>1</v>
      </c>
      <c r="AN61">
        <v>8</v>
      </c>
      <c r="AO61" t="s">
        <v>18</v>
      </c>
      <c r="AP61">
        <v>0</v>
      </c>
      <c r="AQ61" t="s">
        <v>74</v>
      </c>
      <c r="AR61">
        <v>56</v>
      </c>
      <c r="AS61">
        <v>2001</v>
      </c>
      <c r="AT61">
        <v>8</v>
      </c>
      <c r="AU61" s="2" t="s">
        <v>24</v>
      </c>
      <c r="AV61" t="b">
        <v>1</v>
      </c>
      <c r="AX61" s="2"/>
      <c r="AY61" t="s">
        <v>21</v>
      </c>
      <c r="AZ61">
        <v>1</v>
      </c>
      <c r="BA61">
        <v>1180</v>
      </c>
      <c r="BB61" t="s">
        <v>708</v>
      </c>
      <c r="BC61">
        <v>140</v>
      </c>
      <c r="BD61" s="2">
        <v>0.28999999999999998</v>
      </c>
      <c r="BE61" t="s">
        <v>922</v>
      </c>
      <c r="BF61" t="s">
        <v>921</v>
      </c>
      <c r="BG61" t="s">
        <v>939</v>
      </c>
      <c r="BH61" s="7">
        <v>15</v>
      </c>
      <c r="BI6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61">
        <v>0</v>
      </c>
      <c r="BK61" t="s">
        <v>733</v>
      </c>
      <c r="BL61" s="11"/>
      <c r="BM61" s="11"/>
      <c r="BN61" s="11">
        <v>25</v>
      </c>
      <c r="BO61">
        <v>0</v>
      </c>
      <c r="BP61" t="s">
        <v>691</v>
      </c>
      <c r="BQ61" t="s">
        <v>693</v>
      </c>
      <c r="BR61" t="s">
        <v>700</v>
      </c>
      <c r="BS61" t="s">
        <v>704</v>
      </c>
      <c r="BT61" t="s">
        <v>705</v>
      </c>
      <c r="BU61" t="s">
        <v>706</v>
      </c>
      <c r="CT61"/>
      <c r="CU61"/>
      <c r="CV61"/>
    </row>
    <row r="62" spans="1:100" x14ac:dyDescent="0.4">
      <c r="A62" s="2" t="s">
        <v>86</v>
      </c>
      <c r="B62" t="str">
        <f>_xlfn.TEXTAFTER(Table1[[#This Row],[VEHIDCODE]],"_")</f>
        <v>Germany_DB_ET_85</v>
      </c>
      <c r="C62" t="s">
        <v>737</v>
      </c>
      <c r="D62" t="s">
        <v>954</v>
      </c>
      <c r="E62">
        <v>3002</v>
      </c>
      <c r="F62" t="b">
        <f>OR(ISNUMBER(SEARCH("wagon_",Table1[[#This Row],[FILENAMES_EXPECTED]])),ISNUMBER(SEARCH("coach_",Table1[[#This Row],[FILENAMES_EXPECTED]])))</f>
        <v>0</v>
      </c>
      <c r="G62" t="str">
        <f>"item_"&amp;Table1[[#This Row],[VEHIDCODE]]</f>
        <v>item_rbe_Germany_DB_ET_85</v>
      </c>
      <c r="H62" t="str">
        <f>"str_"&amp;Table1[[#This Row],[VEHIDCODE]]</f>
        <v>str_rbe_Germany_DB_ET_85</v>
      </c>
      <c r="K62" t="b">
        <v>1</v>
      </c>
      <c r="AL62" s="2"/>
      <c r="AM62" s="2" t="b">
        <f>LEN(_xlfn.CONCAT(Table1[[#This Row],[TRACK_TYPE_STANDARD_GAUGE_RAILTYPE_OHLE]:[TRACK_TYPE_MTRO]]))&gt;0</f>
        <v>1</v>
      </c>
      <c r="AN62">
        <v>8</v>
      </c>
      <c r="AO62" t="s">
        <v>18</v>
      </c>
      <c r="AP62">
        <v>0</v>
      </c>
      <c r="AQ62" t="s">
        <v>74</v>
      </c>
      <c r="AR62">
        <v>75</v>
      </c>
      <c r="AS62">
        <v>1927</v>
      </c>
      <c r="AT62">
        <v>8</v>
      </c>
      <c r="AU62" s="2" t="s">
        <v>24</v>
      </c>
      <c r="AV62" t="b">
        <v>1</v>
      </c>
      <c r="AX62" s="2"/>
      <c r="AY62">
        <v>45</v>
      </c>
      <c r="AZ62">
        <v>1</v>
      </c>
      <c r="BA62">
        <v>740</v>
      </c>
      <c r="BB62" t="s">
        <v>708</v>
      </c>
      <c r="BC62">
        <v>75</v>
      </c>
      <c r="BD62" s="2">
        <v>0.16</v>
      </c>
      <c r="BE62" t="s">
        <v>922</v>
      </c>
      <c r="BF62" t="s">
        <v>921</v>
      </c>
      <c r="BG62" t="s">
        <v>939</v>
      </c>
      <c r="BH62" s="7">
        <v>15</v>
      </c>
      <c r="BI6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62">
        <v>-3</v>
      </c>
      <c r="BK62" t="s">
        <v>733</v>
      </c>
      <c r="BL62" s="11"/>
      <c r="BM62" s="11"/>
      <c r="BN62" s="11">
        <v>61</v>
      </c>
      <c r="BO62">
        <v>0</v>
      </c>
      <c r="BP62" t="s">
        <v>691</v>
      </c>
      <c r="BQ62" t="s">
        <v>693</v>
      </c>
      <c r="BR62" t="s">
        <v>700</v>
      </c>
      <c r="BS62" t="s">
        <v>704</v>
      </c>
      <c r="BT62" t="s">
        <v>705</v>
      </c>
      <c r="BU62" t="s">
        <v>706</v>
      </c>
      <c r="CT62"/>
      <c r="CU62"/>
      <c r="CV62"/>
    </row>
    <row r="63" spans="1:100" x14ac:dyDescent="0.4">
      <c r="A63" s="2" t="s">
        <v>87</v>
      </c>
      <c r="B63" t="str">
        <f>_xlfn.TEXTAFTER(Table1[[#This Row],[VEHIDCODE]],"_")</f>
        <v>Sweden_SJ_X16</v>
      </c>
      <c r="C63" t="s">
        <v>737</v>
      </c>
      <c r="D63" t="s">
        <v>954</v>
      </c>
      <c r="E63">
        <v>3010</v>
      </c>
      <c r="F63" t="b">
        <f>OR(ISNUMBER(SEARCH("wagon_",Table1[[#This Row],[FILENAMES_EXPECTED]])),ISNUMBER(SEARCH("coach_",Table1[[#This Row],[FILENAMES_EXPECTED]])))</f>
        <v>0</v>
      </c>
      <c r="G63" t="str">
        <f>"item_"&amp;Table1[[#This Row],[VEHIDCODE]]</f>
        <v>item_rbe_Sweden_SJ_X16</v>
      </c>
      <c r="H63" t="str">
        <f>"str_"&amp;Table1[[#This Row],[VEHIDCODE]]</f>
        <v>str_rbe_Sweden_SJ_X16</v>
      </c>
      <c r="K63" t="b">
        <v>1</v>
      </c>
      <c r="AL63" s="2"/>
      <c r="AM63" s="2" t="b">
        <f>LEN(_xlfn.CONCAT(Table1[[#This Row],[TRACK_TYPE_STANDARD_GAUGE_RAILTYPE_OHLE]:[TRACK_TYPE_MTRO]]))&gt;0</f>
        <v>1</v>
      </c>
      <c r="AN63">
        <v>6</v>
      </c>
      <c r="AO63" t="s">
        <v>18</v>
      </c>
      <c r="AP63">
        <v>0</v>
      </c>
      <c r="AQ63" t="s">
        <v>74</v>
      </c>
      <c r="AR63">
        <v>55</v>
      </c>
      <c r="AS63">
        <v>1955</v>
      </c>
      <c r="AT63">
        <v>6</v>
      </c>
      <c r="AU63" s="2" t="s">
        <v>24</v>
      </c>
      <c r="AV63" t="b">
        <v>1</v>
      </c>
      <c r="AX63" s="2"/>
      <c r="AY63">
        <v>45</v>
      </c>
      <c r="AZ63">
        <v>1</v>
      </c>
      <c r="BA63">
        <v>230</v>
      </c>
      <c r="BB63" t="s">
        <v>708</v>
      </c>
      <c r="BC63">
        <v>110</v>
      </c>
      <c r="BD63" s="2">
        <v>0.34</v>
      </c>
      <c r="BE63" t="s">
        <v>926</v>
      </c>
      <c r="BF63" t="s">
        <v>921</v>
      </c>
      <c r="BG63" t="s">
        <v>939</v>
      </c>
      <c r="BH63" s="7">
        <v>15</v>
      </c>
      <c r="BI6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63">
        <v>0</v>
      </c>
      <c r="BK63" t="s">
        <v>733</v>
      </c>
      <c r="BL63" s="11"/>
      <c r="BM63" s="11"/>
      <c r="BN63" s="11">
        <v>21</v>
      </c>
      <c r="BO63">
        <v>0</v>
      </c>
      <c r="BP63" t="s">
        <v>691</v>
      </c>
      <c r="BQ63" t="s">
        <v>693</v>
      </c>
      <c r="BR63" t="s">
        <v>700</v>
      </c>
      <c r="BS63" t="s">
        <v>704</v>
      </c>
      <c r="BT63" t="s">
        <v>705</v>
      </c>
      <c r="BU63" t="s">
        <v>706</v>
      </c>
      <c r="CT63"/>
      <c r="CU63"/>
      <c r="CV63"/>
    </row>
    <row r="64" spans="1:100" x14ac:dyDescent="0.4">
      <c r="A64" s="2" t="s">
        <v>88</v>
      </c>
      <c r="B64" t="str">
        <f>_xlfn.TEXTAFTER(Table1[[#This Row],[VEHIDCODE]],"_")</f>
        <v>USA_Pennsylvania_Railroad_Silverliner_II</v>
      </c>
      <c r="C64" t="s">
        <v>737</v>
      </c>
      <c r="D64" t="s">
        <v>954</v>
      </c>
      <c r="E64">
        <v>3013</v>
      </c>
      <c r="F64" t="b">
        <f>OR(ISNUMBER(SEARCH("wagon_",Table1[[#This Row],[FILENAMES_EXPECTED]])),ISNUMBER(SEARCH("coach_",Table1[[#This Row],[FILENAMES_EXPECTED]])))</f>
        <v>0</v>
      </c>
      <c r="G64" t="str">
        <f>"item_"&amp;Table1[[#This Row],[VEHIDCODE]]</f>
        <v>item_rbe_USA_Pennsylvania_Railroad_Silverliner_II</v>
      </c>
      <c r="H64" t="str">
        <f>"str_"&amp;Table1[[#This Row],[VEHIDCODE]]</f>
        <v>str_rbe_USA_Pennsylvania_Railroad_Silverliner_II</v>
      </c>
      <c r="K64" t="b">
        <v>1</v>
      </c>
      <c r="AL64" s="2"/>
      <c r="AM64" s="2" t="b">
        <f>LEN(_xlfn.CONCAT(Table1[[#This Row],[TRACK_TYPE_STANDARD_GAUGE_RAILTYPE_OHLE]:[TRACK_TYPE_MTRO]]))&gt;0</f>
        <v>1</v>
      </c>
      <c r="AN64">
        <v>8</v>
      </c>
      <c r="AO64" t="s">
        <v>18</v>
      </c>
      <c r="AP64">
        <v>0</v>
      </c>
      <c r="AQ64" t="s">
        <v>74</v>
      </c>
      <c r="AR64">
        <v>124</v>
      </c>
      <c r="AS64">
        <v>1963</v>
      </c>
      <c r="AT64">
        <v>8</v>
      </c>
      <c r="AU64" s="2" t="s">
        <v>24</v>
      </c>
      <c r="AV64" t="b">
        <v>1</v>
      </c>
      <c r="AX64" s="2"/>
      <c r="AY64">
        <v>45</v>
      </c>
      <c r="AZ64">
        <v>1</v>
      </c>
      <c r="BA64">
        <v>550</v>
      </c>
      <c r="BB64" t="s">
        <v>708</v>
      </c>
      <c r="BC64">
        <v>160</v>
      </c>
      <c r="BD64" s="2">
        <v>0.18</v>
      </c>
      <c r="BE64" t="s">
        <v>927</v>
      </c>
      <c r="BF64" t="s">
        <v>921</v>
      </c>
      <c r="BG64" t="s">
        <v>939</v>
      </c>
      <c r="BH64" s="7">
        <v>15</v>
      </c>
      <c r="BI6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64">
        <v>0</v>
      </c>
      <c r="BK64" t="s">
        <v>733</v>
      </c>
      <c r="BL64" s="11"/>
      <c r="BM64" s="11"/>
      <c r="BN64" s="11">
        <v>46</v>
      </c>
      <c r="BO64">
        <v>0</v>
      </c>
      <c r="BP64" t="s">
        <v>691</v>
      </c>
      <c r="BQ64" t="s">
        <v>693</v>
      </c>
      <c r="BR64" t="s">
        <v>700</v>
      </c>
      <c r="BS64" t="s">
        <v>704</v>
      </c>
      <c r="BT64" t="s">
        <v>705</v>
      </c>
      <c r="BU64" t="s">
        <v>706</v>
      </c>
      <c r="CT64"/>
      <c r="CU64"/>
      <c r="CV64"/>
    </row>
    <row r="65" spans="1:100" x14ac:dyDescent="0.4">
      <c r="A65" s="2" t="s">
        <v>89</v>
      </c>
      <c r="B65" t="str">
        <f>_xlfn.TEXTAFTER(Table1[[#This Row],[VEHIDCODE]],"_")</f>
        <v>USA_SEPTA_Silverliner_V</v>
      </c>
      <c r="C65" t="s">
        <v>737</v>
      </c>
      <c r="D65" t="s">
        <v>954</v>
      </c>
      <c r="E65">
        <v>3019</v>
      </c>
      <c r="F65" t="b">
        <f>OR(ISNUMBER(SEARCH("wagon_",Table1[[#This Row],[FILENAMES_EXPECTED]])),ISNUMBER(SEARCH("coach_",Table1[[#This Row],[FILENAMES_EXPECTED]])))</f>
        <v>0</v>
      </c>
      <c r="G65" t="str">
        <f>"item_"&amp;Table1[[#This Row],[VEHIDCODE]]</f>
        <v>item_rbe_USA_SEPTA_Silverliner_V</v>
      </c>
      <c r="H65" t="str">
        <f>"str_"&amp;Table1[[#This Row],[VEHIDCODE]]</f>
        <v>str_rbe_USA_SEPTA_Silverliner_V</v>
      </c>
      <c r="I65" t="b">
        <v>1</v>
      </c>
      <c r="AL65" s="2"/>
      <c r="AM65" s="2" t="b">
        <f>LEN(_xlfn.CONCAT(Table1[[#This Row],[TRACK_TYPE_STANDARD_GAUGE_RAILTYPE_OHLE]:[TRACK_TYPE_MTRO]]))&gt;0</f>
        <v>1</v>
      </c>
      <c r="AN65">
        <v>8</v>
      </c>
      <c r="AO65" t="s">
        <v>18</v>
      </c>
      <c r="AP65">
        <v>0</v>
      </c>
      <c r="AQ65" t="s">
        <v>74</v>
      </c>
      <c r="AR65">
        <v>110</v>
      </c>
      <c r="AS65">
        <v>2010</v>
      </c>
      <c r="AT65">
        <v>8</v>
      </c>
      <c r="AU65" s="2" t="s">
        <v>24</v>
      </c>
      <c r="AV65" t="b">
        <v>1</v>
      </c>
      <c r="AX65" s="2"/>
      <c r="AY65" t="s">
        <v>21</v>
      </c>
      <c r="AZ65">
        <v>1</v>
      </c>
      <c r="BA65">
        <v>680</v>
      </c>
      <c r="BB65" t="s">
        <v>708</v>
      </c>
      <c r="BC65">
        <v>180</v>
      </c>
      <c r="BD65" s="2">
        <v>0.17</v>
      </c>
      <c r="BE65" t="s">
        <v>927</v>
      </c>
      <c r="BF65" t="s">
        <v>921</v>
      </c>
      <c r="BG65" t="s">
        <v>939</v>
      </c>
      <c r="BH65" s="7">
        <v>15</v>
      </c>
      <c r="BI6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65">
        <v>0</v>
      </c>
      <c r="BK65" t="s">
        <v>733</v>
      </c>
      <c r="BL65" s="11"/>
      <c r="BM65" s="11"/>
      <c r="BN65" s="11">
        <v>66</v>
      </c>
      <c r="BO65">
        <v>0</v>
      </c>
      <c r="BP65" t="s">
        <v>691</v>
      </c>
      <c r="BQ65" t="s">
        <v>693</v>
      </c>
      <c r="BR65" t="s">
        <v>700</v>
      </c>
      <c r="BS65" t="s">
        <v>704</v>
      </c>
      <c r="BT65" t="s">
        <v>705</v>
      </c>
      <c r="BU65" t="s">
        <v>706</v>
      </c>
      <c r="CT65"/>
      <c r="CU65"/>
      <c r="CV65"/>
    </row>
    <row r="66" spans="1:100" x14ac:dyDescent="0.4">
      <c r="A66" s="2" t="s">
        <v>90</v>
      </c>
      <c r="B66" t="str">
        <f>_xlfn.TEXTAFTER(Table1[[#This Row],[VEHIDCODE]],"_")</f>
        <v>Belgium_Le_Belge</v>
      </c>
      <c r="C66" t="s">
        <v>738</v>
      </c>
      <c r="D66" t="s">
        <v>956</v>
      </c>
      <c r="E66">
        <v>4000</v>
      </c>
      <c r="F66" t="b">
        <f>OR(ISNUMBER(SEARCH("wagon_",Table1[[#This Row],[FILENAMES_EXPECTED]])),ISNUMBER(SEARCH("coach_",Table1[[#This Row],[FILENAMES_EXPECTED]])))</f>
        <v>0</v>
      </c>
      <c r="G66" t="str">
        <f>"item_"&amp;Table1[[#This Row],[VEHIDCODE]]</f>
        <v>item_steam_Belgium_Le_Belge</v>
      </c>
      <c r="H66" t="str">
        <f>"str_"&amp;Table1[[#This Row],[VEHIDCODE]]</f>
        <v>str_steam_Belgium_Le_Belge</v>
      </c>
      <c r="Q66" s="2" t="b">
        <v>1</v>
      </c>
      <c r="AL66" s="2"/>
      <c r="AM66" s="2" t="b">
        <f>LEN(_xlfn.CONCAT(Table1[[#This Row],[TRACK_TYPE_STANDARD_GAUGE_RAILTYPE_OHLE]:[TRACK_TYPE_MTRO]]))&gt;0</f>
        <v>1</v>
      </c>
      <c r="AN66">
        <v>7</v>
      </c>
      <c r="AO66" t="s">
        <v>20</v>
      </c>
      <c r="AP66">
        <v>0</v>
      </c>
      <c r="AQ66" t="s">
        <v>23</v>
      </c>
      <c r="AR66">
        <v>0</v>
      </c>
      <c r="AS66">
        <v>1835</v>
      </c>
      <c r="AT66">
        <v>7</v>
      </c>
      <c r="AU66" s="2" t="s">
        <v>20</v>
      </c>
      <c r="AV66" t="b">
        <v>1</v>
      </c>
      <c r="AX66" s="2"/>
      <c r="AY66">
        <v>45</v>
      </c>
      <c r="AZ66">
        <v>1</v>
      </c>
      <c r="BA66">
        <v>50</v>
      </c>
      <c r="BB66" t="s">
        <v>709</v>
      </c>
      <c r="BC66">
        <v>35</v>
      </c>
      <c r="BD66" s="2">
        <v>0.09</v>
      </c>
      <c r="BE66" t="s">
        <v>922</v>
      </c>
      <c r="BF66" t="s">
        <v>921</v>
      </c>
      <c r="BG66" t="s">
        <v>939</v>
      </c>
      <c r="BH66" s="7">
        <v>40</v>
      </c>
      <c r="BI6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66">
        <v>-3</v>
      </c>
      <c r="BK66" t="s">
        <v>733</v>
      </c>
      <c r="BL66" s="11"/>
      <c r="BM66" s="11"/>
      <c r="BN66" s="11">
        <v>16</v>
      </c>
      <c r="BO66">
        <v>0</v>
      </c>
      <c r="BP66" t="s">
        <v>691</v>
      </c>
      <c r="BQ66" t="s">
        <v>693</v>
      </c>
      <c r="BR66" t="s">
        <v>700</v>
      </c>
      <c r="BS66" t="s">
        <v>704</v>
      </c>
      <c r="BT66" t="s">
        <v>705</v>
      </c>
      <c r="BU66" t="s">
        <v>706</v>
      </c>
      <c r="CT66"/>
      <c r="CU66"/>
      <c r="CV66"/>
    </row>
    <row r="67" spans="1:100" x14ac:dyDescent="0.4">
      <c r="A67" s="2" t="s">
        <v>91</v>
      </c>
      <c r="B67" t="str">
        <f>_xlfn.TEXTAFTER(Table1[[#This Row],[VEHIDCODE]],"_")</f>
        <v>USA_4_4_0_American</v>
      </c>
      <c r="C67" t="s">
        <v>738</v>
      </c>
      <c r="D67" t="s">
        <v>956</v>
      </c>
      <c r="E67">
        <v>4036</v>
      </c>
      <c r="F67" t="b">
        <f>OR(ISNUMBER(SEARCH("wagon_",Table1[[#This Row],[FILENAMES_EXPECTED]])),ISNUMBER(SEARCH("coach_",Table1[[#This Row],[FILENAMES_EXPECTED]])))</f>
        <v>0</v>
      </c>
      <c r="G67" t="str">
        <f>"item_"&amp;Table1[[#This Row],[VEHIDCODE]]</f>
        <v>item_steam_USA_4_4_0_American</v>
      </c>
      <c r="H67" t="str">
        <f>"str_"&amp;Table1[[#This Row],[VEHIDCODE]]</f>
        <v>str_steam_USA_4_4_0_American</v>
      </c>
      <c r="Q67" s="2" t="b">
        <v>1</v>
      </c>
      <c r="AL67" s="2"/>
      <c r="AM67" s="2" t="b">
        <f>LEN(_xlfn.CONCAT(Table1[[#This Row],[TRACK_TYPE_STANDARD_GAUGE_RAILTYPE_OHLE]:[TRACK_TYPE_MTRO]]))&gt;0</f>
        <v>1</v>
      </c>
      <c r="AN67">
        <v>8</v>
      </c>
      <c r="AO67" t="s">
        <v>20</v>
      </c>
      <c r="AP67">
        <v>0</v>
      </c>
      <c r="AQ67" t="s">
        <v>23</v>
      </c>
      <c r="AR67">
        <v>0</v>
      </c>
      <c r="AS67">
        <v>1848</v>
      </c>
      <c r="AT67">
        <v>6</v>
      </c>
      <c r="AU67" s="2" t="s">
        <v>20</v>
      </c>
      <c r="AV67" t="b">
        <v>1</v>
      </c>
      <c r="AX67" s="2"/>
      <c r="AY67">
        <v>45</v>
      </c>
      <c r="AZ67">
        <v>1</v>
      </c>
      <c r="BA67">
        <v>650</v>
      </c>
      <c r="BB67" t="s">
        <v>709</v>
      </c>
      <c r="BC67">
        <v>96</v>
      </c>
      <c r="BD67" s="2">
        <v>7.0000000000000007E-2</v>
      </c>
      <c r="BE67" t="s">
        <v>927</v>
      </c>
      <c r="BF67" t="s">
        <v>921</v>
      </c>
      <c r="BG67" t="s">
        <v>939</v>
      </c>
      <c r="BH67" s="7">
        <v>40</v>
      </c>
      <c r="BI6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67">
        <v>0</v>
      </c>
      <c r="BK67" t="s">
        <v>733</v>
      </c>
      <c r="BL67" s="11"/>
      <c r="BM67" s="11"/>
      <c r="BN67" s="11">
        <v>60</v>
      </c>
      <c r="BO67">
        <v>0</v>
      </c>
      <c r="BP67" t="s">
        <v>691</v>
      </c>
      <c r="BQ67" t="s">
        <v>693</v>
      </c>
      <c r="BR67" t="s">
        <v>700</v>
      </c>
      <c r="BS67" t="s">
        <v>704</v>
      </c>
      <c r="BT67" t="s">
        <v>705</v>
      </c>
      <c r="BU67" t="s">
        <v>706</v>
      </c>
      <c r="CT67"/>
      <c r="CU67"/>
      <c r="CV67"/>
    </row>
    <row r="68" spans="1:100" x14ac:dyDescent="0.4">
      <c r="A68" s="2" t="s">
        <v>92</v>
      </c>
      <c r="B68" t="str">
        <f>_xlfn.TEXTAFTER(Table1[[#This Row],[VEHIDCODE]],"_")</f>
        <v>Switzerland_SBB_Ec_2_5</v>
      </c>
      <c r="C68" t="s">
        <v>738</v>
      </c>
      <c r="D68" t="s">
        <v>956</v>
      </c>
      <c r="E68">
        <v>4002</v>
      </c>
      <c r="F68" t="b">
        <f>OR(ISNUMBER(SEARCH("wagon_",Table1[[#This Row],[FILENAMES_EXPECTED]])),ISNUMBER(SEARCH("coach_",Table1[[#This Row],[FILENAMES_EXPECTED]])))</f>
        <v>0</v>
      </c>
      <c r="G68" t="str">
        <f>"item_"&amp;Table1[[#This Row],[VEHIDCODE]]</f>
        <v>item_steam_Switzerland_SBB_Ec_2_5</v>
      </c>
      <c r="H68" t="str">
        <f>"str_"&amp;Table1[[#This Row],[VEHIDCODE]]</f>
        <v>str_steam_Switzerland_SBB_Ec_2_5</v>
      </c>
      <c r="Q68" s="2" t="b">
        <v>1</v>
      </c>
      <c r="AL68" s="2"/>
      <c r="AM68" s="2" t="b">
        <f>LEN(_xlfn.CONCAT(Table1[[#This Row],[TRACK_TYPE_STANDARD_GAUGE_RAILTYPE_OHLE]:[TRACK_TYPE_MTRO]]))&gt;0</f>
        <v>1</v>
      </c>
      <c r="AN68">
        <v>5</v>
      </c>
      <c r="AO68" t="s">
        <v>20</v>
      </c>
      <c r="AP68">
        <v>0</v>
      </c>
      <c r="AQ68" t="s">
        <v>23</v>
      </c>
      <c r="AR68">
        <v>0</v>
      </c>
      <c r="AS68">
        <v>1854</v>
      </c>
      <c r="AT68">
        <v>5</v>
      </c>
      <c r="AU68" s="2" t="s">
        <v>20</v>
      </c>
      <c r="AV68" t="b">
        <v>1</v>
      </c>
      <c r="AX68" s="2"/>
      <c r="AY68">
        <v>45</v>
      </c>
      <c r="AZ68">
        <v>1</v>
      </c>
      <c r="BA68">
        <v>400</v>
      </c>
      <c r="BB68" t="s">
        <v>709</v>
      </c>
      <c r="BC68">
        <v>60</v>
      </c>
      <c r="BD68" s="2">
        <v>0.1</v>
      </c>
      <c r="BE68" t="s">
        <v>922</v>
      </c>
      <c r="BF68" t="s">
        <v>921</v>
      </c>
      <c r="BG68" t="s">
        <v>939</v>
      </c>
      <c r="BH68" s="7">
        <v>40</v>
      </c>
      <c r="BI6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68">
        <v>-3</v>
      </c>
      <c r="BK68" t="s">
        <v>733</v>
      </c>
      <c r="BL68" s="11"/>
      <c r="BM68" s="11"/>
      <c r="BN68" s="11">
        <v>46</v>
      </c>
      <c r="BO68">
        <v>0</v>
      </c>
      <c r="BP68" t="s">
        <v>691</v>
      </c>
      <c r="BQ68" t="s">
        <v>693</v>
      </c>
      <c r="BR68" t="s">
        <v>700</v>
      </c>
      <c r="BS68" t="s">
        <v>704</v>
      </c>
      <c r="BT68" t="s">
        <v>705</v>
      </c>
      <c r="BU68" t="s">
        <v>706</v>
      </c>
      <c r="CT68"/>
      <c r="CU68"/>
      <c r="CV68"/>
    </row>
    <row r="69" spans="1:100" x14ac:dyDescent="0.4">
      <c r="A69" s="2" t="s">
        <v>93</v>
      </c>
      <c r="B69" t="str">
        <f>_xlfn.TEXTAFTER(Table1[[#This Row],[VEHIDCODE]],"_")</f>
        <v>USA_4_6_0_Ten_wheeler</v>
      </c>
      <c r="C69" t="s">
        <v>738</v>
      </c>
      <c r="D69" t="s">
        <v>956</v>
      </c>
      <c r="E69">
        <v>4037</v>
      </c>
      <c r="F69" t="b">
        <f>OR(ISNUMBER(SEARCH("wagon_",Table1[[#This Row],[FILENAMES_EXPECTED]])),ISNUMBER(SEARCH("coach_",Table1[[#This Row],[FILENAMES_EXPECTED]])))</f>
        <v>0</v>
      </c>
      <c r="G69" t="str">
        <f>"item_"&amp;Table1[[#This Row],[VEHIDCODE]]</f>
        <v>item_steam_USA_4_6_0_Ten_wheeler</v>
      </c>
      <c r="H69" t="str">
        <f>"str_"&amp;Table1[[#This Row],[VEHIDCODE]]</f>
        <v>str_steam_USA_4_6_0_Ten_wheeler</v>
      </c>
      <c r="Q69" s="2" t="b">
        <v>1</v>
      </c>
      <c r="AL69" s="2"/>
      <c r="AM69" s="2" t="b">
        <f>LEN(_xlfn.CONCAT(Table1[[#This Row],[TRACK_TYPE_STANDARD_GAUGE_RAILTYPE_OHLE]:[TRACK_TYPE_MTRO]]))&gt;0</f>
        <v>1</v>
      </c>
      <c r="AN69">
        <v>8</v>
      </c>
      <c r="AO69" t="s">
        <v>20</v>
      </c>
      <c r="AP69">
        <v>0</v>
      </c>
      <c r="AQ69" t="s">
        <v>23</v>
      </c>
      <c r="AR69">
        <v>0</v>
      </c>
      <c r="AS69">
        <v>1869</v>
      </c>
      <c r="AT69">
        <v>7</v>
      </c>
      <c r="AU69" s="2" t="s">
        <v>20</v>
      </c>
      <c r="AV69" t="b">
        <v>1</v>
      </c>
      <c r="AX69" s="2"/>
      <c r="AY69">
        <v>45</v>
      </c>
      <c r="AZ69">
        <v>1</v>
      </c>
      <c r="BA69">
        <v>700</v>
      </c>
      <c r="BB69" t="s">
        <v>709</v>
      </c>
      <c r="BC69">
        <v>96</v>
      </c>
      <c r="BD69" s="2">
        <v>0.08</v>
      </c>
      <c r="BE69" t="s">
        <v>927</v>
      </c>
      <c r="BF69" t="s">
        <v>921</v>
      </c>
      <c r="BG69" t="s">
        <v>939</v>
      </c>
      <c r="BH69" s="7">
        <v>40</v>
      </c>
      <c r="BI6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69">
        <v>0</v>
      </c>
      <c r="BK69" t="s">
        <v>733</v>
      </c>
      <c r="BL69" s="11"/>
      <c r="BM69" s="11"/>
      <c r="BN69" s="11">
        <v>69</v>
      </c>
      <c r="BO69">
        <v>0</v>
      </c>
      <c r="BP69" t="s">
        <v>691</v>
      </c>
      <c r="BQ69" t="s">
        <v>693</v>
      </c>
      <c r="BR69" t="s">
        <v>700</v>
      </c>
      <c r="BS69" t="s">
        <v>704</v>
      </c>
      <c r="BT69" t="s">
        <v>705</v>
      </c>
      <c r="BU69" t="s">
        <v>706</v>
      </c>
      <c r="CT69"/>
      <c r="CU69"/>
      <c r="CV69"/>
    </row>
    <row r="70" spans="1:100" x14ac:dyDescent="0.4">
      <c r="A70" s="2" t="s">
        <v>94</v>
      </c>
      <c r="B70" t="str">
        <f>_xlfn.TEXTAFTER(Table1[[#This Row],[VEHIDCODE]],"_")</f>
        <v>USA_2_8_0_Consolidation</v>
      </c>
      <c r="C70" t="s">
        <v>738</v>
      </c>
      <c r="D70" t="s">
        <v>956</v>
      </c>
      <c r="E70">
        <v>4004</v>
      </c>
      <c r="F70" t="b">
        <f>OR(ISNUMBER(SEARCH("wagon_",Table1[[#This Row],[FILENAMES_EXPECTED]])),ISNUMBER(SEARCH("coach_",Table1[[#This Row],[FILENAMES_EXPECTED]])))</f>
        <v>0</v>
      </c>
      <c r="G70" t="str">
        <f>"item_"&amp;Table1[[#This Row],[VEHIDCODE]]</f>
        <v>item_steam_USA_2_8_0_Consolidation</v>
      </c>
      <c r="H70" t="str">
        <f>"str_"&amp;Table1[[#This Row],[VEHIDCODE]]</f>
        <v>str_steam_USA_2_8_0_Consolidation</v>
      </c>
      <c r="Q70" s="2" t="b">
        <v>1</v>
      </c>
      <c r="AL70" s="2"/>
      <c r="AM70" s="2" t="b">
        <f>LEN(_xlfn.CONCAT(Table1[[#This Row],[TRACK_TYPE_STANDARD_GAUGE_RAILTYPE_OHLE]:[TRACK_TYPE_MTRO]]))&gt;0</f>
        <v>1</v>
      </c>
      <c r="AN70">
        <v>10</v>
      </c>
      <c r="AO70" t="s">
        <v>20</v>
      </c>
      <c r="AP70">
        <v>0</v>
      </c>
      <c r="AQ70" t="s">
        <v>23</v>
      </c>
      <c r="AR70">
        <v>0</v>
      </c>
      <c r="AS70">
        <v>1875</v>
      </c>
      <c r="AT70">
        <v>8</v>
      </c>
      <c r="AU70" s="2" t="s">
        <v>20</v>
      </c>
      <c r="AV70" t="b">
        <v>1</v>
      </c>
      <c r="AX70" s="2"/>
      <c r="AY70">
        <v>45</v>
      </c>
      <c r="AZ70">
        <v>1</v>
      </c>
      <c r="BA70">
        <v>1000</v>
      </c>
      <c r="BB70" t="s">
        <v>709</v>
      </c>
      <c r="BC70">
        <v>80</v>
      </c>
      <c r="BD70" s="2">
        <v>0.13</v>
      </c>
      <c r="BE70" t="s">
        <v>927</v>
      </c>
      <c r="BF70" t="s">
        <v>921</v>
      </c>
      <c r="BG70" t="s">
        <v>939</v>
      </c>
      <c r="BH70" s="7">
        <v>40</v>
      </c>
      <c r="BI7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70">
        <v>0</v>
      </c>
      <c r="BK70" t="s">
        <v>733</v>
      </c>
      <c r="BL70" s="11"/>
      <c r="BM70" s="11"/>
      <c r="BN70" s="11">
        <v>126</v>
      </c>
      <c r="BO70">
        <v>0</v>
      </c>
      <c r="BP70" t="s">
        <v>691</v>
      </c>
      <c r="BQ70" t="s">
        <v>693</v>
      </c>
      <c r="BR70" t="s">
        <v>700</v>
      </c>
      <c r="BS70" t="s">
        <v>704</v>
      </c>
      <c r="BT70" t="s">
        <v>705</v>
      </c>
      <c r="BU70" t="s">
        <v>706</v>
      </c>
      <c r="CT70"/>
      <c r="CU70"/>
      <c r="CV70"/>
    </row>
    <row r="71" spans="1:100" x14ac:dyDescent="0.4">
      <c r="A71" s="2" t="s">
        <v>95</v>
      </c>
      <c r="B71" t="str">
        <f>_xlfn.TEXTAFTER(Table1[[#This Row],[VEHIDCODE]],"_")</f>
        <v>Hungary_MAV_377</v>
      </c>
      <c r="C71" t="s">
        <v>738</v>
      </c>
      <c r="D71" t="s">
        <v>956</v>
      </c>
      <c r="E71">
        <v>4005</v>
      </c>
      <c r="F71" t="b">
        <f>OR(ISNUMBER(SEARCH("wagon_",Table1[[#This Row],[FILENAMES_EXPECTED]])),ISNUMBER(SEARCH("coach_",Table1[[#This Row],[FILENAMES_EXPECTED]])))</f>
        <v>0</v>
      </c>
      <c r="G71" t="str">
        <f>"item_"&amp;Table1[[#This Row],[VEHIDCODE]]</f>
        <v>item_steam_Hungary_MAV_377</v>
      </c>
      <c r="H71" t="str">
        <f>"str_"&amp;Table1[[#This Row],[VEHIDCODE]]</f>
        <v>str_steam_Hungary_MAV_377</v>
      </c>
      <c r="Q71" s="2" t="b">
        <v>1</v>
      </c>
      <c r="AL71" s="2"/>
      <c r="AM71" s="2" t="b">
        <f>LEN(_xlfn.CONCAT(Table1[[#This Row],[TRACK_TYPE_STANDARD_GAUGE_RAILTYPE_OHLE]:[TRACK_TYPE_MTRO]]))&gt;0</f>
        <v>1</v>
      </c>
      <c r="AN71">
        <v>6</v>
      </c>
      <c r="AO71" t="s">
        <v>20</v>
      </c>
      <c r="AP71">
        <v>0</v>
      </c>
      <c r="AQ71" t="s">
        <v>23</v>
      </c>
      <c r="AR71">
        <v>0</v>
      </c>
      <c r="AS71">
        <v>1885</v>
      </c>
      <c r="AT71">
        <v>6</v>
      </c>
      <c r="AU71" s="2" t="s">
        <v>20</v>
      </c>
      <c r="AV71" t="b">
        <v>1</v>
      </c>
      <c r="AX71" s="2"/>
      <c r="AY71">
        <v>45</v>
      </c>
      <c r="AZ71">
        <v>0</v>
      </c>
      <c r="BA71">
        <v>300</v>
      </c>
      <c r="BB71" t="s">
        <v>709</v>
      </c>
      <c r="BC71">
        <v>45</v>
      </c>
      <c r="BD71" s="2">
        <v>0.21</v>
      </c>
      <c r="BE71" t="s">
        <v>928</v>
      </c>
      <c r="BF71" t="s">
        <v>921</v>
      </c>
      <c r="BG71" t="s">
        <v>939</v>
      </c>
      <c r="BH71" s="7">
        <v>40</v>
      </c>
      <c r="BI7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71">
        <v>-3</v>
      </c>
      <c r="BK71" t="s">
        <v>733</v>
      </c>
      <c r="BL71" s="11"/>
      <c r="BM71" s="11"/>
      <c r="BN71" s="11">
        <v>27</v>
      </c>
      <c r="BO71">
        <v>0</v>
      </c>
      <c r="BP71" t="s">
        <v>691</v>
      </c>
      <c r="BQ71" t="s">
        <v>693</v>
      </c>
      <c r="BR71" t="s">
        <v>700</v>
      </c>
      <c r="BS71" t="s">
        <v>704</v>
      </c>
      <c r="BT71" t="s">
        <v>705</v>
      </c>
      <c r="BU71" t="s">
        <v>706</v>
      </c>
      <c r="CT71"/>
      <c r="CU71"/>
      <c r="CV71"/>
    </row>
    <row r="72" spans="1:100" x14ac:dyDescent="0.4">
      <c r="A72" s="2" t="s">
        <v>96</v>
      </c>
      <c r="B72" t="str">
        <f>_xlfn.TEXTAFTER(Table1[[#This Row],[VEHIDCODE]],"_")</f>
        <v>Austria_KkStB_99</v>
      </c>
      <c r="C72" t="s">
        <v>738</v>
      </c>
      <c r="D72" t="s">
        <v>956</v>
      </c>
      <c r="E72">
        <v>4006</v>
      </c>
      <c r="F72" t="b">
        <f>OR(ISNUMBER(SEARCH("wagon_",Table1[[#This Row],[FILENAMES_EXPECTED]])),ISNUMBER(SEARCH("coach_",Table1[[#This Row],[FILENAMES_EXPECTED]])))</f>
        <v>0</v>
      </c>
      <c r="G72" t="str">
        <f>"item_"&amp;Table1[[#This Row],[VEHIDCODE]]</f>
        <v>item_steam_Austria_KkStB_99</v>
      </c>
      <c r="H72" t="str">
        <f>"str_"&amp;Table1[[#This Row],[VEHIDCODE]]</f>
        <v>str_steam_Austria_KkStB_99</v>
      </c>
      <c r="Q72" s="2" t="b">
        <v>1</v>
      </c>
      <c r="AL72" s="2"/>
      <c r="AM72" s="2" t="b">
        <f>LEN(_xlfn.CONCAT(Table1[[#This Row],[TRACK_TYPE_STANDARD_GAUGE_RAILTYPE_OHLE]:[TRACK_TYPE_MTRO]]))&gt;0</f>
        <v>1</v>
      </c>
      <c r="AN72">
        <v>6</v>
      </c>
      <c r="AO72" t="s">
        <v>20</v>
      </c>
      <c r="AP72">
        <v>0</v>
      </c>
      <c r="AQ72" t="s">
        <v>23</v>
      </c>
      <c r="AR72">
        <v>0</v>
      </c>
      <c r="AS72">
        <v>1897</v>
      </c>
      <c r="AT72">
        <v>6</v>
      </c>
      <c r="AU72" s="2" t="s">
        <v>20</v>
      </c>
      <c r="AV72" t="b">
        <v>1</v>
      </c>
      <c r="AX72" s="2"/>
      <c r="AY72">
        <v>45</v>
      </c>
      <c r="AZ72">
        <v>1</v>
      </c>
      <c r="BA72">
        <v>575</v>
      </c>
      <c r="BB72" t="s">
        <v>709</v>
      </c>
      <c r="BC72">
        <v>50</v>
      </c>
      <c r="BD72" s="2">
        <v>0.23</v>
      </c>
      <c r="BE72" t="s">
        <v>922</v>
      </c>
      <c r="BF72" t="s">
        <v>921</v>
      </c>
      <c r="BG72" t="s">
        <v>939</v>
      </c>
      <c r="BH72" s="7">
        <v>40</v>
      </c>
      <c r="BI7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72">
        <v>-3</v>
      </c>
      <c r="BK72" t="s">
        <v>733</v>
      </c>
      <c r="BL72" s="11"/>
      <c r="BM72" s="11"/>
      <c r="BN72" s="11">
        <v>52</v>
      </c>
      <c r="BO72">
        <v>0</v>
      </c>
      <c r="BP72" t="s">
        <v>691</v>
      </c>
      <c r="BQ72" t="s">
        <v>693</v>
      </c>
      <c r="BR72" t="s">
        <v>700</v>
      </c>
      <c r="BS72" t="s">
        <v>704</v>
      </c>
      <c r="BT72" t="s">
        <v>705</v>
      </c>
      <c r="BU72" t="s">
        <v>706</v>
      </c>
      <c r="CT72"/>
      <c r="CU72"/>
      <c r="CV72"/>
    </row>
    <row r="73" spans="1:100" x14ac:dyDescent="0.4">
      <c r="A73" s="2" t="s">
        <v>97</v>
      </c>
      <c r="B73" t="str">
        <f>_xlfn.TEXTAFTER(Table1[[#This Row],[VEHIDCODE]],"_")</f>
        <v>UK_Caledonian_Railway_439</v>
      </c>
      <c r="C73" t="s">
        <v>738</v>
      </c>
      <c r="D73" t="s">
        <v>956</v>
      </c>
      <c r="E73">
        <v>4007</v>
      </c>
      <c r="F73" t="b">
        <f>OR(ISNUMBER(SEARCH("wagon_",Table1[[#This Row],[FILENAMES_EXPECTED]])),ISNUMBER(SEARCH("coach_",Table1[[#This Row],[FILENAMES_EXPECTED]])))</f>
        <v>0</v>
      </c>
      <c r="G73" t="str">
        <f>"item_"&amp;Table1[[#This Row],[VEHIDCODE]]</f>
        <v>item_steam_UK_Caledonian_Railway_439</v>
      </c>
      <c r="H73" t="str">
        <f>"str_"&amp;Table1[[#This Row],[VEHIDCODE]]</f>
        <v>str_steam_UK_Caledonian_Railway_439</v>
      </c>
      <c r="Q73" s="2" t="b">
        <v>1</v>
      </c>
      <c r="AL73" s="2"/>
      <c r="AM73" s="2" t="b">
        <f>LEN(_xlfn.CONCAT(Table1[[#This Row],[TRACK_TYPE_STANDARD_GAUGE_RAILTYPE_OHLE]:[TRACK_TYPE_MTRO]]))&gt;0</f>
        <v>1</v>
      </c>
      <c r="AN73">
        <v>7</v>
      </c>
      <c r="AO73" t="s">
        <v>20</v>
      </c>
      <c r="AP73">
        <v>0</v>
      </c>
      <c r="AQ73" t="s">
        <v>23</v>
      </c>
      <c r="AR73">
        <v>0</v>
      </c>
      <c r="AS73">
        <v>1899</v>
      </c>
      <c r="AT73">
        <v>7</v>
      </c>
      <c r="AU73" s="2" t="s">
        <v>20</v>
      </c>
      <c r="AV73" t="b">
        <v>1</v>
      </c>
      <c r="AX73" s="2"/>
      <c r="AY73">
        <v>45</v>
      </c>
      <c r="AZ73">
        <v>0</v>
      </c>
      <c r="BA73">
        <v>540</v>
      </c>
      <c r="BB73" t="s">
        <v>709</v>
      </c>
      <c r="BC73">
        <v>80</v>
      </c>
      <c r="BD73" s="2">
        <v>0.16</v>
      </c>
      <c r="BE73" t="s">
        <v>926</v>
      </c>
      <c r="BF73" t="s">
        <v>921</v>
      </c>
      <c r="BG73" t="s">
        <v>939</v>
      </c>
      <c r="BH73" s="7">
        <v>40</v>
      </c>
      <c r="BI7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73">
        <v>-3</v>
      </c>
      <c r="BK73" t="s">
        <v>733</v>
      </c>
      <c r="BL73" s="11"/>
      <c r="BM73" s="11"/>
      <c r="BN73" s="11">
        <v>53</v>
      </c>
      <c r="BO73">
        <v>0</v>
      </c>
      <c r="BP73" t="s">
        <v>691</v>
      </c>
      <c r="BQ73" t="s">
        <v>693</v>
      </c>
      <c r="BR73" t="s">
        <v>700</v>
      </c>
      <c r="BS73" t="s">
        <v>704</v>
      </c>
      <c r="BT73" t="s">
        <v>705</v>
      </c>
      <c r="BU73" t="s">
        <v>706</v>
      </c>
      <c r="CT73"/>
      <c r="CU73"/>
      <c r="CV73"/>
    </row>
    <row r="74" spans="1:100" x14ac:dyDescent="0.4">
      <c r="A74" s="2" t="s">
        <v>98</v>
      </c>
      <c r="B74" t="str">
        <f>_xlfn.TEXTAFTER(Table1[[#This Row],[VEHIDCODE]],"_")</f>
        <v>Switzerland_SBB_A_3_5</v>
      </c>
      <c r="C74" t="s">
        <v>738</v>
      </c>
      <c r="D74" t="s">
        <v>956</v>
      </c>
      <c r="E74">
        <v>4008</v>
      </c>
      <c r="F74" t="b">
        <f>OR(ISNUMBER(SEARCH("wagon_",Table1[[#This Row],[FILENAMES_EXPECTED]])),ISNUMBER(SEARCH("coach_",Table1[[#This Row],[FILENAMES_EXPECTED]])))</f>
        <v>0</v>
      </c>
      <c r="G74" t="str">
        <f>"item_"&amp;Table1[[#This Row],[VEHIDCODE]]</f>
        <v>item_steam_Switzerland_SBB_A_3_5</v>
      </c>
      <c r="H74" t="str">
        <f>"str_"&amp;Table1[[#This Row],[VEHIDCODE]]</f>
        <v>str_steam_Switzerland_SBB_A_3_5</v>
      </c>
      <c r="Q74" s="2" t="b">
        <v>1</v>
      </c>
      <c r="AL74" s="2"/>
      <c r="AM74" s="2" t="b">
        <f>LEN(_xlfn.CONCAT(Table1[[#This Row],[TRACK_TYPE_STANDARD_GAUGE_RAILTYPE_OHLE]:[TRACK_TYPE_MTRO]]))&gt;0</f>
        <v>1</v>
      </c>
      <c r="AN74">
        <v>8</v>
      </c>
      <c r="AO74" t="s">
        <v>20</v>
      </c>
      <c r="AP74">
        <v>0</v>
      </c>
      <c r="AQ74" t="s">
        <v>23</v>
      </c>
      <c r="AR74">
        <v>0</v>
      </c>
      <c r="AS74">
        <v>1902</v>
      </c>
      <c r="AT74">
        <v>8</v>
      </c>
      <c r="AU74" s="2" t="s">
        <v>20</v>
      </c>
      <c r="AV74" t="b">
        <v>1</v>
      </c>
      <c r="AX74" s="2"/>
      <c r="AY74">
        <v>45</v>
      </c>
      <c r="AZ74">
        <v>1</v>
      </c>
      <c r="BA74">
        <v>1340</v>
      </c>
      <c r="BB74" t="s">
        <v>709</v>
      </c>
      <c r="BC74">
        <v>100</v>
      </c>
      <c r="BD74" s="2">
        <v>0.12</v>
      </c>
      <c r="BE74" t="s">
        <v>922</v>
      </c>
      <c r="BF74" t="s">
        <v>921</v>
      </c>
      <c r="BG74" t="s">
        <v>939</v>
      </c>
      <c r="BH74" s="7">
        <v>40</v>
      </c>
      <c r="BI7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74">
        <v>0</v>
      </c>
      <c r="BK74" t="s">
        <v>733</v>
      </c>
      <c r="BL74" s="11"/>
      <c r="BM74" s="11"/>
      <c r="BN74" s="11">
        <v>106</v>
      </c>
      <c r="BO74">
        <v>0</v>
      </c>
      <c r="BP74" t="s">
        <v>691</v>
      </c>
      <c r="BQ74" t="s">
        <v>693</v>
      </c>
      <c r="BR74" t="s">
        <v>700</v>
      </c>
      <c r="BS74" t="s">
        <v>704</v>
      </c>
      <c r="BT74" t="s">
        <v>705</v>
      </c>
      <c r="BU74" t="s">
        <v>706</v>
      </c>
      <c r="CT74"/>
      <c r="CU74"/>
      <c r="CV74"/>
    </row>
    <row r="75" spans="1:100" x14ac:dyDescent="0.4">
      <c r="A75" s="2" t="s">
        <v>99</v>
      </c>
      <c r="B75" t="str">
        <f>_xlfn.TEXTAFTER(Table1[[#This Row],[VEHIDCODE]],"_")</f>
        <v>Switzerland_SBB_E_3_3</v>
      </c>
      <c r="C75" t="s">
        <v>738</v>
      </c>
      <c r="D75" t="s">
        <v>956</v>
      </c>
      <c r="E75">
        <v>4009</v>
      </c>
      <c r="F75" t="b">
        <f>OR(ISNUMBER(SEARCH("wagon_",Table1[[#This Row],[FILENAMES_EXPECTED]])),ISNUMBER(SEARCH("coach_",Table1[[#This Row],[FILENAMES_EXPECTED]])))</f>
        <v>0</v>
      </c>
      <c r="G75" t="str">
        <f>"item_"&amp;Table1[[#This Row],[VEHIDCODE]]</f>
        <v>item_steam_Switzerland_SBB_E_3_3</v>
      </c>
      <c r="H75" t="str">
        <f>"str_"&amp;Table1[[#This Row],[VEHIDCODE]]</f>
        <v>str_steam_Switzerland_SBB_E_3_3</v>
      </c>
      <c r="Q75" s="2" t="b">
        <v>1</v>
      </c>
      <c r="AL75" s="2"/>
      <c r="AM75" s="2" t="b">
        <f>LEN(_xlfn.CONCAT(Table1[[#This Row],[TRACK_TYPE_STANDARD_GAUGE_RAILTYPE_OHLE]:[TRACK_TYPE_MTRO]]))&gt;0</f>
        <v>1</v>
      </c>
      <c r="AN75">
        <v>6</v>
      </c>
      <c r="AO75" t="s">
        <v>20</v>
      </c>
      <c r="AP75">
        <v>0</v>
      </c>
      <c r="AQ75" t="s">
        <v>23</v>
      </c>
      <c r="AR75">
        <v>0</v>
      </c>
      <c r="AS75">
        <v>1902</v>
      </c>
      <c r="AT75">
        <v>6</v>
      </c>
      <c r="AU75" s="2" t="s">
        <v>20</v>
      </c>
      <c r="AV75" t="b">
        <v>1</v>
      </c>
      <c r="AX75" s="2"/>
      <c r="AY75">
        <v>45</v>
      </c>
      <c r="AZ75">
        <v>1</v>
      </c>
      <c r="BA75">
        <v>350</v>
      </c>
      <c r="BB75" t="s">
        <v>709</v>
      </c>
      <c r="BC75">
        <v>45</v>
      </c>
      <c r="BD75" s="2">
        <v>0.19</v>
      </c>
      <c r="BE75" t="s">
        <v>922</v>
      </c>
      <c r="BF75" t="s">
        <v>921</v>
      </c>
      <c r="BG75" t="s">
        <v>939</v>
      </c>
      <c r="BH75" s="7">
        <v>40</v>
      </c>
      <c r="BI7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75">
        <v>0</v>
      </c>
      <c r="BK75" t="s">
        <v>733</v>
      </c>
      <c r="BL75" s="11"/>
      <c r="BM75" s="11"/>
      <c r="BN75" s="11">
        <v>35</v>
      </c>
      <c r="BO75">
        <v>0</v>
      </c>
      <c r="BP75" t="s">
        <v>691</v>
      </c>
      <c r="BQ75" t="s">
        <v>693</v>
      </c>
      <c r="BR75" t="s">
        <v>700</v>
      </c>
      <c r="BS75" t="s">
        <v>704</v>
      </c>
      <c r="BT75" t="s">
        <v>705</v>
      </c>
      <c r="BU75" t="s">
        <v>706</v>
      </c>
      <c r="CT75"/>
      <c r="CU75"/>
      <c r="CV75"/>
    </row>
    <row r="76" spans="1:100" x14ac:dyDescent="0.4">
      <c r="A76" s="2" t="s">
        <v>100</v>
      </c>
      <c r="B76" t="str">
        <f>_xlfn.TEXTAFTER(Table1[[#This Row],[VEHIDCODE]],"_")</f>
        <v>Austria_KkStB_299</v>
      </c>
      <c r="C76" t="s">
        <v>738</v>
      </c>
      <c r="D76" t="s">
        <v>956</v>
      </c>
      <c r="E76">
        <v>4010</v>
      </c>
      <c r="F76" t="b">
        <f>OR(ISNUMBER(SEARCH("wagon_",Table1[[#This Row],[FILENAMES_EXPECTED]])),ISNUMBER(SEARCH("coach_",Table1[[#This Row],[FILENAMES_EXPECTED]])))</f>
        <v>0</v>
      </c>
      <c r="G76" t="str">
        <f>"item_"&amp;Table1[[#This Row],[VEHIDCODE]]</f>
        <v>item_steam_Austria_KkStB_299</v>
      </c>
      <c r="H76" t="str">
        <f>"str_"&amp;Table1[[#This Row],[VEHIDCODE]]</f>
        <v>str_steam_Austria_KkStB_299</v>
      </c>
      <c r="Q76" s="2" t="b">
        <v>1</v>
      </c>
      <c r="AL76" s="2"/>
      <c r="AM76" s="2" t="b">
        <f>LEN(_xlfn.CONCAT(Table1[[#This Row],[TRACK_TYPE_STANDARD_GAUGE_RAILTYPE_OHLE]:[TRACK_TYPE_MTRO]]))&gt;0</f>
        <v>1</v>
      </c>
      <c r="AN76">
        <v>7</v>
      </c>
      <c r="AO76" t="s">
        <v>20</v>
      </c>
      <c r="AP76">
        <v>0</v>
      </c>
      <c r="AQ76" t="s">
        <v>23</v>
      </c>
      <c r="AR76">
        <v>0</v>
      </c>
      <c r="AS76">
        <v>1904</v>
      </c>
      <c r="AT76">
        <v>7</v>
      </c>
      <c r="AU76" s="2" t="s">
        <v>20</v>
      </c>
      <c r="AV76" t="b">
        <v>1</v>
      </c>
      <c r="AX76" s="2"/>
      <c r="AY76">
        <v>45</v>
      </c>
      <c r="AZ76">
        <v>1</v>
      </c>
      <c r="BA76">
        <v>820</v>
      </c>
      <c r="BB76" t="s">
        <v>709</v>
      </c>
      <c r="BC76">
        <v>80</v>
      </c>
      <c r="BD76" s="2">
        <v>0.14000000000000001</v>
      </c>
      <c r="BE76" t="s">
        <v>922</v>
      </c>
      <c r="BF76" t="s">
        <v>921</v>
      </c>
      <c r="BG76" t="s">
        <v>939</v>
      </c>
      <c r="BH76" s="7">
        <v>40</v>
      </c>
      <c r="BI7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76">
        <v>0</v>
      </c>
      <c r="BK76" t="s">
        <v>733</v>
      </c>
      <c r="BL76" s="11"/>
      <c r="BM76" s="11"/>
      <c r="BN76" s="11">
        <v>67</v>
      </c>
      <c r="BO76">
        <v>0</v>
      </c>
      <c r="BP76" t="s">
        <v>691</v>
      </c>
      <c r="BQ76" t="s">
        <v>693</v>
      </c>
      <c r="BR76" t="s">
        <v>700</v>
      </c>
      <c r="BS76" t="s">
        <v>704</v>
      </c>
      <c r="BT76" t="s">
        <v>705</v>
      </c>
      <c r="BU76" t="s">
        <v>706</v>
      </c>
      <c r="CT76"/>
      <c r="CU76"/>
      <c r="CV76"/>
    </row>
    <row r="77" spans="1:100" x14ac:dyDescent="0.4">
      <c r="A77" s="2" t="s">
        <v>101</v>
      </c>
      <c r="B77" t="str">
        <f>_xlfn.TEXTAFTER(Table1[[#This Row],[VEHIDCODE]],"_")</f>
        <v>New_Zealand_NZR_X_Class</v>
      </c>
      <c r="C77" t="s">
        <v>738</v>
      </c>
      <c r="D77" t="s">
        <v>956</v>
      </c>
      <c r="E77">
        <v>4011</v>
      </c>
      <c r="F77" t="b">
        <f>OR(ISNUMBER(SEARCH("wagon_",Table1[[#This Row],[FILENAMES_EXPECTED]])),ISNUMBER(SEARCH("coach_",Table1[[#This Row],[FILENAMES_EXPECTED]])))</f>
        <v>0</v>
      </c>
      <c r="G77" t="str">
        <f>"item_"&amp;Table1[[#This Row],[VEHIDCODE]]</f>
        <v>item_steam_New_Zealand_NZR_X_Class</v>
      </c>
      <c r="H77" t="str">
        <f>"str_"&amp;Table1[[#This Row],[VEHIDCODE]]</f>
        <v>str_steam_New_Zealand_NZR_X_Class</v>
      </c>
      <c r="Z77" s="2" t="b">
        <v>1</v>
      </c>
      <c r="AL77" s="2"/>
      <c r="AM77" s="2" t="b">
        <f>LEN(_xlfn.CONCAT(Table1[[#This Row],[TRACK_TYPE_STANDARD_GAUGE_RAILTYPE_OHLE]:[TRACK_TYPE_MTRO]]))&gt;0</f>
        <v>1</v>
      </c>
      <c r="AN77">
        <v>12</v>
      </c>
      <c r="AO77" t="s">
        <v>20</v>
      </c>
      <c r="AP77">
        <v>0</v>
      </c>
      <c r="AQ77" t="s">
        <v>23</v>
      </c>
      <c r="AR77">
        <v>0</v>
      </c>
      <c r="AS77">
        <v>1908</v>
      </c>
      <c r="AT77">
        <v>8</v>
      </c>
      <c r="AU77" s="2" t="s">
        <v>20</v>
      </c>
      <c r="AV77" t="b">
        <v>1</v>
      </c>
      <c r="AX77" s="2"/>
      <c r="AY77">
        <v>45</v>
      </c>
      <c r="AZ77">
        <v>1</v>
      </c>
      <c r="BA77">
        <v>1500</v>
      </c>
      <c r="BB77" t="s">
        <v>709</v>
      </c>
      <c r="BC77">
        <v>50</v>
      </c>
      <c r="BD77" s="2">
        <v>0.15</v>
      </c>
      <c r="BE77" t="s">
        <v>924</v>
      </c>
      <c r="BF77" t="s">
        <v>921</v>
      </c>
      <c r="BG77" t="s">
        <v>939</v>
      </c>
      <c r="BH77" s="7">
        <v>40</v>
      </c>
      <c r="BI7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77">
        <v>0</v>
      </c>
      <c r="BK77" t="s">
        <v>733</v>
      </c>
      <c r="BL77" s="11"/>
      <c r="BM77" s="11"/>
      <c r="BN77" s="11">
        <v>94</v>
      </c>
      <c r="BO77">
        <v>0</v>
      </c>
      <c r="BP77" t="s">
        <v>691</v>
      </c>
      <c r="BQ77" t="s">
        <v>693</v>
      </c>
      <c r="BR77" t="s">
        <v>700</v>
      </c>
      <c r="BS77" t="s">
        <v>704</v>
      </c>
      <c r="BT77" t="s">
        <v>705</v>
      </c>
      <c r="BU77" t="s">
        <v>706</v>
      </c>
      <c r="CT77"/>
      <c r="CU77"/>
      <c r="CV77"/>
    </row>
    <row r="78" spans="1:100" x14ac:dyDescent="0.4">
      <c r="A78" s="2" t="s">
        <v>102</v>
      </c>
      <c r="B78" t="str">
        <f>_xlfn.TEXTAFTER(Table1[[#This Row],[VEHIDCODE]],"_")</f>
        <v>Croatia_HZ_51</v>
      </c>
      <c r="C78" t="s">
        <v>738</v>
      </c>
      <c r="D78" t="s">
        <v>956</v>
      </c>
      <c r="E78">
        <v>4014</v>
      </c>
      <c r="F78" t="b">
        <f>OR(ISNUMBER(SEARCH("wagon_",Table1[[#This Row],[FILENAMES_EXPECTED]])),ISNUMBER(SEARCH("coach_",Table1[[#This Row],[FILENAMES_EXPECTED]])))</f>
        <v>0</v>
      </c>
      <c r="G78" t="str">
        <f>"item_"&amp;Table1[[#This Row],[VEHIDCODE]]</f>
        <v>item_steam_Croatia_HZ_51</v>
      </c>
      <c r="H78" t="str">
        <f>"str_"&amp;Table1[[#This Row],[VEHIDCODE]]</f>
        <v>str_steam_Croatia_HZ_51</v>
      </c>
      <c r="Q78" s="2" t="b">
        <v>1</v>
      </c>
      <c r="AL78" s="2"/>
      <c r="AM78" s="2" t="b">
        <f>LEN(_xlfn.CONCAT(Table1[[#This Row],[TRACK_TYPE_STANDARD_GAUGE_RAILTYPE_OHLE]:[TRACK_TYPE_MTRO]]))&gt;0</f>
        <v>1</v>
      </c>
      <c r="AN78">
        <v>6</v>
      </c>
      <c r="AO78" t="s">
        <v>20</v>
      </c>
      <c r="AP78">
        <v>0</v>
      </c>
      <c r="AQ78" t="s">
        <v>23</v>
      </c>
      <c r="AR78">
        <v>0</v>
      </c>
      <c r="AS78">
        <v>1914</v>
      </c>
      <c r="AT78">
        <v>6</v>
      </c>
      <c r="AU78" s="2" t="s">
        <v>20</v>
      </c>
      <c r="AV78" t="b">
        <v>1</v>
      </c>
      <c r="AX78" s="2"/>
      <c r="AY78">
        <v>45</v>
      </c>
      <c r="AZ78">
        <v>0</v>
      </c>
      <c r="BA78">
        <v>570</v>
      </c>
      <c r="BB78" t="s">
        <v>709</v>
      </c>
      <c r="BC78">
        <v>60</v>
      </c>
      <c r="BD78" s="2">
        <v>0.11</v>
      </c>
      <c r="BE78" t="s">
        <v>928</v>
      </c>
      <c r="BF78" t="s">
        <v>921</v>
      </c>
      <c r="BG78" t="s">
        <v>939</v>
      </c>
      <c r="BH78" s="7">
        <v>40</v>
      </c>
      <c r="BI7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78">
        <v>-3</v>
      </c>
      <c r="BK78" t="s">
        <v>733</v>
      </c>
      <c r="BL78" s="11"/>
      <c r="BM78" s="11"/>
      <c r="BN78" s="11">
        <v>52</v>
      </c>
      <c r="BO78">
        <v>0</v>
      </c>
      <c r="BP78" t="s">
        <v>691</v>
      </c>
      <c r="BQ78" t="s">
        <v>693</v>
      </c>
      <c r="BR78" t="s">
        <v>700</v>
      </c>
      <c r="BS78" t="s">
        <v>704</v>
      </c>
      <c r="BT78" t="s">
        <v>705</v>
      </c>
      <c r="BU78" t="s">
        <v>706</v>
      </c>
      <c r="CT78"/>
      <c r="CU78"/>
      <c r="CV78"/>
    </row>
    <row r="79" spans="1:100" x14ac:dyDescent="0.4">
      <c r="A79" s="2" t="s">
        <v>103</v>
      </c>
      <c r="B79" t="str">
        <f>_xlfn.TEXTAFTER(Table1[[#This Row],[VEHIDCODE]],"_")</f>
        <v>Italy_FS_880</v>
      </c>
      <c r="C79" t="s">
        <v>738</v>
      </c>
      <c r="D79" t="s">
        <v>956</v>
      </c>
      <c r="E79">
        <v>4015</v>
      </c>
      <c r="F79" t="b">
        <f>OR(ISNUMBER(SEARCH("wagon_",Table1[[#This Row],[FILENAMES_EXPECTED]])),ISNUMBER(SEARCH("coach_",Table1[[#This Row],[FILENAMES_EXPECTED]])))</f>
        <v>0</v>
      </c>
      <c r="G79" t="str">
        <f>"item_"&amp;Table1[[#This Row],[VEHIDCODE]]</f>
        <v>item_steam_Italy_FS_880</v>
      </c>
      <c r="H79" t="str">
        <f>"str_"&amp;Table1[[#This Row],[VEHIDCODE]]</f>
        <v>str_steam_Italy_FS_880</v>
      </c>
      <c r="Q79" s="2" t="b">
        <v>1</v>
      </c>
      <c r="AL79" s="2"/>
      <c r="AM79" s="2" t="b">
        <f>LEN(_xlfn.CONCAT(Table1[[#This Row],[TRACK_TYPE_STANDARD_GAUGE_RAILTYPE_OHLE]:[TRACK_TYPE_MTRO]]))&gt;0</f>
        <v>1</v>
      </c>
      <c r="AN79">
        <v>6</v>
      </c>
      <c r="AO79" t="s">
        <v>20</v>
      </c>
      <c r="AP79">
        <v>0</v>
      </c>
      <c r="AQ79" t="s">
        <v>23</v>
      </c>
      <c r="AR79">
        <v>0</v>
      </c>
      <c r="AS79">
        <v>1916</v>
      </c>
      <c r="AT79">
        <v>6</v>
      </c>
      <c r="AU79" s="2" t="s">
        <v>20</v>
      </c>
      <c r="AV79" t="b">
        <v>1</v>
      </c>
      <c r="AX79" s="2"/>
      <c r="AY79">
        <v>45</v>
      </c>
      <c r="AZ79">
        <v>1</v>
      </c>
      <c r="BA79">
        <v>500</v>
      </c>
      <c r="BB79" t="s">
        <v>709</v>
      </c>
      <c r="BC79">
        <v>75</v>
      </c>
      <c r="BD79" s="2">
        <v>0.1</v>
      </c>
      <c r="BE79" t="s">
        <v>923</v>
      </c>
      <c r="BF79" t="s">
        <v>921</v>
      </c>
      <c r="BG79" t="s">
        <v>939</v>
      </c>
      <c r="BH79" s="7">
        <v>40</v>
      </c>
      <c r="BI7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79">
        <v>-3</v>
      </c>
      <c r="BK79" t="s">
        <v>733</v>
      </c>
      <c r="BL79" s="11"/>
      <c r="BM79" s="11"/>
      <c r="BN79" s="11">
        <v>144</v>
      </c>
      <c r="BO79">
        <v>0</v>
      </c>
      <c r="BP79" t="s">
        <v>691</v>
      </c>
      <c r="BQ79" t="s">
        <v>693</v>
      </c>
      <c r="BR79" t="s">
        <v>700</v>
      </c>
      <c r="BS79" t="s">
        <v>704</v>
      </c>
      <c r="BT79" t="s">
        <v>705</v>
      </c>
      <c r="BU79" t="s">
        <v>706</v>
      </c>
      <c r="CT79"/>
      <c r="CU79"/>
      <c r="CV79"/>
    </row>
    <row r="80" spans="1:100" x14ac:dyDescent="0.4">
      <c r="A80" s="2" t="s">
        <v>104</v>
      </c>
      <c r="B80" t="str">
        <f>_xlfn.TEXTAFTER(Table1[[#This Row],[VEHIDCODE]],"_")</f>
        <v>Argentina_FCNEA_11B_2_8_0</v>
      </c>
      <c r="C80" t="s">
        <v>738</v>
      </c>
      <c r="D80" t="s">
        <v>956</v>
      </c>
      <c r="E80">
        <v>4016</v>
      </c>
      <c r="F80" t="b">
        <f>OR(ISNUMBER(SEARCH("wagon_",Table1[[#This Row],[FILENAMES_EXPECTED]])),ISNUMBER(SEARCH("coach_",Table1[[#This Row],[FILENAMES_EXPECTED]])))</f>
        <v>0</v>
      </c>
      <c r="G80" t="str">
        <f>"item_"&amp;Table1[[#This Row],[VEHIDCODE]]</f>
        <v>item_steam_Argentina_FCNEA_11B_2_8_0</v>
      </c>
      <c r="H80" t="str">
        <f>"str_"&amp;Table1[[#This Row],[VEHIDCODE]]</f>
        <v>str_steam_Argentina_FCNEA_11B_2_8_0</v>
      </c>
      <c r="Q80" s="2" t="b">
        <v>1</v>
      </c>
      <c r="AL80" s="2"/>
      <c r="AM80" s="2" t="b">
        <f>LEN(_xlfn.CONCAT(Table1[[#This Row],[TRACK_TYPE_STANDARD_GAUGE_RAILTYPE_OHLE]:[TRACK_TYPE_MTRO]]))&gt;0</f>
        <v>1</v>
      </c>
      <c r="AN80">
        <v>8</v>
      </c>
      <c r="AO80" t="s">
        <v>20</v>
      </c>
      <c r="AP80">
        <v>0</v>
      </c>
      <c r="AQ80" t="s">
        <v>23</v>
      </c>
      <c r="AR80">
        <v>0</v>
      </c>
      <c r="AS80">
        <v>1920</v>
      </c>
      <c r="AT80">
        <v>7</v>
      </c>
      <c r="AU80" s="2" t="s">
        <v>20</v>
      </c>
      <c r="AV80" t="b">
        <v>1</v>
      </c>
      <c r="AX80" s="2"/>
      <c r="AY80">
        <v>45</v>
      </c>
      <c r="AZ80">
        <v>1</v>
      </c>
      <c r="BA80">
        <v>930</v>
      </c>
      <c r="BB80" t="s">
        <v>709</v>
      </c>
      <c r="BC80">
        <v>64</v>
      </c>
      <c r="BD80" s="2">
        <v>0.11</v>
      </c>
      <c r="BE80" t="s">
        <v>929</v>
      </c>
      <c r="BF80" t="s">
        <v>921</v>
      </c>
      <c r="BG80" t="s">
        <v>939</v>
      </c>
      <c r="BH80" s="7">
        <v>40</v>
      </c>
      <c r="BI8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80">
        <v>0</v>
      </c>
      <c r="BK80" t="s">
        <v>733</v>
      </c>
      <c r="BL80" s="11"/>
      <c r="BM80" s="11"/>
      <c r="BN80" s="11">
        <v>97</v>
      </c>
      <c r="BO80">
        <v>0</v>
      </c>
      <c r="BP80" t="s">
        <v>691</v>
      </c>
      <c r="BQ80" t="s">
        <v>693</v>
      </c>
      <c r="BR80" t="s">
        <v>700</v>
      </c>
      <c r="BS80" t="s">
        <v>704</v>
      </c>
      <c r="BT80" t="s">
        <v>705</v>
      </c>
      <c r="BU80" t="s">
        <v>706</v>
      </c>
      <c r="CT80"/>
      <c r="CU80"/>
      <c r="CV80"/>
    </row>
    <row r="81" spans="1:100" x14ac:dyDescent="0.4">
      <c r="A81" s="2" t="s">
        <v>105</v>
      </c>
      <c r="B81" t="str">
        <f>_xlfn.TEXTAFTER(Table1[[#This Row],[VEHIDCODE]],"_")</f>
        <v>France_SNCF_140C</v>
      </c>
      <c r="C81" t="s">
        <v>738</v>
      </c>
      <c r="D81" t="s">
        <v>956</v>
      </c>
      <c r="E81">
        <v>4017</v>
      </c>
      <c r="F81" t="b">
        <f>OR(ISNUMBER(SEARCH("wagon_",Table1[[#This Row],[FILENAMES_EXPECTED]])),ISNUMBER(SEARCH("coach_",Table1[[#This Row],[FILENAMES_EXPECTED]])))</f>
        <v>0</v>
      </c>
      <c r="G81" t="str">
        <f>"item_"&amp;Table1[[#This Row],[VEHIDCODE]]</f>
        <v>item_steam_France_SNCF_140C</v>
      </c>
      <c r="H81" t="str">
        <f>"str_"&amp;Table1[[#This Row],[VEHIDCODE]]</f>
        <v>str_steam_France_SNCF_140C</v>
      </c>
      <c r="Q81" s="2" t="b">
        <v>1</v>
      </c>
      <c r="AL81" s="2"/>
      <c r="AM81" s="2" t="b">
        <f>LEN(_xlfn.CONCAT(Table1[[#This Row],[TRACK_TYPE_STANDARD_GAUGE_RAILTYPE_OHLE]:[TRACK_TYPE_MTRO]]))&gt;0</f>
        <v>1</v>
      </c>
      <c r="AN81">
        <v>8</v>
      </c>
      <c r="AO81" t="s">
        <v>20</v>
      </c>
      <c r="AP81">
        <v>0</v>
      </c>
      <c r="AQ81" t="s">
        <v>23</v>
      </c>
      <c r="AR81">
        <v>0</v>
      </c>
      <c r="AS81">
        <v>1920</v>
      </c>
      <c r="AT81">
        <v>6</v>
      </c>
      <c r="AU81" s="2" t="s">
        <v>20</v>
      </c>
      <c r="AV81" t="b">
        <v>1</v>
      </c>
      <c r="AX81" s="2"/>
      <c r="AY81">
        <v>45</v>
      </c>
      <c r="AZ81">
        <v>1</v>
      </c>
      <c r="BA81">
        <v>1500</v>
      </c>
      <c r="BB81" t="s">
        <v>709</v>
      </c>
      <c r="BC81">
        <v>80</v>
      </c>
      <c r="BD81" s="2">
        <v>0.16</v>
      </c>
      <c r="BE81" t="s">
        <v>922</v>
      </c>
      <c r="BF81" t="s">
        <v>921</v>
      </c>
      <c r="BG81" t="s">
        <v>939</v>
      </c>
      <c r="BH81" s="7">
        <v>40</v>
      </c>
      <c r="BI8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81">
        <v>0</v>
      </c>
      <c r="BK81" t="s">
        <v>733</v>
      </c>
      <c r="BL81" s="11"/>
      <c r="BM81" s="11"/>
      <c r="BN81" s="11">
        <v>126</v>
      </c>
      <c r="BO81">
        <v>0</v>
      </c>
      <c r="BP81" t="s">
        <v>691</v>
      </c>
      <c r="BQ81" t="s">
        <v>693</v>
      </c>
      <c r="BR81" t="s">
        <v>700</v>
      </c>
      <c r="BS81" t="s">
        <v>704</v>
      </c>
      <c r="BT81" t="s">
        <v>705</v>
      </c>
      <c r="BU81" t="s">
        <v>706</v>
      </c>
      <c r="CT81"/>
      <c r="CU81"/>
      <c r="CV81"/>
    </row>
    <row r="82" spans="1:100" x14ac:dyDescent="0.4">
      <c r="A82" s="2" t="s">
        <v>106</v>
      </c>
      <c r="B82" t="str">
        <f>_xlfn.TEXTAFTER(Table1[[#This Row],[VEHIDCODE]],"_")</f>
        <v>France_SNCF_141TA</v>
      </c>
      <c r="C82" t="s">
        <v>738</v>
      </c>
      <c r="D82" t="s">
        <v>956</v>
      </c>
      <c r="E82">
        <v>4018</v>
      </c>
      <c r="F82" t="b">
        <f>OR(ISNUMBER(SEARCH("wagon_",Table1[[#This Row],[FILENAMES_EXPECTED]])),ISNUMBER(SEARCH("coach_",Table1[[#This Row],[FILENAMES_EXPECTED]])))</f>
        <v>0</v>
      </c>
      <c r="G82" t="str">
        <f>"item_"&amp;Table1[[#This Row],[VEHIDCODE]]</f>
        <v>item_steam_France_SNCF_141TA</v>
      </c>
      <c r="H82" t="str">
        <f>"str_"&amp;Table1[[#This Row],[VEHIDCODE]]</f>
        <v>str_steam_France_SNCF_141TA</v>
      </c>
      <c r="Q82" s="2" t="b">
        <v>1</v>
      </c>
      <c r="AL82" s="2"/>
      <c r="AM82" s="2" t="b">
        <f>LEN(_xlfn.CONCAT(Table1[[#This Row],[TRACK_TYPE_STANDARD_GAUGE_RAILTYPE_OHLE]:[TRACK_TYPE_MTRO]]))&gt;0</f>
        <v>1</v>
      </c>
      <c r="AN82">
        <v>6</v>
      </c>
      <c r="AO82" t="s">
        <v>20</v>
      </c>
      <c r="AP82">
        <v>0</v>
      </c>
      <c r="AQ82" t="s">
        <v>23</v>
      </c>
      <c r="AR82">
        <v>0</v>
      </c>
      <c r="AS82">
        <v>1922</v>
      </c>
      <c r="AT82">
        <v>6</v>
      </c>
      <c r="AU82" s="2" t="s">
        <v>20</v>
      </c>
      <c r="AV82" t="b">
        <v>1</v>
      </c>
      <c r="AX82" s="2"/>
      <c r="AY82">
        <v>45</v>
      </c>
      <c r="AZ82">
        <v>1</v>
      </c>
      <c r="BA82">
        <v>1360</v>
      </c>
      <c r="BB82" t="s">
        <v>709</v>
      </c>
      <c r="BC82">
        <v>70</v>
      </c>
      <c r="BD82" s="2">
        <v>0.25</v>
      </c>
      <c r="BE82" t="s">
        <v>922</v>
      </c>
      <c r="BF82" t="s">
        <v>921</v>
      </c>
      <c r="BG82" t="s">
        <v>939</v>
      </c>
      <c r="BH82" s="7">
        <v>40</v>
      </c>
      <c r="BI8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82">
        <v>-3</v>
      </c>
      <c r="BK82" t="s">
        <v>733</v>
      </c>
      <c r="BL82" s="11"/>
      <c r="BM82" s="11"/>
      <c r="BN82" s="11">
        <v>94</v>
      </c>
      <c r="BO82">
        <v>0</v>
      </c>
      <c r="BP82" t="s">
        <v>691</v>
      </c>
      <c r="BQ82" t="s">
        <v>693</v>
      </c>
      <c r="BR82" t="s">
        <v>700</v>
      </c>
      <c r="BS82" t="s">
        <v>704</v>
      </c>
      <c r="BT82" t="s">
        <v>705</v>
      </c>
      <c r="BU82" t="s">
        <v>706</v>
      </c>
      <c r="CT82"/>
      <c r="CU82"/>
      <c r="CV82"/>
    </row>
    <row r="83" spans="1:100" x14ac:dyDescent="0.4">
      <c r="A83" s="2" t="s">
        <v>107</v>
      </c>
      <c r="B83" t="str">
        <f>_xlfn.TEXTAFTER(Table1[[#This Row],[VEHIDCODE]],"_")</f>
        <v>UK_GWR_4900</v>
      </c>
      <c r="C83" t="s">
        <v>738</v>
      </c>
      <c r="D83" t="s">
        <v>956</v>
      </c>
      <c r="E83">
        <v>4019</v>
      </c>
      <c r="F83" t="b">
        <f>OR(ISNUMBER(SEARCH("wagon_",Table1[[#This Row],[FILENAMES_EXPECTED]])),ISNUMBER(SEARCH("coach_",Table1[[#This Row],[FILENAMES_EXPECTED]])))</f>
        <v>0</v>
      </c>
      <c r="G83" t="str">
        <f>"item_"&amp;Table1[[#This Row],[VEHIDCODE]]</f>
        <v>item_steam_UK_GWR_4900</v>
      </c>
      <c r="H83" t="str">
        <f>"str_"&amp;Table1[[#This Row],[VEHIDCODE]]</f>
        <v>str_steam_UK_GWR_4900</v>
      </c>
      <c r="Q83" s="2" t="b">
        <v>1</v>
      </c>
      <c r="AL83" s="2"/>
      <c r="AM83" s="2" t="b">
        <f>LEN(_xlfn.CONCAT(Table1[[#This Row],[TRACK_TYPE_STANDARD_GAUGE_RAILTYPE_OHLE]:[TRACK_TYPE_MTRO]]))&gt;0</f>
        <v>1</v>
      </c>
      <c r="AN83">
        <v>12</v>
      </c>
      <c r="AO83" t="s">
        <v>20</v>
      </c>
      <c r="AP83">
        <v>0</v>
      </c>
      <c r="AQ83" t="s">
        <v>23</v>
      </c>
      <c r="AR83">
        <v>0</v>
      </c>
      <c r="AS83">
        <v>1924</v>
      </c>
      <c r="AT83">
        <v>8</v>
      </c>
      <c r="AU83" s="2" t="s">
        <v>20</v>
      </c>
      <c r="AV83" t="b">
        <v>1</v>
      </c>
      <c r="AX83" s="2"/>
      <c r="AY83">
        <v>45</v>
      </c>
      <c r="AZ83">
        <v>0</v>
      </c>
      <c r="BA83">
        <v>1750</v>
      </c>
      <c r="BB83" t="s">
        <v>709</v>
      </c>
      <c r="BC83">
        <v>96</v>
      </c>
      <c r="BD83" s="2">
        <v>0.1</v>
      </c>
      <c r="BE83" t="s">
        <v>926</v>
      </c>
      <c r="BF83" t="s">
        <v>921</v>
      </c>
      <c r="BG83" t="s">
        <v>939</v>
      </c>
      <c r="BH83" s="7">
        <v>40</v>
      </c>
      <c r="BI8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83">
        <v>0</v>
      </c>
      <c r="BK83" t="s">
        <v>733</v>
      </c>
      <c r="BL83" s="11"/>
      <c r="BM83" s="11"/>
      <c r="BN83" s="11">
        <v>122</v>
      </c>
      <c r="BO83">
        <v>0</v>
      </c>
      <c r="BP83" t="s">
        <v>691</v>
      </c>
      <c r="BQ83" t="s">
        <v>693</v>
      </c>
      <c r="BR83" t="s">
        <v>700</v>
      </c>
      <c r="BS83" t="s">
        <v>704</v>
      </c>
      <c r="BT83" t="s">
        <v>705</v>
      </c>
      <c r="BU83" t="s">
        <v>706</v>
      </c>
      <c r="CT83"/>
      <c r="CU83"/>
      <c r="CV83"/>
    </row>
    <row r="84" spans="1:100" x14ac:dyDescent="0.4">
      <c r="A84" s="2" t="s">
        <v>108</v>
      </c>
      <c r="B84" t="str">
        <f>_xlfn.TEXTAFTER(Table1[[#This Row],[VEHIDCODE]],"_")</f>
        <v>UK_GWR_5700</v>
      </c>
      <c r="C84" t="s">
        <v>738</v>
      </c>
      <c r="D84" t="s">
        <v>956</v>
      </c>
      <c r="E84">
        <v>4020</v>
      </c>
      <c r="F84" t="b">
        <f>OR(ISNUMBER(SEARCH("wagon_",Table1[[#This Row],[FILENAMES_EXPECTED]])),ISNUMBER(SEARCH("coach_",Table1[[#This Row],[FILENAMES_EXPECTED]])))</f>
        <v>0</v>
      </c>
      <c r="G84" t="str">
        <f>"item_"&amp;Table1[[#This Row],[VEHIDCODE]]</f>
        <v>item_steam_UK_GWR_5700</v>
      </c>
      <c r="H84" t="str">
        <f>"str_"&amp;Table1[[#This Row],[VEHIDCODE]]</f>
        <v>str_steam_UK_GWR_5700</v>
      </c>
      <c r="Q84" s="2" t="b">
        <v>1</v>
      </c>
      <c r="AL84" s="2"/>
      <c r="AM84" s="2" t="b">
        <f>LEN(_xlfn.CONCAT(Table1[[#This Row],[TRACK_TYPE_STANDARD_GAUGE_RAILTYPE_OHLE]:[TRACK_TYPE_MTRO]]))&gt;0</f>
        <v>1</v>
      </c>
      <c r="AN84">
        <v>6</v>
      </c>
      <c r="AO84" t="s">
        <v>20</v>
      </c>
      <c r="AP84">
        <v>0</v>
      </c>
      <c r="AQ84" t="s">
        <v>23</v>
      </c>
      <c r="AR84">
        <v>0</v>
      </c>
      <c r="AS84">
        <v>1929</v>
      </c>
      <c r="AT84">
        <v>6</v>
      </c>
      <c r="AU84" s="2" t="s">
        <v>20</v>
      </c>
      <c r="AV84" t="b">
        <v>1</v>
      </c>
      <c r="AX84" s="2"/>
      <c r="AY84">
        <v>45</v>
      </c>
      <c r="AZ84">
        <v>0</v>
      </c>
      <c r="BA84">
        <v>700</v>
      </c>
      <c r="BB84" t="s">
        <v>709</v>
      </c>
      <c r="BC84">
        <v>72</v>
      </c>
      <c r="BD84" s="2">
        <v>0.21</v>
      </c>
      <c r="BE84" t="s">
        <v>926</v>
      </c>
      <c r="BF84" t="s">
        <v>921</v>
      </c>
      <c r="BG84" t="s">
        <v>939</v>
      </c>
      <c r="BH84" s="7">
        <v>40</v>
      </c>
      <c r="BI8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84">
        <v>-3</v>
      </c>
      <c r="BK84" t="s">
        <v>733</v>
      </c>
      <c r="BL84" s="11"/>
      <c r="BM84" s="11"/>
      <c r="BN84" s="11">
        <v>48</v>
      </c>
      <c r="BO84">
        <v>0</v>
      </c>
      <c r="BP84" t="s">
        <v>691</v>
      </c>
      <c r="BQ84" t="s">
        <v>693</v>
      </c>
      <c r="BR84" t="s">
        <v>700</v>
      </c>
      <c r="BS84" t="s">
        <v>704</v>
      </c>
      <c r="BT84" t="s">
        <v>705</v>
      </c>
      <c r="BU84" t="s">
        <v>706</v>
      </c>
      <c r="CT84"/>
      <c r="CU84"/>
      <c r="CV84"/>
    </row>
    <row r="85" spans="1:100" x14ac:dyDescent="0.4">
      <c r="A85" s="2" t="s">
        <v>109</v>
      </c>
      <c r="B85" t="str">
        <f>_xlfn.TEXTAFTER(Table1[[#This Row],[VEHIDCODE]],"_")</f>
        <v>Netherlands_NS_6300</v>
      </c>
      <c r="C85" t="s">
        <v>738</v>
      </c>
      <c r="D85" t="s">
        <v>956</v>
      </c>
      <c r="E85">
        <v>4021</v>
      </c>
      <c r="F85" t="b">
        <f>OR(ISNUMBER(SEARCH("wagon_",Table1[[#This Row],[FILENAMES_EXPECTED]])),ISNUMBER(SEARCH("coach_",Table1[[#This Row],[FILENAMES_EXPECTED]])))</f>
        <v>0</v>
      </c>
      <c r="G85" t="str">
        <f>"item_"&amp;Table1[[#This Row],[VEHIDCODE]]</f>
        <v>item_steam_Netherlands_NS_6300</v>
      </c>
      <c r="H85" t="str">
        <f>"str_"&amp;Table1[[#This Row],[VEHIDCODE]]</f>
        <v>str_steam_Netherlands_NS_6300</v>
      </c>
      <c r="Q85" s="2" t="b">
        <v>1</v>
      </c>
      <c r="AL85" s="2"/>
      <c r="AM85" s="2" t="b">
        <f>LEN(_xlfn.CONCAT(Table1[[#This Row],[TRACK_TYPE_STANDARD_GAUGE_RAILTYPE_OHLE]:[TRACK_TYPE_MTRO]]))&gt;0</f>
        <v>1</v>
      </c>
      <c r="AN85">
        <v>8</v>
      </c>
      <c r="AO85" t="s">
        <v>20</v>
      </c>
      <c r="AP85">
        <v>0</v>
      </c>
      <c r="AQ85" t="s">
        <v>23</v>
      </c>
      <c r="AR85">
        <v>0</v>
      </c>
      <c r="AS85">
        <v>1930</v>
      </c>
      <c r="AT85">
        <v>8</v>
      </c>
      <c r="AU85" s="2" t="s">
        <v>20</v>
      </c>
      <c r="AV85" t="b">
        <v>1</v>
      </c>
      <c r="AX85" s="2"/>
      <c r="AY85">
        <v>45</v>
      </c>
      <c r="AZ85">
        <v>1</v>
      </c>
      <c r="BA85">
        <v>1609</v>
      </c>
      <c r="BB85" t="s">
        <v>709</v>
      </c>
      <c r="BC85">
        <v>90</v>
      </c>
      <c r="BD85" s="2">
        <v>0.11</v>
      </c>
      <c r="BE85" t="s">
        <v>922</v>
      </c>
      <c r="BF85" t="s">
        <v>921</v>
      </c>
      <c r="BG85" t="s">
        <v>939</v>
      </c>
      <c r="BH85" s="7">
        <v>40</v>
      </c>
      <c r="BI8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85">
        <v>0</v>
      </c>
      <c r="BK85" t="s">
        <v>733</v>
      </c>
      <c r="BL85" s="11"/>
      <c r="BM85" s="11"/>
      <c r="BN85" s="11">
        <v>127</v>
      </c>
      <c r="BO85">
        <v>0</v>
      </c>
      <c r="BP85" t="s">
        <v>691</v>
      </c>
      <c r="BQ85" t="s">
        <v>693</v>
      </c>
      <c r="BR85" t="s">
        <v>700</v>
      </c>
      <c r="BS85" t="s">
        <v>704</v>
      </c>
      <c r="BT85" t="s">
        <v>705</v>
      </c>
      <c r="BU85" t="s">
        <v>706</v>
      </c>
      <c r="CT85"/>
      <c r="CU85"/>
      <c r="CV85"/>
    </row>
    <row r="86" spans="1:100" x14ac:dyDescent="0.4">
      <c r="A86" s="2" t="s">
        <v>110</v>
      </c>
      <c r="B86" t="str">
        <f>_xlfn.TEXTAFTER(Table1[[#This Row],[VEHIDCODE]],"_")</f>
        <v>USA_AT_SF_5000</v>
      </c>
      <c r="C86" t="s">
        <v>738</v>
      </c>
      <c r="D86" t="s">
        <v>956</v>
      </c>
      <c r="E86">
        <v>4022</v>
      </c>
      <c r="F86" t="b">
        <f>OR(ISNUMBER(SEARCH("wagon_",Table1[[#This Row],[FILENAMES_EXPECTED]])),ISNUMBER(SEARCH("coach_",Table1[[#This Row],[FILENAMES_EXPECTED]])))</f>
        <v>0</v>
      </c>
      <c r="G86" t="str">
        <f>"item_"&amp;Table1[[#This Row],[VEHIDCODE]]</f>
        <v>item_steam_USA_AT_SF_5000</v>
      </c>
      <c r="H86" t="str">
        <f>"str_"&amp;Table1[[#This Row],[VEHIDCODE]]</f>
        <v>str_steam_USA_AT_SF_5000</v>
      </c>
      <c r="Q86" s="2" t="b">
        <v>1</v>
      </c>
      <c r="AL86" s="2"/>
      <c r="AM86" s="2" t="b">
        <f>LEN(_xlfn.CONCAT(Table1[[#This Row],[TRACK_TYPE_STANDARD_GAUGE_RAILTYPE_OHLE]:[TRACK_TYPE_MTRO]]))&gt;0</f>
        <v>1</v>
      </c>
      <c r="AN86">
        <v>12</v>
      </c>
      <c r="AO86" t="s">
        <v>20</v>
      </c>
      <c r="AP86">
        <v>0</v>
      </c>
      <c r="AQ86" t="s">
        <v>23</v>
      </c>
      <c r="AR86">
        <v>0</v>
      </c>
      <c r="AS86">
        <v>1930</v>
      </c>
      <c r="AT86">
        <v>8</v>
      </c>
      <c r="AU86" s="2" t="s">
        <v>20</v>
      </c>
      <c r="AV86" t="b">
        <v>1</v>
      </c>
      <c r="AX86" s="2"/>
      <c r="AY86">
        <v>45</v>
      </c>
      <c r="AZ86">
        <v>1</v>
      </c>
      <c r="BA86">
        <v>5700</v>
      </c>
      <c r="BB86" t="s">
        <v>709</v>
      </c>
      <c r="BC86">
        <v>100</v>
      </c>
      <c r="BD86" s="2">
        <v>0.12</v>
      </c>
      <c r="BE86" t="s">
        <v>927</v>
      </c>
      <c r="BF86" t="s">
        <v>921</v>
      </c>
      <c r="BG86" t="s">
        <v>939</v>
      </c>
      <c r="BH86" s="7">
        <v>40</v>
      </c>
      <c r="BI8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86">
        <v>0</v>
      </c>
      <c r="BK86" t="s">
        <v>733</v>
      </c>
      <c r="BL86" s="11"/>
      <c r="BM86" s="11"/>
      <c r="BN86" s="11">
        <v>398</v>
      </c>
      <c r="BO86">
        <v>0</v>
      </c>
      <c r="BP86" t="s">
        <v>691</v>
      </c>
      <c r="BQ86" t="s">
        <v>693</v>
      </c>
      <c r="BR86" t="s">
        <v>700</v>
      </c>
      <c r="BS86" t="s">
        <v>704</v>
      </c>
      <c r="BT86" t="s">
        <v>705</v>
      </c>
      <c r="BU86" t="s">
        <v>706</v>
      </c>
      <c r="CT86"/>
      <c r="CU86"/>
      <c r="CV86"/>
    </row>
    <row r="87" spans="1:100" x14ac:dyDescent="0.4">
      <c r="A87" s="2" t="s">
        <v>111</v>
      </c>
      <c r="B87" t="str">
        <f>_xlfn.TEXTAFTER(Table1[[#This Row],[VEHIDCODE]],"_")</f>
        <v>Germany_Prussian_S10</v>
      </c>
      <c r="C87" t="s">
        <v>738</v>
      </c>
      <c r="D87" t="s">
        <v>956</v>
      </c>
      <c r="E87">
        <v>4024</v>
      </c>
      <c r="F87" t="b">
        <f>OR(ISNUMBER(SEARCH("wagon_",Table1[[#This Row],[FILENAMES_EXPECTED]])),ISNUMBER(SEARCH("coach_",Table1[[#This Row],[FILENAMES_EXPECTED]])))</f>
        <v>0</v>
      </c>
      <c r="G87" t="str">
        <f>"item_"&amp;Table1[[#This Row],[VEHIDCODE]]</f>
        <v>item_steam_Germany_Prussian_S10</v>
      </c>
      <c r="H87" t="str">
        <f>"str_"&amp;Table1[[#This Row],[VEHIDCODE]]</f>
        <v>str_steam_Germany_Prussian_S10</v>
      </c>
      <c r="Q87" s="2" t="b">
        <v>1</v>
      </c>
      <c r="AL87" s="2"/>
      <c r="AM87" s="2" t="b">
        <f>LEN(_xlfn.CONCAT(Table1[[#This Row],[TRACK_TYPE_STANDARD_GAUGE_RAILTYPE_OHLE]:[TRACK_TYPE_MTRO]]))&gt;0</f>
        <v>1</v>
      </c>
      <c r="AN87">
        <v>8</v>
      </c>
      <c r="AO87" t="s">
        <v>20</v>
      </c>
      <c r="AP87">
        <v>0</v>
      </c>
      <c r="AQ87" t="s">
        <v>23</v>
      </c>
      <c r="AR87">
        <v>0</v>
      </c>
      <c r="AS87">
        <v>1910</v>
      </c>
      <c r="AT87">
        <v>8</v>
      </c>
      <c r="AU87" s="2" t="s">
        <v>20</v>
      </c>
      <c r="AV87" t="b">
        <v>1</v>
      </c>
      <c r="AX87" s="2"/>
      <c r="AY87">
        <v>45</v>
      </c>
      <c r="AZ87">
        <v>1</v>
      </c>
      <c r="BA87">
        <v>1155</v>
      </c>
      <c r="BB87" t="s">
        <v>709</v>
      </c>
      <c r="BC87">
        <v>110</v>
      </c>
      <c r="BD87" s="2">
        <v>0.1</v>
      </c>
      <c r="BE87" t="s">
        <v>922</v>
      </c>
      <c r="BF87" t="s">
        <v>921</v>
      </c>
      <c r="BG87" t="s">
        <v>939</v>
      </c>
      <c r="BH87" s="7">
        <v>40</v>
      </c>
      <c r="BI8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87">
        <v>0</v>
      </c>
      <c r="BK87" t="s">
        <v>733</v>
      </c>
      <c r="BL87" s="11"/>
      <c r="BM87" s="11"/>
      <c r="BN87" s="11">
        <v>77</v>
      </c>
      <c r="BO87">
        <v>0</v>
      </c>
      <c r="BP87" t="s">
        <v>691</v>
      </c>
      <c r="BQ87" t="s">
        <v>693</v>
      </c>
      <c r="BR87" t="s">
        <v>700</v>
      </c>
      <c r="BS87" t="s">
        <v>704</v>
      </c>
      <c r="BT87" t="s">
        <v>705</v>
      </c>
      <c r="BU87" t="s">
        <v>706</v>
      </c>
      <c r="CT87"/>
      <c r="CU87"/>
      <c r="CV87"/>
    </row>
    <row r="88" spans="1:100" x14ac:dyDescent="0.4">
      <c r="A88" s="2" t="s">
        <v>112</v>
      </c>
      <c r="B88" t="str">
        <f>_xlfn.TEXTAFTER(Table1[[#This Row],[VEHIDCODE]],"_")</f>
        <v>UK_LMS_5MT_Black_Five</v>
      </c>
      <c r="C88" t="s">
        <v>738</v>
      </c>
      <c r="D88" t="s">
        <v>956</v>
      </c>
      <c r="E88">
        <v>4025</v>
      </c>
      <c r="F88" t="b">
        <f>OR(ISNUMBER(SEARCH("wagon_",Table1[[#This Row],[FILENAMES_EXPECTED]])),ISNUMBER(SEARCH("coach_",Table1[[#This Row],[FILENAMES_EXPECTED]])))</f>
        <v>0</v>
      </c>
      <c r="G88" t="str">
        <f>"item_"&amp;Table1[[#This Row],[VEHIDCODE]]</f>
        <v>item_steam_UK_LMS_5MT_Black_Five</v>
      </c>
      <c r="H88" t="str">
        <f>"str_"&amp;Table1[[#This Row],[VEHIDCODE]]</f>
        <v>str_steam_UK_LMS_5MT_Black_Five</v>
      </c>
      <c r="Q88" s="2" t="b">
        <v>1</v>
      </c>
      <c r="AL88" s="2"/>
      <c r="AM88" s="2" t="b">
        <f>LEN(_xlfn.CONCAT(Table1[[#This Row],[TRACK_TYPE_STANDARD_GAUGE_RAILTYPE_OHLE]:[TRACK_TYPE_MTRO]]))&gt;0</f>
        <v>1</v>
      </c>
      <c r="AN88">
        <v>10</v>
      </c>
      <c r="AO88" t="s">
        <v>20</v>
      </c>
      <c r="AP88">
        <v>0</v>
      </c>
      <c r="AQ88" t="s">
        <v>23</v>
      </c>
      <c r="AR88">
        <v>0</v>
      </c>
      <c r="AS88">
        <v>1934</v>
      </c>
      <c r="AT88">
        <v>8</v>
      </c>
      <c r="AU88" s="2" t="s">
        <v>20</v>
      </c>
      <c r="AV88" t="b">
        <v>1</v>
      </c>
      <c r="AX88" s="2"/>
      <c r="AY88">
        <v>45</v>
      </c>
      <c r="AZ88">
        <v>1</v>
      </c>
      <c r="BA88">
        <v>1600</v>
      </c>
      <c r="BB88" t="s">
        <v>709</v>
      </c>
      <c r="BC88">
        <v>115</v>
      </c>
      <c r="BD88" s="2">
        <v>0.15</v>
      </c>
      <c r="BE88" t="s">
        <v>926</v>
      </c>
      <c r="BF88" t="s">
        <v>921</v>
      </c>
      <c r="BG88" t="s">
        <v>939</v>
      </c>
      <c r="BH88" s="7">
        <v>40</v>
      </c>
      <c r="BI8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88">
        <v>0</v>
      </c>
      <c r="BK88" t="s">
        <v>733</v>
      </c>
      <c r="BL88" s="11"/>
      <c r="BM88" s="11"/>
      <c r="BN88" s="11">
        <v>75</v>
      </c>
      <c r="BO88">
        <v>0</v>
      </c>
      <c r="BP88" t="s">
        <v>691</v>
      </c>
      <c r="BQ88" t="s">
        <v>693</v>
      </c>
      <c r="BR88" t="s">
        <v>700</v>
      </c>
      <c r="BS88" t="s">
        <v>704</v>
      </c>
      <c r="BT88" t="s">
        <v>705</v>
      </c>
      <c r="BU88" t="s">
        <v>706</v>
      </c>
      <c r="CT88"/>
      <c r="CU88"/>
      <c r="CV88"/>
    </row>
    <row r="89" spans="1:100" x14ac:dyDescent="0.4">
      <c r="A89" s="2" t="s">
        <v>113</v>
      </c>
      <c r="B89" t="str">
        <f>_xlfn.TEXTAFTER(Table1[[#This Row],[VEHIDCODE]],"_")</f>
        <v>Russia_RZD_9P</v>
      </c>
      <c r="C89" t="s">
        <v>738</v>
      </c>
      <c r="D89" t="s">
        <v>956</v>
      </c>
      <c r="E89">
        <v>4026</v>
      </c>
      <c r="F89" t="b">
        <f>OR(ISNUMBER(SEARCH("wagon_",Table1[[#This Row],[FILENAMES_EXPECTED]])),ISNUMBER(SEARCH("coach_",Table1[[#This Row],[FILENAMES_EXPECTED]])))</f>
        <v>0</v>
      </c>
      <c r="G89" t="str">
        <f>"item_"&amp;Table1[[#This Row],[VEHIDCODE]]</f>
        <v>item_steam_Russia_RZD_9P</v>
      </c>
      <c r="H89" t="str">
        <f>"str_"&amp;Table1[[#This Row],[VEHIDCODE]]</f>
        <v>str_steam_Russia_RZD_9P</v>
      </c>
      <c r="AI89" s="2" t="b">
        <v>1</v>
      </c>
      <c r="AL89" s="2"/>
      <c r="AM89" s="2" t="b">
        <f>LEN(_xlfn.CONCAT(Table1[[#This Row],[TRACK_TYPE_STANDARD_GAUGE_RAILTYPE_OHLE]:[TRACK_TYPE_MTRO]]))&gt;0</f>
        <v>1</v>
      </c>
      <c r="AN89">
        <v>6</v>
      </c>
      <c r="AO89" t="s">
        <v>20</v>
      </c>
      <c r="AP89">
        <v>0</v>
      </c>
      <c r="AQ89" t="s">
        <v>23</v>
      </c>
      <c r="AR89">
        <v>0</v>
      </c>
      <c r="AS89">
        <v>1934</v>
      </c>
      <c r="AT89">
        <v>6</v>
      </c>
      <c r="AU89" s="2" t="s">
        <v>20</v>
      </c>
      <c r="AV89" t="b">
        <v>1</v>
      </c>
      <c r="AX89" s="2"/>
      <c r="AY89">
        <v>45</v>
      </c>
      <c r="AZ89">
        <v>1</v>
      </c>
      <c r="BA89">
        <v>320</v>
      </c>
      <c r="BB89" t="s">
        <v>709</v>
      </c>
      <c r="BC89">
        <v>35</v>
      </c>
      <c r="BD89" s="2">
        <v>0.13</v>
      </c>
      <c r="BE89" t="s">
        <v>930</v>
      </c>
      <c r="BF89" t="s">
        <v>921</v>
      </c>
      <c r="BG89" t="s">
        <v>939</v>
      </c>
      <c r="BH89" s="7">
        <v>40</v>
      </c>
      <c r="BI8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89">
        <v>-3</v>
      </c>
      <c r="BK89" t="s">
        <v>733</v>
      </c>
      <c r="BL89" s="11"/>
      <c r="BM89" s="11"/>
      <c r="BN89" s="11">
        <v>52</v>
      </c>
      <c r="BO89">
        <v>0</v>
      </c>
      <c r="BP89" t="s">
        <v>691</v>
      </c>
      <c r="BQ89" t="s">
        <v>693</v>
      </c>
      <c r="BR89" t="s">
        <v>700</v>
      </c>
      <c r="BS89" t="s">
        <v>704</v>
      </c>
      <c r="BT89" t="s">
        <v>705</v>
      </c>
      <c r="BU89" t="s">
        <v>706</v>
      </c>
      <c r="CT89"/>
      <c r="CU89"/>
      <c r="CV89"/>
    </row>
    <row r="90" spans="1:100" x14ac:dyDescent="0.4">
      <c r="A90" s="2" t="s">
        <v>114</v>
      </c>
      <c r="B90" t="str">
        <f>_xlfn.TEXTAFTER(Table1[[#This Row],[VEHIDCODE]],"_")</f>
        <v>UK_LNER_A4_Gresley</v>
      </c>
      <c r="C90" t="s">
        <v>738</v>
      </c>
      <c r="D90" t="s">
        <v>956</v>
      </c>
      <c r="E90">
        <v>4028</v>
      </c>
      <c r="F90" t="b">
        <f>OR(ISNUMBER(SEARCH("wagon_",Table1[[#This Row],[FILENAMES_EXPECTED]])),ISNUMBER(SEARCH("coach_",Table1[[#This Row],[FILENAMES_EXPECTED]])))</f>
        <v>0</v>
      </c>
      <c r="G90" t="str">
        <f>"item_"&amp;Table1[[#This Row],[VEHIDCODE]]</f>
        <v>item_steam_UK_LNER_A4_Gresley</v>
      </c>
      <c r="H90" t="str">
        <f>"str_"&amp;Table1[[#This Row],[VEHIDCODE]]</f>
        <v>str_steam_UK_LNER_A4_Gresley</v>
      </c>
      <c r="Q90" s="2" t="b">
        <v>1</v>
      </c>
      <c r="AL90" s="2"/>
      <c r="AM90" s="2" t="b">
        <f>LEN(_xlfn.CONCAT(Table1[[#This Row],[TRACK_TYPE_STANDARD_GAUGE_RAILTYPE_OHLE]:[TRACK_TYPE_MTRO]]))&gt;0</f>
        <v>1</v>
      </c>
      <c r="AN90">
        <v>12</v>
      </c>
      <c r="AO90" t="s">
        <v>20</v>
      </c>
      <c r="AP90">
        <v>0</v>
      </c>
      <c r="AQ90" t="s">
        <v>23</v>
      </c>
      <c r="AR90">
        <v>0</v>
      </c>
      <c r="AS90">
        <v>1935</v>
      </c>
      <c r="AT90">
        <v>8</v>
      </c>
      <c r="AU90" s="2" t="s">
        <v>20</v>
      </c>
      <c r="AV90" t="b">
        <v>1</v>
      </c>
      <c r="AX90" s="2"/>
      <c r="AY90">
        <v>45</v>
      </c>
      <c r="AZ90">
        <v>1</v>
      </c>
      <c r="BA90">
        <v>2000</v>
      </c>
      <c r="BB90" t="s">
        <v>709</v>
      </c>
      <c r="BC90">
        <v>160</v>
      </c>
      <c r="BD90" s="2">
        <v>0.09</v>
      </c>
      <c r="BE90" t="s">
        <v>926</v>
      </c>
      <c r="BF90" t="s">
        <v>921</v>
      </c>
      <c r="BG90" t="s">
        <v>939</v>
      </c>
      <c r="BH90" s="7">
        <v>40</v>
      </c>
      <c r="BI9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90">
        <v>0</v>
      </c>
      <c r="BK90" t="s">
        <v>733</v>
      </c>
      <c r="BL90" s="11"/>
      <c r="BM90" s="11"/>
      <c r="BN90" s="11">
        <v>170</v>
      </c>
      <c r="BO90">
        <v>0</v>
      </c>
      <c r="BP90" t="s">
        <v>691</v>
      </c>
      <c r="BQ90" t="s">
        <v>693</v>
      </c>
      <c r="BR90" t="s">
        <v>700</v>
      </c>
      <c r="BS90" t="s">
        <v>704</v>
      </c>
      <c r="BT90" t="s">
        <v>705</v>
      </c>
      <c r="BU90" t="s">
        <v>706</v>
      </c>
      <c r="CT90"/>
      <c r="CU90"/>
      <c r="CV90"/>
    </row>
    <row r="91" spans="1:100" x14ac:dyDescent="0.4">
      <c r="A91" s="2" t="s">
        <v>115</v>
      </c>
      <c r="B91" t="str">
        <f>_xlfn.TEXTAFTER(Table1[[#This Row],[VEHIDCODE]],"_")</f>
        <v>Canada_CPR_Royal_Hudson</v>
      </c>
      <c r="C91" t="s">
        <v>738</v>
      </c>
      <c r="D91" t="s">
        <v>956</v>
      </c>
      <c r="E91">
        <v>4029</v>
      </c>
      <c r="F91" t="b">
        <f>OR(ISNUMBER(SEARCH("wagon_",Table1[[#This Row],[FILENAMES_EXPECTED]])),ISNUMBER(SEARCH("coach_",Table1[[#This Row],[FILENAMES_EXPECTED]])))</f>
        <v>0</v>
      </c>
      <c r="G91" t="str">
        <f>"item_"&amp;Table1[[#This Row],[VEHIDCODE]]</f>
        <v>item_steam_Canada_CPR_Royal_Hudson</v>
      </c>
      <c r="H91" t="str">
        <f>"str_"&amp;Table1[[#This Row],[VEHIDCODE]]</f>
        <v>str_steam_Canada_CPR_Royal_Hudson</v>
      </c>
      <c r="Q91" s="2" t="b">
        <v>1</v>
      </c>
      <c r="AL91" s="2"/>
      <c r="AM91" s="2" t="b">
        <f>LEN(_xlfn.CONCAT(Table1[[#This Row],[TRACK_TYPE_STANDARD_GAUGE_RAILTYPE_OHLE]:[TRACK_TYPE_MTRO]]))&gt;0</f>
        <v>1</v>
      </c>
      <c r="AN91">
        <v>12</v>
      </c>
      <c r="AO91" t="s">
        <v>20</v>
      </c>
      <c r="AP91">
        <v>0</v>
      </c>
      <c r="AQ91" t="s">
        <v>23</v>
      </c>
      <c r="AR91">
        <v>0</v>
      </c>
      <c r="AS91">
        <v>1937</v>
      </c>
      <c r="AT91">
        <v>8</v>
      </c>
      <c r="AU91" s="2" t="s">
        <v>20</v>
      </c>
      <c r="AV91" t="b">
        <v>1</v>
      </c>
      <c r="AX91" s="2"/>
      <c r="AY91">
        <v>45</v>
      </c>
      <c r="AZ91">
        <v>1</v>
      </c>
      <c r="BA91">
        <v>4500</v>
      </c>
      <c r="BB91" t="s">
        <v>709</v>
      </c>
      <c r="BC91">
        <v>144</v>
      </c>
      <c r="BD91" s="2">
        <v>0.06</v>
      </c>
      <c r="BE91" t="s">
        <v>927</v>
      </c>
      <c r="BF91" t="s">
        <v>921</v>
      </c>
      <c r="BG91" t="s">
        <v>939</v>
      </c>
      <c r="BH91" s="7">
        <v>40</v>
      </c>
      <c r="BI9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91">
        <v>0</v>
      </c>
      <c r="BK91" t="s">
        <v>733</v>
      </c>
      <c r="BL91" s="11"/>
      <c r="BM91" s="11"/>
      <c r="BN91" s="11">
        <v>294</v>
      </c>
      <c r="BO91">
        <v>0</v>
      </c>
      <c r="BP91" t="s">
        <v>691</v>
      </c>
      <c r="BQ91" t="s">
        <v>693</v>
      </c>
      <c r="BR91" t="s">
        <v>700</v>
      </c>
      <c r="BS91" t="s">
        <v>704</v>
      </c>
      <c r="BT91" t="s">
        <v>705</v>
      </c>
      <c r="BU91" t="s">
        <v>706</v>
      </c>
      <c r="CT91"/>
      <c r="CU91"/>
      <c r="CV91"/>
    </row>
    <row r="92" spans="1:100" x14ac:dyDescent="0.4">
      <c r="A92" s="2" t="s">
        <v>116</v>
      </c>
      <c r="B92" t="str">
        <f>_xlfn.TEXTAFTER(Table1[[#This Row],[VEHIDCODE]],"_")</f>
        <v>Denmark_DSB_E</v>
      </c>
      <c r="C92" t="s">
        <v>738</v>
      </c>
      <c r="D92" t="s">
        <v>956</v>
      </c>
      <c r="E92">
        <v>4038</v>
      </c>
      <c r="F92" t="b">
        <f>OR(ISNUMBER(SEARCH("wagon_",Table1[[#This Row],[FILENAMES_EXPECTED]])),ISNUMBER(SEARCH("coach_",Table1[[#This Row],[FILENAMES_EXPECTED]])))</f>
        <v>0</v>
      </c>
      <c r="G92" t="str">
        <f>"item_"&amp;Table1[[#This Row],[VEHIDCODE]]</f>
        <v>item_steam_Denmark_DSB_E</v>
      </c>
      <c r="H92" t="str">
        <f>"str_"&amp;Table1[[#This Row],[VEHIDCODE]]</f>
        <v>str_steam_Denmark_DSB_E</v>
      </c>
      <c r="Q92" s="2" t="b">
        <v>1</v>
      </c>
      <c r="AL92" s="2"/>
      <c r="AM92" s="2" t="b">
        <f>LEN(_xlfn.CONCAT(Table1[[#This Row],[TRACK_TYPE_STANDARD_GAUGE_RAILTYPE_OHLE]:[TRACK_TYPE_MTRO]]))&gt;0</f>
        <v>1</v>
      </c>
      <c r="AN92">
        <v>8</v>
      </c>
      <c r="AO92" t="s">
        <v>20</v>
      </c>
      <c r="AP92">
        <v>0</v>
      </c>
      <c r="AQ92" t="s">
        <v>23</v>
      </c>
      <c r="AR92">
        <v>0</v>
      </c>
      <c r="AS92">
        <v>1937</v>
      </c>
      <c r="AT92">
        <v>6</v>
      </c>
      <c r="AU92" s="2" t="s">
        <v>20</v>
      </c>
      <c r="AV92" t="b">
        <v>1</v>
      </c>
      <c r="AX92" s="2"/>
      <c r="AY92">
        <v>45</v>
      </c>
      <c r="AZ92">
        <v>1</v>
      </c>
      <c r="BA92">
        <v>1529</v>
      </c>
      <c r="BB92" t="s">
        <v>709</v>
      </c>
      <c r="BC92">
        <v>110</v>
      </c>
      <c r="BD92" s="2">
        <v>0.06</v>
      </c>
      <c r="BE92" t="s">
        <v>926</v>
      </c>
      <c r="BF92" t="s">
        <v>921</v>
      </c>
      <c r="BG92" t="s">
        <v>939</v>
      </c>
      <c r="BH92" s="7">
        <v>40</v>
      </c>
      <c r="BI9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92">
        <v>-3</v>
      </c>
      <c r="BK92" t="s">
        <v>733</v>
      </c>
      <c r="BL92" s="11"/>
      <c r="BM92" s="11"/>
      <c r="BN92" s="11">
        <v>137</v>
      </c>
      <c r="BO92">
        <v>0</v>
      </c>
      <c r="BP92" t="s">
        <v>691</v>
      </c>
      <c r="BQ92" t="s">
        <v>693</v>
      </c>
      <c r="BR92" t="s">
        <v>700</v>
      </c>
      <c r="BS92" t="s">
        <v>704</v>
      </c>
      <c r="BT92" t="s">
        <v>705</v>
      </c>
      <c r="BU92" t="s">
        <v>706</v>
      </c>
      <c r="CT92"/>
      <c r="CU92"/>
      <c r="CV92"/>
    </row>
    <row r="93" spans="1:100" x14ac:dyDescent="0.4">
      <c r="A93" s="2" t="s">
        <v>117</v>
      </c>
      <c r="B93" t="str">
        <f>_xlfn.TEXTAFTER(Table1[[#This Row],[VEHIDCODE]],"_")</f>
        <v>Germany_DB_52</v>
      </c>
      <c r="C93" t="s">
        <v>738</v>
      </c>
      <c r="D93" t="s">
        <v>956</v>
      </c>
      <c r="E93">
        <v>4031</v>
      </c>
      <c r="F93" t="b">
        <f>OR(ISNUMBER(SEARCH("wagon_",Table1[[#This Row],[FILENAMES_EXPECTED]])),ISNUMBER(SEARCH("coach_",Table1[[#This Row],[FILENAMES_EXPECTED]])))</f>
        <v>0</v>
      </c>
      <c r="G93" t="str">
        <f>"item_"&amp;Table1[[#This Row],[VEHIDCODE]]</f>
        <v>item_steam_Germany_DB_52</v>
      </c>
      <c r="H93" t="str">
        <f>"str_"&amp;Table1[[#This Row],[VEHIDCODE]]</f>
        <v>str_steam_Germany_DB_52</v>
      </c>
      <c r="Q93" s="2" t="b">
        <v>1</v>
      </c>
      <c r="AL93" s="2"/>
      <c r="AM93" s="2" t="b">
        <f>LEN(_xlfn.CONCAT(Table1[[#This Row],[TRACK_TYPE_STANDARD_GAUGE_RAILTYPE_OHLE]:[TRACK_TYPE_MTRO]]))&gt;0</f>
        <v>1</v>
      </c>
      <c r="AN93">
        <v>12</v>
      </c>
      <c r="AO93" t="s">
        <v>20</v>
      </c>
      <c r="AP93">
        <v>0</v>
      </c>
      <c r="AQ93" t="s">
        <v>23</v>
      </c>
      <c r="AR93">
        <v>0</v>
      </c>
      <c r="AS93">
        <v>1937</v>
      </c>
      <c r="AT93">
        <v>8</v>
      </c>
      <c r="AU93" s="2" t="s">
        <v>20</v>
      </c>
      <c r="AV93" t="b">
        <v>1</v>
      </c>
      <c r="AX93" s="2"/>
      <c r="AY93">
        <v>45</v>
      </c>
      <c r="AZ93">
        <v>1</v>
      </c>
      <c r="BA93">
        <v>1600</v>
      </c>
      <c r="BB93" t="s">
        <v>709</v>
      </c>
      <c r="BC93">
        <v>80</v>
      </c>
      <c r="BD93" s="2">
        <v>0.16</v>
      </c>
      <c r="BE93" t="s">
        <v>922</v>
      </c>
      <c r="BF93" t="s">
        <v>921</v>
      </c>
      <c r="BG93" t="s">
        <v>939</v>
      </c>
      <c r="BH93" s="7">
        <v>40</v>
      </c>
      <c r="BI9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93">
        <v>0</v>
      </c>
      <c r="BK93" t="s">
        <v>733</v>
      </c>
      <c r="BL93" s="11"/>
      <c r="BM93" s="11"/>
      <c r="BN93" s="11">
        <v>103</v>
      </c>
      <c r="BO93">
        <v>0</v>
      </c>
      <c r="BP93" t="s">
        <v>691</v>
      </c>
      <c r="BQ93" t="s">
        <v>693</v>
      </c>
      <c r="BR93" t="s">
        <v>700</v>
      </c>
      <c r="BS93" t="s">
        <v>704</v>
      </c>
      <c r="BT93" t="s">
        <v>705</v>
      </c>
      <c r="BU93" t="s">
        <v>706</v>
      </c>
      <c r="CT93"/>
      <c r="CU93"/>
      <c r="CV93"/>
    </row>
    <row r="94" spans="1:100" x14ac:dyDescent="0.4">
      <c r="A94" s="2" t="s">
        <v>118</v>
      </c>
      <c r="B94" t="str">
        <f>_xlfn.TEXTAFTER(Table1[[#This Row],[VEHIDCODE]],"_")</f>
        <v>UK_LNER_A1_Peppercorn</v>
      </c>
      <c r="C94" t="s">
        <v>738</v>
      </c>
      <c r="D94" t="s">
        <v>956</v>
      </c>
      <c r="E94">
        <v>4033</v>
      </c>
      <c r="F94" t="b">
        <f>OR(ISNUMBER(SEARCH("wagon_",Table1[[#This Row],[FILENAMES_EXPECTED]])),ISNUMBER(SEARCH("coach_",Table1[[#This Row],[FILENAMES_EXPECTED]])))</f>
        <v>0</v>
      </c>
      <c r="G94" t="str">
        <f>"item_"&amp;Table1[[#This Row],[VEHIDCODE]]</f>
        <v>item_steam_UK_LNER_A1_Peppercorn</v>
      </c>
      <c r="H94" t="str">
        <f>"str_"&amp;Table1[[#This Row],[VEHIDCODE]]</f>
        <v>str_steam_UK_LNER_A1_Peppercorn</v>
      </c>
      <c r="Q94" s="2" t="b">
        <v>1</v>
      </c>
      <c r="AL94" s="2"/>
      <c r="AM94" s="2" t="b">
        <f>LEN(_xlfn.CONCAT(Table1[[#This Row],[TRACK_TYPE_STANDARD_GAUGE_RAILTYPE_OHLE]:[TRACK_TYPE_MTRO]]))&gt;0</f>
        <v>1</v>
      </c>
      <c r="AN94">
        <v>10</v>
      </c>
      <c r="AO94" t="s">
        <v>20</v>
      </c>
      <c r="AP94">
        <v>0</v>
      </c>
      <c r="AQ94" t="s">
        <v>23</v>
      </c>
      <c r="AR94">
        <v>0</v>
      </c>
      <c r="AS94">
        <v>1948</v>
      </c>
      <c r="AT94">
        <v>8</v>
      </c>
      <c r="AU94" s="2" t="s">
        <v>20</v>
      </c>
      <c r="AV94" t="b">
        <v>1</v>
      </c>
      <c r="AX94" s="2"/>
      <c r="AY94">
        <v>45</v>
      </c>
      <c r="AZ94">
        <v>1</v>
      </c>
      <c r="BA94">
        <v>2680</v>
      </c>
      <c r="BB94" t="s">
        <v>709</v>
      </c>
      <c r="BC94">
        <v>160</v>
      </c>
      <c r="BD94" s="2">
        <v>0.1</v>
      </c>
      <c r="BE94" t="s">
        <v>926</v>
      </c>
      <c r="BF94" t="s">
        <v>921</v>
      </c>
      <c r="BG94" t="s">
        <v>939</v>
      </c>
      <c r="BH94" s="7">
        <v>40</v>
      </c>
      <c r="BI9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94">
        <v>0</v>
      </c>
      <c r="BK94" t="s">
        <v>733</v>
      </c>
      <c r="BL94" s="11"/>
      <c r="BM94" s="11"/>
      <c r="BN94" s="11">
        <v>168</v>
      </c>
      <c r="BO94">
        <v>0</v>
      </c>
      <c r="BP94" t="s">
        <v>691</v>
      </c>
      <c r="BQ94" t="s">
        <v>693</v>
      </c>
      <c r="BR94" t="s">
        <v>700</v>
      </c>
      <c r="BS94" t="s">
        <v>704</v>
      </c>
      <c r="BT94" t="s">
        <v>705</v>
      </c>
      <c r="BU94" t="s">
        <v>706</v>
      </c>
      <c r="CT94"/>
      <c r="CU94"/>
      <c r="CV94"/>
    </row>
    <row r="95" spans="1:100" x14ac:dyDescent="0.4">
      <c r="A95" s="2" t="s">
        <v>119</v>
      </c>
      <c r="B95" t="str">
        <f>_xlfn.TEXTAFTER(Table1[[#This Row],[VEHIDCODE]],"_")</f>
        <v>South_Africa_SAR_25</v>
      </c>
      <c r="C95" t="s">
        <v>738</v>
      </c>
      <c r="D95" t="s">
        <v>956</v>
      </c>
      <c r="E95">
        <v>4034</v>
      </c>
      <c r="F95" t="b">
        <f>OR(ISNUMBER(SEARCH("wagon_",Table1[[#This Row],[FILENAMES_EXPECTED]])),ISNUMBER(SEARCH("coach_",Table1[[#This Row],[FILENAMES_EXPECTED]])))</f>
        <v>0</v>
      </c>
      <c r="G95" t="str">
        <f>"item_"&amp;Table1[[#This Row],[VEHIDCODE]]</f>
        <v>item_steam_South_Africa_SAR_25</v>
      </c>
      <c r="H95" t="str">
        <f>"str_"&amp;Table1[[#This Row],[VEHIDCODE]]</f>
        <v>str_steam_South_Africa_SAR_25</v>
      </c>
      <c r="Z95" s="2" t="b">
        <v>1</v>
      </c>
      <c r="AL95" s="2"/>
      <c r="AM95" s="2" t="b">
        <f>LEN(_xlfn.CONCAT(Table1[[#This Row],[TRACK_TYPE_STANDARD_GAUGE_RAILTYPE_OHLE]:[TRACK_TYPE_MTRO]]))&gt;0</f>
        <v>1</v>
      </c>
      <c r="AN95">
        <v>10</v>
      </c>
      <c r="AO95" t="s">
        <v>20</v>
      </c>
      <c r="AP95">
        <v>0</v>
      </c>
      <c r="AQ95" t="s">
        <v>23</v>
      </c>
      <c r="AR95">
        <v>0</v>
      </c>
      <c r="AS95">
        <v>1953</v>
      </c>
      <c r="AT95">
        <v>8</v>
      </c>
      <c r="AU95" s="2" t="s">
        <v>20</v>
      </c>
      <c r="AV95" t="b">
        <v>1</v>
      </c>
      <c r="AX95" s="2"/>
      <c r="AY95">
        <v>45</v>
      </c>
      <c r="AZ95">
        <v>1</v>
      </c>
      <c r="BA95">
        <v>5100</v>
      </c>
      <c r="BB95" t="s">
        <v>709</v>
      </c>
      <c r="BC95">
        <v>110</v>
      </c>
      <c r="BD95" s="2">
        <v>0.1</v>
      </c>
      <c r="BE95" t="s">
        <v>925</v>
      </c>
      <c r="BF95" t="s">
        <v>921</v>
      </c>
      <c r="BG95" t="s">
        <v>939</v>
      </c>
      <c r="BH95" s="7">
        <v>40</v>
      </c>
      <c r="BI9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95">
        <v>0</v>
      </c>
      <c r="BK95" t="s">
        <v>733</v>
      </c>
      <c r="BL95" s="11"/>
      <c r="BM95" s="11"/>
      <c r="BN95" s="11">
        <v>236</v>
      </c>
      <c r="BO95">
        <v>0</v>
      </c>
      <c r="BP95" t="s">
        <v>691</v>
      </c>
      <c r="BQ95" t="s">
        <v>693</v>
      </c>
      <c r="BR95" t="s">
        <v>700</v>
      </c>
      <c r="BS95" t="s">
        <v>704</v>
      </c>
      <c r="BT95" t="s">
        <v>705</v>
      </c>
      <c r="BU95" t="s">
        <v>706</v>
      </c>
      <c r="CT95"/>
      <c r="CU95"/>
      <c r="CV95"/>
    </row>
    <row r="96" spans="1:100" x14ac:dyDescent="0.4">
      <c r="A96" s="2" t="s">
        <v>120</v>
      </c>
      <c r="B96" t="str">
        <f>_xlfn.TEXTAFTER(Table1[[#This Row],[VEHIDCODE]],"_")</f>
        <v>Russia_RZD_P36</v>
      </c>
      <c r="C96" t="s">
        <v>738</v>
      </c>
      <c r="D96" t="s">
        <v>956</v>
      </c>
      <c r="E96">
        <v>4035</v>
      </c>
      <c r="F96" t="b">
        <f>OR(ISNUMBER(SEARCH("wagon_",Table1[[#This Row],[FILENAMES_EXPECTED]])),ISNUMBER(SEARCH("coach_",Table1[[#This Row],[FILENAMES_EXPECTED]])))</f>
        <v>0</v>
      </c>
      <c r="G96" t="str">
        <f>"item_"&amp;Table1[[#This Row],[VEHIDCODE]]</f>
        <v>item_steam_Russia_RZD_P36</v>
      </c>
      <c r="H96" t="str">
        <f>"str_"&amp;Table1[[#This Row],[VEHIDCODE]]</f>
        <v>str_steam_Russia_RZD_P36</v>
      </c>
      <c r="AI96" s="2" t="b">
        <v>1</v>
      </c>
      <c r="AL96" s="2"/>
      <c r="AM96" s="2" t="b">
        <f>LEN(_xlfn.CONCAT(Table1[[#This Row],[TRACK_TYPE_STANDARD_GAUGE_RAILTYPE_OHLE]:[TRACK_TYPE_MTRO]]))&gt;0</f>
        <v>1</v>
      </c>
      <c r="AN96">
        <v>12</v>
      </c>
      <c r="AO96" t="s">
        <v>20</v>
      </c>
      <c r="AP96">
        <v>0</v>
      </c>
      <c r="AQ96" t="s">
        <v>23</v>
      </c>
      <c r="AR96">
        <v>0</v>
      </c>
      <c r="AS96">
        <v>1953</v>
      </c>
      <c r="AT96">
        <v>8</v>
      </c>
      <c r="AU96" s="2" t="s">
        <v>20</v>
      </c>
      <c r="AV96" t="b">
        <v>1</v>
      </c>
      <c r="AX96" s="2"/>
      <c r="AY96">
        <v>45</v>
      </c>
      <c r="AZ96">
        <v>1</v>
      </c>
      <c r="BA96">
        <v>3125</v>
      </c>
      <c r="BB96" t="s">
        <v>709</v>
      </c>
      <c r="BC96">
        <v>125</v>
      </c>
      <c r="BD96" s="2">
        <v>0.06</v>
      </c>
      <c r="BE96" t="s">
        <v>930</v>
      </c>
      <c r="BF96" t="s">
        <v>921</v>
      </c>
      <c r="BG96" t="s">
        <v>939</v>
      </c>
      <c r="BH96" s="7">
        <v>40</v>
      </c>
      <c r="BI9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96">
        <v>0</v>
      </c>
      <c r="BK96" t="s">
        <v>733</v>
      </c>
      <c r="BL96" s="11"/>
      <c r="BM96" s="11"/>
      <c r="BN96" s="11">
        <v>245</v>
      </c>
      <c r="BO96">
        <v>0</v>
      </c>
      <c r="BP96" t="s">
        <v>691</v>
      </c>
      <c r="BQ96" t="s">
        <v>693</v>
      </c>
      <c r="BR96" t="s">
        <v>700</v>
      </c>
      <c r="BS96" t="s">
        <v>704</v>
      </c>
      <c r="BT96" t="s">
        <v>705</v>
      </c>
      <c r="BU96" t="s">
        <v>706</v>
      </c>
      <c r="CT96"/>
      <c r="CU96"/>
      <c r="CV96"/>
    </row>
    <row r="97" spans="1:100" x14ac:dyDescent="0.4">
      <c r="A97" s="2" t="s">
        <v>121</v>
      </c>
      <c r="B97" t="str">
        <f>_xlfn.TEXTAFTER(Table1[[#This Row],[VEHIDCODE]],"_")</f>
        <v>France_SNCF_150B</v>
      </c>
      <c r="C97" t="s">
        <v>738</v>
      </c>
      <c r="D97" t="s">
        <v>956</v>
      </c>
      <c r="E97">
        <v>4023</v>
      </c>
      <c r="F97" t="b">
        <f>OR(ISNUMBER(SEARCH("wagon_",Table1[[#This Row],[FILENAMES_EXPECTED]])),ISNUMBER(SEARCH("coach_",Table1[[#This Row],[FILENAMES_EXPECTED]])))</f>
        <v>0</v>
      </c>
      <c r="G97" t="str">
        <f>"item_"&amp;Table1[[#This Row],[VEHIDCODE]]</f>
        <v>item_steam_France_SNCF_150B</v>
      </c>
      <c r="H97" t="str">
        <f>"str_"&amp;Table1[[#This Row],[VEHIDCODE]]</f>
        <v>str_steam_France_SNCF_150B</v>
      </c>
      <c r="Q97" s="2" t="b">
        <v>1</v>
      </c>
      <c r="AL97" s="2"/>
      <c r="AM97" s="2" t="b">
        <f>LEN(_xlfn.CONCAT(Table1[[#This Row],[TRACK_TYPE_STANDARD_GAUGE_RAILTYPE_OHLE]:[TRACK_TYPE_MTRO]]))&gt;0</f>
        <v>1</v>
      </c>
      <c r="AN97">
        <v>10</v>
      </c>
      <c r="AO97" t="s">
        <v>20</v>
      </c>
      <c r="AP97">
        <v>0</v>
      </c>
      <c r="AQ97" t="s">
        <v>23</v>
      </c>
      <c r="AR97">
        <v>0</v>
      </c>
      <c r="AS97">
        <v>1934</v>
      </c>
      <c r="AT97">
        <v>8</v>
      </c>
      <c r="AU97" s="2" t="s">
        <v>20</v>
      </c>
      <c r="AV97" t="b">
        <v>1</v>
      </c>
      <c r="AX97" s="2"/>
      <c r="AY97">
        <v>45</v>
      </c>
      <c r="AZ97">
        <v>1</v>
      </c>
      <c r="BA97">
        <v>2260</v>
      </c>
      <c r="BB97" t="s">
        <v>709</v>
      </c>
      <c r="BC97">
        <v>105</v>
      </c>
      <c r="BD97" s="2">
        <v>0.22</v>
      </c>
      <c r="BE97" t="s">
        <v>922</v>
      </c>
      <c r="BF97" t="s">
        <v>921</v>
      </c>
      <c r="BG97" t="s">
        <v>939</v>
      </c>
      <c r="BH97" s="7">
        <v>40</v>
      </c>
      <c r="BI9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97">
        <v>0</v>
      </c>
      <c r="BK97" t="s">
        <v>733</v>
      </c>
      <c r="BL97" s="11"/>
      <c r="BM97" s="11"/>
      <c r="BN97" s="11">
        <v>119</v>
      </c>
      <c r="BO97">
        <v>0</v>
      </c>
      <c r="BP97" t="s">
        <v>691</v>
      </c>
      <c r="BQ97" t="s">
        <v>693</v>
      </c>
      <c r="BR97" t="s">
        <v>700</v>
      </c>
      <c r="BS97" t="s">
        <v>704</v>
      </c>
      <c r="BT97" t="s">
        <v>705</v>
      </c>
      <c r="BU97" t="s">
        <v>706</v>
      </c>
      <c r="CT97"/>
      <c r="CU97"/>
      <c r="CV97"/>
    </row>
    <row r="98" spans="1:100" x14ac:dyDescent="0.4">
      <c r="A98" s="2" t="s">
        <v>122</v>
      </c>
      <c r="B98" t="str">
        <f>_xlfn.TEXTAFTER(Table1[[#This Row],[VEHIDCODE]],"_")</f>
        <v>Italy_FS_895</v>
      </c>
      <c r="C98" t="s">
        <v>738</v>
      </c>
      <c r="D98" t="s">
        <v>956</v>
      </c>
      <c r="E98">
        <v>4012</v>
      </c>
      <c r="F98" t="b">
        <f>OR(ISNUMBER(SEARCH("wagon_",Table1[[#This Row],[FILENAMES_EXPECTED]])),ISNUMBER(SEARCH("coach_",Table1[[#This Row],[FILENAMES_EXPECTED]])))</f>
        <v>0</v>
      </c>
      <c r="G98" t="str">
        <f>"item_"&amp;Table1[[#This Row],[VEHIDCODE]]</f>
        <v>item_steam_Italy_FS_895</v>
      </c>
      <c r="H98" t="str">
        <f>"str_"&amp;Table1[[#This Row],[VEHIDCODE]]</f>
        <v>str_steam_Italy_FS_895</v>
      </c>
      <c r="Q98" s="2" t="b">
        <v>1</v>
      </c>
      <c r="AL98" s="2"/>
      <c r="AM98" s="2" t="b">
        <f>LEN(_xlfn.CONCAT(Table1[[#This Row],[TRACK_TYPE_STANDARD_GAUGE_RAILTYPE_OHLE]:[TRACK_TYPE_MTRO]]))&gt;0</f>
        <v>1</v>
      </c>
      <c r="AN98">
        <v>5</v>
      </c>
      <c r="AO98" t="s">
        <v>20</v>
      </c>
      <c r="AP98">
        <v>0</v>
      </c>
      <c r="AQ98" t="s">
        <v>23</v>
      </c>
      <c r="AR98">
        <v>0</v>
      </c>
      <c r="AS98">
        <v>1908</v>
      </c>
      <c r="AT98">
        <v>5</v>
      </c>
      <c r="AU98" s="2" t="s">
        <v>20</v>
      </c>
      <c r="AV98" t="b">
        <v>1</v>
      </c>
      <c r="AX98" s="2"/>
      <c r="AY98">
        <v>45</v>
      </c>
      <c r="AZ98">
        <v>1</v>
      </c>
      <c r="BA98">
        <v>500</v>
      </c>
      <c r="BB98" t="s">
        <v>709</v>
      </c>
      <c r="BC98">
        <v>40</v>
      </c>
      <c r="BD98" s="2">
        <v>0.21</v>
      </c>
      <c r="BE98" t="s">
        <v>923</v>
      </c>
      <c r="BF98" t="s">
        <v>921</v>
      </c>
      <c r="BG98" t="s">
        <v>939</v>
      </c>
      <c r="BH98" s="7">
        <v>40</v>
      </c>
      <c r="BI9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98">
        <v>-3</v>
      </c>
      <c r="BK98" t="s">
        <v>733</v>
      </c>
      <c r="BL98" s="11"/>
      <c r="BM98" s="11"/>
      <c r="BN98" s="11">
        <v>59</v>
      </c>
      <c r="BO98">
        <v>0</v>
      </c>
      <c r="BP98" t="s">
        <v>691</v>
      </c>
      <c r="BQ98" t="s">
        <v>693</v>
      </c>
      <c r="BR98" t="s">
        <v>700</v>
      </c>
      <c r="BS98" t="s">
        <v>704</v>
      </c>
      <c r="BT98" t="s">
        <v>705</v>
      </c>
      <c r="BU98" t="s">
        <v>706</v>
      </c>
      <c r="CT98"/>
      <c r="CU98"/>
      <c r="CV98"/>
    </row>
    <row r="99" spans="1:100" x14ac:dyDescent="0.4">
      <c r="A99" s="2" t="s">
        <v>123</v>
      </c>
      <c r="B99" t="str">
        <f>_xlfn.TEXTAFTER(Table1[[#This Row],[VEHIDCODE]],"_")</f>
        <v>Poland_PKP_Okz32</v>
      </c>
      <c r="C99" t="s">
        <v>738</v>
      </c>
      <c r="D99" t="s">
        <v>956</v>
      </c>
      <c r="E99">
        <v>4027</v>
      </c>
      <c r="F99" t="b">
        <f>OR(ISNUMBER(SEARCH("wagon_",Table1[[#This Row],[FILENAMES_EXPECTED]])),ISNUMBER(SEARCH("coach_",Table1[[#This Row],[FILENAMES_EXPECTED]])))</f>
        <v>0</v>
      </c>
      <c r="G99" t="str">
        <f>"item_"&amp;Table1[[#This Row],[VEHIDCODE]]</f>
        <v>item_steam_Poland_PKP_Okz32</v>
      </c>
      <c r="H99" t="str">
        <f>"str_"&amp;Table1[[#This Row],[VEHIDCODE]]</f>
        <v>str_steam_Poland_PKP_Okz32</v>
      </c>
      <c r="Q99" s="2" t="b">
        <v>1</v>
      </c>
      <c r="AL99" s="2"/>
      <c r="AM99" s="2" t="b">
        <f>LEN(_xlfn.CONCAT(Table1[[#This Row],[TRACK_TYPE_STANDARD_GAUGE_RAILTYPE_OHLE]:[TRACK_TYPE_MTRO]]))&gt;0</f>
        <v>1</v>
      </c>
      <c r="AN99">
        <v>7</v>
      </c>
      <c r="AO99" t="s">
        <v>20</v>
      </c>
      <c r="AP99">
        <v>0</v>
      </c>
      <c r="AQ99" t="s">
        <v>23</v>
      </c>
      <c r="AR99">
        <v>0</v>
      </c>
      <c r="AS99">
        <v>1934</v>
      </c>
      <c r="AT99">
        <v>7</v>
      </c>
      <c r="AU99" s="2" t="s">
        <v>20</v>
      </c>
      <c r="AV99" t="b">
        <v>1</v>
      </c>
      <c r="AX99" s="2"/>
      <c r="AY99">
        <v>45</v>
      </c>
      <c r="AZ99">
        <v>0</v>
      </c>
      <c r="BA99">
        <v>1868</v>
      </c>
      <c r="BB99" t="s">
        <v>709</v>
      </c>
      <c r="BC99">
        <v>75</v>
      </c>
      <c r="BD99" s="2">
        <v>0.11</v>
      </c>
      <c r="BE99" t="s">
        <v>928</v>
      </c>
      <c r="BF99" t="s">
        <v>921</v>
      </c>
      <c r="BG99" t="s">
        <v>939</v>
      </c>
      <c r="BH99" s="7">
        <v>40</v>
      </c>
      <c r="BI9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99">
        <v>-3</v>
      </c>
      <c r="BK99" t="s">
        <v>733</v>
      </c>
      <c r="BL99" s="11"/>
      <c r="BM99" s="11"/>
      <c r="BN99" s="11">
        <v>111</v>
      </c>
      <c r="BO99">
        <v>0</v>
      </c>
      <c r="BP99" t="s">
        <v>691</v>
      </c>
      <c r="BQ99" t="s">
        <v>693</v>
      </c>
      <c r="BR99" t="s">
        <v>700</v>
      </c>
      <c r="BS99" t="s">
        <v>704</v>
      </c>
      <c r="BT99" t="s">
        <v>705</v>
      </c>
      <c r="BU99" t="s">
        <v>706</v>
      </c>
      <c r="CT99"/>
      <c r="CU99"/>
      <c r="CV99"/>
    </row>
    <row r="100" spans="1:100" x14ac:dyDescent="0.4">
      <c r="A100" s="2" t="s">
        <v>124</v>
      </c>
      <c r="B100" t="str">
        <f>_xlfn.TEXTAFTER(Table1[[#This Row],[VEHIDCODE]],"_")</f>
        <v>Switzerland_SBB_C_5_6</v>
      </c>
      <c r="C100" t="s">
        <v>738</v>
      </c>
      <c r="D100" t="s">
        <v>956</v>
      </c>
      <c r="E100">
        <v>4013</v>
      </c>
      <c r="F100" t="b">
        <f>OR(ISNUMBER(SEARCH("wagon_",Table1[[#This Row],[FILENAMES_EXPECTED]])),ISNUMBER(SEARCH("coach_",Table1[[#This Row],[FILENAMES_EXPECTED]])))</f>
        <v>0</v>
      </c>
      <c r="G100" t="str">
        <f>"item_"&amp;Table1[[#This Row],[VEHIDCODE]]</f>
        <v>item_steam_Switzerland_SBB_C_5_6</v>
      </c>
      <c r="H100" t="str">
        <f>"str_"&amp;Table1[[#This Row],[VEHIDCODE]]</f>
        <v>str_steam_Switzerland_SBB_C_5_6</v>
      </c>
      <c r="Q100" s="2" t="b">
        <v>1</v>
      </c>
      <c r="AL100" s="2"/>
      <c r="AM100" s="2" t="b">
        <f>LEN(_xlfn.CONCAT(Table1[[#This Row],[TRACK_TYPE_STANDARD_GAUGE_RAILTYPE_OHLE]:[TRACK_TYPE_MTRO]]))&gt;0</f>
        <v>1</v>
      </c>
      <c r="AN100">
        <v>8</v>
      </c>
      <c r="AO100" t="s">
        <v>20</v>
      </c>
      <c r="AP100">
        <v>0</v>
      </c>
      <c r="AQ100" t="s">
        <v>23</v>
      </c>
      <c r="AR100">
        <v>0</v>
      </c>
      <c r="AS100">
        <v>1913</v>
      </c>
      <c r="AT100">
        <v>8</v>
      </c>
      <c r="AU100" s="2" t="s">
        <v>20</v>
      </c>
      <c r="AV100" t="b">
        <v>1</v>
      </c>
      <c r="AX100" s="2"/>
      <c r="AY100">
        <v>45</v>
      </c>
      <c r="AZ100">
        <v>1</v>
      </c>
      <c r="BA100">
        <v>1620</v>
      </c>
      <c r="BB100" t="s">
        <v>709</v>
      </c>
      <c r="BC100">
        <v>65</v>
      </c>
      <c r="BD100" s="2">
        <v>0.17</v>
      </c>
      <c r="BE100" t="s">
        <v>922</v>
      </c>
      <c r="BF100" t="s">
        <v>921</v>
      </c>
      <c r="BG100" t="s">
        <v>939</v>
      </c>
      <c r="BH100" s="7">
        <v>40</v>
      </c>
      <c r="BI10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100">
        <v>0</v>
      </c>
      <c r="BK100" t="s">
        <v>733</v>
      </c>
      <c r="BL100" s="11"/>
      <c r="BM100" s="11"/>
      <c r="BN100" s="11">
        <v>128</v>
      </c>
      <c r="BO100">
        <v>0</v>
      </c>
      <c r="BP100" t="s">
        <v>691</v>
      </c>
      <c r="BQ100" t="s">
        <v>693</v>
      </c>
      <c r="BR100" t="s">
        <v>700</v>
      </c>
      <c r="BS100" t="s">
        <v>704</v>
      </c>
      <c r="BT100" t="s">
        <v>705</v>
      </c>
      <c r="BU100" t="s">
        <v>706</v>
      </c>
      <c r="CT100"/>
      <c r="CU100"/>
      <c r="CV100"/>
    </row>
    <row r="101" spans="1:100" x14ac:dyDescent="0.4">
      <c r="A101" s="2" t="s">
        <v>125</v>
      </c>
      <c r="B101" t="str">
        <f>_xlfn.TEXTAFTER(Table1[[#This Row],[VEHIDCODE]],"_")</f>
        <v>USA_UP_4000_Big_Boy</v>
      </c>
      <c r="C101" t="s">
        <v>738</v>
      </c>
      <c r="D101" t="s">
        <v>956</v>
      </c>
      <c r="E101">
        <v>4039</v>
      </c>
      <c r="F101" t="b">
        <f>OR(ISNUMBER(SEARCH("wagon_",Table1[[#This Row],[FILENAMES_EXPECTED]])),ISNUMBER(SEARCH("coach_",Table1[[#This Row],[FILENAMES_EXPECTED]])))</f>
        <v>0</v>
      </c>
      <c r="G101" t="str">
        <f>"item_"&amp;Table1[[#This Row],[VEHIDCODE]]</f>
        <v>item_steam_USA_UP_4000_Big_Boy</v>
      </c>
      <c r="H101" t="str">
        <f>"str_"&amp;Table1[[#This Row],[VEHIDCODE]]</f>
        <v>str_steam_USA_UP_4000_Big_Boy</v>
      </c>
      <c r="Q101" s="2" t="b">
        <v>1</v>
      </c>
      <c r="AL101" s="2"/>
      <c r="AM101" s="2" t="b">
        <f>LEN(_xlfn.CONCAT(Table1[[#This Row],[TRACK_TYPE_STANDARD_GAUGE_RAILTYPE_OHLE]:[TRACK_TYPE_MTRO]]))&gt;0</f>
        <v>1</v>
      </c>
      <c r="AN101">
        <v>6</v>
      </c>
      <c r="AO101" t="s">
        <v>20</v>
      </c>
      <c r="AP101">
        <v>0</v>
      </c>
      <c r="AQ101" t="s">
        <v>23</v>
      </c>
      <c r="AR101">
        <v>0</v>
      </c>
      <c r="AS101">
        <v>1941</v>
      </c>
      <c r="AT101">
        <v>8</v>
      </c>
      <c r="AU101" s="2" t="s">
        <v>20</v>
      </c>
      <c r="AV101" t="b">
        <v>1</v>
      </c>
      <c r="AX101" s="2"/>
      <c r="AY101">
        <v>45</v>
      </c>
      <c r="AZ101">
        <v>1</v>
      </c>
      <c r="BA101">
        <v>6290</v>
      </c>
      <c r="BB101" t="s">
        <v>709</v>
      </c>
      <c r="BC101">
        <v>128</v>
      </c>
      <c r="BD101" s="2">
        <v>0.1</v>
      </c>
      <c r="BE101" t="s">
        <v>927</v>
      </c>
      <c r="BF101" t="s">
        <v>921</v>
      </c>
      <c r="BG101" t="s">
        <v>939</v>
      </c>
      <c r="BH101" s="7">
        <v>40</v>
      </c>
      <c r="BI10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101">
        <v>0</v>
      </c>
      <c r="BK101" t="s">
        <v>733</v>
      </c>
      <c r="BL101" s="11"/>
      <c r="BM101" s="11"/>
      <c r="BN101" s="11">
        <v>603</v>
      </c>
      <c r="BO101">
        <v>0</v>
      </c>
      <c r="BP101" t="s">
        <v>691</v>
      </c>
      <c r="BQ101" t="s">
        <v>693</v>
      </c>
      <c r="BR101" t="s">
        <v>700</v>
      </c>
      <c r="BS101" t="s">
        <v>704</v>
      </c>
      <c r="BT101" t="s">
        <v>705</v>
      </c>
      <c r="BU101" t="s">
        <v>706</v>
      </c>
      <c r="CT101"/>
      <c r="CU101"/>
      <c r="CV101"/>
    </row>
    <row r="102" spans="1:100" x14ac:dyDescent="0.4">
      <c r="A102" s="2" t="s">
        <v>126</v>
      </c>
      <c r="B102" t="str">
        <f>_xlfn.TEXTAFTER(Table1[[#This Row],[VEHIDCODE]],"_")</f>
        <v>Netherlands_NRS_11</v>
      </c>
      <c r="C102" t="s">
        <v>738</v>
      </c>
      <c r="D102" t="s">
        <v>956</v>
      </c>
      <c r="E102">
        <v>4040</v>
      </c>
      <c r="F102" t="b">
        <f>OR(ISNUMBER(SEARCH("wagon_",Table1[[#This Row],[FILENAMES_EXPECTED]])),ISNUMBER(SEARCH("coach_",Table1[[#This Row],[FILENAMES_EXPECTED]])))</f>
        <v>0</v>
      </c>
      <c r="G102" t="str">
        <f>"item_"&amp;Table1[[#This Row],[VEHIDCODE]]</f>
        <v>item_steam_Netherlands_NRS_11</v>
      </c>
      <c r="H102" t="str">
        <f>"str_"&amp;Table1[[#This Row],[VEHIDCODE]]</f>
        <v>str_steam_Netherlands_NRS_11</v>
      </c>
      <c r="Q102" s="2" t="b">
        <v>1</v>
      </c>
      <c r="AL102" s="2"/>
      <c r="AM102" s="2" t="b">
        <f>LEN(_xlfn.CONCAT(Table1[[#This Row],[TRACK_TYPE_STANDARD_GAUGE_RAILTYPE_OHLE]:[TRACK_TYPE_MTRO]]))&gt;0</f>
        <v>1</v>
      </c>
      <c r="AN102">
        <v>6</v>
      </c>
      <c r="AO102" t="s">
        <v>18</v>
      </c>
      <c r="AP102">
        <v>0</v>
      </c>
      <c r="AQ102" t="s">
        <v>23</v>
      </c>
      <c r="AR102">
        <v>0</v>
      </c>
      <c r="AS102">
        <v>1844</v>
      </c>
      <c r="AT102">
        <v>4</v>
      </c>
      <c r="AU102" s="2" t="s">
        <v>20</v>
      </c>
      <c r="AV102" t="b">
        <v>1</v>
      </c>
      <c r="AX102" s="2"/>
      <c r="AY102">
        <v>45</v>
      </c>
      <c r="AZ102">
        <v>1</v>
      </c>
      <c r="BA102">
        <v>218</v>
      </c>
      <c r="BB102" t="s">
        <v>709</v>
      </c>
      <c r="BC102">
        <v>40</v>
      </c>
      <c r="BD102" s="2">
        <v>0.03</v>
      </c>
      <c r="BE102" t="s">
        <v>922</v>
      </c>
      <c r="BF102" t="s">
        <v>921</v>
      </c>
      <c r="BG102" t="s">
        <v>939</v>
      </c>
      <c r="BH102" s="7">
        <v>40</v>
      </c>
      <c r="BI10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102">
        <v>0</v>
      </c>
      <c r="BK102" t="s">
        <v>733</v>
      </c>
      <c r="BL102" s="11"/>
      <c r="BM102" s="11"/>
      <c r="BN102" s="11">
        <v>31</v>
      </c>
      <c r="BO102">
        <v>0</v>
      </c>
      <c r="BP102" t="s">
        <v>691</v>
      </c>
      <c r="BQ102" t="s">
        <v>693</v>
      </c>
      <c r="BR102" t="s">
        <v>700</v>
      </c>
      <c r="BS102" t="s">
        <v>704</v>
      </c>
      <c r="BT102" t="s">
        <v>705</v>
      </c>
      <c r="BU102" t="s">
        <v>706</v>
      </c>
      <c r="CT102"/>
      <c r="CU102"/>
      <c r="CV102"/>
    </row>
    <row r="103" spans="1:100" x14ac:dyDescent="0.4">
      <c r="A103" s="2" t="s">
        <v>127</v>
      </c>
      <c r="B103" t="str">
        <f>_xlfn.TEXTAFTER(Table1[[#This Row],[VEHIDCODE]],"_")</f>
        <v>UK_GWR_Iron_DUKe_Class</v>
      </c>
      <c r="C103" t="s">
        <v>738</v>
      </c>
      <c r="D103" t="s">
        <v>956</v>
      </c>
      <c r="E103">
        <v>4041</v>
      </c>
      <c r="F103" t="b">
        <f>OR(ISNUMBER(SEARCH("wagon_",Table1[[#This Row],[FILENAMES_EXPECTED]])),ISNUMBER(SEARCH("coach_",Table1[[#This Row],[FILENAMES_EXPECTED]])))</f>
        <v>0</v>
      </c>
      <c r="G103" t="str">
        <f>"item_"&amp;Table1[[#This Row],[VEHIDCODE]]</f>
        <v>item_steam_UK_GWR_Iron_DUKe_Class</v>
      </c>
      <c r="H103" t="str">
        <f>"str_"&amp;Table1[[#This Row],[VEHIDCODE]]</f>
        <v>str_steam_UK_GWR_Iron_DUKe_Class</v>
      </c>
      <c r="Q103" s="2" t="b">
        <v>1</v>
      </c>
      <c r="AL103" s="2"/>
      <c r="AM103" s="2" t="b">
        <f>LEN(_xlfn.CONCAT(Table1[[#This Row],[TRACK_TYPE_STANDARD_GAUGE_RAILTYPE_OHLE]:[TRACK_TYPE_MTRO]]))&gt;0</f>
        <v>1</v>
      </c>
      <c r="AN103">
        <v>8</v>
      </c>
      <c r="AO103" t="s">
        <v>18</v>
      </c>
      <c r="AP103">
        <v>0</v>
      </c>
      <c r="AQ103" t="s">
        <v>23</v>
      </c>
      <c r="AR103">
        <v>0</v>
      </c>
      <c r="AS103">
        <v>1846</v>
      </c>
      <c r="AT103">
        <v>8</v>
      </c>
      <c r="AU103" s="2" t="s">
        <v>20</v>
      </c>
      <c r="AV103" t="b">
        <v>1</v>
      </c>
      <c r="AX103" s="2"/>
      <c r="AY103">
        <v>45</v>
      </c>
      <c r="AZ103">
        <v>1</v>
      </c>
      <c r="BA103">
        <v>507</v>
      </c>
      <c r="BB103" t="s">
        <v>709</v>
      </c>
      <c r="BC103">
        <v>128</v>
      </c>
      <c r="BD103" s="2">
        <v>0.1</v>
      </c>
      <c r="BE103" t="s">
        <v>926</v>
      </c>
      <c r="BF103" t="s">
        <v>921</v>
      </c>
      <c r="BG103" t="s">
        <v>939</v>
      </c>
      <c r="BH103" s="7">
        <v>40</v>
      </c>
      <c r="BI10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103">
        <v>0</v>
      </c>
      <c r="BK103" t="s">
        <v>733</v>
      </c>
      <c r="BL103" s="11"/>
      <c r="BM103" s="11"/>
      <c r="BN103" s="11">
        <v>44</v>
      </c>
      <c r="BO103">
        <v>0</v>
      </c>
      <c r="BP103" t="s">
        <v>691</v>
      </c>
      <c r="BQ103" t="s">
        <v>693</v>
      </c>
      <c r="BR103" t="s">
        <v>700</v>
      </c>
      <c r="BS103" t="s">
        <v>704</v>
      </c>
      <c r="BT103" t="s">
        <v>705</v>
      </c>
      <c r="BU103" t="s">
        <v>706</v>
      </c>
      <c r="CT103"/>
      <c r="CU103"/>
      <c r="CV103"/>
    </row>
    <row r="104" spans="1:100" x14ac:dyDescent="0.4">
      <c r="A104" s="2" t="s">
        <v>128</v>
      </c>
      <c r="B104" t="str">
        <f>_xlfn.TEXTAFTER(Table1[[#This Row],[VEHIDCODE]],"_")</f>
        <v>Australia_Sidney_Railway_Locomotive_No1</v>
      </c>
      <c r="C104" t="s">
        <v>738</v>
      </c>
      <c r="D104" t="s">
        <v>956</v>
      </c>
      <c r="E104">
        <v>4042</v>
      </c>
      <c r="F104" t="b">
        <f>OR(ISNUMBER(SEARCH("wagon_",Table1[[#This Row],[FILENAMES_EXPECTED]])),ISNUMBER(SEARCH("coach_",Table1[[#This Row],[FILENAMES_EXPECTED]])))</f>
        <v>0</v>
      </c>
      <c r="G104" t="str">
        <f>"item_"&amp;Table1[[#This Row],[VEHIDCODE]]</f>
        <v>item_steam_Australia_Sidney_Railway_Locomotive_No1</v>
      </c>
      <c r="H104" t="str">
        <f>"str_"&amp;Table1[[#This Row],[VEHIDCODE]]</f>
        <v>str_steam_Australia_Sidney_Railway_Locomotive_No1</v>
      </c>
      <c r="Q104" s="2" t="b">
        <v>1</v>
      </c>
      <c r="AL104" s="2"/>
      <c r="AM104" s="2" t="b">
        <f>LEN(_xlfn.CONCAT(Table1[[#This Row],[TRACK_TYPE_STANDARD_GAUGE_RAILTYPE_OHLE]:[TRACK_TYPE_MTRO]]))&gt;0</f>
        <v>1</v>
      </c>
      <c r="AN104">
        <v>8</v>
      </c>
      <c r="AO104" t="s">
        <v>18</v>
      </c>
      <c r="AP104">
        <v>0</v>
      </c>
      <c r="AQ104" t="s">
        <v>23</v>
      </c>
      <c r="AR104">
        <v>0</v>
      </c>
      <c r="AS104">
        <v>1855</v>
      </c>
      <c r="AT104">
        <v>5</v>
      </c>
      <c r="AU104" s="2" t="s">
        <v>20</v>
      </c>
      <c r="AV104" t="b">
        <v>1</v>
      </c>
      <c r="AX104" s="2"/>
      <c r="AY104">
        <v>45</v>
      </c>
      <c r="AZ104">
        <v>1</v>
      </c>
      <c r="BA104">
        <v>119</v>
      </c>
      <c r="BB104" t="s">
        <v>709</v>
      </c>
      <c r="BC104">
        <v>25</v>
      </c>
      <c r="BD104" s="2">
        <v>0.1</v>
      </c>
      <c r="BE104" t="s">
        <v>924</v>
      </c>
      <c r="BF104" t="s">
        <v>921</v>
      </c>
      <c r="BG104" t="s">
        <v>939</v>
      </c>
      <c r="BH104" s="7">
        <v>40</v>
      </c>
      <c r="BI10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104">
        <v>0</v>
      </c>
      <c r="BK104" t="s">
        <v>733</v>
      </c>
      <c r="BL104" s="11"/>
      <c r="BM104" s="11"/>
      <c r="BN104" s="11">
        <v>38</v>
      </c>
      <c r="BO104">
        <v>0</v>
      </c>
      <c r="BP104" t="s">
        <v>691</v>
      </c>
      <c r="BQ104" t="s">
        <v>693</v>
      </c>
      <c r="BR104" t="s">
        <v>700</v>
      </c>
      <c r="BS104" t="s">
        <v>704</v>
      </c>
      <c r="BT104" t="s">
        <v>705</v>
      </c>
      <c r="BU104" t="s">
        <v>706</v>
      </c>
      <c r="CT104"/>
      <c r="CU104"/>
      <c r="CV104"/>
    </row>
    <row r="105" spans="1:100" x14ac:dyDescent="0.4">
      <c r="A105" s="2" t="s">
        <v>129</v>
      </c>
      <c r="B105" t="str">
        <f>_xlfn.TEXTAFTER(Table1[[#This Row],[VEHIDCODE]],"_")</f>
        <v>USA_Central_Pacific_4_2_2</v>
      </c>
      <c r="C105" t="s">
        <v>738</v>
      </c>
      <c r="D105" t="s">
        <v>956</v>
      </c>
      <c r="E105">
        <v>4043</v>
      </c>
      <c r="F105" t="b">
        <f>OR(ISNUMBER(SEARCH("wagon_",Table1[[#This Row],[FILENAMES_EXPECTED]])),ISNUMBER(SEARCH("coach_",Table1[[#This Row],[FILENAMES_EXPECTED]])))</f>
        <v>0</v>
      </c>
      <c r="G105" t="str">
        <f>"item_"&amp;Table1[[#This Row],[VEHIDCODE]]</f>
        <v>item_steam_USA_Central_Pacific_4_2_2</v>
      </c>
      <c r="H105" t="str">
        <f>"str_"&amp;Table1[[#This Row],[VEHIDCODE]]</f>
        <v>str_steam_USA_Central_Pacific_4_2_2</v>
      </c>
      <c r="Q105" s="2" t="b">
        <v>1</v>
      </c>
      <c r="AL105" s="2"/>
      <c r="AM105" s="2" t="b">
        <f>LEN(_xlfn.CONCAT(Table1[[#This Row],[TRACK_TYPE_STANDARD_GAUGE_RAILTYPE_OHLE]:[TRACK_TYPE_MTRO]]))&gt;0</f>
        <v>1</v>
      </c>
      <c r="AN105">
        <v>6</v>
      </c>
      <c r="AO105" t="s">
        <v>18</v>
      </c>
      <c r="AP105">
        <v>0</v>
      </c>
      <c r="AQ105" t="s">
        <v>23</v>
      </c>
      <c r="AR105">
        <v>0</v>
      </c>
      <c r="AS105">
        <v>1863</v>
      </c>
      <c r="AT105">
        <v>5</v>
      </c>
      <c r="AU105" s="2" t="s">
        <v>20</v>
      </c>
      <c r="AV105" t="b">
        <v>1</v>
      </c>
      <c r="AX105" s="2"/>
      <c r="AY105">
        <v>45</v>
      </c>
      <c r="AZ105">
        <v>1</v>
      </c>
      <c r="BA105">
        <v>126</v>
      </c>
      <c r="BB105" t="s">
        <v>709</v>
      </c>
      <c r="BC105">
        <v>80</v>
      </c>
      <c r="BD105" s="2">
        <v>0.14000000000000001</v>
      </c>
      <c r="BE105" t="s">
        <v>927</v>
      </c>
      <c r="BF105" t="s">
        <v>921</v>
      </c>
      <c r="BG105" t="s">
        <v>939</v>
      </c>
      <c r="BH105" s="7">
        <v>40</v>
      </c>
      <c r="BI10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105">
        <v>0</v>
      </c>
      <c r="BK105" t="s">
        <v>733</v>
      </c>
      <c r="BL105" s="11"/>
      <c r="BM105" s="11"/>
      <c r="BN105" s="11">
        <v>18</v>
      </c>
      <c r="BO105">
        <v>0</v>
      </c>
      <c r="BP105" t="s">
        <v>691</v>
      </c>
      <c r="BQ105" t="s">
        <v>693</v>
      </c>
      <c r="BR105" t="s">
        <v>700</v>
      </c>
      <c r="BS105" t="s">
        <v>704</v>
      </c>
      <c r="BT105" t="s">
        <v>705</v>
      </c>
      <c r="BU105" t="s">
        <v>706</v>
      </c>
      <c r="CT105"/>
      <c r="CU105"/>
      <c r="CV105"/>
    </row>
    <row r="106" spans="1:100" x14ac:dyDescent="0.4">
      <c r="A106" s="2" t="s">
        <v>130</v>
      </c>
      <c r="B106" t="str">
        <f>_xlfn.TEXTAFTER(Table1[[#This Row],[VEHIDCODE]],"_")</f>
        <v>Netherlands_NS_700</v>
      </c>
      <c r="C106" t="s">
        <v>738</v>
      </c>
      <c r="D106" t="s">
        <v>956</v>
      </c>
      <c r="E106">
        <v>4044</v>
      </c>
      <c r="F106" t="b">
        <f>OR(ISNUMBER(SEARCH("wagon_",Table1[[#This Row],[FILENAMES_EXPECTED]])),ISNUMBER(SEARCH("coach_",Table1[[#This Row],[FILENAMES_EXPECTED]])))</f>
        <v>0</v>
      </c>
      <c r="G106" t="str">
        <f>"item_"&amp;Table1[[#This Row],[VEHIDCODE]]</f>
        <v>item_steam_Netherlands_NS_700</v>
      </c>
      <c r="H106" t="str">
        <f>"str_"&amp;Table1[[#This Row],[VEHIDCODE]]</f>
        <v>str_steam_Netherlands_NS_700</v>
      </c>
      <c r="Q106" s="2" t="b">
        <v>1</v>
      </c>
      <c r="AL106" s="2"/>
      <c r="AM106" s="2" t="b">
        <f>LEN(_xlfn.CONCAT(Table1[[#This Row],[TRACK_TYPE_STANDARD_GAUGE_RAILTYPE_OHLE]:[TRACK_TYPE_MTRO]]))&gt;0</f>
        <v>1</v>
      </c>
      <c r="AN106">
        <v>6</v>
      </c>
      <c r="AO106" t="s">
        <v>18</v>
      </c>
      <c r="AP106">
        <v>0</v>
      </c>
      <c r="AQ106" t="s">
        <v>23</v>
      </c>
      <c r="AR106">
        <v>0</v>
      </c>
      <c r="AS106">
        <v>1865</v>
      </c>
      <c r="AT106">
        <v>5</v>
      </c>
      <c r="AU106" s="2" t="s">
        <v>20</v>
      </c>
      <c r="AV106" t="b">
        <v>1</v>
      </c>
      <c r="AX106" s="2"/>
      <c r="AY106">
        <v>45</v>
      </c>
      <c r="AZ106">
        <v>1</v>
      </c>
      <c r="BA106">
        <v>320</v>
      </c>
      <c r="BB106" t="s">
        <v>709</v>
      </c>
      <c r="BC106">
        <v>80</v>
      </c>
      <c r="BD106" s="2">
        <v>7.0000000000000007E-2</v>
      </c>
      <c r="BE106" t="s">
        <v>922</v>
      </c>
      <c r="BF106" t="s">
        <v>921</v>
      </c>
      <c r="BG106" t="s">
        <v>939</v>
      </c>
      <c r="BH106" s="7">
        <v>40</v>
      </c>
      <c r="BI10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106">
        <v>0</v>
      </c>
      <c r="BK106" t="s">
        <v>733</v>
      </c>
      <c r="BL106" s="11"/>
      <c r="BM106" s="11"/>
      <c r="BN106" s="11">
        <v>49</v>
      </c>
      <c r="BO106">
        <v>0</v>
      </c>
      <c r="BP106" t="s">
        <v>691</v>
      </c>
      <c r="BQ106" t="s">
        <v>693</v>
      </c>
      <c r="BR106" t="s">
        <v>700</v>
      </c>
      <c r="BS106" t="s">
        <v>704</v>
      </c>
      <c r="BT106" t="s">
        <v>705</v>
      </c>
      <c r="BU106" t="s">
        <v>706</v>
      </c>
      <c r="CT106"/>
      <c r="CU106"/>
      <c r="CV106"/>
    </row>
    <row r="107" spans="1:100" x14ac:dyDescent="0.4">
      <c r="A107" s="2" t="s">
        <v>131</v>
      </c>
      <c r="B107" t="str">
        <f>_xlfn.TEXTAFTER(Table1[[#This Row],[VEHIDCODE]],"_")</f>
        <v>South_Africa_Natal_Government_Railways_2_6_0T</v>
      </c>
      <c r="C107" t="s">
        <v>738</v>
      </c>
      <c r="D107" t="s">
        <v>956</v>
      </c>
      <c r="E107">
        <v>4045</v>
      </c>
      <c r="F107" t="b">
        <f>OR(ISNUMBER(SEARCH("wagon_",Table1[[#This Row],[FILENAMES_EXPECTED]])),ISNUMBER(SEARCH("coach_",Table1[[#This Row],[FILENAMES_EXPECTED]])))</f>
        <v>0</v>
      </c>
      <c r="G107" t="str">
        <f>"item_"&amp;Table1[[#This Row],[VEHIDCODE]]</f>
        <v>item_steam_South_Africa_Natal_Government_Railways_2_6_0T</v>
      </c>
      <c r="H107" t="str">
        <f>"str_"&amp;Table1[[#This Row],[VEHIDCODE]]</f>
        <v>str_steam_South_Africa_Natal_Government_Railways_2_6_0T</v>
      </c>
      <c r="Q107" s="2" t="b">
        <v>1</v>
      </c>
      <c r="AL107" s="2"/>
      <c r="AM107" s="2" t="b">
        <f>LEN(_xlfn.CONCAT(Table1[[#This Row],[TRACK_TYPE_STANDARD_GAUGE_RAILTYPE_OHLE]:[TRACK_TYPE_MTRO]]))&gt;0</f>
        <v>1</v>
      </c>
      <c r="AN107">
        <v>5</v>
      </c>
      <c r="AO107" t="s">
        <v>18</v>
      </c>
      <c r="AP107">
        <v>0</v>
      </c>
      <c r="AQ107" t="s">
        <v>23</v>
      </c>
      <c r="AR107">
        <v>0</v>
      </c>
      <c r="AS107">
        <v>1876</v>
      </c>
      <c r="AT107">
        <v>5</v>
      </c>
      <c r="AU107" s="2" t="s">
        <v>20</v>
      </c>
      <c r="AV107" t="b">
        <v>1</v>
      </c>
      <c r="AX107" s="2"/>
      <c r="AY107">
        <v>45</v>
      </c>
      <c r="AZ107">
        <v>1</v>
      </c>
      <c r="BA107">
        <v>96</v>
      </c>
      <c r="BB107" t="s">
        <v>709</v>
      </c>
      <c r="BC107">
        <v>15</v>
      </c>
      <c r="BD107" s="2">
        <v>0.17</v>
      </c>
      <c r="BE107" t="s">
        <v>925</v>
      </c>
      <c r="BF107" t="s">
        <v>921</v>
      </c>
      <c r="BG107" t="s">
        <v>939</v>
      </c>
      <c r="BH107" s="7">
        <v>40</v>
      </c>
      <c r="BI10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107">
        <v>0</v>
      </c>
      <c r="BK107" t="s">
        <v>733</v>
      </c>
      <c r="BL107" s="11"/>
      <c r="BM107" s="11"/>
      <c r="BN107" s="11">
        <v>26</v>
      </c>
      <c r="BO107">
        <v>0</v>
      </c>
      <c r="BP107" t="s">
        <v>691</v>
      </c>
      <c r="BQ107" t="s">
        <v>693</v>
      </c>
      <c r="BR107" t="s">
        <v>700</v>
      </c>
      <c r="BS107" t="s">
        <v>704</v>
      </c>
      <c r="BT107" t="s">
        <v>705</v>
      </c>
      <c r="BU107" t="s">
        <v>706</v>
      </c>
      <c r="CT107"/>
      <c r="CU107"/>
      <c r="CV107"/>
    </row>
    <row r="108" spans="1:100" x14ac:dyDescent="0.4">
      <c r="A108" s="2" t="s">
        <v>132</v>
      </c>
      <c r="B108" t="str">
        <f>_xlfn.TEXTAFTER(Table1[[#This Row],[VEHIDCODE]],"_")</f>
        <v>Australia_NSWGR_Z25_Class</v>
      </c>
      <c r="C108" t="s">
        <v>738</v>
      </c>
      <c r="D108" t="s">
        <v>956</v>
      </c>
      <c r="E108">
        <v>4046</v>
      </c>
      <c r="F108" t="b">
        <f>OR(ISNUMBER(SEARCH("wagon_",Table1[[#This Row],[FILENAMES_EXPECTED]])),ISNUMBER(SEARCH("coach_",Table1[[#This Row],[FILENAMES_EXPECTED]])))</f>
        <v>0</v>
      </c>
      <c r="G108" t="str">
        <f>"item_"&amp;Table1[[#This Row],[VEHIDCODE]]</f>
        <v>item_steam_Australia_NSWGR_Z25_Class</v>
      </c>
      <c r="H108" t="str">
        <f>"str_"&amp;Table1[[#This Row],[VEHIDCODE]]</f>
        <v>str_steam_Australia_NSWGR_Z25_Class</v>
      </c>
      <c r="Q108" s="2" t="b">
        <v>1</v>
      </c>
      <c r="AL108" s="2"/>
      <c r="AM108" s="2" t="b">
        <f>LEN(_xlfn.CONCAT(Table1[[#This Row],[TRACK_TYPE_STANDARD_GAUGE_RAILTYPE_OHLE]:[TRACK_TYPE_MTRO]]))&gt;0</f>
        <v>1</v>
      </c>
      <c r="AN108">
        <v>8</v>
      </c>
      <c r="AO108" t="s">
        <v>18</v>
      </c>
      <c r="AP108">
        <v>0</v>
      </c>
      <c r="AQ108" t="s">
        <v>23</v>
      </c>
      <c r="AR108">
        <v>0</v>
      </c>
      <c r="AS108">
        <v>1881</v>
      </c>
      <c r="AT108">
        <v>7</v>
      </c>
      <c r="AU108" s="2" t="s">
        <v>20</v>
      </c>
      <c r="AV108" t="b">
        <v>1</v>
      </c>
      <c r="AX108" s="2"/>
      <c r="AY108">
        <v>45</v>
      </c>
      <c r="AZ108">
        <v>1</v>
      </c>
      <c r="BA108">
        <v>650</v>
      </c>
      <c r="BB108" t="s">
        <v>709</v>
      </c>
      <c r="BC108">
        <v>80</v>
      </c>
      <c r="BD108" s="2">
        <v>0.23</v>
      </c>
      <c r="BE108" t="s">
        <v>924</v>
      </c>
      <c r="BF108" t="s">
        <v>921</v>
      </c>
      <c r="BG108" t="s">
        <v>939</v>
      </c>
      <c r="BH108" s="7">
        <v>40</v>
      </c>
      <c r="BI10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108">
        <v>0</v>
      </c>
      <c r="BK108" t="s">
        <v>733</v>
      </c>
      <c r="BL108" s="11"/>
      <c r="BM108" s="11"/>
      <c r="BN108" s="11">
        <v>43</v>
      </c>
      <c r="BO108">
        <v>0</v>
      </c>
      <c r="BP108" t="s">
        <v>691</v>
      </c>
      <c r="BQ108" t="s">
        <v>693</v>
      </c>
      <c r="BR108" t="s">
        <v>700</v>
      </c>
      <c r="BS108" t="s">
        <v>704</v>
      </c>
      <c r="BT108" t="s">
        <v>705</v>
      </c>
      <c r="BU108" t="s">
        <v>706</v>
      </c>
      <c r="CT108"/>
      <c r="CU108"/>
      <c r="CV108"/>
    </row>
    <row r="109" spans="1:100" x14ac:dyDescent="0.4">
      <c r="A109" s="2" t="s">
        <v>133</v>
      </c>
      <c r="B109" t="str">
        <f>_xlfn.TEXTAFTER(Table1[[#This Row],[VEHIDCODE]],"_")</f>
        <v>Canada_Canadian_Pacific_374</v>
      </c>
      <c r="C109" t="s">
        <v>738</v>
      </c>
      <c r="D109" t="s">
        <v>956</v>
      </c>
      <c r="E109">
        <v>4047</v>
      </c>
      <c r="F109" t="b">
        <f>OR(ISNUMBER(SEARCH("wagon_",Table1[[#This Row],[FILENAMES_EXPECTED]])),ISNUMBER(SEARCH("coach_",Table1[[#This Row],[FILENAMES_EXPECTED]])))</f>
        <v>0</v>
      </c>
      <c r="G109" t="str">
        <f>"item_"&amp;Table1[[#This Row],[VEHIDCODE]]</f>
        <v>item_steam_Canada_Canadian_Pacific_374</v>
      </c>
      <c r="H109" t="str">
        <f>"str_"&amp;Table1[[#This Row],[VEHIDCODE]]</f>
        <v>str_steam_Canada_Canadian_Pacific_374</v>
      </c>
      <c r="Q109" s="2" t="b">
        <v>1</v>
      </c>
      <c r="AL109" s="2"/>
      <c r="AM109" s="2" t="b">
        <f>LEN(_xlfn.CONCAT(Table1[[#This Row],[TRACK_TYPE_STANDARD_GAUGE_RAILTYPE_OHLE]:[TRACK_TYPE_MTRO]]))&gt;0</f>
        <v>1</v>
      </c>
      <c r="AN109">
        <v>8</v>
      </c>
      <c r="AO109" t="s">
        <v>18</v>
      </c>
      <c r="AP109">
        <v>0</v>
      </c>
      <c r="AQ109" t="s">
        <v>23</v>
      </c>
      <c r="AR109">
        <v>0</v>
      </c>
      <c r="AS109">
        <v>1886</v>
      </c>
      <c r="AT109">
        <v>6</v>
      </c>
      <c r="AU109" s="2" t="s">
        <v>20</v>
      </c>
      <c r="AV109" t="b">
        <v>1</v>
      </c>
      <c r="AX109" s="2"/>
      <c r="AY109">
        <v>45</v>
      </c>
      <c r="AZ109">
        <v>1</v>
      </c>
      <c r="BA109">
        <v>670</v>
      </c>
      <c r="BB109" t="s">
        <v>709</v>
      </c>
      <c r="BC109">
        <v>104</v>
      </c>
      <c r="BD109" s="2">
        <v>0.13</v>
      </c>
      <c r="BE109" t="s">
        <v>927</v>
      </c>
      <c r="BF109" t="s">
        <v>921</v>
      </c>
      <c r="BG109" t="s">
        <v>939</v>
      </c>
      <c r="BH109" s="7">
        <v>40</v>
      </c>
      <c r="BI10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109">
        <v>0</v>
      </c>
      <c r="BK109" t="s">
        <v>733</v>
      </c>
      <c r="BL109" s="11"/>
      <c r="BM109" s="11"/>
      <c r="BN109" s="11">
        <v>52</v>
      </c>
      <c r="BO109">
        <v>0</v>
      </c>
      <c r="BP109" t="s">
        <v>691</v>
      </c>
      <c r="BQ109" t="s">
        <v>693</v>
      </c>
      <c r="BR109" t="s">
        <v>700</v>
      </c>
      <c r="BS109" t="s">
        <v>704</v>
      </c>
      <c r="BT109" t="s">
        <v>705</v>
      </c>
      <c r="BU109" t="s">
        <v>706</v>
      </c>
      <c r="CT109"/>
      <c r="CU109"/>
      <c r="CV109"/>
    </row>
    <row r="110" spans="1:100" x14ac:dyDescent="0.4">
      <c r="A110" s="2" t="s">
        <v>134</v>
      </c>
      <c r="B110" t="str">
        <f>_xlfn.TEXTAFTER(Table1[[#This Row],[VEHIDCODE]],"_")</f>
        <v>South_Africa_PPR_35_tonner_4_6_0T</v>
      </c>
      <c r="C110" t="s">
        <v>738</v>
      </c>
      <c r="D110" t="s">
        <v>956</v>
      </c>
      <c r="E110">
        <v>4072</v>
      </c>
      <c r="F110" t="b">
        <f>OR(ISNUMBER(SEARCH("wagon_",Table1[[#This Row],[FILENAMES_EXPECTED]])),ISNUMBER(SEARCH("coach_",Table1[[#This Row],[FILENAMES_EXPECTED]])))</f>
        <v>0</v>
      </c>
      <c r="G110" t="str">
        <f>"item_"&amp;Table1[[#This Row],[VEHIDCODE]]</f>
        <v>item_steam_South_Africa_PPR_35_tonner_4_6_0T</v>
      </c>
      <c r="H110" t="str">
        <f>"str_"&amp;Table1[[#This Row],[VEHIDCODE]]</f>
        <v>str_steam_South_Africa_PPR_35_tonner_4_6_0T</v>
      </c>
      <c r="Q110" s="2" t="b">
        <v>1</v>
      </c>
      <c r="AL110" s="2"/>
      <c r="AM110" s="2" t="b">
        <f>LEN(_xlfn.CONCAT(Table1[[#This Row],[TRACK_TYPE_STANDARD_GAUGE_RAILTYPE_OHLE]:[TRACK_TYPE_MTRO]]))&gt;0</f>
        <v>1</v>
      </c>
      <c r="AN110">
        <v>5</v>
      </c>
      <c r="AO110" t="s">
        <v>18</v>
      </c>
      <c r="AP110">
        <v>0</v>
      </c>
      <c r="AQ110" t="s">
        <v>23</v>
      </c>
      <c r="AR110">
        <v>0</v>
      </c>
      <c r="AS110">
        <v>1887</v>
      </c>
      <c r="AT110">
        <v>5</v>
      </c>
      <c r="AU110" s="2" t="s">
        <v>20</v>
      </c>
      <c r="AV110" t="b">
        <v>1</v>
      </c>
      <c r="AX110" s="2"/>
      <c r="AY110">
        <v>45</v>
      </c>
      <c r="AZ110">
        <v>1</v>
      </c>
      <c r="BA110">
        <v>88</v>
      </c>
      <c r="BB110" t="s">
        <v>709</v>
      </c>
      <c r="BC110">
        <v>60</v>
      </c>
      <c r="BD110" s="2">
        <v>0.12</v>
      </c>
      <c r="BE110" t="s">
        <v>925</v>
      </c>
      <c r="BF110" t="s">
        <v>921</v>
      </c>
      <c r="BG110" t="s">
        <v>939</v>
      </c>
      <c r="BH110" s="7">
        <v>40</v>
      </c>
      <c r="BI11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110">
        <v>0</v>
      </c>
      <c r="BK110" t="s">
        <v>733</v>
      </c>
      <c r="BL110" s="11"/>
      <c r="BM110" s="11"/>
      <c r="BN110" s="11">
        <v>36</v>
      </c>
      <c r="BO110">
        <v>0</v>
      </c>
      <c r="BP110" t="s">
        <v>691</v>
      </c>
      <c r="BQ110" t="s">
        <v>693</v>
      </c>
      <c r="BR110" t="s">
        <v>700</v>
      </c>
      <c r="BS110" t="s">
        <v>704</v>
      </c>
      <c r="BT110" t="s">
        <v>705</v>
      </c>
      <c r="BU110" t="s">
        <v>706</v>
      </c>
      <c r="CT110"/>
      <c r="CU110"/>
      <c r="CV110"/>
    </row>
    <row r="111" spans="1:100" x14ac:dyDescent="0.4">
      <c r="A111" s="2" t="s">
        <v>135</v>
      </c>
      <c r="B111" t="str">
        <f>_xlfn.TEXTAFTER(Table1[[#This Row],[VEHIDCODE]],"_")</f>
        <v>Spain_RENFE_Class_040</v>
      </c>
      <c r="C111" t="s">
        <v>738</v>
      </c>
      <c r="D111" t="s">
        <v>956</v>
      </c>
      <c r="E111">
        <v>4050</v>
      </c>
      <c r="F111" t="b">
        <f>OR(ISNUMBER(SEARCH("wagon_",Table1[[#This Row],[FILENAMES_EXPECTED]])),ISNUMBER(SEARCH("coach_",Table1[[#This Row],[FILENAMES_EXPECTED]])))</f>
        <v>0</v>
      </c>
      <c r="G111" t="str">
        <f>"item_"&amp;Table1[[#This Row],[VEHIDCODE]]</f>
        <v>item_steam_Spain_RENFE_Class_040</v>
      </c>
      <c r="H111" t="str">
        <f>"str_"&amp;Table1[[#This Row],[VEHIDCODE]]</f>
        <v>str_steam_Spain_RENFE_Class_040</v>
      </c>
      <c r="Q111" s="2" t="b">
        <v>1</v>
      </c>
      <c r="AL111" s="2"/>
      <c r="AM111" s="2" t="b">
        <f>LEN(_xlfn.CONCAT(Table1[[#This Row],[TRACK_TYPE_STANDARD_GAUGE_RAILTYPE_OHLE]:[TRACK_TYPE_MTRO]]))&gt;0</f>
        <v>1</v>
      </c>
      <c r="AN111">
        <v>6</v>
      </c>
      <c r="AO111" t="s">
        <v>18</v>
      </c>
      <c r="AP111">
        <v>0</v>
      </c>
      <c r="AQ111" t="s">
        <v>23</v>
      </c>
      <c r="AR111">
        <v>0</v>
      </c>
      <c r="AS111">
        <v>1891</v>
      </c>
      <c r="AT111">
        <v>6</v>
      </c>
      <c r="AU111" s="2" t="s">
        <v>20</v>
      </c>
      <c r="AV111" t="b">
        <v>1</v>
      </c>
      <c r="AX111" s="2"/>
      <c r="AY111">
        <v>45</v>
      </c>
      <c r="AZ111">
        <v>1</v>
      </c>
      <c r="BA111">
        <v>665</v>
      </c>
      <c r="BB111" t="s">
        <v>709</v>
      </c>
      <c r="BC111">
        <v>80</v>
      </c>
      <c r="BD111" s="2">
        <v>0.1</v>
      </c>
      <c r="BE111" t="s">
        <v>923</v>
      </c>
      <c r="BF111" t="s">
        <v>921</v>
      </c>
      <c r="BG111" t="s">
        <v>939</v>
      </c>
      <c r="BH111" s="7">
        <v>40</v>
      </c>
      <c r="BI11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111">
        <v>0</v>
      </c>
      <c r="BK111" t="s">
        <v>733</v>
      </c>
      <c r="BL111" s="11"/>
      <c r="BM111" s="11"/>
      <c r="BN111" s="11">
        <v>73</v>
      </c>
      <c r="BO111">
        <v>0</v>
      </c>
      <c r="BP111" t="s">
        <v>691</v>
      </c>
      <c r="BQ111" t="s">
        <v>693</v>
      </c>
      <c r="BR111" t="s">
        <v>700</v>
      </c>
      <c r="BS111" t="s">
        <v>704</v>
      </c>
      <c r="BT111" t="s">
        <v>705</v>
      </c>
      <c r="BU111" t="s">
        <v>706</v>
      </c>
      <c r="CT111"/>
      <c r="CU111"/>
      <c r="CV111"/>
    </row>
    <row r="112" spans="1:100" x14ac:dyDescent="0.4">
      <c r="A112" s="2" t="s">
        <v>136</v>
      </c>
      <c r="B112" t="str">
        <f>_xlfn.TEXTAFTER(Table1[[#This Row],[VEHIDCODE]],"_")</f>
        <v>Germany_Saxon_IV_K</v>
      </c>
      <c r="C112" t="s">
        <v>738</v>
      </c>
      <c r="D112" t="s">
        <v>956</v>
      </c>
      <c r="E112">
        <v>4051</v>
      </c>
      <c r="F112" t="b">
        <f>OR(ISNUMBER(SEARCH("wagon_",Table1[[#This Row],[FILENAMES_EXPECTED]])),ISNUMBER(SEARCH("coach_",Table1[[#This Row],[FILENAMES_EXPECTED]])))</f>
        <v>0</v>
      </c>
      <c r="G112" t="str">
        <f>"item_"&amp;Table1[[#This Row],[VEHIDCODE]]</f>
        <v>item_steam_Germany_Saxon_IV_K</v>
      </c>
      <c r="H112" t="str">
        <f>"str_"&amp;Table1[[#This Row],[VEHIDCODE]]</f>
        <v>str_steam_Germany_Saxon_IV_K</v>
      </c>
      <c r="Q112" s="2" t="b">
        <v>1</v>
      </c>
      <c r="AL112" s="2"/>
      <c r="AM112" s="2" t="b">
        <f>LEN(_xlfn.CONCAT(Table1[[#This Row],[TRACK_TYPE_STANDARD_GAUGE_RAILTYPE_OHLE]:[TRACK_TYPE_MTRO]]))&gt;0</f>
        <v>1</v>
      </c>
      <c r="AN112">
        <v>6</v>
      </c>
      <c r="AO112" t="s">
        <v>18</v>
      </c>
      <c r="AP112">
        <v>0</v>
      </c>
      <c r="AQ112" t="s">
        <v>23</v>
      </c>
      <c r="AR112">
        <v>0</v>
      </c>
      <c r="AS112">
        <v>1892</v>
      </c>
      <c r="AT112">
        <v>6</v>
      </c>
      <c r="AU112" s="2" t="s">
        <v>20</v>
      </c>
      <c r="AV112" t="b">
        <v>1</v>
      </c>
      <c r="AX112" s="2"/>
      <c r="AY112">
        <v>45</v>
      </c>
      <c r="AZ112">
        <v>1</v>
      </c>
      <c r="BA112">
        <v>206</v>
      </c>
      <c r="BB112" t="s">
        <v>709</v>
      </c>
      <c r="BC112">
        <v>30</v>
      </c>
      <c r="BD112" s="2">
        <v>0.14000000000000001</v>
      </c>
      <c r="BE112" t="s">
        <v>922</v>
      </c>
      <c r="BF112" t="s">
        <v>921</v>
      </c>
      <c r="BG112" t="s">
        <v>939</v>
      </c>
      <c r="BH112" s="7">
        <v>40</v>
      </c>
      <c r="BI11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112">
        <v>0</v>
      </c>
      <c r="BK112" t="s">
        <v>733</v>
      </c>
      <c r="BL112" s="11"/>
      <c r="BM112" s="11"/>
      <c r="BN112" s="11">
        <v>27</v>
      </c>
      <c r="BO112">
        <v>0</v>
      </c>
      <c r="BP112" t="s">
        <v>691</v>
      </c>
      <c r="BQ112" t="s">
        <v>693</v>
      </c>
      <c r="BR112" t="s">
        <v>700</v>
      </c>
      <c r="BS112" t="s">
        <v>704</v>
      </c>
      <c r="BT112" t="s">
        <v>705</v>
      </c>
      <c r="BU112" t="s">
        <v>706</v>
      </c>
      <c r="CT112"/>
      <c r="CU112"/>
      <c r="CV112"/>
    </row>
    <row r="113" spans="1:100" x14ac:dyDescent="0.4">
      <c r="A113" s="2" t="s">
        <v>137</v>
      </c>
      <c r="B113" t="str">
        <f>_xlfn.TEXTAFTER(Table1[[#This Row],[VEHIDCODE]],"_")</f>
        <v>Germany_Prussian_S_3</v>
      </c>
      <c r="C113" t="s">
        <v>738</v>
      </c>
      <c r="D113" t="s">
        <v>956</v>
      </c>
      <c r="E113">
        <v>4052</v>
      </c>
      <c r="F113" t="b">
        <f>OR(ISNUMBER(SEARCH("wagon_",Table1[[#This Row],[FILENAMES_EXPECTED]])),ISNUMBER(SEARCH("coach_",Table1[[#This Row],[FILENAMES_EXPECTED]])))</f>
        <v>0</v>
      </c>
      <c r="G113" t="str">
        <f>"item_"&amp;Table1[[#This Row],[VEHIDCODE]]</f>
        <v>item_steam_Germany_Prussian_S_3</v>
      </c>
      <c r="H113" t="str">
        <f>"str_"&amp;Table1[[#This Row],[VEHIDCODE]]</f>
        <v>str_steam_Germany_Prussian_S_3</v>
      </c>
      <c r="Q113" s="2" t="b">
        <v>1</v>
      </c>
      <c r="AL113" s="2"/>
      <c r="AM113" s="2" t="b">
        <f>LEN(_xlfn.CONCAT(Table1[[#This Row],[TRACK_TYPE_STANDARD_GAUGE_RAILTYPE_OHLE]:[TRACK_TYPE_MTRO]]))&gt;0</f>
        <v>1</v>
      </c>
      <c r="AN113">
        <v>8</v>
      </c>
      <c r="AO113" t="s">
        <v>18</v>
      </c>
      <c r="AP113">
        <v>0</v>
      </c>
      <c r="AQ113" t="s">
        <v>23</v>
      </c>
      <c r="AR113">
        <v>0</v>
      </c>
      <c r="AS113">
        <v>1893</v>
      </c>
      <c r="AT113">
        <v>7</v>
      </c>
      <c r="AU113" s="2" t="s">
        <v>20</v>
      </c>
      <c r="AV113" t="b">
        <v>1</v>
      </c>
      <c r="AX113" s="2"/>
      <c r="AY113">
        <v>45</v>
      </c>
      <c r="AZ113">
        <v>1</v>
      </c>
      <c r="BA113">
        <v>580</v>
      </c>
      <c r="BB113" t="s">
        <v>709</v>
      </c>
      <c r="BC113">
        <v>100</v>
      </c>
      <c r="BD113" s="2">
        <v>0.13</v>
      </c>
      <c r="BE113" t="s">
        <v>922</v>
      </c>
      <c r="BF113" t="s">
        <v>921</v>
      </c>
      <c r="BG113" t="s">
        <v>939</v>
      </c>
      <c r="BH113" s="7">
        <v>40</v>
      </c>
      <c r="BI11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113">
        <v>0</v>
      </c>
      <c r="BK113" t="s">
        <v>733</v>
      </c>
      <c r="BL113" s="11"/>
      <c r="BM113" s="11"/>
      <c r="BN113" s="11">
        <v>50</v>
      </c>
      <c r="BO113">
        <v>0</v>
      </c>
      <c r="BP113" t="s">
        <v>691</v>
      </c>
      <c r="BQ113" t="s">
        <v>693</v>
      </c>
      <c r="BR113" t="s">
        <v>700</v>
      </c>
      <c r="BS113" t="s">
        <v>704</v>
      </c>
      <c r="BT113" t="s">
        <v>705</v>
      </c>
      <c r="BU113" t="s">
        <v>706</v>
      </c>
      <c r="CT113"/>
      <c r="CU113"/>
      <c r="CV113"/>
    </row>
    <row r="114" spans="1:100" x14ac:dyDescent="0.4">
      <c r="A114" s="2" t="s">
        <v>138</v>
      </c>
      <c r="B114" t="str">
        <f>_xlfn.TEXTAFTER(Table1[[#This Row],[VEHIDCODE]],"_")</f>
        <v>Norway_NSB_Class_XXI</v>
      </c>
      <c r="C114" t="s">
        <v>738</v>
      </c>
      <c r="D114" t="s">
        <v>956</v>
      </c>
      <c r="E114">
        <v>4053</v>
      </c>
      <c r="F114" t="b">
        <f>OR(ISNUMBER(SEARCH("wagon_",Table1[[#This Row],[FILENAMES_EXPECTED]])),ISNUMBER(SEARCH("coach_",Table1[[#This Row],[FILENAMES_EXPECTED]])))</f>
        <v>0</v>
      </c>
      <c r="G114" t="str">
        <f>"item_"&amp;Table1[[#This Row],[VEHIDCODE]]</f>
        <v>item_steam_Norway_NSB_Class_XXI</v>
      </c>
      <c r="H114" t="str">
        <f>"str_"&amp;Table1[[#This Row],[VEHIDCODE]]</f>
        <v>str_steam_Norway_NSB_Class_XXI</v>
      </c>
      <c r="Q114" s="2" t="b">
        <v>1</v>
      </c>
      <c r="AL114" s="2"/>
      <c r="AM114" s="2" t="b">
        <f>LEN(_xlfn.CONCAT(Table1[[#This Row],[TRACK_TYPE_STANDARD_GAUGE_RAILTYPE_OHLE]:[TRACK_TYPE_MTRO]]))&gt;0</f>
        <v>1</v>
      </c>
      <c r="AN114">
        <v>7</v>
      </c>
      <c r="AO114" t="s">
        <v>18</v>
      </c>
      <c r="AP114">
        <v>0</v>
      </c>
      <c r="AQ114" t="s">
        <v>23</v>
      </c>
      <c r="AR114">
        <v>0</v>
      </c>
      <c r="AS114">
        <v>1894</v>
      </c>
      <c r="AT114">
        <v>7</v>
      </c>
      <c r="AU114" s="2" t="s">
        <v>20</v>
      </c>
      <c r="AV114" t="b">
        <v>1</v>
      </c>
      <c r="AX114" s="2"/>
      <c r="AY114">
        <v>45</v>
      </c>
      <c r="AZ114">
        <v>0</v>
      </c>
      <c r="BA114">
        <v>98</v>
      </c>
      <c r="BB114" t="s">
        <v>709</v>
      </c>
      <c r="BC114">
        <v>40</v>
      </c>
      <c r="BD114" s="2">
        <v>0.17</v>
      </c>
      <c r="BE114" t="s">
        <v>926</v>
      </c>
      <c r="BF114" t="s">
        <v>921</v>
      </c>
      <c r="BG114" t="s">
        <v>939</v>
      </c>
      <c r="BH114" s="7">
        <v>40</v>
      </c>
      <c r="BI11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114">
        <v>0</v>
      </c>
      <c r="BK114" t="s">
        <v>733</v>
      </c>
      <c r="BL114" s="11"/>
      <c r="BM114" s="11"/>
      <c r="BN114" s="11">
        <v>19</v>
      </c>
      <c r="BO114">
        <v>0</v>
      </c>
      <c r="BP114" t="s">
        <v>691</v>
      </c>
      <c r="BQ114" t="s">
        <v>693</v>
      </c>
      <c r="BR114" t="s">
        <v>700</v>
      </c>
      <c r="BS114" t="s">
        <v>704</v>
      </c>
      <c r="BT114" t="s">
        <v>705</v>
      </c>
      <c r="BU114" t="s">
        <v>706</v>
      </c>
      <c r="CT114"/>
      <c r="CU114"/>
      <c r="CV114"/>
    </row>
    <row r="115" spans="1:100" x14ac:dyDescent="0.4">
      <c r="A115" s="2" t="s">
        <v>139</v>
      </c>
      <c r="B115" t="str">
        <f>_xlfn.TEXTAFTER(Table1[[#This Row],[VEHIDCODE]],"_")</f>
        <v>USA_PRR_D16</v>
      </c>
      <c r="C115" t="s">
        <v>738</v>
      </c>
      <c r="D115" t="s">
        <v>956</v>
      </c>
      <c r="E115">
        <v>4054</v>
      </c>
      <c r="F115" t="b">
        <f>OR(ISNUMBER(SEARCH("wagon_",Table1[[#This Row],[FILENAMES_EXPECTED]])),ISNUMBER(SEARCH("coach_",Table1[[#This Row],[FILENAMES_EXPECTED]])))</f>
        <v>0</v>
      </c>
      <c r="G115" t="str">
        <f>"item_"&amp;Table1[[#This Row],[VEHIDCODE]]</f>
        <v>item_steam_USA_PRR_D16</v>
      </c>
      <c r="H115" t="str">
        <f>"str_"&amp;Table1[[#This Row],[VEHIDCODE]]</f>
        <v>str_steam_USA_PRR_D16</v>
      </c>
      <c r="Q115" s="2" t="b">
        <v>1</v>
      </c>
      <c r="AL115" s="2"/>
      <c r="AM115" s="2" t="b">
        <f>LEN(_xlfn.CONCAT(Table1[[#This Row],[TRACK_TYPE_STANDARD_GAUGE_RAILTYPE_OHLE]:[TRACK_TYPE_MTRO]]))&gt;0</f>
        <v>1</v>
      </c>
      <c r="AN115">
        <v>8</v>
      </c>
      <c r="AO115" t="s">
        <v>18</v>
      </c>
      <c r="AP115">
        <v>0</v>
      </c>
      <c r="AQ115" t="s">
        <v>23</v>
      </c>
      <c r="AR115">
        <v>0</v>
      </c>
      <c r="AS115">
        <v>1895</v>
      </c>
      <c r="AT115">
        <v>7</v>
      </c>
      <c r="AU115" s="2" t="s">
        <v>20</v>
      </c>
      <c r="AV115" t="b">
        <v>1</v>
      </c>
      <c r="AX115" s="2"/>
      <c r="AY115">
        <v>45</v>
      </c>
      <c r="AZ115">
        <v>1</v>
      </c>
      <c r="BA115">
        <v>1090</v>
      </c>
      <c r="BB115" t="s">
        <v>709</v>
      </c>
      <c r="BC115">
        <v>128</v>
      </c>
      <c r="BD115" s="2">
        <v>0.17</v>
      </c>
      <c r="BE115" t="s">
        <v>927</v>
      </c>
      <c r="BF115" t="s">
        <v>921</v>
      </c>
      <c r="BG115" t="s">
        <v>939</v>
      </c>
      <c r="BH115" s="7">
        <v>40</v>
      </c>
      <c r="BI11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115">
        <v>0</v>
      </c>
      <c r="BK115" t="s">
        <v>733</v>
      </c>
      <c r="BL115" s="11"/>
      <c r="BM115" s="11"/>
      <c r="BN115" s="11">
        <v>64</v>
      </c>
      <c r="BO115">
        <v>0</v>
      </c>
      <c r="BP115" t="s">
        <v>691</v>
      </c>
      <c r="BQ115" t="s">
        <v>693</v>
      </c>
      <c r="BR115" t="s">
        <v>700</v>
      </c>
      <c r="BS115" t="s">
        <v>704</v>
      </c>
      <c r="BT115" t="s">
        <v>705</v>
      </c>
      <c r="BU115" t="s">
        <v>706</v>
      </c>
      <c r="CT115"/>
      <c r="CU115"/>
      <c r="CV115"/>
    </row>
    <row r="116" spans="1:100" x14ac:dyDescent="0.4">
      <c r="A116" s="2" t="s">
        <v>140</v>
      </c>
      <c r="B116" t="str">
        <f>_xlfn.TEXTAFTER(Table1[[#This Row],[VEHIDCODE]],"_")</f>
        <v>Netherlands_NS_8100</v>
      </c>
      <c r="C116" t="s">
        <v>738</v>
      </c>
      <c r="D116" t="s">
        <v>956</v>
      </c>
      <c r="E116">
        <v>4055</v>
      </c>
      <c r="F116" t="b">
        <f>OR(ISNUMBER(SEARCH("wagon_",Table1[[#This Row],[FILENAMES_EXPECTED]])),ISNUMBER(SEARCH("coach_",Table1[[#This Row],[FILENAMES_EXPECTED]])))</f>
        <v>0</v>
      </c>
      <c r="G116" t="str">
        <f>"item_"&amp;Table1[[#This Row],[VEHIDCODE]]</f>
        <v>item_steam_Netherlands_NS_8100</v>
      </c>
      <c r="H116" t="str">
        <f>"str_"&amp;Table1[[#This Row],[VEHIDCODE]]</f>
        <v>str_steam_Netherlands_NS_8100</v>
      </c>
      <c r="Q116" s="2" t="b">
        <v>1</v>
      </c>
      <c r="AL116" s="2"/>
      <c r="AM116" s="2" t="b">
        <f>LEN(_xlfn.CONCAT(Table1[[#This Row],[TRACK_TYPE_STANDARD_GAUGE_RAILTYPE_OHLE]:[TRACK_TYPE_MTRO]]))&gt;0</f>
        <v>1</v>
      </c>
      <c r="AN116">
        <v>4</v>
      </c>
      <c r="AO116" t="s">
        <v>18</v>
      </c>
      <c r="AP116">
        <v>0</v>
      </c>
      <c r="AQ116" t="s">
        <v>23</v>
      </c>
      <c r="AR116">
        <v>0</v>
      </c>
      <c r="AS116">
        <v>1901</v>
      </c>
      <c r="AT116">
        <v>4</v>
      </c>
      <c r="AU116" s="2" t="s">
        <v>20</v>
      </c>
      <c r="AV116" t="b">
        <v>1</v>
      </c>
      <c r="AX116" s="2"/>
      <c r="AY116">
        <v>45</v>
      </c>
      <c r="AZ116">
        <v>1</v>
      </c>
      <c r="BA116">
        <v>290</v>
      </c>
      <c r="BB116" t="s">
        <v>709</v>
      </c>
      <c r="BC116">
        <v>45</v>
      </c>
      <c r="BD116" s="2">
        <v>0.14000000000000001</v>
      </c>
      <c r="BE116" t="s">
        <v>922</v>
      </c>
      <c r="BF116" t="s">
        <v>921</v>
      </c>
      <c r="BG116" t="s">
        <v>939</v>
      </c>
      <c r="BH116" s="7">
        <v>40</v>
      </c>
      <c r="BI11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116">
        <v>0</v>
      </c>
      <c r="BK116" t="s">
        <v>733</v>
      </c>
      <c r="BL116" s="11"/>
      <c r="BM116" s="11"/>
      <c r="BN116" s="11">
        <v>33</v>
      </c>
      <c r="BO116">
        <v>0</v>
      </c>
      <c r="BP116" t="s">
        <v>691</v>
      </c>
      <c r="BQ116" t="s">
        <v>693</v>
      </c>
      <c r="BR116" t="s">
        <v>700</v>
      </c>
      <c r="BS116" t="s">
        <v>704</v>
      </c>
      <c r="BT116" t="s">
        <v>705</v>
      </c>
      <c r="BU116" t="s">
        <v>706</v>
      </c>
      <c r="CT116"/>
      <c r="CU116"/>
      <c r="CV116"/>
    </row>
    <row r="117" spans="1:100" x14ac:dyDescent="0.4">
      <c r="A117" s="2" t="s">
        <v>141</v>
      </c>
      <c r="B117" t="str">
        <f>_xlfn.TEXTAFTER(Table1[[#This Row],[VEHIDCODE]],"_")</f>
        <v>South_Africa_SAR_MD_Class</v>
      </c>
      <c r="C117" t="s">
        <v>738</v>
      </c>
      <c r="D117" t="s">
        <v>956</v>
      </c>
      <c r="E117">
        <v>4056</v>
      </c>
      <c r="F117" t="b">
        <f>OR(ISNUMBER(SEARCH("wagon_",Table1[[#This Row],[FILENAMES_EXPECTED]])),ISNUMBER(SEARCH("coach_",Table1[[#This Row],[FILENAMES_EXPECTED]])))</f>
        <v>0</v>
      </c>
      <c r="G117" t="str">
        <f>"item_"&amp;Table1[[#This Row],[VEHIDCODE]]</f>
        <v>item_steam_South_Africa_SAR_MD_Class</v>
      </c>
      <c r="H117" t="str">
        <f>"str_"&amp;Table1[[#This Row],[VEHIDCODE]]</f>
        <v>str_steam_South_Africa_SAR_MD_Class</v>
      </c>
      <c r="Z117" s="2" t="b">
        <v>1</v>
      </c>
      <c r="AL117" s="2"/>
      <c r="AM117" s="2" t="b">
        <f>LEN(_xlfn.CONCAT(Table1[[#This Row],[TRACK_TYPE_STANDARD_GAUGE_RAILTYPE_OHLE]:[TRACK_TYPE_MTRO]]))&gt;0</f>
        <v>1</v>
      </c>
      <c r="AN117">
        <v>10</v>
      </c>
      <c r="AO117" t="s">
        <v>18</v>
      </c>
      <c r="AP117">
        <v>0</v>
      </c>
      <c r="AQ117" t="s">
        <v>23</v>
      </c>
      <c r="AR117">
        <v>0</v>
      </c>
      <c r="AS117">
        <v>1910</v>
      </c>
      <c r="AT117">
        <v>8</v>
      </c>
      <c r="AU117" s="2" t="s">
        <v>20</v>
      </c>
      <c r="AV117" t="b">
        <v>1</v>
      </c>
      <c r="AX117" s="2"/>
      <c r="AY117">
        <v>45</v>
      </c>
      <c r="AZ117">
        <v>1</v>
      </c>
      <c r="BA117">
        <v>1360</v>
      </c>
      <c r="BB117" t="s">
        <v>709</v>
      </c>
      <c r="BC117">
        <v>65</v>
      </c>
      <c r="BD117" s="2">
        <v>0.2</v>
      </c>
      <c r="BE117" t="s">
        <v>925</v>
      </c>
      <c r="BF117" t="s">
        <v>921</v>
      </c>
      <c r="BG117" t="s">
        <v>939</v>
      </c>
      <c r="BH117" s="7">
        <v>40</v>
      </c>
      <c r="BI11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117">
        <v>0</v>
      </c>
      <c r="BK117" t="s">
        <v>733</v>
      </c>
      <c r="BL117" s="11"/>
      <c r="BM117" s="11"/>
      <c r="BN117" s="11">
        <v>102</v>
      </c>
      <c r="BO117">
        <v>0</v>
      </c>
      <c r="BP117" t="s">
        <v>691</v>
      </c>
      <c r="BQ117" t="s">
        <v>693</v>
      </c>
      <c r="BR117" t="s">
        <v>700</v>
      </c>
      <c r="BS117" t="s">
        <v>704</v>
      </c>
      <c r="BT117" t="s">
        <v>705</v>
      </c>
      <c r="BU117" t="s">
        <v>706</v>
      </c>
      <c r="CT117"/>
      <c r="CU117"/>
      <c r="CV117"/>
    </row>
    <row r="118" spans="1:100" x14ac:dyDescent="0.4">
      <c r="A118" s="2" t="s">
        <v>142</v>
      </c>
      <c r="B118" t="str">
        <f>_xlfn.TEXTAFTER(Table1[[#This Row],[VEHIDCODE]],"_")</f>
        <v>Angola_South_West_African_2_8_0</v>
      </c>
      <c r="C118" t="s">
        <v>738</v>
      </c>
      <c r="D118" t="s">
        <v>956</v>
      </c>
      <c r="E118">
        <v>4057</v>
      </c>
      <c r="F118" t="b">
        <f>OR(ISNUMBER(SEARCH("wagon_",Table1[[#This Row],[FILENAMES_EXPECTED]])),ISNUMBER(SEARCH("coach_",Table1[[#This Row],[FILENAMES_EXPECTED]])))</f>
        <v>0</v>
      </c>
      <c r="G118" t="str">
        <f>"item_"&amp;Table1[[#This Row],[VEHIDCODE]]</f>
        <v>item_steam_Angola_South_West_African_2_8_0</v>
      </c>
      <c r="H118" t="str">
        <f>"str_"&amp;Table1[[#This Row],[VEHIDCODE]]</f>
        <v>str_steam_Angola_South_West_African_2_8_0</v>
      </c>
      <c r="Q118" s="2" t="b">
        <v>1</v>
      </c>
      <c r="AL118" s="2"/>
      <c r="AM118" s="2" t="b">
        <f>LEN(_xlfn.CONCAT(Table1[[#This Row],[TRACK_TYPE_STANDARD_GAUGE_RAILTYPE_OHLE]:[TRACK_TYPE_MTRO]]))&gt;0</f>
        <v>1</v>
      </c>
      <c r="AN118">
        <v>8</v>
      </c>
      <c r="AO118" t="s">
        <v>18</v>
      </c>
      <c r="AP118">
        <v>0</v>
      </c>
      <c r="AQ118" t="s">
        <v>23</v>
      </c>
      <c r="AR118">
        <v>0</v>
      </c>
      <c r="AS118">
        <v>1911</v>
      </c>
      <c r="AT118">
        <v>6</v>
      </c>
      <c r="AU118" s="2" t="s">
        <v>20</v>
      </c>
      <c r="AV118" t="b">
        <v>1</v>
      </c>
      <c r="AX118" s="2"/>
      <c r="AY118">
        <v>45</v>
      </c>
      <c r="AZ118">
        <v>1</v>
      </c>
      <c r="BA118">
        <v>640</v>
      </c>
      <c r="BB118" t="s">
        <v>709</v>
      </c>
      <c r="BC118">
        <v>60</v>
      </c>
      <c r="BD118" s="2">
        <v>0.09</v>
      </c>
      <c r="BE118" t="s">
        <v>925</v>
      </c>
      <c r="BF118" t="s">
        <v>921</v>
      </c>
      <c r="BG118" t="s">
        <v>939</v>
      </c>
      <c r="BH118" s="7">
        <v>40</v>
      </c>
      <c r="BI11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118">
        <v>0</v>
      </c>
      <c r="BK118" t="s">
        <v>733</v>
      </c>
      <c r="BL118" s="11"/>
      <c r="BM118" s="11"/>
      <c r="BN118" s="11">
        <v>67</v>
      </c>
      <c r="BO118">
        <v>0</v>
      </c>
      <c r="BP118" t="s">
        <v>691</v>
      </c>
      <c r="BQ118" t="s">
        <v>693</v>
      </c>
      <c r="BR118" t="s">
        <v>700</v>
      </c>
      <c r="BS118" t="s">
        <v>704</v>
      </c>
      <c r="BT118" t="s">
        <v>705</v>
      </c>
      <c r="BU118" t="s">
        <v>706</v>
      </c>
      <c r="CT118"/>
      <c r="CU118"/>
      <c r="CV118"/>
    </row>
    <row r="119" spans="1:100" x14ac:dyDescent="0.4">
      <c r="A119" s="2" t="s">
        <v>143</v>
      </c>
      <c r="B119" t="str">
        <f>_xlfn.TEXTAFTER(Table1[[#This Row],[VEHIDCODE]],"_")</f>
        <v>UK_LNER_N7</v>
      </c>
      <c r="C119" t="s">
        <v>738</v>
      </c>
      <c r="D119" t="s">
        <v>956</v>
      </c>
      <c r="E119">
        <v>4058</v>
      </c>
      <c r="F119" t="b">
        <f>OR(ISNUMBER(SEARCH("wagon_",Table1[[#This Row],[FILENAMES_EXPECTED]])),ISNUMBER(SEARCH("coach_",Table1[[#This Row],[FILENAMES_EXPECTED]])))</f>
        <v>0</v>
      </c>
      <c r="G119" t="str">
        <f>"item_"&amp;Table1[[#This Row],[VEHIDCODE]]</f>
        <v>item_steam_UK_LNER_N7</v>
      </c>
      <c r="H119" t="str">
        <f>"str_"&amp;Table1[[#This Row],[VEHIDCODE]]</f>
        <v>str_steam_UK_LNER_N7</v>
      </c>
      <c r="Q119" s="2" t="b">
        <v>1</v>
      </c>
      <c r="AL119" s="2"/>
      <c r="AM119" s="2" t="b">
        <f>LEN(_xlfn.CONCAT(Table1[[#This Row],[TRACK_TYPE_STANDARD_GAUGE_RAILTYPE_OHLE]:[TRACK_TYPE_MTRO]]))&gt;0</f>
        <v>1</v>
      </c>
      <c r="AN119">
        <v>6</v>
      </c>
      <c r="AO119" t="s">
        <v>18</v>
      </c>
      <c r="AP119">
        <v>0</v>
      </c>
      <c r="AQ119" t="s">
        <v>23</v>
      </c>
      <c r="AR119">
        <v>0</v>
      </c>
      <c r="AS119">
        <v>1915</v>
      </c>
      <c r="AT119">
        <v>6</v>
      </c>
      <c r="AU119" s="2" t="s">
        <v>20</v>
      </c>
      <c r="AV119" t="b">
        <v>1</v>
      </c>
      <c r="AX119" s="2"/>
      <c r="AY119">
        <v>45</v>
      </c>
      <c r="AZ119">
        <v>1</v>
      </c>
      <c r="BA119">
        <v>680</v>
      </c>
      <c r="BB119" t="s">
        <v>709</v>
      </c>
      <c r="BC119">
        <v>90</v>
      </c>
      <c r="BD119" s="2">
        <v>0.14000000000000001</v>
      </c>
      <c r="BE119" t="s">
        <v>926</v>
      </c>
      <c r="BF119" t="s">
        <v>921</v>
      </c>
      <c r="BG119" t="s">
        <v>939</v>
      </c>
      <c r="BH119" s="7">
        <v>40</v>
      </c>
      <c r="BI11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119">
        <v>0</v>
      </c>
      <c r="BK119" t="s">
        <v>733</v>
      </c>
      <c r="BL119" s="11"/>
      <c r="BM119" s="11"/>
      <c r="BN119" s="11">
        <v>63</v>
      </c>
      <c r="BO119">
        <v>0</v>
      </c>
      <c r="BP119" t="s">
        <v>691</v>
      </c>
      <c r="BQ119" t="s">
        <v>693</v>
      </c>
      <c r="BR119" t="s">
        <v>700</v>
      </c>
      <c r="BS119" t="s">
        <v>704</v>
      </c>
      <c r="BT119" t="s">
        <v>705</v>
      </c>
      <c r="BU119" t="s">
        <v>706</v>
      </c>
      <c r="CT119"/>
      <c r="CU119"/>
      <c r="CV119"/>
    </row>
    <row r="120" spans="1:100" x14ac:dyDescent="0.4">
      <c r="A120" s="2" t="s">
        <v>144</v>
      </c>
      <c r="B120" t="str">
        <f>_xlfn.TEXTAFTER(Table1[[#This Row],[VEHIDCODE]],"_")</f>
        <v>Germany_Saxon_XX_HV</v>
      </c>
      <c r="C120" t="s">
        <v>738</v>
      </c>
      <c r="D120" t="s">
        <v>956</v>
      </c>
      <c r="E120">
        <v>4059</v>
      </c>
      <c r="F120" t="b">
        <f>OR(ISNUMBER(SEARCH("wagon_",Table1[[#This Row],[FILENAMES_EXPECTED]])),ISNUMBER(SEARCH("coach_",Table1[[#This Row],[FILENAMES_EXPECTED]])))</f>
        <v>0</v>
      </c>
      <c r="G120" t="str">
        <f>"item_"&amp;Table1[[#This Row],[VEHIDCODE]]</f>
        <v>item_steam_Germany_Saxon_XX_HV</v>
      </c>
      <c r="H120" t="str">
        <f>"str_"&amp;Table1[[#This Row],[VEHIDCODE]]</f>
        <v>str_steam_Germany_Saxon_XX_HV</v>
      </c>
      <c r="Q120" s="2" t="b">
        <v>1</v>
      </c>
      <c r="AL120" s="2"/>
      <c r="AM120" s="2" t="b">
        <f>LEN(_xlfn.CONCAT(Table1[[#This Row],[TRACK_TYPE_STANDARD_GAUGE_RAILTYPE_OHLE]:[TRACK_TYPE_MTRO]]))&gt;0</f>
        <v>1</v>
      </c>
      <c r="AN120">
        <v>12</v>
      </c>
      <c r="AO120" t="s">
        <v>18</v>
      </c>
      <c r="AP120">
        <v>0</v>
      </c>
      <c r="AQ120" t="s">
        <v>23</v>
      </c>
      <c r="AR120">
        <v>0</v>
      </c>
      <c r="AS120">
        <v>1918</v>
      </c>
      <c r="AT120">
        <v>8</v>
      </c>
      <c r="AU120" s="2" t="s">
        <v>20</v>
      </c>
      <c r="AV120" t="b">
        <v>1</v>
      </c>
      <c r="AX120" s="2"/>
      <c r="AY120">
        <v>45</v>
      </c>
      <c r="AZ120">
        <v>1</v>
      </c>
      <c r="BA120">
        <v>1800</v>
      </c>
      <c r="BB120" t="s">
        <v>709</v>
      </c>
      <c r="BC120">
        <v>120</v>
      </c>
      <c r="BD120" s="2">
        <v>0.23</v>
      </c>
      <c r="BE120" t="s">
        <v>922</v>
      </c>
      <c r="BF120" t="s">
        <v>921</v>
      </c>
      <c r="BG120" t="s">
        <v>939</v>
      </c>
      <c r="BH120" s="7">
        <v>40</v>
      </c>
      <c r="BI12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120">
        <v>0</v>
      </c>
      <c r="BK120" t="s">
        <v>733</v>
      </c>
      <c r="BL120" s="11"/>
      <c r="BM120" s="11"/>
      <c r="BN120" s="11">
        <v>91</v>
      </c>
      <c r="BO120">
        <v>0</v>
      </c>
      <c r="BP120" t="s">
        <v>691</v>
      </c>
      <c r="BQ120" t="s">
        <v>693</v>
      </c>
      <c r="BR120" t="s">
        <v>700</v>
      </c>
      <c r="BS120" t="s">
        <v>704</v>
      </c>
      <c r="BT120" t="s">
        <v>705</v>
      </c>
      <c r="BU120" t="s">
        <v>706</v>
      </c>
      <c r="CT120"/>
      <c r="CU120"/>
      <c r="CV120"/>
    </row>
    <row r="121" spans="1:100" x14ac:dyDescent="0.4">
      <c r="A121" s="2" t="s">
        <v>145</v>
      </c>
      <c r="B121" t="str">
        <f>_xlfn.TEXTAFTER(Table1[[#This Row],[VEHIDCODE]],"_")</f>
        <v>Belgium_NMBS_Type_7</v>
      </c>
      <c r="C121" t="s">
        <v>738</v>
      </c>
      <c r="D121" t="s">
        <v>956</v>
      </c>
      <c r="E121">
        <v>4060</v>
      </c>
      <c r="F121" t="b">
        <f>OR(ISNUMBER(SEARCH("wagon_",Table1[[#This Row],[FILENAMES_EXPECTED]])),ISNUMBER(SEARCH("coach_",Table1[[#This Row],[FILENAMES_EXPECTED]])))</f>
        <v>0</v>
      </c>
      <c r="G121" t="str">
        <f>"item_"&amp;Table1[[#This Row],[VEHIDCODE]]</f>
        <v>item_steam_Belgium_NMBS_Type_7</v>
      </c>
      <c r="H121" t="str">
        <f>"str_"&amp;Table1[[#This Row],[VEHIDCODE]]</f>
        <v>str_steam_Belgium_NMBS_Type_7</v>
      </c>
      <c r="Q121" s="2" t="b">
        <v>1</v>
      </c>
      <c r="AL121" s="2"/>
      <c r="AM121" s="2" t="b">
        <f>LEN(_xlfn.CONCAT(Table1[[#This Row],[TRACK_TYPE_STANDARD_GAUGE_RAILTYPE_OHLE]:[TRACK_TYPE_MTRO]]))&gt;0</f>
        <v>1</v>
      </c>
      <c r="AN121">
        <v>8</v>
      </c>
      <c r="AO121" t="s">
        <v>18</v>
      </c>
      <c r="AP121">
        <v>0</v>
      </c>
      <c r="AQ121" t="s">
        <v>23</v>
      </c>
      <c r="AR121">
        <v>0</v>
      </c>
      <c r="AS121">
        <v>1921</v>
      </c>
      <c r="AT121">
        <v>8</v>
      </c>
      <c r="AU121" s="2" t="s">
        <v>20</v>
      </c>
      <c r="AV121" t="b">
        <v>1</v>
      </c>
      <c r="AX121" s="2"/>
      <c r="AY121">
        <v>45</v>
      </c>
      <c r="AZ121">
        <v>1</v>
      </c>
      <c r="BA121">
        <v>2000</v>
      </c>
      <c r="BB121" t="s">
        <v>709</v>
      </c>
      <c r="BC121">
        <v>110</v>
      </c>
      <c r="BD121" s="2">
        <v>0.12</v>
      </c>
      <c r="BE121" t="s">
        <v>922</v>
      </c>
      <c r="BF121" t="s">
        <v>921</v>
      </c>
      <c r="BG121" t="s">
        <v>939</v>
      </c>
      <c r="BH121" s="7">
        <v>40</v>
      </c>
      <c r="BI12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121">
        <v>0</v>
      </c>
      <c r="BK121" t="s">
        <v>733</v>
      </c>
      <c r="BL121" s="11"/>
      <c r="BM121" s="11"/>
      <c r="BN121" s="11">
        <v>133</v>
      </c>
      <c r="BO121">
        <v>0</v>
      </c>
      <c r="BP121" t="s">
        <v>691</v>
      </c>
      <c r="BQ121" t="s">
        <v>693</v>
      </c>
      <c r="BR121" t="s">
        <v>700</v>
      </c>
      <c r="BS121" t="s">
        <v>704</v>
      </c>
      <c r="BT121" t="s">
        <v>705</v>
      </c>
      <c r="BU121" t="s">
        <v>706</v>
      </c>
      <c r="CT121"/>
      <c r="CU121"/>
      <c r="CV121"/>
    </row>
    <row r="122" spans="1:100" x14ac:dyDescent="0.4">
      <c r="A122" s="2" t="s">
        <v>146</v>
      </c>
      <c r="B122" t="str">
        <f>_xlfn.TEXTAFTER(Table1[[#This Row],[VEHIDCODE]],"_")</f>
        <v>Ireland_DSER_15</v>
      </c>
      <c r="C122" t="s">
        <v>738</v>
      </c>
      <c r="D122" t="s">
        <v>956</v>
      </c>
      <c r="E122">
        <v>4061</v>
      </c>
      <c r="F122" t="b">
        <f>OR(ISNUMBER(SEARCH("wagon_",Table1[[#This Row],[FILENAMES_EXPECTED]])),ISNUMBER(SEARCH("coach_",Table1[[#This Row],[FILENAMES_EXPECTED]])))</f>
        <v>0</v>
      </c>
      <c r="G122" t="str">
        <f>"item_"&amp;Table1[[#This Row],[VEHIDCODE]]</f>
        <v>item_steam_Ireland_DSER_15</v>
      </c>
      <c r="H122" t="str">
        <f>"str_"&amp;Table1[[#This Row],[VEHIDCODE]]</f>
        <v>str_steam_Ireland_DSER_15</v>
      </c>
      <c r="Q122" s="2" t="b">
        <v>1</v>
      </c>
      <c r="AL122" s="2"/>
      <c r="AM122" s="2" t="b">
        <f>LEN(_xlfn.CONCAT(Table1[[#This Row],[TRACK_TYPE_STANDARD_GAUGE_RAILTYPE_OHLE]:[TRACK_TYPE_MTRO]]))&gt;0</f>
        <v>1</v>
      </c>
      <c r="AN122">
        <v>8</v>
      </c>
      <c r="AO122" t="s">
        <v>18</v>
      </c>
      <c r="AP122">
        <v>0</v>
      </c>
      <c r="AQ122" t="s">
        <v>23</v>
      </c>
      <c r="AR122">
        <v>0</v>
      </c>
      <c r="AS122">
        <v>1922</v>
      </c>
      <c r="AT122">
        <v>7</v>
      </c>
      <c r="AU122" s="2" t="s">
        <v>20</v>
      </c>
      <c r="AV122" t="b">
        <v>1</v>
      </c>
      <c r="AX122" s="2"/>
      <c r="AY122">
        <v>45</v>
      </c>
      <c r="AZ122">
        <v>0</v>
      </c>
      <c r="BA122">
        <v>1160</v>
      </c>
      <c r="BB122" t="s">
        <v>709</v>
      </c>
      <c r="BC122">
        <v>120</v>
      </c>
      <c r="BD122" s="2">
        <v>0.12</v>
      </c>
      <c r="BE122" t="s">
        <v>926</v>
      </c>
      <c r="BF122" t="s">
        <v>921</v>
      </c>
      <c r="BG122" t="s">
        <v>939</v>
      </c>
      <c r="BH122" s="7">
        <v>40</v>
      </c>
      <c r="BI12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122">
        <v>0</v>
      </c>
      <c r="BK122" t="s">
        <v>733</v>
      </c>
      <c r="BL122" s="11"/>
      <c r="BM122" s="11"/>
      <c r="BN122" s="11">
        <v>84</v>
      </c>
      <c r="BO122">
        <v>0</v>
      </c>
      <c r="BP122" t="s">
        <v>691</v>
      </c>
      <c r="BQ122" t="s">
        <v>693</v>
      </c>
      <c r="BR122" t="s">
        <v>700</v>
      </c>
      <c r="BS122" t="s">
        <v>704</v>
      </c>
      <c r="BT122" t="s">
        <v>705</v>
      </c>
      <c r="BU122" t="s">
        <v>706</v>
      </c>
      <c r="CT122"/>
      <c r="CU122"/>
      <c r="CV122"/>
    </row>
    <row r="123" spans="1:100" x14ac:dyDescent="0.4">
      <c r="A123" s="2" t="s">
        <v>147</v>
      </c>
      <c r="B123" t="str">
        <f>_xlfn.TEXTAFTER(Table1[[#This Row],[VEHIDCODE]],"_")</f>
        <v>USA_Sierra_Railroad_28</v>
      </c>
      <c r="C123" t="s">
        <v>738</v>
      </c>
      <c r="D123" t="s">
        <v>956</v>
      </c>
      <c r="E123">
        <v>4062</v>
      </c>
      <c r="F123" t="b">
        <f>OR(ISNUMBER(SEARCH("wagon_",Table1[[#This Row],[FILENAMES_EXPECTED]])),ISNUMBER(SEARCH("coach_",Table1[[#This Row],[FILENAMES_EXPECTED]])))</f>
        <v>0</v>
      </c>
      <c r="G123" t="str">
        <f>"item_"&amp;Table1[[#This Row],[VEHIDCODE]]</f>
        <v>item_steam_USA_Sierra_Railroad_28</v>
      </c>
      <c r="H123" t="str">
        <f>"str_"&amp;Table1[[#This Row],[VEHIDCODE]]</f>
        <v>str_steam_USA_Sierra_Railroad_28</v>
      </c>
      <c r="Q123" s="2" t="b">
        <v>1</v>
      </c>
      <c r="AL123" s="2"/>
      <c r="AM123" s="2" t="b">
        <f>LEN(_xlfn.CONCAT(Table1[[#This Row],[TRACK_TYPE_STANDARD_GAUGE_RAILTYPE_OHLE]:[TRACK_TYPE_MTRO]]))&gt;0</f>
        <v>1</v>
      </c>
      <c r="AN123">
        <v>8</v>
      </c>
      <c r="AO123" t="s">
        <v>18</v>
      </c>
      <c r="AP123">
        <v>0</v>
      </c>
      <c r="AQ123" t="s">
        <v>23</v>
      </c>
      <c r="AR123">
        <v>0</v>
      </c>
      <c r="AS123">
        <v>1922</v>
      </c>
      <c r="AT123">
        <v>6</v>
      </c>
      <c r="AU123" s="2" t="s">
        <v>20</v>
      </c>
      <c r="AV123" t="b">
        <v>1</v>
      </c>
      <c r="AX123" s="2"/>
      <c r="AY123">
        <v>45</v>
      </c>
      <c r="AZ123">
        <v>1</v>
      </c>
      <c r="BA123">
        <v>1622</v>
      </c>
      <c r="BB123" t="s">
        <v>709</v>
      </c>
      <c r="BC123">
        <v>104</v>
      </c>
      <c r="BD123" s="2">
        <v>0.21</v>
      </c>
      <c r="BE123" t="s">
        <v>927</v>
      </c>
      <c r="BF123" t="s">
        <v>921</v>
      </c>
      <c r="BG123" t="s">
        <v>939</v>
      </c>
      <c r="BH123" s="7">
        <v>40</v>
      </c>
      <c r="BI12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123">
        <v>0</v>
      </c>
      <c r="BK123" t="s">
        <v>733</v>
      </c>
      <c r="BL123" s="11"/>
      <c r="BM123" s="11"/>
      <c r="BN123" s="11">
        <v>64</v>
      </c>
      <c r="BO123">
        <v>0</v>
      </c>
      <c r="BP123" t="s">
        <v>691</v>
      </c>
      <c r="BQ123" t="s">
        <v>693</v>
      </c>
      <c r="BR123" t="s">
        <v>700</v>
      </c>
      <c r="BS123" t="s">
        <v>704</v>
      </c>
      <c r="BT123" t="s">
        <v>705</v>
      </c>
      <c r="BU123" t="s">
        <v>706</v>
      </c>
      <c r="CT123"/>
      <c r="CU123"/>
      <c r="CV123"/>
    </row>
    <row r="124" spans="1:100" x14ac:dyDescent="0.4">
      <c r="A124" s="2" t="s">
        <v>148</v>
      </c>
      <c r="B124" t="str">
        <f>_xlfn.TEXTAFTER(Table1[[#This Row],[VEHIDCODE]],"_")</f>
        <v>Canada_CN_U_1_Class</v>
      </c>
      <c r="C124" t="s">
        <v>738</v>
      </c>
      <c r="D124" t="s">
        <v>956</v>
      </c>
      <c r="E124">
        <v>4063</v>
      </c>
      <c r="F124" t="b">
        <f>OR(ISNUMBER(SEARCH("wagon_",Table1[[#This Row],[FILENAMES_EXPECTED]])),ISNUMBER(SEARCH("coach_",Table1[[#This Row],[FILENAMES_EXPECTED]])))</f>
        <v>0</v>
      </c>
      <c r="G124" t="str">
        <f>"item_"&amp;Table1[[#This Row],[VEHIDCODE]]</f>
        <v>item_steam_Canada_CN_U_1_Class</v>
      </c>
      <c r="H124" t="str">
        <f>"str_"&amp;Table1[[#This Row],[VEHIDCODE]]</f>
        <v>str_steam_Canada_CN_U_1_Class</v>
      </c>
      <c r="Q124" s="2" t="b">
        <v>1</v>
      </c>
      <c r="AL124" s="2"/>
      <c r="AM124" s="2" t="b">
        <f>LEN(_xlfn.CONCAT(Table1[[#This Row],[TRACK_TYPE_STANDARD_GAUGE_RAILTYPE_OHLE]:[TRACK_TYPE_MTRO]]))&gt;0</f>
        <v>1</v>
      </c>
      <c r="AN124">
        <v>12</v>
      </c>
      <c r="AO124" t="s">
        <v>18</v>
      </c>
      <c r="AP124">
        <v>0</v>
      </c>
      <c r="AQ124" t="s">
        <v>23</v>
      </c>
      <c r="AR124">
        <v>0</v>
      </c>
      <c r="AS124">
        <v>1923</v>
      </c>
      <c r="AT124">
        <v>8</v>
      </c>
      <c r="AU124" s="2" t="s">
        <v>20</v>
      </c>
      <c r="AV124" t="b">
        <v>1</v>
      </c>
      <c r="AX124" s="2"/>
      <c r="AY124">
        <v>45</v>
      </c>
      <c r="AZ124">
        <v>1</v>
      </c>
      <c r="BA124">
        <v>2250</v>
      </c>
      <c r="BB124" t="s">
        <v>709</v>
      </c>
      <c r="BC124">
        <v>130</v>
      </c>
      <c r="BD124" s="2">
        <v>0.08</v>
      </c>
      <c r="BE124" t="s">
        <v>927</v>
      </c>
      <c r="BF124" t="s">
        <v>921</v>
      </c>
      <c r="BG124" t="s">
        <v>939</v>
      </c>
      <c r="BH124" s="7">
        <v>40</v>
      </c>
      <c r="BI12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124">
        <v>0</v>
      </c>
      <c r="BK124" t="s">
        <v>733</v>
      </c>
      <c r="BL124" s="11"/>
      <c r="BM124" s="11"/>
      <c r="BN124" s="11">
        <v>273</v>
      </c>
      <c r="BO124">
        <v>0</v>
      </c>
      <c r="BP124" t="s">
        <v>691</v>
      </c>
      <c r="BQ124" t="s">
        <v>693</v>
      </c>
      <c r="BR124" t="s">
        <v>700</v>
      </c>
      <c r="BS124" t="s">
        <v>704</v>
      </c>
      <c r="BT124" t="s">
        <v>705</v>
      </c>
      <c r="BU124" t="s">
        <v>706</v>
      </c>
      <c r="CT124"/>
      <c r="CU124"/>
      <c r="CV124"/>
    </row>
    <row r="125" spans="1:100" x14ac:dyDescent="0.4">
      <c r="A125" s="2" t="s">
        <v>149</v>
      </c>
      <c r="B125" t="str">
        <f>_xlfn.TEXTAFTER(Table1[[#This Row],[VEHIDCODE]],"_")</f>
        <v>India_Indian_Railways_XB_Class</v>
      </c>
      <c r="C125" t="s">
        <v>738</v>
      </c>
      <c r="D125" t="s">
        <v>956</v>
      </c>
      <c r="E125">
        <v>4064</v>
      </c>
      <c r="F125" t="b">
        <f>OR(ISNUMBER(SEARCH("wagon_",Table1[[#This Row],[FILENAMES_EXPECTED]])),ISNUMBER(SEARCH("coach_",Table1[[#This Row],[FILENAMES_EXPECTED]])))</f>
        <v>0</v>
      </c>
      <c r="G125" t="str">
        <f>"item_"&amp;Table1[[#This Row],[VEHIDCODE]]</f>
        <v>item_steam_India_Indian_Railways_XB_Class</v>
      </c>
      <c r="H125" t="str">
        <f>"str_"&amp;Table1[[#This Row],[VEHIDCODE]]</f>
        <v>str_steam_India_Indian_Railways_XB_Class</v>
      </c>
      <c r="AI125" s="2" t="b">
        <v>1</v>
      </c>
      <c r="AL125" s="2"/>
      <c r="AM125" s="2" t="b">
        <f>LEN(_xlfn.CONCAT(Table1[[#This Row],[TRACK_TYPE_STANDARD_GAUGE_RAILTYPE_OHLE]:[TRACK_TYPE_MTRO]]))&gt;0</f>
        <v>1</v>
      </c>
      <c r="AN125">
        <v>14</v>
      </c>
      <c r="AO125" t="s">
        <v>18</v>
      </c>
      <c r="AP125">
        <v>0</v>
      </c>
      <c r="AQ125" t="s">
        <v>23</v>
      </c>
      <c r="AR125">
        <v>0</v>
      </c>
      <c r="AS125">
        <v>1927</v>
      </c>
      <c r="AT125">
        <v>8</v>
      </c>
      <c r="AU125" s="2" t="s">
        <v>20</v>
      </c>
      <c r="AV125" t="b">
        <v>1</v>
      </c>
      <c r="AX125" s="2"/>
      <c r="AY125">
        <v>45</v>
      </c>
      <c r="AZ125">
        <v>1</v>
      </c>
      <c r="BA125">
        <v>1510</v>
      </c>
      <c r="BB125" t="s">
        <v>709</v>
      </c>
      <c r="BC125">
        <v>116</v>
      </c>
      <c r="BD125" s="2">
        <v>0.08</v>
      </c>
      <c r="BE125" t="s">
        <v>930</v>
      </c>
      <c r="BF125" t="s">
        <v>921</v>
      </c>
      <c r="BG125" t="s">
        <v>939</v>
      </c>
      <c r="BH125" s="7">
        <v>40</v>
      </c>
      <c r="BI12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125">
        <v>0</v>
      </c>
      <c r="BK125" t="s">
        <v>733</v>
      </c>
      <c r="BL125" s="11"/>
      <c r="BM125" s="11"/>
      <c r="BN125" s="11">
        <v>142</v>
      </c>
      <c r="BO125">
        <v>0</v>
      </c>
      <c r="BP125" t="s">
        <v>691</v>
      </c>
      <c r="BQ125" t="s">
        <v>693</v>
      </c>
      <c r="BR125" t="s">
        <v>700</v>
      </c>
      <c r="BS125" t="s">
        <v>704</v>
      </c>
      <c r="BT125" t="s">
        <v>705</v>
      </c>
      <c r="BU125" t="s">
        <v>706</v>
      </c>
      <c r="CT125"/>
      <c r="CU125"/>
      <c r="CV125"/>
    </row>
    <row r="126" spans="1:100" x14ac:dyDescent="0.4">
      <c r="A126" s="2" t="s">
        <v>150</v>
      </c>
      <c r="B126" t="str">
        <f>_xlfn.TEXTAFTER(Table1[[#This Row],[VEHIDCODE]],"_")</f>
        <v>Iraq_Iraqi_State_Railways_PC_Class</v>
      </c>
      <c r="C126" t="s">
        <v>738</v>
      </c>
      <c r="D126" t="s">
        <v>956</v>
      </c>
      <c r="E126">
        <v>4065</v>
      </c>
      <c r="F126" t="b">
        <f>OR(ISNUMBER(SEARCH("wagon_",Table1[[#This Row],[FILENAMES_EXPECTED]])),ISNUMBER(SEARCH("coach_",Table1[[#This Row],[FILENAMES_EXPECTED]])))</f>
        <v>0</v>
      </c>
      <c r="G126" t="str">
        <f>"item_"&amp;Table1[[#This Row],[VEHIDCODE]]</f>
        <v>item_steam_Iraq_Iraqi_State_Railways_PC_Class</v>
      </c>
      <c r="H126" t="str">
        <f>"str_"&amp;Table1[[#This Row],[VEHIDCODE]]</f>
        <v>str_steam_Iraq_Iraqi_State_Railways_PC_Class</v>
      </c>
      <c r="Q126" s="2" t="b">
        <v>1</v>
      </c>
      <c r="AL126" s="2"/>
      <c r="AM126" s="2" t="b">
        <f>LEN(_xlfn.CONCAT(Table1[[#This Row],[TRACK_TYPE_STANDARD_GAUGE_RAILTYPE_OHLE]:[TRACK_TYPE_MTRO]]))&gt;0</f>
        <v>1</v>
      </c>
      <c r="AN126">
        <v>12</v>
      </c>
      <c r="AO126" t="s">
        <v>18</v>
      </c>
      <c r="AP126">
        <v>0</v>
      </c>
      <c r="AQ126" t="s">
        <v>23</v>
      </c>
      <c r="AR126">
        <v>0</v>
      </c>
      <c r="AS126">
        <v>1940</v>
      </c>
      <c r="AT126">
        <v>8</v>
      </c>
      <c r="AU126" s="2" t="s">
        <v>20</v>
      </c>
      <c r="AV126" t="b">
        <v>1</v>
      </c>
      <c r="AX126" s="2"/>
      <c r="AY126">
        <v>45</v>
      </c>
      <c r="AZ126">
        <v>1</v>
      </c>
      <c r="BA126">
        <v>1640</v>
      </c>
      <c r="BB126" t="s">
        <v>709</v>
      </c>
      <c r="BC126">
        <v>140</v>
      </c>
      <c r="BD126" s="2">
        <v>0.14000000000000001</v>
      </c>
      <c r="BE126" t="s">
        <v>930</v>
      </c>
      <c r="BF126" t="s">
        <v>921</v>
      </c>
      <c r="BG126" t="s">
        <v>939</v>
      </c>
      <c r="BH126" s="7">
        <v>40</v>
      </c>
      <c r="BI12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126">
        <v>0</v>
      </c>
      <c r="BK126" t="s">
        <v>733</v>
      </c>
      <c r="BL126" s="11"/>
      <c r="BM126" s="11"/>
      <c r="BN126" s="11">
        <v>100</v>
      </c>
      <c r="BO126">
        <v>0</v>
      </c>
      <c r="BP126" t="s">
        <v>691</v>
      </c>
      <c r="BQ126" t="s">
        <v>693</v>
      </c>
      <c r="BR126" t="s">
        <v>700</v>
      </c>
      <c r="BS126" t="s">
        <v>704</v>
      </c>
      <c r="BT126" t="s">
        <v>705</v>
      </c>
      <c r="BU126" t="s">
        <v>706</v>
      </c>
      <c r="CT126"/>
      <c r="CU126"/>
      <c r="CV126"/>
    </row>
    <row r="127" spans="1:100" x14ac:dyDescent="0.4">
      <c r="A127" s="2" t="s">
        <v>151</v>
      </c>
      <c r="B127" t="str">
        <f>_xlfn.TEXTAFTER(Table1[[#This Row],[VEHIDCODE]],"_")</f>
        <v>Egypt_ENR_1100</v>
      </c>
      <c r="C127" t="s">
        <v>738</v>
      </c>
      <c r="D127" t="s">
        <v>956</v>
      </c>
      <c r="E127">
        <v>4066</v>
      </c>
      <c r="F127" t="b">
        <f>OR(ISNUMBER(SEARCH("wagon_",Table1[[#This Row],[FILENAMES_EXPECTED]])),ISNUMBER(SEARCH("coach_",Table1[[#This Row],[FILENAMES_EXPECTED]])))</f>
        <v>0</v>
      </c>
      <c r="G127" t="str">
        <f>"item_"&amp;Table1[[#This Row],[VEHIDCODE]]</f>
        <v>item_steam_Egypt_ENR_1100</v>
      </c>
      <c r="H127" t="str">
        <f>"str_"&amp;Table1[[#This Row],[VEHIDCODE]]</f>
        <v>str_steam_Egypt_ENR_1100</v>
      </c>
      <c r="Q127" s="2" t="b">
        <v>1</v>
      </c>
      <c r="AL127" s="2"/>
      <c r="AM127" s="2" t="b">
        <f>LEN(_xlfn.CONCAT(Table1[[#This Row],[TRACK_TYPE_STANDARD_GAUGE_RAILTYPE_OHLE]:[TRACK_TYPE_MTRO]]))&gt;0</f>
        <v>1</v>
      </c>
      <c r="AN127">
        <v>6</v>
      </c>
      <c r="AO127" t="s">
        <v>18</v>
      </c>
      <c r="AP127">
        <v>0</v>
      </c>
      <c r="AQ127" t="s">
        <v>23</v>
      </c>
      <c r="AR127">
        <v>0</v>
      </c>
      <c r="AS127">
        <v>1942</v>
      </c>
      <c r="AT127">
        <v>6</v>
      </c>
      <c r="AU127" s="2" t="s">
        <v>20</v>
      </c>
      <c r="AV127" t="b">
        <v>1</v>
      </c>
      <c r="AX127" s="2"/>
      <c r="AY127">
        <v>45</v>
      </c>
      <c r="AZ127">
        <v>1</v>
      </c>
      <c r="BA127">
        <v>560</v>
      </c>
      <c r="BB127" t="s">
        <v>709</v>
      </c>
      <c r="BC127">
        <v>65</v>
      </c>
      <c r="BD127" s="2">
        <v>0.21</v>
      </c>
      <c r="BE127" t="s">
        <v>925</v>
      </c>
      <c r="BF127" t="s">
        <v>921</v>
      </c>
      <c r="BG127" t="s">
        <v>939</v>
      </c>
      <c r="BH127" s="7">
        <v>40</v>
      </c>
      <c r="BI12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127">
        <v>0</v>
      </c>
      <c r="BK127" t="s">
        <v>733</v>
      </c>
      <c r="BL127" s="11"/>
      <c r="BM127" s="11"/>
      <c r="BN127" s="11">
        <v>46</v>
      </c>
      <c r="BO127">
        <v>0</v>
      </c>
      <c r="BP127" t="s">
        <v>691</v>
      </c>
      <c r="BQ127" t="s">
        <v>693</v>
      </c>
      <c r="BR127" t="s">
        <v>700</v>
      </c>
      <c r="BS127" t="s">
        <v>704</v>
      </c>
      <c r="BT127" t="s">
        <v>705</v>
      </c>
      <c r="BU127" t="s">
        <v>706</v>
      </c>
      <c r="CT127"/>
      <c r="CU127"/>
      <c r="CV127"/>
    </row>
    <row r="128" spans="1:100" x14ac:dyDescent="0.4">
      <c r="A128" s="2" t="s">
        <v>152</v>
      </c>
      <c r="B128" t="str">
        <f>_xlfn.TEXTAFTER(Table1[[#This Row],[VEHIDCODE]],"_")</f>
        <v>UK_GWR_1600_Class</v>
      </c>
      <c r="C128" t="s">
        <v>738</v>
      </c>
      <c r="D128" t="s">
        <v>956</v>
      </c>
      <c r="E128">
        <v>4068</v>
      </c>
      <c r="F128" t="b">
        <f>OR(ISNUMBER(SEARCH("wagon_",Table1[[#This Row],[FILENAMES_EXPECTED]])),ISNUMBER(SEARCH("coach_",Table1[[#This Row],[FILENAMES_EXPECTED]])))</f>
        <v>0</v>
      </c>
      <c r="G128" t="str">
        <f>"item_"&amp;Table1[[#This Row],[VEHIDCODE]]</f>
        <v>item_steam_UK_GWR_1600_Class</v>
      </c>
      <c r="H128" t="str">
        <f>"str_"&amp;Table1[[#This Row],[VEHIDCODE]]</f>
        <v>str_steam_UK_GWR_1600_Class</v>
      </c>
      <c r="Q128" s="2" t="b">
        <v>1</v>
      </c>
      <c r="AL128" s="2"/>
      <c r="AM128" s="2" t="b">
        <f>LEN(_xlfn.CONCAT(Table1[[#This Row],[TRACK_TYPE_STANDARD_GAUGE_RAILTYPE_OHLE]:[TRACK_TYPE_MTRO]]))&gt;0</f>
        <v>1</v>
      </c>
      <c r="AN128">
        <v>6</v>
      </c>
      <c r="AO128" t="s">
        <v>18</v>
      </c>
      <c r="AP128">
        <v>0</v>
      </c>
      <c r="AQ128" t="s">
        <v>23</v>
      </c>
      <c r="AR128">
        <v>0</v>
      </c>
      <c r="AS128">
        <v>1949</v>
      </c>
      <c r="AT128">
        <v>6</v>
      </c>
      <c r="AU128" s="2" t="s">
        <v>20</v>
      </c>
      <c r="AV128" t="b">
        <v>1</v>
      </c>
      <c r="AX128" s="2"/>
      <c r="AY128">
        <v>45</v>
      </c>
      <c r="AZ128">
        <v>0</v>
      </c>
      <c r="BA128">
        <v>690</v>
      </c>
      <c r="BB128" t="s">
        <v>709</v>
      </c>
      <c r="BC128">
        <v>80</v>
      </c>
      <c r="BD128" s="2">
        <v>0.2</v>
      </c>
      <c r="BE128" t="s">
        <v>926</v>
      </c>
      <c r="BF128" t="s">
        <v>921</v>
      </c>
      <c r="BG128" t="s">
        <v>939</v>
      </c>
      <c r="BH128" s="7">
        <v>40</v>
      </c>
      <c r="BI12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128">
        <v>0</v>
      </c>
      <c r="BK128" t="s">
        <v>733</v>
      </c>
      <c r="BL128" s="11"/>
      <c r="BM128" s="11"/>
      <c r="BN128" s="11">
        <v>42</v>
      </c>
      <c r="BO128">
        <v>0</v>
      </c>
      <c r="BP128" t="s">
        <v>691</v>
      </c>
      <c r="BQ128" t="s">
        <v>693</v>
      </c>
      <c r="BR128" t="s">
        <v>700</v>
      </c>
      <c r="BS128" t="s">
        <v>704</v>
      </c>
      <c r="BT128" t="s">
        <v>705</v>
      </c>
      <c r="BU128" t="s">
        <v>706</v>
      </c>
      <c r="CT128"/>
      <c r="CU128"/>
      <c r="CV128"/>
    </row>
    <row r="129" spans="1:100" x14ac:dyDescent="0.4">
      <c r="A129" s="2" t="s">
        <v>153</v>
      </c>
      <c r="B129" t="str">
        <f>_xlfn.TEXTAFTER(Table1[[#This Row],[VEHIDCODE]],"_")</f>
        <v>Australia_Victorian_Railways_R_Class</v>
      </c>
      <c r="C129" t="s">
        <v>738</v>
      </c>
      <c r="D129" t="s">
        <v>956</v>
      </c>
      <c r="E129">
        <v>4069</v>
      </c>
      <c r="F129" t="b">
        <f>OR(ISNUMBER(SEARCH("wagon_",Table1[[#This Row],[FILENAMES_EXPECTED]])),ISNUMBER(SEARCH("coach_",Table1[[#This Row],[FILENAMES_EXPECTED]])))</f>
        <v>0</v>
      </c>
      <c r="G129" t="str">
        <f>"item_"&amp;Table1[[#This Row],[VEHIDCODE]]</f>
        <v>item_steam_Australia_Victorian_Railways_R_Class</v>
      </c>
      <c r="H129" t="str">
        <f>"str_"&amp;Table1[[#This Row],[VEHIDCODE]]</f>
        <v>str_steam_Australia_Victorian_Railways_R_Class</v>
      </c>
      <c r="Q129" s="2" t="b">
        <v>1</v>
      </c>
      <c r="AL129" s="2"/>
      <c r="AM129" s="2" t="b">
        <f>LEN(_xlfn.CONCAT(Table1[[#This Row],[TRACK_TYPE_STANDARD_GAUGE_RAILTYPE_OHLE]:[TRACK_TYPE_MTRO]]))&gt;0</f>
        <v>1</v>
      </c>
      <c r="AN129">
        <v>10</v>
      </c>
      <c r="AO129" t="s">
        <v>18</v>
      </c>
      <c r="AP129">
        <v>0</v>
      </c>
      <c r="AQ129" t="s">
        <v>23</v>
      </c>
      <c r="AR129">
        <v>0</v>
      </c>
      <c r="AS129">
        <v>1951</v>
      </c>
      <c r="AT129">
        <v>8</v>
      </c>
      <c r="AU129" s="2" t="s">
        <v>20</v>
      </c>
      <c r="AV129" t="b">
        <v>1</v>
      </c>
      <c r="AX129" s="2"/>
      <c r="AY129">
        <v>45</v>
      </c>
      <c r="AZ129">
        <v>1</v>
      </c>
      <c r="BA129">
        <v>2300</v>
      </c>
      <c r="BB129" t="s">
        <v>709</v>
      </c>
      <c r="BC129">
        <v>120</v>
      </c>
      <c r="BD129" s="2">
        <v>7.0000000000000007E-2</v>
      </c>
      <c r="BE129" t="s">
        <v>924</v>
      </c>
      <c r="BF129" t="s">
        <v>921</v>
      </c>
      <c r="BG129" t="s">
        <v>939</v>
      </c>
      <c r="BH129" s="7">
        <v>40</v>
      </c>
      <c r="BI12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129">
        <v>0</v>
      </c>
      <c r="BK129" t="s">
        <v>733</v>
      </c>
      <c r="BL129" s="11"/>
      <c r="BM129" s="11"/>
      <c r="BN129" s="11">
        <v>190</v>
      </c>
      <c r="BO129">
        <v>0</v>
      </c>
      <c r="BP129" t="s">
        <v>691</v>
      </c>
      <c r="BQ129" t="s">
        <v>693</v>
      </c>
      <c r="BR129" t="s">
        <v>700</v>
      </c>
      <c r="BS129" t="s">
        <v>704</v>
      </c>
      <c r="BT129" t="s">
        <v>705</v>
      </c>
      <c r="BU129" t="s">
        <v>706</v>
      </c>
      <c r="CT129"/>
      <c r="CU129"/>
      <c r="CV129"/>
    </row>
    <row r="130" spans="1:100" x14ac:dyDescent="0.4">
      <c r="A130" s="2" t="s">
        <v>154</v>
      </c>
      <c r="B130" t="str">
        <f>_xlfn.TEXTAFTER(Table1[[#This Row],[VEHIDCODE]],"_")</f>
        <v>Germany_DB_9977_79</v>
      </c>
      <c r="C130" t="s">
        <v>738</v>
      </c>
      <c r="D130" t="s">
        <v>956</v>
      </c>
      <c r="E130">
        <v>4070</v>
      </c>
      <c r="F130" t="b">
        <f>OR(ISNUMBER(SEARCH("wagon_",Table1[[#This Row],[FILENAMES_EXPECTED]])),ISNUMBER(SEARCH("coach_",Table1[[#This Row],[FILENAMES_EXPECTED]])))</f>
        <v>0</v>
      </c>
      <c r="G130" t="str">
        <f>"item_"&amp;Table1[[#This Row],[VEHIDCODE]]</f>
        <v>item_steam_Germany_DB_9977_79</v>
      </c>
      <c r="H130" t="str">
        <f>"str_"&amp;Table1[[#This Row],[VEHIDCODE]]</f>
        <v>str_steam_Germany_DB_9977_79</v>
      </c>
      <c r="Q130" s="2" t="b">
        <v>1</v>
      </c>
      <c r="AL130" s="2"/>
      <c r="AM130" s="2" t="b">
        <f>LEN(_xlfn.CONCAT(Table1[[#This Row],[TRACK_TYPE_STANDARD_GAUGE_RAILTYPE_OHLE]:[TRACK_TYPE_MTRO]]))&gt;0</f>
        <v>1</v>
      </c>
      <c r="AN130">
        <v>7</v>
      </c>
      <c r="AO130" t="s">
        <v>18</v>
      </c>
      <c r="AP130">
        <v>0</v>
      </c>
      <c r="AQ130" t="s">
        <v>23</v>
      </c>
      <c r="AR130">
        <v>0</v>
      </c>
      <c r="AS130">
        <v>1952</v>
      </c>
      <c r="AT130">
        <v>7</v>
      </c>
      <c r="AU130" s="2" t="s">
        <v>20</v>
      </c>
      <c r="AV130" t="b">
        <v>1</v>
      </c>
      <c r="AX130" s="2"/>
      <c r="AY130">
        <v>45</v>
      </c>
      <c r="AZ130">
        <v>1</v>
      </c>
      <c r="BA130">
        <v>600</v>
      </c>
      <c r="BB130" t="s">
        <v>709</v>
      </c>
      <c r="BC130">
        <v>30</v>
      </c>
      <c r="BD130" s="2">
        <v>0.2</v>
      </c>
      <c r="BE130" t="s">
        <v>922</v>
      </c>
      <c r="BF130" t="s">
        <v>921</v>
      </c>
      <c r="BG130" t="s">
        <v>939</v>
      </c>
      <c r="BH130" s="7">
        <v>40</v>
      </c>
      <c r="BI13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130">
        <v>0</v>
      </c>
      <c r="BK130" t="s">
        <v>733</v>
      </c>
      <c r="BL130" s="11"/>
      <c r="BM130" s="11"/>
      <c r="BN130" s="11">
        <v>42</v>
      </c>
      <c r="BO130">
        <v>0</v>
      </c>
      <c r="BP130" t="s">
        <v>691</v>
      </c>
      <c r="BQ130" t="s">
        <v>693</v>
      </c>
      <c r="BR130" t="s">
        <v>700</v>
      </c>
      <c r="BS130" t="s">
        <v>704</v>
      </c>
      <c r="BT130" t="s">
        <v>705</v>
      </c>
      <c r="BU130" t="s">
        <v>706</v>
      </c>
      <c r="CT130"/>
      <c r="CU130"/>
      <c r="CV130"/>
    </row>
    <row r="131" spans="1:100" x14ac:dyDescent="0.4">
      <c r="A131" s="2" t="s">
        <v>155</v>
      </c>
      <c r="B131" t="str">
        <f>_xlfn.TEXTAFTER(Table1[[#This Row],[VEHIDCODE]],"_")</f>
        <v>Germany_DB_18_201</v>
      </c>
      <c r="C131" t="s">
        <v>738</v>
      </c>
      <c r="D131" t="s">
        <v>956</v>
      </c>
      <c r="E131">
        <v>4071</v>
      </c>
      <c r="F131" t="b">
        <f>OR(ISNUMBER(SEARCH("wagon_",Table1[[#This Row],[FILENAMES_EXPECTED]])),ISNUMBER(SEARCH("coach_",Table1[[#This Row],[FILENAMES_EXPECTED]])))</f>
        <v>0</v>
      </c>
      <c r="G131" t="str">
        <f>"item_"&amp;Table1[[#This Row],[VEHIDCODE]]</f>
        <v>item_steam_Germany_DB_18_201</v>
      </c>
      <c r="H131" t="str">
        <f>"str_"&amp;Table1[[#This Row],[VEHIDCODE]]</f>
        <v>str_steam_Germany_DB_18_201</v>
      </c>
      <c r="Q131" s="2" t="b">
        <v>1</v>
      </c>
      <c r="AL131" s="2"/>
      <c r="AM131" s="2" t="b">
        <f>LEN(_xlfn.CONCAT(Table1[[#This Row],[TRACK_TYPE_STANDARD_GAUGE_RAILTYPE_OHLE]:[TRACK_TYPE_MTRO]]))&gt;0</f>
        <v>1</v>
      </c>
      <c r="AN131">
        <v>12</v>
      </c>
      <c r="AO131" t="s">
        <v>18</v>
      </c>
      <c r="AP131">
        <v>0</v>
      </c>
      <c r="AQ131" t="s">
        <v>23</v>
      </c>
      <c r="AR131">
        <v>0</v>
      </c>
      <c r="AS131">
        <v>1961</v>
      </c>
      <c r="AT131">
        <v>8</v>
      </c>
      <c r="AU131" s="2" t="s">
        <v>20</v>
      </c>
      <c r="AV131" t="b">
        <v>1</v>
      </c>
      <c r="AX131" s="2"/>
      <c r="AY131">
        <v>45</v>
      </c>
      <c r="AZ131">
        <v>1</v>
      </c>
      <c r="BA131">
        <v>2120</v>
      </c>
      <c r="BB131" t="s">
        <v>709</v>
      </c>
      <c r="BC131">
        <v>180</v>
      </c>
      <c r="BD131" s="2">
        <v>0.06</v>
      </c>
      <c r="BE131" t="s">
        <v>922</v>
      </c>
      <c r="BF131" t="s">
        <v>921</v>
      </c>
      <c r="BG131" t="s">
        <v>939</v>
      </c>
      <c r="BH131" s="7">
        <v>40</v>
      </c>
      <c r="BI13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131">
        <v>0</v>
      </c>
      <c r="BK131" t="s">
        <v>733</v>
      </c>
      <c r="BL131" s="11"/>
      <c r="BM131" s="11"/>
      <c r="BN131" s="11">
        <v>172</v>
      </c>
      <c r="BO131">
        <v>0</v>
      </c>
      <c r="BP131" t="s">
        <v>691</v>
      </c>
      <c r="BQ131" t="s">
        <v>693</v>
      </c>
      <c r="BR131" t="s">
        <v>700</v>
      </c>
      <c r="BS131" t="s">
        <v>704</v>
      </c>
      <c r="BT131" t="s">
        <v>705</v>
      </c>
      <c r="BU131" t="s">
        <v>706</v>
      </c>
      <c r="CT131"/>
      <c r="CU131"/>
      <c r="CV131"/>
    </row>
    <row r="132" spans="1:100" x14ac:dyDescent="0.4">
      <c r="A132" s="2" t="s">
        <v>156</v>
      </c>
      <c r="B132" t="str">
        <f>_xlfn.TEXTAFTER(Table1[[#This Row],[VEHIDCODE]],"_")</f>
        <v>New_Zealand_NZR_WAB</v>
      </c>
      <c r="C132" t="s">
        <v>738</v>
      </c>
      <c r="D132" t="s">
        <v>956</v>
      </c>
      <c r="E132">
        <v>4090</v>
      </c>
      <c r="F132" t="b">
        <f>OR(ISNUMBER(SEARCH("wagon_",Table1[[#This Row],[FILENAMES_EXPECTED]])),ISNUMBER(SEARCH("coach_",Table1[[#This Row],[FILENAMES_EXPECTED]])))</f>
        <v>0</v>
      </c>
      <c r="G132" t="str">
        <f>"item_"&amp;Table1[[#This Row],[VEHIDCODE]]</f>
        <v>item_steam_New_Zealand_NZR_WAB</v>
      </c>
      <c r="H132" t="str">
        <f>"str_"&amp;Table1[[#This Row],[VEHIDCODE]]</f>
        <v>str_steam_New_Zealand_NZR_WAB</v>
      </c>
      <c r="Z132" s="2" t="b">
        <v>1</v>
      </c>
      <c r="AL132" s="2"/>
      <c r="AM132" s="2" t="b">
        <f>LEN(_xlfn.CONCAT(Table1[[#This Row],[TRACK_TYPE_STANDARD_GAUGE_RAILTYPE_OHLE]:[TRACK_TYPE_MTRO]]))&gt;0</f>
        <v>1</v>
      </c>
      <c r="AN132">
        <v>6</v>
      </c>
      <c r="AO132" t="s">
        <v>20</v>
      </c>
      <c r="AP132">
        <v>0</v>
      </c>
      <c r="AQ132" t="s">
        <v>23</v>
      </c>
      <c r="AR132">
        <v>0</v>
      </c>
      <c r="AS132">
        <v>1923</v>
      </c>
      <c r="AT132">
        <v>6</v>
      </c>
      <c r="AU132" s="2" t="s">
        <v>24</v>
      </c>
      <c r="AV132" t="b">
        <v>1</v>
      </c>
      <c r="AX132" s="2"/>
      <c r="AY132">
        <v>45</v>
      </c>
      <c r="AZ132">
        <v>1</v>
      </c>
      <c r="BA132">
        <v>1000</v>
      </c>
      <c r="BB132" t="s">
        <v>709</v>
      </c>
      <c r="BC132">
        <v>97</v>
      </c>
      <c r="BD132" s="2">
        <v>0.14000000000000001</v>
      </c>
      <c r="BE132" t="s">
        <v>924</v>
      </c>
      <c r="BF132" t="s">
        <v>921</v>
      </c>
      <c r="BG132" t="s">
        <v>939</v>
      </c>
      <c r="BH132" s="7">
        <v>40</v>
      </c>
      <c r="BI13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132">
        <v>0</v>
      </c>
      <c r="BK132" t="s">
        <v>733</v>
      </c>
      <c r="BL132" s="11"/>
      <c r="BM132" s="11"/>
      <c r="BN132" s="11">
        <v>73</v>
      </c>
      <c r="BO132">
        <v>0</v>
      </c>
      <c r="BP132" t="s">
        <v>691</v>
      </c>
      <c r="BQ132" t="s">
        <v>693</v>
      </c>
      <c r="BR132" t="s">
        <v>700</v>
      </c>
      <c r="BS132" t="s">
        <v>704</v>
      </c>
      <c r="BT132" t="s">
        <v>705</v>
      </c>
      <c r="BU132" t="s">
        <v>706</v>
      </c>
      <c r="CT132"/>
      <c r="CU132"/>
      <c r="CV132"/>
    </row>
    <row r="133" spans="1:100" x14ac:dyDescent="0.4">
      <c r="A133" s="2" t="s">
        <v>157</v>
      </c>
      <c r="B133" t="str">
        <f>_xlfn.TEXTAFTER(Table1[[#This Row],[VEHIDCODE]],"_")</f>
        <v>Australia_NSWGR_D57</v>
      </c>
      <c r="C133" t="s">
        <v>738</v>
      </c>
      <c r="D133" t="s">
        <v>956</v>
      </c>
      <c r="E133">
        <v>4095</v>
      </c>
      <c r="F133" t="b">
        <f>OR(ISNUMBER(SEARCH("wagon_",Table1[[#This Row],[FILENAMES_EXPECTED]])),ISNUMBER(SEARCH("coach_",Table1[[#This Row],[FILENAMES_EXPECTED]])))</f>
        <v>0</v>
      </c>
      <c r="G133" t="str">
        <f>"item_"&amp;Table1[[#This Row],[VEHIDCODE]]</f>
        <v>item_steam_Australia_NSWGR_D57</v>
      </c>
      <c r="H133" t="str">
        <f>"str_"&amp;Table1[[#This Row],[VEHIDCODE]]</f>
        <v>str_steam_Australia_NSWGR_D57</v>
      </c>
      <c r="Q133" s="2" t="b">
        <v>1</v>
      </c>
      <c r="AL133" s="2"/>
      <c r="AM133" s="2" t="b">
        <f>LEN(_xlfn.CONCAT(Table1[[#This Row],[TRACK_TYPE_STANDARD_GAUGE_RAILTYPE_OHLE]:[TRACK_TYPE_MTRO]]))&gt;0</f>
        <v>1</v>
      </c>
      <c r="AN133">
        <v>10</v>
      </c>
      <c r="AO133" t="s">
        <v>20</v>
      </c>
      <c r="AP133">
        <v>0</v>
      </c>
      <c r="AQ133" t="s">
        <v>23</v>
      </c>
      <c r="AR133">
        <v>0</v>
      </c>
      <c r="AS133">
        <v>1929</v>
      </c>
      <c r="AT133">
        <v>8</v>
      </c>
      <c r="AU133" s="2" t="s">
        <v>24</v>
      </c>
      <c r="AV133" t="b">
        <v>1</v>
      </c>
      <c r="AX133" s="2"/>
      <c r="AY133">
        <v>45</v>
      </c>
      <c r="AZ133">
        <v>1</v>
      </c>
      <c r="BA133">
        <v>1950</v>
      </c>
      <c r="BB133" t="s">
        <v>709</v>
      </c>
      <c r="BC133">
        <v>80</v>
      </c>
      <c r="BD133" s="2">
        <v>0.12</v>
      </c>
      <c r="BE133" t="s">
        <v>924</v>
      </c>
      <c r="BF133" t="s">
        <v>921</v>
      </c>
      <c r="BG133" t="s">
        <v>939</v>
      </c>
      <c r="BH133" s="7">
        <v>40</v>
      </c>
      <c r="BI13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133">
        <v>0</v>
      </c>
      <c r="BK133" t="s">
        <v>733</v>
      </c>
      <c r="BL133" s="11"/>
      <c r="BM133" s="11"/>
      <c r="BN133" s="11">
        <v>231</v>
      </c>
      <c r="BO133">
        <v>0</v>
      </c>
      <c r="BP133" t="s">
        <v>691</v>
      </c>
      <c r="BQ133" t="s">
        <v>693</v>
      </c>
      <c r="BR133" t="s">
        <v>700</v>
      </c>
      <c r="BS133" t="s">
        <v>704</v>
      </c>
      <c r="BT133" t="s">
        <v>705</v>
      </c>
      <c r="BU133" t="s">
        <v>706</v>
      </c>
      <c r="CT133"/>
      <c r="CU133"/>
      <c r="CV133"/>
    </row>
    <row r="134" spans="1:100" x14ac:dyDescent="0.4">
      <c r="A134" s="2" t="s">
        <v>158</v>
      </c>
      <c r="B134" t="str">
        <f>_xlfn.TEXTAFTER(Table1[[#This Row],[VEHIDCODE]],"_")</f>
        <v>Australia_South_Australian_Railways_520</v>
      </c>
      <c r="C134" t="s">
        <v>738</v>
      </c>
      <c r="D134" t="s">
        <v>956</v>
      </c>
      <c r="E134">
        <v>4101</v>
      </c>
      <c r="F134" t="b">
        <f>OR(ISNUMBER(SEARCH("wagon_",Table1[[#This Row],[FILENAMES_EXPECTED]])),ISNUMBER(SEARCH("coach_",Table1[[#This Row],[FILENAMES_EXPECTED]])))</f>
        <v>0</v>
      </c>
      <c r="G134" t="str">
        <f>"item_"&amp;Table1[[#This Row],[VEHIDCODE]]</f>
        <v>item_steam_Australia_South_Australian_Railways_520</v>
      </c>
      <c r="H134" t="str">
        <f>"str_"&amp;Table1[[#This Row],[VEHIDCODE]]</f>
        <v>str_steam_Australia_South_Australian_Railways_520</v>
      </c>
      <c r="Q134" s="2" t="b">
        <v>1</v>
      </c>
      <c r="AL134" s="2"/>
      <c r="AM134" s="2" t="b">
        <f>LEN(_xlfn.CONCAT(Table1[[#This Row],[TRACK_TYPE_STANDARD_GAUGE_RAILTYPE_OHLE]:[TRACK_TYPE_MTRO]]))&gt;0</f>
        <v>1</v>
      </c>
      <c r="AN134">
        <v>10</v>
      </c>
      <c r="AO134" t="s">
        <v>20</v>
      </c>
      <c r="AP134">
        <v>0</v>
      </c>
      <c r="AQ134" t="s">
        <v>23</v>
      </c>
      <c r="AR134">
        <v>0</v>
      </c>
      <c r="AS134">
        <v>1943</v>
      </c>
      <c r="AT134">
        <v>8</v>
      </c>
      <c r="AU134" s="2" t="s">
        <v>24</v>
      </c>
      <c r="AV134" t="b">
        <v>1</v>
      </c>
      <c r="AX134" s="2"/>
      <c r="AY134">
        <v>45</v>
      </c>
      <c r="AZ134">
        <v>1</v>
      </c>
      <c r="BA134">
        <v>2600</v>
      </c>
      <c r="BB134" t="s">
        <v>709</v>
      </c>
      <c r="BC134">
        <v>126</v>
      </c>
      <c r="BD134" s="2">
        <v>7.0000000000000007E-2</v>
      </c>
      <c r="BE134" t="s">
        <v>924</v>
      </c>
      <c r="BF134" t="s">
        <v>921</v>
      </c>
      <c r="BG134" t="s">
        <v>939</v>
      </c>
      <c r="BH134" s="7">
        <v>40</v>
      </c>
      <c r="BI13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134">
        <v>0</v>
      </c>
      <c r="BK134" t="s">
        <v>733</v>
      </c>
      <c r="BL134" s="11"/>
      <c r="BM134" s="11"/>
      <c r="BN134" s="11">
        <v>204</v>
      </c>
      <c r="BO134">
        <v>0</v>
      </c>
      <c r="BP134" t="s">
        <v>691</v>
      </c>
      <c r="BQ134" t="s">
        <v>693</v>
      </c>
      <c r="BR134" t="s">
        <v>700</v>
      </c>
      <c r="BS134" t="s">
        <v>704</v>
      </c>
      <c r="BT134" t="s">
        <v>705</v>
      </c>
      <c r="BU134" t="s">
        <v>706</v>
      </c>
      <c r="CT134"/>
      <c r="CU134"/>
      <c r="CV134"/>
    </row>
    <row r="135" spans="1:100" x14ac:dyDescent="0.4">
      <c r="A135" s="2" t="s">
        <v>159</v>
      </c>
      <c r="B135" t="str">
        <f>_xlfn.TEXTAFTER(Table1[[#This Row],[VEHIDCODE]],"_")</f>
        <v>Australia_NSWGR_AD60</v>
      </c>
      <c r="C135" t="s">
        <v>738</v>
      </c>
      <c r="D135" t="s">
        <v>956</v>
      </c>
      <c r="E135">
        <v>4105</v>
      </c>
      <c r="F135" t="b">
        <f>OR(ISNUMBER(SEARCH("wagon_",Table1[[#This Row],[FILENAMES_EXPECTED]])),ISNUMBER(SEARCH("coach_",Table1[[#This Row],[FILENAMES_EXPECTED]])))</f>
        <v>0</v>
      </c>
      <c r="G135" t="str">
        <f>"item_"&amp;Table1[[#This Row],[VEHIDCODE]]</f>
        <v>item_steam_Australia_NSWGR_AD60</v>
      </c>
      <c r="H135" t="str">
        <f>"str_"&amp;Table1[[#This Row],[VEHIDCODE]]</f>
        <v>str_steam_Australia_NSWGR_AD60</v>
      </c>
      <c r="Q135" s="2" t="b">
        <v>1</v>
      </c>
      <c r="AL135" s="2"/>
      <c r="AM135" s="2" t="b">
        <f>LEN(_xlfn.CONCAT(Table1[[#This Row],[TRACK_TYPE_STANDARD_GAUGE_RAILTYPE_OHLE]:[TRACK_TYPE_MTRO]]))&gt;0</f>
        <v>1</v>
      </c>
      <c r="AN135">
        <v>12</v>
      </c>
      <c r="AO135" t="s">
        <v>20</v>
      </c>
      <c r="AP135">
        <v>0</v>
      </c>
      <c r="AQ135" t="s">
        <v>23</v>
      </c>
      <c r="AR135">
        <v>0</v>
      </c>
      <c r="AS135">
        <v>1952</v>
      </c>
      <c r="AT135">
        <v>4</v>
      </c>
      <c r="AU135" s="2" t="s">
        <v>24</v>
      </c>
      <c r="AV135" t="b">
        <v>1</v>
      </c>
      <c r="AX135" s="2"/>
      <c r="AY135">
        <v>45</v>
      </c>
      <c r="AZ135">
        <v>1</v>
      </c>
      <c r="BA135">
        <v>2980</v>
      </c>
      <c r="BB135" t="s">
        <v>709</v>
      </c>
      <c r="BC135">
        <v>95</v>
      </c>
      <c r="BD135" s="2">
        <v>0.11</v>
      </c>
      <c r="BE135" t="s">
        <v>924</v>
      </c>
      <c r="BF135" t="s">
        <v>921</v>
      </c>
      <c r="BG135" t="s">
        <v>939</v>
      </c>
      <c r="BH135" s="7">
        <v>40</v>
      </c>
      <c r="BI13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135">
        <v>0</v>
      </c>
      <c r="BK135" t="s">
        <v>733</v>
      </c>
      <c r="BL135" s="11"/>
      <c r="BM135" s="11"/>
      <c r="BN135" s="11">
        <v>255</v>
      </c>
      <c r="BO135">
        <v>0</v>
      </c>
      <c r="BP135" t="s">
        <v>691</v>
      </c>
      <c r="BQ135" t="s">
        <v>693</v>
      </c>
      <c r="BR135" t="s">
        <v>700</v>
      </c>
      <c r="BS135" t="s">
        <v>704</v>
      </c>
      <c r="BT135" t="s">
        <v>705</v>
      </c>
      <c r="BU135" t="s">
        <v>706</v>
      </c>
      <c r="CT135"/>
      <c r="CU135"/>
      <c r="CV135"/>
    </row>
    <row r="136" spans="1:100" x14ac:dyDescent="0.4">
      <c r="A136" s="2" t="s">
        <v>160</v>
      </c>
      <c r="B136" t="str">
        <f>_xlfn.TEXTAFTER(Table1[[#This Row],[VEHIDCODE]],"_")</f>
        <v>Uruguay_AFE_N1_2_6_0</v>
      </c>
      <c r="C136" t="s">
        <v>738</v>
      </c>
      <c r="D136" t="s">
        <v>956</v>
      </c>
      <c r="E136">
        <v>4081</v>
      </c>
      <c r="F136" t="b">
        <f>OR(ISNUMBER(SEARCH("wagon_",Table1[[#This Row],[FILENAMES_EXPECTED]])),ISNUMBER(SEARCH("coach_",Table1[[#This Row],[FILENAMES_EXPECTED]])))</f>
        <v>0</v>
      </c>
      <c r="G136" t="str">
        <f>"item_"&amp;Table1[[#This Row],[VEHIDCODE]]</f>
        <v>item_steam_Uruguay_AFE_N1_2_6_0</v>
      </c>
      <c r="H136" t="str">
        <f>"str_"&amp;Table1[[#This Row],[VEHIDCODE]]</f>
        <v>str_steam_Uruguay_AFE_N1_2_6_0</v>
      </c>
      <c r="Q136" s="2" t="b">
        <v>1</v>
      </c>
      <c r="AL136" s="2"/>
      <c r="AM136" s="2" t="b">
        <f>LEN(_xlfn.CONCAT(Table1[[#This Row],[TRACK_TYPE_STANDARD_GAUGE_RAILTYPE_OHLE]:[TRACK_TYPE_MTRO]]))&gt;0</f>
        <v>1</v>
      </c>
      <c r="AN136">
        <v>6</v>
      </c>
      <c r="AO136" t="s">
        <v>20</v>
      </c>
      <c r="AP136">
        <v>0</v>
      </c>
      <c r="AQ136" t="s">
        <v>23</v>
      </c>
      <c r="AR136">
        <v>0</v>
      </c>
      <c r="AS136">
        <v>1910</v>
      </c>
      <c r="AT136">
        <v>5</v>
      </c>
      <c r="AU136" s="2" t="s">
        <v>24</v>
      </c>
      <c r="AV136" t="b">
        <v>1</v>
      </c>
      <c r="AX136" s="2"/>
      <c r="AY136">
        <v>45</v>
      </c>
      <c r="AZ136">
        <v>1</v>
      </c>
      <c r="BA136">
        <v>700</v>
      </c>
      <c r="BB136" t="s">
        <v>709</v>
      </c>
      <c r="BC136">
        <v>80</v>
      </c>
      <c r="BD136" s="2">
        <v>0.1</v>
      </c>
      <c r="BE136" t="s">
        <v>929</v>
      </c>
      <c r="BF136" t="s">
        <v>921</v>
      </c>
      <c r="BG136" t="s">
        <v>939</v>
      </c>
      <c r="BH136" s="7">
        <v>40</v>
      </c>
      <c r="BI13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136">
        <v>0</v>
      </c>
      <c r="BK136" t="s">
        <v>733</v>
      </c>
      <c r="BL136" s="11"/>
      <c r="BM136" s="11"/>
      <c r="BN136" s="11">
        <v>84</v>
      </c>
      <c r="BO136">
        <v>0</v>
      </c>
      <c r="BP136" t="s">
        <v>691</v>
      </c>
      <c r="BQ136" t="s">
        <v>693</v>
      </c>
      <c r="BR136" t="s">
        <v>700</v>
      </c>
      <c r="BS136" t="s">
        <v>704</v>
      </c>
      <c r="BT136" t="s">
        <v>705</v>
      </c>
      <c r="BU136" t="s">
        <v>706</v>
      </c>
      <c r="CT136"/>
      <c r="CU136"/>
      <c r="CV136"/>
    </row>
    <row r="137" spans="1:100" x14ac:dyDescent="0.4">
      <c r="A137" s="2" t="s">
        <v>161</v>
      </c>
      <c r="B137" t="str">
        <f>_xlfn.TEXTAFTER(Table1[[#This Row],[VEHIDCODE]],"_")</f>
        <v>Argentina_FCCA_PS11</v>
      </c>
      <c r="C137" t="s">
        <v>738</v>
      </c>
      <c r="D137" t="s">
        <v>956</v>
      </c>
      <c r="E137">
        <v>4096</v>
      </c>
      <c r="F137" t="b">
        <f>OR(ISNUMBER(SEARCH("wagon_",Table1[[#This Row],[FILENAMES_EXPECTED]])),ISNUMBER(SEARCH("coach_",Table1[[#This Row],[FILENAMES_EXPECTED]])))</f>
        <v>0</v>
      </c>
      <c r="G137" t="str">
        <f>"item_"&amp;Table1[[#This Row],[VEHIDCODE]]</f>
        <v>item_steam_Argentina_FCCA_PS11</v>
      </c>
      <c r="H137" t="str">
        <f>"str_"&amp;Table1[[#This Row],[VEHIDCODE]]</f>
        <v>str_steam_Argentina_FCCA_PS11</v>
      </c>
      <c r="Q137" s="2" t="b">
        <v>1</v>
      </c>
      <c r="AL137" s="2"/>
      <c r="AM137" s="2" t="b">
        <f>LEN(_xlfn.CONCAT(Table1[[#This Row],[TRACK_TYPE_STANDARD_GAUGE_RAILTYPE_OHLE]:[TRACK_TYPE_MTRO]]))&gt;0</f>
        <v>1</v>
      </c>
      <c r="AN137">
        <v>10</v>
      </c>
      <c r="AO137" t="s">
        <v>20</v>
      </c>
      <c r="AP137">
        <v>0</v>
      </c>
      <c r="AQ137" t="s">
        <v>23</v>
      </c>
      <c r="AR137">
        <v>0</v>
      </c>
      <c r="AS137">
        <v>1930</v>
      </c>
      <c r="AT137">
        <v>8</v>
      </c>
      <c r="AU137" s="2" t="s">
        <v>24</v>
      </c>
      <c r="AV137" t="b">
        <v>1</v>
      </c>
      <c r="AX137" s="2"/>
      <c r="AY137">
        <v>45</v>
      </c>
      <c r="AZ137">
        <v>1</v>
      </c>
      <c r="BA137">
        <v>1500</v>
      </c>
      <c r="BB137" t="s">
        <v>709</v>
      </c>
      <c r="BC137">
        <v>160</v>
      </c>
      <c r="BD137" s="2">
        <v>0.08</v>
      </c>
      <c r="BE137" t="s">
        <v>929</v>
      </c>
      <c r="BF137" t="s">
        <v>921</v>
      </c>
      <c r="BG137" t="s">
        <v>939</v>
      </c>
      <c r="BH137" s="7">
        <v>40</v>
      </c>
      <c r="BI13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137">
        <v>0</v>
      </c>
      <c r="BK137" t="s">
        <v>733</v>
      </c>
      <c r="BL137" s="11"/>
      <c r="BM137" s="11"/>
      <c r="BN137" s="11">
        <v>203</v>
      </c>
      <c r="BO137">
        <v>0</v>
      </c>
      <c r="BP137" t="s">
        <v>691</v>
      </c>
      <c r="BQ137" t="s">
        <v>693</v>
      </c>
      <c r="BR137" t="s">
        <v>700</v>
      </c>
      <c r="BS137" t="s">
        <v>704</v>
      </c>
      <c r="BT137" t="s">
        <v>705</v>
      </c>
      <c r="BU137" t="s">
        <v>706</v>
      </c>
      <c r="CT137"/>
      <c r="CU137"/>
      <c r="CV137"/>
    </row>
    <row r="138" spans="1:100" x14ac:dyDescent="0.4">
      <c r="A138" s="2" t="s">
        <v>162</v>
      </c>
      <c r="B138" t="str">
        <f>_xlfn.TEXTAFTER(Table1[[#This Row],[VEHIDCODE]],"_")</f>
        <v>South_Africa_Harbour_Board_EL_0_4_0</v>
      </c>
      <c r="C138" t="s">
        <v>738</v>
      </c>
      <c r="D138" t="s">
        <v>956</v>
      </c>
      <c r="E138">
        <v>4074</v>
      </c>
      <c r="F138" t="b">
        <f>OR(ISNUMBER(SEARCH("wagon_",Table1[[#This Row],[FILENAMES_EXPECTED]])),ISNUMBER(SEARCH("coach_",Table1[[#This Row],[FILENAMES_EXPECTED]])))</f>
        <v>0</v>
      </c>
      <c r="G138" t="str">
        <f>"item_"&amp;Table1[[#This Row],[VEHIDCODE]]</f>
        <v>item_steam_South_Africa_Harbour_Board_EL_0_4_0</v>
      </c>
      <c r="H138" t="str">
        <f>"str_"&amp;Table1[[#This Row],[VEHIDCODE]]</f>
        <v>str_steam_South_Africa_Harbour_Board_EL_0_4_0</v>
      </c>
      <c r="Q138" s="2" t="b">
        <v>1</v>
      </c>
      <c r="AL138" s="2"/>
      <c r="AM138" s="2" t="b">
        <f>LEN(_xlfn.CONCAT(Table1[[#This Row],[TRACK_TYPE_STANDARD_GAUGE_RAILTYPE_OHLE]:[TRACK_TYPE_MTRO]]))&gt;0</f>
        <v>1</v>
      </c>
      <c r="AN138">
        <v>3</v>
      </c>
      <c r="AO138" t="s">
        <v>20</v>
      </c>
      <c r="AP138">
        <v>0</v>
      </c>
      <c r="AQ138" t="s">
        <v>23</v>
      </c>
      <c r="AR138">
        <v>0</v>
      </c>
      <c r="AS138">
        <v>1873</v>
      </c>
      <c r="AT138">
        <v>3</v>
      </c>
      <c r="AU138" s="2" t="s">
        <v>24</v>
      </c>
      <c r="AV138" t="b">
        <v>1</v>
      </c>
      <c r="AX138" s="2"/>
      <c r="AY138">
        <v>45</v>
      </c>
      <c r="AZ138">
        <v>1</v>
      </c>
      <c r="BA138">
        <v>15</v>
      </c>
      <c r="BB138" t="s">
        <v>709</v>
      </c>
      <c r="BC138">
        <v>16</v>
      </c>
      <c r="BD138" s="2">
        <v>0.06</v>
      </c>
      <c r="BE138" t="s">
        <v>925</v>
      </c>
      <c r="BF138" t="s">
        <v>921</v>
      </c>
      <c r="BG138" t="s">
        <v>939</v>
      </c>
      <c r="BH138" s="7">
        <v>40</v>
      </c>
      <c r="BI13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138">
        <v>0</v>
      </c>
      <c r="BK138" t="s">
        <v>733</v>
      </c>
      <c r="BL138" s="11"/>
      <c r="BM138" s="11"/>
      <c r="BN138" s="11">
        <v>7</v>
      </c>
      <c r="BO138">
        <v>0</v>
      </c>
      <c r="BP138" t="s">
        <v>691</v>
      </c>
      <c r="BQ138" t="s">
        <v>693</v>
      </c>
      <c r="BR138" t="s">
        <v>700</v>
      </c>
      <c r="BS138" t="s">
        <v>704</v>
      </c>
      <c r="BT138" t="s">
        <v>705</v>
      </c>
      <c r="BU138" t="s">
        <v>706</v>
      </c>
      <c r="CT138"/>
      <c r="CU138"/>
      <c r="CV138"/>
    </row>
    <row r="139" spans="1:100" x14ac:dyDescent="0.4">
      <c r="A139" s="2" t="s">
        <v>163</v>
      </c>
      <c r="B139" t="str">
        <f>_xlfn.TEXTAFTER(Table1[[#This Row],[VEHIDCODE]],"_")</f>
        <v>Mozambique_Beira_Railway_BR6_F2_Falcon</v>
      </c>
      <c r="C139" t="s">
        <v>738</v>
      </c>
      <c r="D139" t="s">
        <v>956</v>
      </c>
      <c r="E139">
        <v>4078</v>
      </c>
      <c r="F139" t="b">
        <f>OR(ISNUMBER(SEARCH("wagon_",Table1[[#This Row],[FILENAMES_EXPECTED]])),ISNUMBER(SEARCH("coach_",Table1[[#This Row],[FILENAMES_EXPECTED]])))</f>
        <v>0</v>
      </c>
      <c r="G139" t="str">
        <f>"item_"&amp;Table1[[#This Row],[VEHIDCODE]]</f>
        <v>item_steam_Mozambique_Beira_Railway_BR6_F2_Falcon</v>
      </c>
      <c r="H139" t="str">
        <f>"str_"&amp;Table1[[#This Row],[VEHIDCODE]]</f>
        <v>str_steam_Mozambique_Beira_Railway_BR6_F2_Falcon</v>
      </c>
      <c r="Q139" s="2" t="b">
        <v>1</v>
      </c>
      <c r="AL139" s="2"/>
      <c r="AM139" s="2" t="b">
        <f>LEN(_xlfn.CONCAT(Table1[[#This Row],[TRACK_TYPE_STANDARD_GAUGE_RAILTYPE_OHLE]:[TRACK_TYPE_MTRO]]))&gt;0</f>
        <v>1</v>
      </c>
      <c r="AN139">
        <v>6</v>
      </c>
      <c r="AO139" t="s">
        <v>20</v>
      </c>
      <c r="AP139">
        <v>0</v>
      </c>
      <c r="AQ139" t="s">
        <v>23</v>
      </c>
      <c r="AR139">
        <v>0</v>
      </c>
      <c r="AS139">
        <v>1895</v>
      </c>
      <c r="AT139">
        <v>4</v>
      </c>
      <c r="AU139" s="2" t="s">
        <v>24</v>
      </c>
      <c r="AV139" t="b">
        <v>1</v>
      </c>
      <c r="AX139" s="2"/>
      <c r="AY139">
        <v>45</v>
      </c>
      <c r="AZ139">
        <v>1</v>
      </c>
      <c r="BA139">
        <v>140</v>
      </c>
      <c r="BB139" t="s">
        <v>709</v>
      </c>
      <c r="BC139">
        <v>40</v>
      </c>
      <c r="BD139" s="2">
        <v>0.08</v>
      </c>
      <c r="BE139" t="s">
        <v>925</v>
      </c>
      <c r="BF139" t="s">
        <v>921</v>
      </c>
      <c r="BG139" t="s">
        <v>939</v>
      </c>
      <c r="BH139" s="7">
        <v>40</v>
      </c>
      <c r="BI13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139">
        <v>0</v>
      </c>
      <c r="BK139" t="s">
        <v>733</v>
      </c>
      <c r="BL139" s="11"/>
      <c r="BM139" s="11"/>
      <c r="BN139" s="11">
        <v>18</v>
      </c>
      <c r="BO139">
        <v>0</v>
      </c>
      <c r="BP139" t="s">
        <v>691</v>
      </c>
      <c r="BQ139" t="s">
        <v>693</v>
      </c>
      <c r="BR139" t="s">
        <v>700</v>
      </c>
      <c r="BS139" t="s">
        <v>704</v>
      </c>
      <c r="BT139" t="s">
        <v>705</v>
      </c>
      <c r="BU139" t="s">
        <v>706</v>
      </c>
      <c r="CT139"/>
      <c r="CU139"/>
      <c r="CV139"/>
    </row>
    <row r="140" spans="1:100" x14ac:dyDescent="0.4">
      <c r="A140" s="2" t="s">
        <v>164</v>
      </c>
      <c r="B140" t="str">
        <f>_xlfn.TEXTAFTER(Table1[[#This Row],[VEHIDCODE]],"_")</f>
        <v>Eritrea_Eritrean_Railway_R440</v>
      </c>
      <c r="C140" t="s">
        <v>738</v>
      </c>
      <c r="D140" t="s">
        <v>956</v>
      </c>
      <c r="E140">
        <v>4083</v>
      </c>
      <c r="F140" t="b">
        <f>OR(ISNUMBER(SEARCH("wagon_",Table1[[#This Row],[FILENAMES_EXPECTED]])),ISNUMBER(SEARCH("coach_",Table1[[#This Row],[FILENAMES_EXPECTED]])))</f>
        <v>0</v>
      </c>
      <c r="G140" t="str">
        <f>"item_"&amp;Table1[[#This Row],[VEHIDCODE]]</f>
        <v>item_steam_Eritrea_Eritrean_Railway_R440</v>
      </c>
      <c r="H140" t="str">
        <f>"str_"&amp;Table1[[#This Row],[VEHIDCODE]]</f>
        <v>str_steam_Eritrea_Eritrean_Railway_R440</v>
      </c>
      <c r="Z140" s="2" t="b">
        <v>1</v>
      </c>
      <c r="AL140" s="2"/>
      <c r="AM140" s="2" t="b">
        <f>LEN(_xlfn.CONCAT(Table1[[#This Row],[TRACK_TYPE_STANDARD_GAUGE_RAILTYPE_OHLE]:[TRACK_TYPE_MTRO]]))&gt;0</f>
        <v>1</v>
      </c>
      <c r="AN140">
        <v>5</v>
      </c>
      <c r="AO140" t="s">
        <v>20</v>
      </c>
      <c r="AP140">
        <v>0</v>
      </c>
      <c r="AQ140" t="s">
        <v>23</v>
      </c>
      <c r="AR140">
        <v>0</v>
      </c>
      <c r="AS140">
        <v>1911</v>
      </c>
      <c r="AT140">
        <v>5</v>
      </c>
      <c r="AU140" s="2" t="s">
        <v>24</v>
      </c>
      <c r="AV140" t="b">
        <v>1</v>
      </c>
      <c r="AX140" s="2"/>
      <c r="AY140">
        <v>45</v>
      </c>
      <c r="AZ140">
        <v>1</v>
      </c>
      <c r="BA140">
        <v>250</v>
      </c>
      <c r="BB140" t="s">
        <v>709</v>
      </c>
      <c r="BC140">
        <v>40</v>
      </c>
      <c r="BD140" s="2">
        <v>0.14000000000000001</v>
      </c>
      <c r="BE140" t="s">
        <v>925</v>
      </c>
      <c r="BF140" t="s">
        <v>921</v>
      </c>
      <c r="BG140" t="s">
        <v>939</v>
      </c>
      <c r="BH140" s="7">
        <v>40</v>
      </c>
      <c r="BI14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140">
        <v>0</v>
      </c>
      <c r="BK140" t="s">
        <v>733</v>
      </c>
      <c r="BL140" s="11"/>
      <c r="BM140" s="11"/>
      <c r="BN140" s="11">
        <v>35</v>
      </c>
      <c r="BO140">
        <v>0</v>
      </c>
      <c r="BP140" t="s">
        <v>691</v>
      </c>
      <c r="BQ140" t="s">
        <v>693</v>
      </c>
      <c r="BR140" t="s">
        <v>700</v>
      </c>
      <c r="BS140" t="s">
        <v>704</v>
      </c>
      <c r="BT140" t="s">
        <v>705</v>
      </c>
      <c r="BU140" t="s">
        <v>706</v>
      </c>
      <c r="CT140"/>
      <c r="CU140"/>
      <c r="CV140"/>
    </row>
    <row r="141" spans="1:100" x14ac:dyDescent="0.4">
      <c r="A141" s="2" t="s">
        <v>165</v>
      </c>
      <c r="B141" t="str">
        <f>_xlfn.TEXTAFTER(Table1[[#This Row],[VEHIDCODE]],"_")</f>
        <v>Kenya_East_African_Railway_23</v>
      </c>
      <c r="C141" t="s">
        <v>738</v>
      </c>
      <c r="D141" t="s">
        <v>956</v>
      </c>
      <c r="E141">
        <v>4088</v>
      </c>
      <c r="F141" t="b">
        <f>OR(ISNUMBER(SEARCH("wagon_",Table1[[#This Row],[FILENAMES_EXPECTED]])),ISNUMBER(SEARCH("coach_",Table1[[#This Row],[FILENAMES_EXPECTED]])))</f>
        <v>0</v>
      </c>
      <c r="G141" t="str">
        <f>"item_"&amp;Table1[[#This Row],[VEHIDCODE]]</f>
        <v>item_steam_Kenya_East_African_Railway_23</v>
      </c>
      <c r="H141" t="str">
        <f>"str_"&amp;Table1[[#This Row],[VEHIDCODE]]</f>
        <v>str_steam_Kenya_East_African_Railway_23</v>
      </c>
      <c r="Q141" s="2" t="b">
        <v>1</v>
      </c>
      <c r="AL141" s="2"/>
      <c r="AM141" s="2" t="b">
        <f>LEN(_xlfn.CONCAT(Table1[[#This Row],[TRACK_TYPE_STANDARD_GAUGE_RAILTYPE_OHLE]:[TRACK_TYPE_MTRO]]))&gt;0</f>
        <v>1</v>
      </c>
      <c r="AN141">
        <v>6</v>
      </c>
      <c r="AO141" t="s">
        <v>20</v>
      </c>
      <c r="AP141">
        <v>0</v>
      </c>
      <c r="AQ141" t="s">
        <v>23</v>
      </c>
      <c r="AR141">
        <v>0</v>
      </c>
      <c r="AS141">
        <v>1923</v>
      </c>
      <c r="AT141">
        <v>5</v>
      </c>
      <c r="AU141" s="2" t="s">
        <v>24</v>
      </c>
      <c r="AV141" t="b">
        <v>1</v>
      </c>
      <c r="AX141" s="2"/>
      <c r="AY141">
        <v>45</v>
      </c>
      <c r="AZ141">
        <v>1</v>
      </c>
      <c r="BA141">
        <v>339</v>
      </c>
      <c r="BB141" t="s">
        <v>709</v>
      </c>
      <c r="BC141">
        <v>70</v>
      </c>
      <c r="BD141" s="2">
        <v>0.14000000000000001</v>
      </c>
      <c r="BE141" t="s">
        <v>925</v>
      </c>
      <c r="BF141" t="s">
        <v>921</v>
      </c>
      <c r="BG141" t="s">
        <v>939</v>
      </c>
      <c r="BH141" s="7">
        <v>40</v>
      </c>
      <c r="BI14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141">
        <v>0</v>
      </c>
      <c r="BK141" t="s">
        <v>733</v>
      </c>
      <c r="BL141" s="11"/>
      <c r="BM141" s="11"/>
      <c r="BN141" s="11">
        <v>79</v>
      </c>
      <c r="BO141">
        <v>0</v>
      </c>
      <c r="BP141" t="s">
        <v>691</v>
      </c>
      <c r="BQ141" t="s">
        <v>693</v>
      </c>
      <c r="BR141" t="s">
        <v>700</v>
      </c>
      <c r="BS141" t="s">
        <v>704</v>
      </c>
      <c r="BT141" t="s">
        <v>705</v>
      </c>
      <c r="BU141" t="s">
        <v>706</v>
      </c>
      <c r="CT141"/>
      <c r="CU141"/>
      <c r="CV141"/>
    </row>
    <row r="142" spans="1:100" x14ac:dyDescent="0.4">
      <c r="A142" s="2" t="s">
        <v>166</v>
      </c>
      <c r="B142" t="str">
        <f>_xlfn.TEXTAFTER(Table1[[#This Row],[VEHIDCODE]],"_")</f>
        <v>Kenya_East_African_Railway_21</v>
      </c>
      <c r="C142" t="s">
        <v>738</v>
      </c>
      <c r="D142" t="s">
        <v>956</v>
      </c>
      <c r="E142">
        <v>4093</v>
      </c>
      <c r="F142" t="b">
        <f>OR(ISNUMBER(SEARCH("wagon_",Table1[[#This Row],[FILENAMES_EXPECTED]])),ISNUMBER(SEARCH("coach_",Table1[[#This Row],[FILENAMES_EXPECTED]])))</f>
        <v>0</v>
      </c>
      <c r="G142" t="str">
        <f>"item_"&amp;Table1[[#This Row],[VEHIDCODE]]</f>
        <v>item_steam_Kenya_East_African_Railway_21</v>
      </c>
      <c r="H142" t="str">
        <f>"str_"&amp;Table1[[#This Row],[VEHIDCODE]]</f>
        <v>str_steam_Kenya_East_African_Railway_21</v>
      </c>
      <c r="Q142" s="2" t="b">
        <v>1</v>
      </c>
      <c r="AL142" s="2"/>
      <c r="AM142" s="2" t="b">
        <f>LEN(_xlfn.CONCAT(Table1[[#This Row],[TRACK_TYPE_STANDARD_GAUGE_RAILTYPE_OHLE]:[TRACK_TYPE_MTRO]]))&gt;0</f>
        <v>1</v>
      </c>
      <c r="AN142">
        <v>6</v>
      </c>
      <c r="AO142" t="s">
        <v>20</v>
      </c>
      <c r="AP142">
        <v>0</v>
      </c>
      <c r="AQ142" t="s">
        <v>23</v>
      </c>
      <c r="AR142">
        <v>0</v>
      </c>
      <c r="AS142">
        <v>1928</v>
      </c>
      <c r="AT142">
        <v>6</v>
      </c>
      <c r="AU142" s="2" t="s">
        <v>24</v>
      </c>
      <c r="AV142" t="b">
        <v>1</v>
      </c>
      <c r="AX142" s="2"/>
      <c r="AY142">
        <v>45</v>
      </c>
      <c r="AZ142">
        <v>1</v>
      </c>
      <c r="BA142">
        <v>565</v>
      </c>
      <c r="BB142" t="s">
        <v>709</v>
      </c>
      <c r="BC142">
        <v>75</v>
      </c>
      <c r="BD142" s="2">
        <v>0.13</v>
      </c>
      <c r="BE142" t="s">
        <v>925</v>
      </c>
      <c r="BF142" t="s">
        <v>921</v>
      </c>
      <c r="BG142" t="s">
        <v>939</v>
      </c>
      <c r="BH142" s="7">
        <v>40</v>
      </c>
      <c r="BI14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142">
        <v>0</v>
      </c>
      <c r="BK142" t="s">
        <v>733</v>
      </c>
      <c r="BL142" s="11"/>
      <c r="BM142" s="11"/>
      <c r="BN142" s="11">
        <v>85</v>
      </c>
      <c r="BO142">
        <v>0</v>
      </c>
      <c r="BP142" t="s">
        <v>691</v>
      </c>
      <c r="BQ142" t="s">
        <v>693</v>
      </c>
      <c r="BR142" t="s">
        <v>700</v>
      </c>
      <c r="BS142" t="s">
        <v>704</v>
      </c>
      <c r="BT142" t="s">
        <v>705</v>
      </c>
      <c r="BU142" t="s">
        <v>706</v>
      </c>
      <c r="CT142"/>
      <c r="CU142"/>
      <c r="CV142"/>
    </row>
    <row r="143" spans="1:100" x14ac:dyDescent="0.4">
      <c r="A143" s="2" t="s">
        <v>167</v>
      </c>
      <c r="B143" t="str">
        <f>_xlfn.TEXTAFTER(Table1[[#This Row],[VEHIDCODE]],"_")</f>
        <v>Zimbabwe_Zimbabwe_Railways_15</v>
      </c>
      <c r="C143" t="s">
        <v>738</v>
      </c>
      <c r="D143" t="s">
        <v>956</v>
      </c>
      <c r="E143">
        <v>4098</v>
      </c>
      <c r="F143" t="b">
        <f>OR(ISNUMBER(SEARCH("wagon_",Table1[[#This Row],[FILENAMES_EXPECTED]])),ISNUMBER(SEARCH("coach_",Table1[[#This Row],[FILENAMES_EXPECTED]])))</f>
        <v>0</v>
      </c>
      <c r="G143" t="str">
        <f>"item_"&amp;Table1[[#This Row],[VEHIDCODE]]</f>
        <v>item_steam_Zimbabwe_Zimbabwe_Railways_15</v>
      </c>
      <c r="H143" t="str">
        <f>"str_"&amp;Table1[[#This Row],[VEHIDCODE]]</f>
        <v>str_steam_Zimbabwe_Zimbabwe_Railways_15</v>
      </c>
      <c r="Z143" s="2" t="b">
        <v>1</v>
      </c>
      <c r="AL143" s="2"/>
      <c r="AM143" s="2" t="b">
        <f>LEN(_xlfn.CONCAT(Table1[[#This Row],[TRACK_TYPE_STANDARD_GAUGE_RAILTYPE_OHLE]:[TRACK_TYPE_MTRO]]))&gt;0</f>
        <v>1</v>
      </c>
      <c r="AN143">
        <v>12</v>
      </c>
      <c r="AO143" t="s">
        <v>20</v>
      </c>
      <c r="AP143">
        <v>0</v>
      </c>
      <c r="AQ143" t="s">
        <v>23</v>
      </c>
      <c r="AR143">
        <v>0</v>
      </c>
      <c r="AS143">
        <v>1940</v>
      </c>
      <c r="AT143">
        <v>4</v>
      </c>
      <c r="AU143" s="2" t="s">
        <v>24</v>
      </c>
      <c r="AV143" t="b">
        <v>1</v>
      </c>
      <c r="AX143" s="2"/>
      <c r="AY143">
        <v>45</v>
      </c>
      <c r="AZ143">
        <v>1</v>
      </c>
      <c r="BA143">
        <v>1150</v>
      </c>
      <c r="BB143" t="s">
        <v>709</v>
      </c>
      <c r="BC143">
        <v>70</v>
      </c>
      <c r="BD143" s="2">
        <v>0.1</v>
      </c>
      <c r="BE143" t="s">
        <v>925</v>
      </c>
      <c r="BF143" t="s">
        <v>921</v>
      </c>
      <c r="BG143" t="s">
        <v>939</v>
      </c>
      <c r="BH143" s="7">
        <v>40</v>
      </c>
      <c r="BI14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143">
        <v>0</v>
      </c>
      <c r="BK143" t="s">
        <v>733</v>
      </c>
      <c r="BL143" s="11"/>
      <c r="BM143" s="11"/>
      <c r="BN143" s="11">
        <v>183</v>
      </c>
      <c r="BO143">
        <v>0</v>
      </c>
      <c r="BP143" t="s">
        <v>691</v>
      </c>
      <c r="BQ143" t="s">
        <v>693</v>
      </c>
      <c r="BR143" t="s">
        <v>700</v>
      </c>
      <c r="BS143" t="s">
        <v>704</v>
      </c>
      <c r="BT143" t="s">
        <v>705</v>
      </c>
      <c r="BU143" t="s">
        <v>706</v>
      </c>
      <c r="CT143"/>
      <c r="CU143"/>
      <c r="CV143"/>
    </row>
    <row r="144" spans="1:100" x14ac:dyDescent="0.4">
      <c r="A144" s="2" t="s">
        <v>168</v>
      </c>
      <c r="B144" t="str">
        <f>_xlfn.TEXTAFTER(Table1[[#This Row],[VEHIDCODE]],"_")</f>
        <v>South_Africa_SAR_GMA_4_8_2_2_8_4</v>
      </c>
      <c r="C144" t="s">
        <v>738</v>
      </c>
      <c r="D144" t="s">
        <v>956</v>
      </c>
      <c r="E144">
        <v>4106</v>
      </c>
      <c r="F144" t="b">
        <f>OR(ISNUMBER(SEARCH("wagon_",Table1[[#This Row],[FILENAMES_EXPECTED]])),ISNUMBER(SEARCH("coach_",Table1[[#This Row],[FILENAMES_EXPECTED]])))</f>
        <v>0</v>
      </c>
      <c r="G144" t="str">
        <f>"item_"&amp;Table1[[#This Row],[VEHIDCODE]]</f>
        <v>item_steam_South_Africa_SAR_GMA_4_8_2_2_8_4</v>
      </c>
      <c r="H144" t="str">
        <f>"str_"&amp;Table1[[#This Row],[VEHIDCODE]]</f>
        <v>str_steam_South_Africa_SAR_GMA_4_8_2_2_8_4</v>
      </c>
      <c r="Z144" s="2" t="b">
        <v>1</v>
      </c>
      <c r="AL144" s="2"/>
      <c r="AM144" s="2" t="b">
        <f>LEN(_xlfn.CONCAT(Table1[[#This Row],[TRACK_TYPE_STANDARD_GAUGE_RAILTYPE_OHLE]:[TRACK_TYPE_MTRO]]))&gt;0</f>
        <v>1</v>
      </c>
      <c r="AN144">
        <v>12</v>
      </c>
      <c r="AO144" t="s">
        <v>20</v>
      </c>
      <c r="AP144">
        <v>0</v>
      </c>
      <c r="AQ144" t="s">
        <v>23</v>
      </c>
      <c r="AR144">
        <v>0</v>
      </c>
      <c r="AS144">
        <v>1953</v>
      </c>
      <c r="AT144">
        <v>7</v>
      </c>
      <c r="AU144" s="2" t="s">
        <v>24</v>
      </c>
      <c r="AV144" t="b">
        <v>1</v>
      </c>
      <c r="AX144" s="2"/>
      <c r="AY144">
        <v>45</v>
      </c>
      <c r="AZ144">
        <v>1</v>
      </c>
      <c r="BA144">
        <v>3390</v>
      </c>
      <c r="BB144" t="s">
        <v>709</v>
      </c>
      <c r="BC144">
        <v>95</v>
      </c>
      <c r="BD144" s="2">
        <v>0.13</v>
      </c>
      <c r="BE144" t="s">
        <v>925</v>
      </c>
      <c r="BF144" t="s">
        <v>921</v>
      </c>
      <c r="BG144" t="s">
        <v>939</v>
      </c>
      <c r="BH144" s="7">
        <v>40</v>
      </c>
      <c r="BI14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144">
        <v>0</v>
      </c>
      <c r="BK144" t="s">
        <v>733</v>
      </c>
      <c r="BL144" s="11"/>
      <c r="BM144" s="11"/>
      <c r="BN144" s="11">
        <v>212</v>
      </c>
      <c r="BO144">
        <v>0</v>
      </c>
      <c r="BP144" t="s">
        <v>691</v>
      </c>
      <c r="BQ144" t="s">
        <v>693</v>
      </c>
      <c r="BR144" t="s">
        <v>700</v>
      </c>
      <c r="BS144" t="s">
        <v>704</v>
      </c>
      <c r="BT144" t="s">
        <v>705</v>
      </c>
      <c r="BU144" t="s">
        <v>706</v>
      </c>
      <c r="CT144"/>
      <c r="CU144"/>
      <c r="CV144"/>
    </row>
    <row r="145" spans="1:100" x14ac:dyDescent="0.4">
      <c r="A145" s="2" t="s">
        <v>169</v>
      </c>
      <c r="B145" t="str">
        <f>_xlfn.TEXTAFTER(Table1[[#This Row],[VEHIDCODE]],"_")</f>
        <v>Kenya_East_African_Railway_31</v>
      </c>
      <c r="C145" t="s">
        <v>738</v>
      </c>
      <c r="D145" t="s">
        <v>956</v>
      </c>
      <c r="E145">
        <v>4107</v>
      </c>
      <c r="F145" t="b">
        <f>OR(ISNUMBER(SEARCH("wagon_",Table1[[#This Row],[FILENAMES_EXPECTED]])),ISNUMBER(SEARCH("coach_",Table1[[#This Row],[FILENAMES_EXPECTED]])))</f>
        <v>0</v>
      </c>
      <c r="G145" t="str">
        <f>"item_"&amp;Table1[[#This Row],[VEHIDCODE]]</f>
        <v>item_steam_Kenya_East_African_Railway_31</v>
      </c>
      <c r="H145" t="str">
        <f>"str_"&amp;Table1[[#This Row],[VEHIDCODE]]</f>
        <v>str_steam_Kenya_East_African_Railway_31</v>
      </c>
      <c r="Q145" s="2" t="b">
        <v>1</v>
      </c>
      <c r="AL145" s="2"/>
      <c r="AM145" s="2" t="b">
        <f>LEN(_xlfn.CONCAT(Table1[[#This Row],[TRACK_TYPE_STANDARD_GAUGE_RAILTYPE_OHLE]:[TRACK_TYPE_MTRO]]))&gt;0</f>
        <v>1</v>
      </c>
      <c r="AN145">
        <v>8</v>
      </c>
      <c r="AO145" t="s">
        <v>20</v>
      </c>
      <c r="AP145">
        <v>0</v>
      </c>
      <c r="AQ145" t="s">
        <v>23</v>
      </c>
      <c r="AR145">
        <v>0</v>
      </c>
      <c r="AS145">
        <v>1955</v>
      </c>
      <c r="AT145">
        <v>7</v>
      </c>
      <c r="AU145" s="2" t="s">
        <v>24</v>
      </c>
      <c r="AV145" t="b">
        <v>1</v>
      </c>
      <c r="AX145" s="2"/>
      <c r="AY145">
        <v>45</v>
      </c>
      <c r="AZ145">
        <v>1</v>
      </c>
      <c r="BA145">
        <v>1220</v>
      </c>
      <c r="BB145" t="s">
        <v>709</v>
      </c>
      <c r="BC145">
        <v>80</v>
      </c>
      <c r="BD145" s="2">
        <v>0.1</v>
      </c>
      <c r="BE145" t="s">
        <v>925</v>
      </c>
      <c r="BF145" t="s">
        <v>921</v>
      </c>
      <c r="BG145" t="s">
        <v>939</v>
      </c>
      <c r="BH145" s="7">
        <v>40</v>
      </c>
      <c r="BI14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145">
        <v>0</v>
      </c>
      <c r="BK145" t="s">
        <v>733</v>
      </c>
      <c r="BL145" s="11"/>
      <c r="BM145" s="11"/>
      <c r="BN145" s="11">
        <v>115</v>
      </c>
      <c r="BO145">
        <v>0</v>
      </c>
      <c r="BP145" t="s">
        <v>691</v>
      </c>
      <c r="BQ145" t="s">
        <v>693</v>
      </c>
      <c r="BR145" t="s">
        <v>700</v>
      </c>
      <c r="BS145" t="s">
        <v>704</v>
      </c>
      <c r="BT145" t="s">
        <v>705</v>
      </c>
      <c r="BU145" t="s">
        <v>706</v>
      </c>
      <c r="CT145"/>
      <c r="CU145"/>
      <c r="CV145"/>
    </row>
    <row r="146" spans="1:100" x14ac:dyDescent="0.4">
      <c r="A146" s="2" t="s">
        <v>170</v>
      </c>
      <c r="B146" t="str">
        <f>_xlfn.TEXTAFTER(Table1[[#This Row],[VEHIDCODE]],"_")</f>
        <v>India_Fairy_Queen</v>
      </c>
      <c r="C146" t="s">
        <v>738</v>
      </c>
      <c r="D146" t="s">
        <v>956</v>
      </c>
      <c r="E146">
        <v>4073</v>
      </c>
      <c r="F146" t="b">
        <f>OR(ISNUMBER(SEARCH("wagon_",Table1[[#This Row],[FILENAMES_EXPECTED]])),ISNUMBER(SEARCH("coach_",Table1[[#This Row],[FILENAMES_EXPECTED]])))</f>
        <v>0</v>
      </c>
      <c r="G146" t="str">
        <f>"item_"&amp;Table1[[#This Row],[VEHIDCODE]]</f>
        <v>item_steam_India_Fairy_Queen</v>
      </c>
      <c r="H146" t="str">
        <f>"str_"&amp;Table1[[#This Row],[VEHIDCODE]]</f>
        <v>str_steam_India_Fairy_Queen</v>
      </c>
      <c r="AI146" s="2" t="b">
        <v>1</v>
      </c>
      <c r="AL146" s="2"/>
      <c r="AM146" s="2" t="b">
        <f>LEN(_xlfn.CONCAT(Table1[[#This Row],[TRACK_TYPE_STANDARD_GAUGE_RAILTYPE_OHLE]:[TRACK_TYPE_MTRO]]))&gt;0</f>
        <v>1</v>
      </c>
      <c r="AN146">
        <v>5</v>
      </c>
      <c r="AO146" t="s">
        <v>20</v>
      </c>
      <c r="AP146">
        <v>0</v>
      </c>
      <c r="AQ146" t="s">
        <v>23</v>
      </c>
      <c r="AR146">
        <v>0</v>
      </c>
      <c r="AS146">
        <v>1855</v>
      </c>
      <c r="AT146">
        <v>5</v>
      </c>
      <c r="AU146" s="2" t="s">
        <v>24</v>
      </c>
      <c r="AV146" t="b">
        <v>1</v>
      </c>
      <c r="AX146" s="2"/>
      <c r="AY146">
        <v>45</v>
      </c>
      <c r="AZ146">
        <v>1</v>
      </c>
      <c r="BA146">
        <v>130</v>
      </c>
      <c r="BB146" t="s">
        <v>709</v>
      </c>
      <c r="BC146">
        <v>40</v>
      </c>
      <c r="BD146" s="2">
        <v>0.16</v>
      </c>
      <c r="BE146" t="s">
        <v>930</v>
      </c>
      <c r="BF146" t="s">
        <v>921</v>
      </c>
      <c r="BG146" t="s">
        <v>939</v>
      </c>
      <c r="BH146" s="7">
        <v>40</v>
      </c>
      <c r="BI14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146">
        <v>0</v>
      </c>
      <c r="BK146" t="s">
        <v>733</v>
      </c>
      <c r="BL146" s="11"/>
      <c r="BM146" s="11"/>
      <c r="BN146" s="11">
        <v>28</v>
      </c>
      <c r="BO146">
        <v>0</v>
      </c>
      <c r="BP146" t="s">
        <v>691</v>
      </c>
      <c r="BQ146" t="s">
        <v>693</v>
      </c>
      <c r="BR146" t="s">
        <v>700</v>
      </c>
      <c r="BS146" t="s">
        <v>704</v>
      </c>
      <c r="BT146" t="s">
        <v>705</v>
      </c>
      <c r="BU146" t="s">
        <v>706</v>
      </c>
      <c r="CT146"/>
      <c r="CU146"/>
      <c r="CV146"/>
    </row>
    <row r="147" spans="1:100" x14ac:dyDescent="0.4">
      <c r="A147" s="2" t="s">
        <v>171</v>
      </c>
      <c r="B147" t="str">
        <f>_xlfn.TEXTAFTER(Table1[[#This Row],[VEHIDCODE]],"_")</f>
        <v>India_DHR_B</v>
      </c>
      <c r="C147" t="s">
        <v>738</v>
      </c>
      <c r="D147" t="s">
        <v>956</v>
      </c>
      <c r="E147">
        <v>4076</v>
      </c>
      <c r="F147" t="b">
        <f>OR(ISNUMBER(SEARCH("wagon_",Table1[[#This Row],[FILENAMES_EXPECTED]])),ISNUMBER(SEARCH("coach_",Table1[[#This Row],[FILENAMES_EXPECTED]])))</f>
        <v>0</v>
      </c>
      <c r="G147" t="str">
        <f>"item_"&amp;Table1[[#This Row],[VEHIDCODE]]</f>
        <v>item_steam_India_DHR_B</v>
      </c>
      <c r="H147" t="str">
        <f>"str_"&amp;Table1[[#This Row],[VEHIDCODE]]</f>
        <v>str_steam_India_DHR_B</v>
      </c>
      <c r="Z147" s="2" t="b">
        <v>1</v>
      </c>
      <c r="AL147" s="2"/>
      <c r="AM147" s="2" t="b">
        <f>LEN(_xlfn.CONCAT(Table1[[#This Row],[TRACK_TYPE_STANDARD_GAUGE_RAILTYPE_OHLE]:[TRACK_TYPE_MTRO]]))&gt;0</f>
        <v>1</v>
      </c>
      <c r="AN147">
        <v>4</v>
      </c>
      <c r="AO147" t="s">
        <v>20</v>
      </c>
      <c r="AP147">
        <v>0</v>
      </c>
      <c r="AQ147" t="s">
        <v>23</v>
      </c>
      <c r="AR147">
        <v>0</v>
      </c>
      <c r="AS147">
        <v>1889</v>
      </c>
      <c r="AT147">
        <v>5</v>
      </c>
      <c r="AU147" s="2" t="s">
        <v>24</v>
      </c>
      <c r="AV147" t="b">
        <v>1</v>
      </c>
      <c r="AX147" s="2"/>
      <c r="AY147">
        <v>45</v>
      </c>
      <c r="AZ147">
        <v>1</v>
      </c>
      <c r="BA147">
        <v>165</v>
      </c>
      <c r="BB147" t="s">
        <v>709</v>
      </c>
      <c r="BC147">
        <v>42</v>
      </c>
      <c r="BD147" s="2">
        <v>0.18</v>
      </c>
      <c r="BE147" t="s">
        <v>930</v>
      </c>
      <c r="BF147" t="s">
        <v>921</v>
      </c>
      <c r="BG147" t="s">
        <v>939</v>
      </c>
      <c r="BH147" s="7">
        <v>40</v>
      </c>
      <c r="BI14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147">
        <v>0</v>
      </c>
      <c r="BK147" t="s">
        <v>733</v>
      </c>
      <c r="BL147" s="11"/>
      <c r="BM147" s="11"/>
      <c r="BN147" s="11">
        <v>20</v>
      </c>
      <c r="BO147">
        <v>0</v>
      </c>
      <c r="BP147" t="s">
        <v>691</v>
      </c>
      <c r="BQ147" t="s">
        <v>693</v>
      </c>
      <c r="BR147" t="s">
        <v>700</v>
      </c>
      <c r="BS147" t="s">
        <v>704</v>
      </c>
      <c r="BT147" t="s">
        <v>705</v>
      </c>
      <c r="BU147" t="s">
        <v>706</v>
      </c>
      <c r="CT147"/>
      <c r="CU147"/>
      <c r="CV147"/>
    </row>
    <row r="148" spans="1:100" x14ac:dyDescent="0.4">
      <c r="A148" s="2" t="s">
        <v>172</v>
      </c>
      <c r="B148" t="str">
        <f>_xlfn.TEXTAFTER(Table1[[#This Row],[VEHIDCODE]],"_")</f>
        <v>China_China_Railways_H</v>
      </c>
      <c r="C148" t="s">
        <v>738</v>
      </c>
      <c r="D148" t="s">
        <v>956</v>
      </c>
      <c r="E148">
        <v>4079</v>
      </c>
      <c r="F148" t="b">
        <f>OR(ISNUMBER(SEARCH("wagon_",Table1[[#This Row],[FILENAMES_EXPECTED]])),ISNUMBER(SEARCH("coach_",Table1[[#This Row],[FILENAMES_EXPECTED]])))</f>
        <v>0</v>
      </c>
      <c r="G148" t="str">
        <f>"item_"&amp;Table1[[#This Row],[VEHIDCODE]]</f>
        <v>item_steam_China_China_Railways_H</v>
      </c>
      <c r="H148" t="str">
        <f>"str_"&amp;Table1[[#This Row],[VEHIDCODE]]</f>
        <v>str_steam_China_China_Railways_H</v>
      </c>
      <c r="Q148" s="2" t="b">
        <v>1</v>
      </c>
      <c r="AL148" s="2"/>
      <c r="AM148" s="2" t="b">
        <f>LEN(_xlfn.CONCAT(Table1[[#This Row],[TRACK_TYPE_STANDARD_GAUGE_RAILTYPE_OHLE]:[TRACK_TYPE_MTRO]]))&gt;0</f>
        <v>1</v>
      </c>
      <c r="AN148">
        <v>6</v>
      </c>
      <c r="AO148" t="s">
        <v>20</v>
      </c>
      <c r="AP148">
        <v>0</v>
      </c>
      <c r="AQ148" t="s">
        <v>23</v>
      </c>
      <c r="AR148">
        <v>0</v>
      </c>
      <c r="AS148">
        <v>1895</v>
      </c>
      <c r="AT148">
        <v>5</v>
      </c>
      <c r="AU148" s="2" t="s">
        <v>24</v>
      </c>
      <c r="AV148" t="b">
        <v>1</v>
      </c>
      <c r="AX148" s="2"/>
      <c r="AY148">
        <v>45</v>
      </c>
      <c r="AZ148">
        <v>1</v>
      </c>
      <c r="BA148">
        <v>720</v>
      </c>
      <c r="BB148" t="s">
        <v>709</v>
      </c>
      <c r="BC148">
        <v>50</v>
      </c>
      <c r="BD148" s="2">
        <v>0.16</v>
      </c>
      <c r="BE148" t="s">
        <v>930</v>
      </c>
      <c r="BF148" t="s">
        <v>921</v>
      </c>
      <c r="BG148" t="s">
        <v>939</v>
      </c>
      <c r="BH148" s="7">
        <v>40</v>
      </c>
      <c r="BI14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148">
        <v>0</v>
      </c>
      <c r="BK148" t="s">
        <v>733</v>
      </c>
      <c r="BL148" s="11"/>
      <c r="BM148" s="11"/>
      <c r="BN148" s="11">
        <v>58</v>
      </c>
      <c r="BO148">
        <v>0</v>
      </c>
      <c r="BP148" t="s">
        <v>691</v>
      </c>
      <c r="BQ148" t="s">
        <v>693</v>
      </c>
      <c r="BR148" t="s">
        <v>700</v>
      </c>
      <c r="BS148" t="s">
        <v>704</v>
      </c>
      <c r="BT148" t="s">
        <v>705</v>
      </c>
      <c r="BU148" t="s">
        <v>706</v>
      </c>
      <c r="CT148"/>
      <c r="CU148"/>
      <c r="CV148"/>
    </row>
    <row r="149" spans="1:100" x14ac:dyDescent="0.4">
      <c r="A149" s="2" t="s">
        <v>173</v>
      </c>
      <c r="B149" t="str">
        <f>_xlfn.TEXTAFTER(Table1[[#This Row],[VEHIDCODE]],"_")</f>
        <v>Russia_RZD_U</v>
      </c>
      <c r="C149" t="s">
        <v>738</v>
      </c>
      <c r="D149" t="s">
        <v>956</v>
      </c>
      <c r="E149">
        <v>4080</v>
      </c>
      <c r="F149" t="b">
        <f>OR(ISNUMBER(SEARCH("wagon_",Table1[[#This Row],[FILENAMES_EXPECTED]])),ISNUMBER(SEARCH("coach_",Table1[[#This Row],[FILENAMES_EXPECTED]])))</f>
        <v>0</v>
      </c>
      <c r="G149" t="str">
        <f>"item_"&amp;Table1[[#This Row],[VEHIDCODE]]</f>
        <v>item_steam_Russia_RZD_U</v>
      </c>
      <c r="H149" t="str">
        <f>"str_"&amp;Table1[[#This Row],[VEHIDCODE]]</f>
        <v>str_steam_Russia_RZD_U</v>
      </c>
      <c r="AI149" s="2" t="b">
        <v>1</v>
      </c>
      <c r="AL149" s="2"/>
      <c r="AM149" s="2" t="b">
        <f>LEN(_xlfn.CONCAT(Table1[[#This Row],[TRACK_TYPE_STANDARD_GAUGE_RAILTYPE_OHLE]:[TRACK_TYPE_MTRO]]))&gt;0</f>
        <v>1</v>
      </c>
      <c r="AN149">
        <v>6</v>
      </c>
      <c r="AO149" t="s">
        <v>20</v>
      </c>
      <c r="AP149">
        <v>0</v>
      </c>
      <c r="AQ149" t="s">
        <v>23</v>
      </c>
      <c r="AR149">
        <v>0</v>
      </c>
      <c r="AS149">
        <v>1906</v>
      </c>
      <c r="AT149">
        <v>5</v>
      </c>
      <c r="AU149" s="2" t="s">
        <v>24</v>
      </c>
      <c r="AV149" t="b">
        <v>1</v>
      </c>
      <c r="AX149" s="2"/>
      <c r="AY149">
        <v>45</v>
      </c>
      <c r="AZ149">
        <v>1</v>
      </c>
      <c r="BA149">
        <v>820</v>
      </c>
      <c r="BB149" t="s">
        <v>709</v>
      </c>
      <c r="BC149">
        <v>115</v>
      </c>
      <c r="BD149" s="2">
        <v>0.13</v>
      </c>
      <c r="BE149" t="s">
        <v>930</v>
      </c>
      <c r="BF149" t="s">
        <v>921</v>
      </c>
      <c r="BG149" t="s">
        <v>939</v>
      </c>
      <c r="BH149" s="7">
        <v>40</v>
      </c>
      <c r="BI14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149">
        <v>0</v>
      </c>
      <c r="BK149" t="s">
        <v>733</v>
      </c>
      <c r="BL149" s="11"/>
      <c r="BM149" s="11"/>
      <c r="BN149" s="11">
        <v>72</v>
      </c>
      <c r="BO149">
        <v>0</v>
      </c>
      <c r="BP149" t="s">
        <v>691</v>
      </c>
      <c r="BQ149" t="s">
        <v>693</v>
      </c>
      <c r="BR149" t="s">
        <v>700</v>
      </c>
      <c r="BS149" t="s">
        <v>704</v>
      </c>
      <c r="BT149" t="s">
        <v>705</v>
      </c>
      <c r="BU149" t="s">
        <v>706</v>
      </c>
      <c r="CT149"/>
      <c r="CU149"/>
      <c r="CV149"/>
    </row>
    <row r="150" spans="1:100" x14ac:dyDescent="0.4">
      <c r="A150" s="2" t="s">
        <v>174</v>
      </c>
      <c r="B150" t="str">
        <f>_xlfn.TEXTAFTER(Table1[[#This Row],[VEHIDCODE]],"_")</f>
        <v>Russia_RZD_E</v>
      </c>
      <c r="C150" t="s">
        <v>738</v>
      </c>
      <c r="D150" t="s">
        <v>956</v>
      </c>
      <c r="E150">
        <v>4085</v>
      </c>
      <c r="F150" t="b">
        <f>OR(ISNUMBER(SEARCH("wagon_",Table1[[#This Row],[FILENAMES_EXPECTED]])),ISNUMBER(SEARCH("coach_",Table1[[#This Row],[FILENAMES_EXPECTED]])))</f>
        <v>0</v>
      </c>
      <c r="G150" t="str">
        <f>"item_"&amp;Table1[[#This Row],[VEHIDCODE]]</f>
        <v>item_steam_Russia_RZD_E</v>
      </c>
      <c r="H150" t="str">
        <f>"str_"&amp;Table1[[#This Row],[VEHIDCODE]]</f>
        <v>str_steam_Russia_RZD_E</v>
      </c>
      <c r="AI150" s="2" t="b">
        <v>1</v>
      </c>
      <c r="AL150" s="2"/>
      <c r="AM150" s="2" t="b">
        <f>LEN(_xlfn.CONCAT(Table1[[#This Row],[TRACK_TYPE_STANDARD_GAUGE_RAILTYPE_OHLE]:[TRACK_TYPE_MTRO]]))&gt;0</f>
        <v>1</v>
      </c>
      <c r="AN150">
        <v>6</v>
      </c>
      <c r="AO150" t="s">
        <v>20</v>
      </c>
      <c r="AP150">
        <v>0</v>
      </c>
      <c r="AQ150" t="s">
        <v>23</v>
      </c>
      <c r="AR150">
        <v>0</v>
      </c>
      <c r="AS150">
        <v>1912</v>
      </c>
      <c r="AT150">
        <v>5</v>
      </c>
      <c r="AU150" s="2" t="s">
        <v>24</v>
      </c>
      <c r="AV150" t="b">
        <v>1</v>
      </c>
      <c r="AX150" s="2"/>
      <c r="AY150">
        <v>45</v>
      </c>
      <c r="AZ150">
        <v>1</v>
      </c>
      <c r="BA150">
        <v>920</v>
      </c>
      <c r="BB150" t="s">
        <v>709</v>
      </c>
      <c r="BC150">
        <v>55</v>
      </c>
      <c r="BD150" s="2">
        <v>0.22</v>
      </c>
      <c r="BE150" t="s">
        <v>930</v>
      </c>
      <c r="BF150" t="s">
        <v>921</v>
      </c>
      <c r="BG150" t="s">
        <v>939</v>
      </c>
      <c r="BH150" s="7">
        <v>40</v>
      </c>
      <c r="BI15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150">
        <v>0</v>
      </c>
      <c r="BK150" t="s">
        <v>733</v>
      </c>
      <c r="BL150" s="11"/>
      <c r="BM150" s="11"/>
      <c r="BN150" s="11">
        <v>82</v>
      </c>
      <c r="BO150">
        <v>0</v>
      </c>
      <c r="BP150" t="s">
        <v>691</v>
      </c>
      <c r="BQ150" t="s">
        <v>693</v>
      </c>
      <c r="BR150" t="s">
        <v>700</v>
      </c>
      <c r="BS150" t="s">
        <v>704</v>
      </c>
      <c r="BT150" t="s">
        <v>705</v>
      </c>
      <c r="BU150" t="s">
        <v>706</v>
      </c>
      <c r="CT150"/>
      <c r="CU150"/>
      <c r="CV150"/>
    </row>
    <row r="151" spans="1:100" x14ac:dyDescent="0.4">
      <c r="A151" s="2" t="s">
        <v>175</v>
      </c>
      <c r="B151" t="str">
        <f>_xlfn.TEXTAFTER(Table1[[#This Row],[VEHIDCODE]],"_")</f>
        <v>Israel_Israel_Railways_H</v>
      </c>
      <c r="C151" t="s">
        <v>738</v>
      </c>
      <c r="D151" t="s">
        <v>956</v>
      </c>
      <c r="E151">
        <v>4087</v>
      </c>
      <c r="F151" t="b">
        <f>OR(ISNUMBER(SEARCH("wagon_",Table1[[#This Row],[FILENAMES_EXPECTED]])),ISNUMBER(SEARCH("coach_",Table1[[#This Row],[FILENAMES_EXPECTED]])))</f>
        <v>0</v>
      </c>
      <c r="G151" t="str">
        <f>"item_"&amp;Table1[[#This Row],[VEHIDCODE]]</f>
        <v>item_steam_Israel_Israel_Railways_H</v>
      </c>
      <c r="H151" t="str">
        <f>"str_"&amp;Table1[[#This Row],[VEHIDCODE]]</f>
        <v>str_steam_Israel_Israel_Railways_H</v>
      </c>
      <c r="Q151" s="2" t="b">
        <v>1</v>
      </c>
      <c r="AL151" s="2"/>
      <c r="AM151" s="2" t="b">
        <f>LEN(_xlfn.CONCAT(Table1[[#This Row],[TRACK_TYPE_STANDARD_GAUGE_RAILTYPE_OHLE]:[TRACK_TYPE_MTRO]]))&gt;0</f>
        <v>1</v>
      </c>
      <c r="AN151">
        <v>6</v>
      </c>
      <c r="AO151" t="s">
        <v>20</v>
      </c>
      <c r="AP151">
        <v>0</v>
      </c>
      <c r="AQ151" t="s">
        <v>23</v>
      </c>
      <c r="AR151">
        <v>0</v>
      </c>
      <c r="AS151">
        <v>1918</v>
      </c>
      <c r="AT151">
        <v>5</v>
      </c>
      <c r="AU151" s="2" t="s">
        <v>24</v>
      </c>
      <c r="AV151" t="b">
        <v>1</v>
      </c>
      <c r="AX151" s="2"/>
      <c r="AY151">
        <v>45</v>
      </c>
      <c r="AZ151">
        <v>1</v>
      </c>
      <c r="BA151">
        <v>572</v>
      </c>
      <c r="BB151" t="s">
        <v>709</v>
      </c>
      <c r="BC151">
        <v>68</v>
      </c>
      <c r="BD151" s="2">
        <v>0.09</v>
      </c>
      <c r="BE151" t="s">
        <v>930</v>
      </c>
      <c r="BF151" t="s">
        <v>921</v>
      </c>
      <c r="BG151" t="s">
        <v>939</v>
      </c>
      <c r="BH151" s="7">
        <v>40</v>
      </c>
      <c r="BI15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151">
        <v>0</v>
      </c>
      <c r="BK151" t="s">
        <v>733</v>
      </c>
      <c r="BL151" s="11"/>
      <c r="BM151" s="11"/>
      <c r="BN151" s="11">
        <v>119</v>
      </c>
      <c r="BO151">
        <v>0</v>
      </c>
      <c r="BP151" t="s">
        <v>691</v>
      </c>
      <c r="BQ151" t="s">
        <v>693</v>
      </c>
      <c r="BR151" t="s">
        <v>700</v>
      </c>
      <c r="BS151" t="s">
        <v>704</v>
      </c>
      <c r="BT151" t="s">
        <v>705</v>
      </c>
      <c r="BU151" t="s">
        <v>706</v>
      </c>
      <c r="CT151"/>
      <c r="CU151"/>
      <c r="CV151"/>
    </row>
    <row r="152" spans="1:100" x14ac:dyDescent="0.4">
      <c r="A152" s="2" t="s">
        <v>176</v>
      </c>
      <c r="B152" t="str">
        <f>_xlfn.TEXTAFTER(Table1[[#This Row],[VEHIDCODE]],"_")</f>
        <v>Italy_FS_480</v>
      </c>
      <c r="C152" t="s">
        <v>738</v>
      </c>
      <c r="D152" t="s">
        <v>956</v>
      </c>
      <c r="E152">
        <v>4089</v>
      </c>
      <c r="F152" t="b">
        <f>OR(ISNUMBER(SEARCH("wagon_",Table1[[#This Row],[FILENAMES_EXPECTED]])),ISNUMBER(SEARCH("coach_",Table1[[#This Row],[FILENAMES_EXPECTED]])))</f>
        <v>0</v>
      </c>
      <c r="G152" t="str">
        <f>"item_"&amp;Table1[[#This Row],[VEHIDCODE]]</f>
        <v>item_steam_Italy_FS_480</v>
      </c>
      <c r="H152" t="str">
        <f>"str_"&amp;Table1[[#This Row],[VEHIDCODE]]</f>
        <v>str_steam_Italy_FS_480</v>
      </c>
      <c r="Q152" s="2" t="b">
        <v>1</v>
      </c>
      <c r="AL152" s="2"/>
      <c r="AM152" s="2" t="b">
        <f>LEN(_xlfn.CONCAT(Table1[[#This Row],[TRACK_TYPE_STANDARD_GAUGE_RAILTYPE_OHLE]:[TRACK_TYPE_MTRO]]))&gt;0</f>
        <v>1</v>
      </c>
      <c r="AN152">
        <v>8</v>
      </c>
      <c r="AO152" t="s">
        <v>20</v>
      </c>
      <c r="AP152">
        <v>0</v>
      </c>
      <c r="AQ152" t="s">
        <v>23</v>
      </c>
      <c r="AR152">
        <v>0</v>
      </c>
      <c r="AS152">
        <v>1923</v>
      </c>
      <c r="AT152">
        <v>6</v>
      </c>
      <c r="AU152" s="2" t="s">
        <v>24</v>
      </c>
      <c r="AV152" t="b">
        <v>1</v>
      </c>
      <c r="AX152" s="2"/>
      <c r="AY152">
        <v>45</v>
      </c>
      <c r="AZ152">
        <v>1</v>
      </c>
      <c r="BA152">
        <v>1500</v>
      </c>
      <c r="BB152" t="s">
        <v>709</v>
      </c>
      <c r="BC152">
        <v>70</v>
      </c>
      <c r="BD152" s="2">
        <v>0.13</v>
      </c>
      <c r="BE152" t="s">
        <v>923</v>
      </c>
      <c r="BF152" t="s">
        <v>921</v>
      </c>
      <c r="BG152" t="s">
        <v>939</v>
      </c>
      <c r="BH152" s="7">
        <v>40</v>
      </c>
      <c r="BI15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152">
        <v>0</v>
      </c>
      <c r="BK152" t="s">
        <v>733</v>
      </c>
      <c r="BL152" s="11"/>
      <c r="BM152" s="11"/>
      <c r="BN152" s="11">
        <v>134</v>
      </c>
      <c r="BO152">
        <v>0</v>
      </c>
      <c r="BP152" t="s">
        <v>691</v>
      </c>
      <c r="BQ152" t="s">
        <v>693</v>
      </c>
      <c r="BR152" t="s">
        <v>700</v>
      </c>
      <c r="BS152" t="s">
        <v>704</v>
      </c>
      <c r="BT152" t="s">
        <v>705</v>
      </c>
      <c r="BU152" t="s">
        <v>706</v>
      </c>
      <c r="CT152"/>
      <c r="CU152"/>
      <c r="CV152"/>
    </row>
    <row r="153" spans="1:100" x14ac:dyDescent="0.4">
      <c r="A153" s="2" t="s">
        <v>177</v>
      </c>
      <c r="B153" t="str">
        <f>_xlfn.TEXTAFTER(Table1[[#This Row],[VEHIDCODE]],"_")</f>
        <v>Italy_FS_691</v>
      </c>
      <c r="C153" t="s">
        <v>738</v>
      </c>
      <c r="D153" t="s">
        <v>956</v>
      </c>
      <c r="E153">
        <v>4094</v>
      </c>
      <c r="F153" t="b">
        <f>OR(ISNUMBER(SEARCH("wagon_",Table1[[#This Row],[FILENAMES_EXPECTED]])),ISNUMBER(SEARCH("coach_",Table1[[#This Row],[FILENAMES_EXPECTED]])))</f>
        <v>0</v>
      </c>
      <c r="G153" t="str">
        <f>"item_"&amp;Table1[[#This Row],[VEHIDCODE]]</f>
        <v>item_steam_Italy_FS_691</v>
      </c>
      <c r="H153" t="str">
        <f>"str_"&amp;Table1[[#This Row],[VEHIDCODE]]</f>
        <v>str_steam_Italy_FS_691</v>
      </c>
      <c r="Q153" s="2" t="b">
        <v>1</v>
      </c>
      <c r="AL153" s="2"/>
      <c r="AM153" s="2" t="b">
        <f>LEN(_xlfn.CONCAT(Table1[[#This Row],[TRACK_TYPE_STANDARD_GAUGE_RAILTYPE_OHLE]:[TRACK_TYPE_MTRO]]))&gt;0</f>
        <v>1</v>
      </c>
      <c r="AN153">
        <v>8</v>
      </c>
      <c r="AO153" t="s">
        <v>20</v>
      </c>
      <c r="AP153">
        <v>0</v>
      </c>
      <c r="AQ153" t="s">
        <v>23</v>
      </c>
      <c r="AR153">
        <v>0</v>
      </c>
      <c r="AS153">
        <v>1928</v>
      </c>
      <c r="AT153">
        <v>6</v>
      </c>
      <c r="AU153" s="2" t="s">
        <v>24</v>
      </c>
      <c r="AV153" t="b">
        <v>1</v>
      </c>
      <c r="AX153" s="2"/>
      <c r="AY153">
        <v>45</v>
      </c>
      <c r="AZ153">
        <v>1</v>
      </c>
      <c r="BA153">
        <v>1820</v>
      </c>
      <c r="BB153" t="s">
        <v>709</v>
      </c>
      <c r="BC153">
        <v>130</v>
      </c>
      <c r="BD153" s="2">
        <v>0.1</v>
      </c>
      <c r="BE153" t="s">
        <v>923</v>
      </c>
      <c r="BF153" t="s">
        <v>921</v>
      </c>
      <c r="BG153" t="s">
        <v>939</v>
      </c>
      <c r="BH153" s="7">
        <v>40</v>
      </c>
      <c r="BI15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153">
        <v>0</v>
      </c>
      <c r="BK153" t="s">
        <v>733</v>
      </c>
      <c r="BL153" s="11"/>
      <c r="BM153" s="11"/>
      <c r="BN153" s="11">
        <v>144</v>
      </c>
      <c r="BO153">
        <v>0</v>
      </c>
      <c r="BP153" t="s">
        <v>691</v>
      </c>
      <c r="BQ153" t="s">
        <v>693</v>
      </c>
      <c r="BR153" t="s">
        <v>700</v>
      </c>
      <c r="BS153" t="s">
        <v>704</v>
      </c>
      <c r="BT153" t="s">
        <v>705</v>
      </c>
      <c r="BU153" t="s">
        <v>706</v>
      </c>
      <c r="CT153"/>
      <c r="CU153"/>
      <c r="CV153"/>
    </row>
    <row r="154" spans="1:100" x14ac:dyDescent="0.4">
      <c r="A154" s="2" t="s">
        <v>178</v>
      </c>
      <c r="B154" t="str">
        <f>_xlfn.TEXTAFTER(Table1[[#This Row],[VEHIDCODE]],"_")</f>
        <v>Greece_SEK_Lb</v>
      </c>
      <c r="C154" t="s">
        <v>738</v>
      </c>
      <c r="D154" t="s">
        <v>956</v>
      </c>
      <c r="E154">
        <v>4100</v>
      </c>
      <c r="F154" t="b">
        <f>OR(ISNUMBER(SEARCH("wagon_",Table1[[#This Row],[FILENAMES_EXPECTED]])),ISNUMBER(SEARCH("coach_",Table1[[#This Row],[FILENAMES_EXPECTED]])))</f>
        <v>0</v>
      </c>
      <c r="G154" t="str">
        <f>"item_"&amp;Table1[[#This Row],[VEHIDCODE]]</f>
        <v>item_steam_Greece_SEK_Lb</v>
      </c>
      <c r="H154" t="str">
        <f>"str_"&amp;Table1[[#This Row],[VEHIDCODE]]</f>
        <v>str_steam_Greece_SEK_Lb</v>
      </c>
      <c r="Q154" s="2" t="b">
        <v>1</v>
      </c>
      <c r="AL154" s="2"/>
      <c r="AM154" s="2" t="b">
        <f>LEN(_xlfn.CONCAT(Table1[[#This Row],[TRACK_TYPE_STANDARD_GAUGE_RAILTYPE_OHLE]:[TRACK_TYPE_MTRO]]))&gt;0</f>
        <v>1</v>
      </c>
      <c r="AN154">
        <v>8</v>
      </c>
      <c r="AO154" t="s">
        <v>20</v>
      </c>
      <c r="AP154">
        <v>0</v>
      </c>
      <c r="AQ154" t="s">
        <v>23</v>
      </c>
      <c r="AR154">
        <v>0</v>
      </c>
      <c r="AS154">
        <v>1943</v>
      </c>
      <c r="AT154">
        <v>7</v>
      </c>
      <c r="AU154" s="2" t="s">
        <v>24</v>
      </c>
      <c r="AV154" t="b">
        <v>1</v>
      </c>
      <c r="AX154" s="2"/>
      <c r="AY154">
        <v>45</v>
      </c>
      <c r="AZ154">
        <v>1</v>
      </c>
      <c r="BA154">
        <v>1250</v>
      </c>
      <c r="BB154" t="s">
        <v>709</v>
      </c>
      <c r="BC154">
        <v>65</v>
      </c>
      <c r="BD154" s="2">
        <v>0.11</v>
      </c>
      <c r="BE154" t="s">
        <v>923</v>
      </c>
      <c r="BF154" t="s">
        <v>921</v>
      </c>
      <c r="BG154" t="s">
        <v>939</v>
      </c>
      <c r="BH154" s="7">
        <v>40</v>
      </c>
      <c r="BI15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154">
        <v>0</v>
      </c>
      <c r="BK154" t="s">
        <v>733</v>
      </c>
      <c r="BL154" s="11"/>
      <c r="BM154" s="11"/>
      <c r="BN154" s="11">
        <v>136</v>
      </c>
      <c r="BO154">
        <v>0</v>
      </c>
      <c r="BP154" t="s">
        <v>691</v>
      </c>
      <c r="BQ154" t="s">
        <v>693</v>
      </c>
      <c r="BR154" t="s">
        <v>700</v>
      </c>
      <c r="BS154" t="s">
        <v>704</v>
      </c>
      <c r="BT154" t="s">
        <v>705</v>
      </c>
      <c r="BU154" t="s">
        <v>706</v>
      </c>
      <c r="CT154"/>
      <c r="CU154"/>
      <c r="CV154"/>
    </row>
    <row r="155" spans="1:100" x14ac:dyDescent="0.4">
      <c r="A155" s="2" t="s">
        <v>179</v>
      </c>
      <c r="B155" t="str">
        <f>_xlfn.TEXTAFTER(Table1[[#This Row],[VEHIDCODE]],"_")</f>
        <v>Albania_HSH_01</v>
      </c>
      <c r="C155" t="s">
        <v>738</v>
      </c>
      <c r="D155" t="s">
        <v>956</v>
      </c>
      <c r="E155">
        <v>4103</v>
      </c>
      <c r="F155" t="b">
        <f>OR(ISNUMBER(SEARCH("wagon_",Table1[[#This Row],[FILENAMES_EXPECTED]])),ISNUMBER(SEARCH("coach_",Table1[[#This Row],[FILENAMES_EXPECTED]])))</f>
        <v>0</v>
      </c>
      <c r="G155" t="str">
        <f>"item_"&amp;Table1[[#This Row],[VEHIDCODE]]</f>
        <v>item_steam_Albania_HSH_01</v>
      </c>
      <c r="H155" t="str">
        <f>"str_"&amp;Table1[[#This Row],[VEHIDCODE]]</f>
        <v>str_steam_Albania_HSH_01</v>
      </c>
      <c r="Q155" s="2" t="b">
        <v>1</v>
      </c>
      <c r="AL155" s="2"/>
      <c r="AM155" s="2" t="b">
        <f>LEN(_xlfn.CONCAT(Table1[[#This Row],[TRACK_TYPE_STANDARD_GAUGE_RAILTYPE_OHLE]:[TRACK_TYPE_MTRO]]))&gt;0</f>
        <v>1</v>
      </c>
      <c r="AN155">
        <v>5</v>
      </c>
      <c r="AO155" t="s">
        <v>20</v>
      </c>
      <c r="AP155">
        <v>0</v>
      </c>
      <c r="AQ155" t="s">
        <v>23</v>
      </c>
      <c r="AR155">
        <v>0</v>
      </c>
      <c r="AS155">
        <v>1951</v>
      </c>
      <c r="AT155">
        <v>5</v>
      </c>
      <c r="AU155" s="2" t="s">
        <v>24</v>
      </c>
      <c r="AV155" t="b">
        <v>1</v>
      </c>
      <c r="AX155" s="2"/>
      <c r="AY155">
        <v>45</v>
      </c>
      <c r="AZ155">
        <v>1</v>
      </c>
      <c r="BA155">
        <v>1060</v>
      </c>
      <c r="BB155" t="s">
        <v>709</v>
      </c>
      <c r="BC155">
        <v>80</v>
      </c>
      <c r="BD155" s="2">
        <v>0.14000000000000001</v>
      </c>
      <c r="BE155" t="s">
        <v>923</v>
      </c>
      <c r="BF155" t="s">
        <v>921</v>
      </c>
      <c r="BG155" t="s">
        <v>939</v>
      </c>
      <c r="BH155" s="7">
        <v>40</v>
      </c>
      <c r="BI15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155">
        <v>0</v>
      </c>
      <c r="BK155" t="s">
        <v>733</v>
      </c>
      <c r="BL155" s="11"/>
      <c r="BM155" s="11"/>
      <c r="BN155" s="11">
        <v>78</v>
      </c>
      <c r="BO155">
        <v>0</v>
      </c>
      <c r="BP155" t="s">
        <v>691</v>
      </c>
      <c r="BQ155" t="s">
        <v>693</v>
      </c>
      <c r="BR155" t="s">
        <v>700</v>
      </c>
      <c r="BS155" t="s">
        <v>704</v>
      </c>
      <c r="BT155" t="s">
        <v>705</v>
      </c>
      <c r="BU155" t="s">
        <v>706</v>
      </c>
      <c r="CT155"/>
      <c r="CU155"/>
      <c r="CV155"/>
    </row>
    <row r="156" spans="1:100" x14ac:dyDescent="0.4">
      <c r="A156" s="2" t="s">
        <v>180</v>
      </c>
      <c r="B156" t="str">
        <f>_xlfn.TEXTAFTER(Table1[[#This Row],[VEHIDCODE]],"_")</f>
        <v>Spain_RENFE_242F</v>
      </c>
      <c r="C156" t="s">
        <v>738</v>
      </c>
      <c r="D156" t="s">
        <v>956</v>
      </c>
      <c r="E156">
        <v>4108</v>
      </c>
      <c r="F156" t="b">
        <f>OR(ISNUMBER(SEARCH("wagon_",Table1[[#This Row],[FILENAMES_EXPECTED]])),ISNUMBER(SEARCH("coach_",Table1[[#This Row],[FILENAMES_EXPECTED]])))</f>
        <v>0</v>
      </c>
      <c r="G156" t="str">
        <f>"item_"&amp;Table1[[#This Row],[VEHIDCODE]]</f>
        <v>item_steam_Spain_RENFE_242F</v>
      </c>
      <c r="H156" t="str">
        <f>"str_"&amp;Table1[[#This Row],[VEHIDCODE]]</f>
        <v>str_steam_Spain_RENFE_242F</v>
      </c>
      <c r="Q156" s="2" t="b">
        <v>1</v>
      </c>
      <c r="AL156" s="2"/>
      <c r="AM156" s="2" t="b">
        <f>LEN(_xlfn.CONCAT(Table1[[#This Row],[TRACK_TYPE_STANDARD_GAUGE_RAILTYPE_OHLE]:[TRACK_TYPE_MTRO]]))&gt;0</f>
        <v>1</v>
      </c>
      <c r="AN156">
        <v>10</v>
      </c>
      <c r="AO156" t="s">
        <v>20</v>
      </c>
      <c r="AP156">
        <v>0</v>
      </c>
      <c r="AQ156" t="s">
        <v>23</v>
      </c>
      <c r="AR156">
        <v>0</v>
      </c>
      <c r="AS156">
        <v>1955</v>
      </c>
      <c r="AT156">
        <v>8</v>
      </c>
      <c r="AU156" s="2" t="s">
        <v>24</v>
      </c>
      <c r="AV156" t="b">
        <v>1</v>
      </c>
      <c r="AX156" s="2"/>
      <c r="AY156">
        <v>45</v>
      </c>
      <c r="AZ156">
        <v>1</v>
      </c>
      <c r="BA156">
        <v>2780</v>
      </c>
      <c r="BB156" t="s">
        <v>709</v>
      </c>
      <c r="BC156">
        <v>150</v>
      </c>
      <c r="BD156" s="2">
        <v>0.11</v>
      </c>
      <c r="BE156" t="s">
        <v>923</v>
      </c>
      <c r="BF156" t="s">
        <v>921</v>
      </c>
      <c r="BG156" t="s">
        <v>939</v>
      </c>
      <c r="BH156" s="7">
        <v>40</v>
      </c>
      <c r="BI15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156">
        <v>0</v>
      </c>
      <c r="BK156" t="s">
        <v>733</v>
      </c>
      <c r="BL156" s="11"/>
      <c r="BM156" s="11"/>
      <c r="BN156" s="11">
        <v>143</v>
      </c>
      <c r="BO156">
        <v>0</v>
      </c>
      <c r="BP156" t="s">
        <v>691</v>
      </c>
      <c r="BQ156" t="s">
        <v>693</v>
      </c>
      <c r="BR156" t="s">
        <v>700</v>
      </c>
      <c r="BS156" t="s">
        <v>704</v>
      </c>
      <c r="BT156" t="s">
        <v>705</v>
      </c>
      <c r="BU156" t="s">
        <v>706</v>
      </c>
      <c r="CT156"/>
      <c r="CU156"/>
      <c r="CV156"/>
    </row>
    <row r="157" spans="1:100" x14ac:dyDescent="0.4">
      <c r="A157" s="2" t="s">
        <v>181</v>
      </c>
      <c r="B157" t="str">
        <f>_xlfn.TEXTAFTER(Table1[[#This Row],[VEHIDCODE]],"_")</f>
        <v>Czech_Republic_CD_5341</v>
      </c>
      <c r="C157" t="s">
        <v>738</v>
      </c>
      <c r="D157" t="s">
        <v>956</v>
      </c>
      <c r="E157">
        <v>4082</v>
      </c>
      <c r="F157" t="b">
        <f>OR(ISNUMBER(SEARCH("wagon_",Table1[[#This Row],[FILENAMES_EXPECTED]])),ISNUMBER(SEARCH("coach_",Table1[[#This Row],[FILENAMES_EXPECTED]])))</f>
        <v>0</v>
      </c>
      <c r="G157" t="str">
        <f>"item_"&amp;Table1[[#This Row],[VEHIDCODE]]</f>
        <v>item_steam_Czech_Republic_CD_5341</v>
      </c>
      <c r="H157" t="str">
        <f>"str_"&amp;Table1[[#This Row],[VEHIDCODE]]</f>
        <v>str_steam_Czech_Republic_CD_5341</v>
      </c>
      <c r="Q157" s="2" t="b">
        <v>1</v>
      </c>
      <c r="AL157" s="2"/>
      <c r="AM157" s="2" t="b">
        <f>LEN(_xlfn.CONCAT(Table1[[#This Row],[TRACK_TYPE_STANDARD_GAUGE_RAILTYPE_OHLE]:[TRACK_TYPE_MTRO]]))&gt;0</f>
        <v>1</v>
      </c>
      <c r="AN157">
        <v>6</v>
      </c>
      <c r="AO157" t="s">
        <v>20</v>
      </c>
      <c r="AP157">
        <v>0</v>
      </c>
      <c r="AQ157" t="s">
        <v>23</v>
      </c>
      <c r="AR157">
        <v>0</v>
      </c>
      <c r="AS157">
        <v>1910</v>
      </c>
      <c r="AT157">
        <v>7</v>
      </c>
      <c r="AU157" s="2" t="s">
        <v>24</v>
      </c>
      <c r="AV157" t="b">
        <v>1</v>
      </c>
      <c r="AX157" s="2"/>
      <c r="AY157">
        <v>45</v>
      </c>
      <c r="AZ157">
        <v>0</v>
      </c>
      <c r="BA157">
        <v>1100</v>
      </c>
      <c r="BB157" t="s">
        <v>709</v>
      </c>
      <c r="BC157">
        <v>60</v>
      </c>
      <c r="BD157" s="2">
        <v>0.31</v>
      </c>
      <c r="BE157" t="s">
        <v>928</v>
      </c>
      <c r="BF157" t="s">
        <v>921</v>
      </c>
      <c r="BG157" t="s">
        <v>939</v>
      </c>
      <c r="BH157" s="7">
        <v>40</v>
      </c>
      <c r="BI15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157">
        <v>0</v>
      </c>
      <c r="BK157" t="s">
        <v>733</v>
      </c>
      <c r="BL157" s="11"/>
      <c r="BM157" s="11"/>
      <c r="BN157" s="11">
        <v>107</v>
      </c>
      <c r="BO157">
        <v>0</v>
      </c>
      <c r="BP157" t="s">
        <v>691</v>
      </c>
      <c r="BQ157" t="s">
        <v>693</v>
      </c>
      <c r="BR157" t="s">
        <v>700</v>
      </c>
      <c r="BS157" t="s">
        <v>704</v>
      </c>
      <c r="BT157" t="s">
        <v>705</v>
      </c>
      <c r="BU157" t="s">
        <v>706</v>
      </c>
      <c r="CT157"/>
      <c r="CU157"/>
      <c r="CV157"/>
    </row>
    <row r="158" spans="1:100" x14ac:dyDescent="0.4">
      <c r="A158" s="2" t="s">
        <v>182</v>
      </c>
      <c r="B158" t="str">
        <f>_xlfn.TEXTAFTER(Table1[[#This Row],[VEHIDCODE]],"_")</f>
        <v>Poland_PKP_Ok22</v>
      </c>
      <c r="C158" t="s">
        <v>738</v>
      </c>
      <c r="D158" t="s">
        <v>956</v>
      </c>
      <c r="E158">
        <v>4091</v>
      </c>
      <c r="F158" t="b">
        <f>OR(ISNUMBER(SEARCH("wagon_",Table1[[#This Row],[FILENAMES_EXPECTED]])),ISNUMBER(SEARCH("coach_",Table1[[#This Row],[FILENAMES_EXPECTED]])))</f>
        <v>0</v>
      </c>
      <c r="G158" t="str">
        <f>"item_"&amp;Table1[[#This Row],[VEHIDCODE]]</f>
        <v>item_steam_Poland_PKP_Ok22</v>
      </c>
      <c r="H158" t="str">
        <f>"str_"&amp;Table1[[#This Row],[VEHIDCODE]]</f>
        <v>str_steam_Poland_PKP_Ok22</v>
      </c>
      <c r="Q158" s="2" t="b">
        <v>1</v>
      </c>
      <c r="AL158" s="2"/>
      <c r="AM158" s="2" t="b">
        <f>LEN(_xlfn.CONCAT(Table1[[#This Row],[TRACK_TYPE_STANDARD_GAUGE_RAILTYPE_OHLE]:[TRACK_TYPE_MTRO]]))&gt;0</f>
        <v>1</v>
      </c>
      <c r="AN158">
        <v>6</v>
      </c>
      <c r="AO158" t="s">
        <v>20</v>
      </c>
      <c r="AP158">
        <v>0</v>
      </c>
      <c r="AQ158" t="s">
        <v>23</v>
      </c>
      <c r="AR158">
        <v>0</v>
      </c>
      <c r="AS158">
        <v>1923</v>
      </c>
      <c r="AT158">
        <v>6</v>
      </c>
      <c r="AU158" s="2" t="s">
        <v>24</v>
      </c>
      <c r="AV158" t="b">
        <v>1</v>
      </c>
      <c r="AX158" s="2"/>
      <c r="AY158">
        <v>45</v>
      </c>
      <c r="AZ158">
        <v>1</v>
      </c>
      <c r="BA158">
        <v>980</v>
      </c>
      <c r="BB158" t="s">
        <v>709</v>
      </c>
      <c r="BC158">
        <v>100</v>
      </c>
      <c r="BD158" s="2">
        <v>0.06</v>
      </c>
      <c r="BE158" t="s">
        <v>928</v>
      </c>
      <c r="BF158" t="s">
        <v>921</v>
      </c>
      <c r="BG158" t="s">
        <v>939</v>
      </c>
      <c r="BH158" s="7">
        <v>40</v>
      </c>
      <c r="BI15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158">
        <v>0</v>
      </c>
      <c r="BK158" t="s">
        <v>733</v>
      </c>
      <c r="BL158" s="11"/>
      <c r="BM158" s="11"/>
      <c r="BN158" s="11">
        <v>133</v>
      </c>
      <c r="BO158">
        <v>0</v>
      </c>
      <c r="BP158" t="s">
        <v>691</v>
      </c>
      <c r="BQ158" t="s">
        <v>693</v>
      </c>
      <c r="BR158" t="s">
        <v>700</v>
      </c>
      <c r="BS158" t="s">
        <v>704</v>
      </c>
      <c r="BT158" t="s">
        <v>705</v>
      </c>
      <c r="BU158" t="s">
        <v>706</v>
      </c>
      <c r="CT158"/>
      <c r="CU158"/>
      <c r="CV158"/>
    </row>
    <row r="159" spans="1:100" x14ac:dyDescent="0.4">
      <c r="A159" s="2" t="s">
        <v>183</v>
      </c>
      <c r="B159" t="str">
        <f>_xlfn.TEXTAFTER(Table1[[#This Row],[VEHIDCODE]],"_")</f>
        <v>Croatia_HZ_11</v>
      </c>
      <c r="C159" t="s">
        <v>738</v>
      </c>
      <c r="D159" t="s">
        <v>956</v>
      </c>
      <c r="E159">
        <v>4092</v>
      </c>
      <c r="F159" t="b">
        <f>OR(ISNUMBER(SEARCH("wagon_",Table1[[#This Row],[FILENAMES_EXPECTED]])),ISNUMBER(SEARCH("coach_",Table1[[#This Row],[FILENAMES_EXPECTED]])))</f>
        <v>0</v>
      </c>
      <c r="G159" t="str">
        <f>"item_"&amp;Table1[[#This Row],[VEHIDCODE]]</f>
        <v>item_steam_Croatia_HZ_11</v>
      </c>
      <c r="H159" t="str">
        <f>"str_"&amp;Table1[[#This Row],[VEHIDCODE]]</f>
        <v>str_steam_Croatia_HZ_11</v>
      </c>
      <c r="Q159" s="2" t="b">
        <v>1</v>
      </c>
      <c r="AL159" s="2"/>
      <c r="AM159" s="2" t="b">
        <f>LEN(_xlfn.CONCAT(Table1[[#This Row],[TRACK_TYPE_STANDARD_GAUGE_RAILTYPE_OHLE]:[TRACK_TYPE_MTRO]]))&gt;0</f>
        <v>1</v>
      </c>
      <c r="AN159">
        <v>8</v>
      </c>
      <c r="AO159" t="s">
        <v>20</v>
      </c>
      <c r="AP159">
        <v>0</v>
      </c>
      <c r="AQ159" t="s">
        <v>23</v>
      </c>
      <c r="AR159">
        <v>0</v>
      </c>
      <c r="AS159">
        <v>1924</v>
      </c>
      <c r="AT159">
        <v>7</v>
      </c>
      <c r="AU159" s="2" t="s">
        <v>24</v>
      </c>
      <c r="AV159" t="b">
        <v>1</v>
      </c>
      <c r="AX159" s="2"/>
      <c r="AY159">
        <v>45</v>
      </c>
      <c r="AZ159">
        <v>1</v>
      </c>
      <c r="BA159">
        <v>1160</v>
      </c>
      <c r="BB159" t="s">
        <v>709</v>
      </c>
      <c r="BC159">
        <v>90</v>
      </c>
      <c r="BD159" s="2">
        <v>0.13</v>
      </c>
      <c r="BE159" t="s">
        <v>928</v>
      </c>
      <c r="BF159" t="s">
        <v>921</v>
      </c>
      <c r="BG159" t="s">
        <v>939</v>
      </c>
      <c r="BH159" s="7">
        <v>40</v>
      </c>
      <c r="BI15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159">
        <v>0</v>
      </c>
      <c r="BK159" t="s">
        <v>733</v>
      </c>
      <c r="BL159" s="11"/>
      <c r="BM159" s="11"/>
      <c r="BN159" s="11">
        <v>137</v>
      </c>
      <c r="BO159">
        <v>0</v>
      </c>
      <c r="BP159" t="s">
        <v>691</v>
      </c>
      <c r="BQ159" t="s">
        <v>693</v>
      </c>
      <c r="BR159" t="s">
        <v>700</v>
      </c>
      <c r="BS159" t="s">
        <v>704</v>
      </c>
      <c r="BT159" t="s">
        <v>705</v>
      </c>
      <c r="BU159" t="s">
        <v>706</v>
      </c>
      <c r="CT159"/>
      <c r="CU159"/>
      <c r="CV159"/>
    </row>
    <row r="160" spans="1:100" x14ac:dyDescent="0.4">
      <c r="A160" s="2" t="s">
        <v>184</v>
      </c>
      <c r="B160" t="str">
        <f>_xlfn.TEXTAFTER(Table1[[#This Row],[VEHIDCODE]],"_")</f>
        <v>Hungary_MAV_242</v>
      </c>
      <c r="C160" t="s">
        <v>738</v>
      </c>
      <c r="D160" t="s">
        <v>956</v>
      </c>
      <c r="E160">
        <v>4097</v>
      </c>
      <c r="F160" t="b">
        <f>OR(ISNUMBER(SEARCH("wagon_",Table1[[#This Row],[FILENAMES_EXPECTED]])),ISNUMBER(SEARCH("coach_",Table1[[#This Row],[FILENAMES_EXPECTED]])))</f>
        <v>0</v>
      </c>
      <c r="G160" t="str">
        <f>"item_"&amp;Table1[[#This Row],[VEHIDCODE]]</f>
        <v>item_steam_Hungary_MAV_242</v>
      </c>
      <c r="H160" t="str">
        <f>"str_"&amp;Table1[[#This Row],[VEHIDCODE]]</f>
        <v>str_steam_Hungary_MAV_242</v>
      </c>
      <c r="Q160" s="2" t="b">
        <v>1</v>
      </c>
      <c r="AL160" s="2"/>
      <c r="AM160" s="2" t="b">
        <f>LEN(_xlfn.CONCAT(Table1[[#This Row],[TRACK_TYPE_STANDARD_GAUGE_RAILTYPE_OHLE]:[TRACK_TYPE_MTRO]]))&gt;0</f>
        <v>1</v>
      </c>
      <c r="AN160">
        <v>7</v>
      </c>
      <c r="AO160" t="s">
        <v>20</v>
      </c>
      <c r="AP160">
        <v>0</v>
      </c>
      <c r="AQ160" t="s">
        <v>23</v>
      </c>
      <c r="AR160">
        <v>0</v>
      </c>
      <c r="AS160">
        <v>1936</v>
      </c>
      <c r="AT160">
        <v>7</v>
      </c>
      <c r="AU160" s="2" t="s">
        <v>24</v>
      </c>
      <c r="AV160" t="b">
        <v>1</v>
      </c>
      <c r="AX160" s="2"/>
      <c r="AY160">
        <v>45</v>
      </c>
      <c r="AZ160">
        <v>1</v>
      </c>
      <c r="BA160">
        <v>618</v>
      </c>
      <c r="BB160" t="s">
        <v>709</v>
      </c>
      <c r="BC160">
        <v>120</v>
      </c>
      <c r="BD160" s="2">
        <v>0.08</v>
      </c>
      <c r="BE160" t="s">
        <v>928</v>
      </c>
      <c r="BF160" t="s">
        <v>921</v>
      </c>
      <c r="BG160" t="s">
        <v>939</v>
      </c>
      <c r="BH160" s="7">
        <v>40</v>
      </c>
      <c r="BI16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160">
        <v>0</v>
      </c>
      <c r="BK160" t="s">
        <v>733</v>
      </c>
      <c r="BL160" s="11"/>
      <c r="BM160" s="11"/>
      <c r="BN160" s="11">
        <v>85</v>
      </c>
      <c r="BO160">
        <v>0</v>
      </c>
      <c r="BP160" t="s">
        <v>691</v>
      </c>
      <c r="BQ160" t="s">
        <v>693</v>
      </c>
      <c r="BR160" t="s">
        <v>700</v>
      </c>
      <c r="BS160" t="s">
        <v>704</v>
      </c>
      <c r="BT160" t="s">
        <v>705</v>
      </c>
      <c r="BU160" t="s">
        <v>706</v>
      </c>
      <c r="CT160"/>
      <c r="CU160"/>
      <c r="CV160"/>
    </row>
    <row r="161" spans="1:100" x14ac:dyDescent="0.4">
      <c r="A161" s="2" t="s">
        <v>185</v>
      </c>
      <c r="B161" t="str">
        <f>_xlfn.TEXTAFTER(Table1[[#This Row],[VEHIDCODE]],"_")</f>
        <v>Czech_Republic_CD_4590</v>
      </c>
      <c r="C161" t="s">
        <v>738</v>
      </c>
      <c r="D161" t="s">
        <v>956</v>
      </c>
      <c r="E161">
        <v>4102</v>
      </c>
      <c r="F161" t="b">
        <f>OR(ISNUMBER(SEARCH("wagon_",Table1[[#This Row],[FILENAMES_EXPECTED]])),ISNUMBER(SEARCH("coach_",Table1[[#This Row],[FILENAMES_EXPECTED]])))</f>
        <v>0</v>
      </c>
      <c r="G161" t="str">
        <f>"item_"&amp;Table1[[#This Row],[VEHIDCODE]]</f>
        <v>item_steam_Czech_Republic_CD_4590</v>
      </c>
      <c r="H161" t="str">
        <f>"str_"&amp;Table1[[#This Row],[VEHIDCODE]]</f>
        <v>str_steam_Czech_Republic_CD_4590</v>
      </c>
      <c r="Q161" s="2" t="b">
        <v>1</v>
      </c>
      <c r="AL161" s="2"/>
      <c r="AM161" s="2" t="b">
        <f>LEN(_xlfn.CONCAT(Table1[[#This Row],[TRACK_TYPE_STANDARD_GAUGE_RAILTYPE_OHLE]:[TRACK_TYPE_MTRO]]))&gt;0</f>
        <v>1</v>
      </c>
      <c r="AN161">
        <v>6</v>
      </c>
      <c r="AO161" t="s">
        <v>20</v>
      </c>
      <c r="AP161">
        <v>0</v>
      </c>
      <c r="AQ161" t="s">
        <v>23</v>
      </c>
      <c r="AR161">
        <v>0</v>
      </c>
      <c r="AS161">
        <v>1946</v>
      </c>
      <c r="AT161">
        <v>5</v>
      </c>
      <c r="AU161" s="2" t="s">
        <v>24</v>
      </c>
      <c r="AV161" t="b">
        <v>1</v>
      </c>
      <c r="AX161" s="2"/>
      <c r="AY161">
        <v>45</v>
      </c>
      <c r="AZ161">
        <v>0</v>
      </c>
      <c r="BA161">
        <v>1857</v>
      </c>
      <c r="BB161" t="s">
        <v>709</v>
      </c>
      <c r="BC161">
        <v>80</v>
      </c>
      <c r="BD161" s="2">
        <v>0.2</v>
      </c>
      <c r="BE161" t="s">
        <v>928</v>
      </c>
      <c r="BF161" t="s">
        <v>921</v>
      </c>
      <c r="BG161" t="s">
        <v>939</v>
      </c>
      <c r="BH161" s="7">
        <v>40</v>
      </c>
      <c r="BI16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161">
        <v>0</v>
      </c>
      <c r="BK161" t="s">
        <v>733</v>
      </c>
      <c r="BL161" s="11"/>
      <c r="BM161" s="11"/>
      <c r="BN161" s="11">
        <v>103</v>
      </c>
      <c r="BO161">
        <v>0</v>
      </c>
      <c r="BP161" t="s">
        <v>691</v>
      </c>
      <c r="BQ161" t="s">
        <v>693</v>
      </c>
      <c r="BR161" t="s">
        <v>700</v>
      </c>
      <c r="BS161" t="s">
        <v>704</v>
      </c>
      <c r="BT161" t="s">
        <v>705</v>
      </c>
      <c r="BU161" t="s">
        <v>706</v>
      </c>
      <c r="CT161"/>
      <c r="CU161"/>
      <c r="CV161"/>
    </row>
    <row r="162" spans="1:100" x14ac:dyDescent="0.4">
      <c r="A162" s="2" t="s">
        <v>186</v>
      </c>
      <c r="B162" t="str">
        <f>_xlfn.TEXTAFTER(Table1[[#This Row],[VEHIDCODE]],"_")</f>
        <v>Poland_PKP_OI49</v>
      </c>
      <c r="C162" t="s">
        <v>738</v>
      </c>
      <c r="D162" t="s">
        <v>956</v>
      </c>
      <c r="E162">
        <v>4104</v>
      </c>
      <c r="F162" t="b">
        <f>OR(ISNUMBER(SEARCH("wagon_",Table1[[#This Row],[FILENAMES_EXPECTED]])),ISNUMBER(SEARCH("coach_",Table1[[#This Row],[FILENAMES_EXPECTED]])))</f>
        <v>0</v>
      </c>
      <c r="G162" t="str">
        <f>"item_"&amp;Table1[[#This Row],[VEHIDCODE]]</f>
        <v>item_steam_Poland_PKP_OI49</v>
      </c>
      <c r="H162" t="str">
        <f>"str_"&amp;Table1[[#This Row],[VEHIDCODE]]</f>
        <v>str_steam_Poland_PKP_OI49</v>
      </c>
      <c r="Q162" s="2" t="b">
        <v>1</v>
      </c>
      <c r="AL162" s="2"/>
      <c r="AM162" s="2" t="b">
        <f>LEN(_xlfn.CONCAT(Table1[[#This Row],[TRACK_TYPE_STANDARD_GAUGE_RAILTYPE_OHLE]:[TRACK_TYPE_MTRO]]))&gt;0</f>
        <v>1</v>
      </c>
      <c r="AN162">
        <v>8</v>
      </c>
      <c r="AO162" t="s">
        <v>20</v>
      </c>
      <c r="AP162">
        <v>0</v>
      </c>
      <c r="AQ162" t="s">
        <v>23</v>
      </c>
      <c r="AR162">
        <v>0</v>
      </c>
      <c r="AS162">
        <v>1951</v>
      </c>
      <c r="AT162">
        <v>7</v>
      </c>
      <c r="AU162" s="2" t="s">
        <v>24</v>
      </c>
      <c r="AV162" t="b">
        <v>1</v>
      </c>
      <c r="AX162" s="2"/>
      <c r="AY162">
        <v>45</v>
      </c>
      <c r="AZ162">
        <v>1</v>
      </c>
      <c r="BA162">
        <v>1290</v>
      </c>
      <c r="BB162" t="s">
        <v>709</v>
      </c>
      <c r="BC162">
        <v>100</v>
      </c>
      <c r="BD162" s="2">
        <v>0.1</v>
      </c>
      <c r="BE162" t="s">
        <v>928</v>
      </c>
      <c r="BF162" t="s">
        <v>921</v>
      </c>
      <c r="BG162" t="s">
        <v>939</v>
      </c>
      <c r="BH162" s="7">
        <v>40</v>
      </c>
      <c r="BI16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162">
        <v>0</v>
      </c>
      <c r="BK162" t="s">
        <v>733</v>
      </c>
      <c r="BL162" s="11"/>
      <c r="BM162" s="11"/>
      <c r="BN162" s="11">
        <v>125</v>
      </c>
      <c r="BO162">
        <v>0</v>
      </c>
      <c r="BP162" t="s">
        <v>691</v>
      </c>
      <c r="BQ162" t="s">
        <v>693</v>
      </c>
      <c r="BR162" t="s">
        <v>700</v>
      </c>
      <c r="BS162" t="s">
        <v>704</v>
      </c>
      <c r="BT162" t="s">
        <v>705</v>
      </c>
      <c r="BU162" t="s">
        <v>706</v>
      </c>
      <c r="CT162"/>
      <c r="CU162"/>
      <c r="CV162"/>
    </row>
    <row r="163" spans="1:100" x14ac:dyDescent="0.4">
      <c r="A163" s="2" t="s">
        <v>187</v>
      </c>
      <c r="B163" t="str">
        <f>_xlfn.TEXTAFTER(Table1[[#This Row],[VEHIDCODE]],"_")</f>
        <v>Austria_KKStB_310</v>
      </c>
      <c r="C163" t="s">
        <v>738</v>
      </c>
      <c r="D163" t="s">
        <v>956</v>
      </c>
      <c r="E163">
        <v>4084</v>
      </c>
      <c r="F163" t="b">
        <f>OR(ISNUMBER(SEARCH("wagon_",Table1[[#This Row],[FILENAMES_EXPECTED]])),ISNUMBER(SEARCH("coach_",Table1[[#This Row],[FILENAMES_EXPECTED]])))</f>
        <v>0</v>
      </c>
      <c r="G163" t="str">
        <f>"item_"&amp;Table1[[#This Row],[VEHIDCODE]]</f>
        <v>item_steam_Austria_KKStB_310</v>
      </c>
      <c r="H163" t="str">
        <f>"str_"&amp;Table1[[#This Row],[VEHIDCODE]]</f>
        <v>str_steam_Austria_KKStB_310</v>
      </c>
      <c r="Q163" s="2" t="b">
        <v>1</v>
      </c>
      <c r="AL163" s="2"/>
      <c r="AM163" s="2" t="b">
        <f>LEN(_xlfn.CONCAT(Table1[[#This Row],[TRACK_TYPE_STANDARD_GAUGE_RAILTYPE_OHLE]:[TRACK_TYPE_MTRO]]))&gt;0</f>
        <v>1</v>
      </c>
      <c r="AN163">
        <v>8</v>
      </c>
      <c r="AO163" t="s">
        <v>20</v>
      </c>
      <c r="AP163">
        <v>0</v>
      </c>
      <c r="AQ163" t="s">
        <v>23</v>
      </c>
      <c r="AR163">
        <v>0</v>
      </c>
      <c r="AS163">
        <v>1911</v>
      </c>
      <c r="AT163">
        <v>7</v>
      </c>
      <c r="AU163" s="2" t="s">
        <v>24</v>
      </c>
      <c r="AV163" t="b">
        <v>1</v>
      </c>
      <c r="AX163" s="2"/>
      <c r="AY163">
        <v>45</v>
      </c>
      <c r="AZ163">
        <v>1</v>
      </c>
      <c r="BA163">
        <v>1885</v>
      </c>
      <c r="BB163" t="s">
        <v>709</v>
      </c>
      <c r="BC163">
        <v>100</v>
      </c>
      <c r="BD163" s="2">
        <v>0.17</v>
      </c>
      <c r="BE163" t="s">
        <v>922</v>
      </c>
      <c r="BF163" t="s">
        <v>921</v>
      </c>
      <c r="BG163" t="s">
        <v>939</v>
      </c>
      <c r="BH163" s="7">
        <v>40</v>
      </c>
      <c r="BI16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163">
        <v>0</v>
      </c>
      <c r="BK163" t="s">
        <v>733</v>
      </c>
      <c r="BL163" s="11"/>
      <c r="BM163" s="11"/>
      <c r="BN163" s="11">
        <v>138</v>
      </c>
      <c r="BO163">
        <v>0</v>
      </c>
      <c r="BP163" t="s">
        <v>691</v>
      </c>
      <c r="BQ163" t="s">
        <v>693</v>
      </c>
      <c r="BR163" t="s">
        <v>700</v>
      </c>
      <c r="BS163" t="s">
        <v>704</v>
      </c>
      <c r="BT163" t="s">
        <v>705</v>
      </c>
      <c r="BU163" t="s">
        <v>706</v>
      </c>
      <c r="CT163"/>
      <c r="CU163"/>
      <c r="CV163"/>
    </row>
    <row r="164" spans="1:100" x14ac:dyDescent="0.4">
      <c r="A164" s="2" t="s">
        <v>188</v>
      </c>
      <c r="B164" t="str">
        <f>_xlfn.TEXTAFTER(Table1[[#This Row],[VEHIDCODE]],"_")</f>
        <v>USA_Southern_Pacific_GS_4_Daylight</v>
      </c>
      <c r="C164" t="s">
        <v>738</v>
      </c>
      <c r="D164" t="s">
        <v>956</v>
      </c>
      <c r="E164">
        <v>4099</v>
      </c>
      <c r="F164" t="b">
        <f>OR(ISNUMBER(SEARCH("wagon_",Table1[[#This Row],[FILENAMES_EXPECTED]])),ISNUMBER(SEARCH("coach_",Table1[[#This Row],[FILENAMES_EXPECTED]])))</f>
        <v>0</v>
      </c>
      <c r="G164" t="str">
        <f>"item_"&amp;Table1[[#This Row],[VEHIDCODE]]</f>
        <v>item_steam_USA_Southern_Pacific_GS_4_Daylight</v>
      </c>
      <c r="H164" t="str">
        <f>"str_"&amp;Table1[[#This Row],[VEHIDCODE]]</f>
        <v>str_steam_USA_Southern_Pacific_GS_4_Daylight</v>
      </c>
      <c r="Q164" s="2" t="b">
        <v>1</v>
      </c>
      <c r="AL164" s="2"/>
      <c r="AM164" s="2" t="b">
        <f>LEN(_xlfn.CONCAT(Table1[[#This Row],[TRACK_TYPE_STANDARD_GAUGE_RAILTYPE_OHLE]:[TRACK_TYPE_MTRO]]))&gt;0</f>
        <v>1</v>
      </c>
      <c r="AN164">
        <v>12</v>
      </c>
      <c r="AO164" t="s">
        <v>20</v>
      </c>
      <c r="AP164">
        <v>0</v>
      </c>
      <c r="AQ164" t="s">
        <v>23</v>
      </c>
      <c r="AR164">
        <v>0</v>
      </c>
      <c r="AS164">
        <v>1941</v>
      </c>
      <c r="AT164">
        <v>8</v>
      </c>
      <c r="AU164" s="2" t="s">
        <v>24</v>
      </c>
      <c r="AV164" t="b">
        <v>1</v>
      </c>
      <c r="AX164" s="2"/>
      <c r="AY164">
        <v>45</v>
      </c>
      <c r="AZ164">
        <v>1</v>
      </c>
      <c r="BA164">
        <v>5500</v>
      </c>
      <c r="BB164" t="s">
        <v>709</v>
      </c>
      <c r="BC164">
        <v>177</v>
      </c>
      <c r="BD164" s="2">
        <v>0.09</v>
      </c>
      <c r="BE164" t="s">
        <v>927</v>
      </c>
      <c r="BF164" t="s">
        <v>921</v>
      </c>
      <c r="BG164" t="s">
        <v>939</v>
      </c>
      <c r="BH164" s="7">
        <v>40</v>
      </c>
      <c r="BI16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164">
        <v>0</v>
      </c>
      <c r="BK164" t="s">
        <v>733</v>
      </c>
      <c r="BL164" s="11"/>
      <c r="BM164" s="11"/>
      <c r="BN164" s="11">
        <v>390</v>
      </c>
      <c r="BO164">
        <v>0</v>
      </c>
      <c r="BP164" t="s">
        <v>691</v>
      </c>
      <c r="BQ164" t="s">
        <v>693</v>
      </c>
      <c r="BR164" t="s">
        <v>700</v>
      </c>
      <c r="BS164" t="s">
        <v>704</v>
      </c>
      <c r="BT164" t="s">
        <v>705</v>
      </c>
      <c r="BU164" t="s">
        <v>706</v>
      </c>
      <c r="CT164"/>
      <c r="CU164"/>
      <c r="CV164"/>
    </row>
    <row r="165" spans="1:100" x14ac:dyDescent="0.4">
      <c r="A165" s="2" t="s">
        <v>189</v>
      </c>
      <c r="B165" t="str">
        <f>_xlfn.TEXTAFTER(Table1[[#This Row],[VEHIDCODE]],"_")</f>
        <v>Ireland_GS_WR_101</v>
      </c>
      <c r="C165" t="s">
        <v>738</v>
      </c>
      <c r="D165" t="s">
        <v>956</v>
      </c>
      <c r="E165">
        <v>4109</v>
      </c>
      <c r="F165" t="b">
        <f>OR(ISNUMBER(SEARCH("wagon_",Table1[[#This Row],[FILENAMES_EXPECTED]])),ISNUMBER(SEARCH("coach_",Table1[[#This Row],[FILENAMES_EXPECTED]])))</f>
        <v>0</v>
      </c>
      <c r="G165" t="str">
        <f>"item_"&amp;Table1[[#This Row],[VEHIDCODE]]</f>
        <v>item_steam_Ireland_GS_WR_101</v>
      </c>
      <c r="H165" t="str">
        <f>"str_"&amp;Table1[[#This Row],[VEHIDCODE]]</f>
        <v>str_steam_Ireland_GS_WR_101</v>
      </c>
      <c r="Q165" s="2" t="b">
        <v>1</v>
      </c>
      <c r="AL165" s="2"/>
      <c r="AM165" s="2" t="b">
        <f>LEN(_xlfn.CONCAT(Table1[[#This Row],[TRACK_TYPE_STANDARD_GAUGE_RAILTYPE_OHLE]:[TRACK_TYPE_MTRO]]))&gt;0</f>
        <v>1</v>
      </c>
      <c r="AN165">
        <v>6</v>
      </c>
      <c r="AO165" t="s">
        <v>20</v>
      </c>
      <c r="AP165">
        <v>0</v>
      </c>
      <c r="AQ165" t="s">
        <v>23</v>
      </c>
      <c r="AR165">
        <v>0</v>
      </c>
      <c r="AS165">
        <v>1866</v>
      </c>
      <c r="AT165">
        <v>5</v>
      </c>
      <c r="AU165" s="2" t="s">
        <v>20</v>
      </c>
      <c r="AV165" t="b">
        <v>1</v>
      </c>
      <c r="AX165" s="2"/>
      <c r="AY165">
        <v>45</v>
      </c>
      <c r="AZ165">
        <v>0</v>
      </c>
      <c r="BA165">
        <v>355</v>
      </c>
      <c r="BB165" t="s">
        <v>709</v>
      </c>
      <c r="BC165">
        <v>60</v>
      </c>
      <c r="BD165" s="2">
        <v>0.13</v>
      </c>
      <c r="BE165" t="s">
        <v>926</v>
      </c>
      <c r="BF165" t="s">
        <v>921</v>
      </c>
      <c r="BG165" t="s">
        <v>939</v>
      </c>
      <c r="BH165" s="7">
        <v>40</v>
      </c>
      <c r="BI16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165">
        <v>0</v>
      </c>
      <c r="BK165" t="s">
        <v>733</v>
      </c>
      <c r="BL165" s="11"/>
      <c r="BM165" s="11"/>
      <c r="BN165" s="11">
        <v>57</v>
      </c>
      <c r="BO165">
        <v>0</v>
      </c>
      <c r="BP165" t="s">
        <v>691</v>
      </c>
      <c r="BQ165" t="s">
        <v>693</v>
      </c>
      <c r="BR165" t="s">
        <v>700</v>
      </c>
      <c r="BS165" t="s">
        <v>704</v>
      </c>
      <c r="BT165" t="s">
        <v>705</v>
      </c>
      <c r="BU165" t="s">
        <v>706</v>
      </c>
      <c r="CT165"/>
      <c r="CU165"/>
      <c r="CV165"/>
    </row>
    <row r="166" spans="1:100" x14ac:dyDescent="0.4">
      <c r="A166" s="2" t="s">
        <v>190</v>
      </c>
      <c r="B166" t="str">
        <f>_xlfn.TEXTAFTER(Table1[[#This Row],[VEHIDCODE]],"_")</f>
        <v>USA_NYC_H_6A_Light_Mikado</v>
      </c>
      <c r="C166" t="s">
        <v>738</v>
      </c>
      <c r="D166" t="s">
        <v>956</v>
      </c>
      <c r="E166">
        <v>4110</v>
      </c>
      <c r="F166" t="b">
        <f>OR(ISNUMBER(SEARCH("wagon_",Table1[[#This Row],[FILENAMES_EXPECTED]])),ISNUMBER(SEARCH("coach_",Table1[[#This Row],[FILENAMES_EXPECTED]])))</f>
        <v>0</v>
      </c>
      <c r="G166" t="str">
        <f>"item_"&amp;Table1[[#This Row],[VEHIDCODE]]</f>
        <v>item_steam_USA_NYC_H_6A_Light_Mikado</v>
      </c>
      <c r="H166" t="str">
        <f>"str_"&amp;Table1[[#This Row],[VEHIDCODE]]</f>
        <v>str_steam_USA_NYC_H_6A_Light_Mikado</v>
      </c>
      <c r="Q166" s="2" t="b">
        <v>1</v>
      </c>
      <c r="AL166" s="2"/>
      <c r="AM166" s="2" t="b">
        <f>LEN(_xlfn.CONCAT(Table1[[#This Row],[TRACK_TYPE_STANDARD_GAUGE_RAILTYPE_OHLE]:[TRACK_TYPE_MTRO]]))&gt;0</f>
        <v>1</v>
      </c>
      <c r="AN166">
        <v>8</v>
      </c>
      <c r="AO166" t="s">
        <v>20</v>
      </c>
      <c r="AP166">
        <v>0</v>
      </c>
      <c r="AQ166" t="s">
        <v>23</v>
      </c>
      <c r="AR166">
        <v>0</v>
      </c>
      <c r="AS166">
        <v>1914</v>
      </c>
      <c r="AT166">
        <v>6</v>
      </c>
      <c r="AU166" s="2" t="s">
        <v>20</v>
      </c>
      <c r="AV166" t="b">
        <v>1</v>
      </c>
      <c r="AX166" s="2"/>
      <c r="AY166">
        <v>45</v>
      </c>
      <c r="AZ166">
        <v>1</v>
      </c>
      <c r="BA166">
        <v>2000</v>
      </c>
      <c r="BB166" t="s">
        <v>709</v>
      </c>
      <c r="BC166">
        <v>96</v>
      </c>
      <c r="BD166" s="2">
        <v>0.11</v>
      </c>
      <c r="BE166" t="s">
        <v>927</v>
      </c>
      <c r="BF166" t="s">
        <v>921</v>
      </c>
      <c r="BG166" t="s">
        <v>939</v>
      </c>
      <c r="BH166" s="7">
        <v>40</v>
      </c>
      <c r="BI16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166">
        <v>0</v>
      </c>
      <c r="BK166" t="s">
        <v>733</v>
      </c>
      <c r="BL166" s="11"/>
      <c r="BM166" s="11"/>
      <c r="BN166" s="11">
        <v>217</v>
      </c>
      <c r="BO166">
        <v>0</v>
      </c>
      <c r="BP166" t="s">
        <v>691</v>
      </c>
      <c r="BQ166" t="s">
        <v>693</v>
      </c>
      <c r="BR166" t="s">
        <v>700</v>
      </c>
      <c r="BS166" t="s">
        <v>704</v>
      </c>
      <c r="BT166" t="s">
        <v>705</v>
      </c>
      <c r="BU166" t="s">
        <v>706</v>
      </c>
      <c r="CT166"/>
      <c r="CU166"/>
      <c r="CV166"/>
    </row>
    <row r="167" spans="1:100" x14ac:dyDescent="0.4">
      <c r="A167" s="2" t="s">
        <v>191</v>
      </c>
      <c r="B167" t="str">
        <f>_xlfn.TEXTAFTER(Table1[[#This Row],[VEHIDCODE]],"_")</f>
        <v>Argentina_FCGR_315</v>
      </c>
      <c r="C167" t="s">
        <v>738</v>
      </c>
      <c r="D167" t="s">
        <v>956</v>
      </c>
      <c r="E167">
        <v>4112</v>
      </c>
      <c r="F167" t="b">
        <f>OR(ISNUMBER(SEARCH("wagon_",Table1[[#This Row],[FILENAMES_EXPECTED]])),ISNUMBER(SEARCH("coach_",Table1[[#This Row],[FILENAMES_EXPECTED]])))</f>
        <v>0</v>
      </c>
      <c r="G167" t="str">
        <f>"item_"&amp;Table1[[#This Row],[VEHIDCODE]]</f>
        <v>item_steam_Argentina_FCGR_315</v>
      </c>
      <c r="H167" t="str">
        <f>"str_"&amp;Table1[[#This Row],[VEHIDCODE]]</f>
        <v>str_steam_Argentina_FCGR_315</v>
      </c>
      <c r="Q167" s="2" t="b">
        <v>1</v>
      </c>
      <c r="AL167" s="2"/>
      <c r="AM167" s="2" t="b">
        <f>LEN(_xlfn.CONCAT(Table1[[#This Row],[TRACK_TYPE_STANDARD_GAUGE_RAILTYPE_OHLE]:[TRACK_TYPE_MTRO]]))&gt;0</f>
        <v>1</v>
      </c>
      <c r="AN167">
        <v>4</v>
      </c>
      <c r="AO167" t="s">
        <v>20</v>
      </c>
      <c r="AP167">
        <v>0</v>
      </c>
      <c r="AQ167" t="s">
        <v>23</v>
      </c>
      <c r="AR167">
        <v>0</v>
      </c>
      <c r="AS167">
        <v>1871</v>
      </c>
      <c r="AT167">
        <v>4</v>
      </c>
      <c r="AU167" s="2" t="s">
        <v>20</v>
      </c>
      <c r="AV167" t="b">
        <v>1</v>
      </c>
      <c r="AX167" s="2"/>
      <c r="AY167">
        <v>45</v>
      </c>
      <c r="AZ167">
        <v>1</v>
      </c>
      <c r="BA167">
        <v>145</v>
      </c>
      <c r="BB167" t="s">
        <v>709</v>
      </c>
      <c r="BC167">
        <v>45</v>
      </c>
      <c r="BD167" s="2">
        <v>0.04</v>
      </c>
      <c r="BE167" t="s">
        <v>929</v>
      </c>
      <c r="BF167" t="s">
        <v>921</v>
      </c>
      <c r="BG167" t="s">
        <v>939</v>
      </c>
      <c r="BH167" s="7">
        <v>40</v>
      </c>
      <c r="BI16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167">
        <v>0</v>
      </c>
      <c r="BK167" t="s">
        <v>733</v>
      </c>
      <c r="BL167" s="11"/>
      <c r="BM167" s="11"/>
      <c r="BN167" s="11">
        <v>48</v>
      </c>
      <c r="BO167">
        <v>0</v>
      </c>
      <c r="BP167" t="s">
        <v>691</v>
      </c>
      <c r="BQ167" t="s">
        <v>693</v>
      </c>
      <c r="BR167" t="s">
        <v>700</v>
      </c>
      <c r="BS167" t="s">
        <v>704</v>
      </c>
      <c r="BT167" t="s">
        <v>705</v>
      </c>
      <c r="BU167" t="s">
        <v>706</v>
      </c>
      <c r="CT167"/>
      <c r="CU167"/>
      <c r="CV167"/>
    </row>
    <row r="168" spans="1:100" x14ac:dyDescent="0.4">
      <c r="A168" s="2" t="s">
        <v>192</v>
      </c>
      <c r="B168" t="str">
        <f>_xlfn.TEXTAFTER(Table1[[#This Row],[VEHIDCODE]],"_")</f>
        <v>Australia_NSWGR_C35</v>
      </c>
      <c r="C168" t="s">
        <v>738</v>
      </c>
      <c r="D168" t="s">
        <v>956</v>
      </c>
      <c r="E168">
        <v>4113</v>
      </c>
      <c r="F168" t="b">
        <f>OR(ISNUMBER(SEARCH("wagon_",Table1[[#This Row],[FILENAMES_EXPECTED]])),ISNUMBER(SEARCH("coach_",Table1[[#This Row],[FILENAMES_EXPECTED]])))</f>
        <v>0</v>
      </c>
      <c r="G168" t="str">
        <f>"item_"&amp;Table1[[#This Row],[VEHIDCODE]]</f>
        <v>item_steam_Australia_NSWGR_C35</v>
      </c>
      <c r="H168" t="str">
        <f>"str_"&amp;Table1[[#This Row],[VEHIDCODE]]</f>
        <v>str_steam_Australia_NSWGR_C35</v>
      </c>
      <c r="Q168" s="2" t="b">
        <v>1</v>
      </c>
      <c r="AL168" s="2"/>
      <c r="AM168" s="2" t="b">
        <f>LEN(_xlfn.CONCAT(Table1[[#This Row],[TRACK_TYPE_STANDARD_GAUGE_RAILTYPE_OHLE]:[TRACK_TYPE_MTRO]]))&gt;0</f>
        <v>1</v>
      </c>
      <c r="AN168">
        <v>8</v>
      </c>
      <c r="AO168" t="s">
        <v>20</v>
      </c>
      <c r="AP168">
        <v>0</v>
      </c>
      <c r="AQ168" t="s">
        <v>23</v>
      </c>
      <c r="AR168">
        <v>0</v>
      </c>
      <c r="AS168">
        <v>1914</v>
      </c>
      <c r="AT168">
        <v>6</v>
      </c>
      <c r="AU168" s="2" t="s">
        <v>20</v>
      </c>
      <c r="AV168" t="b">
        <v>1</v>
      </c>
      <c r="AX168" s="2"/>
      <c r="AY168">
        <v>45</v>
      </c>
      <c r="AZ168">
        <v>1</v>
      </c>
      <c r="BA168">
        <v>1150</v>
      </c>
      <c r="BB168" t="s">
        <v>709</v>
      </c>
      <c r="BC168">
        <v>80</v>
      </c>
      <c r="BD168" s="2">
        <v>0.1</v>
      </c>
      <c r="BE168" t="s">
        <v>924</v>
      </c>
      <c r="BF168" t="s">
        <v>921</v>
      </c>
      <c r="BG168" t="s">
        <v>939</v>
      </c>
      <c r="BH168" s="7">
        <v>40</v>
      </c>
      <c r="BI16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168">
        <v>0</v>
      </c>
      <c r="BK168" t="s">
        <v>733</v>
      </c>
      <c r="BL168" s="11"/>
      <c r="BM168" s="11"/>
      <c r="BN168" s="11">
        <v>126</v>
      </c>
      <c r="BO168">
        <v>0</v>
      </c>
      <c r="BP168" t="s">
        <v>691</v>
      </c>
      <c r="BQ168" t="s">
        <v>693</v>
      </c>
      <c r="BR168" t="s">
        <v>700</v>
      </c>
      <c r="BS168" t="s">
        <v>704</v>
      </c>
      <c r="BT168" t="s">
        <v>705</v>
      </c>
      <c r="BU168" t="s">
        <v>706</v>
      </c>
      <c r="CT168"/>
      <c r="CU168"/>
      <c r="CV168"/>
    </row>
    <row r="169" spans="1:100" x14ac:dyDescent="0.4">
      <c r="A169" s="2" t="s">
        <v>193</v>
      </c>
      <c r="B169" t="str">
        <f>_xlfn.TEXTAFTER(Table1[[#This Row],[VEHIDCODE]],"_")</f>
        <v>Belgium_NMBS_SNCB_Type_29</v>
      </c>
      <c r="C169" t="s">
        <v>738</v>
      </c>
      <c r="D169" t="s">
        <v>956</v>
      </c>
      <c r="E169">
        <v>4114</v>
      </c>
      <c r="F169" t="b">
        <f>OR(ISNUMBER(SEARCH("wagon_",Table1[[#This Row],[FILENAMES_EXPECTED]])),ISNUMBER(SEARCH("coach_",Table1[[#This Row],[FILENAMES_EXPECTED]])))</f>
        <v>0</v>
      </c>
      <c r="G169" t="str">
        <f>"item_"&amp;Table1[[#This Row],[VEHIDCODE]]</f>
        <v>item_steam_Belgium_NMBS_SNCB_Type_29</v>
      </c>
      <c r="H169" t="str">
        <f>"str_"&amp;Table1[[#This Row],[VEHIDCODE]]</f>
        <v>str_steam_Belgium_NMBS_SNCB_Type_29</v>
      </c>
      <c r="Q169" s="2" t="b">
        <v>1</v>
      </c>
      <c r="AL169" s="2"/>
      <c r="AM169" s="2" t="b">
        <f>LEN(_xlfn.CONCAT(Table1[[#This Row],[TRACK_TYPE_STANDARD_GAUGE_RAILTYPE_OHLE]:[TRACK_TYPE_MTRO]]))&gt;0</f>
        <v>1</v>
      </c>
      <c r="AN169">
        <v>8</v>
      </c>
      <c r="AO169" t="s">
        <v>20</v>
      </c>
      <c r="AP169">
        <v>0</v>
      </c>
      <c r="AQ169" t="s">
        <v>23</v>
      </c>
      <c r="AR169">
        <v>0</v>
      </c>
      <c r="AS169">
        <v>1945</v>
      </c>
      <c r="AT169">
        <v>7</v>
      </c>
      <c r="AU169" s="2" t="s">
        <v>20</v>
      </c>
      <c r="AV169" t="b">
        <v>1</v>
      </c>
      <c r="AX169" s="2"/>
      <c r="AY169">
        <v>45</v>
      </c>
      <c r="AZ169">
        <v>1</v>
      </c>
      <c r="BA169">
        <v>2000</v>
      </c>
      <c r="BB169" t="s">
        <v>709</v>
      </c>
      <c r="BC169">
        <v>96</v>
      </c>
      <c r="BD169" s="2">
        <v>0.15</v>
      </c>
      <c r="BE169" t="s">
        <v>922</v>
      </c>
      <c r="BF169" t="s">
        <v>921</v>
      </c>
      <c r="BG169" t="s">
        <v>939</v>
      </c>
      <c r="BH169" s="7">
        <v>40</v>
      </c>
      <c r="BI16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169">
        <v>0</v>
      </c>
      <c r="BK169" t="s">
        <v>733</v>
      </c>
      <c r="BL169" s="11"/>
      <c r="BM169" s="11"/>
      <c r="BN169" s="11">
        <v>127</v>
      </c>
      <c r="BO169">
        <v>0</v>
      </c>
      <c r="BP169" t="s">
        <v>691</v>
      </c>
      <c r="BQ169" t="s">
        <v>693</v>
      </c>
      <c r="BR169" t="s">
        <v>700</v>
      </c>
      <c r="BS169" t="s">
        <v>704</v>
      </c>
      <c r="BT169" t="s">
        <v>705</v>
      </c>
      <c r="BU169" t="s">
        <v>706</v>
      </c>
      <c r="CT169"/>
      <c r="CU169"/>
      <c r="CV169"/>
    </row>
    <row r="170" spans="1:100" x14ac:dyDescent="0.4">
      <c r="A170" s="2" t="s">
        <v>194</v>
      </c>
      <c r="B170" t="str">
        <f>_xlfn.TEXTAFTER(Table1[[#This Row],[VEHIDCODE]],"_")</f>
        <v>Chile_FCAB_4_8_2</v>
      </c>
      <c r="C170" t="s">
        <v>738</v>
      </c>
      <c r="D170" t="s">
        <v>956</v>
      </c>
      <c r="E170">
        <v>4115</v>
      </c>
      <c r="F170" t="b">
        <f>OR(ISNUMBER(SEARCH("wagon_",Table1[[#This Row],[FILENAMES_EXPECTED]])),ISNUMBER(SEARCH("coach_",Table1[[#This Row],[FILENAMES_EXPECTED]])))</f>
        <v>0</v>
      </c>
      <c r="G170" t="str">
        <f>"item_"&amp;Table1[[#This Row],[VEHIDCODE]]</f>
        <v>item_steam_Chile_FCAB_4_8_2</v>
      </c>
      <c r="H170" t="str">
        <f>"str_"&amp;Table1[[#This Row],[VEHIDCODE]]</f>
        <v>str_steam_Chile_FCAB_4_8_2</v>
      </c>
      <c r="Z170" s="2" t="b">
        <v>1</v>
      </c>
      <c r="AL170" s="2"/>
      <c r="AM170" s="2" t="b">
        <f>LEN(_xlfn.CONCAT(Table1[[#This Row],[TRACK_TYPE_STANDARD_GAUGE_RAILTYPE_OHLE]:[TRACK_TYPE_MTRO]]))&gt;0</f>
        <v>1</v>
      </c>
      <c r="AN170">
        <v>8</v>
      </c>
      <c r="AO170" t="s">
        <v>20</v>
      </c>
      <c r="AP170">
        <v>0</v>
      </c>
      <c r="AQ170" t="s">
        <v>23</v>
      </c>
      <c r="AR170">
        <v>0</v>
      </c>
      <c r="AS170">
        <v>1954</v>
      </c>
      <c r="AT170">
        <v>7</v>
      </c>
      <c r="AU170" s="2" t="s">
        <v>20</v>
      </c>
      <c r="AV170" t="b">
        <v>1</v>
      </c>
      <c r="AX170" s="2"/>
      <c r="AY170">
        <v>45</v>
      </c>
      <c r="AZ170">
        <v>1</v>
      </c>
      <c r="BA170">
        <v>1457</v>
      </c>
      <c r="BB170" t="s">
        <v>709</v>
      </c>
      <c r="BC170">
        <v>85</v>
      </c>
      <c r="BD170" s="2">
        <v>0.1</v>
      </c>
      <c r="BE170" t="s">
        <v>929</v>
      </c>
      <c r="BF170" t="s">
        <v>921</v>
      </c>
      <c r="BG170" t="s">
        <v>939</v>
      </c>
      <c r="BH170" s="7">
        <v>40</v>
      </c>
      <c r="BI17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170">
        <v>0</v>
      </c>
      <c r="BK170" t="s">
        <v>733</v>
      </c>
      <c r="BL170" s="11"/>
      <c r="BM170" s="11"/>
      <c r="BN170" s="11">
        <v>146</v>
      </c>
      <c r="BO170">
        <v>0</v>
      </c>
      <c r="BP170" t="s">
        <v>691</v>
      </c>
      <c r="BQ170" t="s">
        <v>693</v>
      </c>
      <c r="BR170" t="s">
        <v>700</v>
      </c>
      <c r="BS170" t="s">
        <v>704</v>
      </c>
      <c r="BT170" t="s">
        <v>705</v>
      </c>
      <c r="BU170" t="s">
        <v>706</v>
      </c>
      <c r="CT170"/>
      <c r="CU170"/>
      <c r="CV170"/>
    </row>
    <row r="171" spans="1:100" x14ac:dyDescent="0.4">
      <c r="A171" s="2" t="s">
        <v>195</v>
      </c>
      <c r="B171" t="str">
        <f>_xlfn.TEXTAFTER(Table1[[#This Row],[VEHIDCODE]],"_")</f>
        <v>China_Railways_QJ</v>
      </c>
      <c r="C171" t="s">
        <v>738</v>
      </c>
      <c r="D171" t="s">
        <v>956</v>
      </c>
      <c r="E171">
        <v>4116</v>
      </c>
      <c r="F171" t="b">
        <f>OR(ISNUMBER(SEARCH("wagon_",Table1[[#This Row],[FILENAMES_EXPECTED]])),ISNUMBER(SEARCH("coach_",Table1[[#This Row],[FILENAMES_EXPECTED]])))</f>
        <v>0</v>
      </c>
      <c r="G171" t="str">
        <f>"item_"&amp;Table1[[#This Row],[VEHIDCODE]]</f>
        <v>item_steam_China_Railways_QJ</v>
      </c>
      <c r="H171" t="str">
        <f>"str_"&amp;Table1[[#This Row],[VEHIDCODE]]</f>
        <v>str_steam_China_Railways_QJ</v>
      </c>
      <c r="Q171" s="2" t="b">
        <v>1</v>
      </c>
      <c r="AL171" s="2"/>
      <c r="AM171" s="2" t="b">
        <f>LEN(_xlfn.CONCAT(Table1[[#This Row],[TRACK_TYPE_STANDARD_GAUGE_RAILTYPE_OHLE]:[TRACK_TYPE_MTRO]]))&gt;0</f>
        <v>1</v>
      </c>
      <c r="AN171">
        <v>12</v>
      </c>
      <c r="AO171" t="s">
        <v>20</v>
      </c>
      <c r="AP171">
        <v>0</v>
      </c>
      <c r="AQ171" t="s">
        <v>23</v>
      </c>
      <c r="AR171">
        <v>0</v>
      </c>
      <c r="AS171">
        <v>1956</v>
      </c>
      <c r="AT171">
        <v>8</v>
      </c>
      <c r="AU171" s="2" t="s">
        <v>24</v>
      </c>
      <c r="AV171" t="b">
        <v>1</v>
      </c>
      <c r="AX171" s="2"/>
      <c r="AY171">
        <v>45</v>
      </c>
      <c r="AZ171">
        <v>1</v>
      </c>
      <c r="BA171">
        <v>3580</v>
      </c>
      <c r="BB171" t="s">
        <v>709</v>
      </c>
      <c r="BC171">
        <v>80</v>
      </c>
      <c r="BD171" s="2">
        <v>0.21</v>
      </c>
      <c r="BE171" t="s">
        <v>930</v>
      </c>
      <c r="BF171" t="s">
        <v>921</v>
      </c>
      <c r="BG171" t="s">
        <v>939</v>
      </c>
      <c r="BH171" s="7">
        <v>40</v>
      </c>
      <c r="BI17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171">
        <v>0</v>
      </c>
      <c r="BK171" t="s">
        <v>733</v>
      </c>
      <c r="BL171" s="11"/>
      <c r="BM171" s="11"/>
      <c r="BN171" s="11">
        <v>133</v>
      </c>
      <c r="BO171">
        <v>0</v>
      </c>
      <c r="BP171" t="s">
        <v>691</v>
      </c>
      <c r="BQ171" t="s">
        <v>693</v>
      </c>
      <c r="BR171" t="s">
        <v>700</v>
      </c>
      <c r="BS171" t="s">
        <v>704</v>
      </c>
      <c r="BT171" t="s">
        <v>705</v>
      </c>
      <c r="BU171" t="s">
        <v>706</v>
      </c>
      <c r="CT171"/>
      <c r="CU171"/>
      <c r="CV171"/>
    </row>
    <row r="172" spans="1:100" x14ac:dyDescent="0.4">
      <c r="A172" s="2" t="s">
        <v>196</v>
      </c>
      <c r="B172" t="str">
        <f>_xlfn.TEXTAFTER(Table1[[#This Row],[VEHIDCODE]],"_")</f>
        <v>Germany_DB_Kof_II</v>
      </c>
      <c r="C172" t="s">
        <v>739</v>
      </c>
      <c r="D172" t="s">
        <v>958</v>
      </c>
      <c r="E172">
        <v>5000</v>
      </c>
      <c r="F172" t="b">
        <f>OR(ISNUMBER(SEARCH("wagon_",Table1[[#This Row],[FILENAMES_EXPECTED]])),ISNUMBER(SEARCH("coach_",Table1[[#This Row],[FILENAMES_EXPECTED]])))</f>
        <v>0</v>
      </c>
      <c r="G172" t="str">
        <f>"item_"&amp;Table1[[#This Row],[VEHIDCODE]]</f>
        <v>item_diesel_Germany_DB_Kof_II</v>
      </c>
      <c r="H172" t="str">
        <f>"str_"&amp;Table1[[#This Row],[VEHIDCODE]]</f>
        <v>str_diesel_Germany_DB_Kof_II</v>
      </c>
      <c r="Q172" s="2" t="b">
        <v>1</v>
      </c>
      <c r="AL172" s="2"/>
      <c r="AM172" s="2" t="b">
        <f>LEN(_xlfn.CONCAT(Table1[[#This Row],[TRACK_TYPE_STANDARD_GAUGE_RAILTYPE_OHLE]:[TRACK_TYPE_MTRO]]))&gt;0</f>
        <v>1</v>
      </c>
      <c r="AN172">
        <v>4</v>
      </c>
      <c r="AO172" t="s">
        <v>20</v>
      </c>
      <c r="AP172">
        <v>0</v>
      </c>
      <c r="AQ172" t="s">
        <v>35</v>
      </c>
      <c r="AR172">
        <v>0</v>
      </c>
      <c r="AS172">
        <v>1930</v>
      </c>
      <c r="AT172">
        <v>4</v>
      </c>
      <c r="AU172" s="2" t="s">
        <v>20</v>
      </c>
      <c r="AV172" t="b">
        <v>1</v>
      </c>
      <c r="AX172" s="2"/>
      <c r="AY172">
        <v>45</v>
      </c>
      <c r="AZ172">
        <v>1</v>
      </c>
      <c r="BA172">
        <v>95</v>
      </c>
      <c r="BB172" t="s">
        <v>710</v>
      </c>
      <c r="BC172">
        <v>30</v>
      </c>
      <c r="BD172" s="2">
        <v>0.39</v>
      </c>
      <c r="BE172" t="s">
        <v>922</v>
      </c>
      <c r="BF172" t="s">
        <v>921</v>
      </c>
      <c r="BG172" t="s">
        <v>939</v>
      </c>
      <c r="BH172" s="7">
        <v>40</v>
      </c>
      <c r="BI17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172">
        <v>0</v>
      </c>
      <c r="BK172" t="s">
        <v>733</v>
      </c>
      <c r="BL172" s="11"/>
      <c r="BM172" s="11"/>
      <c r="BN172" s="11">
        <v>18</v>
      </c>
      <c r="BO172">
        <v>0</v>
      </c>
      <c r="BP172" t="s">
        <v>691</v>
      </c>
      <c r="BQ172" t="s">
        <v>693</v>
      </c>
      <c r="BR172" t="s">
        <v>700</v>
      </c>
      <c r="BS172" t="s">
        <v>704</v>
      </c>
      <c r="BT172" t="s">
        <v>705</v>
      </c>
      <c r="BU172" t="s">
        <v>706</v>
      </c>
      <c r="CT172"/>
      <c r="CU172"/>
      <c r="CV172"/>
    </row>
    <row r="173" spans="1:100" x14ac:dyDescent="0.4">
      <c r="A173" s="2" t="s">
        <v>197</v>
      </c>
      <c r="B173" t="str">
        <f>_xlfn.TEXTAFTER(Table1[[#This Row],[VEHIDCODE]],"_")</f>
        <v>USA_CNJ_ALCo_GE_IR_Boxcab</v>
      </c>
      <c r="C173" t="s">
        <v>739</v>
      </c>
      <c r="D173" t="s">
        <v>958</v>
      </c>
      <c r="E173">
        <v>5001</v>
      </c>
      <c r="F173" t="b">
        <f>OR(ISNUMBER(SEARCH("wagon_",Table1[[#This Row],[FILENAMES_EXPECTED]])),ISNUMBER(SEARCH("coach_",Table1[[#This Row],[FILENAMES_EXPECTED]])))</f>
        <v>0</v>
      </c>
      <c r="G173" t="str">
        <f>"item_"&amp;Table1[[#This Row],[VEHIDCODE]]</f>
        <v>item_diesel_USA_CNJ_ALCo_GE_IR_Boxcab</v>
      </c>
      <c r="H173" t="str">
        <f>"str_"&amp;Table1[[#This Row],[VEHIDCODE]]</f>
        <v>str_diesel_USA_CNJ_ALCo_GE_IR_Boxcab</v>
      </c>
      <c r="Q173" s="2" t="b">
        <v>1</v>
      </c>
      <c r="AL173" s="2"/>
      <c r="AM173" s="2" t="b">
        <f>LEN(_xlfn.CONCAT(Table1[[#This Row],[TRACK_TYPE_STANDARD_GAUGE_RAILTYPE_OHLE]:[TRACK_TYPE_MTRO]]))&gt;0</f>
        <v>1</v>
      </c>
      <c r="AN173">
        <v>4</v>
      </c>
      <c r="AO173" t="s">
        <v>20</v>
      </c>
      <c r="AP173">
        <v>0</v>
      </c>
      <c r="AQ173" t="s">
        <v>35</v>
      </c>
      <c r="AR173">
        <v>0</v>
      </c>
      <c r="AS173">
        <v>1931</v>
      </c>
      <c r="AT173">
        <v>4</v>
      </c>
      <c r="AU173" s="2" t="s">
        <v>20</v>
      </c>
      <c r="AV173" t="b">
        <v>1</v>
      </c>
      <c r="AX173" s="2"/>
      <c r="AY173">
        <v>45</v>
      </c>
      <c r="AZ173">
        <v>1</v>
      </c>
      <c r="BA173">
        <v>300</v>
      </c>
      <c r="BB173" t="s">
        <v>710</v>
      </c>
      <c r="BC173">
        <v>100</v>
      </c>
      <c r="BD173" s="2">
        <v>0.11</v>
      </c>
      <c r="BE173" t="s">
        <v>927</v>
      </c>
      <c r="BF173" t="s">
        <v>921</v>
      </c>
      <c r="BG173" t="s">
        <v>939</v>
      </c>
      <c r="BH173" s="7">
        <v>40</v>
      </c>
      <c r="BI17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173">
        <v>0</v>
      </c>
      <c r="BK173" t="s">
        <v>733</v>
      </c>
      <c r="BL173" s="11"/>
      <c r="BM173" s="11"/>
      <c r="BN173" s="11">
        <v>61</v>
      </c>
      <c r="BO173">
        <v>0</v>
      </c>
      <c r="BP173" t="s">
        <v>691</v>
      </c>
      <c r="BQ173" t="s">
        <v>693</v>
      </c>
      <c r="BR173" t="s">
        <v>700</v>
      </c>
      <c r="BS173" t="s">
        <v>704</v>
      </c>
      <c r="BT173" t="s">
        <v>705</v>
      </c>
      <c r="BU173" t="s">
        <v>706</v>
      </c>
      <c r="CT173"/>
      <c r="CU173"/>
      <c r="CV173"/>
    </row>
    <row r="174" spans="1:100" x14ac:dyDescent="0.4">
      <c r="A174" s="2" t="s">
        <v>198</v>
      </c>
      <c r="B174" t="str">
        <f>_xlfn.TEXTAFTER(Table1[[#This Row],[VEHIDCODE]],"_")</f>
        <v>Netherlands_NS_200</v>
      </c>
      <c r="C174" t="s">
        <v>739</v>
      </c>
      <c r="D174" t="s">
        <v>958</v>
      </c>
      <c r="E174">
        <v>5002</v>
      </c>
      <c r="F174" t="b">
        <f>OR(ISNUMBER(SEARCH("wagon_",Table1[[#This Row],[FILENAMES_EXPECTED]])),ISNUMBER(SEARCH("coach_",Table1[[#This Row],[FILENAMES_EXPECTED]])))</f>
        <v>0</v>
      </c>
      <c r="G174" t="str">
        <f>"item_"&amp;Table1[[#This Row],[VEHIDCODE]]</f>
        <v>item_diesel_Netherlands_NS_200</v>
      </c>
      <c r="H174" t="str">
        <f>"str_"&amp;Table1[[#This Row],[VEHIDCODE]]</f>
        <v>str_diesel_Netherlands_NS_200</v>
      </c>
      <c r="Q174" s="2" t="b">
        <v>1</v>
      </c>
      <c r="AL174" s="2"/>
      <c r="AM174" s="2" t="b">
        <f>LEN(_xlfn.CONCAT(Table1[[#This Row],[TRACK_TYPE_STANDARD_GAUGE_RAILTYPE_OHLE]:[TRACK_TYPE_MTRO]]))&gt;0</f>
        <v>1</v>
      </c>
      <c r="AN174">
        <v>4</v>
      </c>
      <c r="AO174" t="s">
        <v>20</v>
      </c>
      <c r="AP174">
        <v>0</v>
      </c>
      <c r="AQ174" t="s">
        <v>35</v>
      </c>
      <c r="AR174">
        <v>0</v>
      </c>
      <c r="AS174">
        <v>1934</v>
      </c>
      <c r="AT174">
        <v>4</v>
      </c>
      <c r="AU174" s="2" t="s">
        <v>20</v>
      </c>
      <c r="AV174" t="b">
        <v>1</v>
      </c>
      <c r="AX174" s="2"/>
      <c r="AY174">
        <v>45</v>
      </c>
      <c r="AZ174">
        <v>1</v>
      </c>
      <c r="BA174">
        <v>72</v>
      </c>
      <c r="BB174" t="s">
        <v>710</v>
      </c>
      <c r="BC174">
        <v>60</v>
      </c>
      <c r="BD174" s="2">
        <v>0.19</v>
      </c>
      <c r="BE174" t="s">
        <v>922</v>
      </c>
      <c r="BF174" t="s">
        <v>921</v>
      </c>
      <c r="BG174" t="s">
        <v>939</v>
      </c>
      <c r="BH174" s="7">
        <v>40</v>
      </c>
      <c r="BI17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174">
        <v>0</v>
      </c>
      <c r="BK174" t="s">
        <v>733</v>
      </c>
      <c r="BL174" s="11"/>
      <c r="BM174" s="11"/>
      <c r="BN174" s="11">
        <v>21</v>
      </c>
      <c r="BO174">
        <v>0</v>
      </c>
      <c r="BP174" t="s">
        <v>691</v>
      </c>
      <c r="BQ174" t="s">
        <v>693</v>
      </c>
      <c r="BR174" t="s">
        <v>700</v>
      </c>
      <c r="BS174" t="s">
        <v>704</v>
      </c>
      <c r="BT174" t="s">
        <v>705</v>
      </c>
      <c r="BU174" t="s">
        <v>706</v>
      </c>
      <c r="CT174"/>
      <c r="CU174"/>
      <c r="CV174"/>
    </row>
    <row r="175" spans="1:100" x14ac:dyDescent="0.4">
      <c r="A175" s="2" t="s">
        <v>199</v>
      </c>
      <c r="B175" t="str">
        <f>_xlfn.TEXTAFTER(Table1[[#This Row],[VEHIDCODE]],"_")</f>
        <v>Germany_DB_270</v>
      </c>
      <c r="C175" t="s">
        <v>739</v>
      </c>
      <c r="D175" t="s">
        <v>958</v>
      </c>
      <c r="E175">
        <v>5003</v>
      </c>
      <c r="F175" t="b">
        <f>OR(ISNUMBER(SEARCH("wagon_",Table1[[#This Row],[FILENAMES_EXPECTED]])),ISNUMBER(SEARCH("coach_",Table1[[#This Row],[FILENAMES_EXPECTED]])))</f>
        <v>0</v>
      </c>
      <c r="G175" t="str">
        <f>"item_"&amp;Table1[[#This Row],[VEHIDCODE]]</f>
        <v>item_diesel_Germany_DB_270</v>
      </c>
      <c r="H175" t="str">
        <f>"str_"&amp;Table1[[#This Row],[VEHIDCODE]]</f>
        <v>str_diesel_Germany_DB_270</v>
      </c>
      <c r="Q175" s="2" t="b">
        <v>1</v>
      </c>
      <c r="AL175" s="2"/>
      <c r="AM175" s="2" t="b">
        <f>LEN(_xlfn.CONCAT(Table1[[#This Row],[TRACK_TYPE_STANDARD_GAUGE_RAILTYPE_OHLE]:[TRACK_TYPE_MTRO]]))&gt;0</f>
        <v>1</v>
      </c>
      <c r="AN175">
        <v>5</v>
      </c>
      <c r="AO175" t="s">
        <v>20</v>
      </c>
      <c r="AP175">
        <v>0</v>
      </c>
      <c r="AQ175" t="s">
        <v>35</v>
      </c>
      <c r="AR175">
        <v>0</v>
      </c>
      <c r="AS175">
        <v>1936</v>
      </c>
      <c r="AT175">
        <v>5</v>
      </c>
      <c r="AU175" s="2" t="s">
        <v>20</v>
      </c>
      <c r="AV175" t="b">
        <v>1</v>
      </c>
      <c r="AX175" s="2"/>
      <c r="AY175">
        <v>45</v>
      </c>
      <c r="AZ175">
        <v>1</v>
      </c>
      <c r="BA175">
        <v>200</v>
      </c>
      <c r="BB175" t="s">
        <v>710</v>
      </c>
      <c r="BC175">
        <v>55</v>
      </c>
      <c r="BD175" s="2">
        <v>0.31</v>
      </c>
      <c r="BE175" t="s">
        <v>922</v>
      </c>
      <c r="BF175" t="s">
        <v>921</v>
      </c>
      <c r="BG175" t="s">
        <v>939</v>
      </c>
      <c r="BH175" s="7">
        <v>40</v>
      </c>
      <c r="BI17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175">
        <v>0</v>
      </c>
      <c r="BK175" t="s">
        <v>733</v>
      </c>
      <c r="BL175" s="11"/>
      <c r="BM175" s="11"/>
      <c r="BN175" s="11">
        <v>26</v>
      </c>
      <c r="BO175">
        <v>0</v>
      </c>
      <c r="BP175" t="s">
        <v>691</v>
      </c>
      <c r="BQ175" t="s">
        <v>693</v>
      </c>
      <c r="BR175" t="s">
        <v>700</v>
      </c>
      <c r="BS175" t="s">
        <v>704</v>
      </c>
      <c r="BT175" t="s">
        <v>705</v>
      </c>
      <c r="BU175" t="s">
        <v>706</v>
      </c>
      <c r="CT175"/>
      <c r="CU175"/>
      <c r="CV175"/>
    </row>
    <row r="176" spans="1:100" x14ac:dyDescent="0.4">
      <c r="A176" s="2" t="s">
        <v>200</v>
      </c>
      <c r="B176" t="str">
        <f>_xlfn.TEXTAFTER(Table1[[#This Row],[VEHIDCODE]],"_")</f>
        <v>Switzerland_SBB_Am_4_6</v>
      </c>
      <c r="C176" t="s">
        <v>739</v>
      </c>
      <c r="D176" t="s">
        <v>958</v>
      </c>
      <c r="E176">
        <v>5004</v>
      </c>
      <c r="F176" t="b">
        <f>OR(ISNUMBER(SEARCH("wagon_",Table1[[#This Row],[FILENAMES_EXPECTED]])),ISNUMBER(SEARCH("coach_",Table1[[#This Row],[FILENAMES_EXPECTED]])))</f>
        <v>0</v>
      </c>
      <c r="G176" t="str">
        <f>"item_"&amp;Table1[[#This Row],[VEHIDCODE]]</f>
        <v>item_diesel_Switzerland_SBB_Am_4_6</v>
      </c>
      <c r="H176" t="str">
        <f>"str_"&amp;Table1[[#This Row],[VEHIDCODE]]</f>
        <v>str_diesel_Switzerland_SBB_Am_4_6</v>
      </c>
      <c r="Q176" s="2" t="b">
        <v>1</v>
      </c>
      <c r="AL176" s="2"/>
      <c r="AM176" s="2" t="b">
        <f>LEN(_xlfn.CONCAT(Table1[[#This Row],[TRACK_TYPE_STANDARD_GAUGE_RAILTYPE_OHLE]:[TRACK_TYPE_MTRO]]))&gt;0</f>
        <v>1</v>
      </c>
      <c r="AN176">
        <v>8</v>
      </c>
      <c r="AO176" t="s">
        <v>20</v>
      </c>
      <c r="AP176">
        <v>0</v>
      </c>
      <c r="AQ176" t="s">
        <v>35</v>
      </c>
      <c r="AR176">
        <v>0</v>
      </c>
      <c r="AS176">
        <v>1938</v>
      </c>
      <c r="AT176">
        <v>8</v>
      </c>
      <c r="AU176" s="2" t="s">
        <v>20</v>
      </c>
      <c r="AV176" t="b">
        <v>1</v>
      </c>
      <c r="AX176" s="2"/>
      <c r="AY176">
        <v>45</v>
      </c>
      <c r="AZ176">
        <v>1</v>
      </c>
      <c r="BA176">
        <v>2170</v>
      </c>
      <c r="BB176" t="s">
        <v>710</v>
      </c>
      <c r="BC176">
        <v>110</v>
      </c>
      <c r="BD176" s="2">
        <v>0.14000000000000001</v>
      </c>
      <c r="BE176" t="s">
        <v>922</v>
      </c>
      <c r="BF176" t="s">
        <v>921</v>
      </c>
      <c r="BG176" t="s">
        <v>939</v>
      </c>
      <c r="BH176" s="7">
        <v>40</v>
      </c>
      <c r="BI17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176">
        <v>0</v>
      </c>
      <c r="BK176" t="s">
        <v>733</v>
      </c>
      <c r="BL176" s="11"/>
      <c r="BM176" s="11"/>
      <c r="BN176" s="11">
        <v>92</v>
      </c>
      <c r="BO176">
        <v>0</v>
      </c>
      <c r="BP176" t="s">
        <v>691</v>
      </c>
      <c r="BQ176" t="s">
        <v>693</v>
      </c>
      <c r="BR176" t="s">
        <v>700</v>
      </c>
      <c r="BS176" t="s">
        <v>704</v>
      </c>
      <c r="BT176" t="s">
        <v>705</v>
      </c>
      <c r="BU176" t="s">
        <v>706</v>
      </c>
      <c r="CT176"/>
      <c r="CU176"/>
      <c r="CV176"/>
    </row>
    <row r="177" spans="1:100" x14ac:dyDescent="0.4">
      <c r="A177" s="2" t="s">
        <v>201</v>
      </c>
      <c r="B177" t="str">
        <f>_xlfn.TEXTAFTER(Table1[[#This Row],[VEHIDCODE]],"_")</f>
        <v>Australia_NSWGR_79</v>
      </c>
      <c r="C177" t="s">
        <v>739</v>
      </c>
      <c r="D177" t="s">
        <v>958</v>
      </c>
      <c r="E177">
        <v>5005</v>
      </c>
      <c r="F177" t="b">
        <f>OR(ISNUMBER(SEARCH("wagon_",Table1[[#This Row],[FILENAMES_EXPECTED]])),ISNUMBER(SEARCH("coach_",Table1[[#This Row],[FILENAMES_EXPECTED]])))</f>
        <v>0</v>
      </c>
      <c r="G177" t="str">
        <f>"item_"&amp;Table1[[#This Row],[VEHIDCODE]]</f>
        <v>item_diesel_Australia_NSWGR_79</v>
      </c>
      <c r="H177" t="str">
        <f>"str_"&amp;Table1[[#This Row],[VEHIDCODE]]</f>
        <v>str_diesel_Australia_NSWGR_79</v>
      </c>
      <c r="Q177" s="2" t="b">
        <v>1</v>
      </c>
      <c r="AL177" s="2"/>
      <c r="AM177" s="2" t="b">
        <f>LEN(_xlfn.CONCAT(Table1[[#This Row],[TRACK_TYPE_STANDARD_GAUGE_RAILTYPE_OHLE]:[TRACK_TYPE_MTRO]]))&gt;0</f>
        <v>1</v>
      </c>
      <c r="AN177">
        <v>5</v>
      </c>
      <c r="AO177" t="s">
        <v>20</v>
      </c>
      <c r="AP177">
        <v>0</v>
      </c>
      <c r="AQ177" t="s">
        <v>35</v>
      </c>
      <c r="AR177">
        <v>0</v>
      </c>
      <c r="AS177">
        <v>1940</v>
      </c>
      <c r="AT177">
        <v>5</v>
      </c>
      <c r="AU177" s="2" t="s">
        <v>20</v>
      </c>
      <c r="AV177" t="b">
        <v>1</v>
      </c>
      <c r="AX177" s="2"/>
      <c r="AY177">
        <v>45</v>
      </c>
      <c r="AZ177">
        <v>1</v>
      </c>
      <c r="BA177">
        <v>380</v>
      </c>
      <c r="BB177" t="s">
        <v>710</v>
      </c>
      <c r="BC177">
        <v>56</v>
      </c>
      <c r="BD177" s="2">
        <v>0.15</v>
      </c>
      <c r="BE177" t="s">
        <v>924</v>
      </c>
      <c r="BF177" t="s">
        <v>921</v>
      </c>
      <c r="BG177" t="s">
        <v>939</v>
      </c>
      <c r="BH177" s="7">
        <v>40</v>
      </c>
      <c r="BI17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177">
        <v>0</v>
      </c>
      <c r="BK177" t="s">
        <v>733</v>
      </c>
      <c r="BL177" s="11"/>
      <c r="BM177" s="11"/>
      <c r="BN177" s="11">
        <v>40</v>
      </c>
      <c r="BO177">
        <v>0</v>
      </c>
      <c r="BP177" t="s">
        <v>691</v>
      </c>
      <c r="BQ177" t="s">
        <v>693</v>
      </c>
      <c r="BR177" t="s">
        <v>700</v>
      </c>
      <c r="BS177" t="s">
        <v>704</v>
      </c>
      <c r="BT177" t="s">
        <v>705</v>
      </c>
      <c r="BU177" t="s">
        <v>706</v>
      </c>
      <c r="CT177"/>
      <c r="CU177"/>
      <c r="CV177"/>
    </row>
    <row r="178" spans="1:100" x14ac:dyDescent="0.4">
      <c r="A178" s="2" t="s">
        <v>202</v>
      </c>
      <c r="B178" t="str">
        <f>_xlfn.TEXTAFTER(Table1[[#This Row],[VEHIDCODE]],"_")</f>
        <v>USA_Western_Pacific_ALCO_S_2</v>
      </c>
      <c r="C178" t="s">
        <v>739</v>
      </c>
      <c r="D178" t="s">
        <v>958</v>
      </c>
      <c r="E178">
        <v>5006</v>
      </c>
      <c r="F178" t="b">
        <f>OR(ISNUMBER(SEARCH("wagon_",Table1[[#This Row],[FILENAMES_EXPECTED]])),ISNUMBER(SEARCH("coach_",Table1[[#This Row],[FILENAMES_EXPECTED]])))</f>
        <v>0</v>
      </c>
      <c r="G178" t="str">
        <f>"item_"&amp;Table1[[#This Row],[VEHIDCODE]]</f>
        <v>item_diesel_USA_Western_Pacific_ALCO_S_2</v>
      </c>
      <c r="H178" t="str">
        <f>"str_"&amp;Table1[[#This Row],[VEHIDCODE]]</f>
        <v>str_diesel_USA_Western_Pacific_ALCO_S_2</v>
      </c>
      <c r="Q178" s="2" t="b">
        <v>1</v>
      </c>
      <c r="AL178" s="2"/>
      <c r="AM178" s="2" t="b">
        <f>LEN(_xlfn.CONCAT(Table1[[#This Row],[TRACK_TYPE_STANDARD_GAUGE_RAILTYPE_OHLE]:[TRACK_TYPE_MTRO]]))&gt;0</f>
        <v>1</v>
      </c>
      <c r="AN178">
        <v>6</v>
      </c>
      <c r="AO178" t="s">
        <v>20</v>
      </c>
      <c r="AP178">
        <v>0</v>
      </c>
      <c r="AQ178" t="s">
        <v>35</v>
      </c>
      <c r="AR178">
        <v>0</v>
      </c>
      <c r="AS178">
        <v>1940</v>
      </c>
      <c r="AT178">
        <v>6</v>
      </c>
      <c r="AU178" s="2" t="s">
        <v>20</v>
      </c>
      <c r="AV178" t="b">
        <v>1</v>
      </c>
      <c r="AX178" s="2"/>
      <c r="AY178">
        <v>45</v>
      </c>
      <c r="AZ178">
        <v>1</v>
      </c>
      <c r="BA178">
        <v>1000</v>
      </c>
      <c r="BB178" t="s">
        <v>710</v>
      </c>
      <c r="BC178">
        <v>96</v>
      </c>
      <c r="BD178" s="2">
        <v>0.15</v>
      </c>
      <c r="BE178" t="s">
        <v>927</v>
      </c>
      <c r="BF178" t="s">
        <v>921</v>
      </c>
      <c r="BG178" t="s">
        <v>939</v>
      </c>
      <c r="BH178" s="7">
        <v>40</v>
      </c>
      <c r="BI17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178">
        <v>0</v>
      </c>
      <c r="BK178" t="s">
        <v>733</v>
      </c>
      <c r="BL178" s="11"/>
      <c r="BM178" s="11"/>
      <c r="BN178" s="11">
        <v>104</v>
      </c>
      <c r="BO178">
        <v>0</v>
      </c>
      <c r="BP178" t="s">
        <v>691</v>
      </c>
      <c r="BQ178" t="s">
        <v>693</v>
      </c>
      <c r="BR178" t="s">
        <v>700</v>
      </c>
      <c r="BS178" t="s">
        <v>704</v>
      </c>
      <c r="BT178" t="s">
        <v>705</v>
      </c>
      <c r="BU178" t="s">
        <v>706</v>
      </c>
      <c r="CT178"/>
      <c r="CU178"/>
      <c r="CV178"/>
    </row>
    <row r="179" spans="1:100" x14ac:dyDescent="0.4">
      <c r="A179" s="2" t="s">
        <v>203</v>
      </c>
      <c r="B179" t="str">
        <f>_xlfn.TEXTAFTER(Table1[[#This Row],[VEHIDCODE]],"_")</f>
        <v>USA_AT_SF_EMD_F3</v>
      </c>
      <c r="C179" t="s">
        <v>739</v>
      </c>
      <c r="D179" t="s">
        <v>958</v>
      </c>
      <c r="E179">
        <v>5007</v>
      </c>
      <c r="F179" t="b">
        <f>OR(ISNUMBER(SEARCH("wagon_",Table1[[#This Row],[FILENAMES_EXPECTED]])),ISNUMBER(SEARCH("coach_",Table1[[#This Row],[FILENAMES_EXPECTED]])))</f>
        <v>0</v>
      </c>
      <c r="G179" t="str">
        <f>"item_"&amp;Table1[[#This Row],[VEHIDCODE]]</f>
        <v>item_diesel_USA_AT_SF_EMD_F3</v>
      </c>
      <c r="H179" t="str">
        <f>"str_"&amp;Table1[[#This Row],[VEHIDCODE]]</f>
        <v>str_diesel_USA_AT_SF_EMD_F3</v>
      </c>
      <c r="Q179" s="2" t="b">
        <v>1</v>
      </c>
      <c r="AL179" s="2"/>
      <c r="AM179" s="2" t="b">
        <f>LEN(_xlfn.CONCAT(Table1[[#This Row],[TRACK_TYPE_STANDARD_GAUGE_RAILTYPE_OHLE]:[TRACK_TYPE_MTRO]]))&gt;0</f>
        <v>1</v>
      </c>
      <c r="AN179">
        <v>7</v>
      </c>
      <c r="AO179" t="s">
        <v>20</v>
      </c>
      <c r="AP179">
        <v>0</v>
      </c>
      <c r="AQ179" t="s">
        <v>35</v>
      </c>
      <c r="AR179">
        <v>0</v>
      </c>
      <c r="AS179">
        <v>1946</v>
      </c>
      <c r="AT179">
        <v>7</v>
      </c>
      <c r="AU179" s="2" t="s">
        <v>20</v>
      </c>
      <c r="AV179" t="b">
        <v>1</v>
      </c>
      <c r="AX179" s="2"/>
      <c r="AY179">
        <v>45</v>
      </c>
      <c r="AZ179">
        <v>1</v>
      </c>
      <c r="BA179">
        <v>1500</v>
      </c>
      <c r="BB179" t="s">
        <v>710</v>
      </c>
      <c r="BC179">
        <v>105</v>
      </c>
      <c r="BD179" s="2">
        <v>0.16</v>
      </c>
      <c r="BE179" t="s">
        <v>927</v>
      </c>
      <c r="BF179" t="s">
        <v>921</v>
      </c>
      <c r="BG179" t="s">
        <v>939</v>
      </c>
      <c r="BH179" s="7">
        <v>40</v>
      </c>
      <c r="BI17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179">
        <v>-3</v>
      </c>
      <c r="BK179" t="s">
        <v>733</v>
      </c>
      <c r="BL179" s="11"/>
      <c r="BM179" s="11"/>
      <c r="BN179" s="11">
        <v>139</v>
      </c>
      <c r="BO179">
        <v>0</v>
      </c>
      <c r="BP179" t="s">
        <v>691</v>
      </c>
      <c r="BQ179" t="s">
        <v>693</v>
      </c>
      <c r="BR179" t="s">
        <v>700</v>
      </c>
      <c r="BS179" t="s">
        <v>704</v>
      </c>
      <c r="BT179" t="s">
        <v>705</v>
      </c>
      <c r="BU179" t="s">
        <v>706</v>
      </c>
      <c r="CT179"/>
      <c r="CU179"/>
      <c r="CV179"/>
    </row>
    <row r="180" spans="1:100" x14ac:dyDescent="0.4">
      <c r="A180" s="2" t="s">
        <v>204</v>
      </c>
      <c r="B180" t="str">
        <f>_xlfn.TEXTAFTER(Table1[[#This Row],[VEHIDCODE]],"_")</f>
        <v>USA_UP_EMD_E8</v>
      </c>
      <c r="C180" t="s">
        <v>739</v>
      </c>
      <c r="D180" t="s">
        <v>958</v>
      </c>
      <c r="E180">
        <v>5008</v>
      </c>
      <c r="F180" t="b">
        <f>OR(ISNUMBER(SEARCH("wagon_",Table1[[#This Row],[FILENAMES_EXPECTED]])),ISNUMBER(SEARCH("coach_",Table1[[#This Row],[FILENAMES_EXPECTED]])))</f>
        <v>0</v>
      </c>
      <c r="G180" t="str">
        <f>"item_"&amp;Table1[[#This Row],[VEHIDCODE]]</f>
        <v>item_diesel_USA_UP_EMD_E8</v>
      </c>
      <c r="H180" t="str">
        <f>"str_"&amp;Table1[[#This Row],[VEHIDCODE]]</f>
        <v>str_diesel_USA_UP_EMD_E8</v>
      </c>
      <c r="Q180" s="2" t="b">
        <v>1</v>
      </c>
      <c r="AL180" s="2"/>
      <c r="AM180" s="2" t="b">
        <f>LEN(_xlfn.CONCAT(Table1[[#This Row],[TRACK_TYPE_STANDARD_GAUGE_RAILTYPE_OHLE]:[TRACK_TYPE_MTRO]]))&gt;0</f>
        <v>1</v>
      </c>
      <c r="AN180">
        <v>8</v>
      </c>
      <c r="AO180" t="s">
        <v>20</v>
      </c>
      <c r="AP180">
        <v>0</v>
      </c>
      <c r="AQ180" t="s">
        <v>35</v>
      </c>
      <c r="AR180">
        <v>0</v>
      </c>
      <c r="AS180">
        <v>1949</v>
      </c>
      <c r="AT180">
        <v>8</v>
      </c>
      <c r="AU180" s="2" t="s">
        <v>20</v>
      </c>
      <c r="AV180" t="b">
        <v>1</v>
      </c>
      <c r="AX180" s="2"/>
      <c r="AY180">
        <v>45</v>
      </c>
      <c r="AZ180">
        <v>1</v>
      </c>
      <c r="BA180">
        <v>2250</v>
      </c>
      <c r="BB180" t="s">
        <v>710</v>
      </c>
      <c r="BC180">
        <v>152</v>
      </c>
      <c r="BD180" s="2">
        <v>0.13</v>
      </c>
      <c r="BE180" t="s">
        <v>927</v>
      </c>
      <c r="BF180" t="s">
        <v>921</v>
      </c>
      <c r="BG180" t="s">
        <v>939</v>
      </c>
      <c r="BH180" s="7">
        <v>40</v>
      </c>
      <c r="BI18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180">
        <v>-3</v>
      </c>
      <c r="BK180" t="s">
        <v>733</v>
      </c>
      <c r="BL180" s="11"/>
      <c r="BM180" s="11"/>
      <c r="BN180" s="11">
        <v>155</v>
      </c>
      <c r="BO180">
        <v>0</v>
      </c>
      <c r="BP180" t="s">
        <v>691</v>
      </c>
      <c r="BQ180" t="s">
        <v>693</v>
      </c>
      <c r="BR180" t="s">
        <v>700</v>
      </c>
      <c r="BS180" t="s">
        <v>704</v>
      </c>
      <c r="BT180" t="s">
        <v>705</v>
      </c>
      <c r="BU180" t="s">
        <v>706</v>
      </c>
      <c r="CT180"/>
      <c r="CU180"/>
      <c r="CV180"/>
    </row>
    <row r="181" spans="1:100" x14ac:dyDescent="0.4">
      <c r="A181" s="2" t="s">
        <v>205</v>
      </c>
      <c r="B181" t="str">
        <f>_xlfn.TEXTAFTER(Table1[[#This Row],[VEHIDCODE]],"_")</f>
        <v>Brazil_EFCB_ALCO_RS_3</v>
      </c>
      <c r="C181" t="s">
        <v>739</v>
      </c>
      <c r="D181" t="s">
        <v>958</v>
      </c>
      <c r="E181">
        <v>5009</v>
      </c>
      <c r="F181" t="b">
        <f>OR(ISNUMBER(SEARCH("wagon_",Table1[[#This Row],[FILENAMES_EXPECTED]])),ISNUMBER(SEARCH("coach_",Table1[[#This Row],[FILENAMES_EXPECTED]])))</f>
        <v>0</v>
      </c>
      <c r="G181" t="str">
        <f>"item_"&amp;Table1[[#This Row],[VEHIDCODE]]</f>
        <v>item_diesel_Brazil_EFCB_ALCO_RS_3</v>
      </c>
      <c r="H181" t="str">
        <f>"str_"&amp;Table1[[#This Row],[VEHIDCODE]]</f>
        <v>str_diesel_Brazil_EFCB_ALCO_RS_3</v>
      </c>
      <c r="Q181" s="2" t="b">
        <v>1</v>
      </c>
      <c r="AL181" s="2"/>
      <c r="AM181" s="2" t="b">
        <f>LEN(_xlfn.CONCAT(Table1[[#This Row],[TRACK_TYPE_STANDARD_GAUGE_RAILTYPE_OHLE]:[TRACK_TYPE_MTRO]]))&gt;0</f>
        <v>1</v>
      </c>
      <c r="AN181">
        <v>7</v>
      </c>
      <c r="AO181" t="s">
        <v>20</v>
      </c>
      <c r="AP181">
        <v>0</v>
      </c>
      <c r="AQ181" t="s">
        <v>35</v>
      </c>
      <c r="AR181">
        <v>0</v>
      </c>
      <c r="AS181">
        <v>1950</v>
      </c>
      <c r="AT181">
        <v>7</v>
      </c>
      <c r="AU181" s="2" t="s">
        <v>20</v>
      </c>
      <c r="AV181" t="b">
        <v>1</v>
      </c>
      <c r="AX181" s="2"/>
      <c r="AY181">
        <v>45</v>
      </c>
      <c r="AZ181">
        <v>1</v>
      </c>
      <c r="BA181">
        <v>1600</v>
      </c>
      <c r="BB181" t="s">
        <v>710</v>
      </c>
      <c r="BC181">
        <v>104</v>
      </c>
      <c r="BD181" s="2">
        <v>0.1</v>
      </c>
      <c r="BE181" t="s">
        <v>929</v>
      </c>
      <c r="BF181" t="s">
        <v>921</v>
      </c>
      <c r="BG181" t="s">
        <v>939</v>
      </c>
      <c r="BH181" s="7">
        <v>40</v>
      </c>
      <c r="BI18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181">
        <v>0</v>
      </c>
      <c r="BK181" t="s">
        <v>733</v>
      </c>
      <c r="BL181" s="11"/>
      <c r="BM181" s="11"/>
      <c r="BN181" s="11">
        <v>103</v>
      </c>
      <c r="BO181">
        <v>0</v>
      </c>
      <c r="BP181" t="s">
        <v>691</v>
      </c>
      <c r="BQ181" t="s">
        <v>693</v>
      </c>
      <c r="BR181" t="s">
        <v>700</v>
      </c>
      <c r="BS181" t="s">
        <v>704</v>
      </c>
      <c r="BT181" t="s">
        <v>705</v>
      </c>
      <c r="BU181" t="s">
        <v>706</v>
      </c>
      <c r="CT181"/>
      <c r="CU181"/>
      <c r="CV181"/>
    </row>
    <row r="182" spans="1:100" x14ac:dyDescent="0.4">
      <c r="A182" s="2" t="s">
        <v>206</v>
      </c>
      <c r="B182" t="str">
        <f>_xlfn.TEXTAFTER(Table1[[#This Row],[VEHIDCODE]],"_")</f>
        <v>Netherlands_NS_600</v>
      </c>
      <c r="C182" t="s">
        <v>739</v>
      </c>
      <c r="D182" t="s">
        <v>958</v>
      </c>
      <c r="E182">
        <v>5010</v>
      </c>
      <c r="F182" t="b">
        <f>OR(ISNUMBER(SEARCH("wagon_",Table1[[#This Row],[FILENAMES_EXPECTED]])),ISNUMBER(SEARCH("coach_",Table1[[#This Row],[FILENAMES_EXPECTED]])))</f>
        <v>0</v>
      </c>
      <c r="G182" t="str">
        <f>"item_"&amp;Table1[[#This Row],[VEHIDCODE]]</f>
        <v>item_diesel_Netherlands_NS_600</v>
      </c>
      <c r="H182" t="str">
        <f>"str_"&amp;Table1[[#This Row],[VEHIDCODE]]</f>
        <v>str_diesel_Netherlands_NS_600</v>
      </c>
      <c r="Q182" s="2" t="b">
        <v>1</v>
      </c>
      <c r="AL182" s="2"/>
      <c r="AM182" s="2" t="b">
        <f>LEN(_xlfn.CONCAT(Table1[[#This Row],[TRACK_TYPE_STANDARD_GAUGE_RAILTYPE_OHLE]:[TRACK_TYPE_MTRO]]))&gt;0</f>
        <v>1</v>
      </c>
      <c r="AN182">
        <v>5</v>
      </c>
      <c r="AO182" t="s">
        <v>20</v>
      </c>
      <c r="AP182">
        <v>0</v>
      </c>
      <c r="AQ182" t="s">
        <v>35</v>
      </c>
      <c r="AR182">
        <v>0</v>
      </c>
      <c r="AS182">
        <v>1950</v>
      </c>
      <c r="AT182">
        <v>5</v>
      </c>
      <c r="AU182" s="2" t="s">
        <v>20</v>
      </c>
      <c r="AV182" t="b">
        <v>1</v>
      </c>
      <c r="AX182" s="2"/>
      <c r="AY182">
        <v>45</v>
      </c>
      <c r="AZ182">
        <v>1</v>
      </c>
      <c r="BA182">
        <v>400</v>
      </c>
      <c r="BB182" t="s">
        <v>710</v>
      </c>
      <c r="BC182">
        <v>30</v>
      </c>
      <c r="BD182" s="2">
        <v>0.3</v>
      </c>
      <c r="BE182" t="s">
        <v>922</v>
      </c>
      <c r="BF182" t="s">
        <v>921</v>
      </c>
      <c r="BG182" t="s">
        <v>939</v>
      </c>
      <c r="BH182" s="7">
        <v>40</v>
      </c>
      <c r="BI18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182">
        <v>0</v>
      </c>
      <c r="BK182" t="s">
        <v>733</v>
      </c>
      <c r="BL182" s="11"/>
      <c r="BM182" s="11"/>
      <c r="BN182" s="11">
        <v>47</v>
      </c>
      <c r="BO182">
        <v>0</v>
      </c>
      <c r="BP182" t="s">
        <v>691</v>
      </c>
      <c r="BQ182" t="s">
        <v>693</v>
      </c>
      <c r="BR182" t="s">
        <v>700</v>
      </c>
      <c r="BS182" t="s">
        <v>704</v>
      </c>
      <c r="BT182" t="s">
        <v>705</v>
      </c>
      <c r="BU182" t="s">
        <v>706</v>
      </c>
      <c r="CT182"/>
      <c r="CU182"/>
      <c r="CV182"/>
    </row>
    <row r="183" spans="1:100" x14ac:dyDescent="0.4">
      <c r="A183" s="2" t="s">
        <v>207</v>
      </c>
      <c r="B183" t="str">
        <f>_xlfn.TEXTAFTER(Table1[[#This Row],[VEHIDCODE]],"_")</f>
        <v>USA_Pennsylvania_Railroad_RF_16_Sharknose</v>
      </c>
      <c r="C183" t="s">
        <v>739</v>
      </c>
      <c r="D183" t="s">
        <v>958</v>
      </c>
      <c r="E183">
        <v>5100</v>
      </c>
      <c r="F183" t="b">
        <f>OR(ISNUMBER(SEARCH("wagon_",Table1[[#This Row],[FILENAMES_EXPECTED]])),ISNUMBER(SEARCH("coach_",Table1[[#This Row],[FILENAMES_EXPECTED]])))</f>
        <v>0</v>
      </c>
      <c r="G183" t="str">
        <f>"item_"&amp;Table1[[#This Row],[VEHIDCODE]]</f>
        <v>item_diesel_USA_Pennsylvania_Railroad_RF_16_Sharknose</v>
      </c>
      <c r="H183" t="str">
        <f>"str_"&amp;Table1[[#This Row],[VEHIDCODE]]</f>
        <v>str_diesel_USA_Pennsylvania_Railroad_RF_16_Sharknose</v>
      </c>
      <c r="Q183" s="2" t="b">
        <v>1</v>
      </c>
      <c r="AL183" s="2"/>
      <c r="AM183" s="2" t="b">
        <f>LEN(_xlfn.CONCAT(Table1[[#This Row],[TRACK_TYPE_STANDARD_GAUGE_RAILTYPE_OHLE]:[TRACK_TYPE_MTRO]]))&gt;0</f>
        <v>1</v>
      </c>
      <c r="AN183">
        <v>7</v>
      </c>
      <c r="AO183" t="s">
        <v>20</v>
      </c>
      <c r="AP183">
        <v>0</v>
      </c>
      <c r="AQ183" t="s">
        <v>35</v>
      </c>
      <c r="AR183">
        <v>0</v>
      </c>
      <c r="AS183">
        <v>1950</v>
      </c>
      <c r="AT183">
        <v>7</v>
      </c>
      <c r="AU183" s="2" t="s">
        <v>20</v>
      </c>
      <c r="AV183" t="b">
        <v>1</v>
      </c>
      <c r="AX183" s="2"/>
      <c r="AY183">
        <v>45</v>
      </c>
      <c r="AZ183">
        <v>1</v>
      </c>
      <c r="BA183">
        <v>1600</v>
      </c>
      <c r="BB183" t="s">
        <v>710</v>
      </c>
      <c r="BC183">
        <v>140</v>
      </c>
      <c r="BD183" s="2">
        <v>0.16</v>
      </c>
      <c r="BE183" t="s">
        <v>927</v>
      </c>
      <c r="BF183" t="s">
        <v>921</v>
      </c>
      <c r="BG183" t="s">
        <v>939</v>
      </c>
      <c r="BH183" s="7">
        <v>40</v>
      </c>
      <c r="BI18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183">
        <v>-3</v>
      </c>
      <c r="BK183" t="s">
        <v>733</v>
      </c>
      <c r="BL183" s="11"/>
      <c r="BM183" s="11"/>
      <c r="BN183" s="11">
        <v>121</v>
      </c>
      <c r="BO183">
        <v>0</v>
      </c>
      <c r="BP183" t="s">
        <v>691</v>
      </c>
      <c r="BQ183" t="s">
        <v>693</v>
      </c>
      <c r="BR183" t="s">
        <v>700</v>
      </c>
      <c r="BS183" t="s">
        <v>704</v>
      </c>
      <c r="BT183" t="s">
        <v>705</v>
      </c>
      <c r="BU183" t="s">
        <v>706</v>
      </c>
      <c r="CT183"/>
      <c r="CU183"/>
      <c r="CV183"/>
    </row>
    <row r="184" spans="1:100" x14ac:dyDescent="0.4">
      <c r="A184" s="2" t="s">
        <v>208</v>
      </c>
      <c r="B184" t="str">
        <f>_xlfn.TEXTAFTER(Table1[[#This Row],[VEHIDCODE]],"_")</f>
        <v>Uruguay_AFE_1500</v>
      </c>
      <c r="C184" t="s">
        <v>739</v>
      </c>
      <c r="D184" t="s">
        <v>958</v>
      </c>
      <c r="E184">
        <v>5012</v>
      </c>
      <c r="F184" t="b">
        <f>OR(ISNUMBER(SEARCH("wagon_",Table1[[#This Row],[FILENAMES_EXPECTED]])),ISNUMBER(SEARCH("coach_",Table1[[#This Row],[FILENAMES_EXPECTED]])))</f>
        <v>0</v>
      </c>
      <c r="G184" t="str">
        <f>"item_"&amp;Table1[[#This Row],[VEHIDCODE]]</f>
        <v>item_diesel_Uruguay_AFE_1500</v>
      </c>
      <c r="H184" t="str">
        <f>"str_"&amp;Table1[[#This Row],[VEHIDCODE]]</f>
        <v>str_diesel_Uruguay_AFE_1500</v>
      </c>
      <c r="Q184" s="2" t="b">
        <v>1</v>
      </c>
      <c r="AL184" s="2"/>
      <c r="AM184" s="2" t="b">
        <f>LEN(_xlfn.CONCAT(Table1[[#This Row],[TRACK_TYPE_STANDARD_GAUGE_RAILTYPE_OHLE]:[TRACK_TYPE_MTRO]]))&gt;0</f>
        <v>1</v>
      </c>
      <c r="AN184">
        <v>8</v>
      </c>
      <c r="AO184" t="s">
        <v>20</v>
      </c>
      <c r="AP184">
        <v>0</v>
      </c>
      <c r="AQ184" t="s">
        <v>35</v>
      </c>
      <c r="AR184">
        <v>0</v>
      </c>
      <c r="AS184">
        <v>1952</v>
      </c>
      <c r="AT184">
        <v>8</v>
      </c>
      <c r="AU184" s="2" t="s">
        <v>20</v>
      </c>
      <c r="AV184" t="b">
        <v>1</v>
      </c>
      <c r="AX184" s="2"/>
      <c r="AY184">
        <v>45</v>
      </c>
      <c r="AZ184">
        <v>1</v>
      </c>
      <c r="BA184">
        <v>1500</v>
      </c>
      <c r="BB184" t="s">
        <v>710</v>
      </c>
      <c r="BC184">
        <v>110</v>
      </c>
      <c r="BD184" s="2">
        <v>0.18</v>
      </c>
      <c r="BE184" t="s">
        <v>929</v>
      </c>
      <c r="BF184" t="s">
        <v>921</v>
      </c>
      <c r="BG184" t="s">
        <v>939</v>
      </c>
      <c r="BH184" s="7">
        <v>40</v>
      </c>
      <c r="BI18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184">
        <v>0</v>
      </c>
      <c r="BK184" t="s">
        <v>733</v>
      </c>
      <c r="BL184" s="11"/>
      <c r="BM184" s="11"/>
      <c r="BN184" s="11">
        <v>112</v>
      </c>
      <c r="BO184">
        <v>0</v>
      </c>
      <c r="BP184" t="s">
        <v>691</v>
      </c>
      <c r="BQ184" t="s">
        <v>693</v>
      </c>
      <c r="BR184" t="s">
        <v>700</v>
      </c>
      <c r="BS184" t="s">
        <v>704</v>
      </c>
      <c r="BT184" t="s">
        <v>705</v>
      </c>
      <c r="BU184" t="s">
        <v>706</v>
      </c>
      <c r="CT184"/>
      <c r="CU184"/>
      <c r="CV184"/>
    </row>
    <row r="185" spans="1:100" x14ac:dyDescent="0.4">
      <c r="A185" s="2" t="s">
        <v>209</v>
      </c>
      <c r="B185" t="str">
        <f>_xlfn.TEXTAFTER(Table1[[#This Row],[VEHIDCODE]],"_")</f>
        <v>Canada_CPR_Trainmaster</v>
      </c>
      <c r="C185" t="s">
        <v>739</v>
      </c>
      <c r="D185" t="s">
        <v>958</v>
      </c>
      <c r="E185">
        <v>5013</v>
      </c>
      <c r="F185" t="b">
        <f>OR(ISNUMBER(SEARCH("wagon_",Table1[[#This Row],[FILENAMES_EXPECTED]])),ISNUMBER(SEARCH("coach_",Table1[[#This Row],[FILENAMES_EXPECTED]])))</f>
        <v>0</v>
      </c>
      <c r="G185" t="str">
        <f>"item_"&amp;Table1[[#This Row],[VEHIDCODE]]</f>
        <v>item_diesel_Canada_CPR_Trainmaster</v>
      </c>
      <c r="H185" t="str">
        <f>"str_"&amp;Table1[[#This Row],[VEHIDCODE]]</f>
        <v>str_diesel_Canada_CPR_Trainmaster</v>
      </c>
      <c r="Q185" s="2" t="b">
        <v>1</v>
      </c>
      <c r="AL185" s="2"/>
      <c r="AM185" s="2" t="b">
        <f>LEN(_xlfn.CONCAT(Table1[[#This Row],[TRACK_TYPE_STANDARD_GAUGE_RAILTYPE_OHLE]:[TRACK_TYPE_MTRO]]))&gt;0</f>
        <v>1</v>
      </c>
      <c r="AN185">
        <v>8</v>
      </c>
      <c r="AO185" t="s">
        <v>20</v>
      </c>
      <c r="AP185">
        <v>0</v>
      </c>
      <c r="AQ185" t="s">
        <v>35</v>
      </c>
      <c r="AR185">
        <v>0</v>
      </c>
      <c r="AS185">
        <v>1953</v>
      </c>
      <c r="AT185">
        <v>8</v>
      </c>
      <c r="AU185" s="2" t="s">
        <v>20</v>
      </c>
      <c r="AV185" t="b">
        <v>1</v>
      </c>
      <c r="AX185" s="2"/>
      <c r="AY185">
        <v>45</v>
      </c>
      <c r="AZ185">
        <v>1</v>
      </c>
      <c r="BA185">
        <v>2400</v>
      </c>
      <c r="BB185" t="s">
        <v>710</v>
      </c>
      <c r="BC185">
        <v>105</v>
      </c>
      <c r="BD185" s="2">
        <v>0.28999999999999998</v>
      </c>
      <c r="BE185" t="s">
        <v>927</v>
      </c>
      <c r="BF185" t="s">
        <v>921</v>
      </c>
      <c r="BG185" t="s">
        <v>939</v>
      </c>
      <c r="BH185" s="7">
        <v>40</v>
      </c>
      <c r="BI18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185">
        <v>0</v>
      </c>
      <c r="BK185" t="s">
        <v>733</v>
      </c>
      <c r="BL185" s="11"/>
      <c r="BM185" s="11"/>
      <c r="BN185" s="11">
        <v>170</v>
      </c>
      <c r="BO185">
        <v>0</v>
      </c>
      <c r="BP185" t="s">
        <v>691</v>
      </c>
      <c r="BQ185" t="s">
        <v>693</v>
      </c>
      <c r="BR185" t="s">
        <v>700</v>
      </c>
      <c r="BS185" t="s">
        <v>704</v>
      </c>
      <c r="BT185" t="s">
        <v>705</v>
      </c>
      <c r="BU185" t="s">
        <v>706</v>
      </c>
      <c r="CT185"/>
      <c r="CU185"/>
      <c r="CV185"/>
    </row>
    <row r="186" spans="1:100" x14ac:dyDescent="0.4">
      <c r="A186" s="2" t="s">
        <v>210</v>
      </c>
      <c r="B186" t="str">
        <f>_xlfn.TEXTAFTER(Table1[[#This Row],[VEHIDCODE]],"_")</f>
        <v>Liberia_Liberia_Railways_Class_08</v>
      </c>
      <c r="C186" t="s">
        <v>739</v>
      </c>
      <c r="D186" t="s">
        <v>958</v>
      </c>
      <c r="E186">
        <v>5014</v>
      </c>
      <c r="F186" t="b">
        <f>OR(ISNUMBER(SEARCH("wagon_",Table1[[#This Row],[FILENAMES_EXPECTED]])),ISNUMBER(SEARCH("coach_",Table1[[#This Row],[FILENAMES_EXPECTED]])))</f>
        <v>0</v>
      </c>
      <c r="G186" t="str">
        <f>"item_"&amp;Table1[[#This Row],[VEHIDCODE]]</f>
        <v>item_diesel_Liberia_Liberia_Railways_Class_08</v>
      </c>
      <c r="H186" t="str">
        <f>"str_"&amp;Table1[[#This Row],[VEHIDCODE]]</f>
        <v>str_diesel_Liberia_Liberia_Railways_Class_08</v>
      </c>
      <c r="Q186" s="2" t="b">
        <v>1</v>
      </c>
      <c r="AL186" s="2"/>
      <c r="AM186" s="2" t="b">
        <f>LEN(_xlfn.CONCAT(Table1[[#This Row],[TRACK_TYPE_STANDARD_GAUGE_RAILTYPE_OHLE]:[TRACK_TYPE_MTRO]]))&gt;0</f>
        <v>1</v>
      </c>
      <c r="AN186">
        <v>5</v>
      </c>
      <c r="AO186" t="s">
        <v>20</v>
      </c>
      <c r="AP186">
        <v>0</v>
      </c>
      <c r="AQ186" t="s">
        <v>35</v>
      </c>
      <c r="AR186">
        <v>0</v>
      </c>
      <c r="AS186">
        <v>1953</v>
      </c>
      <c r="AT186">
        <v>5</v>
      </c>
      <c r="AU186" s="2" t="s">
        <v>20</v>
      </c>
      <c r="AV186" t="b">
        <v>1</v>
      </c>
      <c r="AX186" s="2"/>
      <c r="AY186">
        <v>45</v>
      </c>
      <c r="AZ186">
        <v>1</v>
      </c>
      <c r="BA186">
        <v>350</v>
      </c>
      <c r="BB186" t="s">
        <v>710</v>
      </c>
      <c r="BC186">
        <v>35</v>
      </c>
      <c r="BD186" s="2">
        <v>0.32</v>
      </c>
      <c r="BE186" t="s">
        <v>925</v>
      </c>
      <c r="BF186" t="s">
        <v>921</v>
      </c>
      <c r="BG186" t="s">
        <v>939</v>
      </c>
      <c r="BH186" s="7">
        <v>40</v>
      </c>
      <c r="BI18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186">
        <v>0</v>
      </c>
      <c r="BK186" t="s">
        <v>733</v>
      </c>
      <c r="BL186" s="11"/>
      <c r="BM186" s="11"/>
      <c r="BN186" s="11">
        <v>50</v>
      </c>
      <c r="BO186">
        <v>0</v>
      </c>
      <c r="BP186" t="s">
        <v>691</v>
      </c>
      <c r="BQ186" t="s">
        <v>693</v>
      </c>
      <c r="BR186" t="s">
        <v>700</v>
      </c>
      <c r="BS186" t="s">
        <v>704</v>
      </c>
      <c r="BT186" t="s">
        <v>705</v>
      </c>
      <c r="BU186" t="s">
        <v>706</v>
      </c>
      <c r="CT186"/>
      <c r="CU186"/>
      <c r="CV186"/>
    </row>
    <row r="187" spans="1:100" x14ac:dyDescent="0.4">
      <c r="A187" s="2" t="s">
        <v>211</v>
      </c>
      <c r="B187" t="str">
        <f>_xlfn.TEXTAFTER(Table1[[#This Row],[VEHIDCODE]],"_")</f>
        <v>Austria_OBB_2060</v>
      </c>
      <c r="C187" t="s">
        <v>739</v>
      </c>
      <c r="D187" t="s">
        <v>958</v>
      </c>
      <c r="E187">
        <v>5015</v>
      </c>
      <c r="F187" t="b">
        <f>OR(ISNUMBER(SEARCH("wagon_",Table1[[#This Row],[FILENAMES_EXPECTED]])),ISNUMBER(SEARCH("coach_",Table1[[#This Row],[FILENAMES_EXPECTED]])))</f>
        <v>0</v>
      </c>
      <c r="G187" t="str">
        <f>"item_"&amp;Table1[[#This Row],[VEHIDCODE]]</f>
        <v>item_diesel_Austria_OBB_2060</v>
      </c>
      <c r="H187" t="str">
        <f>"str_"&amp;Table1[[#This Row],[VEHIDCODE]]</f>
        <v>str_diesel_Austria_OBB_2060</v>
      </c>
      <c r="Q187" s="2" t="b">
        <v>1</v>
      </c>
      <c r="AL187" s="2"/>
      <c r="AM187" s="2" t="b">
        <f>LEN(_xlfn.CONCAT(Table1[[#This Row],[TRACK_TYPE_STANDARD_GAUGE_RAILTYPE_OHLE]:[TRACK_TYPE_MTRO]]))&gt;0</f>
        <v>1</v>
      </c>
      <c r="AN187">
        <v>5</v>
      </c>
      <c r="AO187" t="s">
        <v>20</v>
      </c>
      <c r="AP187">
        <v>0</v>
      </c>
      <c r="AQ187" t="s">
        <v>35</v>
      </c>
      <c r="AR187">
        <v>0</v>
      </c>
      <c r="AS187">
        <v>1954</v>
      </c>
      <c r="AT187">
        <v>5</v>
      </c>
      <c r="AU187" s="2" t="s">
        <v>20</v>
      </c>
      <c r="AV187" t="b">
        <v>1</v>
      </c>
      <c r="AX187" s="2"/>
      <c r="AY187">
        <v>45</v>
      </c>
      <c r="AZ187">
        <v>1</v>
      </c>
      <c r="BA187">
        <v>200</v>
      </c>
      <c r="BB187" t="s">
        <v>710</v>
      </c>
      <c r="BC187">
        <v>60</v>
      </c>
      <c r="BD187" s="2">
        <v>0.28000000000000003</v>
      </c>
      <c r="BE187" t="s">
        <v>922</v>
      </c>
      <c r="BF187" t="s">
        <v>921</v>
      </c>
      <c r="BG187" t="s">
        <v>939</v>
      </c>
      <c r="BH187" s="7">
        <v>40</v>
      </c>
      <c r="BI18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187">
        <v>0</v>
      </c>
      <c r="BK187" t="s">
        <v>733</v>
      </c>
      <c r="BL187" s="11"/>
      <c r="BM187" s="11"/>
      <c r="BN187" s="11">
        <v>28</v>
      </c>
      <c r="BO187">
        <v>0</v>
      </c>
      <c r="BP187" t="s">
        <v>691</v>
      </c>
      <c r="BQ187" t="s">
        <v>693</v>
      </c>
      <c r="BR187" t="s">
        <v>700</v>
      </c>
      <c r="BS187" t="s">
        <v>704</v>
      </c>
      <c r="BT187" t="s">
        <v>705</v>
      </c>
      <c r="BU187" t="s">
        <v>706</v>
      </c>
      <c r="CT187"/>
      <c r="CU187"/>
      <c r="CV187"/>
    </row>
    <row r="188" spans="1:100" x14ac:dyDescent="0.4">
      <c r="A188" s="2" t="s">
        <v>212</v>
      </c>
      <c r="B188" t="str">
        <f>_xlfn.TEXTAFTER(Table1[[#This Row],[VEHIDCODE]],"_")</f>
        <v>Canada_CNR_SW1200</v>
      </c>
      <c r="C188" t="s">
        <v>739</v>
      </c>
      <c r="D188" t="s">
        <v>958</v>
      </c>
      <c r="E188">
        <v>5016</v>
      </c>
      <c r="F188" t="b">
        <f>OR(ISNUMBER(SEARCH("wagon_",Table1[[#This Row],[FILENAMES_EXPECTED]])),ISNUMBER(SEARCH("coach_",Table1[[#This Row],[FILENAMES_EXPECTED]])))</f>
        <v>0</v>
      </c>
      <c r="G188" t="str">
        <f>"item_"&amp;Table1[[#This Row],[VEHIDCODE]]</f>
        <v>item_diesel_Canada_CNR_SW1200</v>
      </c>
      <c r="H188" t="str">
        <f>"str_"&amp;Table1[[#This Row],[VEHIDCODE]]</f>
        <v>str_diesel_Canada_CNR_SW1200</v>
      </c>
      <c r="Q188" s="2" t="b">
        <v>1</v>
      </c>
      <c r="AL188" s="2"/>
      <c r="AM188" s="2" t="b">
        <f>LEN(_xlfn.CONCAT(Table1[[#This Row],[TRACK_TYPE_STANDARD_GAUGE_RAILTYPE_OHLE]:[TRACK_TYPE_MTRO]]))&gt;0</f>
        <v>1</v>
      </c>
      <c r="AN188">
        <v>6</v>
      </c>
      <c r="AO188" t="s">
        <v>20</v>
      </c>
      <c r="AP188">
        <v>0</v>
      </c>
      <c r="AQ188" t="s">
        <v>35</v>
      </c>
      <c r="AR188">
        <v>0</v>
      </c>
      <c r="AS188">
        <v>1954</v>
      </c>
      <c r="AT188">
        <v>6</v>
      </c>
      <c r="AU188" s="2" t="s">
        <v>20</v>
      </c>
      <c r="AV188" t="b">
        <v>1</v>
      </c>
      <c r="AX188" s="2"/>
      <c r="AY188">
        <v>45</v>
      </c>
      <c r="AZ188">
        <v>1</v>
      </c>
      <c r="BA188">
        <v>1200</v>
      </c>
      <c r="BB188" t="s">
        <v>710</v>
      </c>
      <c r="BC188">
        <v>104</v>
      </c>
      <c r="BD188" s="2">
        <v>0.14000000000000001</v>
      </c>
      <c r="BE188" t="s">
        <v>927</v>
      </c>
      <c r="BF188" t="s">
        <v>921</v>
      </c>
      <c r="BG188" t="s">
        <v>939</v>
      </c>
      <c r="BH188" s="7">
        <v>40</v>
      </c>
      <c r="BI18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188">
        <v>0</v>
      </c>
      <c r="BK188" t="s">
        <v>733</v>
      </c>
      <c r="BL188" s="11"/>
      <c r="BM188" s="11"/>
      <c r="BN188" s="11">
        <v>111</v>
      </c>
      <c r="BO188">
        <v>0</v>
      </c>
      <c r="BP188" t="s">
        <v>691</v>
      </c>
      <c r="BQ188" t="s">
        <v>693</v>
      </c>
      <c r="BR188" t="s">
        <v>700</v>
      </c>
      <c r="BS188" t="s">
        <v>704</v>
      </c>
      <c r="BT188" t="s">
        <v>705</v>
      </c>
      <c r="BU188" t="s">
        <v>706</v>
      </c>
      <c r="CT188"/>
      <c r="CU188"/>
      <c r="CV188"/>
    </row>
    <row r="189" spans="1:100" x14ac:dyDescent="0.4">
      <c r="A189" s="2" t="s">
        <v>213</v>
      </c>
      <c r="B189" t="str">
        <f>_xlfn.TEXTAFTER(Table1[[#This Row],[VEHIDCODE]],"_")</f>
        <v>Canada_VIA_Rail_FP9</v>
      </c>
      <c r="C189" t="s">
        <v>739</v>
      </c>
      <c r="D189" t="s">
        <v>958</v>
      </c>
      <c r="E189">
        <v>5017</v>
      </c>
      <c r="F189" t="b">
        <f>OR(ISNUMBER(SEARCH("wagon_",Table1[[#This Row],[FILENAMES_EXPECTED]])),ISNUMBER(SEARCH("coach_",Table1[[#This Row],[FILENAMES_EXPECTED]])))</f>
        <v>0</v>
      </c>
      <c r="G189" t="str">
        <f>"item_"&amp;Table1[[#This Row],[VEHIDCODE]]</f>
        <v>item_diesel_Canada_VIA_Rail_FP9</v>
      </c>
      <c r="H189" t="str">
        <f>"str_"&amp;Table1[[#This Row],[VEHIDCODE]]</f>
        <v>str_diesel_Canada_VIA_Rail_FP9</v>
      </c>
      <c r="Q189" s="2" t="b">
        <v>1</v>
      </c>
      <c r="AL189" s="2"/>
      <c r="AM189" s="2" t="b">
        <f>LEN(_xlfn.CONCAT(Table1[[#This Row],[TRACK_TYPE_STANDARD_GAUGE_RAILTYPE_OHLE]:[TRACK_TYPE_MTRO]]))&gt;0</f>
        <v>1</v>
      </c>
      <c r="AN189">
        <v>8</v>
      </c>
      <c r="AO189" t="s">
        <v>20</v>
      </c>
      <c r="AP189">
        <v>0</v>
      </c>
      <c r="AQ189" t="s">
        <v>35</v>
      </c>
      <c r="AR189">
        <v>0</v>
      </c>
      <c r="AS189">
        <v>1954</v>
      </c>
      <c r="AT189">
        <v>8</v>
      </c>
      <c r="AU189" s="2" t="s">
        <v>20</v>
      </c>
      <c r="AV189" t="b">
        <v>1</v>
      </c>
      <c r="AX189" s="2"/>
      <c r="AY189">
        <v>45</v>
      </c>
      <c r="AZ189">
        <v>1</v>
      </c>
      <c r="BA189">
        <v>1750</v>
      </c>
      <c r="BB189" t="s">
        <v>710</v>
      </c>
      <c r="BC189">
        <v>144</v>
      </c>
      <c r="BD189" s="2">
        <v>0.19</v>
      </c>
      <c r="BE189" t="s">
        <v>927</v>
      </c>
      <c r="BF189" t="s">
        <v>921</v>
      </c>
      <c r="BG189" t="s">
        <v>939</v>
      </c>
      <c r="BH189" s="7">
        <v>40</v>
      </c>
      <c r="BI18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189">
        <v>-3</v>
      </c>
      <c r="BK189" t="s">
        <v>733</v>
      </c>
      <c r="BL189" s="11"/>
      <c r="BM189" s="11"/>
      <c r="BN189" s="11">
        <v>104</v>
      </c>
      <c r="BO189">
        <v>0</v>
      </c>
      <c r="BP189" t="s">
        <v>691</v>
      </c>
      <c r="BQ189" t="s">
        <v>693</v>
      </c>
      <c r="BR189" t="s">
        <v>700</v>
      </c>
      <c r="BS189" t="s">
        <v>704</v>
      </c>
      <c r="BT189" t="s">
        <v>705</v>
      </c>
      <c r="BU189" t="s">
        <v>706</v>
      </c>
      <c r="CT189"/>
      <c r="CU189"/>
      <c r="CV189"/>
    </row>
    <row r="190" spans="1:100" x14ac:dyDescent="0.4">
      <c r="A190" s="2" t="s">
        <v>214</v>
      </c>
      <c r="B190" t="str">
        <f>_xlfn.TEXTAFTER(Table1[[#This Row],[VEHIDCODE]],"_")</f>
        <v>Hungary_MAV_M44</v>
      </c>
      <c r="C190" t="s">
        <v>739</v>
      </c>
      <c r="D190" t="s">
        <v>958</v>
      </c>
      <c r="E190">
        <v>5018</v>
      </c>
      <c r="F190" t="b">
        <f>OR(ISNUMBER(SEARCH("wagon_",Table1[[#This Row],[FILENAMES_EXPECTED]])),ISNUMBER(SEARCH("coach_",Table1[[#This Row],[FILENAMES_EXPECTED]])))</f>
        <v>0</v>
      </c>
      <c r="G190" t="str">
        <f>"item_"&amp;Table1[[#This Row],[VEHIDCODE]]</f>
        <v>item_diesel_Hungary_MAV_M44</v>
      </c>
      <c r="H190" t="str">
        <f>"str_"&amp;Table1[[#This Row],[VEHIDCODE]]</f>
        <v>str_diesel_Hungary_MAV_M44</v>
      </c>
      <c r="Q190" s="2" t="b">
        <v>1</v>
      </c>
      <c r="AL190" s="2"/>
      <c r="AM190" s="2" t="b">
        <f>LEN(_xlfn.CONCAT(Table1[[#This Row],[TRACK_TYPE_STANDARD_GAUGE_RAILTYPE_OHLE]:[TRACK_TYPE_MTRO]]))&gt;0</f>
        <v>1</v>
      </c>
      <c r="AN190">
        <v>6</v>
      </c>
      <c r="AO190" t="s">
        <v>20</v>
      </c>
      <c r="AP190">
        <v>0</v>
      </c>
      <c r="AQ190" t="s">
        <v>35</v>
      </c>
      <c r="AR190">
        <v>0</v>
      </c>
      <c r="AS190">
        <v>1954</v>
      </c>
      <c r="AT190">
        <v>6</v>
      </c>
      <c r="AU190" s="2" t="s">
        <v>20</v>
      </c>
      <c r="AV190" t="b">
        <v>1</v>
      </c>
      <c r="AX190" s="2"/>
      <c r="AY190">
        <v>45</v>
      </c>
      <c r="AZ190">
        <v>0</v>
      </c>
      <c r="BA190">
        <v>590</v>
      </c>
      <c r="BB190" t="s">
        <v>710</v>
      </c>
      <c r="BC190">
        <v>80</v>
      </c>
      <c r="BD190" s="2">
        <v>0.3</v>
      </c>
      <c r="BE190" t="s">
        <v>928</v>
      </c>
      <c r="BF190" t="s">
        <v>921</v>
      </c>
      <c r="BG190" t="s">
        <v>939</v>
      </c>
      <c r="BH190" s="7">
        <v>40</v>
      </c>
      <c r="BI19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190">
        <v>0</v>
      </c>
      <c r="BK190" t="s">
        <v>733</v>
      </c>
      <c r="BL190" s="11"/>
      <c r="BM190" s="11"/>
      <c r="BN190" s="11">
        <v>55</v>
      </c>
      <c r="BO190">
        <v>0</v>
      </c>
      <c r="BP190" t="s">
        <v>691</v>
      </c>
      <c r="BQ190" t="s">
        <v>693</v>
      </c>
      <c r="BR190" t="s">
        <v>700</v>
      </c>
      <c r="BS190" t="s">
        <v>704</v>
      </c>
      <c r="BT190" t="s">
        <v>705</v>
      </c>
      <c r="BU190" t="s">
        <v>706</v>
      </c>
      <c r="CT190"/>
      <c r="CU190"/>
      <c r="CV190"/>
    </row>
    <row r="191" spans="1:100" x14ac:dyDescent="0.4">
      <c r="A191" s="2" t="s">
        <v>215</v>
      </c>
      <c r="B191" t="str">
        <f>_xlfn.TEXTAFTER(Table1[[#This Row],[VEHIDCODE]],"_")</f>
        <v>Hungary_MAV_M28</v>
      </c>
      <c r="C191" t="s">
        <v>739</v>
      </c>
      <c r="D191" t="s">
        <v>958</v>
      </c>
      <c r="E191">
        <v>5019</v>
      </c>
      <c r="F191" t="b">
        <f>OR(ISNUMBER(SEARCH("wagon_",Table1[[#This Row],[FILENAMES_EXPECTED]])),ISNUMBER(SEARCH("coach_",Table1[[#This Row],[FILENAMES_EXPECTED]])))</f>
        <v>0</v>
      </c>
      <c r="G191" t="str">
        <f>"item_"&amp;Table1[[#This Row],[VEHIDCODE]]</f>
        <v>item_diesel_Hungary_MAV_M28</v>
      </c>
      <c r="H191" t="str">
        <f>"str_"&amp;Table1[[#This Row],[VEHIDCODE]]</f>
        <v>str_diesel_Hungary_MAV_M28</v>
      </c>
      <c r="Q191" s="2" t="b">
        <v>1</v>
      </c>
      <c r="AL191" s="2"/>
      <c r="AM191" s="2" t="b">
        <f>LEN(_xlfn.CONCAT(Table1[[#This Row],[TRACK_TYPE_STANDARD_GAUGE_RAILTYPE_OHLE]:[TRACK_TYPE_MTRO]]))&gt;0</f>
        <v>1</v>
      </c>
      <c r="AN191">
        <v>4</v>
      </c>
      <c r="AO191" t="s">
        <v>20</v>
      </c>
      <c r="AP191">
        <v>0</v>
      </c>
      <c r="AQ191" t="s">
        <v>35</v>
      </c>
      <c r="AR191">
        <v>0</v>
      </c>
      <c r="AS191">
        <v>1955</v>
      </c>
      <c r="AT191">
        <v>4</v>
      </c>
      <c r="AU191" s="2" t="s">
        <v>20</v>
      </c>
      <c r="AV191" t="b">
        <v>1</v>
      </c>
      <c r="AX191" s="2"/>
      <c r="AY191">
        <v>45</v>
      </c>
      <c r="AZ191">
        <v>0</v>
      </c>
      <c r="BA191">
        <v>197</v>
      </c>
      <c r="BB191" t="s">
        <v>710</v>
      </c>
      <c r="BC191">
        <v>50</v>
      </c>
      <c r="BD191" s="2">
        <v>0.32</v>
      </c>
      <c r="BE191" t="s">
        <v>928</v>
      </c>
      <c r="BF191" t="s">
        <v>921</v>
      </c>
      <c r="BG191" t="s">
        <v>939</v>
      </c>
      <c r="BH191" s="7">
        <v>40</v>
      </c>
      <c r="BI19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191">
        <v>0</v>
      </c>
      <c r="BK191" t="s">
        <v>733</v>
      </c>
      <c r="BL191" s="11"/>
      <c r="BM191" s="11"/>
      <c r="BN191" s="11">
        <v>19</v>
      </c>
      <c r="BO191">
        <v>0</v>
      </c>
      <c r="BP191" t="s">
        <v>691</v>
      </c>
      <c r="BQ191" t="s">
        <v>693</v>
      </c>
      <c r="BR191" t="s">
        <v>700</v>
      </c>
      <c r="BS191" t="s">
        <v>704</v>
      </c>
      <c r="BT191" t="s">
        <v>705</v>
      </c>
      <c r="BU191" t="s">
        <v>706</v>
      </c>
      <c r="CT191"/>
      <c r="CU191"/>
      <c r="CV191"/>
    </row>
    <row r="192" spans="1:100" x14ac:dyDescent="0.4">
      <c r="A192" s="2" t="s">
        <v>216</v>
      </c>
      <c r="B192" t="str">
        <f>_xlfn.TEXTAFTER(Table1[[#This Row],[VEHIDCODE]],"_")</f>
        <v>Belgium_NMBS_SNCB_83</v>
      </c>
      <c r="C192" t="s">
        <v>739</v>
      </c>
      <c r="D192" t="s">
        <v>958</v>
      </c>
      <c r="E192">
        <v>5020</v>
      </c>
      <c r="F192" t="b">
        <f>OR(ISNUMBER(SEARCH("wagon_",Table1[[#This Row],[FILENAMES_EXPECTED]])),ISNUMBER(SEARCH("coach_",Table1[[#This Row],[FILENAMES_EXPECTED]])))</f>
        <v>0</v>
      </c>
      <c r="G192" t="str">
        <f>"item_"&amp;Table1[[#This Row],[VEHIDCODE]]</f>
        <v>item_diesel_Belgium_NMBS_SNCB_83</v>
      </c>
      <c r="H192" t="str">
        <f>"str_"&amp;Table1[[#This Row],[VEHIDCODE]]</f>
        <v>str_diesel_Belgium_NMBS_SNCB_83</v>
      </c>
      <c r="Q192" s="2" t="b">
        <v>1</v>
      </c>
      <c r="AL192" s="2"/>
      <c r="AM192" s="2" t="b">
        <f>LEN(_xlfn.CONCAT(Table1[[#This Row],[TRACK_TYPE_STANDARD_GAUGE_RAILTYPE_OHLE]:[TRACK_TYPE_MTRO]]))&gt;0</f>
        <v>1</v>
      </c>
      <c r="AN192">
        <v>5</v>
      </c>
      <c r="AO192" t="s">
        <v>20</v>
      </c>
      <c r="AP192">
        <v>0</v>
      </c>
      <c r="AQ192" t="s">
        <v>35</v>
      </c>
      <c r="AR192">
        <v>0</v>
      </c>
      <c r="AS192">
        <v>1956</v>
      </c>
      <c r="AT192">
        <v>5</v>
      </c>
      <c r="AU192" s="2" t="s">
        <v>20</v>
      </c>
      <c r="AV192" t="b">
        <v>1</v>
      </c>
      <c r="AX192" s="2"/>
      <c r="AY192">
        <v>45</v>
      </c>
      <c r="AZ192">
        <v>1</v>
      </c>
      <c r="BA192">
        <v>440</v>
      </c>
      <c r="BB192" t="s">
        <v>710</v>
      </c>
      <c r="BC192">
        <v>50</v>
      </c>
      <c r="BD192" s="2">
        <v>0.39</v>
      </c>
      <c r="BE192" t="s">
        <v>922</v>
      </c>
      <c r="BF192" t="s">
        <v>921</v>
      </c>
      <c r="BG192" t="s">
        <v>939</v>
      </c>
      <c r="BH192" s="7">
        <v>40</v>
      </c>
      <c r="BI19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192">
        <v>0</v>
      </c>
      <c r="BK192" t="s">
        <v>733</v>
      </c>
      <c r="BL192" s="11"/>
      <c r="BM192" s="11"/>
      <c r="BN192" s="11">
        <v>40</v>
      </c>
      <c r="BO192">
        <v>0</v>
      </c>
      <c r="BP192" t="s">
        <v>691</v>
      </c>
      <c r="BQ192" t="s">
        <v>693</v>
      </c>
      <c r="BR192" t="s">
        <v>700</v>
      </c>
      <c r="BS192" t="s">
        <v>704</v>
      </c>
      <c r="BT192" t="s">
        <v>705</v>
      </c>
      <c r="BU192" t="s">
        <v>706</v>
      </c>
      <c r="CT192"/>
      <c r="CU192"/>
      <c r="CV192"/>
    </row>
    <row r="193" spans="1:100" x14ac:dyDescent="0.4">
      <c r="A193" s="2" t="s">
        <v>217</v>
      </c>
      <c r="B193" t="str">
        <f>_xlfn.TEXTAFTER(Table1[[#This Row],[VEHIDCODE]],"_")</f>
        <v>Germany_DB_220</v>
      </c>
      <c r="C193" t="s">
        <v>739</v>
      </c>
      <c r="D193" t="s">
        <v>958</v>
      </c>
      <c r="E193">
        <v>5021</v>
      </c>
      <c r="F193" t="b">
        <f>OR(ISNUMBER(SEARCH("wagon_",Table1[[#This Row],[FILENAMES_EXPECTED]])),ISNUMBER(SEARCH("coach_",Table1[[#This Row],[FILENAMES_EXPECTED]])))</f>
        <v>0</v>
      </c>
      <c r="G193" t="str">
        <f>"item_"&amp;Table1[[#This Row],[VEHIDCODE]]</f>
        <v>item_diesel_Germany_DB_220</v>
      </c>
      <c r="H193" t="str">
        <f>"str_"&amp;Table1[[#This Row],[VEHIDCODE]]</f>
        <v>str_diesel_Germany_DB_220</v>
      </c>
      <c r="Q193" s="2" t="b">
        <v>1</v>
      </c>
      <c r="AL193" s="2"/>
      <c r="AM193" s="2" t="b">
        <f>LEN(_xlfn.CONCAT(Table1[[#This Row],[TRACK_TYPE_STANDARD_GAUGE_RAILTYPE_OHLE]:[TRACK_TYPE_MTRO]]))&gt;0</f>
        <v>1</v>
      </c>
      <c r="AN193">
        <v>8</v>
      </c>
      <c r="AO193" t="s">
        <v>20</v>
      </c>
      <c r="AP193">
        <v>0</v>
      </c>
      <c r="AQ193" t="s">
        <v>35</v>
      </c>
      <c r="AR193">
        <v>0</v>
      </c>
      <c r="AS193">
        <v>1956</v>
      </c>
      <c r="AT193">
        <v>8</v>
      </c>
      <c r="AU193" s="2" t="s">
        <v>20</v>
      </c>
      <c r="AV193" t="b">
        <v>1</v>
      </c>
      <c r="AX193" s="2"/>
      <c r="AY193">
        <v>45</v>
      </c>
      <c r="AZ193">
        <v>1</v>
      </c>
      <c r="BA193">
        <v>2169</v>
      </c>
      <c r="BB193" t="s">
        <v>710</v>
      </c>
      <c r="BC193">
        <v>140</v>
      </c>
      <c r="BD193" s="2">
        <v>0.28999999999999998</v>
      </c>
      <c r="BE193" t="s">
        <v>922</v>
      </c>
      <c r="BF193" t="s">
        <v>921</v>
      </c>
      <c r="BG193" t="s">
        <v>939</v>
      </c>
      <c r="BH193" s="7">
        <v>40</v>
      </c>
      <c r="BI19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193">
        <v>0</v>
      </c>
      <c r="BK193" t="s">
        <v>733</v>
      </c>
      <c r="BL193" s="11"/>
      <c r="BM193" s="11"/>
      <c r="BN193" s="11">
        <v>81</v>
      </c>
      <c r="BO193">
        <v>0</v>
      </c>
      <c r="BP193" t="s">
        <v>691</v>
      </c>
      <c r="BQ193" t="s">
        <v>693</v>
      </c>
      <c r="BR193" t="s">
        <v>700</v>
      </c>
      <c r="BS193" t="s">
        <v>704</v>
      </c>
      <c r="BT193" t="s">
        <v>705</v>
      </c>
      <c r="BU193" t="s">
        <v>706</v>
      </c>
      <c r="CT193"/>
      <c r="CU193"/>
      <c r="CV193"/>
    </row>
    <row r="194" spans="1:100" x14ac:dyDescent="0.4">
      <c r="A194" s="2" t="s">
        <v>218</v>
      </c>
      <c r="B194" t="str">
        <f>_xlfn.TEXTAFTER(Table1[[#This Row],[VEHIDCODE]],"_")</f>
        <v>USA_Amtrak_FL9</v>
      </c>
      <c r="C194" t="s">
        <v>739</v>
      </c>
      <c r="D194" t="s">
        <v>958</v>
      </c>
      <c r="E194">
        <v>5022</v>
      </c>
      <c r="F194" t="b">
        <f>OR(ISNUMBER(SEARCH("wagon_",Table1[[#This Row],[FILENAMES_EXPECTED]])),ISNUMBER(SEARCH("coach_",Table1[[#This Row],[FILENAMES_EXPECTED]])))</f>
        <v>0</v>
      </c>
      <c r="G194" t="str">
        <f>"item_"&amp;Table1[[#This Row],[VEHIDCODE]]</f>
        <v>item_diesel_USA_Amtrak_FL9</v>
      </c>
      <c r="H194" t="str">
        <f>"str_"&amp;Table1[[#This Row],[VEHIDCODE]]</f>
        <v>str_diesel_USA_Amtrak_FL9</v>
      </c>
      <c r="Q194" s="2" t="b">
        <v>1</v>
      </c>
      <c r="AL194" s="2"/>
      <c r="AM194" s="2" t="b">
        <f>LEN(_xlfn.CONCAT(Table1[[#This Row],[TRACK_TYPE_STANDARD_GAUGE_RAILTYPE_OHLE]:[TRACK_TYPE_MTRO]]))&gt;0</f>
        <v>1</v>
      </c>
      <c r="AN194">
        <v>8</v>
      </c>
      <c r="AO194" t="s">
        <v>20</v>
      </c>
      <c r="AP194">
        <v>0</v>
      </c>
      <c r="AQ194" t="s">
        <v>35</v>
      </c>
      <c r="AR194">
        <v>0</v>
      </c>
      <c r="AS194">
        <v>1956</v>
      </c>
      <c r="AT194">
        <v>8</v>
      </c>
      <c r="AU194" s="2" t="s">
        <v>20</v>
      </c>
      <c r="AV194" t="b">
        <v>1</v>
      </c>
      <c r="AX194" s="2"/>
      <c r="AY194">
        <v>45</v>
      </c>
      <c r="AZ194">
        <v>1</v>
      </c>
      <c r="BA194">
        <v>1750</v>
      </c>
      <c r="BB194" t="s">
        <v>710</v>
      </c>
      <c r="BC194">
        <v>144</v>
      </c>
      <c r="BD194" s="2">
        <v>0.2</v>
      </c>
      <c r="BE194" t="s">
        <v>927</v>
      </c>
      <c r="BF194" t="s">
        <v>921</v>
      </c>
      <c r="BG194" t="s">
        <v>939</v>
      </c>
      <c r="BH194" s="7">
        <v>40</v>
      </c>
      <c r="BI19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194">
        <v>0</v>
      </c>
      <c r="BK194" t="s">
        <v>733</v>
      </c>
      <c r="BL194" s="11"/>
      <c r="BM194" s="11"/>
      <c r="BN194" s="11">
        <v>130</v>
      </c>
      <c r="BO194">
        <v>0</v>
      </c>
      <c r="BP194" t="s">
        <v>691</v>
      </c>
      <c r="BQ194" t="s">
        <v>693</v>
      </c>
      <c r="BR194" t="s">
        <v>700</v>
      </c>
      <c r="BS194" t="s">
        <v>704</v>
      </c>
      <c r="BT194" t="s">
        <v>705</v>
      </c>
      <c r="BU194" t="s">
        <v>706</v>
      </c>
      <c r="CT194"/>
      <c r="CU194"/>
      <c r="CV194"/>
    </row>
    <row r="195" spans="1:100" x14ac:dyDescent="0.4">
      <c r="A195" s="2" t="s">
        <v>219</v>
      </c>
      <c r="B195" t="str">
        <f>_xlfn.TEXTAFTER(Table1[[#This Row],[VEHIDCODE]],"_")</f>
        <v>Czech_Republic_CD_720_ChME2</v>
      </c>
      <c r="C195" t="s">
        <v>739</v>
      </c>
      <c r="D195" t="s">
        <v>958</v>
      </c>
      <c r="E195">
        <v>5023</v>
      </c>
      <c r="F195" t="b">
        <f>OR(ISNUMBER(SEARCH("wagon_",Table1[[#This Row],[FILENAMES_EXPECTED]])),ISNUMBER(SEARCH("coach_",Table1[[#This Row],[FILENAMES_EXPECTED]])))</f>
        <v>0</v>
      </c>
      <c r="G195" t="str">
        <f>"item_"&amp;Table1[[#This Row],[VEHIDCODE]]</f>
        <v>item_diesel_Czech_Republic_CD_720_ChME2</v>
      </c>
      <c r="H195" t="str">
        <f>"str_"&amp;Table1[[#This Row],[VEHIDCODE]]</f>
        <v>str_diesel_Czech_Republic_CD_720_ChME2</v>
      </c>
      <c r="Q195" s="2" t="b">
        <v>1</v>
      </c>
      <c r="AL195" s="2"/>
      <c r="AM195" s="2" t="b">
        <f>LEN(_xlfn.CONCAT(Table1[[#This Row],[TRACK_TYPE_STANDARD_GAUGE_RAILTYPE_OHLE]:[TRACK_TYPE_MTRO]]))&gt;0</f>
        <v>1</v>
      </c>
      <c r="AN195">
        <v>6</v>
      </c>
      <c r="AO195" t="s">
        <v>20</v>
      </c>
      <c r="AP195">
        <v>0</v>
      </c>
      <c r="AQ195" t="s">
        <v>35</v>
      </c>
      <c r="AR195">
        <v>0</v>
      </c>
      <c r="AS195">
        <v>1958</v>
      </c>
      <c r="AT195">
        <v>6</v>
      </c>
      <c r="AU195" s="2" t="s">
        <v>20</v>
      </c>
      <c r="AV195" t="b">
        <v>1</v>
      </c>
      <c r="AX195" s="2"/>
      <c r="AY195">
        <v>45</v>
      </c>
      <c r="AZ195">
        <v>0</v>
      </c>
      <c r="BA195">
        <v>740</v>
      </c>
      <c r="BB195" t="s">
        <v>710</v>
      </c>
      <c r="BC195">
        <v>80</v>
      </c>
      <c r="BD195" s="2">
        <v>0.28000000000000003</v>
      </c>
      <c r="BE195" t="s">
        <v>928</v>
      </c>
      <c r="BF195" t="s">
        <v>921</v>
      </c>
      <c r="BG195" t="s">
        <v>939</v>
      </c>
      <c r="BH195" s="7">
        <v>40</v>
      </c>
      <c r="BI19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195">
        <v>0</v>
      </c>
      <c r="BK195" t="s">
        <v>733</v>
      </c>
      <c r="BL195" s="11"/>
      <c r="BM195" s="11"/>
      <c r="BN195" s="11">
        <v>61</v>
      </c>
      <c r="BO195">
        <v>0</v>
      </c>
      <c r="BP195" t="s">
        <v>691</v>
      </c>
      <c r="BQ195" t="s">
        <v>693</v>
      </c>
      <c r="BR195" t="s">
        <v>700</v>
      </c>
      <c r="BS195" t="s">
        <v>704</v>
      </c>
      <c r="BT195" t="s">
        <v>705</v>
      </c>
      <c r="BU195" t="s">
        <v>706</v>
      </c>
      <c r="CT195"/>
      <c r="CU195"/>
      <c r="CV195"/>
    </row>
    <row r="196" spans="1:100" x14ac:dyDescent="0.4">
      <c r="A196" s="2" t="s">
        <v>220</v>
      </c>
      <c r="B196" t="str">
        <f>_xlfn.TEXTAFTER(Table1[[#This Row],[VEHIDCODE]],"_")</f>
        <v>Finland_VR_Dr12</v>
      </c>
      <c r="C196" t="s">
        <v>739</v>
      </c>
      <c r="D196" t="s">
        <v>958</v>
      </c>
      <c r="E196">
        <v>5024</v>
      </c>
      <c r="F196" t="b">
        <f>OR(ISNUMBER(SEARCH("wagon_",Table1[[#This Row],[FILENAMES_EXPECTED]])),ISNUMBER(SEARCH("coach_",Table1[[#This Row],[FILENAMES_EXPECTED]])))</f>
        <v>0</v>
      </c>
      <c r="G196" t="str">
        <f>"item_"&amp;Table1[[#This Row],[VEHIDCODE]]</f>
        <v>item_diesel_Finland_VR_Dr12</v>
      </c>
      <c r="H196" t="str">
        <f>"str_"&amp;Table1[[#This Row],[VEHIDCODE]]</f>
        <v>str_diesel_Finland_VR_Dr12</v>
      </c>
      <c r="AI196" s="2" t="b">
        <v>1</v>
      </c>
      <c r="AL196" s="2"/>
      <c r="AM196" s="2" t="b">
        <f>LEN(_xlfn.CONCAT(Table1[[#This Row],[TRACK_TYPE_STANDARD_GAUGE_RAILTYPE_OHLE]:[TRACK_TYPE_MTRO]]))&gt;0</f>
        <v>1</v>
      </c>
      <c r="AN196">
        <v>8</v>
      </c>
      <c r="AO196" t="s">
        <v>20</v>
      </c>
      <c r="AP196">
        <v>0</v>
      </c>
      <c r="AQ196" t="s">
        <v>35</v>
      </c>
      <c r="AR196">
        <v>0</v>
      </c>
      <c r="AS196">
        <v>1959</v>
      </c>
      <c r="AT196">
        <v>8</v>
      </c>
      <c r="AU196" s="2" t="s">
        <v>20</v>
      </c>
      <c r="AV196" t="b">
        <v>1</v>
      </c>
      <c r="AX196" s="2"/>
      <c r="AY196">
        <v>45</v>
      </c>
      <c r="AZ196">
        <v>1</v>
      </c>
      <c r="BA196">
        <v>1900</v>
      </c>
      <c r="BB196" t="s">
        <v>710</v>
      </c>
      <c r="BC196">
        <v>120</v>
      </c>
      <c r="BD196" s="2">
        <v>0.18</v>
      </c>
      <c r="BE196" t="s">
        <v>926</v>
      </c>
      <c r="BF196" t="s">
        <v>921</v>
      </c>
      <c r="BG196" t="s">
        <v>939</v>
      </c>
      <c r="BH196" s="7">
        <v>40</v>
      </c>
      <c r="BI19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196">
        <v>0</v>
      </c>
      <c r="BK196" t="s">
        <v>733</v>
      </c>
      <c r="BL196" s="11"/>
      <c r="BM196" s="11"/>
      <c r="BN196" s="11">
        <v>122</v>
      </c>
      <c r="BO196">
        <v>0</v>
      </c>
      <c r="BP196" t="s">
        <v>691</v>
      </c>
      <c r="BQ196" t="s">
        <v>693</v>
      </c>
      <c r="BR196" t="s">
        <v>700</v>
      </c>
      <c r="BS196" t="s">
        <v>704</v>
      </c>
      <c r="BT196" t="s">
        <v>705</v>
      </c>
      <c r="BU196" t="s">
        <v>706</v>
      </c>
      <c r="CT196"/>
      <c r="CU196"/>
      <c r="CV196"/>
    </row>
    <row r="197" spans="1:100" x14ac:dyDescent="0.4">
      <c r="A197" s="2" t="s">
        <v>221</v>
      </c>
      <c r="B197" t="str">
        <f>_xlfn.TEXTAFTER(Table1[[#This Row],[VEHIDCODE]],"_")</f>
        <v>Romania_CFR_060_DA</v>
      </c>
      <c r="C197" t="s">
        <v>739</v>
      </c>
      <c r="D197" t="s">
        <v>958</v>
      </c>
      <c r="E197">
        <v>5025</v>
      </c>
      <c r="F197" t="b">
        <f>OR(ISNUMBER(SEARCH("wagon_",Table1[[#This Row],[FILENAMES_EXPECTED]])),ISNUMBER(SEARCH("coach_",Table1[[#This Row],[FILENAMES_EXPECTED]])))</f>
        <v>0</v>
      </c>
      <c r="G197" t="str">
        <f>"item_"&amp;Table1[[#This Row],[VEHIDCODE]]</f>
        <v>item_diesel_Romania_CFR_060_DA</v>
      </c>
      <c r="H197" t="str">
        <f>"str_"&amp;Table1[[#This Row],[VEHIDCODE]]</f>
        <v>str_diesel_Romania_CFR_060_DA</v>
      </c>
      <c r="Q197" s="2" t="b">
        <v>1</v>
      </c>
      <c r="AL197" s="2"/>
      <c r="AM197" s="2" t="b">
        <f>LEN(_xlfn.CONCAT(Table1[[#This Row],[TRACK_TYPE_STANDARD_GAUGE_RAILTYPE_OHLE]:[TRACK_TYPE_MTRO]]))&gt;0</f>
        <v>1</v>
      </c>
      <c r="AN197">
        <v>8</v>
      </c>
      <c r="AO197" t="s">
        <v>20</v>
      </c>
      <c r="AP197">
        <v>0</v>
      </c>
      <c r="AQ197" t="s">
        <v>35</v>
      </c>
      <c r="AR197">
        <v>0</v>
      </c>
      <c r="AS197">
        <v>1959</v>
      </c>
      <c r="AT197">
        <v>8</v>
      </c>
      <c r="AU197" s="2" t="s">
        <v>20</v>
      </c>
      <c r="AV197" t="b">
        <v>1</v>
      </c>
      <c r="AX197" s="2"/>
      <c r="AY197">
        <v>45</v>
      </c>
      <c r="AZ197">
        <v>0</v>
      </c>
      <c r="BA197">
        <v>2070</v>
      </c>
      <c r="BB197" t="s">
        <v>710</v>
      </c>
      <c r="BC197">
        <v>100</v>
      </c>
      <c r="BD197" s="2">
        <v>0.27</v>
      </c>
      <c r="BE197" t="s">
        <v>928</v>
      </c>
      <c r="BF197" t="s">
        <v>921</v>
      </c>
      <c r="BG197" t="s">
        <v>939</v>
      </c>
      <c r="BH197" s="7">
        <v>40</v>
      </c>
      <c r="BI19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197">
        <v>0</v>
      </c>
      <c r="BK197" t="s">
        <v>733</v>
      </c>
      <c r="BL197" s="11"/>
      <c r="BM197" s="11"/>
      <c r="BN197" s="11">
        <v>116</v>
      </c>
      <c r="BO197">
        <v>0</v>
      </c>
      <c r="BP197" t="s">
        <v>691</v>
      </c>
      <c r="BQ197" t="s">
        <v>693</v>
      </c>
      <c r="BR197" t="s">
        <v>700</v>
      </c>
      <c r="BS197" t="s">
        <v>704</v>
      </c>
      <c r="BT197" t="s">
        <v>705</v>
      </c>
      <c r="BU197" t="s">
        <v>706</v>
      </c>
      <c r="CT197"/>
      <c r="CU197"/>
      <c r="CV197"/>
    </row>
    <row r="198" spans="1:100" x14ac:dyDescent="0.4">
      <c r="A198" s="2" t="s">
        <v>222</v>
      </c>
      <c r="B198" t="str">
        <f>_xlfn.TEXTAFTER(Table1[[#This Row],[VEHIDCODE]],"_")</f>
        <v>Brazil_BF_EMD_GL8</v>
      </c>
      <c r="C198" t="s">
        <v>739</v>
      </c>
      <c r="D198" t="s">
        <v>958</v>
      </c>
      <c r="E198">
        <v>5026</v>
      </c>
      <c r="F198" t="b">
        <f>OR(ISNUMBER(SEARCH("wagon_",Table1[[#This Row],[FILENAMES_EXPECTED]])),ISNUMBER(SEARCH("coach_",Table1[[#This Row],[FILENAMES_EXPECTED]])))</f>
        <v>0</v>
      </c>
      <c r="G198" t="str">
        <f>"item_"&amp;Table1[[#This Row],[VEHIDCODE]]</f>
        <v>item_diesel_Brazil_BF_EMD_GL8</v>
      </c>
      <c r="H198" t="str">
        <f>"str_"&amp;Table1[[#This Row],[VEHIDCODE]]</f>
        <v>str_diesel_Brazil_BF_EMD_GL8</v>
      </c>
      <c r="Q198" s="2" t="b">
        <v>1</v>
      </c>
      <c r="AL198" s="2"/>
      <c r="AM198" s="2" t="b">
        <f>LEN(_xlfn.CONCAT(Table1[[#This Row],[TRACK_TYPE_STANDARD_GAUGE_RAILTYPE_OHLE]:[TRACK_TYPE_MTRO]]))&gt;0</f>
        <v>1</v>
      </c>
      <c r="AN198">
        <v>5</v>
      </c>
      <c r="AO198" t="s">
        <v>20</v>
      </c>
      <c r="AP198">
        <v>0</v>
      </c>
      <c r="AQ198" t="s">
        <v>35</v>
      </c>
      <c r="AR198">
        <v>0</v>
      </c>
      <c r="AS198">
        <v>1960</v>
      </c>
      <c r="AT198">
        <v>5</v>
      </c>
      <c r="AU198" s="2" t="s">
        <v>20</v>
      </c>
      <c r="AV198" t="b">
        <v>1</v>
      </c>
      <c r="AX198" s="2"/>
      <c r="AY198">
        <v>45</v>
      </c>
      <c r="AZ198">
        <v>1</v>
      </c>
      <c r="BA198">
        <v>875</v>
      </c>
      <c r="BB198" t="s">
        <v>710</v>
      </c>
      <c r="BC198">
        <v>124</v>
      </c>
      <c r="BD198" s="2">
        <v>0.13</v>
      </c>
      <c r="BE198" t="s">
        <v>929</v>
      </c>
      <c r="BF198" t="s">
        <v>921</v>
      </c>
      <c r="BG198" t="s">
        <v>939</v>
      </c>
      <c r="BH198" s="7">
        <v>40</v>
      </c>
      <c r="BI19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198">
        <v>0</v>
      </c>
      <c r="BK198" t="s">
        <v>733</v>
      </c>
      <c r="BL198" s="11"/>
      <c r="BM198" s="11"/>
      <c r="BN198" s="11">
        <v>64</v>
      </c>
      <c r="BO198">
        <v>0</v>
      </c>
      <c r="BP198" t="s">
        <v>691</v>
      </c>
      <c r="BQ198" t="s">
        <v>693</v>
      </c>
      <c r="BR198" t="s">
        <v>700</v>
      </c>
      <c r="BS198" t="s">
        <v>704</v>
      </c>
      <c r="BT198" t="s">
        <v>705</v>
      </c>
      <c r="BU198" t="s">
        <v>706</v>
      </c>
      <c r="CT198"/>
      <c r="CU198"/>
      <c r="CV198"/>
    </row>
    <row r="199" spans="1:100" x14ac:dyDescent="0.4">
      <c r="A199" s="2" t="s">
        <v>223</v>
      </c>
      <c r="B199" t="str">
        <f>_xlfn.TEXTAFTER(Table1[[#This Row],[VEHIDCODE]],"_")</f>
        <v>Brazil_EFVM_ML4000</v>
      </c>
      <c r="C199" t="s">
        <v>739</v>
      </c>
      <c r="D199" t="s">
        <v>958</v>
      </c>
      <c r="E199">
        <v>5027</v>
      </c>
      <c r="F199" t="b">
        <f>OR(ISNUMBER(SEARCH("wagon_",Table1[[#This Row],[FILENAMES_EXPECTED]])),ISNUMBER(SEARCH("coach_",Table1[[#This Row],[FILENAMES_EXPECTED]])))</f>
        <v>0</v>
      </c>
      <c r="G199" t="str">
        <f>"item_"&amp;Table1[[#This Row],[VEHIDCODE]]</f>
        <v>item_diesel_Brazil_EFVM_ML4000</v>
      </c>
      <c r="H199" t="str">
        <f>"str_"&amp;Table1[[#This Row],[VEHIDCODE]]</f>
        <v>str_diesel_Brazil_EFVM_ML4000</v>
      </c>
      <c r="Q199" s="2" t="b">
        <v>1</v>
      </c>
      <c r="AL199" s="2"/>
      <c r="AM199" s="2" t="b">
        <f>LEN(_xlfn.CONCAT(Table1[[#This Row],[TRACK_TYPE_STANDARD_GAUGE_RAILTYPE_OHLE]:[TRACK_TYPE_MTRO]]))&gt;0</f>
        <v>1</v>
      </c>
      <c r="AN199">
        <v>8</v>
      </c>
      <c r="AO199" t="s">
        <v>20</v>
      </c>
      <c r="AP199">
        <v>0</v>
      </c>
      <c r="AQ199" t="s">
        <v>35</v>
      </c>
      <c r="AR199">
        <v>0</v>
      </c>
      <c r="AS199">
        <v>1960</v>
      </c>
      <c r="AT199">
        <v>8</v>
      </c>
      <c r="AU199" s="2" t="s">
        <v>20</v>
      </c>
      <c r="AV199" t="b">
        <v>1</v>
      </c>
      <c r="AX199" s="2"/>
      <c r="AY199">
        <v>45</v>
      </c>
      <c r="AZ199">
        <v>1</v>
      </c>
      <c r="BA199">
        <v>4000</v>
      </c>
      <c r="BB199" t="s">
        <v>710</v>
      </c>
      <c r="BC199">
        <v>110</v>
      </c>
      <c r="BD199" s="2">
        <v>0.28999999999999998</v>
      </c>
      <c r="BE199" t="s">
        <v>929</v>
      </c>
      <c r="BF199" t="s">
        <v>921</v>
      </c>
      <c r="BG199" t="s">
        <v>939</v>
      </c>
      <c r="BH199" s="7">
        <v>40</v>
      </c>
      <c r="BI19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199">
        <v>0</v>
      </c>
      <c r="BK199" t="s">
        <v>733</v>
      </c>
      <c r="BL199" s="11"/>
      <c r="BM199" s="11"/>
      <c r="BN199" s="11">
        <v>156</v>
      </c>
      <c r="BO199">
        <v>0</v>
      </c>
      <c r="BP199" t="s">
        <v>691</v>
      </c>
      <c r="BQ199" t="s">
        <v>693</v>
      </c>
      <c r="BR199" t="s">
        <v>700</v>
      </c>
      <c r="BS199" t="s">
        <v>704</v>
      </c>
      <c r="BT199" t="s">
        <v>705</v>
      </c>
      <c r="BU199" t="s">
        <v>706</v>
      </c>
      <c r="CT199"/>
      <c r="CU199"/>
      <c r="CV199"/>
    </row>
    <row r="200" spans="1:100" x14ac:dyDescent="0.4">
      <c r="A200" s="2" t="s">
        <v>224</v>
      </c>
      <c r="B200" t="str">
        <f>_xlfn.TEXTAFTER(Table1[[#This Row],[VEHIDCODE]],"_")</f>
        <v>Russia_RZD_TEP60</v>
      </c>
      <c r="C200" t="s">
        <v>739</v>
      </c>
      <c r="D200" t="s">
        <v>958</v>
      </c>
      <c r="E200">
        <v>5028</v>
      </c>
      <c r="F200" t="b">
        <f>OR(ISNUMBER(SEARCH("wagon_",Table1[[#This Row],[FILENAMES_EXPECTED]])),ISNUMBER(SEARCH("coach_",Table1[[#This Row],[FILENAMES_EXPECTED]])))</f>
        <v>0</v>
      </c>
      <c r="G200" t="str">
        <f>"item_"&amp;Table1[[#This Row],[VEHIDCODE]]</f>
        <v>item_diesel_Russia_RZD_TEP60</v>
      </c>
      <c r="H200" t="str">
        <f>"str_"&amp;Table1[[#This Row],[VEHIDCODE]]</f>
        <v>str_diesel_Russia_RZD_TEP60</v>
      </c>
      <c r="AI200" s="2" t="b">
        <v>1</v>
      </c>
      <c r="AL200" s="2"/>
      <c r="AM200" s="2" t="b">
        <f>LEN(_xlfn.CONCAT(Table1[[#This Row],[TRACK_TYPE_STANDARD_GAUGE_RAILTYPE_OHLE]:[TRACK_TYPE_MTRO]]))&gt;0</f>
        <v>1</v>
      </c>
      <c r="AN200">
        <v>8</v>
      </c>
      <c r="AO200" t="s">
        <v>20</v>
      </c>
      <c r="AP200">
        <v>0</v>
      </c>
      <c r="AQ200" t="s">
        <v>35</v>
      </c>
      <c r="AR200">
        <v>0</v>
      </c>
      <c r="AS200">
        <v>1960</v>
      </c>
      <c r="AT200">
        <v>8</v>
      </c>
      <c r="AU200" s="2" t="s">
        <v>20</v>
      </c>
      <c r="AV200" t="b">
        <v>1</v>
      </c>
      <c r="AX200" s="2"/>
      <c r="AY200">
        <v>45</v>
      </c>
      <c r="AZ200">
        <v>1</v>
      </c>
      <c r="BA200">
        <v>2960</v>
      </c>
      <c r="BB200" t="s">
        <v>710</v>
      </c>
      <c r="BC200">
        <v>160</v>
      </c>
      <c r="BD200" s="2">
        <v>0.15</v>
      </c>
      <c r="BE200" t="s">
        <v>930</v>
      </c>
      <c r="BF200" t="s">
        <v>921</v>
      </c>
      <c r="BG200" t="s">
        <v>939</v>
      </c>
      <c r="BH200" s="7">
        <v>40</v>
      </c>
      <c r="BI20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00">
        <v>0</v>
      </c>
      <c r="BK200" t="s">
        <v>733</v>
      </c>
      <c r="BL200" s="11"/>
      <c r="BM200" s="11"/>
      <c r="BN200" s="11">
        <v>130</v>
      </c>
      <c r="BO200">
        <v>0</v>
      </c>
      <c r="BP200" t="s">
        <v>691</v>
      </c>
      <c r="BQ200" t="s">
        <v>693</v>
      </c>
      <c r="BR200" t="s">
        <v>700</v>
      </c>
      <c r="BS200" t="s">
        <v>704</v>
      </c>
      <c r="BT200" t="s">
        <v>705</v>
      </c>
      <c r="BU200" t="s">
        <v>706</v>
      </c>
      <c r="CT200"/>
      <c r="CU200"/>
      <c r="CV200"/>
    </row>
    <row r="201" spans="1:100" x14ac:dyDescent="0.4">
      <c r="A201" s="2" t="s">
        <v>225</v>
      </c>
      <c r="B201" t="str">
        <f>_xlfn.TEXTAFTER(Table1[[#This Row],[VEHIDCODE]],"_")</f>
        <v>Belgium_NMBS_SNCB_62</v>
      </c>
      <c r="C201" t="s">
        <v>739</v>
      </c>
      <c r="D201" t="s">
        <v>958</v>
      </c>
      <c r="E201">
        <v>5029</v>
      </c>
      <c r="F201" t="b">
        <f>OR(ISNUMBER(SEARCH("wagon_",Table1[[#This Row],[FILENAMES_EXPECTED]])),ISNUMBER(SEARCH("coach_",Table1[[#This Row],[FILENAMES_EXPECTED]])))</f>
        <v>0</v>
      </c>
      <c r="G201" t="str">
        <f>"item_"&amp;Table1[[#This Row],[VEHIDCODE]]</f>
        <v>item_diesel_Belgium_NMBS_SNCB_62</v>
      </c>
      <c r="H201" t="str">
        <f>"str_"&amp;Table1[[#This Row],[VEHIDCODE]]</f>
        <v>str_diesel_Belgium_NMBS_SNCB_62</v>
      </c>
      <c r="Q201" s="2" t="b">
        <v>1</v>
      </c>
      <c r="AL201" s="2"/>
      <c r="AM201" s="2" t="b">
        <f>LEN(_xlfn.CONCAT(Table1[[#This Row],[TRACK_TYPE_STANDARD_GAUGE_RAILTYPE_OHLE]:[TRACK_TYPE_MTRO]]))&gt;0</f>
        <v>1</v>
      </c>
      <c r="AN201">
        <v>8</v>
      </c>
      <c r="AO201" t="s">
        <v>20</v>
      </c>
      <c r="AP201">
        <v>0</v>
      </c>
      <c r="AQ201" t="s">
        <v>35</v>
      </c>
      <c r="AR201">
        <v>0</v>
      </c>
      <c r="AS201">
        <v>1961</v>
      </c>
      <c r="AT201">
        <v>8</v>
      </c>
      <c r="AU201" s="2" t="s">
        <v>20</v>
      </c>
      <c r="AV201" t="b">
        <v>1</v>
      </c>
      <c r="AX201" s="2"/>
      <c r="AY201">
        <v>45</v>
      </c>
      <c r="AZ201">
        <v>1</v>
      </c>
      <c r="BA201">
        <v>1408</v>
      </c>
      <c r="BB201" t="s">
        <v>710</v>
      </c>
      <c r="BC201">
        <v>120</v>
      </c>
      <c r="BD201" s="2">
        <v>0.27</v>
      </c>
      <c r="BE201" t="s">
        <v>922</v>
      </c>
      <c r="BF201" t="s">
        <v>921</v>
      </c>
      <c r="BG201" t="s">
        <v>939</v>
      </c>
      <c r="BH201" s="7">
        <v>40</v>
      </c>
      <c r="BI20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01">
        <v>0</v>
      </c>
      <c r="BK201" t="s">
        <v>733</v>
      </c>
      <c r="BL201" s="11"/>
      <c r="BM201" s="11"/>
      <c r="BN201" s="11">
        <v>80</v>
      </c>
      <c r="BO201">
        <v>0</v>
      </c>
      <c r="BP201" t="s">
        <v>691</v>
      </c>
      <c r="BQ201" t="s">
        <v>693</v>
      </c>
      <c r="BR201" t="s">
        <v>700</v>
      </c>
      <c r="BS201" t="s">
        <v>704</v>
      </c>
      <c r="BT201" t="s">
        <v>705</v>
      </c>
      <c r="BU201" t="s">
        <v>706</v>
      </c>
      <c r="CT201"/>
      <c r="CU201"/>
      <c r="CV201"/>
    </row>
    <row r="202" spans="1:100" x14ac:dyDescent="0.4">
      <c r="A202" s="2" t="s">
        <v>226</v>
      </c>
      <c r="B202" t="str">
        <f>_xlfn.TEXTAFTER(Table1[[#This Row],[VEHIDCODE]],"_")</f>
        <v>Denmark_DSB_MaK_100</v>
      </c>
      <c r="C202" t="s">
        <v>739</v>
      </c>
      <c r="D202" t="s">
        <v>958</v>
      </c>
      <c r="E202">
        <v>5030</v>
      </c>
      <c r="F202" t="b">
        <f>OR(ISNUMBER(SEARCH("wagon_",Table1[[#This Row],[FILENAMES_EXPECTED]])),ISNUMBER(SEARCH("coach_",Table1[[#This Row],[FILENAMES_EXPECTED]])))</f>
        <v>0</v>
      </c>
      <c r="G202" t="str">
        <f>"item_"&amp;Table1[[#This Row],[VEHIDCODE]]</f>
        <v>item_diesel_Denmark_DSB_MaK_100</v>
      </c>
      <c r="H202" t="str">
        <f>"str_"&amp;Table1[[#This Row],[VEHIDCODE]]</f>
        <v>str_diesel_Denmark_DSB_MaK_100</v>
      </c>
      <c r="Q202" s="2" t="b">
        <v>1</v>
      </c>
      <c r="AL202" s="2"/>
      <c r="AM202" s="2" t="b">
        <f>LEN(_xlfn.CONCAT(Table1[[#This Row],[TRACK_TYPE_STANDARD_GAUGE_RAILTYPE_OHLE]:[TRACK_TYPE_MTRO]]))&gt;0</f>
        <v>1</v>
      </c>
      <c r="AN202">
        <v>7</v>
      </c>
      <c r="AO202" t="s">
        <v>20</v>
      </c>
      <c r="AP202">
        <v>0</v>
      </c>
      <c r="AQ202" t="s">
        <v>35</v>
      </c>
      <c r="AR202">
        <v>0</v>
      </c>
      <c r="AS202">
        <v>1962</v>
      </c>
      <c r="AT202">
        <v>7</v>
      </c>
      <c r="AU202" s="2" t="s">
        <v>20</v>
      </c>
      <c r="AV202" t="b">
        <v>1</v>
      </c>
      <c r="AX202" s="2"/>
      <c r="AY202">
        <v>45</v>
      </c>
      <c r="AZ202">
        <v>0</v>
      </c>
      <c r="BA202">
        <v>650</v>
      </c>
      <c r="BB202" t="s">
        <v>710</v>
      </c>
      <c r="BC202">
        <v>75</v>
      </c>
      <c r="BD202" s="2">
        <v>0.21</v>
      </c>
      <c r="BE202" t="s">
        <v>926</v>
      </c>
      <c r="BF202" t="s">
        <v>921</v>
      </c>
      <c r="BG202" t="s">
        <v>939</v>
      </c>
      <c r="BH202" s="7">
        <v>40</v>
      </c>
      <c r="BI20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02">
        <v>0</v>
      </c>
      <c r="BK202" t="s">
        <v>733</v>
      </c>
      <c r="BL202" s="11"/>
      <c r="BM202" s="11"/>
      <c r="BN202" s="11">
        <v>45</v>
      </c>
      <c r="BO202">
        <v>0</v>
      </c>
      <c r="BP202" t="s">
        <v>691</v>
      </c>
      <c r="BQ202" t="s">
        <v>693</v>
      </c>
      <c r="BR202" t="s">
        <v>700</v>
      </c>
      <c r="BS202" t="s">
        <v>704</v>
      </c>
      <c r="BT202" t="s">
        <v>705</v>
      </c>
      <c r="BU202" t="s">
        <v>706</v>
      </c>
      <c r="CT202"/>
      <c r="CU202"/>
      <c r="CV202"/>
    </row>
    <row r="203" spans="1:100" x14ac:dyDescent="0.4">
      <c r="A203" s="2" t="s">
        <v>227</v>
      </c>
      <c r="B203" t="str">
        <f>_xlfn.TEXTAFTER(Table1[[#This Row],[VEHIDCODE]],"_")</f>
        <v>India_Indian_Railways_WDM_2</v>
      </c>
      <c r="C203" t="s">
        <v>739</v>
      </c>
      <c r="D203" t="s">
        <v>958</v>
      </c>
      <c r="E203">
        <v>5031</v>
      </c>
      <c r="F203" t="b">
        <f>OR(ISNUMBER(SEARCH("wagon_",Table1[[#This Row],[FILENAMES_EXPECTED]])),ISNUMBER(SEARCH("coach_",Table1[[#This Row],[FILENAMES_EXPECTED]])))</f>
        <v>0</v>
      </c>
      <c r="G203" t="str">
        <f>"item_"&amp;Table1[[#This Row],[VEHIDCODE]]</f>
        <v>item_diesel_India_Indian_Railways_WDM_2</v>
      </c>
      <c r="H203" t="str">
        <f>"str_"&amp;Table1[[#This Row],[VEHIDCODE]]</f>
        <v>str_diesel_India_Indian_Railways_WDM_2</v>
      </c>
      <c r="AI203" s="2" t="b">
        <v>1</v>
      </c>
      <c r="AL203" s="2"/>
      <c r="AM203" s="2" t="b">
        <f>LEN(_xlfn.CONCAT(Table1[[#This Row],[TRACK_TYPE_STANDARD_GAUGE_RAILTYPE_OHLE]:[TRACK_TYPE_MTRO]]))&gt;0</f>
        <v>1</v>
      </c>
      <c r="AN203">
        <v>7</v>
      </c>
      <c r="AO203" t="s">
        <v>20</v>
      </c>
      <c r="AP203">
        <v>0</v>
      </c>
      <c r="AQ203" t="s">
        <v>35</v>
      </c>
      <c r="AR203">
        <v>0</v>
      </c>
      <c r="AS203">
        <v>1963</v>
      </c>
      <c r="AT203">
        <v>7</v>
      </c>
      <c r="AU203" s="2" t="s">
        <v>20</v>
      </c>
      <c r="AV203" t="b">
        <v>1</v>
      </c>
      <c r="AX203" s="2"/>
      <c r="AY203">
        <v>45</v>
      </c>
      <c r="AZ203">
        <v>1</v>
      </c>
      <c r="BA203">
        <v>2400</v>
      </c>
      <c r="BB203" t="s">
        <v>710</v>
      </c>
      <c r="BC203">
        <v>120</v>
      </c>
      <c r="BD203" s="2">
        <v>0.27</v>
      </c>
      <c r="BE203" t="s">
        <v>930</v>
      </c>
      <c r="BF203" t="s">
        <v>921</v>
      </c>
      <c r="BG203" t="s">
        <v>939</v>
      </c>
      <c r="BH203" s="7">
        <v>40</v>
      </c>
      <c r="BI20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03">
        <v>0</v>
      </c>
      <c r="BK203" t="s">
        <v>733</v>
      </c>
      <c r="BL203" s="11"/>
      <c r="BM203" s="11"/>
      <c r="BN203" s="11">
        <v>113</v>
      </c>
      <c r="BO203">
        <v>0</v>
      </c>
      <c r="BP203" t="s">
        <v>691</v>
      </c>
      <c r="BQ203" t="s">
        <v>693</v>
      </c>
      <c r="BR203" t="s">
        <v>700</v>
      </c>
      <c r="BS203" t="s">
        <v>704</v>
      </c>
      <c r="BT203" t="s">
        <v>705</v>
      </c>
      <c r="BU203" t="s">
        <v>706</v>
      </c>
      <c r="CT203"/>
      <c r="CU203"/>
      <c r="CV203"/>
    </row>
    <row r="204" spans="1:100" x14ac:dyDescent="0.4">
      <c r="A204" s="2" t="s">
        <v>228</v>
      </c>
      <c r="B204" t="str">
        <f>_xlfn.TEXTAFTER(Table1[[#This Row],[VEHIDCODE]],"_")</f>
        <v>UK_BR_14</v>
      </c>
      <c r="C204" t="s">
        <v>739</v>
      </c>
      <c r="D204" t="s">
        <v>958</v>
      </c>
      <c r="E204">
        <v>5032</v>
      </c>
      <c r="F204" t="b">
        <f>OR(ISNUMBER(SEARCH("wagon_",Table1[[#This Row],[FILENAMES_EXPECTED]])),ISNUMBER(SEARCH("coach_",Table1[[#This Row],[FILENAMES_EXPECTED]])))</f>
        <v>0</v>
      </c>
      <c r="G204" t="str">
        <f>"item_"&amp;Table1[[#This Row],[VEHIDCODE]]</f>
        <v>item_diesel_UK_BR_14</v>
      </c>
      <c r="H204" t="str">
        <f>"str_"&amp;Table1[[#This Row],[VEHIDCODE]]</f>
        <v>str_diesel_UK_BR_14</v>
      </c>
      <c r="Q204" s="2" t="b">
        <v>1</v>
      </c>
      <c r="AL204" s="2"/>
      <c r="AM204" s="2" t="b">
        <f>LEN(_xlfn.CONCAT(Table1[[#This Row],[TRACK_TYPE_STANDARD_GAUGE_RAILTYPE_OHLE]:[TRACK_TYPE_MTRO]]))&gt;0</f>
        <v>1</v>
      </c>
      <c r="AN204">
        <v>6</v>
      </c>
      <c r="AO204" t="s">
        <v>20</v>
      </c>
      <c r="AP204">
        <v>0</v>
      </c>
      <c r="AQ204" t="s">
        <v>35</v>
      </c>
      <c r="AR204">
        <v>0</v>
      </c>
      <c r="AS204">
        <v>1964</v>
      </c>
      <c r="AT204">
        <v>6</v>
      </c>
      <c r="AU204" s="2" t="s">
        <v>20</v>
      </c>
      <c r="AV204" t="b">
        <v>1</v>
      </c>
      <c r="AX204" s="2"/>
      <c r="AY204">
        <v>45</v>
      </c>
      <c r="AZ204">
        <v>0</v>
      </c>
      <c r="BA204">
        <v>650</v>
      </c>
      <c r="BB204" t="s">
        <v>710</v>
      </c>
      <c r="BC204">
        <v>64</v>
      </c>
      <c r="BD204" s="2">
        <v>0.28000000000000003</v>
      </c>
      <c r="BE204" t="s">
        <v>926</v>
      </c>
      <c r="BF204" t="s">
        <v>921</v>
      </c>
      <c r="BG204" t="s">
        <v>939</v>
      </c>
      <c r="BH204" s="7">
        <v>40</v>
      </c>
      <c r="BI20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04">
        <v>0</v>
      </c>
      <c r="BK204" t="s">
        <v>733</v>
      </c>
      <c r="BL204" s="11"/>
      <c r="BM204" s="11"/>
      <c r="BN204" s="11">
        <v>49</v>
      </c>
      <c r="BO204">
        <v>0</v>
      </c>
      <c r="BP204" t="s">
        <v>691</v>
      </c>
      <c r="BQ204" t="s">
        <v>693</v>
      </c>
      <c r="BR204" t="s">
        <v>700</v>
      </c>
      <c r="BS204" t="s">
        <v>704</v>
      </c>
      <c r="BT204" t="s">
        <v>705</v>
      </c>
      <c r="BU204" t="s">
        <v>706</v>
      </c>
      <c r="CT204"/>
      <c r="CU204"/>
      <c r="CV204"/>
    </row>
    <row r="205" spans="1:100" x14ac:dyDescent="0.4">
      <c r="A205" s="2" t="s">
        <v>229</v>
      </c>
      <c r="B205" t="str">
        <f>_xlfn.TEXTAFTER(Table1[[#This Row],[VEHIDCODE]],"_")</f>
        <v>Russia_RZD_ChME3</v>
      </c>
      <c r="C205" t="s">
        <v>739</v>
      </c>
      <c r="D205" t="s">
        <v>958</v>
      </c>
      <c r="E205">
        <v>5033</v>
      </c>
      <c r="F205" t="b">
        <f>OR(ISNUMBER(SEARCH("wagon_",Table1[[#This Row],[FILENAMES_EXPECTED]])),ISNUMBER(SEARCH("coach_",Table1[[#This Row],[FILENAMES_EXPECTED]])))</f>
        <v>0</v>
      </c>
      <c r="G205" t="str">
        <f>"item_"&amp;Table1[[#This Row],[VEHIDCODE]]</f>
        <v>item_diesel_Russia_RZD_ChME3</v>
      </c>
      <c r="H205" t="str">
        <f>"str_"&amp;Table1[[#This Row],[VEHIDCODE]]</f>
        <v>str_diesel_Russia_RZD_ChME3</v>
      </c>
      <c r="AI205" s="2" t="b">
        <v>1</v>
      </c>
      <c r="AL205" s="2"/>
      <c r="AM205" s="2" t="b">
        <f>LEN(_xlfn.CONCAT(Table1[[#This Row],[TRACK_TYPE_STANDARD_GAUGE_RAILTYPE_OHLE]:[TRACK_TYPE_MTRO]]))&gt;0</f>
        <v>1</v>
      </c>
      <c r="AN205">
        <v>8</v>
      </c>
      <c r="AO205" t="s">
        <v>20</v>
      </c>
      <c r="AP205">
        <v>0</v>
      </c>
      <c r="AQ205" t="s">
        <v>35</v>
      </c>
      <c r="AR205">
        <v>0</v>
      </c>
      <c r="AS205">
        <v>1964</v>
      </c>
      <c r="AT205">
        <v>8</v>
      </c>
      <c r="AU205" s="2" t="s">
        <v>20</v>
      </c>
      <c r="AV205" t="b">
        <v>1</v>
      </c>
      <c r="AX205" s="2"/>
      <c r="AY205">
        <v>45</v>
      </c>
      <c r="AZ205">
        <v>1</v>
      </c>
      <c r="BA205">
        <v>1250</v>
      </c>
      <c r="BB205" t="s">
        <v>710</v>
      </c>
      <c r="BC205">
        <v>95</v>
      </c>
      <c r="BD205" s="2">
        <v>0.28999999999999998</v>
      </c>
      <c r="BE205" t="s">
        <v>930</v>
      </c>
      <c r="BF205" t="s">
        <v>921</v>
      </c>
      <c r="BG205" t="s">
        <v>939</v>
      </c>
      <c r="BH205" s="7">
        <v>40</v>
      </c>
      <c r="BI20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05">
        <v>0</v>
      </c>
      <c r="BK205" t="s">
        <v>733</v>
      </c>
      <c r="BL205" s="11"/>
      <c r="BM205" s="11"/>
      <c r="BN205" s="11">
        <v>123</v>
      </c>
      <c r="BO205">
        <v>0</v>
      </c>
      <c r="BP205" t="s">
        <v>691</v>
      </c>
      <c r="BQ205" t="s">
        <v>693</v>
      </c>
      <c r="BR205" t="s">
        <v>700</v>
      </c>
      <c r="BS205" t="s">
        <v>704</v>
      </c>
      <c r="BT205" t="s">
        <v>705</v>
      </c>
      <c r="BU205" t="s">
        <v>706</v>
      </c>
      <c r="CT205"/>
      <c r="CU205"/>
      <c r="CV205"/>
    </row>
    <row r="206" spans="1:100" x14ac:dyDescent="0.4">
      <c r="A206" s="2" t="s">
        <v>230</v>
      </c>
      <c r="B206" t="str">
        <f>_xlfn.TEXTAFTER(Table1[[#This Row],[VEHIDCODE]],"_")</f>
        <v>Argentina_MF_GM_EMD_J16CW_AC</v>
      </c>
      <c r="C206" t="s">
        <v>739</v>
      </c>
      <c r="D206" t="s">
        <v>958</v>
      </c>
      <c r="E206">
        <v>5034</v>
      </c>
      <c r="F206" t="b">
        <f>OR(ISNUMBER(SEARCH("wagon_",Table1[[#This Row],[FILENAMES_EXPECTED]])),ISNUMBER(SEARCH("coach_",Table1[[#This Row],[FILENAMES_EXPECTED]])))</f>
        <v>0</v>
      </c>
      <c r="G206" t="str">
        <f>"item_"&amp;Table1[[#This Row],[VEHIDCODE]]</f>
        <v>item_diesel_Argentina_MF_GM_EMD_J16CW_AC</v>
      </c>
      <c r="H206" t="str">
        <f>"str_"&amp;Table1[[#This Row],[VEHIDCODE]]</f>
        <v>str_diesel_Argentina_MF_GM_EMD_J16CW_AC</v>
      </c>
      <c r="Q206" s="2" t="b">
        <v>1</v>
      </c>
      <c r="AL206" s="2"/>
      <c r="AM206" s="2" t="b">
        <f>LEN(_xlfn.CONCAT(Table1[[#This Row],[TRACK_TYPE_STANDARD_GAUGE_RAILTYPE_OHLE]:[TRACK_TYPE_MTRO]]))&gt;0</f>
        <v>1</v>
      </c>
      <c r="AN206">
        <v>8</v>
      </c>
      <c r="AO206" t="s">
        <v>20</v>
      </c>
      <c r="AP206">
        <v>0</v>
      </c>
      <c r="AQ206" t="s">
        <v>35</v>
      </c>
      <c r="AR206">
        <v>0</v>
      </c>
      <c r="AS206">
        <v>1965</v>
      </c>
      <c r="AT206">
        <v>8</v>
      </c>
      <c r="AU206" s="2" t="s">
        <v>20</v>
      </c>
      <c r="AV206" t="b">
        <v>1</v>
      </c>
      <c r="AX206" s="2"/>
      <c r="AY206">
        <v>45</v>
      </c>
      <c r="AZ206">
        <v>1</v>
      </c>
      <c r="BA206">
        <v>1870</v>
      </c>
      <c r="BB206" t="s">
        <v>710</v>
      </c>
      <c r="BC206">
        <v>120</v>
      </c>
      <c r="BD206" s="2">
        <v>0.21</v>
      </c>
      <c r="BE206" t="s">
        <v>929</v>
      </c>
      <c r="BF206" t="s">
        <v>921</v>
      </c>
      <c r="BG206" t="s">
        <v>939</v>
      </c>
      <c r="BH206" s="7">
        <v>40</v>
      </c>
      <c r="BI20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06">
        <v>0</v>
      </c>
      <c r="BK206" t="s">
        <v>733</v>
      </c>
      <c r="BL206" s="11"/>
      <c r="BM206" s="11"/>
      <c r="BN206" s="11">
        <v>112</v>
      </c>
      <c r="BO206">
        <v>0</v>
      </c>
      <c r="BP206" t="s">
        <v>691</v>
      </c>
      <c r="BQ206" t="s">
        <v>693</v>
      </c>
      <c r="BR206" t="s">
        <v>700</v>
      </c>
      <c r="BS206" t="s">
        <v>704</v>
      </c>
      <c r="BT206" t="s">
        <v>705</v>
      </c>
      <c r="BU206" t="s">
        <v>706</v>
      </c>
      <c r="CT206"/>
      <c r="CU206"/>
      <c r="CV206"/>
    </row>
    <row r="207" spans="1:100" x14ac:dyDescent="0.4">
      <c r="A207" s="2" t="s">
        <v>231</v>
      </c>
      <c r="B207" t="str">
        <f>_xlfn.TEXTAFTER(Table1[[#This Row],[VEHIDCODE]],"_")</f>
        <v>Russia_RZD_M62</v>
      </c>
      <c r="C207" t="s">
        <v>739</v>
      </c>
      <c r="D207" t="s">
        <v>958</v>
      </c>
      <c r="E207">
        <v>5035</v>
      </c>
      <c r="F207" t="b">
        <f>OR(ISNUMBER(SEARCH("wagon_",Table1[[#This Row],[FILENAMES_EXPECTED]])),ISNUMBER(SEARCH("coach_",Table1[[#This Row],[FILENAMES_EXPECTED]])))</f>
        <v>0</v>
      </c>
      <c r="G207" t="str">
        <f>"item_"&amp;Table1[[#This Row],[VEHIDCODE]]</f>
        <v>item_diesel_Russia_RZD_M62</v>
      </c>
      <c r="H207" t="str">
        <f>"str_"&amp;Table1[[#This Row],[VEHIDCODE]]</f>
        <v>str_diesel_Russia_RZD_M62</v>
      </c>
      <c r="AI207" s="2" t="b">
        <v>1</v>
      </c>
      <c r="AL207" s="2"/>
      <c r="AM207" s="2" t="b">
        <f>LEN(_xlfn.CONCAT(Table1[[#This Row],[TRACK_TYPE_STANDARD_GAUGE_RAILTYPE_OHLE]:[TRACK_TYPE_MTRO]]))&gt;0</f>
        <v>1</v>
      </c>
      <c r="AN207">
        <v>8</v>
      </c>
      <c r="AO207" t="s">
        <v>20</v>
      </c>
      <c r="AP207">
        <v>0</v>
      </c>
      <c r="AQ207" t="s">
        <v>35</v>
      </c>
      <c r="AR207">
        <v>0</v>
      </c>
      <c r="AS207">
        <v>1965</v>
      </c>
      <c r="AT207">
        <v>8</v>
      </c>
      <c r="AU207" s="2" t="s">
        <v>20</v>
      </c>
      <c r="AV207" t="b">
        <v>1</v>
      </c>
      <c r="AX207" s="2"/>
      <c r="AY207">
        <v>45</v>
      </c>
      <c r="AZ207">
        <v>1</v>
      </c>
      <c r="BA207">
        <v>1970</v>
      </c>
      <c r="BB207" t="s">
        <v>710</v>
      </c>
      <c r="BC207">
        <v>100</v>
      </c>
      <c r="BD207" s="2">
        <v>0.3</v>
      </c>
      <c r="BE207" t="s">
        <v>930</v>
      </c>
      <c r="BF207" t="s">
        <v>921</v>
      </c>
      <c r="BG207" t="s">
        <v>939</v>
      </c>
      <c r="BH207" s="7">
        <v>40</v>
      </c>
      <c r="BI20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07">
        <v>0</v>
      </c>
      <c r="BK207" t="s">
        <v>733</v>
      </c>
      <c r="BL207" s="11"/>
      <c r="BM207" s="11"/>
      <c r="BN207" s="11">
        <v>116</v>
      </c>
      <c r="BO207">
        <v>0</v>
      </c>
      <c r="BP207" t="s">
        <v>691</v>
      </c>
      <c r="BQ207" t="s">
        <v>693</v>
      </c>
      <c r="BR207" t="s">
        <v>700</v>
      </c>
      <c r="BS207" t="s">
        <v>704</v>
      </c>
      <c r="BT207" t="s">
        <v>705</v>
      </c>
      <c r="BU207" t="s">
        <v>706</v>
      </c>
      <c r="CT207"/>
      <c r="CU207"/>
      <c r="CV207"/>
    </row>
    <row r="208" spans="1:100" x14ac:dyDescent="0.4">
      <c r="A208" s="2" t="s">
        <v>232</v>
      </c>
      <c r="B208" t="str">
        <f>_xlfn.TEXTAFTER(Table1[[#This Row],[VEHIDCODE]],"_")</f>
        <v>Australia_NSWGR_422</v>
      </c>
      <c r="C208" t="s">
        <v>739</v>
      </c>
      <c r="D208" t="s">
        <v>958</v>
      </c>
      <c r="E208">
        <v>5036</v>
      </c>
      <c r="F208" t="b">
        <f>OR(ISNUMBER(SEARCH("wagon_",Table1[[#This Row],[FILENAMES_EXPECTED]])),ISNUMBER(SEARCH("coach_",Table1[[#This Row],[FILENAMES_EXPECTED]])))</f>
        <v>0</v>
      </c>
      <c r="G208" t="str">
        <f>"item_"&amp;Table1[[#This Row],[VEHIDCODE]]</f>
        <v>item_diesel_Australia_NSWGR_422</v>
      </c>
      <c r="H208" t="str">
        <f>"str_"&amp;Table1[[#This Row],[VEHIDCODE]]</f>
        <v>str_diesel_Australia_NSWGR_422</v>
      </c>
      <c r="Q208" s="2" t="b">
        <v>1</v>
      </c>
      <c r="AL208" s="2"/>
      <c r="AM208" s="2" t="b">
        <f>LEN(_xlfn.CONCAT(Table1[[#This Row],[TRACK_TYPE_STANDARD_GAUGE_RAILTYPE_OHLE]:[TRACK_TYPE_MTRO]]))&gt;0</f>
        <v>1</v>
      </c>
      <c r="AN208">
        <v>8</v>
      </c>
      <c r="AO208" t="s">
        <v>20</v>
      </c>
      <c r="AP208">
        <v>0</v>
      </c>
      <c r="AQ208" t="s">
        <v>35</v>
      </c>
      <c r="AR208">
        <v>0</v>
      </c>
      <c r="AS208">
        <v>1969</v>
      </c>
      <c r="AT208">
        <v>8</v>
      </c>
      <c r="AU208" s="2" t="s">
        <v>20</v>
      </c>
      <c r="AV208" t="b">
        <v>1</v>
      </c>
      <c r="AX208" s="2"/>
      <c r="AY208">
        <v>45</v>
      </c>
      <c r="AZ208">
        <v>1</v>
      </c>
      <c r="BA208">
        <v>2200</v>
      </c>
      <c r="BB208" t="s">
        <v>710</v>
      </c>
      <c r="BC208">
        <v>124</v>
      </c>
      <c r="BD208" s="2">
        <v>0.25</v>
      </c>
      <c r="BE208" t="s">
        <v>924</v>
      </c>
      <c r="BF208" t="s">
        <v>921</v>
      </c>
      <c r="BG208" t="s">
        <v>939</v>
      </c>
      <c r="BH208" s="7">
        <v>40</v>
      </c>
      <c r="BI20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08">
        <v>0</v>
      </c>
      <c r="BK208" t="s">
        <v>733</v>
      </c>
      <c r="BL208" s="11"/>
      <c r="BM208" s="11"/>
      <c r="BN208" s="11">
        <v>110</v>
      </c>
      <c r="BO208">
        <v>0</v>
      </c>
      <c r="BP208" t="s">
        <v>691</v>
      </c>
      <c r="BQ208" t="s">
        <v>693</v>
      </c>
      <c r="BR208" t="s">
        <v>700</v>
      </c>
      <c r="BS208" t="s">
        <v>704</v>
      </c>
      <c r="BT208" t="s">
        <v>705</v>
      </c>
      <c r="BU208" t="s">
        <v>706</v>
      </c>
      <c r="CT208"/>
      <c r="CU208"/>
      <c r="CV208"/>
    </row>
    <row r="209" spans="1:100" x14ac:dyDescent="0.4">
      <c r="A209" s="2" t="s">
        <v>233</v>
      </c>
      <c r="B209" t="str">
        <f>_xlfn.TEXTAFTER(Table1[[#This Row],[VEHIDCODE]],"_")</f>
        <v>Egypt_ENR_G22W</v>
      </c>
      <c r="C209" t="s">
        <v>739</v>
      </c>
      <c r="D209" t="s">
        <v>958</v>
      </c>
      <c r="E209">
        <v>5037</v>
      </c>
      <c r="F209" t="b">
        <f>OR(ISNUMBER(SEARCH("wagon_",Table1[[#This Row],[FILENAMES_EXPECTED]])),ISNUMBER(SEARCH("coach_",Table1[[#This Row],[FILENAMES_EXPECTED]])))</f>
        <v>0</v>
      </c>
      <c r="G209" t="str">
        <f>"item_"&amp;Table1[[#This Row],[VEHIDCODE]]</f>
        <v>item_diesel_Egypt_ENR_G22W</v>
      </c>
      <c r="H209" t="str">
        <f>"str_"&amp;Table1[[#This Row],[VEHIDCODE]]</f>
        <v>str_diesel_Egypt_ENR_G22W</v>
      </c>
      <c r="Q209" s="2" t="b">
        <v>1</v>
      </c>
      <c r="AL209" s="2"/>
      <c r="AM209" s="2" t="b">
        <f>LEN(_xlfn.CONCAT(Table1[[#This Row],[TRACK_TYPE_STANDARD_GAUGE_RAILTYPE_OHLE]:[TRACK_TYPE_MTRO]]))&gt;0</f>
        <v>1</v>
      </c>
      <c r="AN209">
        <v>8</v>
      </c>
      <c r="AO209" t="s">
        <v>20</v>
      </c>
      <c r="AP209">
        <v>0</v>
      </c>
      <c r="AQ209" t="s">
        <v>35</v>
      </c>
      <c r="AR209">
        <v>0</v>
      </c>
      <c r="AS209">
        <v>1969</v>
      </c>
      <c r="AT209">
        <v>8</v>
      </c>
      <c r="AU209" s="2" t="s">
        <v>20</v>
      </c>
      <c r="AV209" t="b">
        <v>1</v>
      </c>
      <c r="AX209" s="2"/>
      <c r="AY209">
        <v>45</v>
      </c>
      <c r="AZ209">
        <v>1</v>
      </c>
      <c r="BA209">
        <v>1650</v>
      </c>
      <c r="BB209" t="s">
        <v>710</v>
      </c>
      <c r="BC209">
        <v>160</v>
      </c>
      <c r="BD209" s="2">
        <v>0.21</v>
      </c>
      <c r="BE209" t="s">
        <v>925</v>
      </c>
      <c r="BF209" t="s">
        <v>921</v>
      </c>
      <c r="BG209" t="s">
        <v>939</v>
      </c>
      <c r="BH209" s="7">
        <v>40</v>
      </c>
      <c r="BI20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09">
        <v>0</v>
      </c>
      <c r="BK209" t="s">
        <v>733</v>
      </c>
      <c r="BL209" s="11"/>
      <c r="BM209" s="11"/>
      <c r="BN209" s="11">
        <v>72</v>
      </c>
      <c r="BO209">
        <v>0</v>
      </c>
      <c r="BP209" t="s">
        <v>691</v>
      </c>
      <c r="BQ209" t="s">
        <v>693</v>
      </c>
      <c r="BR209" t="s">
        <v>700</v>
      </c>
      <c r="BS209" t="s">
        <v>704</v>
      </c>
      <c r="BT209" t="s">
        <v>705</v>
      </c>
      <c r="BU209" t="s">
        <v>706</v>
      </c>
      <c r="CT209"/>
      <c r="CU209"/>
      <c r="CV209"/>
    </row>
    <row r="210" spans="1:100" x14ac:dyDescent="0.4">
      <c r="A210" s="2" t="s">
        <v>234</v>
      </c>
      <c r="B210" t="str">
        <f>_xlfn.TEXTAFTER(Table1[[#This Row],[VEHIDCODE]],"_")</f>
        <v>USA_UP_EMD_DDA40X</v>
      </c>
      <c r="C210" t="s">
        <v>739</v>
      </c>
      <c r="D210" t="s">
        <v>958</v>
      </c>
      <c r="E210">
        <v>5065</v>
      </c>
      <c r="F210" t="b">
        <f>OR(ISNUMBER(SEARCH("wagon_",Table1[[#This Row],[FILENAMES_EXPECTED]])),ISNUMBER(SEARCH("coach_",Table1[[#This Row],[FILENAMES_EXPECTED]])))</f>
        <v>0</v>
      </c>
      <c r="G210" t="str">
        <f>"item_"&amp;Table1[[#This Row],[VEHIDCODE]]</f>
        <v>item_diesel_USA_UP_EMD_DDA40X</v>
      </c>
      <c r="H210" t="str">
        <f>"str_"&amp;Table1[[#This Row],[VEHIDCODE]]</f>
        <v>str_diesel_USA_UP_EMD_DDA40X</v>
      </c>
      <c r="Q210" s="2" t="b">
        <v>1</v>
      </c>
      <c r="AL210" s="2"/>
      <c r="AM210" s="2" t="b">
        <f>LEN(_xlfn.CONCAT(Table1[[#This Row],[TRACK_TYPE_STANDARD_GAUGE_RAILTYPE_OHLE]:[TRACK_TYPE_MTRO]]))&gt;0</f>
        <v>1</v>
      </c>
      <c r="AN210">
        <v>4</v>
      </c>
      <c r="AO210" t="s">
        <v>20</v>
      </c>
      <c r="AP210">
        <v>0</v>
      </c>
      <c r="AQ210" t="s">
        <v>35</v>
      </c>
      <c r="AR210">
        <v>0</v>
      </c>
      <c r="AS210">
        <v>1969</v>
      </c>
      <c r="AT210">
        <v>8</v>
      </c>
      <c r="AU210" s="2" t="s">
        <v>20</v>
      </c>
      <c r="AV210" t="b">
        <v>1</v>
      </c>
      <c r="AX210" s="2"/>
      <c r="AY210">
        <v>45</v>
      </c>
      <c r="AZ210">
        <v>1</v>
      </c>
      <c r="BA210">
        <v>6600</v>
      </c>
      <c r="BB210" t="s">
        <v>710</v>
      </c>
      <c r="BC210">
        <v>144</v>
      </c>
      <c r="BD210" s="2">
        <v>0.19</v>
      </c>
      <c r="BE210" t="s">
        <v>927</v>
      </c>
      <c r="BF210" t="s">
        <v>921</v>
      </c>
      <c r="BG210" t="s">
        <v>939</v>
      </c>
      <c r="BH210" s="7">
        <v>40</v>
      </c>
      <c r="BI21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10">
        <v>0</v>
      </c>
      <c r="BK210" t="s">
        <v>733</v>
      </c>
      <c r="BL210" s="11"/>
      <c r="BM210" s="11"/>
      <c r="BN210" s="11">
        <v>261</v>
      </c>
      <c r="BO210">
        <v>0</v>
      </c>
      <c r="BP210" t="s">
        <v>691</v>
      </c>
      <c r="BQ210" t="s">
        <v>693</v>
      </c>
      <c r="BR210" t="s">
        <v>700</v>
      </c>
      <c r="BS210" t="s">
        <v>704</v>
      </c>
      <c r="BT210" t="s">
        <v>705</v>
      </c>
      <c r="BU210" t="s">
        <v>706</v>
      </c>
      <c r="CT210"/>
      <c r="CU210"/>
      <c r="CV210"/>
    </row>
    <row r="211" spans="1:100" x14ac:dyDescent="0.4">
      <c r="A211" s="2" t="s">
        <v>235</v>
      </c>
      <c r="B211" t="str">
        <f>_xlfn.TEXTAFTER(Table1[[#This Row],[VEHIDCODE]],"_")</f>
        <v>Australia_Queensland_Rail_2100</v>
      </c>
      <c r="C211" t="s">
        <v>739</v>
      </c>
      <c r="D211" t="s">
        <v>958</v>
      </c>
      <c r="E211">
        <v>5039</v>
      </c>
      <c r="F211" t="b">
        <f>OR(ISNUMBER(SEARCH("wagon_",Table1[[#This Row],[FILENAMES_EXPECTED]])),ISNUMBER(SEARCH("coach_",Table1[[#This Row],[FILENAMES_EXPECTED]])))</f>
        <v>0</v>
      </c>
      <c r="G211" t="str">
        <f>"item_"&amp;Table1[[#This Row],[VEHIDCODE]]</f>
        <v>item_diesel_Australia_Queensland_Rail_2100</v>
      </c>
      <c r="H211" t="str">
        <f>"str_"&amp;Table1[[#This Row],[VEHIDCODE]]</f>
        <v>str_diesel_Australia_Queensland_Rail_2100</v>
      </c>
      <c r="Z211" s="2" t="b">
        <v>1</v>
      </c>
      <c r="AL211" s="2"/>
      <c r="AM211" s="2" t="b">
        <f>LEN(_xlfn.CONCAT(Table1[[#This Row],[TRACK_TYPE_STANDARD_GAUGE_RAILTYPE_OHLE]:[TRACK_TYPE_MTRO]]))&gt;0</f>
        <v>1</v>
      </c>
      <c r="AN211">
        <v>8</v>
      </c>
      <c r="AO211" t="s">
        <v>20</v>
      </c>
      <c r="AP211">
        <v>0</v>
      </c>
      <c r="AQ211" t="s">
        <v>35</v>
      </c>
      <c r="AR211">
        <v>0</v>
      </c>
      <c r="AS211">
        <v>1970</v>
      </c>
      <c r="AT211">
        <v>8</v>
      </c>
      <c r="AU211" s="2" t="s">
        <v>20</v>
      </c>
      <c r="AV211" t="b">
        <v>1</v>
      </c>
      <c r="AX211" s="2"/>
      <c r="AY211">
        <v>45</v>
      </c>
      <c r="AZ211">
        <v>1</v>
      </c>
      <c r="BA211">
        <v>1950</v>
      </c>
      <c r="BB211" t="s">
        <v>710</v>
      </c>
      <c r="BC211">
        <v>80</v>
      </c>
      <c r="BD211" s="2">
        <v>0.28999999999999998</v>
      </c>
      <c r="BE211" t="s">
        <v>924</v>
      </c>
      <c r="BF211" t="s">
        <v>921</v>
      </c>
      <c r="BG211" t="s">
        <v>939</v>
      </c>
      <c r="BH211" s="7">
        <v>40</v>
      </c>
      <c r="BI21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11">
        <v>0</v>
      </c>
      <c r="BK211" t="s">
        <v>733</v>
      </c>
      <c r="BL211" s="11"/>
      <c r="BM211" s="11"/>
      <c r="BN211" s="11">
        <v>98</v>
      </c>
      <c r="BO211">
        <v>0</v>
      </c>
      <c r="BP211" t="s">
        <v>691</v>
      </c>
      <c r="BQ211" t="s">
        <v>693</v>
      </c>
      <c r="BR211" t="s">
        <v>700</v>
      </c>
      <c r="BS211" t="s">
        <v>704</v>
      </c>
      <c r="BT211" t="s">
        <v>705</v>
      </c>
      <c r="BU211" t="s">
        <v>706</v>
      </c>
      <c r="CT211"/>
      <c r="CU211"/>
      <c r="CV211"/>
    </row>
    <row r="212" spans="1:100" x14ac:dyDescent="0.4">
      <c r="A212" s="2" t="s">
        <v>236</v>
      </c>
      <c r="B212" t="str">
        <f>_xlfn.TEXTAFTER(Table1[[#This Row],[VEHIDCODE]],"_")</f>
        <v>Croatia_HZ_2062</v>
      </c>
      <c r="C212" t="s">
        <v>739</v>
      </c>
      <c r="D212" t="s">
        <v>958</v>
      </c>
      <c r="E212">
        <v>5040</v>
      </c>
      <c r="F212" t="b">
        <f>OR(ISNUMBER(SEARCH("wagon_",Table1[[#This Row],[FILENAMES_EXPECTED]])),ISNUMBER(SEARCH("coach_",Table1[[#This Row],[FILENAMES_EXPECTED]])))</f>
        <v>0</v>
      </c>
      <c r="G212" t="str">
        <f>"item_"&amp;Table1[[#This Row],[VEHIDCODE]]</f>
        <v>item_diesel_Croatia_HZ_2062</v>
      </c>
      <c r="H212" t="str">
        <f>"str_"&amp;Table1[[#This Row],[VEHIDCODE]]</f>
        <v>str_diesel_Croatia_HZ_2062</v>
      </c>
      <c r="Q212" s="2" t="b">
        <v>1</v>
      </c>
      <c r="AL212" s="2"/>
      <c r="AM212" s="2" t="b">
        <f>LEN(_xlfn.CONCAT(Table1[[#This Row],[TRACK_TYPE_STANDARD_GAUGE_RAILTYPE_OHLE]:[TRACK_TYPE_MTRO]]))&gt;0</f>
        <v>1</v>
      </c>
      <c r="AN212">
        <v>8</v>
      </c>
      <c r="AO212" t="s">
        <v>20</v>
      </c>
      <c r="AP212">
        <v>0</v>
      </c>
      <c r="AQ212" t="s">
        <v>35</v>
      </c>
      <c r="AR212">
        <v>0</v>
      </c>
      <c r="AS212">
        <v>1972</v>
      </c>
      <c r="AT212">
        <v>8</v>
      </c>
      <c r="AU212" s="2" t="s">
        <v>20</v>
      </c>
      <c r="AV212" t="b">
        <v>1</v>
      </c>
      <c r="AX212" s="2"/>
      <c r="AY212">
        <v>45</v>
      </c>
      <c r="AZ212">
        <v>1</v>
      </c>
      <c r="BA212">
        <v>2200</v>
      </c>
      <c r="BB212" t="s">
        <v>710</v>
      </c>
      <c r="BC212">
        <v>124</v>
      </c>
      <c r="BD212" s="2">
        <v>0.26</v>
      </c>
      <c r="BE212" t="s">
        <v>928</v>
      </c>
      <c r="BF212" t="s">
        <v>921</v>
      </c>
      <c r="BG212" t="s">
        <v>939</v>
      </c>
      <c r="BH212" s="7">
        <v>40</v>
      </c>
      <c r="BI21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12">
        <v>0</v>
      </c>
      <c r="BK212" t="s">
        <v>733</v>
      </c>
      <c r="BL212" s="11"/>
      <c r="BM212" s="11"/>
      <c r="BN212" s="11">
        <v>103</v>
      </c>
      <c r="BO212">
        <v>0</v>
      </c>
      <c r="BP212" t="s">
        <v>691</v>
      </c>
      <c r="BQ212" t="s">
        <v>693</v>
      </c>
      <c r="BR212" t="s">
        <v>700</v>
      </c>
      <c r="BS212" t="s">
        <v>704</v>
      </c>
      <c r="BT212" t="s">
        <v>705</v>
      </c>
      <c r="BU212" t="s">
        <v>706</v>
      </c>
      <c r="CT212"/>
      <c r="CU212"/>
      <c r="CV212"/>
    </row>
    <row r="213" spans="1:100" x14ac:dyDescent="0.4">
      <c r="A213" s="2" t="s">
        <v>237</v>
      </c>
      <c r="B213" t="str">
        <f>_xlfn.TEXTAFTER(Table1[[#This Row],[VEHIDCODE]],"_")</f>
        <v>Sweden_SJ_V4</v>
      </c>
      <c r="C213" t="s">
        <v>739</v>
      </c>
      <c r="D213" t="s">
        <v>958</v>
      </c>
      <c r="E213">
        <v>5041</v>
      </c>
      <c r="F213" t="b">
        <f>OR(ISNUMBER(SEARCH("wagon_",Table1[[#This Row],[FILENAMES_EXPECTED]])),ISNUMBER(SEARCH("coach_",Table1[[#This Row],[FILENAMES_EXPECTED]])))</f>
        <v>0</v>
      </c>
      <c r="G213" t="str">
        <f>"item_"&amp;Table1[[#This Row],[VEHIDCODE]]</f>
        <v>item_diesel_Sweden_SJ_V4</v>
      </c>
      <c r="H213" t="str">
        <f>"str_"&amp;Table1[[#This Row],[VEHIDCODE]]</f>
        <v>str_diesel_Sweden_SJ_V4</v>
      </c>
      <c r="Q213" s="2" t="b">
        <v>1</v>
      </c>
      <c r="AL213" s="2"/>
      <c r="AM213" s="2" t="b">
        <f>LEN(_xlfn.CONCAT(Table1[[#This Row],[TRACK_TYPE_STANDARD_GAUGE_RAILTYPE_OHLE]:[TRACK_TYPE_MTRO]]))&gt;0</f>
        <v>1</v>
      </c>
      <c r="AN213">
        <v>6</v>
      </c>
      <c r="AO213" t="s">
        <v>20</v>
      </c>
      <c r="AP213">
        <v>0</v>
      </c>
      <c r="AQ213" t="s">
        <v>35</v>
      </c>
      <c r="AR213">
        <v>0</v>
      </c>
      <c r="AS213">
        <v>1972</v>
      </c>
      <c r="AT213">
        <v>6</v>
      </c>
      <c r="AU213" s="2" t="s">
        <v>20</v>
      </c>
      <c r="AV213" t="b">
        <v>1</v>
      </c>
      <c r="AX213" s="2"/>
      <c r="AY213">
        <v>45</v>
      </c>
      <c r="AZ213">
        <v>0</v>
      </c>
      <c r="BA213">
        <v>620</v>
      </c>
      <c r="BB213" t="s">
        <v>710</v>
      </c>
      <c r="BC213">
        <v>70</v>
      </c>
      <c r="BD213" s="2">
        <v>0.3</v>
      </c>
      <c r="BE213" t="s">
        <v>926</v>
      </c>
      <c r="BF213" t="s">
        <v>921</v>
      </c>
      <c r="BG213" t="s">
        <v>939</v>
      </c>
      <c r="BH213" s="7">
        <v>40</v>
      </c>
      <c r="BI21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13">
        <v>0</v>
      </c>
      <c r="BK213" t="s">
        <v>733</v>
      </c>
      <c r="BL213" s="11"/>
      <c r="BM213" s="11"/>
      <c r="BN213" s="11">
        <v>46</v>
      </c>
      <c r="BO213">
        <v>0</v>
      </c>
      <c r="BP213" t="s">
        <v>691</v>
      </c>
      <c r="BQ213" t="s">
        <v>693</v>
      </c>
      <c r="BR213" t="s">
        <v>700</v>
      </c>
      <c r="BS213" t="s">
        <v>704</v>
      </c>
      <c r="BT213" t="s">
        <v>705</v>
      </c>
      <c r="BU213" t="s">
        <v>706</v>
      </c>
      <c r="CT213"/>
      <c r="CU213"/>
      <c r="CV213"/>
    </row>
    <row r="214" spans="1:100" x14ac:dyDescent="0.4">
      <c r="A214" s="2" t="s">
        <v>238</v>
      </c>
      <c r="B214" t="str">
        <f>_xlfn.TEXTAFTER(Table1[[#This Row],[VEHIDCODE]],"_")</f>
        <v>Canada_CNR_MLW_M420W</v>
      </c>
      <c r="C214" t="s">
        <v>739</v>
      </c>
      <c r="D214" t="s">
        <v>958</v>
      </c>
      <c r="E214">
        <v>5042</v>
      </c>
      <c r="F214" t="b">
        <f>OR(ISNUMBER(SEARCH("wagon_",Table1[[#This Row],[FILENAMES_EXPECTED]])),ISNUMBER(SEARCH("coach_",Table1[[#This Row],[FILENAMES_EXPECTED]])))</f>
        <v>0</v>
      </c>
      <c r="G214" t="str">
        <f>"item_"&amp;Table1[[#This Row],[VEHIDCODE]]</f>
        <v>item_diesel_Canada_CNR_MLW_M420W</v>
      </c>
      <c r="H214" t="str">
        <f>"str_"&amp;Table1[[#This Row],[VEHIDCODE]]</f>
        <v>str_diesel_Canada_CNR_MLW_M420W</v>
      </c>
      <c r="Q214" s="2" t="b">
        <v>1</v>
      </c>
      <c r="AL214" s="2"/>
      <c r="AM214" s="2" t="b">
        <f>LEN(_xlfn.CONCAT(Table1[[#This Row],[TRACK_TYPE_STANDARD_GAUGE_RAILTYPE_OHLE]:[TRACK_TYPE_MTRO]]))&gt;0</f>
        <v>1</v>
      </c>
      <c r="AN214">
        <v>8</v>
      </c>
      <c r="AO214" t="s">
        <v>20</v>
      </c>
      <c r="AP214">
        <v>0</v>
      </c>
      <c r="AQ214" t="s">
        <v>35</v>
      </c>
      <c r="AR214">
        <v>0</v>
      </c>
      <c r="AS214">
        <v>1973</v>
      </c>
      <c r="AT214">
        <v>8</v>
      </c>
      <c r="AU214" s="2" t="s">
        <v>20</v>
      </c>
      <c r="AV214" t="b">
        <v>1</v>
      </c>
      <c r="AX214" s="2"/>
      <c r="AY214">
        <v>45</v>
      </c>
      <c r="AZ214">
        <v>1</v>
      </c>
      <c r="BA214">
        <v>2400</v>
      </c>
      <c r="BB214" t="s">
        <v>710</v>
      </c>
      <c r="BC214">
        <v>108</v>
      </c>
      <c r="BD214" s="2">
        <v>0.13</v>
      </c>
      <c r="BE214" t="s">
        <v>927</v>
      </c>
      <c r="BF214" t="s">
        <v>921</v>
      </c>
      <c r="BG214" t="s">
        <v>939</v>
      </c>
      <c r="BH214" s="7">
        <v>40</v>
      </c>
      <c r="BI21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14">
        <v>0</v>
      </c>
      <c r="BK214" t="s">
        <v>733</v>
      </c>
      <c r="BL214" s="11"/>
      <c r="BM214" s="11"/>
      <c r="BN214" s="11">
        <v>125</v>
      </c>
      <c r="BO214">
        <v>0</v>
      </c>
      <c r="BP214" t="s">
        <v>691</v>
      </c>
      <c r="BQ214" t="s">
        <v>693</v>
      </c>
      <c r="BR214" t="s">
        <v>700</v>
      </c>
      <c r="BS214" t="s">
        <v>704</v>
      </c>
      <c r="BT214" t="s">
        <v>705</v>
      </c>
      <c r="BU214" t="s">
        <v>706</v>
      </c>
      <c r="CT214"/>
      <c r="CU214"/>
      <c r="CV214"/>
    </row>
    <row r="215" spans="1:100" x14ac:dyDescent="0.4">
      <c r="A215" s="2" t="s">
        <v>945</v>
      </c>
      <c r="B215" t="str">
        <f>_xlfn.TEXTAFTER(Table1[[#This Row],[VEHIDCODE]],"_")</f>
        <v>USA_Amtrak_SDP_40F</v>
      </c>
      <c r="C215" t="s">
        <v>739</v>
      </c>
      <c r="D215" t="s">
        <v>958</v>
      </c>
      <c r="E215">
        <v>5043</v>
      </c>
      <c r="F215" t="b">
        <f>OR(ISNUMBER(SEARCH("wagon_",Table1[[#This Row],[FILENAMES_EXPECTED]])),ISNUMBER(SEARCH("coach_",Table1[[#This Row],[FILENAMES_EXPECTED]])))</f>
        <v>0</v>
      </c>
      <c r="G215" t="str">
        <f>"item_"&amp;Table1[[#This Row],[VEHIDCODE]]</f>
        <v>item_diesel_USA_Amtrak_SDP_40F</v>
      </c>
      <c r="H215" t="str">
        <f>"str_"&amp;Table1[[#This Row],[VEHIDCODE]]</f>
        <v>str_diesel_USA_Amtrak_SDP_40F</v>
      </c>
      <c r="Q215" s="2" t="b">
        <v>1</v>
      </c>
      <c r="AL215" s="2"/>
      <c r="AM215" s="2" t="b">
        <f>LEN(_xlfn.CONCAT(Table1[[#This Row],[TRACK_TYPE_STANDARD_GAUGE_RAILTYPE_OHLE]:[TRACK_TYPE_MTRO]]))&gt;0</f>
        <v>1</v>
      </c>
      <c r="AN215">
        <v>8</v>
      </c>
      <c r="AO215" t="s">
        <v>20</v>
      </c>
      <c r="AP215">
        <v>0</v>
      </c>
      <c r="AQ215" t="s">
        <v>35</v>
      </c>
      <c r="AR215">
        <v>0</v>
      </c>
      <c r="AS215">
        <v>1973</v>
      </c>
      <c r="AT215">
        <v>8</v>
      </c>
      <c r="AU215" s="2" t="s">
        <v>20</v>
      </c>
      <c r="AV215" t="b">
        <v>1</v>
      </c>
      <c r="AX215" s="2"/>
      <c r="AY215">
        <v>45</v>
      </c>
      <c r="AZ215">
        <v>1</v>
      </c>
      <c r="BA215">
        <v>3000</v>
      </c>
      <c r="BB215" t="s">
        <v>710</v>
      </c>
      <c r="BC215">
        <v>153</v>
      </c>
      <c r="BD215" s="2">
        <v>0.15</v>
      </c>
      <c r="BE215" t="s">
        <v>927</v>
      </c>
      <c r="BF215" t="s">
        <v>921</v>
      </c>
      <c r="BG215" t="s">
        <v>939</v>
      </c>
      <c r="BH215" s="7">
        <v>40</v>
      </c>
      <c r="BI21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15">
        <v>-3</v>
      </c>
      <c r="BK215" t="s">
        <v>733</v>
      </c>
      <c r="BL215" s="11"/>
      <c r="BM215" s="11"/>
      <c r="BN215" s="11">
        <v>131</v>
      </c>
      <c r="BO215">
        <v>0</v>
      </c>
      <c r="BP215" t="s">
        <v>691</v>
      </c>
      <c r="BQ215" t="s">
        <v>693</v>
      </c>
      <c r="BR215" t="s">
        <v>700</v>
      </c>
      <c r="BS215" t="s">
        <v>704</v>
      </c>
      <c r="BT215" t="s">
        <v>705</v>
      </c>
      <c r="BU215" t="s">
        <v>706</v>
      </c>
      <c r="CT215"/>
      <c r="CU215"/>
      <c r="CV215"/>
    </row>
    <row r="216" spans="1:100" x14ac:dyDescent="0.4">
      <c r="A216" s="2" t="s">
        <v>239</v>
      </c>
      <c r="B216" t="str">
        <f>_xlfn.TEXTAFTER(Table1[[#This Row],[VEHIDCODE]],"_")</f>
        <v>China_China_Railways_DFH3</v>
      </c>
      <c r="C216" t="s">
        <v>739</v>
      </c>
      <c r="D216" t="s">
        <v>958</v>
      </c>
      <c r="E216">
        <v>5044</v>
      </c>
      <c r="F216" t="b">
        <f>OR(ISNUMBER(SEARCH("wagon_",Table1[[#This Row],[FILENAMES_EXPECTED]])),ISNUMBER(SEARCH("coach_",Table1[[#This Row],[FILENAMES_EXPECTED]])))</f>
        <v>0</v>
      </c>
      <c r="G216" t="str">
        <f>"item_"&amp;Table1[[#This Row],[VEHIDCODE]]</f>
        <v>item_diesel_China_China_Railways_DFH3</v>
      </c>
      <c r="H216" t="str">
        <f>"str_"&amp;Table1[[#This Row],[VEHIDCODE]]</f>
        <v>str_diesel_China_China_Railways_DFH3</v>
      </c>
      <c r="Q216" s="2" t="b">
        <v>1</v>
      </c>
      <c r="AL216" s="2"/>
      <c r="AM216" s="2" t="b">
        <f>LEN(_xlfn.CONCAT(Table1[[#This Row],[TRACK_TYPE_STANDARD_GAUGE_RAILTYPE_OHLE]:[TRACK_TYPE_MTRO]]))&gt;0</f>
        <v>1</v>
      </c>
      <c r="AN216">
        <v>8</v>
      </c>
      <c r="AO216" t="s">
        <v>20</v>
      </c>
      <c r="AP216">
        <v>0</v>
      </c>
      <c r="AQ216" t="s">
        <v>35</v>
      </c>
      <c r="AR216">
        <v>0</v>
      </c>
      <c r="AS216">
        <v>1976</v>
      </c>
      <c r="AT216">
        <v>8</v>
      </c>
      <c r="AU216" s="2" t="s">
        <v>20</v>
      </c>
      <c r="AV216" t="b">
        <v>1</v>
      </c>
      <c r="AX216" s="2"/>
      <c r="AY216">
        <v>45</v>
      </c>
      <c r="AZ216">
        <v>1</v>
      </c>
      <c r="BA216">
        <v>2200</v>
      </c>
      <c r="BB216" t="s">
        <v>710</v>
      </c>
      <c r="BC216">
        <v>120</v>
      </c>
      <c r="BD216" s="2">
        <v>0.28999999999999998</v>
      </c>
      <c r="BE216" t="s">
        <v>930</v>
      </c>
      <c r="BF216" t="s">
        <v>921</v>
      </c>
      <c r="BG216" t="s">
        <v>939</v>
      </c>
      <c r="BH216" s="7">
        <v>40</v>
      </c>
      <c r="BI21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16">
        <v>0</v>
      </c>
      <c r="BK216" t="s">
        <v>733</v>
      </c>
      <c r="BL216" s="11"/>
      <c r="BM216" s="11"/>
      <c r="BN216" s="11">
        <v>92</v>
      </c>
      <c r="BO216">
        <v>0</v>
      </c>
      <c r="BP216" t="s">
        <v>691</v>
      </c>
      <c r="BQ216" t="s">
        <v>693</v>
      </c>
      <c r="BR216" t="s">
        <v>700</v>
      </c>
      <c r="BS216" t="s">
        <v>704</v>
      </c>
      <c r="BT216" t="s">
        <v>705</v>
      </c>
      <c r="BU216" t="s">
        <v>706</v>
      </c>
      <c r="CT216"/>
      <c r="CU216"/>
      <c r="CV216"/>
    </row>
    <row r="217" spans="1:100" x14ac:dyDescent="0.4">
      <c r="A217" s="2" t="s">
        <v>240</v>
      </c>
      <c r="B217" t="str">
        <f>_xlfn.TEXTAFTER(Table1[[#This Row],[VEHIDCODE]],"_")</f>
        <v>Panama_Panama_Canal_Railway_EMD_F40PH</v>
      </c>
      <c r="C217" t="s">
        <v>739</v>
      </c>
      <c r="D217" t="s">
        <v>958</v>
      </c>
      <c r="E217">
        <v>5045</v>
      </c>
      <c r="F217" t="b">
        <f>OR(ISNUMBER(SEARCH("wagon_",Table1[[#This Row],[FILENAMES_EXPECTED]])),ISNUMBER(SEARCH("coach_",Table1[[#This Row],[FILENAMES_EXPECTED]])))</f>
        <v>0</v>
      </c>
      <c r="G217" t="str">
        <f>"item_"&amp;Table1[[#This Row],[VEHIDCODE]]</f>
        <v>item_diesel_Panama_Panama_Canal_Railway_EMD_F40PH</v>
      </c>
      <c r="H217" t="str">
        <f>"str_"&amp;Table1[[#This Row],[VEHIDCODE]]</f>
        <v>str_diesel_Panama_Panama_Canal_Railway_EMD_F40PH</v>
      </c>
      <c r="Q217" s="2" t="b">
        <v>1</v>
      </c>
      <c r="AL217" s="2"/>
      <c r="AM217" s="2" t="b">
        <f>LEN(_xlfn.CONCAT(Table1[[#This Row],[TRACK_TYPE_STANDARD_GAUGE_RAILTYPE_OHLE]:[TRACK_TYPE_MTRO]]))&gt;0</f>
        <v>1</v>
      </c>
      <c r="AN217">
        <v>7</v>
      </c>
      <c r="AO217" t="s">
        <v>20</v>
      </c>
      <c r="AP217">
        <v>0</v>
      </c>
      <c r="AQ217" t="s">
        <v>35</v>
      </c>
      <c r="AR217">
        <v>0</v>
      </c>
      <c r="AS217">
        <v>1977</v>
      </c>
      <c r="AT217">
        <v>7</v>
      </c>
      <c r="AU217" s="2" t="s">
        <v>20</v>
      </c>
      <c r="AV217" t="b">
        <v>1</v>
      </c>
      <c r="AX217" s="2"/>
      <c r="AY217">
        <v>45</v>
      </c>
      <c r="AZ217">
        <v>1</v>
      </c>
      <c r="BA217">
        <v>3000</v>
      </c>
      <c r="BB217" t="s">
        <v>710</v>
      </c>
      <c r="BC217">
        <v>165</v>
      </c>
      <c r="BD217" s="2">
        <v>0.1</v>
      </c>
      <c r="BE217" t="s">
        <v>927</v>
      </c>
      <c r="BF217" t="s">
        <v>921</v>
      </c>
      <c r="BG217" t="s">
        <v>939</v>
      </c>
      <c r="BH217" s="7">
        <v>40</v>
      </c>
      <c r="BI21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17">
        <v>0</v>
      </c>
      <c r="BK217" t="s">
        <v>733</v>
      </c>
      <c r="BL217" s="11"/>
      <c r="BM217" s="11"/>
      <c r="BN217" s="11">
        <v>115</v>
      </c>
      <c r="BO217">
        <v>0</v>
      </c>
      <c r="BP217" t="s">
        <v>691</v>
      </c>
      <c r="BQ217" t="s">
        <v>693</v>
      </c>
      <c r="BR217" t="s">
        <v>700</v>
      </c>
      <c r="BS217" t="s">
        <v>704</v>
      </c>
      <c r="BT217" t="s">
        <v>705</v>
      </c>
      <c r="BU217" t="s">
        <v>706</v>
      </c>
      <c r="CT217"/>
      <c r="CU217"/>
      <c r="CV217"/>
    </row>
    <row r="218" spans="1:100" x14ac:dyDescent="0.4">
      <c r="A218" s="2" t="s">
        <v>241</v>
      </c>
      <c r="B218" t="str">
        <f>_xlfn.TEXTAFTER(Table1[[#This Row],[VEHIDCODE]],"_")</f>
        <v>Portugal_CP_1900</v>
      </c>
      <c r="C218" t="s">
        <v>739</v>
      </c>
      <c r="D218" t="s">
        <v>958</v>
      </c>
      <c r="E218">
        <v>5046</v>
      </c>
      <c r="F218" t="b">
        <f>OR(ISNUMBER(SEARCH("wagon_",Table1[[#This Row],[FILENAMES_EXPECTED]])),ISNUMBER(SEARCH("coach_",Table1[[#This Row],[FILENAMES_EXPECTED]])))</f>
        <v>0</v>
      </c>
      <c r="G218" t="str">
        <f>"item_"&amp;Table1[[#This Row],[VEHIDCODE]]</f>
        <v>item_diesel_Portugal_CP_1900</v>
      </c>
      <c r="H218" t="str">
        <f>"str_"&amp;Table1[[#This Row],[VEHIDCODE]]</f>
        <v>str_diesel_Portugal_CP_1900</v>
      </c>
      <c r="Q218" s="2" t="b">
        <v>1</v>
      </c>
      <c r="AL218" s="2"/>
      <c r="AM218" s="2" t="b">
        <f>LEN(_xlfn.CONCAT(Table1[[#This Row],[TRACK_TYPE_STANDARD_GAUGE_RAILTYPE_OHLE]:[TRACK_TYPE_MTRO]]))&gt;0</f>
        <v>1</v>
      </c>
      <c r="AN218">
        <v>8</v>
      </c>
      <c r="AO218" t="s">
        <v>20</v>
      </c>
      <c r="AP218">
        <v>0</v>
      </c>
      <c r="AQ218" t="s">
        <v>35</v>
      </c>
      <c r="AR218">
        <v>0</v>
      </c>
      <c r="AS218">
        <v>1981</v>
      </c>
      <c r="AT218">
        <v>8</v>
      </c>
      <c r="AU218" s="2" t="s">
        <v>20</v>
      </c>
      <c r="AV218" t="b">
        <v>1</v>
      </c>
      <c r="AX218" s="2"/>
      <c r="AY218">
        <v>45</v>
      </c>
      <c r="AZ218">
        <v>1</v>
      </c>
      <c r="BA218">
        <v>2260</v>
      </c>
      <c r="BB218" t="s">
        <v>710</v>
      </c>
      <c r="BC218">
        <v>100</v>
      </c>
      <c r="BD218" s="2">
        <v>0.34</v>
      </c>
      <c r="BE218" t="s">
        <v>923</v>
      </c>
      <c r="BF218" t="s">
        <v>921</v>
      </c>
      <c r="BG218" t="s">
        <v>939</v>
      </c>
      <c r="BH218" s="7">
        <v>40</v>
      </c>
      <c r="BI21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18">
        <v>0</v>
      </c>
      <c r="BK218" t="s">
        <v>733</v>
      </c>
      <c r="BL218" s="11"/>
      <c r="BM218" s="11"/>
      <c r="BN218" s="11">
        <v>115</v>
      </c>
      <c r="BO218">
        <v>0</v>
      </c>
      <c r="BP218" t="s">
        <v>691</v>
      </c>
      <c r="BQ218" t="s">
        <v>693</v>
      </c>
      <c r="BR218" t="s">
        <v>700</v>
      </c>
      <c r="BS218" t="s">
        <v>704</v>
      </c>
      <c r="BT218" t="s">
        <v>705</v>
      </c>
      <c r="BU218" t="s">
        <v>706</v>
      </c>
      <c r="CT218"/>
      <c r="CU218"/>
      <c r="CV218"/>
    </row>
    <row r="219" spans="1:100" x14ac:dyDescent="0.4">
      <c r="A219" s="2" t="s">
        <v>242</v>
      </c>
      <c r="B219" t="str">
        <f>_xlfn.TEXTAFTER(Table1[[#This Row],[VEHIDCODE]],"_")</f>
        <v>Finland_VR_Dr16</v>
      </c>
      <c r="C219" t="s">
        <v>739</v>
      </c>
      <c r="D219" t="s">
        <v>958</v>
      </c>
      <c r="E219">
        <v>5047</v>
      </c>
      <c r="F219" t="b">
        <f>OR(ISNUMBER(SEARCH("wagon_",Table1[[#This Row],[FILENAMES_EXPECTED]])),ISNUMBER(SEARCH("coach_",Table1[[#This Row],[FILENAMES_EXPECTED]])))</f>
        <v>0</v>
      </c>
      <c r="G219" t="str">
        <f>"item_"&amp;Table1[[#This Row],[VEHIDCODE]]</f>
        <v>item_diesel_Finland_VR_Dr16</v>
      </c>
      <c r="H219" t="str">
        <f>"str_"&amp;Table1[[#This Row],[VEHIDCODE]]</f>
        <v>str_diesel_Finland_VR_Dr16</v>
      </c>
      <c r="AI219" s="2" t="b">
        <v>1</v>
      </c>
      <c r="AL219" s="2"/>
      <c r="AM219" s="2" t="b">
        <f>LEN(_xlfn.CONCAT(Table1[[#This Row],[TRACK_TYPE_STANDARD_GAUGE_RAILTYPE_OHLE]:[TRACK_TYPE_MTRO]]))&gt;0</f>
        <v>1</v>
      </c>
      <c r="AN219">
        <v>8</v>
      </c>
      <c r="AO219" t="s">
        <v>20</v>
      </c>
      <c r="AP219">
        <v>0</v>
      </c>
      <c r="AQ219" t="s">
        <v>35</v>
      </c>
      <c r="AR219">
        <v>0</v>
      </c>
      <c r="AS219">
        <v>1985</v>
      </c>
      <c r="AT219">
        <v>8</v>
      </c>
      <c r="AU219" s="2" t="s">
        <v>20</v>
      </c>
      <c r="AV219" t="b">
        <v>1</v>
      </c>
      <c r="AX219" s="2"/>
      <c r="AY219">
        <v>45</v>
      </c>
      <c r="AZ219">
        <v>0</v>
      </c>
      <c r="BA219">
        <v>2250</v>
      </c>
      <c r="BB219" t="s">
        <v>710</v>
      </c>
      <c r="BC219">
        <v>140</v>
      </c>
      <c r="BD219" s="2">
        <v>0.33</v>
      </c>
      <c r="BE219" t="s">
        <v>926</v>
      </c>
      <c r="BF219" t="s">
        <v>921</v>
      </c>
      <c r="BG219" t="s">
        <v>939</v>
      </c>
      <c r="BH219" s="7">
        <v>40</v>
      </c>
      <c r="BI21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19">
        <v>0</v>
      </c>
      <c r="BK219" t="s">
        <v>733</v>
      </c>
      <c r="BL219" s="11"/>
      <c r="BM219" s="11"/>
      <c r="BN219" s="11">
        <v>82</v>
      </c>
      <c r="BO219">
        <v>0</v>
      </c>
      <c r="BP219" t="s">
        <v>691</v>
      </c>
      <c r="BQ219" t="s">
        <v>693</v>
      </c>
      <c r="BR219" t="s">
        <v>700</v>
      </c>
      <c r="BS219" t="s">
        <v>704</v>
      </c>
      <c r="BT219" t="s">
        <v>705</v>
      </c>
      <c r="BU219" t="s">
        <v>706</v>
      </c>
      <c r="CT219"/>
      <c r="CU219"/>
      <c r="CV219"/>
    </row>
    <row r="220" spans="1:100" x14ac:dyDescent="0.4">
      <c r="A220" s="2" t="s">
        <v>243</v>
      </c>
      <c r="B220" t="str">
        <f>_xlfn.TEXTAFTER(Table1[[#This Row],[VEHIDCODE]],"_")</f>
        <v>Russia_RZD_TEP80</v>
      </c>
      <c r="C220" t="s">
        <v>739</v>
      </c>
      <c r="D220" t="s">
        <v>958</v>
      </c>
      <c r="E220">
        <v>5048</v>
      </c>
      <c r="F220" t="b">
        <f>OR(ISNUMBER(SEARCH("wagon_",Table1[[#This Row],[FILENAMES_EXPECTED]])),ISNUMBER(SEARCH("coach_",Table1[[#This Row],[FILENAMES_EXPECTED]])))</f>
        <v>0</v>
      </c>
      <c r="G220" t="str">
        <f>"item_"&amp;Table1[[#This Row],[VEHIDCODE]]</f>
        <v>item_diesel_Russia_RZD_TEP80</v>
      </c>
      <c r="H220" t="str">
        <f>"str_"&amp;Table1[[#This Row],[VEHIDCODE]]</f>
        <v>str_diesel_Russia_RZD_TEP80</v>
      </c>
      <c r="AI220" s="2" t="b">
        <v>1</v>
      </c>
      <c r="AL220" s="2"/>
      <c r="AM220" s="2" t="b">
        <f>LEN(_xlfn.CONCAT(Table1[[#This Row],[TRACK_TYPE_STANDARD_GAUGE_RAILTYPE_OHLE]:[TRACK_TYPE_MTRO]]))&gt;0</f>
        <v>1</v>
      </c>
      <c r="AN220">
        <v>8</v>
      </c>
      <c r="AO220" t="s">
        <v>20</v>
      </c>
      <c r="AP220">
        <v>0</v>
      </c>
      <c r="AQ220" t="s">
        <v>35</v>
      </c>
      <c r="AR220">
        <v>0</v>
      </c>
      <c r="AS220">
        <v>1988</v>
      </c>
      <c r="AT220">
        <v>8</v>
      </c>
      <c r="AU220" s="2" t="s">
        <v>20</v>
      </c>
      <c r="AV220" t="b">
        <v>1</v>
      </c>
      <c r="AX220" s="2"/>
      <c r="AY220" t="s">
        <v>21</v>
      </c>
      <c r="AZ220">
        <v>1</v>
      </c>
      <c r="BA220">
        <v>6000</v>
      </c>
      <c r="BB220" t="s">
        <v>710</v>
      </c>
      <c r="BC220">
        <v>160</v>
      </c>
      <c r="BD220" s="2">
        <v>0.13</v>
      </c>
      <c r="BE220" t="s">
        <v>930</v>
      </c>
      <c r="BF220" t="s">
        <v>921</v>
      </c>
      <c r="BG220" t="s">
        <v>939</v>
      </c>
      <c r="BH220" s="7">
        <v>40</v>
      </c>
      <c r="BI22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20">
        <v>0</v>
      </c>
      <c r="BK220" t="s">
        <v>733</v>
      </c>
      <c r="BL220" s="11"/>
      <c r="BM220" s="11"/>
      <c r="BN220" s="11">
        <v>180</v>
      </c>
      <c r="BO220">
        <v>0</v>
      </c>
      <c r="BP220" t="s">
        <v>691</v>
      </c>
      <c r="BQ220" t="s">
        <v>693</v>
      </c>
      <c r="BR220" t="s">
        <v>700</v>
      </c>
      <c r="BS220" t="s">
        <v>704</v>
      </c>
      <c r="BT220" t="s">
        <v>705</v>
      </c>
      <c r="BU220" t="s">
        <v>706</v>
      </c>
      <c r="CT220"/>
      <c r="CU220"/>
      <c r="CV220"/>
    </row>
    <row r="221" spans="1:100" x14ac:dyDescent="0.4">
      <c r="A221" s="2" t="s">
        <v>244</v>
      </c>
      <c r="B221" t="str">
        <f>_xlfn.TEXTAFTER(Table1[[#This Row],[VEHIDCODE]],"_")</f>
        <v>Australia_Australian_National_AN</v>
      </c>
      <c r="C221" t="s">
        <v>739</v>
      </c>
      <c r="D221" t="s">
        <v>958</v>
      </c>
      <c r="E221">
        <v>5049</v>
      </c>
      <c r="F221" t="b">
        <f>OR(ISNUMBER(SEARCH("wagon_",Table1[[#This Row],[FILENAMES_EXPECTED]])),ISNUMBER(SEARCH("coach_",Table1[[#This Row],[FILENAMES_EXPECTED]])))</f>
        <v>0</v>
      </c>
      <c r="G221" t="str">
        <f>"item_"&amp;Table1[[#This Row],[VEHIDCODE]]</f>
        <v>item_diesel_Australia_Australian_National_AN</v>
      </c>
      <c r="H221" t="str">
        <f>"str_"&amp;Table1[[#This Row],[VEHIDCODE]]</f>
        <v>str_diesel_Australia_Australian_National_AN</v>
      </c>
      <c r="Q221" s="2" t="b">
        <v>1</v>
      </c>
      <c r="AL221" s="2"/>
      <c r="AM221" s="2" t="b">
        <f>LEN(_xlfn.CONCAT(Table1[[#This Row],[TRACK_TYPE_STANDARD_GAUGE_RAILTYPE_OHLE]:[TRACK_TYPE_MTRO]]))&gt;0</f>
        <v>1</v>
      </c>
      <c r="AN221">
        <v>8</v>
      </c>
      <c r="AO221" t="s">
        <v>20</v>
      </c>
      <c r="AP221">
        <v>0</v>
      </c>
      <c r="AQ221" t="s">
        <v>35</v>
      </c>
      <c r="AR221">
        <v>0</v>
      </c>
      <c r="AS221">
        <v>1992</v>
      </c>
      <c r="AT221">
        <v>8</v>
      </c>
      <c r="AU221" s="2" t="s">
        <v>20</v>
      </c>
      <c r="AV221" t="b">
        <v>1</v>
      </c>
      <c r="AX221" s="2"/>
      <c r="AY221">
        <v>45</v>
      </c>
      <c r="AZ221">
        <v>1</v>
      </c>
      <c r="BA221">
        <v>4120</v>
      </c>
      <c r="BB221" t="s">
        <v>710</v>
      </c>
      <c r="BC221">
        <v>150</v>
      </c>
      <c r="BD221" s="2">
        <v>0.25</v>
      </c>
      <c r="BE221" t="s">
        <v>924</v>
      </c>
      <c r="BF221" t="s">
        <v>921</v>
      </c>
      <c r="BG221" t="s">
        <v>939</v>
      </c>
      <c r="BH221" s="7">
        <v>40</v>
      </c>
      <c r="BI22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21">
        <v>0</v>
      </c>
      <c r="BK221" t="s">
        <v>733</v>
      </c>
      <c r="BL221" s="11"/>
      <c r="BM221" s="11"/>
      <c r="BN221" s="11">
        <v>128</v>
      </c>
      <c r="BO221">
        <v>0</v>
      </c>
      <c r="BP221" t="s">
        <v>691</v>
      </c>
      <c r="BQ221" t="s">
        <v>693</v>
      </c>
      <c r="BR221" t="s">
        <v>700</v>
      </c>
      <c r="BS221" t="s">
        <v>704</v>
      </c>
      <c r="BT221" t="s">
        <v>705</v>
      </c>
      <c r="BU221" t="s">
        <v>706</v>
      </c>
      <c r="CT221"/>
      <c r="CU221"/>
      <c r="CV221"/>
    </row>
    <row r="222" spans="1:100" x14ac:dyDescent="0.4">
      <c r="A222" s="2" t="s">
        <v>245</v>
      </c>
      <c r="B222" t="str">
        <f>_xlfn.TEXTAFTER(Table1[[#This Row],[VEHIDCODE]],"_")</f>
        <v>USA_Amtrak_P42DC_Genesis</v>
      </c>
      <c r="C222" t="s">
        <v>739</v>
      </c>
      <c r="D222" t="s">
        <v>958</v>
      </c>
      <c r="E222">
        <v>5050</v>
      </c>
      <c r="F222" t="b">
        <f>OR(ISNUMBER(SEARCH("wagon_",Table1[[#This Row],[FILENAMES_EXPECTED]])),ISNUMBER(SEARCH("coach_",Table1[[#This Row],[FILENAMES_EXPECTED]])))</f>
        <v>0</v>
      </c>
      <c r="G222" t="str">
        <f>"item_"&amp;Table1[[#This Row],[VEHIDCODE]]</f>
        <v>item_diesel_USA_Amtrak_P42DC_Genesis</v>
      </c>
      <c r="H222" t="str">
        <f>"str_"&amp;Table1[[#This Row],[VEHIDCODE]]</f>
        <v>str_diesel_USA_Amtrak_P42DC_Genesis</v>
      </c>
      <c r="Q222" s="2" t="b">
        <v>1</v>
      </c>
      <c r="AL222" s="2"/>
      <c r="AM222" s="2" t="b">
        <f>LEN(_xlfn.CONCAT(Table1[[#This Row],[TRACK_TYPE_STANDARD_GAUGE_RAILTYPE_OHLE]:[TRACK_TYPE_MTRO]]))&gt;0</f>
        <v>1</v>
      </c>
      <c r="AN222">
        <v>8</v>
      </c>
      <c r="AO222" t="s">
        <v>20</v>
      </c>
      <c r="AP222">
        <v>0</v>
      </c>
      <c r="AQ222" t="s">
        <v>35</v>
      </c>
      <c r="AR222">
        <v>0</v>
      </c>
      <c r="AS222">
        <v>1992</v>
      </c>
      <c r="AT222">
        <v>8</v>
      </c>
      <c r="AU222" s="2" t="s">
        <v>20</v>
      </c>
      <c r="AV222" t="b">
        <v>1</v>
      </c>
      <c r="AX222" s="2"/>
      <c r="AY222" t="s">
        <v>21</v>
      </c>
      <c r="AZ222">
        <v>1</v>
      </c>
      <c r="BA222">
        <v>4250</v>
      </c>
      <c r="BB222" t="s">
        <v>710</v>
      </c>
      <c r="BC222">
        <v>177</v>
      </c>
      <c r="BD222" s="2">
        <v>0.19</v>
      </c>
      <c r="BE222" t="s">
        <v>927</v>
      </c>
      <c r="BF222" t="s">
        <v>921</v>
      </c>
      <c r="BG222" t="s">
        <v>939</v>
      </c>
      <c r="BH222" s="7">
        <v>40</v>
      </c>
      <c r="BI22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22">
        <v>0</v>
      </c>
      <c r="BK222" t="s">
        <v>733</v>
      </c>
      <c r="BL222" s="11"/>
      <c r="BM222" s="11"/>
      <c r="BN222" s="11">
        <v>134</v>
      </c>
      <c r="BO222">
        <v>0</v>
      </c>
      <c r="BP222" t="s">
        <v>691</v>
      </c>
      <c r="BQ222" t="s">
        <v>693</v>
      </c>
      <c r="BR222" t="s">
        <v>700</v>
      </c>
      <c r="BS222" t="s">
        <v>704</v>
      </c>
      <c r="BT222" t="s">
        <v>705</v>
      </c>
      <c r="BU222" t="s">
        <v>706</v>
      </c>
      <c r="CT222"/>
      <c r="CU222"/>
      <c r="CV222"/>
    </row>
    <row r="223" spans="1:100" x14ac:dyDescent="0.4">
      <c r="A223" s="2" t="s">
        <v>246</v>
      </c>
      <c r="B223" t="str">
        <f>_xlfn.TEXTAFTER(Table1[[#This Row],[VEHIDCODE]],"_")</f>
        <v>Turkey_TCDD_DH7000</v>
      </c>
      <c r="C223" t="s">
        <v>739</v>
      </c>
      <c r="D223" t="s">
        <v>958</v>
      </c>
      <c r="E223">
        <v>5051</v>
      </c>
      <c r="F223" t="b">
        <f>OR(ISNUMBER(SEARCH("wagon_",Table1[[#This Row],[FILENAMES_EXPECTED]])),ISNUMBER(SEARCH("coach_",Table1[[#This Row],[FILENAMES_EXPECTED]])))</f>
        <v>0</v>
      </c>
      <c r="G223" t="str">
        <f>"item_"&amp;Table1[[#This Row],[VEHIDCODE]]</f>
        <v>item_diesel_Turkey_TCDD_DH7000</v>
      </c>
      <c r="H223" t="str">
        <f>"str_"&amp;Table1[[#This Row],[VEHIDCODE]]</f>
        <v>str_diesel_Turkey_TCDD_DH7000</v>
      </c>
      <c r="Q223" s="2" t="b">
        <v>1</v>
      </c>
      <c r="AL223" s="2"/>
      <c r="AM223" s="2" t="b">
        <f>LEN(_xlfn.CONCAT(Table1[[#This Row],[TRACK_TYPE_STANDARD_GAUGE_RAILTYPE_OHLE]:[TRACK_TYPE_MTRO]]))&gt;0</f>
        <v>1</v>
      </c>
      <c r="AN223">
        <v>6</v>
      </c>
      <c r="AO223" t="s">
        <v>20</v>
      </c>
      <c r="AP223">
        <v>0</v>
      </c>
      <c r="AQ223" t="s">
        <v>35</v>
      </c>
      <c r="AR223">
        <v>0</v>
      </c>
      <c r="AS223">
        <v>1994</v>
      </c>
      <c r="AT223">
        <v>6</v>
      </c>
      <c r="AU223" s="2" t="s">
        <v>20</v>
      </c>
      <c r="AV223" t="b">
        <v>1</v>
      </c>
      <c r="AX223" s="2"/>
      <c r="AY223">
        <v>45</v>
      </c>
      <c r="AZ223">
        <v>1</v>
      </c>
      <c r="BA223">
        <v>700</v>
      </c>
      <c r="BB223" t="s">
        <v>710</v>
      </c>
      <c r="BC223">
        <v>40</v>
      </c>
      <c r="BD223" s="2">
        <v>0.28000000000000003</v>
      </c>
      <c r="BE223" t="s">
        <v>930</v>
      </c>
      <c r="BF223" t="s">
        <v>921</v>
      </c>
      <c r="BG223" t="s">
        <v>939</v>
      </c>
      <c r="BH223" s="7">
        <v>40</v>
      </c>
      <c r="BI22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23">
        <v>0</v>
      </c>
      <c r="BK223" t="s">
        <v>733</v>
      </c>
      <c r="BL223" s="11"/>
      <c r="BM223" s="11"/>
      <c r="BN223" s="11">
        <v>51</v>
      </c>
      <c r="BO223">
        <v>0</v>
      </c>
      <c r="BP223" t="s">
        <v>691</v>
      </c>
      <c r="BQ223" t="s">
        <v>693</v>
      </c>
      <c r="BR223" t="s">
        <v>700</v>
      </c>
      <c r="BS223" t="s">
        <v>704</v>
      </c>
      <c r="BT223" t="s">
        <v>705</v>
      </c>
      <c r="BU223" t="s">
        <v>706</v>
      </c>
      <c r="CT223"/>
      <c r="CU223"/>
      <c r="CV223"/>
    </row>
    <row r="224" spans="1:100" x14ac:dyDescent="0.4">
      <c r="A224" s="2" t="s">
        <v>247</v>
      </c>
      <c r="B224" t="str">
        <f>_xlfn.TEXTAFTER(Table1[[#This Row],[VEHIDCODE]],"_")</f>
        <v>Argentina_MF_GE_U20C</v>
      </c>
      <c r="C224" t="s">
        <v>739</v>
      </c>
      <c r="D224" t="s">
        <v>958</v>
      </c>
      <c r="E224">
        <v>5052</v>
      </c>
      <c r="F224" t="b">
        <f>OR(ISNUMBER(SEARCH("wagon_",Table1[[#This Row],[FILENAMES_EXPECTED]])),ISNUMBER(SEARCH("coach_",Table1[[#This Row],[FILENAMES_EXPECTED]])))</f>
        <v>0</v>
      </c>
      <c r="G224" t="str">
        <f>"item_"&amp;Table1[[#This Row],[VEHIDCODE]]</f>
        <v>item_diesel_Argentina_MF_GE_U20C</v>
      </c>
      <c r="H224" t="str">
        <f>"str_"&amp;Table1[[#This Row],[VEHIDCODE]]</f>
        <v>str_diesel_Argentina_MF_GE_U20C</v>
      </c>
      <c r="Q224" s="2" t="b">
        <v>1</v>
      </c>
      <c r="AL224" s="2"/>
      <c r="AM224" s="2" t="b">
        <f>LEN(_xlfn.CONCAT(Table1[[#This Row],[TRACK_TYPE_STANDARD_GAUGE_RAILTYPE_OHLE]:[TRACK_TYPE_MTRO]]))&gt;0</f>
        <v>1</v>
      </c>
      <c r="AN224">
        <v>8</v>
      </c>
      <c r="AO224" t="s">
        <v>20</v>
      </c>
      <c r="AP224">
        <v>0</v>
      </c>
      <c r="AQ224" t="s">
        <v>35</v>
      </c>
      <c r="AR224">
        <v>0</v>
      </c>
      <c r="AS224">
        <v>1995</v>
      </c>
      <c r="AT224">
        <v>8</v>
      </c>
      <c r="AU224" s="2" t="s">
        <v>20</v>
      </c>
      <c r="AV224" t="b">
        <v>1</v>
      </c>
      <c r="AX224" s="2"/>
      <c r="AY224" t="s">
        <v>21</v>
      </c>
      <c r="AZ224">
        <v>1</v>
      </c>
      <c r="BA224">
        <v>2000</v>
      </c>
      <c r="BB224" t="s">
        <v>710</v>
      </c>
      <c r="BC224">
        <v>104</v>
      </c>
      <c r="BD224" s="2">
        <v>0.28999999999999998</v>
      </c>
      <c r="BE224" t="s">
        <v>929</v>
      </c>
      <c r="BF224" t="s">
        <v>921</v>
      </c>
      <c r="BG224" t="s">
        <v>939</v>
      </c>
      <c r="BH224" s="7">
        <v>40</v>
      </c>
      <c r="BI22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24">
        <v>0</v>
      </c>
      <c r="BK224" t="s">
        <v>733</v>
      </c>
      <c r="BL224" s="11"/>
      <c r="BM224" s="11"/>
      <c r="BN224" s="11">
        <v>89</v>
      </c>
      <c r="BO224">
        <v>0</v>
      </c>
      <c r="BP224" t="s">
        <v>691</v>
      </c>
      <c r="BQ224" t="s">
        <v>693</v>
      </c>
      <c r="BR224" t="s">
        <v>700</v>
      </c>
      <c r="BS224" t="s">
        <v>704</v>
      </c>
      <c r="BT224" t="s">
        <v>705</v>
      </c>
      <c r="BU224" t="s">
        <v>706</v>
      </c>
      <c r="CT224"/>
      <c r="CU224"/>
      <c r="CV224"/>
    </row>
    <row r="225" spans="1:100" x14ac:dyDescent="0.4">
      <c r="A225" s="2" t="s">
        <v>248</v>
      </c>
      <c r="B225" t="str">
        <f>_xlfn.TEXTAFTER(Table1[[#This Row],[VEHIDCODE]],"_")</f>
        <v>Belgium_NMBS_SNCB_7800</v>
      </c>
      <c r="C225" t="s">
        <v>739</v>
      </c>
      <c r="D225" t="s">
        <v>958</v>
      </c>
      <c r="E225">
        <v>5053</v>
      </c>
      <c r="F225" t="b">
        <f>OR(ISNUMBER(SEARCH("wagon_",Table1[[#This Row],[FILENAMES_EXPECTED]])),ISNUMBER(SEARCH("coach_",Table1[[#This Row],[FILENAMES_EXPECTED]])))</f>
        <v>0</v>
      </c>
      <c r="G225" t="str">
        <f>"item_"&amp;Table1[[#This Row],[VEHIDCODE]]</f>
        <v>item_diesel_Belgium_NMBS_SNCB_7800</v>
      </c>
      <c r="H225" t="str">
        <f>"str_"&amp;Table1[[#This Row],[VEHIDCODE]]</f>
        <v>str_diesel_Belgium_NMBS_SNCB_7800</v>
      </c>
      <c r="Q225" s="2" t="b">
        <v>1</v>
      </c>
      <c r="AL225" s="2"/>
      <c r="AM225" s="2" t="b">
        <f>LEN(_xlfn.CONCAT(Table1[[#This Row],[TRACK_TYPE_STANDARD_GAUGE_RAILTYPE_OHLE]:[TRACK_TYPE_MTRO]]))&gt;0</f>
        <v>1</v>
      </c>
      <c r="AN225">
        <v>7</v>
      </c>
      <c r="AO225" t="s">
        <v>20</v>
      </c>
      <c r="AP225">
        <v>0</v>
      </c>
      <c r="AQ225" t="s">
        <v>35</v>
      </c>
      <c r="AR225">
        <v>0</v>
      </c>
      <c r="AS225">
        <v>1997</v>
      </c>
      <c r="AT225">
        <v>7</v>
      </c>
      <c r="AU225" s="2" t="s">
        <v>20</v>
      </c>
      <c r="AV225" t="b">
        <v>1</v>
      </c>
      <c r="AX225" s="2"/>
      <c r="AY225">
        <v>45</v>
      </c>
      <c r="AZ225">
        <v>1</v>
      </c>
      <c r="BA225">
        <v>1500</v>
      </c>
      <c r="BB225" t="s">
        <v>710</v>
      </c>
      <c r="BC225">
        <v>80</v>
      </c>
      <c r="BD225" s="2">
        <v>0.34</v>
      </c>
      <c r="BE225" t="s">
        <v>922</v>
      </c>
      <c r="BF225" t="s">
        <v>921</v>
      </c>
      <c r="BG225" t="s">
        <v>939</v>
      </c>
      <c r="BH225" s="7">
        <v>40</v>
      </c>
      <c r="BI22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25">
        <v>0</v>
      </c>
      <c r="BK225" t="s">
        <v>733</v>
      </c>
      <c r="BL225" s="11"/>
      <c r="BM225" s="11"/>
      <c r="BN225" s="11">
        <v>83</v>
      </c>
      <c r="BO225">
        <v>0</v>
      </c>
      <c r="BP225" t="s">
        <v>691</v>
      </c>
      <c r="BQ225" t="s">
        <v>693</v>
      </c>
      <c r="BR225" t="s">
        <v>700</v>
      </c>
      <c r="BS225" t="s">
        <v>704</v>
      </c>
      <c r="BT225" t="s">
        <v>705</v>
      </c>
      <c r="BU225" t="s">
        <v>706</v>
      </c>
      <c r="CT225"/>
      <c r="CU225"/>
      <c r="CV225"/>
    </row>
    <row r="226" spans="1:100" x14ac:dyDescent="0.4">
      <c r="A226" s="2" t="s">
        <v>249</v>
      </c>
      <c r="B226" t="str">
        <f>_xlfn.TEXTAFTER(Table1[[#This Row],[VEHIDCODE]],"_")</f>
        <v>UK_BR_66</v>
      </c>
      <c r="C226" t="s">
        <v>739</v>
      </c>
      <c r="D226" t="s">
        <v>958</v>
      </c>
      <c r="E226">
        <v>5054</v>
      </c>
      <c r="F226" t="b">
        <f>OR(ISNUMBER(SEARCH("wagon_",Table1[[#This Row],[FILENAMES_EXPECTED]])),ISNUMBER(SEARCH("coach_",Table1[[#This Row],[FILENAMES_EXPECTED]])))</f>
        <v>0</v>
      </c>
      <c r="G226" t="str">
        <f>"item_"&amp;Table1[[#This Row],[VEHIDCODE]]</f>
        <v>item_diesel_UK_BR_66</v>
      </c>
      <c r="H226" t="str">
        <f>"str_"&amp;Table1[[#This Row],[VEHIDCODE]]</f>
        <v>str_diesel_UK_BR_66</v>
      </c>
      <c r="Q226" s="2" t="b">
        <v>1</v>
      </c>
      <c r="AL226" s="2"/>
      <c r="AM226" s="2" t="b">
        <f>LEN(_xlfn.CONCAT(Table1[[#This Row],[TRACK_TYPE_STANDARD_GAUGE_RAILTYPE_OHLE]:[TRACK_TYPE_MTRO]]))&gt;0</f>
        <v>1</v>
      </c>
      <c r="AN226">
        <v>8</v>
      </c>
      <c r="AO226" t="s">
        <v>20</v>
      </c>
      <c r="AP226">
        <v>0</v>
      </c>
      <c r="AQ226" t="s">
        <v>35</v>
      </c>
      <c r="AR226">
        <v>0</v>
      </c>
      <c r="AS226">
        <v>1998</v>
      </c>
      <c r="AT226">
        <v>8</v>
      </c>
      <c r="AU226" s="2" t="s">
        <v>20</v>
      </c>
      <c r="AV226" t="b">
        <v>1</v>
      </c>
      <c r="AX226" s="2"/>
      <c r="AY226" t="s">
        <v>21</v>
      </c>
      <c r="AZ226">
        <v>0</v>
      </c>
      <c r="BA226">
        <v>3298</v>
      </c>
      <c r="BB226" t="s">
        <v>710</v>
      </c>
      <c r="BC226">
        <v>120</v>
      </c>
      <c r="BD226" s="2">
        <v>0.32</v>
      </c>
      <c r="BE226" t="s">
        <v>926</v>
      </c>
      <c r="BF226" t="s">
        <v>921</v>
      </c>
      <c r="BG226" t="s">
        <v>939</v>
      </c>
      <c r="BH226" s="7">
        <v>40</v>
      </c>
      <c r="BI22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26">
        <v>0</v>
      </c>
      <c r="BK226" t="s">
        <v>733</v>
      </c>
      <c r="BL226" s="11"/>
      <c r="BM226" s="11"/>
      <c r="BN226" s="11">
        <v>126</v>
      </c>
      <c r="BO226">
        <v>0</v>
      </c>
      <c r="BP226" t="s">
        <v>691</v>
      </c>
      <c r="BQ226" t="s">
        <v>693</v>
      </c>
      <c r="BR226" t="s">
        <v>700</v>
      </c>
      <c r="BS226" t="s">
        <v>704</v>
      </c>
      <c r="BT226" t="s">
        <v>705</v>
      </c>
      <c r="BU226" t="s">
        <v>706</v>
      </c>
      <c r="CT226"/>
      <c r="CU226"/>
      <c r="CV226"/>
    </row>
    <row r="227" spans="1:100" x14ac:dyDescent="0.4">
      <c r="A227" s="2" t="s">
        <v>250</v>
      </c>
      <c r="B227" t="str">
        <f>_xlfn.TEXTAFTER(Table1[[#This Row],[VEHIDCODE]],"_")</f>
        <v>UK_BR_67</v>
      </c>
      <c r="C227" t="s">
        <v>739</v>
      </c>
      <c r="D227" t="s">
        <v>958</v>
      </c>
      <c r="E227">
        <v>5055</v>
      </c>
      <c r="F227" t="b">
        <f>OR(ISNUMBER(SEARCH("wagon_",Table1[[#This Row],[FILENAMES_EXPECTED]])),ISNUMBER(SEARCH("coach_",Table1[[#This Row],[FILENAMES_EXPECTED]])))</f>
        <v>0</v>
      </c>
      <c r="G227" t="str">
        <f>"item_"&amp;Table1[[#This Row],[VEHIDCODE]]</f>
        <v>item_diesel_UK_BR_67</v>
      </c>
      <c r="H227" t="str">
        <f>"str_"&amp;Table1[[#This Row],[VEHIDCODE]]</f>
        <v>str_diesel_UK_BR_67</v>
      </c>
      <c r="Q227" s="2" t="b">
        <v>1</v>
      </c>
      <c r="AL227" s="2"/>
      <c r="AM227" s="2" t="b">
        <f>LEN(_xlfn.CONCAT(Table1[[#This Row],[TRACK_TYPE_STANDARD_GAUGE_RAILTYPE_OHLE]:[TRACK_TYPE_MTRO]]))&gt;0</f>
        <v>1</v>
      </c>
      <c r="AN227">
        <v>8</v>
      </c>
      <c r="AO227" t="s">
        <v>20</v>
      </c>
      <c r="AP227">
        <v>0</v>
      </c>
      <c r="AQ227" t="s">
        <v>35</v>
      </c>
      <c r="AR227">
        <v>0</v>
      </c>
      <c r="AS227">
        <v>1999</v>
      </c>
      <c r="AT227">
        <v>8</v>
      </c>
      <c r="AU227" s="2" t="s">
        <v>20</v>
      </c>
      <c r="AV227" t="b">
        <v>1</v>
      </c>
      <c r="AX227" s="2"/>
      <c r="AY227" t="s">
        <v>21</v>
      </c>
      <c r="AZ227">
        <v>1</v>
      </c>
      <c r="BA227">
        <v>3200</v>
      </c>
      <c r="BB227" t="s">
        <v>710</v>
      </c>
      <c r="BC227">
        <v>200</v>
      </c>
      <c r="BD227" s="2">
        <v>0.2</v>
      </c>
      <c r="BE227" t="s">
        <v>926</v>
      </c>
      <c r="BF227" t="s">
        <v>921</v>
      </c>
      <c r="BG227" t="s">
        <v>939</v>
      </c>
      <c r="BH227" s="7">
        <v>40</v>
      </c>
      <c r="BI22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27">
        <v>0</v>
      </c>
      <c r="BK227" t="s">
        <v>733</v>
      </c>
      <c r="BL227" s="11"/>
      <c r="BM227" s="11"/>
      <c r="BN227" s="11">
        <v>88</v>
      </c>
      <c r="BO227">
        <v>0</v>
      </c>
      <c r="BP227" t="s">
        <v>691</v>
      </c>
      <c r="BQ227" t="s">
        <v>693</v>
      </c>
      <c r="BR227" t="s">
        <v>700</v>
      </c>
      <c r="BS227" t="s">
        <v>704</v>
      </c>
      <c r="BT227" t="s">
        <v>705</v>
      </c>
      <c r="BU227" t="s">
        <v>706</v>
      </c>
      <c r="CT227"/>
      <c r="CU227"/>
      <c r="CV227"/>
    </row>
    <row r="228" spans="1:100" x14ac:dyDescent="0.4">
      <c r="A228" s="2" t="s">
        <v>251</v>
      </c>
      <c r="B228" t="str">
        <f>_xlfn.TEXTAFTER(Table1[[#This Row],[VEHIDCODE]],"_")</f>
        <v>Iran_RAI_DE43CA_Prima</v>
      </c>
      <c r="C228" t="s">
        <v>739</v>
      </c>
      <c r="D228" t="s">
        <v>958</v>
      </c>
      <c r="E228">
        <v>5056</v>
      </c>
      <c r="F228" t="b">
        <f>OR(ISNUMBER(SEARCH("wagon_",Table1[[#This Row],[FILENAMES_EXPECTED]])),ISNUMBER(SEARCH("coach_",Table1[[#This Row],[FILENAMES_EXPECTED]])))</f>
        <v>0</v>
      </c>
      <c r="G228" t="str">
        <f>"item_"&amp;Table1[[#This Row],[VEHIDCODE]]</f>
        <v>item_diesel_Iran_RAI_DE43CA_Prima</v>
      </c>
      <c r="H228" t="str">
        <f>"str_"&amp;Table1[[#This Row],[VEHIDCODE]]</f>
        <v>str_diesel_Iran_RAI_DE43CA_Prima</v>
      </c>
      <c r="Q228" s="2" t="b">
        <v>1</v>
      </c>
      <c r="AL228" s="2"/>
      <c r="AM228" s="2" t="b">
        <f>LEN(_xlfn.CONCAT(Table1[[#This Row],[TRACK_TYPE_STANDARD_GAUGE_RAILTYPE_OHLE]:[TRACK_TYPE_MTRO]]))&gt;0</f>
        <v>1</v>
      </c>
      <c r="AN228">
        <v>8</v>
      </c>
      <c r="AO228" t="s">
        <v>20</v>
      </c>
      <c r="AP228">
        <v>0</v>
      </c>
      <c r="AQ228" t="s">
        <v>35</v>
      </c>
      <c r="AR228">
        <v>0</v>
      </c>
      <c r="AS228">
        <v>2002</v>
      </c>
      <c r="AT228">
        <v>8</v>
      </c>
      <c r="AU228" s="2" t="s">
        <v>20</v>
      </c>
      <c r="AV228" t="b">
        <v>1</v>
      </c>
      <c r="AX228" s="2"/>
      <c r="AY228" t="s">
        <v>21</v>
      </c>
      <c r="AZ228">
        <v>1</v>
      </c>
      <c r="BA228">
        <v>4300</v>
      </c>
      <c r="BB228" t="s">
        <v>710</v>
      </c>
      <c r="BC228">
        <v>160</v>
      </c>
      <c r="BD228" s="2">
        <v>0.21</v>
      </c>
      <c r="BE228" t="s">
        <v>930</v>
      </c>
      <c r="BF228" t="s">
        <v>921</v>
      </c>
      <c r="BG228" t="s">
        <v>939</v>
      </c>
      <c r="BH228" s="7">
        <v>40</v>
      </c>
      <c r="BI22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28">
        <v>0</v>
      </c>
      <c r="BK228" t="s">
        <v>733</v>
      </c>
      <c r="BL228" s="11"/>
      <c r="BM228" s="11"/>
      <c r="BN228" s="11">
        <v>108</v>
      </c>
      <c r="BO228">
        <v>0</v>
      </c>
      <c r="BP228" t="s">
        <v>691</v>
      </c>
      <c r="BQ228" t="s">
        <v>693</v>
      </c>
      <c r="BR228" t="s">
        <v>700</v>
      </c>
      <c r="BS228" t="s">
        <v>704</v>
      </c>
      <c r="BT228" t="s">
        <v>705</v>
      </c>
      <c r="BU228" t="s">
        <v>706</v>
      </c>
      <c r="CT228"/>
      <c r="CU228"/>
      <c r="CV228"/>
    </row>
    <row r="229" spans="1:100" x14ac:dyDescent="0.4">
      <c r="A229" s="2" t="s">
        <v>252</v>
      </c>
      <c r="B229" t="str">
        <f>_xlfn.TEXTAFTER(Table1[[#This Row],[VEHIDCODE]],"_")</f>
        <v>Ukraine_UZ_TEP150</v>
      </c>
      <c r="C229" t="s">
        <v>739</v>
      </c>
      <c r="D229" t="s">
        <v>958</v>
      </c>
      <c r="E229">
        <v>5059</v>
      </c>
      <c r="F229" t="b">
        <f>OR(ISNUMBER(SEARCH("wagon_",Table1[[#This Row],[FILENAMES_EXPECTED]])),ISNUMBER(SEARCH("coach_",Table1[[#This Row],[FILENAMES_EXPECTED]])))</f>
        <v>0</v>
      </c>
      <c r="G229" t="str">
        <f>"item_"&amp;Table1[[#This Row],[VEHIDCODE]]</f>
        <v>item_diesel_Ukraine_UZ_TEP150</v>
      </c>
      <c r="H229" t="str">
        <f>"str_"&amp;Table1[[#This Row],[VEHIDCODE]]</f>
        <v>str_diesel_Ukraine_UZ_TEP150</v>
      </c>
      <c r="AI229" s="2" t="b">
        <v>1</v>
      </c>
      <c r="AL229" s="2"/>
      <c r="AM229" s="2" t="b">
        <f>LEN(_xlfn.CONCAT(Table1[[#This Row],[TRACK_TYPE_STANDARD_GAUGE_RAILTYPE_OHLE]:[TRACK_TYPE_MTRO]]))&gt;0</f>
        <v>1</v>
      </c>
      <c r="AN229">
        <v>8</v>
      </c>
      <c r="AO229" t="s">
        <v>20</v>
      </c>
      <c r="AP229">
        <v>0</v>
      </c>
      <c r="AQ229" t="s">
        <v>35</v>
      </c>
      <c r="AR229">
        <v>0</v>
      </c>
      <c r="AS229">
        <v>2006</v>
      </c>
      <c r="AT229">
        <v>8</v>
      </c>
      <c r="AU229" s="2" t="s">
        <v>20</v>
      </c>
      <c r="AV229" t="b">
        <v>1</v>
      </c>
      <c r="AX229" s="2"/>
      <c r="AY229" t="s">
        <v>21</v>
      </c>
      <c r="AZ229">
        <v>1</v>
      </c>
      <c r="BA229">
        <v>4216</v>
      </c>
      <c r="BB229" t="s">
        <v>710</v>
      </c>
      <c r="BC229">
        <v>160</v>
      </c>
      <c r="BD229" s="2">
        <v>0.12</v>
      </c>
      <c r="BE229" t="s">
        <v>928</v>
      </c>
      <c r="BF229" t="s">
        <v>921</v>
      </c>
      <c r="BG229" t="s">
        <v>939</v>
      </c>
      <c r="BH229" s="7">
        <v>40</v>
      </c>
      <c r="BI22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29">
        <v>0</v>
      </c>
      <c r="BK229" t="s">
        <v>733</v>
      </c>
      <c r="BL229" s="11"/>
      <c r="BM229" s="11"/>
      <c r="BN229" s="11">
        <v>135</v>
      </c>
      <c r="BO229">
        <v>0</v>
      </c>
      <c r="BP229" t="s">
        <v>691</v>
      </c>
      <c r="BQ229" t="s">
        <v>693</v>
      </c>
      <c r="BR229" t="s">
        <v>700</v>
      </c>
      <c r="BS229" t="s">
        <v>704</v>
      </c>
      <c r="BT229" t="s">
        <v>705</v>
      </c>
      <c r="BU229" t="s">
        <v>706</v>
      </c>
      <c r="CT229"/>
      <c r="CU229"/>
      <c r="CV229"/>
    </row>
    <row r="230" spans="1:100" x14ac:dyDescent="0.4">
      <c r="A230" s="2" t="s">
        <v>253</v>
      </c>
      <c r="B230" t="str">
        <f>_xlfn.TEXTAFTER(Table1[[#This Row],[VEHIDCODE]],"_")</f>
        <v>China_China_Railways_HXN5</v>
      </c>
      <c r="C230" t="s">
        <v>739</v>
      </c>
      <c r="D230" t="s">
        <v>958</v>
      </c>
      <c r="E230">
        <v>5060</v>
      </c>
      <c r="F230" t="b">
        <f>OR(ISNUMBER(SEARCH("wagon_",Table1[[#This Row],[FILENAMES_EXPECTED]])),ISNUMBER(SEARCH("coach_",Table1[[#This Row],[FILENAMES_EXPECTED]])))</f>
        <v>0</v>
      </c>
      <c r="G230" t="str">
        <f>"item_"&amp;Table1[[#This Row],[VEHIDCODE]]</f>
        <v>item_diesel_China_China_Railways_HXN5</v>
      </c>
      <c r="H230" t="str">
        <f>"str_"&amp;Table1[[#This Row],[VEHIDCODE]]</f>
        <v>str_diesel_China_China_Railways_HXN5</v>
      </c>
      <c r="Q230" s="2" t="b">
        <v>1</v>
      </c>
      <c r="AL230" s="2"/>
      <c r="AM230" s="2" t="b">
        <f>LEN(_xlfn.CONCAT(Table1[[#This Row],[TRACK_TYPE_STANDARD_GAUGE_RAILTYPE_OHLE]:[TRACK_TYPE_MTRO]]))&gt;0</f>
        <v>1</v>
      </c>
      <c r="AN230">
        <v>8</v>
      </c>
      <c r="AO230" t="s">
        <v>20</v>
      </c>
      <c r="AP230">
        <v>0</v>
      </c>
      <c r="AQ230" t="s">
        <v>35</v>
      </c>
      <c r="AR230">
        <v>0</v>
      </c>
      <c r="AS230">
        <v>2008</v>
      </c>
      <c r="AT230">
        <v>8</v>
      </c>
      <c r="AU230" s="2" t="s">
        <v>20</v>
      </c>
      <c r="AV230" t="b">
        <v>1</v>
      </c>
      <c r="AX230" s="2"/>
      <c r="AY230" t="s">
        <v>21</v>
      </c>
      <c r="AZ230">
        <v>1</v>
      </c>
      <c r="BA230">
        <v>6250</v>
      </c>
      <c r="BB230" t="s">
        <v>710</v>
      </c>
      <c r="BC230">
        <v>120</v>
      </c>
      <c r="BD230" s="2">
        <v>0.41</v>
      </c>
      <c r="BE230" t="s">
        <v>930</v>
      </c>
      <c r="BF230" t="s">
        <v>921</v>
      </c>
      <c r="BG230" t="s">
        <v>939</v>
      </c>
      <c r="BH230" s="7">
        <v>40</v>
      </c>
      <c r="BI23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30">
        <v>0</v>
      </c>
      <c r="BK230" t="s">
        <v>733</v>
      </c>
      <c r="BL230" s="11"/>
      <c r="BM230" s="11"/>
      <c r="BN230" s="11">
        <v>150</v>
      </c>
      <c r="BO230">
        <v>0</v>
      </c>
      <c r="BP230" t="s">
        <v>691</v>
      </c>
      <c r="BQ230" t="s">
        <v>693</v>
      </c>
      <c r="BR230" t="s">
        <v>700</v>
      </c>
      <c r="BS230" t="s">
        <v>704</v>
      </c>
      <c r="BT230" t="s">
        <v>705</v>
      </c>
      <c r="BU230" t="s">
        <v>706</v>
      </c>
      <c r="CT230"/>
      <c r="CU230"/>
      <c r="CV230"/>
    </row>
    <row r="231" spans="1:100" x14ac:dyDescent="0.4">
      <c r="A231" s="2" t="s">
        <v>254</v>
      </c>
      <c r="B231" t="str">
        <f>_xlfn.TEXTAFTER(Table1[[#This Row],[VEHIDCODE]],"_")</f>
        <v>Germany_DB_261_Gravita_10BB</v>
      </c>
      <c r="C231" t="s">
        <v>739</v>
      </c>
      <c r="D231" t="s">
        <v>958</v>
      </c>
      <c r="E231">
        <v>5061</v>
      </c>
      <c r="F231" t="b">
        <f>OR(ISNUMBER(SEARCH("wagon_",Table1[[#This Row],[FILENAMES_EXPECTED]])),ISNUMBER(SEARCH("coach_",Table1[[#This Row],[FILENAMES_EXPECTED]])))</f>
        <v>0</v>
      </c>
      <c r="G231" t="str">
        <f>"item_"&amp;Table1[[#This Row],[VEHIDCODE]]</f>
        <v>item_diesel_Germany_DB_261_Gravita_10BB</v>
      </c>
      <c r="H231" t="str">
        <f>"str_"&amp;Table1[[#This Row],[VEHIDCODE]]</f>
        <v>str_diesel_Germany_DB_261_Gravita_10BB</v>
      </c>
      <c r="Q231" s="2" t="b">
        <v>1</v>
      </c>
      <c r="AL231" s="2"/>
      <c r="AM231" s="2" t="b">
        <f>LEN(_xlfn.CONCAT(Table1[[#This Row],[TRACK_TYPE_STANDARD_GAUGE_RAILTYPE_OHLE]:[TRACK_TYPE_MTRO]]))&gt;0</f>
        <v>1</v>
      </c>
      <c r="AN231">
        <v>8</v>
      </c>
      <c r="AO231" t="s">
        <v>20</v>
      </c>
      <c r="AP231">
        <v>0</v>
      </c>
      <c r="AQ231" t="s">
        <v>35</v>
      </c>
      <c r="AR231">
        <v>0</v>
      </c>
      <c r="AS231">
        <v>2010</v>
      </c>
      <c r="AT231">
        <v>8</v>
      </c>
      <c r="AU231" s="2" t="s">
        <v>20</v>
      </c>
      <c r="AV231" t="b">
        <v>1</v>
      </c>
      <c r="AX231" s="2"/>
      <c r="AY231" t="s">
        <v>21</v>
      </c>
      <c r="AZ231">
        <v>1</v>
      </c>
      <c r="BA231">
        <v>1350</v>
      </c>
      <c r="BB231" t="s">
        <v>710</v>
      </c>
      <c r="BC231">
        <v>100</v>
      </c>
      <c r="BD231" s="2">
        <v>0.32</v>
      </c>
      <c r="BE231" t="s">
        <v>922</v>
      </c>
      <c r="BF231" t="s">
        <v>921</v>
      </c>
      <c r="BG231" t="s">
        <v>939</v>
      </c>
      <c r="BH231" s="7">
        <v>40</v>
      </c>
      <c r="BI23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31">
        <v>0</v>
      </c>
      <c r="BK231" t="s">
        <v>733</v>
      </c>
      <c r="BL231" s="11"/>
      <c r="BM231" s="11"/>
      <c r="BN231" s="11">
        <v>80</v>
      </c>
      <c r="BO231">
        <v>0</v>
      </c>
      <c r="BP231" t="s">
        <v>691</v>
      </c>
      <c r="BQ231" t="s">
        <v>693</v>
      </c>
      <c r="BR231" t="s">
        <v>700</v>
      </c>
      <c r="BS231" t="s">
        <v>704</v>
      </c>
      <c r="BT231" t="s">
        <v>705</v>
      </c>
      <c r="BU231" t="s">
        <v>706</v>
      </c>
      <c r="CT231"/>
      <c r="CU231"/>
      <c r="CV231"/>
    </row>
    <row r="232" spans="1:100" x14ac:dyDescent="0.4">
      <c r="A232" s="2" t="s">
        <v>255</v>
      </c>
      <c r="B232" t="str">
        <f>_xlfn.TEXTAFTER(Table1[[#This Row],[VEHIDCODE]],"_")</f>
        <v>Russia_RZD_GT1</v>
      </c>
      <c r="C232" t="s">
        <v>739</v>
      </c>
      <c r="D232" t="s">
        <v>958</v>
      </c>
      <c r="E232">
        <v>5063</v>
      </c>
      <c r="F232" t="b">
        <f>OR(ISNUMBER(SEARCH("wagon_",Table1[[#This Row],[FILENAMES_EXPECTED]])),ISNUMBER(SEARCH("coach_",Table1[[#This Row],[FILENAMES_EXPECTED]])))</f>
        <v>0</v>
      </c>
      <c r="G232" t="str">
        <f>"item_"&amp;Table1[[#This Row],[VEHIDCODE]]</f>
        <v>item_diesel_Russia_RZD_GT1</v>
      </c>
      <c r="H232" t="str">
        <f>"str_"&amp;Table1[[#This Row],[VEHIDCODE]]</f>
        <v>str_diesel_Russia_RZD_GT1</v>
      </c>
      <c r="AI232" s="2" t="b">
        <v>1</v>
      </c>
      <c r="AL232" s="2"/>
      <c r="AM232" s="2" t="b">
        <f>LEN(_xlfn.CONCAT(Table1[[#This Row],[TRACK_TYPE_STANDARD_GAUGE_RAILTYPE_OHLE]:[TRACK_TYPE_MTRO]]))&gt;0</f>
        <v>1</v>
      </c>
      <c r="AN232">
        <v>16</v>
      </c>
      <c r="AO232" t="s">
        <v>20</v>
      </c>
      <c r="AP232">
        <v>0</v>
      </c>
      <c r="AQ232" t="s">
        <v>35</v>
      </c>
      <c r="AR232">
        <v>0</v>
      </c>
      <c r="AS232">
        <v>2011</v>
      </c>
      <c r="AT232">
        <v>8</v>
      </c>
      <c r="AU232" s="2" t="s">
        <v>20</v>
      </c>
      <c r="AV232" t="b">
        <v>1</v>
      </c>
      <c r="AX232" s="2"/>
      <c r="AY232" t="s">
        <v>21</v>
      </c>
      <c r="AZ232">
        <v>1</v>
      </c>
      <c r="BA232">
        <v>11130</v>
      </c>
      <c r="BB232" t="s">
        <v>710</v>
      </c>
      <c r="BC232">
        <v>100</v>
      </c>
      <c r="BD232" s="2">
        <v>0.23</v>
      </c>
      <c r="BE232" t="s">
        <v>930</v>
      </c>
      <c r="BF232" t="s">
        <v>921</v>
      </c>
      <c r="BG232" t="s">
        <v>939</v>
      </c>
      <c r="BH232" s="7">
        <v>40</v>
      </c>
      <c r="BI23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32">
        <v>0</v>
      </c>
      <c r="BK232" t="s">
        <v>733</v>
      </c>
      <c r="BL232" s="11"/>
      <c r="BM232" s="11"/>
      <c r="BN232" s="11">
        <v>300</v>
      </c>
      <c r="BO232">
        <v>0</v>
      </c>
      <c r="BP232" t="s">
        <v>691</v>
      </c>
      <c r="BQ232" t="s">
        <v>693</v>
      </c>
      <c r="BR232" t="s">
        <v>700</v>
      </c>
      <c r="BS232" t="s">
        <v>704</v>
      </c>
      <c r="BT232" t="s">
        <v>705</v>
      </c>
      <c r="BU232" t="s">
        <v>706</v>
      </c>
      <c r="CT232"/>
      <c r="CU232"/>
      <c r="CV232"/>
    </row>
    <row r="233" spans="1:100" x14ac:dyDescent="0.4">
      <c r="A233" s="2" t="s">
        <v>256</v>
      </c>
      <c r="B233" t="str">
        <f>_xlfn.TEXTAFTER(Table1[[#This Row],[VEHIDCODE]],"_")</f>
        <v>China_MTR_8000</v>
      </c>
      <c r="C233" t="s">
        <v>739</v>
      </c>
      <c r="D233" t="s">
        <v>958</v>
      </c>
      <c r="E233">
        <v>5058</v>
      </c>
      <c r="F233" t="b">
        <f>OR(ISNUMBER(SEARCH("wagon_",Table1[[#This Row],[FILENAMES_EXPECTED]])),ISNUMBER(SEARCH("coach_",Table1[[#This Row],[FILENAMES_EXPECTED]])))</f>
        <v>0</v>
      </c>
      <c r="G233" t="str">
        <f>"item_"&amp;Table1[[#This Row],[VEHIDCODE]]</f>
        <v>item_diesel_China_MTR_8000</v>
      </c>
      <c r="H233" t="str">
        <f>"str_"&amp;Table1[[#This Row],[VEHIDCODE]]</f>
        <v>str_diesel_China_MTR_8000</v>
      </c>
      <c r="Q233" s="2" t="b">
        <v>1</v>
      </c>
      <c r="AL233" s="2"/>
      <c r="AM233" s="2" t="b">
        <f>LEN(_xlfn.CONCAT(Table1[[#This Row],[TRACK_TYPE_STANDARD_GAUGE_RAILTYPE_OHLE]:[TRACK_TYPE_MTRO]]))&gt;0</f>
        <v>1</v>
      </c>
      <c r="AN233">
        <v>8</v>
      </c>
      <c r="AO233" t="s">
        <v>20</v>
      </c>
      <c r="AP233">
        <v>0</v>
      </c>
      <c r="AQ233" t="s">
        <v>35</v>
      </c>
      <c r="AR233">
        <v>0</v>
      </c>
      <c r="AS233">
        <v>2003</v>
      </c>
      <c r="AT233">
        <v>8</v>
      </c>
      <c r="AU233" s="2" t="s">
        <v>20</v>
      </c>
      <c r="AV233" t="b">
        <v>1</v>
      </c>
      <c r="AX233" s="2"/>
      <c r="AY233" t="s">
        <v>21</v>
      </c>
      <c r="AZ233">
        <v>1</v>
      </c>
      <c r="BA233">
        <v>2680</v>
      </c>
      <c r="BB233" t="s">
        <v>710</v>
      </c>
      <c r="BC233">
        <v>140</v>
      </c>
      <c r="BD233" s="2">
        <v>0.28999999999999998</v>
      </c>
      <c r="BE233" t="s">
        <v>930</v>
      </c>
      <c r="BF233" t="s">
        <v>921</v>
      </c>
      <c r="BG233" t="s">
        <v>939</v>
      </c>
      <c r="BH233" s="7">
        <v>40</v>
      </c>
      <c r="BI23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33">
        <v>0</v>
      </c>
      <c r="BK233" t="s">
        <v>733</v>
      </c>
      <c r="BL233" s="11"/>
      <c r="BM233" s="11"/>
      <c r="BN233" s="11">
        <v>80</v>
      </c>
      <c r="BO233">
        <v>0</v>
      </c>
      <c r="BP233" t="s">
        <v>691</v>
      </c>
      <c r="BQ233" t="s">
        <v>693</v>
      </c>
      <c r="BR233" t="s">
        <v>700</v>
      </c>
      <c r="BS233" t="s">
        <v>704</v>
      </c>
      <c r="BT233" t="s">
        <v>705</v>
      </c>
      <c r="BU233" t="s">
        <v>706</v>
      </c>
      <c r="CT233"/>
      <c r="CU233"/>
      <c r="CV233"/>
    </row>
    <row r="234" spans="1:100" x14ac:dyDescent="0.4">
      <c r="A234" s="2" t="s">
        <v>257</v>
      </c>
      <c r="B234" t="str">
        <f>_xlfn.TEXTAFTER(Table1[[#This Row],[VEHIDCODE]],"_")</f>
        <v>Germany_HVLE_V490</v>
      </c>
      <c r="C234" t="s">
        <v>739</v>
      </c>
      <c r="D234" t="s">
        <v>958</v>
      </c>
      <c r="E234">
        <v>5062</v>
      </c>
      <c r="F234" t="b">
        <f>OR(ISNUMBER(SEARCH("wagon_",Table1[[#This Row],[FILENAMES_EXPECTED]])),ISNUMBER(SEARCH("coach_",Table1[[#This Row],[FILENAMES_EXPECTED]])))</f>
        <v>0</v>
      </c>
      <c r="G234" t="str">
        <f>"item_"&amp;Table1[[#This Row],[VEHIDCODE]]</f>
        <v>item_diesel_Germany_HVLE_V490</v>
      </c>
      <c r="H234" t="str">
        <f>"str_"&amp;Table1[[#This Row],[VEHIDCODE]]</f>
        <v>str_diesel_Germany_HVLE_V490</v>
      </c>
      <c r="Q234" s="2" t="b">
        <v>1</v>
      </c>
      <c r="AL234" s="2"/>
      <c r="AM234" s="2" t="b">
        <f>LEN(_xlfn.CONCAT(Table1[[#This Row],[TRACK_TYPE_STANDARD_GAUGE_RAILTYPE_OHLE]:[TRACK_TYPE_MTRO]]))&gt;0</f>
        <v>1</v>
      </c>
      <c r="AN234">
        <v>8</v>
      </c>
      <c r="AO234" t="s">
        <v>20</v>
      </c>
      <c r="AP234">
        <v>0</v>
      </c>
      <c r="AQ234" t="s">
        <v>35</v>
      </c>
      <c r="AR234">
        <v>0</v>
      </c>
      <c r="AS234">
        <v>2010</v>
      </c>
      <c r="AT234">
        <v>8</v>
      </c>
      <c r="AU234" s="2" t="s">
        <v>20</v>
      </c>
      <c r="AV234" t="b">
        <v>1</v>
      </c>
      <c r="AX234" s="2"/>
      <c r="AY234" t="s">
        <v>21</v>
      </c>
      <c r="AZ234">
        <v>1</v>
      </c>
      <c r="BA234">
        <v>4900</v>
      </c>
      <c r="BB234" t="s">
        <v>710</v>
      </c>
      <c r="BC234">
        <v>140</v>
      </c>
      <c r="BD234" s="2">
        <v>0.35</v>
      </c>
      <c r="BE234" t="s">
        <v>922</v>
      </c>
      <c r="BF234" t="s">
        <v>921</v>
      </c>
      <c r="BG234" t="s">
        <v>939</v>
      </c>
      <c r="BH234" s="7">
        <v>40</v>
      </c>
      <c r="BI23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34">
        <v>0</v>
      </c>
      <c r="BK234" t="s">
        <v>733</v>
      </c>
      <c r="BL234" s="11"/>
      <c r="BM234" s="11"/>
      <c r="BN234" s="11">
        <v>130</v>
      </c>
      <c r="BO234">
        <v>0</v>
      </c>
      <c r="BP234" t="s">
        <v>691</v>
      </c>
      <c r="BQ234" t="s">
        <v>693</v>
      </c>
      <c r="BR234" t="s">
        <v>700</v>
      </c>
      <c r="BS234" t="s">
        <v>704</v>
      </c>
      <c r="BT234" t="s">
        <v>705</v>
      </c>
      <c r="BU234" t="s">
        <v>706</v>
      </c>
      <c r="CT234"/>
      <c r="CU234"/>
      <c r="CV234"/>
    </row>
    <row r="235" spans="1:100" x14ac:dyDescent="0.4">
      <c r="A235" s="2" t="s">
        <v>258</v>
      </c>
      <c r="B235" t="str">
        <f>_xlfn.TEXTAFTER(Table1[[#This Row],[VEHIDCODE]],"_")</f>
        <v>Russia_RZD_Emch_3</v>
      </c>
      <c r="C235" t="s">
        <v>739</v>
      </c>
      <c r="D235" t="s">
        <v>958</v>
      </c>
      <c r="E235">
        <v>5066</v>
      </c>
      <c r="F235" t="b">
        <f>OR(ISNUMBER(SEARCH("wagon_",Table1[[#This Row],[FILENAMES_EXPECTED]])),ISNUMBER(SEARCH("coach_",Table1[[#This Row],[FILENAMES_EXPECTED]])))</f>
        <v>0</v>
      </c>
      <c r="G235" t="str">
        <f>"item_"&amp;Table1[[#This Row],[VEHIDCODE]]</f>
        <v>item_diesel_Russia_RZD_Emch_3</v>
      </c>
      <c r="H235" t="str">
        <f>"str_"&amp;Table1[[#This Row],[VEHIDCODE]]</f>
        <v>str_diesel_Russia_RZD_Emch_3</v>
      </c>
      <c r="AI235" s="2" t="b">
        <v>1</v>
      </c>
      <c r="AL235" s="2"/>
      <c r="AM235" s="2" t="b">
        <f>LEN(_xlfn.CONCAT(Table1[[#This Row],[TRACK_TYPE_STANDARD_GAUGE_RAILTYPE_OHLE]:[TRACK_TYPE_MTRO]]))&gt;0</f>
        <v>1</v>
      </c>
      <c r="AN235">
        <v>7</v>
      </c>
      <c r="AO235" t="s">
        <v>20</v>
      </c>
      <c r="AP235">
        <v>0</v>
      </c>
      <c r="AQ235" t="s">
        <v>35</v>
      </c>
      <c r="AR235">
        <v>0</v>
      </c>
      <c r="AS235">
        <v>1926</v>
      </c>
      <c r="AT235">
        <v>7</v>
      </c>
      <c r="AU235" s="2" t="s">
        <v>20</v>
      </c>
      <c r="AV235" t="b">
        <v>1</v>
      </c>
      <c r="AX235" s="2"/>
      <c r="AY235">
        <v>45</v>
      </c>
      <c r="AZ235">
        <v>1</v>
      </c>
      <c r="BA235">
        <v>1200</v>
      </c>
      <c r="BB235" t="s">
        <v>710</v>
      </c>
      <c r="BC235">
        <v>55</v>
      </c>
      <c r="BD235" s="2">
        <v>0.12</v>
      </c>
      <c r="BE235" t="s">
        <v>930</v>
      </c>
      <c r="BF235" t="s">
        <v>921</v>
      </c>
      <c r="BG235" t="s">
        <v>939</v>
      </c>
      <c r="BH235" s="7">
        <v>40</v>
      </c>
      <c r="BI23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35">
        <v>0</v>
      </c>
      <c r="BK235" t="s">
        <v>733</v>
      </c>
      <c r="BL235" s="11"/>
      <c r="BM235" s="11"/>
      <c r="BN235" s="11">
        <v>125</v>
      </c>
      <c r="BO235">
        <v>0</v>
      </c>
      <c r="BP235" t="s">
        <v>691</v>
      </c>
      <c r="BQ235" t="s">
        <v>693</v>
      </c>
      <c r="BR235" t="s">
        <v>700</v>
      </c>
      <c r="BS235" t="s">
        <v>704</v>
      </c>
      <c r="BT235" t="s">
        <v>705</v>
      </c>
      <c r="BU235" t="s">
        <v>706</v>
      </c>
      <c r="CT235"/>
      <c r="CU235"/>
      <c r="CV235"/>
    </row>
    <row r="236" spans="1:100" x14ac:dyDescent="0.4">
      <c r="A236" s="2" t="s">
        <v>259</v>
      </c>
      <c r="B236" t="str">
        <f>_xlfn.TEXTAFTER(Table1[[#This Row],[VEHIDCODE]],"_")</f>
        <v>Canada_CNR_9000</v>
      </c>
      <c r="C236" t="s">
        <v>739</v>
      </c>
      <c r="D236" t="s">
        <v>958</v>
      </c>
      <c r="E236">
        <v>5067</v>
      </c>
      <c r="F236" t="b">
        <f>OR(ISNUMBER(SEARCH("wagon_",Table1[[#This Row],[FILENAMES_EXPECTED]])),ISNUMBER(SEARCH("coach_",Table1[[#This Row],[FILENAMES_EXPECTED]])))</f>
        <v>0</v>
      </c>
      <c r="G236" t="str">
        <f>"item_"&amp;Table1[[#This Row],[VEHIDCODE]]</f>
        <v>item_diesel_Canada_CNR_9000</v>
      </c>
      <c r="H236" t="str">
        <f>"str_"&amp;Table1[[#This Row],[VEHIDCODE]]</f>
        <v>str_diesel_Canada_CNR_9000</v>
      </c>
      <c r="Q236" s="2" t="b">
        <v>1</v>
      </c>
      <c r="AL236" s="2"/>
      <c r="AM236" s="2" t="b">
        <f>LEN(_xlfn.CONCAT(Table1[[#This Row],[TRACK_TYPE_STANDARD_GAUGE_RAILTYPE_OHLE]:[TRACK_TYPE_MTRO]]))&gt;0</f>
        <v>1</v>
      </c>
      <c r="AN236">
        <v>14</v>
      </c>
      <c r="AO236" t="s">
        <v>20</v>
      </c>
      <c r="AP236">
        <v>0</v>
      </c>
      <c r="AQ236" t="s">
        <v>35</v>
      </c>
      <c r="AR236">
        <v>0</v>
      </c>
      <c r="AS236">
        <v>1928</v>
      </c>
      <c r="AT236">
        <v>7</v>
      </c>
      <c r="AU236" s="2" t="s">
        <v>20</v>
      </c>
      <c r="AV236" t="b">
        <v>1</v>
      </c>
      <c r="AX236" s="2"/>
      <c r="AY236">
        <v>45</v>
      </c>
      <c r="AZ236">
        <v>1</v>
      </c>
      <c r="BA236">
        <v>2660</v>
      </c>
      <c r="BB236" t="s">
        <v>710</v>
      </c>
      <c r="BC236">
        <v>112</v>
      </c>
      <c r="BD236" s="2">
        <v>0.11</v>
      </c>
      <c r="BE236" t="s">
        <v>927</v>
      </c>
      <c r="BF236" t="s">
        <v>921</v>
      </c>
      <c r="BG236" t="s">
        <v>939</v>
      </c>
      <c r="BH236" s="7">
        <v>40</v>
      </c>
      <c r="BI23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36">
        <v>0</v>
      </c>
      <c r="BK236" t="s">
        <v>733</v>
      </c>
      <c r="BL236" s="11"/>
      <c r="BM236" s="11"/>
      <c r="BN236" s="11">
        <v>335</v>
      </c>
      <c r="BO236">
        <v>0</v>
      </c>
      <c r="BP236" t="s">
        <v>691</v>
      </c>
      <c r="BQ236" t="s">
        <v>693</v>
      </c>
      <c r="BR236" t="s">
        <v>700</v>
      </c>
      <c r="BS236" t="s">
        <v>704</v>
      </c>
      <c r="BT236" t="s">
        <v>705</v>
      </c>
      <c r="BU236" t="s">
        <v>706</v>
      </c>
      <c r="CT236"/>
      <c r="CU236"/>
      <c r="CV236"/>
    </row>
    <row r="237" spans="1:100" x14ac:dyDescent="0.4">
      <c r="A237" s="2" t="s">
        <v>260</v>
      </c>
      <c r="B237" t="str">
        <f>_xlfn.TEXTAFTER(Table1[[#This Row],[VEHIDCODE]],"_")</f>
        <v>UK_LMS_7051_Diesel_Shunter</v>
      </c>
      <c r="C237" t="s">
        <v>739</v>
      </c>
      <c r="D237" t="s">
        <v>958</v>
      </c>
      <c r="E237">
        <v>5068</v>
      </c>
      <c r="F237" t="b">
        <f>OR(ISNUMBER(SEARCH("wagon_",Table1[[#This Row],[FILENAMES_EXPECTED]])),ISNUMBER(SEARCH("coach_",Table1[[#This Row],[FILENAMES_EXPECTED]])))</f>
        <v>0</v>
      </c>
      <c r="G237" t="str">
        <f>"item_"&amp;Table1[[#This Row],[VEHIDCODE]]</f>
        <v>item_diesel_UK_LMS_7051_Diesel_Shunter</v>
      </c>
      <c r="H237" t="str">
        <f>"str_"&amp;Table1[[#This Row],[VEHIDCODE]]</f>
        <v>str_diesel_UK_LMS_7051_Diesel_Shunter</v>
      </c>
      <c r="Q237" s="2" t="b">
        <v>1</v>
      </c>
      <c r="AL237" s="2"/>
      <c r="AM237" s="2" t="b">
        <f>LEN(_xlfn.CONCAT(Table1[[#This Row],[TRACK_TYPE_STANDARD_GAUGE_RAILTYPE_OHLE]:[TRACK_TYPE_MTRO]]))&gt;0</f>
        <v>1</v>
      </c>
      <c r="AN237">
        <v>4</v>
      </c>
      <c r="AO237" t="s">
        <v>20</v>
      </c>
      <c r="AP237">
        <v>0</v>
      </c>
      <c r="AQ237" t="s">
        <v>35</v>
      </c>
      <c r="AR237">
        <v>0</v>
      </c>
      <c r="AS237">
        <v>1932</v>
      </c>
      <c r="AT237">
        <v>4</v>
      </c>
      <c r="AU237" s="2" t="s">
        <v>20</v>
      </c>
      <c r="AV237" t="b">
        <v>1</v>
      </c>
      <c r="AX237" s="2"/>
      <c r="AY237">
        <v>45</v>
      </c>
      <c r="AZ237">
        <v>0</v>
      </c>
      <c r="BA237">
        <v>150</v>
      </c>
      <c r="BB237" t="s">
        <v>710</v>
      </c>
      <c r="BC237">
        <v>48</v>
      </c>
      <c r="BD237" s="2">
        <v>0.21</v>
      </c>
      <c r="BE237" t="s">
        <v>926</v>
      </c>
      <c r="BF237" t="s">
        <v>921</v>
      </c>
      <c r="BG237" t="s">
        <v>939</v>
      </c>
      <c r="BH237" s="7">
        <v>40</v>
      </c>
      <c r="BI23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37">
        <v>0</v>
      </c>
      <c r="BK237" t="s">
        <v>733</v>
      </c>
      <c r="BL237" s="11"/>
      <c r="BM237" s="11"/>
      <c r="BN237" s="11">
        <v>22</v>
      </c>
      <c r="BO237">
        <v>0</v>
      </c>
      <c r="BP237" t="s">
        <v>691</v>
      </c>
      <c r="BQ237" t="s">
        <v>693</v>
      </c>
      <c r="BR237" t="s">
        <v>700</v>
      </c>
      <c r="BS237" t="s">
        <v>704</v>
      </c>
      <c r="BT237" t="s">
        <v>705</v>
      </c>
      <c r="BU237" t="s">
        <v>706</v>
      </c>
      <c r="CT237"/>
      <c r="CU237"/>
      <c r="CV237"/>
    </row>
    <row r="238" spans="1:100" x14ac:dyDescent="0.4">
      <c r="A238" s="2" t="s">
        <v>261</v>
      </c>
      <c r="B238" t="str">
        <f>_xlfn.TEXTAFTER(Table1[[#This Row],[VEHIDCODE]],"_")</f>
        <v>USA_Rock_Island_EMC_TA</v>
      </c>
      <c r="C238" t="s">
        <v>739</v>
      </c>
      <c r="D238" t="s">
        <v>958</v>
      </c>
      <c r="E238">
        <v>5069</v>
      </c>
      <c r="F238" t="b">
        <f>OR(ISNUMBER(SEARCH("wagon_",Table1[[#This Row],[FILENAMES_EXPECTED]])),ISNUMBER(SEARCH("coach_",Table1[[#This Row],[FILENAMES_EXPECTED]])))</f>
        <v>0</v>
      </c>
      <c r="G238" t="str">
        <f>"item_"&amp;Table1[[#This Row],[VEHIDCODE]]</f>
        <v>item_diesel_USA_Rock_Island_EMC_TA</v>
      </c>
      <c r="H238" t="str">
        <f>"str_"&amp;Table1[[#This Row],[VEHIDCODE]]</f>
        <v>str_diesel_USA_Rock_Island_EMC_TA</v>
      </c>
      <c r="Q238" s="2" t="b">
        <v>1</v>
      </c>
      <c r="AL238" s="2"/>
      <c r="AM238" s="2" t="b">
        <f>LEN(_xlfn.CONCAT(Table1[[#This Row],[TRACK_TYPE_STANDARD_GAUGE_RAILTYPE_OHLE]:[TRACK_TYPE_MTRO]]))&gt;0</f>
        <v>1</v>
      </c>
      <c r="AN238">
        <v>8</v>
      </c>
      <c r="AO238" t="s">
        <v>20</v>
      </c>
      <c r="AP238">
        <v>0</v>
      </c>
      <c r="AQ238" t="s">
        <v>35</v>
      </c>
      <c r="AR238">
        <v>0</v>
      </c>
      <c r="AS238">
        <v>1937</v>
      </c>
      <c r="AT238">
        <v>8</v>
      </c>
      <c r="AU238" s="2" t="s">
        <v>20</v>
      </c>
      <c r="AV238" t="b">
        <v>1</v>
      </c>
      <c r="AX238" s="2"/>
      <c r="AY238">
        <v>45</v>
      </c>
      <c r="AZ238">
        <v>1</v>
      </c>
      <c r="BA238">
        <v>1200</v>
      </c>
      <c r="BB238" t="s">
        <v>710</v>
      </c>
      <c r="BC238">
        <v>180</v>
      </c>
      <c r="BD238" s="2">
        <v>0.12</v>
      </c>
      <c r="BE238" t="s">
        <v>927</v>
      </c>
      <c r="BF238" t="s">
        <v>921</v>
      </c>
      <c r="BG238" t="s">
        <v>939</v>
      </c>
      <c r="BH238" s="7">
        <v>40</v>
      </c>
      <c r="BI23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38">
        <v>0</v>
      </c>
      <c r="BK238" t="s">
        <v>733</v>
      </c>
      <c r="BL238" s="11"/>
      <c r="BM238" s="11"/>
      <c r="BN238" s="11">
        <v>132</v>
      </c>
      <c r="BO238">
        <v>0</v>
      </c>
      <c r="BP238" t="s">
        <v>691</v>
      </c>
      <c r="BQ238" t="s">
        <v>693</v>
      </c>
      <c r="BR238" t="s">
        <v>700</v>
      </c>
      <c r="BS238" t="s">
        <v>704</v>
      </c>
      <c r="BT238" t="s">
        <v>705</v>
      </c>
      <c r="BU238" t="s">
        <v>706</v>
      </c>
      <c r="CT238"/>
      <c r="CU238"/>
      <c r="CV238"/>
    </row>
    <row r="239" spans="1:100" x14ac:dyDescent="0.4">
      <c r="A239" s="2" t="s">
        <v>262</v>
      </c>
      <c r="B239" t="str">
        <f>_xlfn.TEXTAFTER(Table1[[#This Row],[VEHIDCODE]],"_")</f>
        <v>USA_NYC_Baldwin_VO_660</v>
      </c>
      <c r="C239" t="s">
        <v>739</v>
      </c>
      <c r="D239" t="s">
        <v>958</v>
      </c>
      <c r="E239">
        <v>5070</v>
      </c>
      <c r="F239" t="b">
        <f>OR(ISNUMBER(SEARCH("wagon_",Table1[[#This Row],[FILENAMES_EXPECTED]])),ISNUMBER(SEARCH("coach_",Table1[[#This Row],[FILENAMES_EXPECTED]])))</f>
        <v>0</v>
      </c>
      <c r="G239" t="str">
        <f>"item_"&amp;Table1[[#This Row],[VEHIDCODE]]</f>
        <v>item_diesel_USA_NYC_Baldwin_VO_660</v>
      </c>
      <c r="H239" t="str">
        <f>"str_"&amp;Table1[[#This Row],[VEHIDCODE]]</f>
        <v>str_diesel_USA_NYC_Baldwin_VO_660</v>
      </c>
      <c r="Q239" s="2" t="b">
        <v>1</v>
      </c>
      <c r="AL239" s="2"/>
      <c r="AM239" s="2" t="b">
        <f>LEN(_xlfn.CONCAT(Table1[[#This Row],[TRACK_TYPE_STANDARD_GAUGE_RAILTYPE_OHLE]:[TRACK_TYPE_MTRO]]))&gt;0</f>
        <v>1</v>
      </c>
      <c r="AN239">
        <v>6</v>
      </c>
      <c r="AO239" t="s">
        <v>20</v>
      </c>
      <c r="AP239">
        <v>0</v>
      </c>
      <c r="AQ239" t="s">
        <v>35</v>
      </c>
      <c r="AR239">
        <v>0</v>
      </c>
      <c r="AS239">
        <v>1939</v>
      </c>
      <c r="AT239">
        <v>6</v>
      </c>
      <c r="AU239" s="2" t="s">
        <v>20</v>
      </c>
      <c r="AV239" t="b">
        <v>1</v>
      </c>
      <c r="AX239" s="2"/>
      <c r="AY239">
        <v>45</v>
      </c>
      <c r="AZ239">
        <v>1</v>
      </c>
      <c r="BA239">
        <v>660</v>
      </c>
      <c r="BB239" t="s">
        <v>710</v>
      </c>
      <c r="BC239">
        <v>64</v>
      </c>
      <c r="BD239" s="2">
        <v>0.24</v>
      </c>
      <c r="BE239" t="s">
        <v>927</v>
      </c>
      <c r="BF239" t="s">
        <v>921</v>
      </c>
      <c r="BG239" t="s">
        <v>939</v>
      </c>
      <c r="BH239" s="7">
        <v>40</v>
      </c>
      <c r="BI23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39">
        <v>0</v>
      </c>
      <c r="BK239" t="s">
        <v>733</v>
      </c>
      <c r="BL239" s="11"/>
      <c r="BM239" s="11"/>
      <c r="BN239" s="11">
        <v>92</v>
      </c>
      <c r="BO239">
        <v>0</v>
      </c>
      <c r="BP239" t="s">
        <v>691</v>
      </c>
      <c r="BQ239" t="s">
        <v>693</v>
      </c>
      <c r="BR239" t="s">
        <v>700</v>
      </c>
      <c r="BS239" t="s">
        <v>704</v>
      </c>
      <c r="BT239" t="s">
        <v>705</v>
      </c>
      <c r="BU239" t="s">
        <v>706</v>
      </c>
      <c r="CT239"/>
      <c r="CU239"/>
      <c r="CV239"/>
    </row>
    <row r="240" spans="1:100" x14ac:dyDescent="0.4">
      <c r="A240" s="2" t="s">
        <v>263</v>
      </c>
      <c r="B240" t="str">
        <f>_xlfn.TEXTAFTER(Table1[[#This Row],[VEHIDCODE]],"_")</f>
        <v>UK_BR_Class_D3_7</v>
      </c>
      <c r="C240" t="s">
        <v>739</v>
      </c>
      <c r="D240" t="s">
        <v>958</v>
      </c>
      <c r="E240">
        <v>5071</v>
      </c>
      <c r="F240" t="b">
        <f>OR(ISNUMBER(SEARCH("wagon_",Table1[[#This Row],[FILENAMES_EXPECTED]])),ISNUMBER(SEARCH("coach_",Table1[[#This Row],[FILENAMES_EXPECTED]])))</f>
        <v>0</v>
      </c>
      <c r="G240" t="str">
        <f>"item_"&amp;Table1[[#This Row],[VEHIDCODE]]</f>
        <v>item_diesel_UK_BR_Class_D3_7</v>
      </c>
      <c r="H240" t="str">
        <f>"str_"&amp;Table1[[#This Row],[VEHIDCODE]]</f>
        <v>str_diesel_UK_BR_Class_D3_7</v>
      </c>
      <c r="Q240" s="2" t="b">
        <v>1</v>
      </c>
      <c r="AL240" s="2"/>
      <c r="AM240" s="2" t="b">
        <f>LEN(_xlfn.CONCAT(Table1[[#This Row],[TRACK_TYPE_STANDARD_GAUGE_RAILTYPE_OHLE]:[TRACK_TYPE_MTRO]]))&gt;0</f>
        <v>1</v>
      </c>
      <c r="AN240">
        <v>5</v>
      </c>
      <c r="AO240" t="s">
        <v>20</v>
      </c>
      <c r="AP240">
        <v>0</v>
      </c>
      <c r="AQ240" t="s">
        <v>35</v>
      </c>
      <c r="AR240">
        <v>0</v>
      </c>
      <c r="AS240">
        <v>1939</v>
      </c>
      <c r="AT240">
        <v>5</v>
      </c>
      <c r="AU240" s="2" t="s">
        <v>20</v>
      </c>
      <c r="AV240" t="b">
        <v>1</v>
      </c>
      <c r="AX240" s="2"/>
      <c r="AY240">
        <v>45</v>
      </c>
      <c r="AZ240">
        <v>0</v>
      </c>
      <c r="BA240">
        <v>350</v>
      </c>
      <c r="BB240" t="s">
        <v>710</v>
      </c>
      <c r="BC240">
        <v>32</v>
      </c>
      <c r="BD240" s="2">
        <v>0.28999999999999998</v>
      </c>
      <c r="BE240" t="s">
        <v>926</v>
      </c>
      <c r="BF240" t="s">
        <v>921</v>
      </c>
      <c r="BG240" t="s">
        <v>939</v>
      </c>
      <c r="BH240" s="7">
        <v>40</v>
      </c>
      <c r="BI24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40">
        <v>0</v>
      </c>
      <c r="BK240" t="s">
        <v>733</v>
      </c>
      <c r="BL240" s="11"/>
      <c r="BM240" s="11"/>
      <c r="BN240" s="11">
        <v>55</v>
      </c>
      <c r="BO240">
        <v>0</v>
      </c>
      <c r="BP240" t="s">
        <v>691</v>
      </c>
      <c r="BQ240" t="s">
        <v>693</v>
      </c>
      <c r="BR240" t="s">
        <v>700</v>
      </c>
      <c r="BS240" t="s">
        <v>704</v>
      </c>
      <c r="BT240" t="s">
        <v>705</v>
      </c>
      <c r="BU240" t="s">
        <v>706</v>
      </c>
      <c r="CT240"/>
      <c r="CU240"/>
      <c r="CV240"/>
    </row>
    <row r="241" spans="1:100" x14ac:dyDescent="0.4">
      <c r="A241" s="2" t="s">
        <v>264</v>
      </c>
      <c r="B241" t="str">
        <f>_xlfn.TEXTAFTER(Table1[[#This Row],[VEHIDCODE]],"_")</f>
        <v>Australia_Queensland_Railways_DL_Class</v>
      </c>
      <c r="C241" t="s">
        <v>739</v>
      </c>
      <c r="D241" t="s">
        <v>958</v>
      </c>
      <c r="E241">
        <v>5072</v>
      </c>
      <c r="F241" t="b">
        <f>OR(ISNUMBER(SEARCH("wagon_",Table1[[#This Row],[FILENAMES_EXPECTED]])),ISNUMBER(SEARCH("coach_",Table1[[#This Row],[FILENAMES_EXPECTED]])))</f>
        <v>0</v>
      </c>
      <c r="G241" t="str">
        <f>"item_"&amp;Table1[[#This Row],[VEHIDCODE]]</f>
        <v>item_diesel_Australia_Queensland_Railways_DL_Class</v>
      </c>
      <c r="H241" t="str">
        <f>"str_"&amp;Table1[[#This Row],[VEHIDCODE]]</f>
        <v>str_diesel_Australia_Queensland_Railways_DL_Class</v>
      </c>
      <c r="Z241" s="2" t="b">
        <v>1</v>
      </c>
      <c r="AL241" s="2"/>
      <c r="AM241" s="2" t="b">
        <f>LEN(_xlfn.CONCAT(Table1[[#This Row],[TRACK_TYPE_STANDARD_GAUGE_RAILTYPE_OHLE]:[TRACK_TYPE_MTRO]]))&gt;0</f>
        <v>1</v>
      </c>
      <c r="AN241">
        <v>5</v>
      </c>
      <c r="AO241" t="s">
        <v>20</v>
      </c>
      <c r="AP241">
        <v>0</v>
      </c>
      <c r="AQ241" t="s">
        <v>35</v>
      </c>
      <c r="AR241">
        <v>0</v>
      </c>
      <c r="AS241">
        <v>1939</v>
      </c>
      <c r="AT241">
        <v>5</v>
      </c>
      <c r="AU241" s="2" t="s">
        <v>20</v>
      </c>
      <c r="AV241" t="b">
        <v>1</v>
      </c>
      <c r="AX241" s="2"/>
      <c r="AY241">
        <v>45</v>
      </c>
      <c r="AZ241">
        <v>1</v>
      </c>
      <c r="BA241">
        <v>150</v>
      </c>
      <c r="BB241" t="s">
        <v>710</v>
      </c>
      <c r="BC241">
        <v>50</v>
      </c>
      <c r="BD241" s="2">
        <v>0.17</v>
      </c>
      <c r="BE241" t="s">
        <v>924</v>
      </c>
      <c r="BF241" t="s">
        <v>921</v>
      </c>
      <c r="BG241" t="s">
        <v>939</v>
      </c>
      <c r="BH241" s="7">
        <v>40</v>
      </c>
      <c r="BI24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41">
        <v>0</v>
      </c>
      <c r="BK241" t="s">
        <v>733</v>
      </c>
      <c r="BL241" s="11"/>
      <c r="BM241" s="11"/>
      <c r="BN241" s="11">
        <v>18</v>
      </c>
      <c r="BO241">
        <v>0</v>
      </c>
      <c r="BP241" t="s">
        <v>691</v>
      </c>
      <c r="BQ241" t="s">
        <v>693</v>
      </c>
      <c r="BR241" t="s">
        <v>700</v>
      </c>
      <c r="BS241" t="s">
        <v>704</v>
      </c>
      <c r="BT241" t="s">
        <v>705</v>
      </c>
      <c r="BU241" t="s">
        <v>706</v>
      </c>
      <c r="CT241"/>
      <c r="CU241"/>
      <c r="CV241"/>
    </row>
    <row r="242" spans="1:100" x14ac:dyDescent="0.4">
      <c r="A242" s="2" t="s">
        <v>265</v>
      </c>
      <c r="B242" t="str">
        <f>_xlfn.TEXTAFTER(Table1[[#This Row],[VEHIDCODE]],"_")</f>
        <v>USA_PRR_FM_H_10_44</v>
      </c>
      <c r="C242" t="s">
        <v>739</v>
      </c>
      <c r="D242" t="s">
        <v>958</v>
      </c>
      <c r="E242">
        <v>5073</v>
      </c>
      <c r="F242" t="b">
        <f>OR(ISNUMBER(SEARCH("wagon_",Table1[[#This Row],[FILENAMES_EXPECTED]])),ISNUMBER(SEARCH("coach_",Table1[[#This Row],[FILENAMES_EXPECTED]])))</f>
        <v>0</v>
      </c>
      <c r="G242" t="str">
        <f>"item_"&amp;Table1[[#This Row],[VEHIDCODE]]</f>
        <v>item_diesel_USA_PRR_FM_H_10_44</v>
      </c>
      <c r="H242" t="str">
        <f>"str_"&amp;Table1[[#This Row],[VEHIDCODE]]</f>
        <v>str_diesel_USA_PRR_FM_H_10_44</v>
      </c>
      <c r="Q242" s="2" t="b">
        <v>1</v>
      </c>
      <c r="AL242" s="2"/>
      <c r="AM242" s="2" t="b">
        <f>LEN(_xlfn.CONCAT(Table1[[#This Row],[TRACK_TYPE_STANDARD_GAUGE_RAILTYPE_OHLE]:[TRACK_TYPE_MTRO]]))&gt;0</f>
        <v>1</v>
      </c>
      <c r="AN242">
        <v>6</v>
      </c>
      <c r="AO242" t="s">
        <v>20</v>
      </c>
      <c r="AP242">
        <v>0</v>
      </c>
      <c r="AQ242" t="s">
        <v>35</v>
      </c>
      <c r="AR242">
        <v>0</v>
      </c>
      <c r="AS242">
        <v>1944</v>
      </c>
      <c r="AT242">
        <v>6</v>
      </c>
      <c r="AU242" s="2" t="s">
        <v>20</v>
      </c>
      <c r="AV242" t="b">
        <v>1</v>
      </c>
      <c r="AX242" s="2"/>
      <c r="AY242">
        <v>45</v>
      </c>
      <c r="AZ242">
        <v>1</v>
      </c>
      <c r="BA242">
        <v>1000</v>
      </c>
      <c r="BB242" t="s">
        <v>710</v>
      </c>
      <c r="BC242">
        <v>97</v>
      </c>
      <c r="BD242" s="2">
        <v>0.17</v>
      </c>
      <c r="BE242" t="s">
        <v>927</v>
      </c>
      <c r="BF242" t="s">
        <v>921</v>
      </c>
      <c r="BG242" t="s">
        <v>939</v>
      </c>
      <c r="BH242" s="7">
        <v>40</v>
      </c>
      <c r="BI24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42">
        <v>0</v>
      </c>
      <c r="BK242" t="s">
        <v>733</v>
      </c>
      <c r="BL242" s="11"/>
      <c r="BM242" s="11"/>
      <c r="BN242" s="11">
        <v>109</v>
      </c>
      <c r="BO242">
        <v>0</v>
      </c>
      <c r="BP242" t="s">
        <v>691</v>
      </c>
      <c r="BQ242" t="s">
        <v>693</v>
      </c>
      <c r="BR242" t="s">
        <v>700</v>
      </c>
      <c r="BS242" t="s">
        <v>704</v>
      </c>
      <c r="BT242" t="s">
        <v>705</v>
      </c>
      <c r="BU242" t="s">
        <v>706</v>
      </c>
      <c r="CT242"/>
      <c r="CU242"/>
      <c r="CV242"/>
    </row>
    <row r="243" spans="1:100" x14ac:dyDescent="0.4">
      <c r="A243" s="2" t="s">
        <v>266</v>
      </c>
      <c r="B243" t="str">
        <f>_xlfn.TEXTAFTER(Table1[[#This Row],[VEHIDCODE]],"_")</f>
        <v>Algeria_SNTF_Baldwin_DRS6_4_1000</v>
      </c>
      <c r="C243" t="s">
        <v>739</v>
      </c>
      <c r="D243" t="s">
        <v>958</v>
      </c>
      <c r="E243">
        <v>5074</v>
      </c>
      <c r="F243" t="b">
        <f>OR(ISNUMBER(SEARCH("wagon_",Table1[[#This Row],[FILENAMES_EXPECTED]])),ISNUMBER(SEARCH("coach_",Table1[[#This Row],[FILENAMES_EXPECTED]])))</f>
        <v>0</v>
      </c>
      <c r="G243" t="str">
        <f>"item_"&amp;Table1[[#This Row],[VEHIDCODE]]</f>
        <v>item_diesel_Algeria_SNTF_Baldwin_DRS6_4_1000</v>
      </c>
      <c r="H243" t="str">
        <f>"str_"&amp;Table1[[#This Row],[VEHIDCODE]]</f>
        <v>str_diesel_Algeria_SNTF_Baldwin_DRS6_4_1000</v>
      </c>
      <c r="Q243" s="2" t="b">
        <v>1</v>
      </c>
      <c r="AL243" s="2"/>
      <c r="AM243" s="2" t="b">
        <f>LEN(_xlfn.CONCAT(Table1[[#This Row],[TRACK_TYPE_STANDARD_GAUGE_RAILTYPE_OHLE]:[TRACK_TYPE_MTRO]]))&gt;0</f>
        <v>1</v>
      </c>
      <c r="AN243">
        <v>7</v>
      </c>
      <c r="AO243" t="s">
        <v>20</v>
      </c>
      <c r="AP243">
        <v>0</v>
      </c>
      <c r="AQ243" t="s">
        <v>35</v>
      </c>
      <c r="AR243">
        <v>0</v>
      </c>
      <c r="AS243">
        <v>1948</v>
      </c>
      <c r="AT243">
        <v>7</v>
      </c>
      <c r="AU243" s="2" t="s">
        <v>20</v>
      </c>
      <c r="AV243" t="b">
        <v>1</v>
      </c>
      <c r="AX243" s="2"/>
      <c r="AY243">
        <v>45</v>
      </c>
      <c r="AZ243">
        <v>1</v>
      </c>
      <c r="BA243">
        <v>1000</v>
      </c>
      <c r="BB243" t="s">
        <v>710</v>
      </c>
      <c r="BC243">
        <v>80</v>
      </c>
      <c r="BD243" s="2">
        <v>0.14000000000000001</v>
      </c>
      <c r="BE243" t="s">
        <v>925</v>
      </c>
      <c r="BF243" t="s">
        <v>921</v>
      </c>
      <c r="BG243" t="s">
        <v>939</v>
      </c>
      <c r="BH243" s="7">
        <v>40</v>
      </c>
      <c r="BI24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43">
        <v>0</v>
      </c>
      <c r="BK243" t="s">
        <v>733</v>
      </c>
      <c r="BL243" s="11"/>
      <c r="BM243" s="11"/>
      <c r="BN243" s="11">
        <v>92</v>
      </c>
      <c r="BO243">
        <v>0</v>
      </c>
      <c r="BP243" t="s">
        <v>691</v>
      </c>
      <c r="BQ243" t="s">
        <v>693</v>
      </c>
      <c r="BR243" t="s">
        <v>700</v>
      </c>
      <c r="BS243" t="s">
        <v>704</v>
      </c>
      <c r="BT243" t="s">
        <v>705</v>
      </c>
      <c r="BU243" t="s">
        <v>706</v>
      </c>
      <c r="CT243"/>
      <c r="CU243"/>
      <c r="CV243"/>
    </row>
    <row r="244" spans="1:100" x14ac:dyDescent="0.4">
      <c r="A244" s="2" t="s">
        <v>267</v>
      </c>
      <c r="B244" t="str">
        <f>_xlfn.TEXTAFTER(Table1[[#This Row],[VEHIDCODE]],"_")</f>
        <v>Ireland_CIE_113</v>
      </c>
      <c r="C244" t="s">
        <v>739</v>
      </c>
      <c r="D244" t="s">
        <v>958</v>
      </c>
      <c r="E244">
        <v>5075</v>
      </c>
      <c r="F244" t="b">
        <f>OR(ISNUMBER(SEARCH("wagon_",Table1[[#This Row],[FILENAMES_EXPECTED]])),ISNUMBER(SEARCH("coach_",Table1[[#This Row],[FILENAMES_EXPECTED]])))</f>
        <v>0</v>
      </c>
      <c r="G244" t="str">
        <f>"item_"&amp;Table1[[#This Row],[VEHIDCODE]]</f>
        <v>item_diesel_Ireland_CIE_113</v>
      </c>
      <c r="H244" t="str">
        <f>"str_"&amp;Table1[[#This Row],[VEHIDCODE]]</f>
        <v>str_diesel_Ireland_CIE_113</v>
      </c>
      <c r="Q244" s="2" t="b">
        <v>1</v>
      </c>
      <c r="AL244" s="2"/>
      <c r="AM244" s="2" t="b">
        <f>LEN(_xlfn.CONCAT(Table1[[#This Row],[TRACK_TYPE_STANDARD_GAUGE_RAILTYPE_OHLE]:[TRACK_TYPE_MTRO]]))&gt;0</f>
        <v>1</v>
      </c>
      <c r="AN244">
        <v>8</v>
      </c>
      <c r="AO244" t="s">
        <v>20</v>
      </c>
      <c r="AP244">
        <v>0</v>
      </c>
      <c r="AQ244" t="s">
        <v>35</v>
      </c>
      <c r="AR244">
        <v>0</v>
      </c>
      <c r="AS244">
        <v>1950</v>
      </c>
      <c r="AT244">
        <v>8</v>
      </c>
      <c r="AU244" s="2" t="s">
        <v>20</v>
      </c>
      <c r="AV244" t="b">
        <v>1</v>
      </c>
      <c r="AX244" s="2"/>
      <c r="AY244">
        <v>45</v>
      </c>
      <c r="AZ244">
        <v>0</v>
      </c>
      <c r="BA244">
        <v>915</v>
      </c>
      <c r="BB244" t="s">
        <v>710</v>
      </c>
      <c r="BC244">
        <v>88</v>
      </c>
      <c r="BD244" s="2">
        <v>0.25</v>
      </c>
      <c r="BE244" t="s">
        <v>926</v>
      </c>
      <c r="BF244" t="s">
        <v>921</v>
      </c>
      <c r="BG244" t="s">
        <v>939</v>
      </c>
      <c r="BH244" s="7">
        <v>40</v>
      </c>
      <c r="BI24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44">
        <v>0</v>
      </c>
      <c r="BK244" t="s">
        <v>733</v>
      </c>
      <c r="BL244" s="11"/>
      <c r="BM244" s="11"/>
      <c r="BN244" s="11">
        <v>81</v>
      </c>
      <c r="BO244">
        <v>0</v>
      </c>
      <c r="BP244" t="s">
        <v>691</v>
      </c>
      <c r="BQ244" t="s">
        <v>693</v>
      </c>
      <c r="BR244" t="s">
        <v>700</v>
      </c>
      <c r="BS244" t="s">
        <v>704</v>
      </c>
      <c r="BT244" t="s">
        <v>705</v>
      </c>
      <c r="BU244" t="s">
        <v>706</v>
      </c>
      <c r="CT244"/>
      <c r="CU244"/>
      <c r="CV244"/>
    </row>
    <row r="245" spans="1:100" x14ac:dyDescent="0.4">
      <c r="A245" s="2" t="s">
        <v>268</v>
      </c>
      <c r="B245" t="str">
        <f>_xlfn.TEXTAFTER(Table1[[#This Row],[VEHIDCODE]],"_")</f>
        <v>Brazil_EFC_3300_Baldwin_AS_616</v>
      </c>
      <c r="C245" t="s">
        <v>739</v>
      </c>
      <c r="D245" t="s">
        <v>958</v>
      </c>
      <c r="E245">
        <v>5076</v>
      </c>
      <c r="F245" t="b">
        <f>OR(ISNUMBER(SEARCH("wagon_",Table1[[#This Row],[FILENAMES_EXPECTED]])),ISNUMBER(SEARCH("coach_",Table1[[#This Row],[FILENAMES_EXPECTED]])))</f>
        <v>0</v>
      </c>
      <c r="G245" t="str">
        <f>"item_"&amp;Table1[[#This Row],[VEHIDCODE]]</f>
        <v>item_diesel_Brazil_EFC_3300_Baldwin_AS_616</v>
      </c>
      <c r="H245" t="str">
        <f>"str_"&amp;Table1[[#This Row],[VEHIDCODE]]</f>
        <v>str_diesel_Brazil_EFC_3300_Baldwin_AS_616</v>
      </c>
      <c r="Q245" s="2" t="b">
        <v>1</v>
      </c>
      <c r="AL245" s="2"/>
      <c r="AM245" s="2" t="b">
        <f>LEN(_xlfn.CONCAT(Table1[[#This Row],[TRACK_TYPE_STANDARD_GAUGE_RAILTYPE_OHLE]:[TRACK_TYPE_MTRO]]))&gt;0</f>
        <v>1</v>
      </c>
      <c r="AN245">
        <v>8</v>
      </c>
      <c r="AO245" t="s">
        <v>20</v>
      </c>
      <c r="AP245">
        <v>0</v>
      </c>
      <c r="AQ245" t="s">
        <v>35</v>
      </c>
      <c r="AR245">
        <v>0</v>
      </c>
      <c r="AS245">
        <v>1950</v>
      </c>
      <c r="AT245">
        <v>8</v>
      </c>
      <c r="AU245" s="2" t="s">
        <v>20</v>
      </c>
      <c r="AV245" t="b">
        <v>1</v>
      </c>
      <c r="AX245" s="2"/>
      <c r="AY245">
        <v>45</v>
      </c>
      <c r="AZ245">
        <v>1</v>
      </c>
      <c r="BA245">
        <v>1600</v>
      </c>
      <c r="BB245" t="s">
        <v>710</v>
      </c>
      <c r="BC245">
        <v>100</v>
      </c>
      <c r="BD245" s="2">
        <v>0.24</v>
      </c>
      <c r="BE245" t="s">
        <v>929</v>
      </c>
      <c r="BF245" t="s">
        <v>921</v>
      </c>
      <c r="BG245" t="s">
        <v>939</v>
      </c>
      <c r="BH245" s="7">
        <v>40</v>
      </c>
      <c r="BI24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45">
        <v>0</v>
      </c>
      <c r="BK245" t="s">
        <v>733</v>
      </c>
      <c r="BL245" s="11"/>
      <c r="BM245" s="11"/>
      <c r="BN245" s="11">
        <v>148</v>
      </c>
      <c r="BO245">
        <v>0</v>
      </c>
      <c r="BP245" t="s">
        <v>691</v>
      </c>
      <c r="BQ245" t="s">
        <v>693</v>
      </c>
      <c r="BR245" t="s">
        <v>700</v>
      </c>
      <c r="BS245" t="s">
        <v>704</v>
      </c>
      <c r="BT245" t="s">
        <v>705</v>
      </c>
      <c r="BU245" t="s">
        <v>706</v>
      </c>
      <c r="CT245"/>
      <c r="CU245"/>
      <c r="CV245"/>
    </row>
    <row r="246" spans="1:100" x14ac:dyDescent="0.4">
      <c r="A246" s="2" t="s">
        <v>269</v>
      </c>
      <c r="B246" t="str">
        <f>_xlfn.TEXTAFTER(Table1[[#This Row],[VEHIDCODE]],"_")</f>
        <v>Mexico_CHP_500_FM_H_16_44</v>
      </c>
      <c r="C246" t="s">
        <v>739</v>
      </c>
      <c r="D246" t="s">
        <v>958</v>
      </c>
      <c r="E246">
        <v>5077</v>
      </c>
      <c r="F246" t="b">
        <f>OR(ISNUMBER(SEARCH("wagon_",Table1[[#This Row],[FILENAMES_EXPECTED]])),ISNUMBER(SEARCH("coach_",Table1[[#This Row],[FILENAMES_EXPECTED]])))</f>
        <v>0</v>
      </c>
      <c r="G246" t="str">
        <f>"item_"&amp;Table1[[#This Row],[VEHIDCODE]]</f>
        <v>item_diesel_Mexico_CHP_500_FM_H_16_44</v>
      </c>
      <c r="H246" t="str">
        <f>"str_"&amp;Table1[[#This Row],[VEHIDCODE]]</f>
        <v>str_diesel_Mexico_CHP_500_FM_H_16_44</v>
      </c>
      <c r="Q246" s="2" t="b">
        <v>1</v>
      </c>
      <c r="AL246" s="2"/>
      <c r="AM246" s="2" t="b">
        <f>LEN(_xlfn.CONCAT(Table1[[#This Row],[TRACK_TYPE_STANDARD_GAUGE_RAILTYPE_OHLE]:[TRACK_TYPE_MTRO]]))&gt;0</f>
        <v>1</v>
      </c>
      <c r="AN246">
        <v>8</v>
      </c>
      <c r="AO246" t="s">
        <v>20</v>
      </c>
      <c r="AP246">
        <v>0</v>
      </c>
      <c r="AQ246" t="s">
        <v>35</v>
      </c>
      <c r="AR246">
        <v>0</v>
      </c>
      <c r="AS246">
        <v>1950</v>
      </c>
      <c r="AT246">
        <v>8</v>
      </c>
      <c r="AU246" s="2" t="s">
        <v>20</v>
      </c>
      <c r="AV246" t="b">
        <v>1</v>
      </c>
      <c r="AX246" s="2"/>
      <c r="AY246">
        <v>45</v>
      </c>
      <c r="AZ246">
        <v>1</v>
      </c>
      <c r="BA246">
        <v>1600</v>
      </c>
      <c r="BB246" t="s">
        <v>710</v>
      </c>
      <c r="BC246">
        <v>105</v>
      </c>
      <c r="BD246" s="2">
        <v>0.17</v>
      </c>
      <c r="BE246" t="s">
        <v>927</v>
      </c>
      <c r="BF246" t="s">
        <v>921</v>
      </c>
      <c r="BG246" t="s">
        <v>939</v>
      </c>
      <c r="BH246" s="7">
        <v>40</v>
      </c>
      <c r="BI24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46">
        <v>0</v>
      </c>
      <c r="BK246" t="s">
        <v>733</v>
      </c>
      <c r="BL246" s="11"/>
      <c r="BM246" s="11"/>
      <c r="BN246" s="11">
        <v>113</v>
      </c>
      <c r="BO246">
        <v>0</v>
      </c>
      <c r="BP246" t="s">
        <v>691</v>
      </c>
      <c r="BQ246" t="s">
        <v>693</v>
      </c>
      <c r="BR246" t="s">
        <v>700</v>
      </c>
      <c r="BS246" t="s">
        <v>704</v>
      </c>
      <c r="BT246" t="s">
        <v>705</v>
      </c>
      <c r="BU246" t="s">
        <v>706</v>
      </c>
      <c r="CT246"/>
      <c r="CU246"/>
      <c r="CV246"/>
    </row>
    <row r="247" spans="1:100" x14ac:dyDescent="0.4">
      <c r="A247" s="2" t="s">
        <v>270</v>
      </c>
      <c r="B247" t="str">
        <f>_xlfn.TEXTAFTER(Table1[[#This Row],[VEHIDCODE]],"_")</f>
        <v>Australia_South_Australian_Railways_900</v>
      </c>
      <c r="C247" t="s">
        <v>739</v>
      </c>
      <c r="D247" t="s">
        <v>958</v>
      </c>
      <c r="E247">
        <v>5078</v>
      </c>
      <c r="F247" t="b">
        <f>OR(ISNUMBER(SEARCH("wagon_",Table1[[#This Row],[FILENAMES_EXPECTED]])),ISNUMBER(SEARCH("coach_",Table1[[#This Row],[FILENAMES_EXPECTED]])))</f>
        <v>0</v>
      </c>
      <c r="G247" t="str">
        <f>"item_"&amp;Table1[[#This Row],[VEHIDCODE]]</f>
        <v>item_diesel_Australia_South_Australian_Railways_900</v>
      </c>
      <c r="H247" t="str">
        <f>"str_"&amp;Table1[[#This Row],[VEHIDCODE]]</f>
        <v>str_diesel_Australia_South_Australian_Railways_900</v>
      </c>
      <c r="Q247" s="2" t="b">
        <v>1</v>
      </c>
      <c r="AL247" s="2"/>
      <c r="AM247" s="2" t="b">
        <f>LEN(_xlfn.CONCAT(Table1[[#This Row],[TRACK_TYPE_STANDARD_GAUGE_RAILTYPE_OHLE]:[TRACK_TYPE_MTRO]]))&gt;0</f>
        <v>1</v>
      </c>
      <c r="AN247">
        <v>8</v>
      </c>
      <c r="AO247" t="s">
        <v>20</v>
      </c>
      <c r="AP247">
        <v>0</v>
      </c>
      <c r="AQ247" t="s">
        <v>35</v>
      </c>
      <c r="AR247">
        <v>0</v>
      </c>
      <c r="AS247">
        <v>1951</v>
      </c>
      <c r="AT247">
        <v>8</v>
      </c>
      <c r="AU247" s="2" t="s">
        <v>20</v>
      </c>
      <c r="AV247" t="b">
        <v>1</v>
      </c>
      <c r="AX247" s="2"/>
      <c r="AY247">
        <v>45</v>
      </c>
      <c r="AZ247">
        <v>1</v>
      </c>
      <c r="BA247">
        <v>1590</v>
      </c>
      <c r="BB247" t="s">
        <v>710</v>
      </c>
      <c r="BC247">
        <v>119</v>
      </c>
      <c r="BD247" s="2">
        <v>0.12</v>
      </c>
      <c r="BE247" t="s">
        <v>924</v>
      </c>
      <c r="BF247" t="s">
        <v>921</v>
      </c>
      <c r="BG247" t="s">
        <v>939</v>
      </c>
      <c r="BH247" s="7">
        <v>40</v>
      </c>
      <c r="BI24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47">
        <v>0</v>
      </c>
      <c r="BK247" t="s">
        <v>733</v>
      </c>
      <c r="BL247" s="11"/>
      <c r="BM247" s="11"/>
      <c r="BN247" s="11">
        <v>128</v>
      </c>
      <c r="BO247">
        <v>0</v>
      </c>
      <c r="BP247" t="s">
        <v>691</v>
      </c>
      <c r="BQ247" t="s">
        <v>693</v>
      </c>
      <c r="BR247" t="s">
        <v>700</v>
      </c>
      <c r="BS247" t="s">
        <v>704</v>
      </c>
      <c r="BT247" t="s">
        <v>705</v>
      </c>
      <c r="BU247" t="s">
        <v>706</v>
      </c>
      <c r="CT247"/>
      <c r="CU247"/>
      <c r="CV247"/>
    </row>
    <row r="248" spans="1:100" x14ac:dyDescent="0.4">
      <c r="A248" s="2" t="s">
        <v>271</v>
      </c>
      <c r="B248" t="str">
        <f>_xlfn.TEXTAFTER(Table1[[#This Row],[VEHIDCODE]],"_")</f>
        <v>Sri_Lanka_Sri_Lanka_Railways_M2</v>
      </c>
      <c r="C248" t="s">
        <v>739</v>
      </c>
      <c r="D248" t="s">
        <v>958</v>
      </c>
      <c r="E248">
        <v>5079</v>
      </c>
      <c r="F248" t="b">
        <f>OR(ISNUMBER(SEARCH("wagon_",Table1[[#This Row],[FILENAMES_EXPECTED]])),ISNUMBER(SEARCH("coach_",Table1[[#This Row],[FILENAMES_EXPECTED]])))</f>
        <v>0</v>
      </c>
      <c r="G248" t="str">
        <f>"item_"&amp;Table1[[#This Row],[VEHIDCODE]]</f>
        <v>item_diesel_Sri_Lanka_Sri_Lanka_Railways_M2</v>
      </c>
      <c r="H248" t="str">
        <f>"str_"&amp;Table1[[#This Row],[VEHIDCODE]]</f>
        <v>str_diesel_Sri_Lanka_Sri_Lanka_Railways_M2</v>
      </c>
      <c r="Q248" s="2" t="b">
        <v>1</v>
      </c>
      <c r="AL248" s="2"/>
      <c r="AM248" s="2" t="b">
        <f>LEN(_xlfn.CONCAT(Table1[[#This Row],[TRACK_TYPE_STANDARD_GAUGE_RAILTYPE_OHLE]:[TRACK_TYPE_MTRO]]))&gt;0</f>
        <v>1</v>
      </c>
      <c r="AN248">
        <v>6</v>
      </c>
      <c r="AO248" t="s">
        <v>20</v>
      </c>
      <c r="AP248">
        <v>0</v>
      </c>
      <c r="AQ248" t="s">
        <v>35</v>
      </c>
      <c r="AR248">
        <v>0</v>
      </c>
      <c r="AS248">
        <v>1954</v>
      </c>
      <c r="AT248">
        <v>6</v>
      </c>
      <c r="AU248" s="2" t="s">
        <v>20</v>
      </c>
      <c r="AV248" t="b">
        <v>1</v>
      </c>
      <c r="AX248" s="2"/>
      <c r="AY248">
        <v>45</v>
      </c>
      <c r="AZ248">
        <v>1</v>
      </c>
      <c r="BA248">
        <v>1425</v>
      </c>
      <c r="BB248" t="s">
        <v>710</v>
      </c>
      <c r="BC248">
        <v>112</v>
      </c>
      <c r="BD248" s="2">
        <v>0.24</v>
      </c>
      <c r="BE248" t="s">
        <v>930</v>
      </c>
      <c r="BF248" t="s">
        <v>921</v>
      </c>
      <c r="BG248" t="s">
        <v>939</v>
      </c>
      <c r="BH248" s="7">
        <v>40</v>
      </c>
      <c r="BI24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48">
        <v>0</v>
      </c>
      <c r="BK248" t="s">
        <v>733</v>
      </c>
      <c r="BL248" s="11"/>
      <c r="BM248" s="11"/>
      <c r="BN248" s="11">
        <v>79</v>
      </c>
      <c r="BO248">
        <v>0</v>
      </c>
      <c r="BP248" t="s">
        <v>691</v>
      </c>
      <c r="BQ248" t="s">
        <v>693</v>
      </c>
      <c r="BR248" t="s">
        <v>700</v>
      </c>
      <c r="BS248" t="s">
        <v>704</v>
      </c>
      <c r="BT248" t="s">
        <v>705</v>
      </c>
      <c r="BU248" t="s">
        <v>706</v>
      </c>
      <c r="CT248"/>
      <c r="CU248"/>
      <c r="CV248"/>
    </row>
    <row r="249" spans="1:100" x14ac:dyDescent="0.4">
      <c r="A249" s="2" t="s">
        <v>272</v>
      </c>
      <c r="B249" t="str">
        <f>_xlfn.TEXTAFTER(Table1[[#This Row],[VEHIDCODE]],"_")</f>
        <v>Ireland_CIE_001</v>
      </c>
      <c r="C249" t="s">
        <v>739</v>
      </c>
      <c r="D249" t="s">
        <v>958</v>
      </c>
      <c r="E249">
        <v>5080</v>
      </c>
      <c r="F249" t="b">
        <f>OR(ISNUMBER(SEARCH("wagon_",Table1[[#This Row],[FILENAMES_EXPECTED]])),ISNUMBER(SEARCH("coach_",Table1[[#This Row],[FILENAMES_EXPECTED]])))</f>
        <v>0</v>
      </c>
      <c r="G249" t="str">
        <f>"item_"&amp;Table1[[#This Row],[VEHIDCODE]]</f>
        <v>item_diesel_Ireland_CIE_001</v>
      </c>
      <c r="H249" t="str">
        <f>"str_"&amp;Table1[[#This Row],[VEHIDCODE]]</f>
        <v>str_diesel_Ireland_CIE_001</v>
      </c>
      <c r="Q249" s="2" t="b">
        <v>1</v>
      </c>
      <c r="AL249" s="2"/>
      <c r="AM249" s="2" t="b">
        <f>LEN(_xlfn.CONCAT(Table1[[#This Row],[TRACK_TYPE_STANDARD_GAUGE_RAILTYPE_OHLE]:[TRACK_TYPE_MTRO]]))&gt;0</f>
        <v>1</v>
      </c>
      <c r="AN249">
        <v>7</v>
      </c>
      <c r="AO249" t="s">
        <v>20</v>
      </c>
      <c r="AP249">
        <v>0</v>
      </c>
      <c r="AQ249" t="s">
        <v>35</v>
      </c>
      <c r="AR249">
        <v>0</v>
      </c>
      <c r="AS249">
        <v>1955</v>
      </c>
      <c r="AT249">
        <v>7</v>
      </c>
      <c r="AU249" s="2" t="s">
        <v>20</v>
      </c>
      <c r="AV249" t="b">
        <v>1</v>
      </c>
      <c r="AX249" s="2"/>
      <c r="AY249">
        <v>45</v>
      </c>
      <c r="AZ249">
        <v>0</v>
      </c>
      <c r="BA249">
        <v>1325</v>
      </c>
      <c r="BB249" t="s">
        <v>710</v>
      </c>
      <c r="BC249">
        <v>120</v>
      </c>
      <c r="BD249" s="2">
        <v>0.33</v>
      </c>
      <c r="BE249" t="s">
        <v>926</v>
      </c>
      <c r="BF249" t="s">
        <v>921</v>
      </c>
      <c r="BG249" t="s">
        <v>939</v>
      </c>
      <c r="BH249" s="7">
        <v>40</v>
      </c>
      <c r="BI24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49">
        <v>0</v>
      </c>
      <c r="BK249" t="s">
        <v>733</v>
      </c>
      <c r="BL249" s="11"/>
      <c r="BM249" s="11"/>
      <c r="BN249" s="11">
        <v>84</v>
      </c>
      <c r="BO249">
        <v>0</v>
      </c>
      <c r="BP249" t="s">
        <v>691</v>
      </c>
      <c r="BQ249" t="s">
        <v>693</v>
      </c>
      <c r="BR249" t="s">
        <v>700</v>
      </c>
      <c r="BS249" t="s">
        <v>704</v>
      </c>
      <c r="BT249" t="s">
        <v>705</v>
      </c>
      <c r="BU249" t="s">
        <v>706</v>
      </c>
      <c r="CT249"/>
      <c r="CU249"/>
      <c r="CV249"/>
    </row>
    <row r="250" spans="1:100" x14ac:dyDescent="0.4">
      <c r="A250" s="2" t="s">
        <v>273</v>
      </c>
      <c r="B250" t="str">
        <f>_xlfn.TEXTAFTER(Table1[[#This Row],[VEHIDCODE]],"_")</f>
        <v>Italy_FS_D341</v>
      </c>
      <c r="C250" t="s">
        <v>739</v>
      </c>
      <c r="D250" t="s">
        <v>958</v>
      </c>
      <c r="E250">
        <v>5081</v>
      </c>
      <c r="F250" t="b">
        <f>OR(ISNUMBER(SEARCH("wagon_",Table1[[#This Row],[FILENAMES_EXPECTED]])),ISNUMBER(SEARCH("coach_",Table1[[#This Row],[FILENAMES_EXPECTED]])))</f>
        <v>0</v>
      </c>
      <c r="G250" t="str">
        <f>"item_"&amp;Table1[[#This Row],[VEHIDCODE]]</f>
        <v>item_diesel_Italy_FS_D341</v>
      </c>
      <c r="H250" t="str">
        <f>"str_"&amp;Table1[[#This Row],[VEHIDCODE]]</f>
        <v>str_diesel_Italy_FS_D341</v>
      </c>
      <c r="Q250" s="2" t="b">
        <v>1</v>
      </c>
      <c r="AL250" s="2"/>
      <c r="AM250" s="2" t="b">
        <f>LEN(_xlfn.CONCAT(Table1[[#This Row],[TRACK_TYPE_STANDARD_GAUGE_RAILTYPE_OHLE]:[TRACK_TYPE_MTRO]]))&gt;0</f>
        <v>1</v>
      </c>
      <c r="AN250">
        <v>8</v>
      </c>
      <c r="AO250" t="s">
        <v>20</v>
      </c>
      <c r="AP250">
        <v>0</v>
      </c>
      <c r="AQ250" t="s">
        <v>35</v>
      </c>
      <c r="AR250">
        <v>0</v>
      </c>
      <c r="AS250">
        <v>1957</v>
      </c>
      <c r="AT250">
        <v>8</v>
      </c>
      <c r="AU250" s="2" t="s">
        <v>20</v>
      </c>
      <c r="AV250" t="b">
        <v>1</v>
      </c>
      <c r="AX250" s="2"/>
      <c r="AY250">
        <v>45</v>
      </c>
      <c r="AZ250">
        <v>1</v>
      </c>
      <c r="BA250">
        <v>1380</v>
      </c>
      <c r="BB250" t="s">
        <v>710</v>
      </c>
      <c r="BC250">
        <v>110</v>
      </c>
      <c r="BD250" s="2">
        <v>0.26</v>
      </c>
      <c r="BE250" t="s">
        <v>923</v>
      </c>
      <c r="BF250" t="s">
        <v>921</v>
      </c>
      <c r="BG250" t="s">
        <v>939</v>
      </c>
      <c r="BH250" s="7">
        <v>40</v>
      </c>
      <c r="BI25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50">
        <v>0</v>
      </c>
      <c r="BK250" t="s">
        <v>733</v>
      </c>
      <c r="BL250" s="11"/>
      <c r="BM250" s="11"/>
      <c r="BN250" s="11">
        <v>67</v>
      </c>
      <c r="BO250">
        <v>0</v>
      </c>
      <c r="BP250" t="s">
        <v>691</v>
      </c>
      <c r="BQ250" t="s">
        <v>693</v>
      </c>
      <c r="BR250" t="s">
        <v>700</v>
      </c>
      <c r="BS250" t="s">
        <v>704</v>
      </c>
      <c r="BT250" t="s">
        <v>705</v>
      </c>
      <c r="BU250" t="s">
        <v>706</v>
      </c>
      <c r="CT250"/>
      <c r="CU250"/>
      <c r="CV250"/>
    </row>
    <row r="251" spans="1:100" x14ac:dyDescent="0.4">
      <c r="A251" s="2" t="s">
        <v>274</v>
      </c>
      <c r="B251" t="str">
        <f>_xlfn.TEXTAFTER(Table1[[#This Row],[VEHIDCODE]],"_")</f>
        <v>Australia_NSWGR_44</v>
      </c>
      <c r="C251" t="s">
        <v>739</v>
      </c>
      <c r="D251" t="s">
        <v>958</v>
      </c>
      <c r="E251">
        <v>5083</v>
      </c>
      <c r="F251" t="b">
        <f>OR(ISNUMBER(SEARCH("wagon_",Table1[[#This Row],[FILENAMES_EXPECTED]])),ISNUMBER(SEARCH("coach_",Table1[[#This Row],[FILENAMES_EXPECTED]])))</f>
        <v>0</v>
      </c>
      <c r="G251" t="str">
        <f>"item_"&amp;Table1[[#This Row],[VEHIDCODE]]</f>
        <v>item_diesel_Australia_NSWGR_44</v>
      </c>
      <c r="H251" t="str">
        <f>"str_"&amp;Table1[[#This Row],[VEHIDCODE]]</f>
        <v>str_diesel_Australia_NSWGR_44</v>
      </c>
      <c r="Q251" s="2" t="b">
        <v>1</v>
      </c>
      <c r="AL251" s="2"/>
      <c r="AM251" s="2" t="b">
        <f>LEN(_xlfn.CONCAT(Table1[[#This Row],[TRACK_TYPE_STANDARD_GAUGE_RAILTYPE_OHLE]:[TRACK_TYPE_MTRO]]))&gt;0</f>
        <v>1</v>
      </c>
      <c r="AN251">
        <v>8</v>
      </c>
      <c r="AO251" t="s">
        <v>20</v>
      </c>
      <c r="AP251">
        <v>0</v>
      </c>
      <c r="AQ251" t="s">
        <v>35</v>
      </c>
      <c r="AR251">
        <v>0</v>
      </c>
      <c r="AS251">
        <v>1957</v>
      </c>
      <c r="AT251">
        <v>8</v>
      </c>
      <c r="AU251" s="2" t="s">
        <v>20</v>
      </c>
      <c r="AV251" t="b">
        <v>1</v>
      </c>
      <c r="AX251" s="2"/>
      <c r="AY251">
        <v>45</v>
      </c>
      <c r="AZ251">
        <v>1</v>
      </c>
      <c r="BA251">
        <v>1950</v>
      </c>
      <c r="BB251" t="s">
        <v>710</v>
      </c>
      <c r="BC251">
        <v>129</v>
      </c>
      <c r="BD251" s="2">
        <v>0.19</v>
      </c>
      <c r="BE251" t="s">
        <v>924</v>
      </c>
      <c r="BF251" t="s">
        <v>921</v>
      </c>
      <c r="BG251" t="s">
        <v>939</v>
      </c>
      <c r="BH251" s="7">
        <v>40</v>
      </c>
      <c r="BI25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51">
        <v>0</v>
      </c>
      <c r="BK251" t="s">
        <v>733</v>
      </c>
      <c r="BL251" s="11"/>
      <c r="BM251" s="11"/>
      <c r="BN251" s="11">
        <v>112</v>
      </c>
      <c r="BO251">
        <v>0</v>
      </c>
      <c r="BP251" t="s">
        <v>691</v>
      </c>
      <c r="BQ251" t="s">
        <v>693</v>
      </c>
      <c r="BR251" t="s">
        <v>700</v>
      </c>
      <c r="BS251" t="s">
        <v>704</v>
      </c>
      <c r="BT251" t="s">
        <v>705</v>
      </c>
      <c r="BU251" t="s">
        <v>706</v>
      </c>
      <c r="CT251"/>
      <c r="CU251"/>
      <c r="CV251"/>
    </row>
    <row r="252" spans="1:100" x14ac:dyDescent="0.4">
      <c r="A252" s="2" t="s">
        <v>275</v>
      </c>
      <c r="B252" t="str">
        <f>_xlfn.TEXTAFTER(Table1[[#This Row],[VEHIDCODE]],"_")</f>
        <v>Zimbabwe_Zimbabwe_Railways_DH_1</v>
      </c>
      <c r="C252" t="s">
        <v>739</v>
      </c>
      <c r="D252" t="s">
        <v>958</v>
      </c>
      <c r="E252">
        <v>5084</v>
      </c>
      <c r="F252" t="b">
        <f>OR(ISNUMBER(SEARCH("wagon_",Table1[[#This Row],[FILENAMES_EXPECTED]])),ISNUMBER(SEARCH("coach_",Table1[[#This Row],[FILENAMES_EXPECTED]])))</f>
        <v>0</v>
      </c>
      <c r="G252" t="str">
        <f>"item_"&amp;Table1[[#This Row],[VEHIDCODE]]</f>
        <v>item_diesel_Zimbabwe_Zimbabwe_Railways_DH_1</v>
      </c>
      <c r="H252" t="str">
        <f>"str_"&amp;Table1[[#This Row],[VEHIDCODE]]</f>
        <v>str_diesel_Zimbabwe_Zimbabwe_Railways_DH_1</v>
      </c>
      <c r="Z252" s="2" t="b">
        <v>1</v>
      </c>
      <c r="AL252" s="2"/>
      <c r="AM252" s="2" t="b">
        <f>LEN(_xlfn.CONCAT(Table1[[#This Row],[TRACK_TYPE_STANDARD_GAUGE_RAILTYPE_OHLE]:[TRACK_TYPE_MTRO]]))&gt;0</f>
        <v>1</v>
      </c>
      <c r="AN252">
        <v>8</v>
      </c>
      <c r="AO252" t="s">
        <v>20</v>
      </c>
      <c r="AP252">
        <v>0</v>
      </c>
      <c r="AQ252" t="s">
        <v>35</v>
      </c>
      <c r="AR252">
        <v>0</v>
      </c>
      <c r="AS252">
        <v>1959</v>
      </c>
      <c r="AT252">
        <v>8</v>
      </c>
      <c r="AU252" s="2" t="s">
        <v>20</v>
      </c>
      <c r="AV252" t="b">
        <v>1</v>
      </c>
      <c r="AX252" s="2"/>
      <c r="AY252">
        <v>45</v>
      </c>
      <c r="AZ252">
        <v>1</v>
      </c>
      <c r="BA252">
        <v>1316</v>
      </c>
      <c r="BB252" t="s">
        <v>710</v>
      </c>
      <c r="BC252">
        <v>89</v>
      </c>
      <c r="BD252" s="2">
        <v>0.26</v>
      </c>
      <c r="BE252" t="s">
        <v>925</v>
      </c>
      <c r="BF252" t="s">
        <v>921</v>
      </c>
      <c r="BG252" t="s">
        <v>939</v>
      </c>
      <c r="BH252" s="7">
        <v>40</v>
      </c>
      <c r="BI25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52">
        <v>0</v>
      </c>
      <c r="BK252" t="s">
        <v>733</v>
      </c>
      <c r="BL252" s="11"/>
      <c r="BM252" s="11"/>
      <c r="BN252" s="11">
        <v>76</v>
      </c>
      <c r="BO252">
        <v>0</v>
      </c>
      <c r="BP252" t="s">
        <v>691</v>
      </c>
      <c r="BQ252" t="s">
        <v>693</v>
      </c>
      <c r="BR252" t="s">
        <v>700</v>
      </c>
      <c r="BS252" t="s">
        <v>704</v>
      </c>
      <c r="BT252" t="s">
        <v>705</v>
      </c>
      <c r="BU252" t="s">
        <v>706</v>
      </c>
      <c r="CT252"/>
      <c r="CU252"/>
      <c r="CV252"/>
    </row>
    <row r="253" spans="1:100" x14ac:dyDescent="0.4">
      <c r="A253" s="2" t="s">
        <v>276</v>
      </c>
      <c r="B253" t="str">
        <f>_xlfn.TEXTAFTER(Table1[[#This Row],[VEHIDCODE]],"_")</f>
        <v>South_Korea_Korail_6000_EMD_SD18</v>
      </c>
      <c r="C253" t="s">
        <v>739</v>
      </c>
      <c r="D253" t="s">
        <v>958</v>
      </c>
      <c r="E253">
        <v>5085</v>
      </c>
      <c r="F253" t="b">
        <f>OR(ISNUMBER(SEARCH("wagon_",Table1[[#This Row],[FILENAMES_EXPECTED]])),ISNUMBER(SEARCH("coach_",Table1[[#This Row],[FILENAMES_EXPECTED]])))</f>
        <v>0</v>
      </c>
      <c r="G253" t="str">
        <f>"item_"&amp;Table1[[#This Row],[VEHIDCODE]]</f>
        <v>item_diesel_South_Korea_Korail_6000_EMD_SD18</v>
      </c>
      <c r="H253" t="str">
        <f>"str_"&amp;Table1[[#This Row],[VEHIDCODE]]</f>
        <v>str_diesel_South_Korea_Korail_6000_EMD_SD18</v>
      </c>
      <c r="Q253" s="2" t="b">
        <v>1</v>
      </c>
      <c r="AL253" s="2"/>
      <c r="AM253" s="2" t="b">
        <f>LEN(_xlfn.CONCAT(Table1[[#This Row],[TRACK_TYPE_STANDARD_GAUGE_RAILTYPE_OHLE]:[TRACK_TYPE_MTRO]]))&gt;0</f>
        <v>1</v>
      </c>
      <c r="AN253">
        <v>8</v>
      </c>
      <c r="AO253" t="s">
        <v>20</v>
      </c>
      <c r="AP253">
        <v>0</v>
      </c>
      <c r="AQ253" t="s">
        <v>35</v>
      </c>
      <c r="AR253">
        <v>0</v>
      </c>
      <c r="AS253">
        <v>1960</v>
      </c>
      <c r="AT253">
        <v>8</v>
      </c>
      <c r="AU253" s="2" t="s">
        <v>20</v>
      </c>
      <c r="AV253" t="b">
        <v>1</v>
      </c>
      <c r="AX253" s="2"/>
      <c r="AY253">
        <v>45</v>
      </c>
      <c r="AZ253">
        <v>1</v>
      </c>
      <c r="BA253">
        <v>1800</v>
      </c>
      <c r="BB253" t="s">
        <v>710</v>
      </c>
      <c r="BC253">
        <v>104</v>
      </c>
      <c r="BD253" s="2">
        <v>0.09</v>
      </c>
      <c r="BE253" t="s">
        <v>930</v>
      </c>
      <c r="BF253" t="s">
        <v>921</v>
      </c>
      <c r="BG253" t="s">
        <v>939</v>
      </c>
      <c r="BH253" s="7">
        <v>40</v>
      </c>
      <c r="BI25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53">
        <v>0</v>
      </c>
      <c r="BK253" t="s">
        <v>733</v>
      </c>
      <c r="BL253" s="11"/>
      <c r="BM253" s="11"/>
      <c r="BN253" s="11">
        <v>163</v>
      </c>
      <c r="BO253">
        <v>0</v>
      </c>
      <c r="BP253" t="s">
        <v>691</v>
      </c>
      <c r="BQ253" t="s">
        <v>693</v>
      </c>
      <c r="BR253" t="s">
        <v>700</v>
      </c>
      <c r="BS253" t="s">
        <v>704</v>
      </c>
      <c r="BT253" t="s">
        <v>705</v>
      </c>
      <c r="BU253" t="s">
        <v>706</v>
      </c>
      <c r="CT253"/>
      <c r="CU253"/>
      <c r="CV253"/>
    </row>
    <row r="254" spans="1:100" x14ac:dyDescent="0.4">
      <c r="A254" s="2" t="s">
        <v>277</v>
      </c>
      <c r="B254" t="str">
        <f>_xlfn.TEXTAFTER(Table1[[#This Row],[VEHIDCODE]],"_")</f>
        <v>Italy_FS_D345</v>
      </c>
      <c r="C254" t="s">
        <v>739</v>
      </c>
      <c r="D254" t="s">
        <v>958</v>
      </c>
      <c r="E254">
        <v>5086</v>
      </c>
      <c r="F254" t="b">
        <f>OR(ISNUMBER(SEARCH("wagon_",Table1[[#This Row],[FILENAMES_EXPECTED]])),ISNUMBER(SEARCH("coach_",Table1[[#This Row],[FILENAMES_EXPECTED]])))</f>
        <v>0</v>
      </c>
      <c r="G254" t="str">
        <f>"item_"&amp;Table1[[#This Row],[VEHIDCODE]]</f>
        <v>item_diesel_Italy_FS_D345</v>
      </c>
      <c r="H254" t="str">
        <f>"str_"&amp;Table1[[#This Row],[VEHIDCODE]]</f>
        <v>str_diesel_Italy_FS_D345</v>
      </c>
      <c r="Q254" s="2" t="b">
        <v>1</v>
      </c>
      <c r="AL254" s="2"/>
      <c r="AM254" s="2" t="b">
        <f>LEN(_xlfn.CONCAT(Table1[[#This Row],[TRACK_TYPE_STANDARD_GAUGE_RAILTYPE_OHLE]:[TRACK_TYPE_MTRO]]))&gt;0</f>
        <v>1</v>
      </c>
      <c r="AN254">
        <v>8</v>
      </c>
      <c r="AO254" t="s">
        <v>20</v>
      </c>
      <c r="AP254">
        <v>0</v>
      </c>
      <c r="AQ254" t="s">
        <v>35</v>
      </c>
      <c r="AR254">
        <v>0</v>
      </c>
      <c r="AS254">
        <v>1971</v>
      </c>
      <c r="AT254">
        <v>8</v>
      </c>
      <c r="AU254" s="2" t="s">
        <v>20</v>
      </c>
      <c r="AV254" t="b">
        <v>1</v>
      </c>
      <c r="AX254" s="2"/>
      <c r="AY254">
        <v>45</v>
      </c>
      <c r="AZ254">
        <v>1</v>
      </c>
      <c r="BA254">
        <v>1010</v>
      </c>
      <c r="BB254" t="s">
        <v>710</v>
      </c>
      <c r="BC254">
        <v>130</v>
      </c>
      <c r="BD254" s="2">
        <v>0.3</v>
      </c>
      <c r="BE254" t="s">
        <v>923</v>
      </c>
      <c r="BF254" t="s">
        <v>921</v>
      </c>
      <c r="BG254" t="s">
        <v>939</v>
      </c>
      <c r="BH254" s="7">
        <v>40</v>
      </c>
      <c r="BI25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54">
        <v>0</v>
      </c>
      <c r="BK254" t="s">
        <v>733</v>
      </c>
      <c r="BL254" s="11"/>
      <c r="BM254" s="11"/>
      <c r="BN254" s="11">
        <v>62</v>
      </c>
      <c r="BO254">
        <v>0</v>
      </c>
      <c r="BP254" t="s">
        <v>691</v>
      </c>
      <c r="BQ254" t="s">
        <v>693</v>
      </c>
      <c r="BR254" t="s">
        <v>700</v>
      </c>
      <c r="BS254" t="s">
        <v>704</v>
      </c>
      <c r="BT254" t="s">
        <v>705</v>
      </c>
      <c r="BU254" t="s">
        <v>706</v>
      </c>
      <c r="CT254"/>
      <c r="CU254"/>
      <c r="CV254"/>
    </row>
    <row r="255" spans="1:100" x14ac:dyDescent="0.4">
      <c r="A255" s="2" t="s">
        <v>278</v>
      </c>
      <c r="B255" t="str">
        <f>_xlfn.TEXTAFTER(Table1[[#This Row],[VEHIDCODE]],"_")</f>
        <v>Norway_NSB_Di4</v>
      </c>
      <c r="C255" t="s">
        <v>739</v>
      </c>
      <c r="D255" t="s">
        <v>958</v>
      </c>
      <c r="E255">
        <v>5087</v>
      </c>
      <c r="F255" t="b">
        <f>OR(ISNUMBER(SEARCH("wagon_",Table1[[#This Row],[FILENAMES_EXPECTED]])),ISNUMBER(SEARCH("coach_",Table1[[#This Row],[FILENAMES_EXPECTED]])))</f>
        <v>0</v>
      </c>
      <c r="G255" t="str">
        <f>"item_"&amp;Table1[[#This Row],[VEHIDCODE]]</f>
        <v>item_diesel_Norway_NSB_Di4</v>
      </c>
      <c r="H255" t="str">
        <f>"str_"&amp;Table1[[#This Row],[VEHIDCODE]]</f>
        <v>str_diesel_Norway_NSB_Di4</v>
      </c>
      <c r="Q255" s="2" t="b">
        <v>1</v>
      </c>
      <c r="AL255" s="2"/>
      <c r="AM255" s="2" t="b">
        <f>LEN(_xlfn.CONCAT(Table1[[#This Row],[TRACK_TYPE_STANDARD_GAUGE_RAILTYPE_OHLE]:[TRACK_TYPE_MTRO]]))&gt;0</f>
        <v>1</v>
      </c>
      <c r="AN255">
        <v>8</v>
      </c>
      <c r="AO255" t="s">
        <v>20</v>
      </c>
      <c r="AP255">
        <v>0</v>
      </c>
      <c r="AQ255" t="s">
        <v>35</v>
      </c>
      <c r="AR255">
        <v>0</v>
      </c>
      <c r="AS255">
        <v>1980</v>
      </c>
      <c r="AT255">
        <v>8</v>
      </c>
      <c r="AU255" s="2" t="s">
        <v>20</v>
      </c>
      <c r="AV255" t="b">
        <v>1</v>
      </c>
      <c r="AX255" s="2"/>
      <c r="AY255">
        <v>45</v>
      </c>
      <c r="AZ255">
        <v>1</v>
      </c>
      <c r="BA255">
        <v>3290</v>
      </c>
      <c r="BB255" t="s">
        <v>710</v>
      </c>
      <c r="BC255">
        <v>140</v>
      </c>
      <c r="BD255" s="2">
        <v>0.32</v>
      </c>
      <c r="BE255" t="s">
        <v>926</v>
      </c>
      <c r="BF255" t="s">
        <v>921</v>
      </c>
      <c r="BG255" t="s">
        <v>939</v>
      </c>
      <c r="BH255" s="7">
        <v>40</v>
      </c>
      <c r="BI25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55">
        <v>0</v>
      </c>
      <c r="BK255" t="s">
        <v>733</v>
      </c>
      <c r="BL255" s="11"/>
      <c r="BM255" s="11"/>
      <c r="BN255" s="11">
        <v>114</v>
      </c>
      <c r="BO255">
        <v>0</v>
      </c>
      <c r="BP255" t="s">
        <v>691</v>
      </c>
      <c r="BQ255" t="s">
        <v>693</v>
      </c>
      <c r="BR255" t="s">
        <v>700</v>
      </c>
      <c r="BS255" t="s">
        <v>704</v>
      </c>
      <c r="BT255" t="s">
        <v>705</v>
      </c>
      <c r="BU255" t="s">
        <v>706</v>
      </c>
      <c r="CT255"/>
      <c r="CU255"/>
      <c r="CV255"/>
    </row>
    <row r="256" spans="1:100" x14ac:dyDescent="0.4">
      <c r="A256" s="2" t="s">
        <v>279</v>
      </c>
      <c r="B256" t="str">
        <f>_xlfn.TEXTAFTER(Table1[[#This Row],[VEHIDCODE]],"_")</f>
        <v>China_China_Railways_DF8</v>
      </c>
      <c r="C256" t="s">
        <v>739</v>
      </c>
      <c r="D256" t="s">
        <v>958</v>
      </c>
      <c r="E256">
        <v>5088</v>
      </c>
      <c r="F256" t="b">
        <f>OR(ISNUMBER(SEARCH("wagon_",Table1[[#This Row],[FILENAMES_EXPECTED]])),ISNUMBER(SEARCH("coach_",Table1[[#This Row],[FILENAMES_EXPECTED]])))</f>
        <v>0</v>
      </c>
      <c r="G256" t="str">
        <f>"item_"&amp;Table1[[#This Row],[VEHIDCODE]]</f>
        <v>item_diesel_China_China_Railways_DF8</v>
      </c>
      <c r="H256" t="str">
        <f>"str_"&amp;Table1[[#This Row],[VEHIDCODE]]</f>
        <v>str_diesel_China_China_Railways_DF8</v>
      </c>
      <c r="Q256" s="2" t="b">
        <v>1</v>
      </c>
      <c r="AL256" s="2"/>
      <c r="AM256" s="2" t="b">
        <f>LEN(_xlfn.CONCAT(Table1[[#This Row],[TRACK_TYPE_STANDARD_GAUGE_RAILTYPE_OHLE]:[TRACK_TYPE_MTRO]]))&gt;0</f>
        <v>1</v>
      </c>
      <c r="AN256">
        <v>8</v>
      </c>
      <c r="AO256" t="s">
        <v>20</v>
      </c>
      <c r="AP256">
        <v>0</v>
      </c>
      <c r="AQ256" t="s">
        <v>35</v>
      </c>
      <c r="AR256">
        <v>0</v>
      </c>
      <c r="AS256">
        <v>1984</v>
      </c>
      <c r="AT256">
        <v>8</v>
      </c>
      <c r="AU256" s="2" t="s">
        <v>20</v>
      </c>
      <c r="AV256" t="b">
        <v>1</v>
      </c>
      <c r="AX256" s="2"/>
      <c r="AY256">
        <v>45</v>
      </c>
      <c r="AZ256">
        <v>1</v>
      </c>
      <c r="BA256">
        <v>4930</v>
      </c>
      <c r="BB256" t="s">
        <v>710</v>
      </c>
      <c r="BC256">
        <v>100</v>
      </c>
      <c r="BD256" s="2">
        <v>0.35</v>
      </c>
      <c r="BE256" t="s">
        <v>930</v>
      </c>
      <c r="BF256" t="s">
        <v>921</v>
      </c>
      <c r="BG256" t="s">
        <v>939</v>
      </c>
      <c r="BH256" s="7">
        <v>40</v>
      </c>
      <c r="BI25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56">
        <v>0</v>
      </c>
      <c r="BK256" t="s">
        <v>733</v>
      </c>
      <c r="BL256" s="11"/>
      <c r="BM256" s="11"/>
      <c r="BN256" s="11">
        <v>138</v>
      </c>
      <c r="BO256">
        <v>0</v>
      </c>
      <c r="BP256" t="s">
        <v>691</v>
      </c>
      <c r="BQ256" t="s">
        <v>693</v>
      </c>
      <c r="BR256" t="s">
        <v>700</v>
      </c>
      <c r="BS256" t="s">
        <v>704</v>
      </c>
      <c r="BT256" t="s">
        <v>705</v>
      </c>
      <c r="BU256" t="s">
        <v>706</v>
      </c>
      <c r="CT256"/>
      <c r="CU256"/>
      <c r="CV256"/>
    </row>
    <row r="257" spans="1:100" x14ac:dyDescent="0.4">
      <c r="A257" s="2" t="s">
        <v>280</v>
      </c>
      <c r="B257" t="str">
        <f>_xlfn.TEXTAFTER(Table1[[#This Row],[VEHIDCODE]],"_")</f>
        <v>Australia_Pacific_National_G_Class</v>
      </c>
      <c r="C257" t="s">
        <v>739</v>
      </c>
      <c r="D257" t="s">
        <v>958</v>
      </c>
      <c r="E257">
        <v>5089</v>
      </c>
      <c r="F257" t="b">
        <f>OR(ISNUMBER(SEARCH("wagon_",Table1[[#This Row],[FILENAMES_EXPECTED]])),ISNUMBER(SEARCH("coach_",Table1[[#This Row],[FILENAMES_EXPECTED]])))</f>
        <v>0</v>
      </c>
      <c r="G257" t="str">
        <f>"item_"&amp;Table1[[#This Row],[VEHIDCODE]]</f>
        <v>item_diesel_Australia_Pacific_National_G_Class</v>
      </c>
      <c r="H257" t="str">
        <f>"str_"&amp;Table1[[#This Row],[VEHIDCODE]]</f>
        <v>str_diesel_Australia_Pacific_National_G_Class</v>
      </c>
      <c r="Q257" s="2" t="b">
        <v>1</v>
      </c>
      <c r="AL257" s="2"/>
      <c r="AM257" s="2" t="b">
        <f>LEN(_xlfn.CONCAT(Table1[[#This Row],[TRACK_TYPE_STANDARD_GAUGE_RAILTYPE_OHLE]:[TRACK_TYPE_MTRO]]))&gt;0</f>
        <v>1</v>
      </c>
      <c r="AN257">
        <v>8</v>
      </c>
      <c r="AO257" t="s">
        <v>20</v>
      </c>
      <c r="AP257">
        <v>0</v>
      </c>
      <c r="AQ257" t="s">
        <v>35</v>
      </c>
      <c r="AR257">
        <v>0</v>
      </c>
      <c r="AS257">
        <v>1984</v>
      </c>
      <c r="AT257">
        <v>8</v>
      </c>
      <c r="AU257" s="2" t="s">
        <v>20</v>
      </c>
      <c r="AV257" t="b">
        <v>1</v>
      </c>
      <c r="AX257" s="2"/>
      <c r="AY257">
        <v>45</v>
      </c>
      <c r="AZ257">
        <v>1</v>
      </c>
      <c r="BA257">
        <v>3790</v>
      </c>
      <c r="BB257" t="s">
        <v>710</v>
      </c>
      <c r="BC257">
        <v>114</v>
      </c>
      <c r="BD257" s="2">
        <v>0.27</v>
      </c>
      <c r="BE257" t="s">
        <v>924</v>
      </c>
      <c r="BF257" t="s">
        <v>921</v>
      </c>
      <c r="BG257" t="s">
        <v>939</v>
      </c>
      <c r="BH257" s="7">
        <v>40</v>
      </c>
      <c r="BI25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57">
        <v>0</v>
      </c>
      <c r="BK257" t="s">
        <v>733</v>
      </c>
      <c r="BL257" s="11"/>
      <c r="BM257" s="11"/>
      <c r="BN257" s="11">
        <v>127</v>
      </c>
      <c r="BO257">
        <v>0</v>
      </c>
      <c r="BP257" t="s">
        <v>691</v>
      </c>
      <c r="BQ257" t="s">
        <v>693</v>
      </c>
      <c r="BR257" t="s">
        <v>700</v>
      </c>
      <c r="BS257" t="s">
        <v>704</v>
      </c>
      <c r="BT257" t="s">
        <v>705</v>
      </c>
      <c r="BU257" t="s">
        <v>706</v>
      </c>
      <c r="CT257"/>
      <c r="CU257"/>
      <c r="CV257"/>
    </row>
    <row r="258" spans="1:100" x14ac:dyDescent="0.4">
      <c r="A258" s="2" t="s">
        <v>281</v>
      </c>
      <c r="B258" t="str">
        <f>_xlfn.TEXTAFTER(Table1[[#This Row],[VEHIDCODE]],"_")</f>
        <v>UK_BR_60</v>
      </c>
      <c r="C258" t="s">
        <v>739</v>
      </c>
      <c r="D258" t="s">
        <v>958</v>
      </c>
      <c r="E258">
        <v>5090</v>
      </c>
      <c r="F258" t="b">
        <f>OR(ISNUMBER(SEARCH("wagon_",Table1[[#This Row],[FILENAMES_EXPECTED]])),ISNUMBER(SEARCH("coach_",Table1[[#This Row],[FILENAMES_EXPECTED]])))</f>
        <v>0</v>
      </c>
      <c r="G258" t="str">
        <f>"item_"&amp;Table1[[#This Row],[VEHIDCODE]]</f>
        <v>item_diesel_UK_BR_60</v>
      </c>
      <c r="H258" t="str">
        <f>"str_"&amp;Table1[[#This Row],[VEHIDCODE]]</f>
        <v>str_diesel_UK_BR_60</v>
      </c>
      <c r="Q258" s="2" t="b">
        <v>1</v>
      </c>
      <c r="AL258" s="2"/>
      <c r="AM258" s="2" t="b">
        <f>LEN(_xlfn.CONCAT(Table1[[#This Row],[TRACK_TYPE_STANDARD_GAUGE_RAILTYPE_OHLE]:[TRACK_TYPE_MTRO]]))&gt;0</f>
        <v>1</v>
      </c>
      <c r="AN258">
        <v>8</v>
      </c>
      <c r="AO258" t="s">
        <v>20</v>
      </c>
      <c r="AP258">
        <v>0</v>
      </c>
      <c r="AQ258" t="s">
        <v>35</v>
      </c>
      <c r="AR258">
        <v>0</v>
      </c>
      <c r="AS258">
        <v>1989</v>
      </c>
      <c r="AT258">
        <v>8</v>
      </c>
      <c r="AU258" s="2" t="s">
        <v>20</v>
      </c>
      <c r="AV258" t="b">
        <v>1</v>
      </c>
      <c r="AX258" s="2"/>
      <c r="AY258">
        <v>45</v>
      </c>
      <c r="AZ258">
        <v>0</v>
      </c>
      <c r="BA258">
        <v>3100</v>
      </c>
      <c r="BB258" t="s">
        <v>710</v>
      </c>
      <c r="BC258">
        <v>97</v>
      </c>
      <c r="BD258" s="2">
        <v>0.36</v>
      </c>
      <c r="BE258" t="s">
        <v>926</v>
      </c>
      <c r="BF258" t="s">
        <v>921</v>
      </c>
      <c r="BG258" t="s">
        <v>939</v>
      </c>
      <c r="BH258" s="7">
        <v>40</v>
      </c>
      <c r="BI25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58">
        <v>0</v>
      </c>
      <c r="BK258" t="s">
        <v>733</v>
      </c>
      <c r="BL258" s="11"/>
      <c r="BM258" s="11"/>
      <c r="BN258" s="11">
        <v>130</v>
      </c>
      <c r="BO258">
        <v>0</v>
      </c>
      <c r="BP258" t="s">
        <v>691</v>
      </c>
      <c r="BQ258" t="s">
        <v>693</v>
      </c>
      <c r="BR258" t="s">
        <v>700</v>
      </c>
      <c r="BS258" t="s">
        <v>704</v>
      </c>
      <c r="BT258" t="s">
        <v>705</v>
      </c>
      <c r="BU258" t="s">
        <v>706</v>
      </c>
      <c r="CT258"/>
      <c r="CU258"/>
      <c r="CV258"/>
    </row>
    <row r="259" spans="1:100" x14ac:dyDescent="0.4">
      <c r="A259" s="2" t="s">
        <v>282</v>
      </c>
      <c r="B259" t="str">
        <f>_xlfn.TEXTAFTER(Table1[[#This Row],[VEHIDCODE]],"_")</f>
        <v>Australia_Westrail_P_Class</v>
      </c>
      <c r="C259" t="s">
        <v>739</v>
      </c>
      <c r="D259" t="s">
        <v>958</v>
      </c>
      <c r="E259">
        <v>5091</v>
      </c>
      <c r="F259" t="b">
        <f>OR(ISNUMBER(SEARCH("wagon_",Table1[[#This Row],[FILENAMES_EXPECTED]])),ISNUMBER(SEARCH("coach_",Table1[[#This Row],[FILENAMES_EXPECTED]])))</f>
        <v>0</v>
      </c>
      <c r="G259" t="str">
        <f>"item_"&amp;Table1[[#This Row],[VEHIDCODE]]</f>
        <v>item_diesel_Australia_Westrail_P_Class</v>
      </c>
      <c r="H259" t="str">
        <f>"str_"&amp;Table1[[#This Row],[VEHIDCODE]]</f>
        <v>str_diesel_Australia_Westrail_P_Class</v>
      </c>
      <c r="Q259" s="2" t="b">
        <v>1</v>
      </c>
      <c r="AL259" s="2"/>
      <c r="AM259" s="2" t="b">
        <f>LEN(_xlfn.CONCAT(Table1[[#This Row],[TRACK_TYPE_STANDARD_GAUGE_RAILTYPE_OHLE]:[TRACK_TYPE_MTRO]]))&gt;0</f>
        <v>1</v>
      </c>
      <c r="AN259">
        <v>7</v>
      </c>
      <c r="AO259" t="s">
        <v>20</v>
      </c>
      <c r="AP259">
        <v>0</v>
      </c>
      <c r="AQ259" t="s">
        <v>35</v>
      </c>
      <c r="AR259">
        <v>0</v>
      </c>
      <c r="AS259">
        <v>1989</v>
      </c>
      <c r="AT259">
        <v>7</v>
      </c>
      <c r="AU259" s="2" t="s">
        <v>20</v>
      </c>
      <c r="AV259" t="b">
        <v>1</v>
      </c>
      <c r="AX259" s="2"/>
      <c r="AY259">
        <v>45</v>
      </c>
      <c r="AZ259">
        <v>1</v>
      </c>
      <c r="BA259">
        <v>2450</v>
      </c>
      <c r="BB259" t="s">
        <v>710</v>
      </c>
      <c r="BC259">
        <v>90</v>
      </c>
      <c r="BD259" s="2">
        <v>0.38</v>
      </c>
      <c r="BE259" t="s">
        <v>924</v>
      </c>
      <c r="BF259" t="s">
        <v>921</v>
      </c>
      <c r="BG259" t="s">
        <v>939</v>
      </c>
      <c r="BH259" s="7">
        <v>40</v>
      </c>
      <c r="BI25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59">
        <v>0</v>
      </c>
      <c r="BK259" t="s">
        <v>733</v>
      </c>
      <c r="BL259" s="11"/>
      <c r="BM259" s="11"/>
      <c r="BN259" s="11">
        <v>99</v>
      </c>
      <c r="BO259">
        <v>0</v>
      </c>
      <c r="BP259" t="s">
        <v>691</v>
      </c>
      <c r="BQ259" t="s">
        <v>693</v>
      </c>
      <c r="BR259" t="s">
        <v>700</v>
      </c>
      <c r="BS259" t="s">
        <v>704</v>
      </c>
      <c r="BT259" t="s">
        <v>705</v>
      </c>
      <c r="BU259" t="s">
        <v>706</v>
      </c>
      <c r="CT259"/>
      <c r="CU259"/>
      <c r="CV259"/>
    </row>
    <row r="260" spans="1:100" x14ac:dyDescent="0.4">
      <c r="A260" s="2" t="s">
        <v>283</v>
      </c>
      <c r="B260" t="str">
        <f>_xlfn.TEXTAFTER(Table1[[#This Row],[VEHIDCODE]],"_")</f>
        <v>Saudi_Arabia_Saudi_Railways_4000_EMD_SD70ACS</v>
      </c>
      <c r="C260" t="s">
        <v>739</v>
      </c>
      <c r="D260" t="s">
        <v>958</v>
      </c>
      <c r="E260">
        <v>5092</v>
      </c>
      <c r="F260" t="b">
        <f>OR(ISNUMBER(SEARCH("wagon_",Table1[[#This Row],[FILENAMES_EXPECTED]])),ISNUMBER(SEARCH("coach_",Table1[[#This Row],[FILENAMES_EXPECTED]])))</f>
        <v>0</v>
      </c>
      <c r="G260" t="str">
        <f>"item_"&amp;Table1[[#This Row],[VEHIDCODE]]</f>
        <v>item_diesel_Saudi_Arabia_Saudi_Railways_4000_EMD_SD70ACS</v>
      </c>
      <c r="H260" t="str">
        <f>"str_"&amp;Table1[[#This Row],[VEHIDCODE]]</f>
        <v>str_diesel_Saudi_Arabia_Saudi_Railways_4000_EMD_SD70ACS</v>
      </c>
      <c r="Q260" s="2" t="b">
        <v>1</v>
      </c>
      <c r="AL260" s="2"/>
      <c r="AM260" s="2" t="b">
        <f>LEN(_xlfn.CONCAT(Table1[[#This Row],[TRACK_TYPE_STANDARD_GAUGE_RAILTYPE_OHLE]:[TRACK_TYPE_MTRO]]))&gt;0</f>
        <v>1</v>
      </c>
      <c r="AN260">
        <v>8</v>
      </c>
      <c r="AO260" t="s">
        <v>20</v>
      </c>
      <c r="AP260">
        <v>0</v>
      </c>
      <c r="AQ260" t="s">
        <v>35</v>
      </c>
      <c r="AR260">
        <v>0</v>
      </c>
      <c r="AS260">
        <v>1992</v>
      </c>
      <c r="AT260">
        <v>8</v>
      </c>
      <c r="AU260" s="2" t="s">
        <v>20</v>
      </c>
      <c r="AV260" t="b">
        <v>1</v>
      </c>
      <c r="AX260" s="2"/>
      <c r="AY260">
        <v>45</v>
      </c>
      <c r="AZ260">
        <v>1</v>
      </c>
      <c r="BA260">
        <v>4500</v>
      </c>
      <c r="BB260" t="s">
        <v>710</v>
      </c>
      <c r="BC260">
        <v>110</v>
      </c>
      <c r="BD260" s="2">
        <v>0.5</v>
      </c>
      <c r="BE260" t="s">
        <v>930</v>
      </c>
      <c r="BF260" t="s">
        <v>921</v>
      </c>
      <c r="BG260" t="s">
        <v>939</v>
      </c>
      <c r="BH260" s="7">
        <v>40</v>
      </c>
      <c r="BI26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60">
        <v>0</v>
      </c>
      <c r="BK260" t="s">
        <v>733</v>
      </c>
      <c r="BL260" s="11"/>
      <c r="BM260" s="11"/>
      <c r="BN260" s="11">
        <v>170</v>
      </c>
      <c r="BO260">
        <v>0</v>
      </c>
      <c r="BP260" t="s">
        <v>691</v>
      </c>
      <c r="BQ260" t="s">
        <v>693</v>
      </c>
      <c r="BR260" t="s">
        <v>700</v>
      </c>
      <c r="BS260" t="s">
        <v>704</v>
      </c>
      <c r="BT260" t="s">
        <v>705</v>
      </c>
      <c r="BU260" t="s">
        <v>706</v>
      </c>
      <c r="CT260"/>
      <c r="CU260"/>
      <c r="CV260"/>
    </row>
    <row r="261" spans="1:100" x14ac:dyDescent="0.4">
      <c r="A261" s="2" t="s">
        <v>284</v>
      </c>
      <c r="B261" t="str">
        <f>_xlfn.TEXTAFTER(Table1[[#This Row],[VEHIDCODE]],"_")</f>
        <v>Ireland_IE_201</v>
      </c>
      <c r="C261" t="s">
        <v>739</v>
      </c>
      <c r="D261" t="s">
        <v>958</v>
      </c>
      <c r="E261">
        <v>5093</v>
      </c>
      <c r="F261" t="b">
        <f>OR(ISNUMBER(SEARCH("wagon_",Table1[[#This Row],[FILENAMES_EXPECTED]])),ISNUMBER(SEARCH("coach_",Table1[[#This Row],[FILENAMES_EXPECTED]])))</f>
        <v>0</v>
      </c>
      <c r="G261" t="str">
        <f>"item_"&amp;Table1[[#This Row],[VEHIDCODE]]</f>
        <v>item_diesel_Ireland_IE_201</v>
      </c>
      <c r="H261" t="str">
        <f>"str_"&amp;Table1[[#This Row],[VEHIDCODE]]</f>
        <v>str_diesel_Ireland_IE_201</v>
      </c>
      <c r="Q261" s="2" t="b">
        <v>1</v>
      </c>
      <c r="AL261" s="2"/>
      <c r="AM261" s="2" t="b">
        <f>LEN(_xlfn.CONCAT(Table1[[#This Row],[TRACK_TYPE_STANDARD_GAUGE_RAILTYPE_OHLE]:[TRACK_TYPE_MTRO]]))&gt;0</f>
        <v>1</v>
      </c>
      <c r="AN261">
        <v>8</v>
      </c>
      <c r="AO261" t="s">
        <v>20</v>
      </c>
      <c r="AP261">
        <v>0</v>
      </c>
      <c r="AQ261" t="s">
        <v>35</v>
      </c>
      <c r="AR261">
        <v>0</v>
      </c>
      <c r="AS261">
        <v>1994</v>
      </c>
      <c r="AT261">
        <v>8</v>
      </c>
      <c r="AU261" s="2" t="s">
        <v>20</v>
      </c>
      <c r="AV261" t="b">
        <v>1</v>
      </c>
      <c r="AX261" s="2"/>
      <c r="AY261">
        <v>45</v>
      </c>
      <c r="AZ261">
        <v>1</v>
      </c>
      <c r="BA261">
        <v>3200</v>
      </c>
      <c r="BB261" t="s">
        <v>710</v>
      </c>
      <c r="BC261">
        <v>164</v>
      </c>
      <c r="BD261" s="2">
        <v>0.17</v>
      </c>
      <c r="BE261" t="s">
        <v>926</v>
      </c>
      <c r="BF261" t="s">
        <v>921</v>
      </c>
      <c r="BG261" t="s">
        <v>939</v>
      </c>
      <c r="BH261" s="7">
        <v>40</v>
      </c>
      <c r="BI26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61">
        <v>0</v>
      </c>
      <c r="BK261" t="s">
        <v>733</v>
      </c>
      <c r="BL261" s="11"/>
      <c r="BM261" s="11"/>
      <c r="BN261" s="11">
        <v>112</v>
      </c>
      <c r="BO261">
        <v>0</v>
      </c>
      <c r="BP261" t="s">
        <v>691</v>
      </c>
      <c r="BQ261" t="s">
        <v>693</v>
      </c>
      <c r="BR261" t="s">
        <v>700</v>
      </c>
      <c r="BS261" t="s">
        <v>704</v>
      </c>
      <c r="BT261" t="s">
        <v>705</v>
      </c>
      <c r="BU261" t="s">
        <v>706</v>
      </c>
      <c r="CT261"/>
      <c r="CU261"/>
      <c r="CV261"/>
    </row>
    <row r="262" spans="1:100" x14ac:dyDescent="0.4">
      <c r="A262" s="2" t="s">
        <v>285</v>
      </c>
      <c r="B262" t="str">
        <f>_xlfn.TEXTAFTER(Table1[[#This Row],[VEHIDCODE]],"_")</f>
        <v>USA_Metrolink_EMD_F59PH</v>
      </c>
      <c r="C262" t="s">
        <v>739</v>
      </c>
      <c r="D262" t="s">
        <v>958</v>
      </c>
      <c r="E262">
        <v>5094</v>
      </c>
      <c r="F262" t="b">
        <f>OR(ISNUMBER(SEARCH("wagon_",Table1[[#This Row],[FILENAMES_EXPECTED]])),ISNUMBER(SEARCH("coach_",Table1[[#This Row],[FILENAMES_EXPECTED]])))</f>
        <v>0</v>
      </c>
      <c r="G262" t="str">
        <f>"item_"&amp;Table1[[#This Row],[VEHIDCODE]]</f>
        <v>item_diesel_USA_Metrolink_EMD_F59PH</v>
      </c>
      <c r="H262" t="str">
        <f>"str_"&amp;Table1[[#This Row],[VEHIDCODE]]</f>
        <v>str_diesel_USA_Metrolink_EMD_F59PH</v>
      </c>
      <c r="Q262" s="2" t="b">
        <v>1</v>
      </c>
      <c r="AL262" s="2"/>
      <c r="AM262" s="2" t="b">
        <f>LEN(_xlfn.CONCAT(Table1[[#This Row],[TRACK_TYPE_STANDARD_GAUGE_RAILTYPE_OHLE]:[TRACK_TYPE_MTRO]]))&gt;0</f>
        <v>1</v>
      </c>
      <c r="AN262">
        <v>8</v>
      </c>
      <c r="AO262" t="s">
        <v>20</v>
      </c>
      <c r="AP262">
        <v>0</v>
      </c>
      <c r="AQ262" t="s">
        <v>35</v>
      </c>
      <c r="AR262">
        <v>0</v>
      </c>
      <c r="AS262">
        <v>1988</v>
      </c>
      <c r="AT262">
        <v>8</v>
      </c>
      <c r="AU262" s="2" t="s">
        <v>20</v>
      </c>
      <c r="AV262" t="b">
        <v>1</v>
      </c>
      <c r="AX262" s="2"/>
      <c r="AY262">
        <v>45</v>
      </c>
      <c r="AZ262">
        <v>1</v>
      </c>
      <c r="BA262">
        <v>3200</v>
      </c>
      <c r="BB262" t="s">
        <v>710</v>
      </c>
      <c r="BC262">
        <v>177</v>
      </c>
      <c r="BD262" s="2">
        <v>0.22</v>
      </c>
      <c r="BE262" t="s">
        <v>927</v>
      </c>
      <c r="BF262" t="s">
        <v>921</v>
      </c>
      <c r="BG262" t="s">
        <v>939</v>
      </c>
      <c r="BH262" s="7">
        <v>40</v>
      </c>
      <c r="BI26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62">
        <v>0</v>
      </c>
      <c r="BK262" t="s">
        <v>733</v>
      </c>
      <c r="BL262" s="11"/>
      <c r="BM262" s="11"/>
      <c r="BN262" s="11">
        <v>130</v>
      </c>
      <c r="BO262">
        <v>0</v>
      </c>
      <c r="BP262" t="s">
        <v>691</v>
      </c>
      <c r="BQ262" t="s">
        <v>693</v>
      </c>
      <c r="BR262" t="s">
        <v>700</v>
      </c>
      <c r="BS262" t="s">
        <v>704</v>
      </c>
      <c r="BT262" t="s">
        <v>705</v>
      </c>
      <c r="BU262" t="s">
        <v>706</v>
      </c>
      <c r="CT262"/>
      <c r="CU262"/>
      <c r="CV262"/>
    </row>
    <row r="263" spans="1:100" x14ac:dyDescent="0.4">
      <c r="A263" s="2" t="s">
        <v>286</v>
      </c>
      <c r="B263" t="str">
        <f>_xlfn.TEXTAFTER(Table1[[#This Row],[VEHIDCODE]],"_")</f>
        <v>France_SNCF_461000</v>
      </c>
      <c r="C263" t="s">
        <v>739</v>
      </c>
      <c r="D263" t="s">
        <v>958</v>
      </c>
      <c r="E263">
        <v>5095</v>
      </c>
      <c r="F263" t="b">
        <f>OR(ISNUMBER(SEARCH("wagon_",Table1[[#This Row],[FILENAMES_EXPECTED]])),ISNUMBER(SEARCH("coach_",Table1[[#This Row],[FILENAMES_EXPECTED]])))</f>
        <v>0</v>
      </c>
      <c r="G263" t="str">
        <f>"item_"&amp;Table1[[#This Row],[VEHIDCODE]]</f>
        <v>item_diesel_France_SNCF_461000</v>
      </c>
      <c r="H263" t="str">
        <f>"str_"&amp;Table1[[#This Row],[VEHIDCODE]]</f>
        <v>str_diesel_France_SNCF_461000</v>
      </c>
      <c r="Q263" s="2" t="b">
        <v>1</v>
      </c>
      <c r="AL263" s="2"/>
      <c r="AM263" s="2" t="b">
        <f>LEN(_xlfn.CONCAT(Table1[[#This Row],[TRACK_TYPE_STANDARD_GAUGE_RAILTYPE_OHLE]:[TRACK_TYPE_MTRO]]))&gt;0</f>
        <v>1</v>
      </c>
      <c r="AN263">
        <v>7</v>
      </c>
      <c r="AO263" t="s">
        <v>20</v>
      </c>
      <c r="AP263">
        <v>0</v>
      </c>
      <c r="AQ263" t="s">
        <v>35</v>
      </c>
      <c r="AR263">
        <v>0</v>
      </c>
      <c r="AS263">
        <v>2002</v>
      </c>
      <c r="AT263">
        <v>7</v>
      </c>
      <c r="AU263" s="2" t="s">
        <v>20</v>
      </c>
      <c r="AV263" t="b">
        <v>1</v>
      </c>
      <c r="AX263" s="2"/>
      <c r="AY263" t="s">
        <v>21</v>
      </c>
      <c r="AZ263">
        <v>1</v>
      </c>
      <c r="BA263">
        <v>2010</v>
      </c>
      <c r="BB263" t="s">
        <v>710</v>
      </c>
      <c r="BC263">
        <v>50</v>
      </c>
      <c r="BD263" s="2">
        <v>0.33</v>
      </c>
      <c r="BE263" t="s">
        <v>922</v>
      </c>
      <c r="BF263" t="s">
        <v>921</v>
      </c>
      <c r="BG263" t="s">
        <v>939</v>
      </c>
      <c r="BH263" s="7">
        <v>40</v>
      </c>
      <c r="BI26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63">
        <v>0</v>
      </c>
      <c r="BK263" t="s">
        <v>733</v>
      </c>
      <c r="BL263" s="11"/>
      <c r="BM263" s="11"/>
      <c r="BN263" s="11">
        <v>86</v>
      </c>
      <c r="BO263">
        <v>0</v>
      </c>
      <c r="BP263" t="s">
        <v>691</v>
      </c>
      <c r="BQ263" t="s">
        <v>693</v>
      </c>
      <c r="BR263" t="s">
        <v>700</v>
      </c>
      <c r="BS263" t="s">
        <v>704</v>
      </c>
      <c r="BT263" t="s">
        <v>705</v>
      </c>
      <c r="BU263" t="s">
        <v>706</v>
      </c>
      <c r="CT263"/>
      <c r="CU263"/>
      <c r="CV263"/>
    </row>
    <row r="264" spans="1:100" x14ac:dyDescent="0.4">
      <c r="A264" s="2" t="s">
        <v>287</v>
      </c>
      <c r="B264" t="str">
        <f>_xlfn.TEXTAFTER(Table1[[#This Row],[VEHIDCODE]],"_")</f>
        <v>Italy_ACT_D_200</v>
      </c>
      <c r="C264" t="s">
        <v>739</v>
      </c>
      <c r="D264" t="s">
        <v>958</v>
      </c>
      <c r="E264">
        <v>5096</v>
      </c>
      <c r="F264" t="b">
        <f>OR(ISNUMBER(SEARCH("wagon_",Table1[[#This Row],[FILENAMES_EXPECTED]])),ISNUMBER(SEARCH("coach_",Table1[[#This Row],[FILENAMES_EXPECTED]])))</f>
        <v>0</v>
      </c>
      <c r="G264" t="str">
        <f>"item_"&amp;Table1[[#This Row],[VEHIDCODE]]</f>
        <v>item_diesel_Italy_ACT_D_200</v>
      </c>
      <c r="H264" t="str">
        <f>"str_"&amp;Table1[[#This Row],[VEHIDCODE]]</f>
        <v>str_diesel_Italy_ACT_D_200</v>
      </c>
      <c r="Q264" s="2" t="b">
        <v>1</v>
      </c>
      <c r="AL264" s="2"/>
      <c r="AM264" s="2" t="b">
        <f>LEN(_xlfn.CONCAT(Table1[[#This Row],[TRACK_TYPE_STANDARD_GAUGE_RAILTYPE_OHLE]:[TRACK_TYPE_MTRO]]))&gt;0</f>
        <v>1</v>
      </c>
      <c r="AN264">
        <v>7</v>
      </c>
      <c r="AO264" t="s">
        <v>20</v>
      </c>
      <c r="AP264">
        <v>0</v>
      </c>
      <c r="AQ264" t="s">
        <v>35</v>
      </c>
      <c r="AR264">
        <v>0</v>
      </c>
      <c r="AS264">
        <v>2003</v>
      </c>
      <c r="AT264">
        <v>7</v>
      </c>
      <c r="AU264" s="2" t="s">
        <v>20</v>
      </c>
      <c r="AV264" t="b">
        <v>1</v>
      </c>
      <c r="AX264" s="2"/>
      <c r="AY264" t="s">
        <v>21</v>
      </c>
      <c r="AZ264">
        <v>1</v>
      </c>
      <c r="BA264">
        <v>3000</v>
      </c>
      <c r="BB264" t="s">
        <v>710</v>
      </c>
      <c r="BC264">
        <v>120</v>
      </c>
      <c r="BD264" s="2">
        <v>0.32</v>
      </c>
      <c r="BE264" t="s">
        <v>923</v>
      </c>
      <c r="BF264" t="s">
        <v>921</v>
      </c>
      <c r="BG264" t="s">
        <v>939</v>
      </c>
      <c r="BH264" s="7">
        <v>40</v>
      </c>
      <c r="BI26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64">
        <v>0</v>
      </c>
      <c r="BK264" t="s">
        <v>733</v>
      </c>
      <c r="BL264" s="11"/>
      <c r="BM264" s="11"/>
      <c r="BN264" s="11">
        <v>89</v>
      </c>
      <c r="BO264">
        <v>0</v>
      </c>
      <c r="BP264" t="s">
        <v>691</v>
      </c>
      <c r="BQ264" t="s">
        <v>693</v>
      </c>
      <c r="BR264" t="s">
        <v>700</v>
      </c>
      <c r="BS264" t="s">
        <v>704</v>
      </c>
      <c r="BT264" t="s">
        <v>705</v>
      </c>
      <c r="BU264" t="s">
        <v>706</v>
      </c>
      <c r="CT264"/>
      <c r="CU264"/>
      <c r="CV264"/>
    </row>
    <row r="265" spans="1:100" x14ac:dyDescent="0.4">
      <c r="A265" s="2" t="s">
        <v>288</v>
      </c>
      <c r="B265" t="str">
        <f>_xlfn.TEXTAFTER(Table1[[#This Row],[VEHIDCODE]],"_")</f>
        <v>Canada_GO_Transit_MP40PH_3C</v>
      </c>
      <c r="C265" t="s">
        <v>739</v>
      </c>
      <c r="D265" t="s">
        <v>958</v>
      </c>
      <c r="E265">
        <v>5097</v>
      </c>
      <c r="F265" t="b">
        <f>OR(ISNUMBER(SEARCH("wagon_",Table1[[#This Row],[FILENAMES_EXPECTED]])),ISNUMBER(SEARCH("coach_",Table1[[#This Row],[FILENAMES_EXPECTED]])))</f>
        <v>0</v>
      </c>
      <c r="G265" t="str">
        <f>"item_"&amp;Table1[[#This Row],[VEHIDCODE]]</f>
        <v>item_diesel_Canada_GO_Transit_MP40PH_3C</v>
      </c>
      <c r="H265" t="str">
        <f>"str_"&amp;Table1[[#This Row],[VEHIDCODE]]</f>
        <v>str_diesel_Canada_GO_Transit_MP40PH_3C</v>
      </c>
      <c r="Q265" s="2" t="b">
        <v>1</v>
      </c>
      <c r="AL265" s="2"/>
      <c r="AM265" s="2" t="b">
        <f>LEN(_xlfn.CONCAT(Table1[[#This Row],[TRACK_TYPE_STANDARD_GAUGE_RAILTYPE_OHLE]:[TRACK_TYPE_MTRO]]))&gt;0</f>
        <v>1</v>
      </c>
      <c r="AN265">
        <v>8</v>
      </c>
      <c r="AO265" t="s">
        <v>20</v>
      </c>
      <c r="AP265">
        <v>0</v>
      </c>
      <c r="AQ265" t="s">
        <v>35</v>
      </c>
      <c r="AR265">
        <v>0</v>
      </c>
      <c r="AS265">
        <v>2003</v>
      </c>
      <c r="AT265">
        <v>8</v>
      </c>
      <c r="AU265" s="2" t="s">
        <v>20</v>
      </c>
      <c r="AV265" t="b">
        <v>1</v>
      </c>
      <c r="AX265" s="2"/>
      <c r="AY265" t="s">
        <v>21</v>
      </c>
      <c r="AZ265">
        <v>1</v>
      </c>
      <c r="BA265">
        <v>4000</v>
      </c>
      <c r="BB265" t="s">
        <v>710</v>
      </c>
      <c r="BC265">
        <v>174</v>
      </c>
      <c r="BD265" s="2">
        <v>0.3</v>
      </c>
      <c r="BE265" t="s">
        <v>927</v>
      </c>
      <c r="BF265" t="s">
        <v>921</v>
      </c>
      <c r="BG265" t="s">
        <v>939</v>
      </c>
      <c r="BH265" s="7">
        <v>40</v>
      </c>
      <c r="BI26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65">
        <v>0</v>
      </c>
      <c r="BK265" t="s">
        <v>733</v>
      </c>
      <c r="BL265" s="11"/>
      <c r="BM265" s="11"/>
      <c r="BN265" s="11">
        <v>130</v>
      </c>
      <c r="BO265">
        <v>0</v>
      </c>
      <c r="BP265" t="s">
        <v>691</v>
      </c>
      <c r="BQ265" t="s">
        <v>693</v>
      </c>
      <c r="BR265" t="s">
        <v>700</v>
      </c>
      <c r="BS265" t="s">
        <v>704</v>
      </c>
      <c r="BT265" t="s">
        <v>705</v>
      </c>
      <c r="BU265" t="s">
        <v>706</v>
      </c>
      <c r="CT265"/>
      <c r="CU265"/>
      <c r="CV265"/>
    </row>
    <row r="266" spans="1:100" x14ac:dyDescent="0.4">
      <c r="A266" s="2" t="s">
        <v>289</v>
      </c>
      <c r="B266" t="str">
        <f>_xlfn.TEXTAFTER(Table1[[#This Row],[VEHIDCODE]],"_")</f>
        <v>Spain_RENFE_Class_334</v>
      </c>
      <c r="C266" t="s">
        <v>739</v>
      </c>
      <c r="D266" t="s">
        <v>958</v>
      </c>
      <c r="E266">
        <v>5098</v>
      </c>
      <c r="F266" t="b">
        <f>OR(ISNUMBER(SEARCH("wagon_",Table1[[#This Row],[FILENAMES_EXPECTED]])),ISNUMBER(SEARCH("coach_",Table1[[#This Row],[FILENAMES_EXPECTED]])))</f>
        <v>0</v>
      </c>
      <c r="G266" t="str">
        <f>"item_"&amp;Table1[[#This Row],[VEHIDCODE]]</f>
        <v>item_diesel_Spain_RENFE_Class_334</v>
      </c>
      <c r="H266" t="str">
        <f>"str_"&amp;Table1[[#This Row],[VEHIDCODE]]</f>
        <v>str_diesel_Spain_RENFE_Class_334</v>
      </c>
      <c r="Q266" s="2" t="b">
        <v>1</v>
      </c>
      <c r="AL266" s="2"/>
      <c r="AM266" s="2" t="b">
        <f>LEN(_xlfn.CONCAT(Table1[[#This Row],[TRACK_TYPE_STANDARD_GAUGE_RAILTYPE_OHLE]:[TRACK_TYPE_MTRO]]))&gt;0</f>
        <v>1</v>
      </c>
      <c r="AN266">
        <v>8</v>
      </c>
      <c r="AO266" t="s">
        <v>20</v>
      </c>
      <c r="AP266">
        <v>0</v>
      </c>
      <c r="AQ266" t="s">
        <v>35</v>
      </c>
      <c r="AR266">
        <v>0</v>
      </c>
      <c r="AS266">
        <v>2006</v>
      </c>
      <c r="AT266">
        <v>8</v>
      </c>
      <c r="AU266" s="2" t="s">
        <v>20</v>
      </c>
      <c r="AV266" t="b">
        <v>1</v>
      </c>
      <c r="AX266" s="2"/>
      <c r="AY266" t="s">
        <v>21</v>
      </c>
      <c r="AZ266">
        <v>1</v>
      </c>
      <c r="BA266">
        <v>3300</v>
      </c>
      <c r="BB266" t="s">
        <v>710</v>
      </c>
      <c r="BC266">
        <v>200</v>
      </c>
      <c r="BD266" s="2">
        <v>0.2</v>
      </c>
      <c r="BE266" t="s">
        <v>923</v>
      </c>
      <c r="BF266" t="s">
        <v>921</v>
      </c>
      <c r="BG266" t="s">
        <v>939</v>
      </c>
      <c r="BH266" s="7">
        <v>40</v>
      </c>
      <c r="BI26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66">
        <v>0</v>
      </c>
      <c r="BK266" t="s">
        <v>733</v>
      </c>
      <c r="BL266" s="11"/>
      <c r="BM266" s="11"/>
      <c r="BN266" s="11">
        <v>90</v>
      </c>
      <c r="BO266">
        <v>0</v>
      </c>
      <c r="BP266" t="s">
        <v>691</v>
      </c>
      <c r="BQ266" t="s">
        <v>693</v>
      </c>
      <c r="BR266" t="s">
        <v>700</v>
      </c>
      <c r="BS266" t="s">
        <v>704</v>
      </c>
      <c r="BT266" t="s">
        <v>705</v>
      </c>
      <c r="BU266" t="s">
        <v>706</v>
      </c>
      <c r="CT266"/>
      <c r="CU266"/>
      <c r="CV266"/>
    </row>
    <row r="267" spans="1:100" x14ac:dyDescent="0.4">
      <c r="A267" s="2" t="s">
        <v>290</v>
      </c>
      <c r="B267" t="str">
        <f>_xlfn.TEXTAFTER(Table1[[#This Row],[VEHIDCODE]],"_")</f>
        <v>Indonesia_Indonesia_Railways_CC300</v>
      </c>
      <c r="C267" t="s">
        <v>739</v>
      </c>
      <c r="D267" t="s">
        <v>958</v>
      </c>
      <c r="E267">
        <v>5099</v>
      </c>
      <c r="F267" t="b">
        <f>OR(ISNUMBER(SEARCH("wagon_",Table1[[#This Row],[FILENAMES_EXPECTED]])),ISNUMBER(SEARCH("coach_",Table1[[#This Row],[FILENAMES_EXPECTED]])))</f>
        <v>0</v>
      </c>
      <c r="G267" t="str">
        <f>"item_"&amp;Table1[[#This Row],[VEHIDCODE]]</f>
        <v>item_diesel_Indonesia_Indonesia_Railways_CC300</v>
      </c>
      <c r="H267" t="str">
        <f>"str_"&amp;Table1[[#This Row],[VEHIDCODE]]</f>
        <v>str_diesel_Indonesia_Indonesia_Railways_CC300</v>
      </c>
      <c r="Q267" s="2" t="b">
        <v>1</v>
      </c>
      <c r="AL267" s="2"/>
      <c r="AM267" s="2" t="b">
        <f>LEN(_xlfn.CONCAT(Table1[[#This Row],[TRACK_TYPE_STANDARD_GAUGE_RAILTYPE_OHLE]:[TRACK_TYPE_MTRO]]))&gt;0</f>
        <v>1</v>
      </c>
      <c r="AN267">
        <v>8</v>
      </c>
      <c r="AO267" t="s">
        <v>20</v>
      </c>
      <c r="AP267">
        <v>0</v>
      </c>
      <c r="AQ267" t="s">
        <v>35</v>
      </c>
      <c r="AR267">
        <v>0</v>
      </c>
      <c r="AS267">
        <v>2011</v>
      </c>
      <c r="AT267">
        <v>8</v>
      </c>
      <c r="AU267" s="2" t="s">
        <v>20</v>
      </c>
      <c r="AV267" t="b">
        <v>1</v>
      </c>
      <c r="AX267" s="2"/>
      <c r="AY267" t="s">
        <v>21</v>
      </c>
      <c r="AZ267">
        <v>1</v>
      </c>
      <c r="BA267">
        <v>2500</v>
      </c>
      <c r="BB267" t="s">
        <v>710</v>
      </c>
      <c r="BC267">
        <v>120</v>
      </c>
      <c r="BD267" s="2">
        <v>0.3</v>
      </c>
      <c r="BE267" t="s">
        <v>924</v>
      </c>
      <c r="BF267" t="s">
        <v>921</v>
      </c>
      <c r="BG267" t="s">
        <v>939</v>
      </c>
      <c r="BH267" s="7">
        <v>40</v>
      </c>
      <c r="BI26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67">
        <v>0</v>
      </c>
      <c r="BK267" t="s">
        <v>733</v>
      </c>
      <c r="BL267" s="11"/>
      <c r="BM267" s="11"/>
      <c r="BN267" s="11">
        <v>90</v>
      </c>
      <c r="BO267">
        <v>0</v>
      </c>
      <c r="BP267" t="s">
        <v>691</v>
      </c>
      <c r="BQ267" t="s">
        <v>693</v>
      </c>
      <c r="BR267" t="s">
        <v>700</v>
      </c>
      <c r="BS267" t="s">
        <v>704</v>
      </c>
      <c r="BT267" t="s">
        <v>705</v>
      </c>
      <c r="BU267" t="s">
        <v>706</v>
      </c>
      <c r="CT267"/>
      <c r="CU267"/>
      <c r="CV267"/>
    </row>
    <row r="268" spans="1:100" x14ac:dyDescent="0.4">
      <c r="A268" s="2" t="s">
        <v>291</v>
      </c>
      <c r="B268" t="str">
        <f>_xlfn.TEXTAFTER(Table1[[#This Row],[VEHIDCODE]],"_")</f>
        <v>Argentina_Great_Southern_Railway_DH501</v>
      </c>
      <c r="C268" t="s">
        <v>739</v>
      </c>
      <c r="D268" t="s">
        <v>958</v>
      </c>
      <c r="E268">
        <v>5101</v>
      </c>
      <c r="F268" t="b">
        <f>OR(ISNUMBER(SEARCH("wagon_",Table1[[#This Row],[FILENAMES_EXPECTED]])),ISNUMBER(SEARCH("coach_",Table1[[#This Row],[FILENAMES_EXPECTED]])))</f>
        <v>0</v>
      </c>
      <c r="G268" t="str">
        <f>"item_"&amp;Table1[[#This Row],[VEHIDCODE]]</f>
        <v>item_diesel_Argentina_Great_Southern_Railway_DH501</v>
      </c>
      <c r="H268" t="str">
        <f>"str_"&amp;Table1[[#This Row],[VEHIDCODE]]</f>
        <v>str_diesel_Argentina_Great_Southern_Railway_DH501</v>
      </c>
      <c r="Q268" s="2" t="b">
        <v>1</v>
      </c>
      <c r="AL268" s="2"/>
      <c r="AM268" s="2" t="b">
        <f>LEN(_xlfn.CONCAT(Table1[[#This Row],[TRACK_TYPE_STANDARD_GAUGE_RAILTYPE_OHLE]:[TRACK_TYPE_MTRO]]))&gt;0</f>
        <v>1</v>
      </c>
      <c r="AN268">
        <v>6</v>
      </c>
      <c r="AO268" t="s">
        <v>20</v>
      </c>
      <c r="AP268">
        <v>0</v>
      </c>
      <c r="AQ268" t="s">
        <v>35</v>
      </c>
      <c r="AR268">
        <v>0</v>
      </c>
      <c r="AS268">
        <v>1930</v>
      </c>
      <c r="AT268">
        <v>6</v>
      </c>
      <c r="AU268" s="2" t="s">
        <v>20</v>
      </c>
      <c r="AV268" t="b">
        <v>1</v>
      </c>
      <c r="AX268" s="2"/>
      <c r="AY268">
        <v>45</v>
      </c>
      <c r="AZ268">
        <v>1</v>
      </c>
      <c r="BA268">
        <v>592</v>
      </c>
      <c r="BB268" t="s">
        <v>710</v>
      </c>
      <c r="BC268">
        <v>45</v>
      </c>
      <c r="BD268" s="2">
        <v>0.15</v>
      </c>
      <c r="BE268" t="s">
        <v>929</v>
      </c>
      <c r="BF268" t="s">
        <v>921</v>
      </c>
      <c r="BG268" t="s">
        <v>939</v>
      </c>
      <c r="BH268" s="7">
        <v>40</v>
      </c>
      <c r="BI26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68">
        <v>0</v>
      </c>
      <c r="BK268" t="s">
        <v>733</v>
      </c>
      <c r="BL268" s="11"/>
      <c r="BM268" s="11"/>
      <c r="BN268" s="11">
        <v>72</v>
      </c>
      <c r="BO268">
        <v>0</v>
      </c>
      <c r="BP268" t="s">
        <v>691</v>
      </c>
      <c r="BQ268" t="s">
        <v>693</v>
      </c>
      <c r="BR268" t="s">
        <v>700</v>
      </c>
      <c r="BS268" t="s">
        <v>704</v>
      </c>
      <c r="BT268" t="s">
        <v>705</v>
      </c>
      <c r="BU268" t="s">
        <v>706</v>
      </c>
      <c r="CT268"/>
      <c r="CU268"/>
      <c r="CV268"/>
    </row>
    <row r="269" spans="1:100" x14ac:dyDescent="0.4">
      <c r="A269" s="2" t="s">
        <v>292</v>
      </c>
      <c r="B269" t="str">
        <f>_xlfn.TEXTAFTER(Table1[[#This Row],[VEHIDCODE]],"_")</f>
        <v>Brazil_EE_VFFLB</v>
      </c>
      <c r="C269" t="s">
        <v>739</v>
      </c>
      <c r="D269" t="s">
        <v>958</v>
      </c>
      <c r="E269">
        <v>5102</v>
      </c>
      <c r="F269" t="b">
        <f>OR(ISNUMBER(SEARCH("wagon_",Table1[[#This Row],[FILENAMES_EXPECTED]])),ISNUMBER(SEARCH("coach_",Table1[[#This Row],[FILENAMES_EXPECTED]])))</f>
        <v>0</v>
      </c>
      <c r="G269" t="str">
        <f>"item_"&amp;Table1[[#This Row],[VEHIDCODE]]</f>
        <v>item_diesel_Brazil_EE_VFFLB</v>
      </c>
      <c r="H269" t="str">
        <f>"str_"&amp;Table1[[#This Row],[VEHIDCODE]]</f>
        <v>str_diesel_Brazil_EE_VFFLB</v>
      </c>
      <c r="Q269" s="2" t="b">
        <v>1</v>
      </c>
      <c r="AL269" s="2"/>
      <c r="AM269" s="2" t="b">
        <f>LEN(_xlfn.CONCAT(Table1[[#This Row],[TRACK_TYPE_STANDARD_GAUGE_RAILTYPE_OHLE]:[TRACK_TYPE_MTRO]]))&gt;0</f>
        <v>1</v>
      </c>
      <c r="AN269">
        <v>4</v>
      </c>
      <c r="AO269" t="s">
        <v>20</v>
      </c>
      <c r="AP269">
        <v>0</v>
      </c>
      <c r="AQ269" t="s">
        <v>35</v>
      </c>
      <c r="AR269">
        <v>0</v>
      </c>
      <c r="AS269">
        <v>1938</v>
      </c>
      <c r="AT269">
        <v>4</v>
      </c>
      <c r="AU269" s="2" t="s">
        <v>20</v>
      </c>
      <c r="AV269" t="b">
        <v>1</v>
      </c>
      <c r="AX269" s="2"/>
      <c r="AY269">
        <v>45</v>
      </c>
      <c r="AZ269">
        <v>1</v>
      </c>
      <c r="BA269">
        <v>450</v>
      </c>
      <c r="BB269" t="s">
        <v>710</v>
      </c>
      <c r="BC269">
        <v>76</v>
      </c>
      <c r="BD269" s="2">
        <v>0.22</v>
      </c>
      <c r="BE269" t="s">
        <v>929</v>
      </c>
      <c r="BF269" t="s">
        <v>921</v>
      </c>
      <c r="BG269" t="s">
        <v>939</v>
      </c>
      <c r="BH269" s="7">
        <v>40</v>
      </c>
      <c r="BI26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69">
        <v>0</v>
      </c>
      <c r="BK269" t="s">
        <v>733</v>
      </c>
      <c r="BL269" s="11"/>
      <c r="BM269" s="11"/>
      <c r="BN269" s="11">
        <v>39</v>
      </c>
      <c r="BO269">
        <v>0</v>
      </c>
      <c r="BP269" t="s">
        <v>691</v>
      </c>
      <c r="BQ269" t="s">
        <v>693</v>
      </c>
      <c r="BR269" t="s">
        <v>700</v>
      </c>
      <c r="BS269" t="s">
        <v>704</v>
      </c>
      <c r="BT269" t="s">
        <v>705</v>
      </c>
      <c r="BU269" t="s">
        <v>706</v>
      </c>
      <c r="CT269"/>
      <c r="CU269"/>
      <c r="CV269"/>
    </row>
    <row r="270" spans="1:100" x14ac:dyDescent="0.4">
      <c r="A270" s="2" t="s">
        <v>293</v>
      </c>
      <c r="B270" t="str">
        <f>_xlfn.TEXTAFTER(Table1[[#This Row],[VEHIDCODE]],"_")</f>
        <v>Chile_EFE_GE_U5B</v>
      </c>
      <c r="C270" t="s">
        <v>739</v>
      </c>
      <c r="D270" t="s">
        <v>958</v>
      </c>
      <c r="E270">
        <v>5106</v>
      </c>
      <c r="F270" t="b">
        <f>OR(ISNUMBER(SEARCH("wagon_",Table1[[#This Row],[FILENAMES_EXPECTED]])),ISNUMBER(SEARCH("coach_",Table1[[#This Row],[FILENAMES_EXPECTED]])))</f>
        <v>0</v>
      </c>
      <c r="G270" t="str">
        <f>"item_"&amp;Table1[[#This Row],[VEHIDCODE]]</f>
        <v>item_diesel_Chile_EFE_GE_U5B</v>
      </c>
      <c r="H270" t="str">
        <f>"str_"&amp;Table1[[#This Row],[VEHIDCODE]]</f>
        <v>str_diesel_Chile_EFE_GE_U5B</v>
      </c>
      <c r="AI270" s="2" t="b">
        <v>1</v>
      </c>
      <c r="AL270" s="2"/>
      <c r="AM270" s="2" t="b">
        <f>LEN(_xlfn.CONCAT(Table1[[#This Row],[TRACK_TYPE_STANDARD_GAUGE_RAILTYPE_OHLE]:[TRACK_TYPE_MTRO]]))&gt;0</f>
        <v>1</v>
      </c>
      <c r="AN270">
        <v>5</v>
      </c>
      <c r="AO270" t="s">
        <v>20</v>
      </c>
      <c r="AP270">
        <v>0</v>
      </c>
      <c r="AQ270" t="s">
        <v>35</v>
      </c>
      <c r="AR270">
        <v>0</v>
      </c>
      <c r="AS270">
        <v>1961</v>
      </c>
      <c r="AT270">
        <v>5</v>
      </c>
      <c r="AU270" s="2" t="s">
        <v>20</v>
      </c>
      <c r="AV270" t="b">
        <v>1</v>
      </c>
      <c r="AX270" s="2"/>
      <c r="AY270">
        <v>45</v>
      </c>
      <c r="AZ270">
        <v>1</v>
      </c>
      <c r="BA270">
        <v>600</v>
      </c>
      <c r="BB270" t="s">
        <v>710</v>
      </c>
      <c r="BC270">
        <v>64</v>
      </c>
      <c r="BD270" s="2">
        <v>0.18</v>
      </c>
      <c r="BE270" t="s">
        <v>929</v>
      </c>
      <c r="BF270" t="s">
        <v>921</v>
      </c>
      <c r="BG270" t="s">
        <v>939</v>
      </c>
      <c r="BH270" s="7">
        <v>40</v>
      </c>
      <c r="BI27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70">
        <v>0</v>
      </c>
      <c r="BK270" t="s">
        <v>733</v>
      </c>
      <c r="BL270" s="11"/>
      <c r="BM270" s="11"/>
      <c r="BN270" s="11">
        <v>50</v>
      </c>
      <c r="BO270">
        <v>0</v>
      </c>
      <c r="BP270" t="s">
        <v>691</v>
      </c>
      <c r="BQ270" t="s">
        <v>693</v>
      </c>
      <c r="BR270" t="s">
        <v>700</v>
      </c>
      <c r="BS270" t="s">
        <v>704</v>
      </c>
      <c r="BT270" t="s">
        <v>705</v>
      </c>
      <c r="BU270" t="s">
        <v>706</v>
      </c>
      <c r="CT270"/>
      <c r="CU270"/>
      <c r="CV270"/>
    </row>
    <row r="271" spans="1:100" x14ac:dyDescent="0.4">
      <c r="A271" s="2" t="s">
        <v>294</v>
      </c>
      <c r="B271" t="str">
        <f>_xlfn.TEXTAFTER(Table1[[#This Row],[VEHIDCODE]],"_")</f>
        <v>Peru_Ferrocarril_Central_Andino_Alco_RSD_39</v>
      </c>
      <c r="C271" t="s">
        <v>739</v>
      </c>
      <c r="D271" t="s">
        <v>958</v>
      </c>
      <c r="E271">
        <v>5108</v>
      </c>
      <c r="F271" t="b">
        <f>OR(ISNUMBER(SEARCH("wagon_",Table1[[#This Row],[FILENAMES_EXPECTED]])),ISNUMBER(SEARCH("coach_",Table1[[#This Row],[FILENAMES_EXPECTED]])))</f>
        <v>0</v>
      </c>
      <c r="G271" t="str">
        <f>"item_"&amp;Table1[[#This Row],[VEHIDCODE]]</f>
        <v>item_diesel_Peru_Ferrocarril_Central_Andino_Alco_RSD_39</v>
      </c>
      <c r="H271" t="str">
        <f>"str_"&amp;Table1[[#This Row],[VEHIDCODE]]</f>
        <v>str_diesel_Peru_Ferrocarril_Central_Andino_Alco_RSD_39</v>
      </c>
      <c r="Q271" s="2" t="b">
        <v>1</v>
      </c>
      <c r="AL271" s="2"/>
      <c r="AM271" s="2" t="b">
        <f>LEN(_xlfn.CONCAT(Table1[[#This Row],[TRACK_TYPE_STANDARD_GAUGE_RAILTYPE_OHLE]:[TRACK_TYPE_MTRO]]))&gt;0</f>
        <v>1</v>
      </c>
      <c r="AN271">
        <v>6</v>
      </c>
      <c r="AO271" t="s">
        <v>20</v>
      </c>
      <c r="AP271">
        <v>0</v>
      </c>
      <c r="AQ271" t="s">
        <v>35</v>
      </c>
      <c r="AR271">
        <v>0</v>
      </c>
      <c r="AS271">
        <v>1965</v>
      </c>
      <c r="AT271">
        <v>6</v>
      </c>
      <c r="AU271" s="2" t="s">
        <v>20</v>
      </c>
      <c r="AV271" t="b">
        <v>1</v>
      </c>
      <c r="AX271" s="2"/>
      <c r="AY271">
        <v>45</v>
      </c>
      <c r="AZ271">
        <v>1</v>
      </c>
      <c r="BA271">
        <v>1350</v>
      </c>
      <c r="BB271" t="s">
        <v>710</v>
      </c>
      <c r="BC271">
        <v>120</v>
      </c>
      <c r="BD271" s="2">
        <v>0.17</v>
      </c>
      <c r="BE271" t="s">
        <v>929</v>
      </c>
      <c r="BF271" t="s">
        <v>921</v>
      </c>
      <c r="BG271" t="s">
        <v>939</v>
      </c>
      <c r="BH271" s="7">
        <v>40</v>
      </c>
      <c r="BI27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71">
        <v>0</v>
      </c>
      <c r="BK271" t="s">
        <v>733</v>
      </c>
      <c r="BL271" s="11"/>
      <c r="BM271" s="11"/>
      <c r="BN271" s="11">
        <v>111</v>
      </c>
      <c r="BO271">
        <v>0</v>
      </c>
      <c r="BP271" t="s">
        <v>691</v>
      </c>
      <c r="BQ271" t="s">
        <v>693</v>
      </c>
      <c r="BR271" t="s">
        <v>700</v>
      </c>
      <c r="BS271" t="s">
        <v>704</v>
      </c>
      <c r="BT271" t="s">
        <v>705</v>
      </c>
      <c r="BU271" t="s">
        <v>706</v>
      </c>
      <c r="CT271"/>
      <c r="CU271"/>
      <c r="CV271"/>
    </row>
    <row r="272" spans="1:100" x14ac:dyDescent="0.4">
      <c r="A272" s="2" t="s">
        <v>295</v>
      </c>
      <c r="B272" t="str">
        <f>_xlfn.TEXTAFTER(Table1[[#This Row],[VEHIDCODE]],"_")</f>
        <v>Brazil_EFVM_EMD_DDM45</v>
      </c>
      <c r="C272" t="s">
        <v>739</v>
      </c>
      <c r="D272" t="s">
        <v>958</v>
      </c>
      <c r="E272">
        <v>5109</v>
      </c>
      <c r="F272" t="b">
        <f>OR(ISNUMBER(SEARCH("wagon_",Table1[[#This Row],[FILENAMES_EXPECTED]])),ISNUMBER(SEARCH("coach_",Table1[[#This Row],[FILENAMES_EXPECTED]])))</f>
        <v>0</v>
      </c>
      <c r="G272" t="str">
        <f>"item_"&amp;Table1[[#This Row],[VEHIDCODE]]</f>
        <v>item_diesel_Brazil_EFVM_EMD_DDM45</v>
      </c>
      <c r="H272" t="str">
        <f>"str_"&amp;Table1[[#This Row],[VEHIDCODE]]</f>
        <v>str_diesel_Brazil_EFVM_EMD_DDM45</v>
      </c>
      <c r="Q272" s="2" t="b">
        <v>1</v>
      </c>
      <c r="AL272" s="2"/>
      <c r="AM272" s="2" t="b">
        <f>LEN(_xlfn.CONCAT(Table1[[#This Row],[TRACK_TYPE_STANDARD_GAUGE_RAILTYPE_OHLE]:[TRACK_TYPE_MTRO]]))&gt;0</f>
        <v>1</v>
      </c>
      <c r="AN272">
        <v>8</v>
      </c>
      <c r="AO272" t="s">
        <v>20</v>
      </c>
      <c r="AP272">
        <v>0</v>
      </c>
      <c r="AQ272" t="s">
        <v>35</v>
      </c>
      <c r="AR272">
        <v>0</v>
      </c>
      <c r="AS272">
        <v>1970</v>
      </c>
      <c r="AT272">
        <v>8</v>
      </c>
      <c r="AU272" s="2" t="s">
        <v>20</v>
      </c>
      <c r="AV272" t="b">
        <v>1</v>
      </c>
      <c r="AX272" s="2"/>
      <c r="AY272">
        <v>45</v>
      </c>
      <c r="AZ272">
        <v>1</v>
      </c>
      <c r="BA272">
        <v>3600</v>
      </c>
      <c r="BB272" t="s">
        <v>710</v>
      </c>
      <c r="BC272">
        <v>85</v>
      </c>
      <c r="BD272" s="2">
        <v>0.24</v>
      </c>
      <c r="BE272" t="s">
        <v>929</v>
      </c>
      <c r="BF272" t="s">
        <v>921</v>
      </c>
      <c r="BG272" t="s">
        <v>939</v>
      </c>
      <c r="BH272" s="7">
        <v>40</v>
      </c>
      <c r="BI27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72">
        <v>0</v>
      </c>
      <c r="BK272" t="s">
        <v>733</v>
      </c>
      <c r="BL272" s="11"/>
      <c r="BM272" s="11"/>
      <c r="BN272" s="11">
        <v>162</v>
      </c>
      <c r="BO272">
        <v>0</v>
      </c>
      <c r="BP272" t="s">
        <v>691</v>
      </c>
      <c r="BQ272" t="s">
        <v>693</v>
      </c>
      <c r="BR272" t="s">
        <v>700</v>
      </c>
      <c r="BS272" t="s">
        <v>704</v>
      </c>
      <c r="BT272" t="s">
        <v>705</v>
      </c>
      <c r="BU272" t="s">
        <v>706</v>
      </c>
      <c r="CT272"/>
      <c r="CU272"/>
      <c r="CV272"/>
    </row>
    <row r="273" spans="1:100" x14ac:dyDescent="0.4">
      <c r="A273" s="2" t="s">
        <v>296</v>
      </c>
      <c r="B273" t="str">
        <f>_xlfn.TEXTAFTER(Table1[[#This Row],[VEHIDCODE]],"_")</f>
        <v>Peru_Ferrocarril_Central_Andino_GE_C39_8</v>
      </c>
      <c r="C273" t="s">
        <v>739</v>
      </c>
      <c r="D273" t="s">
        <v>958</v>
      </c>
      <c r="E273">
        <v>5113</v>
      </c>
      <c r="F273" t="b">
        <f>OR(ISNUMBER(SEARCH("wagon_",Table1[[#This Row],[FILENAMES_EXPECTED]])),ISNUMBER(SEARCH("coach_",Table1[[#This Row],[FILENAMES_EXPECTED]])))</f>
        <v>0</v>
      </c>
      <c r="G273" t="str">
        <f>"item_"&amp;Table1[[#This Row],[VEHIDCODE]]</f>
        <v>item_diesel_Peru_Ferrocarril_Central_Andino_GE_C39_8</v>
      </c>
      <c r="H273" t="str">
        <f>"str_"&amp;Table1[[#This Row],[VEHIDCODE]]</f>
        <v>str_diesel_Peru_Ferrocarril_Central_Andino_GE_C39_8</v>
      </c>
      <c r="Q273" s="2" t="b">
        <v>1</v>
      </c>
      <c r="AL273" s="2"/>
      <c r="AM273" s="2" t="b">
        <f>LEN(_xlfn.CONCAT(Table1[[#This Row],[TRACK_TYPE_STANDARD_GAUGE_RAILTYPE_OHLE]:[TRACK_TYPE_MTRO]]))&gt;0</f>
        <v>1</v>
      </c>
      <c r="AN273">
        <v>8</v>
      </c>
      <c r="AO273" t="s">
        <v>20</v>
      </c>
      <c r="AP273">
        <v>0</v>
      </c>
      <c r="AQ273" t="s">
        <v>35</v>
      </c>
      <c r="AR273">
        <v>0</v>
      </c>
      <c r="AS273">
        <v>1984</v>
      </c>
      <c r="AT273">
        <v>8</v>
      </c>
      <c r="AU273" s="2" t="s">
        <v>20</v>
      </c>
      <c r="AV273" t="b">
        <v>1</v>
      </c>
      <c r="AX273" s="2"/>
      <c r="AY273">
        <v>45</v>
      </c>
      <c r="AZ273">
        <v>1</v>
      </c>
      <c r="BA273">
        <v>3900</v>
      </c>
      <c r="BB273" t="s">
        <v>710</v>
      </c>
      <c r="BC273">
        <v>110</v>
      </c>
      <c r="BD273" s="2">
        <v>0.28999999999999998</v>
      </c>
      <c r="BE273" t="s">
        <v>929</v>
      </c>
      <c r="BF273" t="s">
        <v>921</v>
      </c>
      <c r="BG273" t="s">
        <v>939</v>
      </c>
      <c r="BH273" s="7">
        <v>40</v>
      </c>
      <c r="BI27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73">
        <v>0</v>
      </c>
      <c r="BK273" t="s">
        <v>733</v>
      </c>
      <c r="BL273" s="11"/>
      <c r="BM273" s="11"/>
      <c r="BN273" s="11">
        <v>166</v>
      </c>
      <c r="BO273">
        <v>0</v>
      </c>
      <c r="BP273" t="s">
        <v>691</v>
      </c>
      <c r="BQ273" t="s">
        <v>693</v>
      </c>
      <c r="BR273" t="s">
        <v>700</v>
      </c>
      <c r="BS273" t="s">
        <v>704</v>
      </c>
      <c r="BT273" t="s">
        <v>705</v>
      </c>
      <c r="BU273" t="s">
        <v>706</v>
      </c>
      <c r="CT273"/>
      <c r="CU273"/>
      <c r="CV273"/>
    </row>
    <row r="274" spans="1:100" x14ac:dyDescent="0.4">
      <c r="A274" s="2" t="s">
        <v>297</v>
      </c>
      <c r="B274" t="str">
        <f>_xlfn.TEXTAFTER(Table1[[#This Row],[VEHIDCODE]],"_")</f>
        <v>Argentina_SOFSE_3193</v>
      </c>
      <c r="C274" t="s">
        <v>739</v>
      </c>
      <c r="D274" t="s">
        <v>958</v>
      </c>
      <c r="E274">
        <v>5118</v>
      </c>
      <c r="F274" t="b">
        <f>OR(ISNUMBER(SEARCH("wagon_",Table1[[#This Row],[FILENAMES_EXPECTED]])),ISNUMBER(SEARCH("coach_",Table1[[#This Row],[FILENAMES_EXPECTED]])))</f>
        <v>0</v>
      </c>
      <c r="G274" t="str">
        <f>"item_"&amp;Table1[[#This Row],[VEHIDCODE]]</f>
        <v>item_diesel_Argentina_SOFSE_3193</v>
      </c>
      <c r="H274" t="str">
        <f>"str_"&amp;Table1[[#This Row],[VEHIDCODE]]</f>
        <v>str_diesel_Argentina_SOFSE_3193</v>
      </c>
      <c r="Q274" s="2" t="b">
        <v>1</v>
      </c>
      <c r="AL274" s="2"/>
      <c r="AM274" s="2" t="b">
        <f>LEN(_xlfn.CONCAT(Table1[[#This Row],[TRACK_TYPE_STANDARD_GAUGE_RAILTYPE_OHLE]:[TRACK_TYPE_MTRO]]))&gt;0</f>
        <v>1</v>
      </c>
      <c r="AN274">
        <v>7</v>
      </c>
      <c r="AO274" t="s">
        <v>20</v>
      </c>
      <c r="AP274">
        <v>0</v>
      </c>
      <c r="AQ274" t="s">
        <v>35</v>
      </c>
      <c r="AR274">
        <v>0</v>
      </c>
      <c r="AS274">
        <v>1991</v>
      </c>
      <c r="AT274">
        <v>7</v>
      </c>
      <c r="AU274" s="2" t="s">
        <v>20</v>
      </c>
      <c r="AV274" t="b">
        <v>1</v>
      </c>
      <c r="AX274" s="2"/>
      <c r="AY274">
        <v>45</v>
      </c>
      <c r="AZ274">
        <v>1</v>
      </c>
      <c r="BA274">
        <v>1876</v>
      </c>
      <c r="BB274" t="s">
        <v>710</v>
      </c>
      <c r="BC274">
        <v>140</v>
      </c>
      <c r="BD274" s="2">
        <v>0.18</v>
      </c>
      <c r="BE274" t="s">
        <v>929</v>
      </c>
      <c r="BF274" t="s">
        <v>921</v>
      </c>
      <c r="BG274" t="s">
        <v>939</v>
      </c>
      <c r="BH274" s="7">
        <v>40</v>
      </c>
      <c r="BI27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74">
        <v>0</v>
      </c>
      <c r="BK274" t="s">
        <v>733</v>
      </c>
      <c r="BL274" s="11"/>
      <c r="BM274" s="11"/>
      <c r="BN274" s="11">
        <v>117</v>
      </c>
      <c r="BO274">
        <v>0</v>
      </c>
      <c r="BP274" t="s">
        <v>691</v>
      </c>
      <c r="BQ274" t="s">
        <v>693</v>
      </c>
      <c r="BR274" t="s">
        <v>700</v>
      </c>
      <c r="BS274" t="s">
        <v>704</v>
      </c>
      <c r="BT274" t="s">
        <v>705</v>
      </c>
      <c r="BU274" t="s">
        <v>706</v>
      </c>
      <c r="CT274"/>
      <c r="CU274"/>
      <c r="CV274"/>
    </row>
    <row r="275" spans="1:100" x14ac:dyDescent="0.4">
      <c r="A275" s="2" t="s">
        <v>298</v>
      </c>
      <c r="B275" t="str">
        <f>_xlfn.TEXTAFTER(Table1[[#This Row],[VEHIDCODE]],"_")</f>
        <v>Argentina_SOFSE_CNR_CKD8</v>
      </c>
      <c r="C275" t="s">
        <v>739</v>
      </c>
      <c r="D275" t="s">
        <v>958</v>
      </c>
      <c r="E275">
        <v>5120</v>
      </c>
      <c r="F275" t="b">
        <f>OR(ISNUMBER(SEARCH("wagon_",Table1[[#This Row],[FILENAMES_EXPECTED]])),ISNUMBER(SEARCH("coach_",Table1[[#This Row],[FILENAMES_EXPECTED]])))</f>
        <v>0</v>
      </c>
      <c r="G275" t="str">
        <f>"item_"&amp;Table1[[#This Row],[VEHIDCODE]]</f>
        <v>item_diesel_Argentina_SOFSE_CNR_CKD8</v>
      </c>
      <c r="H275" t="str">
        <f>"str_"&amp;Table1[[#This Row],[VEHIDCODE]]</f>
        <v>str_diesel_Argentina_SOFSE_CNR_CKD8</v>
      </c>
      <c r="Q275" s="2" t="b">
        <v>1</v>
      </c>
      <c r="AL275" s="2"/>
      <c r="AM275" s="2" t="b">
        <f>LEN(_xlfn.CONCAT(Table1[[#This Row],[TRACK_TYPE_STANDARD_GAUGE_RAILTYPE_OHLE]:[TRACK_TYPE_MTRO]]))&gt;0</f>
        <v>1</v>
      </c>
      <c r="AN275">
        <v>8</v>
      </c>
      <c r="AO275" t="s">
        <v>20</v>
      </c>
      <c r="AP275">
        <v>0</v>
      </c>
      <c r="AQ275" t="s">
        <v>35</v>
      </c>
      <c r="AR275">
        <v>0</v>
      </c>
      <c r="AS275">
        <v>2013</v>
      </c>
      <c r="AT275">
        <v>8</v>
      </c>
      <c r="AU275" s="2" t="s">
        <v>20</v>
      </c>
      <c r="AV275" t="b">
        <v>1</v>
      </c>
      <c r="AX275" s="2"/>
      <c r="AY275" t="s">
        <v>21</v>
      </c>
      <c r="AZ275">
        <v>1</v>
      </c>
      <c r="BA275">
        <v>2950</v>
      </c>
      <c r="BB275" t="s">
        <v>710</v>
      </c>
      <c r="BC275">
        <v>160</v>
      </c>
      <c r="BD275" s="2">
        <v>0.32</v>
      </c>
      <c r="BE275" t="s">
        <v>929</v>
      </c>
      <c r="BF275" t="s">
        <v>921</v>
      </c>
      <c r="BG275" t="s">
        <v>939</v>
      </c>
      <c r="BH275" s="7">
        <v>40</v>
      </c>
      <c r="BI27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75">
        <v>0</v>
      </c>
      <c r="BK275" t="s">
        <v>733</v>
      </c>
      <c r="BL275" s="11"/>
      <c r="BM275" s="11"/>
      <c r="BN275" s="11">
        <v>120</v>
      </c>
      <c r="BO275">
        <v>0</v>
      </c>
      <c r="BP275" t="s">
        <v>691</v>
      </c>
      <c r="BQ275" t="s">
        <v>693</v>
      </c>
      <c r="BR275" t="s">
        <v>700</v>
      </c>
      <c r="BS275" t="s">
        <v>704</v>
      </c>
      <c r="BT275" t="s">
        <v>705</v>
      </c>
      <c r="BU275" t="s">
        <v>706</v>
      </c>
      <c r="CT275"/>
      <c r="CU275"/>
      <c r="CV275"/>
    </row>
    <row r="276" spans="1:100" x14ac:dyDescent="0.4">
      <c r="A276" s="2" t="s">
        <v>299</v>
      </c>
      <c r="B276" t="str">
        <f>_xlfn.TEXTAFTER(Table1[[#This Row],[VEHIDCODE]],"_")</f>
        <v>South_Africa_SAR_DS</v>
      </c>
      <c r="C276" t="s">
        <v>739</v>
      </c>
      <c r="D276" t="s">
        <v>958</v>
      </c>
      <c r="E276">
        <v>5103</v>
      </c>
      <c r="F276" t="b">
        <f>OR(ISNUMBER(SEARCH("wagon_",Table1[[#This Row],[FILENAMES_EXPECTED]])),ISNUMBER(SEARCH("coach_",Table1[[#This Row],[FILENAMES_EXPECTED]])))</f>
        <v>0</v>
      </c>
      <c r="G276" t="str">
        <f>"item_"&amp;Table1[[#This Row],[VEHIDCODE]]</f>
        <v>item_diesel_South_Africa_SAR_DS</v>
      </c>
      <c r="H276" t="str">
        <f>"str_"&amp;Table1[[#This Row],[VEHIDCODE]]</f>
        <v>str_diesel_South_Africa_SAR_DS</v>
      </c>
      <c r="Z276" s="2" t="b">
        <v>1</v>
      </c>
      <c r="AL276" s="2"/>
      <c r="AM276" s="2" t="b">
        <f>LEN(_xlfn.CONCAT(Table1[[#This Row],[TRACK_TYPE_STANDARD_GAUGE_RAILTYPE_OHLE]:[TRACK_TYPE_MTRO]]))&gt;0</f>
        <v>1</v>
      </c>
      <c r="AN276">
        <v>5</v>
      </c>
      <c r="AO276" t="s">
        <v>20</v>
      </c>
      <c r="AP276">
        <v>0</v>
      </c>
      <c r="AQ276" t="s">
        <v>35</v>
      </c>
      <c r="AR276">
        <v>0</v>
      </c>
      <c r="AS276">
        <v>1939</v>
      </c>
      <c r="AT276">
        <v>5</v>
      </c>
      <c r="AU276" s="2" t="s">
        <v>20</v>
      </c>
      <c r="AV276" t="b">
        <v>1</v>
      </c>
      <c r="AX276" s="2"/>
      <c r="AY276">
        <v>45</v>
      </c>
      <c r="AZ276">
        <v>1</v>
      </c>
      <c r="BA276">
        <v>410</v>
      </c>
      <c r="BB276" t="s">
        <v>710</v>
      </c>
      <c r="BC276">
        <v>60</v>
      </c>
      <c r="BD276" s="2">
        <v>0.23</v>
      </c>
      <c r="BE276" t="s">
        <v>925</v>
      </c>
      <c r="BF276" t="s">
        <v>921</v>
      </c>
      <c r="BG276" t="s">
        <v>939</v>
      </c>
      <c r="BH276" s="7">
        <v>40</v>
      </c>
      <c r="BI27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76">
        <v>0</v>
      </c>
      <c r="BK276" t="s">
        <v>733</v>
      </c>
      <c r="BL276" s="11"/>
      <c r="BM276" s="11"/>
      <c r="BN276" s="11">
        <v>68</v>
      </c>
      <c r="BO276">
        <v>0</v>
      </c>
      <c r="BP276" t="s">
        <v>691</v>
      </c>
      <c r="BQ276" t="s">
        <v>693</v>
      </c>
      <c r="BR276" t="s">
        <v>700</v>
      </c>
      <c r="BS276" t="s">
        <v>704</v>
      </c>
      <c r="BT276" t="s">
        <v>705</v>
      </c>
      <c r="BU276" t="s">
        <v>706</v>
      </c>
      <c r="CT276"/>
      <c r="CU276"/>
      <c r="CV276"/>
    </row>
    <row r="277" spans="1:100" x14ac:dyDescent="0.4">
      <c r="A277" s="2" t="s">
        <v>300</v>
      </c>
      <c r="B277" t="str">
        <f>_xlfn.TEXTAFTER(Table1[[#This Row],[VEHIDCODE]],"_")</f>
        <v>Algeria_SNTF_040_DG</v>
      </c>
      <c r="C277" t="s">
        <v>739</v>
      </c>
      <c r="D277" t="s">
        <v>958</v>
      </c>
      <c r="E277">
        <v>5104</v>
      </c>
      <c r="F277" t="b">
        <f>OR(ISNUMBER(SEARCH("wagon_",Table1[[#This Row],[FILENAMES_EXPECTED]])),ISNUMBER(SEARCH("coach_",Table1[[#This Row],[FILENAMES_EXPECTED]])))</f>
        <v>0</v>
      </c>
      <c r="G277" t="str">
        <f>"item_"&amp;Table1[[#This Row],[VEHIDCODE]]</f>
        <v>item_diesel_Algeria_SNTF_040_DG</v>
      </c>
      <c r="H277" t="str">
        <f>"str_"&amp;Table1[[#This Row],[VEHIDCODE]]</f>
        <v>str_diesel_Algeria_SNTF_040_DG</v>
      </c>
      <c r="Q277" s="2" t="b">
        <v>1</v>
      </c>
      <c r="AL277" s="2"/>
      <c r="AM277" s="2" t="b">
        <f>LEN(_xlfn.CONCAT(Table1[[#This Row],[TRACK_TYPE_STANDARD_GAUGE_RAILTYPE_OHLE]:[TRACK_TYPE_MTRO]]))&gt;0</f>
        <v>1</v>
      </c>
      <c r="AN277">
        <v>6</v>
      </c>
      <c r="AO277" t="s">
        <v>20</v>
      </c>
      <c r="AP277">
        <v>0</v>
      </c>
      <c r="AQ277" t="s">
        <v>35</v>
      </c>
      <c r="AR277">
        <v>0</v>
      </c>
      <c r="AS277">
        <v>1950</v>
      </c>
      <c r="AT277">
        <v>6</v>
      </c>
      <c r="AU277" s="2" t="s">
        <v>20</v>
      </c>
      <c r="AV277" t="b">
        <v>1</v>
      </c>
      <c r="AX277" s="2"/>
      <c r="AY277">
        <v>45</v>
      </c>
      <c r="AZ277">
        <v>1</v>
      </c>
      <c r="BA277">
        <v>1600</v>
      </c>
      <c r="BB277" t="s">
        <v>710</v>
      </c>
      <c r="BC277">
        <v>105</v>
      </c>
      <c r="BD277" s="2">
        <v>0.16</v>
      </c>
      <c r="BE277" t="s">
        <v>925</v>
      </c>
      <c r="BF277" t="s">
        <v>921</v>
      </c>
      <c r="BG277" t="s">
        <v>939</v>
      </c>
      <c r="BH277" s="7">
        <v>40</v>
      </c>
      <c r="BI27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77">
        <v>0</v>
      </c>
      <c r="BK277" t="s">
        <v>733</v>
      </c>
      <c r="BL277" s="11"/>
      <c r="BM277" s="11"/>
      <c r="BN277" s="11">
        <v>115</v>
      </c>
      <c r="BO277">
        <v>0</v>
      </c>
      <c r="BP277" t="s">
        <v>691</v>
      </c>
      <c r="BQ277" t="s">
        <v>693</v>
      </c>
      <c r="BR277" t="s">
        <v>700</v>
      </c>
      <c r="BS277" t="s">
        <v>704</v>
      </c>
      <c r="BT277" t="s">
        <v>705</v>
      </c>
      <c r="BU277" t="s">
        <v>706</v>
      </c>
      <c r="CT277"/>
      <c r="CU277"/>
      <c r="CV277"/>
    </row>
    <row r="278" spans="1:100" x14ac:dyDescent="0.4">
      <c r="A278" s="2" t="s">
        <v>301</v>
      </c>
      <c r="B278" t="str">
        <f>_xlfn.TEXTAFTER(Table1[[#This Row],[VEHIDCODE]],"_")</f>
        <v>Tunisia_SNCFT_040_DF</v>
      </c>
      <c r="C278" t="s">
        <v>739</v>
      </c>
      <c r="D278" t="s">
        <v>958</v>
      </c>
      <c r="E278">
        <v>5105</v>
      </c>
      <c r="F278" t="b">
        <f>OR(ISNUMBER(SEARCH("wagon_",Table1[[#This Row],[FILENAMES_EXPECTED]])),ISNUMBER(SEARCH("coach_",Table1[[#This Row],[FILENAMES_EXPECTED]])))</f>
        <v>0</v>
      </c>
      <c r="G278" t="str">
        <f>"item_"&amp;Table1[[#This Row],[VEHIDCODE]]</f>
        <v>item_diesel_Tunisia_SNCFT_040_DF</v>
      </c>
      <c r="H278" t="str">
        <f>"str_"&amp;Table1[[#This Row],[VEHIDCODE]]</f>
        <v>str_diesel_Tunisia_SNCFT_040_DF</v>
      </c>
      <c r="Q278" s="2" t="b">
        <v>1</v>
      </c>
      <c r="AL278" s="2"/>
      <c r="AM278" s="2" t="b">
        <f>LEN(_xlfn.CONCAT(Table1[[#This Row],[TRACK_TYPE_STANDARD_GAUGE_RAILTYPE_OHLE]:[TRACK_TYPE_MTRO]]))&gt;0</f>
        <v>1</v>
      </c>
      <c r="AN278">
        <v>5</v>
      </c>
      <c r="AO278" t="s">
        <v>20</v>
      </c>
      <c r="AP278">
        <v>0</v>
      </c>
      <c r="AQ278" t="s">
        <v>35</v>
      </c>
      <c r="AR278">
        <v>0</v>
      </c>
      <c r="AS278">
        <v>1960</v>
      </c>
      <c r="AT278">
        <v>5</v>
      </c>
      <c r="AU278" s="2" t="s">
        <v>20</v>
      </c>
      <c r="AV278" t="b">
        <v>1</v>
      </c>
      <c r="AX278" s="2"/>
      <c r="AY278">
        <v>45</v>
      </c>
      <c r="AZ278">
        <v>1</v>
      </c>
      <c r="BA278">
        <v>875</v>
      </c>
      <c r="BB278" t="s">
        <v>710</v>
      </c>
      <c r="BC278">
        <v>100</v>
      </c>
      <c r="BD278" s="2">
        <v>0.25</v>
      </c>
      <c r="BE278" t="s">
        <v>925</v>
      </c>
      <c r="BF278" t="s">
        <v>921</v>
      </c>
      <c r="BG278" t="s">
        <v>939</v>
      </c>
      <c r="BH278" s="7">
        <v>40</v>
      </c>
      <c r="BI27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78">
        <v>0</v>
      </c>
      <c r="BK278" t="s">
        <v>733</v>
      </c>
      <c r="BL278" s="11"/>
      <c r="BM278" s="11"/>
      <c r="BN278" s="11">
        <v>62</v>
      </c>
      <c r="BO278">
        <v>0</v>
      </c>
      <c r="BP278" t="s">
        <v>691</v>
      </c>
      <c r="BQ278" t="s">
        <v>693</v>
      </c>
      <c r="BR278" t="s">
        <v>700</v>
      </c>
      <c r="BS278" t="s">
        <v>704</v>
      </c>
      <c r="BT278" t="s">
        <v>705</v>
      </c>
      <c r="BU278" t="s">
        <v>706</v>
      </c>
      <c r="CT278"/>
      <c r="CU278"/>
      <c r="CV278"/>
    </row>
    <row r="279" spans="1:100" x14ac:dyDescent="0.4">
      <c r="A279" s="2" t="s">
        <v>302</v>
      </c>
      <c r="B279" t="str">
        <f>_xlfn.TEXTAFTER(Table1[[#This Row],[VEHIDCODE]],"_")</f>
        <v>Egypt_ENR_TE114E</v>
      </c>
      <c r="C279" t="s">
        <v>739</v>
      </c>
      <c r="D279" t="s">
        <v>958</v>
      </c>
      <c r="E279">
        <v>5110</v>
      </c>
      <c r="F279" t="b">
        <f>OR(ISNUMBER(SEARCH("wagon_",Table1[[#This Row],[FILENAMES_EXPECTED]])),ISNUMBER(SEARCH("coach_",Table1[[#This Row],[FILENAMES_EXPECTED]])))</f>
        <v>0</v>
      </c>
      <c r="G279" t="str">
        <f>"item_"&amp;Table1[[#This Row],[VEHIDCODE]]</f>
        <v>item_diesel_Egypt_ENR_TE114E</v>
      </c>
      <c r="H279" t="str">
        <f>"str_"&amp;Table1[[#This Row],[VEHIDCODE]]</f>
        <v>str_diesel_Egypt_ENR_TE114E</v>
      </c>
      <c r="Q279" s="2" t="b">
        <v>1</v>
      </c>
      <c r="AL279" s="2"/>
      <c r="AM279" s="2" t="b">
        <f>LEN(_xlfn.CONCAT(Table1[[#This Row],[TRACK_TYPE_STANDARD_GAUGE_RAILTYPE_OHLE]:[TRACK_TYPE_MTRO]]))&gt;0</f>
        <v>1</v>
      </c>
      <c r="AN279">
        <v>7</v>
      </c>
      <c r="AO279" t="s">
        <v>20</v>
      </c>
      <c r="AP279">
        <v>0</v>
      </c>
      <c r="AQ279" t="s">
        <v>35</v>
      </c>
      <c r="AR279">
        <v>0</v>
      </c>
      <c r="AS279">
        <v>1974</v>
      </c>
      <c r="AT279">
        <v>7</v>
      </c>
      <c r="AU279" s="2" t="s">
        <v>20</v>
      </c>
      <c r="AV279" t="b">
        <v>1</v>
      </c>
      <c r="AX279" s="2"/>
      <c r="AY279">
        <v>45</v>
      </c>
      <c r="AZ279">
        <v>1</v>
      </c>
      <c r="BA279">
        <v>2600</v>
      </c>
      <c r="BB279" t="s">
        <v>710</v>
      </c>
      <c r="BC279">
        <v>120</v>
      </c>
      <c r="BD279" s="2">
        <v>0.17</v>
      </c>
      <c r="BE279" t="s">
        <v>925</v>
      </c>
      <c r="BF279" t="s">
        <v>921</v>
      </c>
      <c r="BG279" t="s">
        <v>939</v>
      </c>
      <c r="BH279" s="7">
        <v>40</v>
      </c>
      <c r="BI27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79">
        <v>0</v>
      </c>
      <c r="BK279" t="s">
        <v>733</v>
      </c>
      <c r="BL279" s="11"/>
      <c r="BM279" s="11"/>
      <c r="BN279" s="11">
        <v>120</v>
      </c>
      <c r="BO279">
        <v>0</v>
      </c>
      <c r="BP279" t="s">
        <v>691</v>
      </c>
      <c r="BQ279" t="s">
        <v>693</v>
      </c>
      <c r="BR279" t="s">
        <v>700</v>
      </c>
      <c r="BS279" t="s">
        <v>704</v>
      </c>
      <c r="BT279" t="s">
        <v>705</v>
      </c>
      <c r="BU279" t="s">
        <v>706</v>
      </c>
      <c r="CT279"/>
      <c r="CU279"/>
      <c r="CV279"/>
    </row>
    <row r="280" spans="1:100" x14ac:dyDescent="0.4">
      <c r="A280" s="2" t="s">
        <v>303</v>
      </c>
      <c r="B280" t="str">
        <f>_xlfn.TEXTAFTER(Table1[[#This Row],[VEHIDCODE]],"_")</f>
        <v>Tunisia_SNCFT_040_DJ</v>
      </c>
      <c r="C280" t="s">
        <v>739</v>
      </c>
      <c r="D280" t="s">
        <v>958</v>
      </c>
      <c r="E280">
        <v>5111</v>
      </c>
      <c r="F280" t="b">
        <f>OR(ISNUMBER(SEARCH("wagon_",Table1[[#This Row],[FILENAMES_EXPECTED]])),ISNUMBER(SEARCH("coach_",Table1[[#This Row],[FILENAMES_EXPECTED]])))</f>
        <v>0</v>
      </c>
      <c r="G280" t="str">
        <f>"item_"&amp;Table1[[#This Row],[VEHIDCODE]]</f>
        <v>item_diesel_Tunisia_SNCFT_040_DJ</v>
      </c>
      <c r="H280" t="str">
        <f>"str_"&amp;Table1[[#This Row],[VEHIDCODE]]</f>
        <v>str_diesel_Tunisia_SNCFT_040_DJ</v>
      </c>
      <c r="Q280" s="2" t="b">
        <v>1</v>
      </c>
      <c r="AL280" s="2"/>
      <c r="AM280" s="2" t="b">
        <f>LEN(_xlfn.CONCAT(Table1[[#This Row],[TRACK_TYPE_STANDARD_GAUGE_RAILTYPE_OHLE]:[TRACK_TYPE_MTRO]]))&gt;0</f>
        <v>1</v>
      </c>
      <c r="AN280">
        <v>5</v>
      </c>
      <c r="AO280" t="s">
        <v>20</v>
      </c>
      <c r="AP280">
        <v>0</v>
      </c>
      <c r="AQ280" t="s">
        <v>35</v>
      </c>
      <c r="AR280">
        <v>0</v>
      </c>
      <c r="AS280">
        <v>1977</v>
      </c>
      <c r="AT280">
        <v>5</v>
      </c>
      <c r="AU280" s="2" t="s">
        <v>20</v>
      </c>
      <c r="AV280" t="b">
        <v>1</v>
      </c>
      <c r="AX280" s="2"/>
      <c r="AY280">
        <v>45</v>
      </c>
      <c r="AZ280">
        <v>1</v>
      </c>
      <c r="BA280">
        <v>700</v>
      </c>
      <c r="BB280" t="s">
        <v>710</v>
      </c>
      <c r="BC280">
        <v>100</v>
      </c>
      <c r="BD280" s="2">
        <v>0.28000000000000003</v>
      </c>
      <c r="BE280" t="s">
        <v>925</v>
      </c>
      <c r="BF280" t="s">
        <v>921</v>
      </c>
      <c r="BG280" t="s">
        <v>939</v>
      </c>
      <c r="BH280" s="7">
        <v>40</v>
      </c>
      <c r="BI28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80">
        <v>0</v>
      </c>
      <c r="BK280" t="s">
        <v>733</v>
      </c>
      <c r="BL280" s="11"/>
      <c r="BM280" s="11"/>
      <c r="BN280" s="11">
        <v>53</v>
      </c>
      <c r="BO280">
        <v>0</v>
      </c>
      <c r="BP280" t="s">
        <v>691</v>
      </c>
      <c r="BQ280" t="s">
        <v>693</v>
      </c>
      <c r="BR280" t="s">
        <v>700</v>
      </c>
      <c r="BS280" t="s">
        <v>704</v>
      </c>
      <c r="BT280" t="s">
        <v>705</v>
      </c>
      <c r="BU280" t="s">
        <v>706</v>
      </c>
      <c r="CT280"/>
      <c r="CU280"/>
      <c r="CV280"/>
    </row>
    <row r="281" spans="1:100" x14ac:dyDescent="0.4">
      <c r="A281" s="2" t="s">
        <v>304</v>
      </c>
      <c r="B281" t="str">
        <f>_xlfn.TEXTAFTER(Table1[[#This Row],[VEHIDCODE]],"_")</f>
        <v>Morocco_ONCF_DF_100</v>
      </c>
      <c r="C281" t="s">
        <v>739</v>
      </c>
      <c r="D281" t="s">
        <v>958</v>
      </c>
      <c r="E281">
        <v>5116</v>
      </c>
      <c r="F281" t="b">
        <f>OR(ISNUMBER(SEARCH("wagon_",Table1[[#This Row],[FILENAMES_EXPECTED]])),ISNUMBER(SEARCH("coach_",Table1[[#This Row],[FILENAMES_EXPECTED]])))</f>
        <v>0</v>
      </c>
      <c r="G281" t="str">
        <f>"item_"&amp;Table1[[#This Row],[VEHIDCODE]]</f>
        <v>item_diesel_Morocco_ONCF_DF_100</v>
      </c>
      <c r="H281" t="str">
        <f>"str_"&amp;Table1[[#This Row],[VEHIDCODE]]</f>
        <v>str_diesel_Morocco_ONCF_DF_100</v>
      </c>
      <c r="Q281" s="2" t="b">
        <v>1</v>
      </c>
      <c r="AL281" s="2"/>
      <c r="AM281" s="2" t="b">
        <f>LEN(_xlfn.CONCAT(Table1[[#This Row],[TRACK_TYPE_STANDARD_GAUGE_RAILTYPE_OHLE]:[TRACK_TYPE_MTRO]]))&gt;0</f>
        <v>1</v>
      </c>
      <c r="AN281">
        <v>8</v>
      </c>
      <c r="AO281" t="s">
        <v>20</v>
      </c>
      <c r="AP281">
        <v>0</v>
      </c>
      <c r="AQ281" t="s">
        <v>35</v>
      </c>
      <c r="AR281">
        <v>0</v>
      </c>
      <c r="AS281">
        <v>1989</v>
      </c>
      <c r="AT281">
        <v>8</v>
      </c>
      <c r="AU281" s="2" t="s">
        <v>20</v>
      </c>
      <c r="AV281" t="b">
        <v>1</v>
      </c>
      <c r="AX281" s="2"/>
      <c r="AY281">
        <v>45</v>
      </c>
      <c r="AZ281">
        <v>1</v>
      </c>
      <c r="BA281">
        <v>3400</v>
      </c>
      <c r="BB281" t="s">
        <v>710</v>
      </c>
      <c r="BC281">
        <v>135</v>
      </c>
      <c r="BD281" s="2">
        <v>0.33</v>
      </c>
      <c r="BE281" t="s">
        <v>925</v>
      </c>
      <c r="BF281" t="s">
        <v>921</v>
      </c>
      <c r="BG281" t="s">
        <v>939</v>
      </c>
      <c r="BH281" s="7">
        <v>40</v>
      </c>
      <c r="BI28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81">
        <v>0</v>
      </c>
      <c r="BK281" t="s">
        <v>733</v>
      </c>
      <c r="BL281" s="11"/>
      <c r="BM281" s="11"/>
      <c r="BN281" s="11">
        <v>108</v>
      </c>
      <c r="BO281">
        <v>0</v>
      </c>
      <c r="BP281" t="s">
        <v>691</v>
      </c>
      <c r="BQ281" t="s">
        <v>693</v>
      </c>
      <c r="BR281" t="s">
        <v>700</v>
      </c>
      <c r="BS281" t="s">
        <v>704</v>
      </c>
      <c r="BT281" t="s">
        <v>705</v>
      </c>
      <c r="BU281" t="s">
        <v>706</v>
      </c>
      <c r="CT281"/>
      <c r="CU281"/>
      <c r="CV281"/>
    </row>
    <row r="282" spans="1:100" x14ac:dyDescent="0.4">
      <c r="A282" s="2" t="s">
        <v>305</v>
      </c>
      <c r="B282" t="str">
        <f>_xlfn.TEXTAFTER(Table1[[#This Row],[VEHIDCODE]],"_")</f>
        <v>Ukraine_UZ_TEP10L</v>
      </c>
      <c r="C282" t="s">
        <v>739</v>
      </c>
      <c r="D282" t="s">
        <v>958</v>
      </c>
      <c r="E282">
        <v>5107</v>
      </c>
      <c r="F282" t="b">
        <f>OR(ISNUMBER(SEARCH("wagon_",Table1[[#This Row],[FILENAMES_EXPECTED]])),ISNUMBER(SEARCH("coach_",Table1[[#This Row],[FILENAMES_EXPECTED]])))</f>
        <v>0</v>
      </c>
      <c r="G282" t="str">
        <f>"item_"&amp;Table1[[#This Row],[VEHIDCODE]]</f>
        <v>item_diesel_Ukraine_UZ_TEP10L</v>
      </c>
      <c r="H282" t="str">
        <f>"str_"&amp;Table1[[#This Row],[VEHIDCODE]]</f>
        <v>str_diesel_Ukraine_UZ_TEP10L</v>
      </c>
      <c r="AI282" s="2" t="b">
        <v>1</v>
      </c>
      <c r="AL282" s="2"/>
      <c r="AM282" s="2" t="b">
        <f>LEN(_xlfn.CONCAT(Table1[[#This Row],[TRACK_TYPE_STANDARD_GAUGE_RAILTYPE_OHLE]:[TRACK_TYPE_MTRO]]))&gt;0</f>
        <v>1</v>
      </c>
      <c r="AN282">
        <v>8</v>
      </c>
      <c r="AO282" t="s">
        <v>20</v>
      </c>
      <c r="AP282">
        <v>0</v>
      </c>
      <c r="AQ282" t="s">
        <v>35</v>
      </c>
      <c r="AR282">
        <v>0</v>
      </c>
      <c r="AS282">
        <v>1964</v>
      </c>
      <c r="AT282">
        <v>8</v>
      </c>
      <c r="AU282" s="2" t="s">
        <v>20</v>
      </c>
      <c r="AV282" t="b">
        <v>1</v>
      </c>
      <c r="AX282" s="2"/>
      <c r="AY282">
        <v>45</v>
      </c>
      <c r="AZ282">
        <v>1</v>
      </c>
      <c r="BA282">
        <v>2290</v>
      </c>
      <c r="BB282" t="s">
        <v>710</v>
      </c>
      <c r="BC282">
        <v>140</v>
      </c>
      <c r="BD282" s="2">
        <v>0.13</v>
      </c>
      <c r="BE282" t="s">
        <v>928</v>
      </c>
      <c r="BF282" t="s">
        <v>921</v>
      </c>
      <c r="BG282" t="s">
        <v>939</v>
      </c>
      <c r="BH282" s="7">
        <v>40</v>
      </c>
      <c r="BI28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82">
        <v>0</v>
      </c>
      <c r="BK282" t="s">
        <v>733</v>
      </c>
      <c r="BL282" s="11"/>
      <c r="BM282" s="11"/>
      <c r="BN282" s="11">
        <v>129</v>
      </c>
      <c r="BO282">
        <v>0</v>
      </c>
      <c r="BP282" t="s">
        <v>691</v>
      </c>
      <c r="BQ282" t="s">
        <v>693</v>
      </c>
      <c r="BR282" t="s">
        <v>700</v>
      </c>
      <c r="BS282" t="s">
        <v>704</v>
      </c>
      <c r="BT282" t="s">
        <v>705</v>
      </c>
      <c r="BU282" t="s">
        <v>706</v>
      </c>
      <c r="CT282"/>
      <c r="CU282"/>
      <c r="CV282"/>
    </row>
    <row r="283" spans="1:100" x14ac:dyDescent="0.4">
      <c r="A283" s="2" t="s">
        <v>306</v>
      </c>
      <c r="B283" t="str">
        <f>_xlfn.TEXTAFTER(Table1[[#This Row],[VEHIDCODE]],"_")</f>
        <v>Belarus_BCh_2TE10M</v>
      </c>
      <c r="C283" t="s">
        <v>739</v>
      </c>
      <c r="D283" t="s">
        <v>958</v>
      </c>
      <c r="E283">
        <v>5112</v>
      </c>
      <c r="F283" t="b">
        <f>OR(ISNUMBER(SEARCH("wagon_",Table1[[#This Row],[FILENAMES_EXPECTED]])),ISNUMBER(SEARCH("coach_",Table1[[#This Row],[FILENAMES_EXPECTED]])))</f>
        <v>0</v>
      </c>
      <c r="G283" t="str">
        <f>"item_"&amp;Table1[[#This Row],[VEHIDCODE]]</f>
        <v>item_diesel_Belarus_BCh_2TE10M</v>
      </c>
      <c r="H283" t="str">
        <f>"str_"&amp;Table1[[#This Row],[VEHIDCODE]]</f>
        <v>str_diesel_Belarus_BCh_2TE10M</v>
      </c>
      <c r="Q283" s="2" t="b">
        <v>1</v>
      </c>
      <c r="AL283" s="2"/>
      <c r="AM283" s="2" t="b">
        <f>LEN(_xlfn.CONCAT(Table1[[#This Row],[TRACK_TYPE_STANDARD_GAUGE_RAILTYPE_OHLE]:[TRACK_TYPE_MTRO]]))&gt;0</f>
        <v>1</v>
      </c>
      <c r="AN283">
        <v>16</v>
      </c>
      <c r="AO283" t="s">
        <v>20</v>
      </c>
      <c r="AP283">
        <v>0</v>
      </c>
      <c r="AQ283" t="s">
        <v>35</v>
      </c>
      <c r="AR283">
        <v>0</v>
      </c>
      <c r="AS283">
        <v>1981</v>
      </c>
      <c r="AT283">
        <v>8</v>
      </c>
      <c r="AU283" s="2" t="s">
        <v>20</v>
      </c>
      <c r="AV283" t="b">
        <v>1</v>
      </c>
      <c r="AX283" s="2"/>
      <c r="AY283">
        <v>45</v>
      </c>
      <c r="AZ283">
        <v>0</v>
      </c>
      <c r="BA283">
        <v>6160</v>
      </c>
      <c r="BB283" t="s">
        <v>710</v>
      </c>
      <c r="BC283">
        <v>100</v>
      </c>
      <c r="BD283" s="2">
        <v>0.18</v>
      </c>
      <c r="BE283" t="s">
        <v>928</v>
      </c>
      <c r="BF283" t="s">
        <v>921</v>
      </c>
      <c r="BG283" t="s">
        <v>939</v>
      </c>
      <c r="BH283" s="7">
        <v>40</v>
      </c>
      <c r="BI28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83">
        <v>0</v>
      </c>
      <c r="BK283" t="s">
        <v>733</v>
      </c>
      <c r="BL283" s="11"/>
      <c r="BM283" s="11"/>
      <c r="BN283" s="11">
        <v>276</v>
      </c>
      <c r="BO283">
        <v>0</v>
      </c>
      <c r="BP283" t="s">
        <v>691</v>
      </c>
      <c r="BQ283" t="s">
        <v>693</v>
      </c>
      <c r="BR283" t="s">
        <v>700</v>
      </c>
      <c r="BS283" t="s">
        <v>704</v>
      </c>
      <c r="BT283" t="s">
        <v>705</v>
      </c>
      <c r="BU283" t="s">
        <v>706</v>
      </c>
      <c r="CT283"/>
      <c r="CU283"/>
      <c r="CV283"/>
    </row>
    <row r="284" spans="1:100" x14ac:dyDescent="0.4">
      <c r="A284" s="2" t="s">
        <v>307</v>
      </c>
      <c r="B284" t="str">
        <f>_xlfn.TEXTAFTER(Table1[[#This Row],[VEHIDCODE]],"_")</f>
        <v>Poland_PKP_SP32</v>
      </c>
      <c r="C284" t="s">
        <v>739</v>
      </c>
      <c r="D284" t="s">
        <v>958</v>
      </c>
      <c r="E284">
        <v>5114</v>
      </c>
      <c r="F284" t="b">
        <f>OR(ISNUMBER(SEARCH("wagon_",Table1[[#This Row],[FILENAMES_EXPECTED]])),ISNUMBER(SEARCH("coach_",Table1[[#This Row],[FILENAMES_EXPECTED]])))</f>
        <v>0</v>
      </c>
      <c r="G284" t="str">
        <f>"item_"&amp;Table1[[#This Row],[VEHIDCODE]]</f>
        <v>item_diesel_Poland_PKP_SP32</v>
      </c>
      <c r="H284" t="str">
        <f>"str_"&amp;Table1[[#This Row],[VEHIDCODE]]</f>
        <v>str_diesel_Poland_PKP_SP32</v>
      </c>
      <c r="Q284" s="2" t="b">
        <v>1</v>
      </c>
      <c r="AL284" s="2"/>
      <c r="AM284" s="2" t="b">
        <f>LEN(_xlfn.CONCAT(Table1[[#This Row],[TRACK_TYPE_STANDARD_GAUGE_RAILTYPE_OHLE]:[TRACK_TYPE_MTRO]]))&gt;0</f>
        <v>1</v>
      </c>
      <c r="AN284">
        <v>6</v>
      </c>
      <c r="AO284" t="s">
        <v>20</v>
      </c>
      <c r="AP284">
        <v>0</v>
      </c>
      <c r="AQ284" t="s">
        <v>35</v>
      </c>
      <c r="AR284">
        <v>0</v>
      </c>
      <c r="AS284">
        <v>1985</v>
      </c>
      <c r="AT284">
        <v>6</v>
      </c>
      <c r="AU284" s="2" t="s">
        <v>20</v>
      </c>
      <c r="AV284" t="b">
        <v>1</v>
      </c>
      <c r="AX284" s="2"/>
      <c r="AY284">
        <v>45</v>
      </c>
      <c r="AZ284">
        <v>1</v>
      </c>
      <c r="BA284">
        <v>1340</v>
      </c>
      <c r="BB284" t="s">
        <v>710</v>
      </c>
      <c r="BC284">
        <v>100</v>
      </c>
      <c r="BD284" s="2">
        <v>0.25</v>
      </c>
      <c r="BE284" t="s">
        <v>928</v>
      </c>
      <c r="BF284" t="s">
        <v>921</v>
      </c>
      <c r="BG284" t="s">
        <v>939</v>
      </c>
      <c r="BH284" s="7">
        <v>40</v>
      </c>
      <c r="BI28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84">
        <v>0</v>
      </c>
      <c r="BK284" t="s">
        <v>733</v>
      </c>
      <c r="BL284" s="11"/>
      <c r="BM284" s="11"/>
      <c r="BN284" s="11">
        <v>74</v>
      </c>
      <c r="BO284">
        <v>0</v>
      </c>
      <c r="BP284" t="s">
        <v>691</v>
      </c>
      <c r="BQ284" t="s">
        <v>693</v>
      </c>
      <c r="BR284" t="s">
        <v>700</v>
      </c>
      <c r="BS284" t="s">
        <v>704</v>
      </c>
      <c r="BT284" t="s">
        <v>705</v>
      </c>
      <c r="BU284" t="s">
        <v>706</v>
      </c>
      <c r="CT284"/>
      <c r="CU284"/>
      <c r="CV284"/>
    </row>
    <row r="285" spans="1:100" x14ac:dyDescent="0.4">
      <c r="A285" s="2" t="s">
        <v>308</v>
      </c>
      <c r="B285" t="str">
        <f>_xlfn.TEXTAFTER(Table1[[#This Row],[VEHIDCODE]],"_")</f>
        <v>Ukraine_UZ_2TE126</v>
      </c>
      <c r="C285" t="s">
        <v>739</v>
      </c>
      <c r="D285" t="s">
        <v>958</v>
      </c>
      <c r="E285">
        <v>5115</v>
      </c>
      <c r="F285" t="b">
        <f>OR(ISNUMBER(SEARCH("wagon_",Table1[[#This Row],[FILENAMES_EXPECTED]])),ISNUMBER(SEARCH("coach_",Table1[[#This Row],[FILENAMES_EXPECTED]])))</f>
        <v>0</v>
      </c>
      <c r="G285" t="str">
        <f>"item_"&amp;Table1[[#This Row],[VEHIDCODE]]</f>
        <v>item_diesel_Ukraine_UZ_2TE126</v>
      </c>
      <c r="H285" t="str">
        <f>"str_"&amp;Table1[[#This Row],[VEHIDCODE]]</f>
        <v>str_diesel_Ukraine_UZ_2TE126</v>
      </c>
      <c r="AI285" s="2" t="b">
        <v>1</v>
      </c>
      <c r="AL285" s="2"/>
      <c r="AM285" s="2" t="b">
        <f>LEN(_xlfn.CONCAT(Table1[[#This Row],[TRACK_TYPE_STANDARD_GAUGE_RAILTYPE_OHLE]:[TRACK_TYPE_MTRO]]))&gt;0</f>
        <v>1</v>
      </c>
      <c r="AN285">
        <v>8</v>
      </c>
      <c r="AO285" t="s">
        <v>20</v>
      </c>
      <c r="AP285">
        <v>0</v>
      </c>
      <c r="AQ285" t="s">
        <v>35</v>
      </c>
      <c r="AR285">
        <v>0</v>
      </c>
      <c r="AS285">
        <v>1987</v>
      </c>
      <c r="AT285">
        <v>8</v>
      </c>
      <c r="AU285" s="2" t="s">
        <v>20</v>
      </c>
      <c r="AV285" t="b">
        <v>1</v>
      </c>
      <c r="AX285" s="2"/>
      <c r="AY285">
        <v>45</v>
      </c>
      <c r="AZ285">
        <v>0</v>
      </c>
      <c r="BA285">
        <v>12000</v>
      </c>
      <c r="BB285" t="s">
        <v>710</v>
      </c>
      <c r="BC285">
        <v>100</v>
      </c>
      <c r="BD285" s="2">
        <v>0.2</v>
      </c>
      <c r="BE285" t="s">
        <v>928</v>
      </c>
      <c r="BF285" t="s">
        <v>921</v>
      </c>
      <c r="BG285" t="s">
        <v>939</v>
      </c>
      <c r="BH285" s="7">
        <v>40</v>
      </c>
      <c r="BI28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85">
        <v>0</v>
      </c>
      <c r="BK285" t="s">
        <v>733</v>
      </c>
      <c r="BL285" s="11"/>
      <c r="BM285" s="11"/>
      <c r="BN285" s="11">
        <v>460</v>
      </c>
      <c r="BO285">
        <v>0</v>
      </c>
      <c r="BP285" t="s">
        <v>691</v>
      </c>
      <c r="BQ285" t="s">
        <v>693</v>
      </c>
      <c r="BR285" t="s">
        <v>700</v>
      </c>
      <c r="BS285" t="s">
        <v>704</v>
      </c>
      <c r="BT285" t="s">
        <v>705</v>
      </c>
      <c r="BU285" t="s">
        <v>706</v>
      </c>
      <c r="CT285"/>
      <c r="CU285"/>
      <c r="CV285"/>
    </row>
    <row r="286" spans="1:100" x14ac:dyDescent="0.4">
      <c r="A286" s="2" t="s">
        <v>309</v>
      </c>
      <c r="B286" t="str">
        <f>_xlfn.TEXTAFTER(Table1[[#This Row],[VEHIDCODE]],"_")</f>
        <v>Ukraine_UZ_2TE10Ut</v>
      </c>
      <c r="C286" t="s">
        <v>739</v>
      </c>
      <c r="D286" t="s">
        <v>958</v>
      </c>
      <c r="E286">
        <v>5117</v>
      </c>
      <c r="F286" t="b">
        <f>OR(ISNUMBER(SEARCH("wagon_",Table1[[#This Row],[FILENAMES_EXPECTED]])),ISNUMBER(SEARCH("coach_",Table1[[#This Row],[FILENAMES_EXPECTED]])))</f>
        <v>0</v>
      </c>
      <c r="G286" t="str">
        <f>"item_"&amp;Table1[[#This Row],[VEHIDCODE]]</f>
        <v>item_diesel_Ukraine_UZ_2TE10Ut</v>
      </c>
      <c r="H286" t="str">
        <f>"str_"&amp;Table1[[#This Row],[VEHIDCODE]]</f>
        <v>str_diesel_Ukraine_UZ_2TE10Ut</v>
      </c>
      <c r="AI286" s="2" t="b">
        <v>1</v>
      </c>
      <c r="AL286" s="2"/>
      <c r="AM286" s="2" t="b">
        <f>LEN(_xlfn.CONCAT(Table1[[#This Row],[TRACK_TYPE_STANDARD_GAUGE_RAILTYPE_OHLE]:[TRACK_TYPE_MTRO]]))&gt;0</f>
        <v>1</v>
      </c>
      <c r="AN286">
        <v>16</v>
      </c>
      <c r="AO286" t="s">
        <v>20</v>
      </c>
      <c r="AP286">
        <v>0</v>
      </c>
      <c r="AQ286" t="s">
        <v>35</v>
      </c>
      <c r="AR286">
        <v>0</v>
      </c>
      <c r="AS286">
        <v>1989</v>
      </c>
      <c r="AT286">
        <v>8</v>
      </c>
      <c r="AU286" s="2" t="s">
        <v>20</v>
      </c>
      <c r="AV286" t="b">
        <v>1</v>
      </c>
      <c r="AX286" s="2"/>
      <c r="AY286">
        <v>45</v>
      </c>
      <c r="AZ286">
        <v>0</v>
      </c>
      <c r="BA286">
        <v>4560</v>
      </c>
      <c r="BB286" t="s">
        <v>710</v>
      </c>
      <c r="BC286">
        <v>120</v>
      </c>
      <c r="BD286" s="2">
        <v>0.15</v>
      </c>
      <c r="BE286" t="s">
        <v>928</v>
      </c>
      <c r="BF286" t="s">
        <v>921</v>
      </c>
      <c r="BG286" t="s">
        <v>939</v>
      </c>
      <c r="BH286" s="7">
        <v>40</v>
      </c>
      <c r="BI28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86">
        <v>0</v>
      </c>
      <c r="BK286" t="s">
        <v>733</v>
      </c>
      <c r="BL286" s="11"/>
      <c r="BM286" s="11"/>
      <c r="BN286" s="11">
        <v>276</v>
      </c>
      <c r="BO286">
        <v>0</v>
      </c>
      <c r="BP286" t="s">
        <v>691</v>
      </c>
      <c r="BQ286" t="s">
        <v>693</v>
      </c>
      <c r="BR286" t="s">
        <v>700</v>
      </c>
      <c r="BS286" t="s">
        <v>704</v>
      </c>
      <c r="BT286" t="s">
        <v>705</v>
      </c>
      <c r="BU286" t="s">
        <v>706</v>
      </c>
      <c r="CT286"/>
      <c r="CU286"/>
      <c r="CV286"/>
    </row>
    <row r="287" spans="1:100" x14ac:dyDescent="0.4">
      <c r="A287" s="2" t="s">
        <v>310</v>
      </c>
      <c r="B287" t="str">
        <f>_xlfn.TEXTAFTER(Table1[[#This Row],[VEHIDCODE]],"_")</f>
        <v>Serbia_ZS_621</v>
      </c>
      <c r="C287" t="s">
        <v>739</v>
      </c>
      <c r="D287" t="s">
        <v>958</v>
      </c>
      <c r="E287">
        <v>5119</v>
      </c>
      <c r="F287" t="b">
        <f>OR(ISNUMBER(SEARCH("wagon_",Table1[[#This Row],[FILENAMES_EXPECTED]])),ISNUMBER(SEARCH("coach_",Table1[[#This Row],[FILENAMES_EXPECTED]])))</f>
        <v>0</v>
      </c>
      <c r="G287" t="str">
        <f>"item_"&amp;Table1[[#This Row],[VEHIDCODE]]</f>
        <v>item_diesel_Serbia_ZS_621</v>
      </c>
      <c r="H287" t="str">
        <f>"str_"&amp;Table1[[#This Row],[VEHIDCODE]]</f>
        <v>str_diesel_Serbia_ZS_621</v>
      </c>
      <c r="Q287" s="2" t="b">
        <v>1</v>
      </c>
      <c r="AL287" s="2"/>
      <c r="AM287" s="2" t="b">
        <f>LEN(_xlfn.CONCAT(Table1[[#This Row],[TRACK_TYPE_STANDARD_GAUGE_RAILTYPE_OHLE]:[TRACK_TYPE_MTRO]]))&gt;0</f>
        <v>1</v>
      </c>
      <c r="AN287">
        <v>4</v>
      </c>
      <c r="AO287" t="s">
        <v>20</v>
      </c>
      <c r="AP287">
        <v>0</v>
      </c>
      <c r="AQ287" t="s">
        <v>35</v>
      </c>
      <c r="AR287">
        <v>0</v>
      </c>
      <c r="AS287">
        <v>1992</v>
      </c>
      <c r="AT287">
        <v>4</v>
      </c>
      <c r="AU287" s="2" t="s">
        <v>20</v>
      </c>
      <c r="AV287" t="b">
        <v>1</v>
      </c>
      <c r="AX287" s="2"/>
      <c r="AY287">
        <v>45</v>
      </c>
      <c r="AZ287">
        <v>0</v>
      </c>
      <c r="BA287">
        <v>530</v>
      </c>
      <c r="BB287" t="s">
        <v>710</v>
      </c>
      <c r="BC287">
        <v>80</v>
      </c>
      <c r="BD287" s="2">
        <v>0.3</v>
      </c>
      <c r="BE287" t="s">
        <v>928</v>
      </c>
      <c r="BF287" t="s">
        <v>921</v>
      </c>
      <c r="BG287" t="s">
        <v>939</v>
      </c>
      <c r="BH287" s="7">
        <v>40</v>
      </c>
      <c r="BI28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87">
        <v>0</v>
      </c>
      <c r="BK287" t="s">
        <v>733</v>
      </c>
      <c r="BL287" s="11"/>
      <c r="BM287" s="11"/>
      <c r="BN287" s="11">
        <v>36</v>
      </c>
      <c r="BO287">
        <v>0</v>
      </c>
      <c r="BP287" t="s">
        <v>691</v>
      </c>
      <c r="BQ287" t="s">
        <v>693</v>
      </c>
      <c r="BR287" t="s">
        <v>700</v>
      </c>
      <c r="BS287" t="s">
        <v>704</v>
      </c>
      <c r="BT287" t="s">
        <v>705</v>
      </c>
      <c r="BU287" t="s">
        <v>706</v>
      </c>
      <c r="CT287"/>
      <c r="CU287"/>
      <c r="CV287"/>
    </row>
    <row r="288" spans="1:100" x14ac:dyDescent="0.4">
      <c r="A288" s="2" t="s">
        <v>311</v>
      </c>
      <c r="B288" t="str">
        <f>_xlfn.TEXTAFTER(Table1[[#This Row],[VEHIDCODE]],"_")</f>
        <v>Italy_FS_207</v>
      </c>
      <c r="C288" t="s">
        <v>739</v>
      </c>
      <c r="D288" t="s">
        <v>958</v>
      </c>
      <c r="E288">
        <v>5121</v>
      </c>
      <c r="F288" t="b">
        <f>OR(ISNUMBER(SEARCH("wagon_",Table1[[#This Row],[FILENAMES_EXPECTED]])),ISNUMBER(SEARCH("coach_",Table1[[#This Row],[FILENAMES_EXPECTED]])))</f>
        <v>0</v>
      </c>
      <c r="G288" t="str">
        <f>"item_"&amp;Table1[[#This Row],[VEHIDCODE]]</f>
        <v>item_diesel_Italy_FS_207</v>
      </c>
      <c r="H288" t="str">
        <f>"str_"&amp;Table1[[#This Row],[VEHIDCODE]]</f>
        <v>str_diesel_Italy_FS_207</v>
      </c>
      <c r="Q288" s="2" t="b">
        <v>1</v>
      </c>
      <c r="AL288" s="2"/>
      <c r="AM288" s="2" t="b">
        <f>LEN(_xlfn.CONCAT(Table1[[#This Row],[TRACK_TYPE_STANDARD_GAUGE_RAILTYPE_OHLE]:[TRACK_TYPE_MTRO]]))&gt;0</f>
        <v>1</v>
      </c>
      <c r="AN288">
        <v>2</v>
      </c>
      <c r="AO288" t="s">
        <v>20</v>
      </c>
      <c r="AP288">
        <v>0</v>
      </c>
      <c r="AQ288" t="s">
        <v>35</v>
      </c>
      <c r="AR288">
        <v>0</v>
      </c>
      <c r="AS288">
        <v>1931</v>
      </c>
      <c r="AT288">
        <v>2</v>
      </c>
      <c r="AU288" s="2" t="s">
        <v>20</v>
      </c>
      <c r="AV288" t="b">
        <v>1</v>
      </c>
      <c r="AX288" s="2"/>
      <c r="AY288">
        <v>45</v>
      </c>
      <c r="AZ288">
        <v>1</v>
      </c>
      <c r="BA288">
        <v>75</v>
      </c>
      <c r="BB288" t="s">
        <v>710</v>
      </c>
      <c r="BC288">
        <v>30</v>
      </c>
      <c r="BD288" s="2">
        <v>0.27</v>
      </c>
      <c r="BE288" t="s">
        <v>923</v>
      </c>
      <c r="BF288" t="s">
        <v>921</v>
      </c>
      <c r="BG288" t="s">
        <v>939</v>
      </c>
      <c r="BH288" s="7">
        <v>40</v>
      </c>
      <c r="BI28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88">
        <v>0</v>
      </c>
      <c r="BK288" t="s">
        <v>733</v>
      </c>
      <c r="BL288" s="11"/>
      <c r="BM288" s="11"/>
      <c r="BN288" s="11">
        <v>6</v>
      </c>
      <c r="BO288">
        <v>0</v>
      </c>
      <c r="BP288" t="s">
        <v>691</v>
      </c>
      <c r="BQ288" t="s">
        <v>693</v>
      </c>
      <c r="BR288" t="s">
        <v>700</v>
      </c>
      <c r="BS288" t="s">
        <v>704</v>
      </c>
      <c r="BT288" t="s">
        <v>705</v>
      </c>
      <c r="BU288" t="s">
        <v>706</v>
      </c>
      <c r="CT288"/>
      <c r="CU288"/>
      <c r="CV288"/>
    </row>
    <row r="289" spans="1:100" x14ac:dyDescent="0.4">
      <c r="A289" s="2" t="s">
        <v>312</v>
      </c>
      <c r="B289" t="str">
        <f>_xlfn.TEXTAFTER(Table1[[#This Row],[VEHIDCODE]],"_")</f>
        <v>Russia_RZD_Db</v>
      </c>
      <c r="C289" t="s">
        <v>739</v>
      </c>
      <c r="D289" t="s">
        <v>958</v>
      </c>
      <c r="E289">
        <v>5122</v>
      </c>
      <c r="F289" t="b">
        <f>OR(ISNUMBER(SEARCH("wagon_",Table1[[#This Row],[FILENAMES_EXPECTED]])),ISNUMBER(SEARCH("coach_",Table1[[#This Row],[FILENAMES_EXPECTED]])))</f>
        <v>0</v>
      </c>
      <c r="G289" t="str">
        <f>"item_"&amp;Table1[[#This Row],[VEHIDCODE]]</f>
        <v>item_diesel_Russia_RZD_Db</v>
      </c>
      <c r="H289" t="str">
        <f>"str_"&amp;Table1[[#This Row],[VEHIDCODE]]</f>
        <v>str_diesel_Russia_RZD_Db</v>
      </c>
      <c r="AI289" s="2" t="b">
        <v>1</v>
      </c>
      <c r="AL289" s="2"/>
      <c r="AM289" s="2" t="b">
        <f>LEN(_xlfn.CONCAT(Table1[[#This Row],[TRACK_TYPE_STANDARD_GAUGE_RAILTYPE_OHLE]:[TRACK_TYPE_MTRO]]))&gt;0</f>
        <v>1</v>
      </c>
      <c r="AN289">
        <v>8</v>
      </c>
      <c r="AO289" t="s">
        <v>20</v>
      </c>
      <c r="AP289">
        <v>0</v>
      </c>
      <c r="AQ289" t="s">
        <v>35</v>
      </c>
      <c r="AR289">
        <v>0</v>
      </c>
      <c r="AS289">
        <v>1945</v>
      </c>
      <c r="AT289">
        <v>8</v>
      </c>
      <c r="AU289" s="2" t="s">
        <v>20</v>
      </c>
      <c r="AV289" t="b">
        <v>1</v>
      </c>
      <c r="AX289" s="2"/>
      <c r="AY289">
        <v>45</v>
      </c>
      <c r="AZ289">
        <v>1</v>
      </c>
      <c r="BA289">
        <v>1000</v>
      </c>
      <c r="BB289" t="s">
        <v>710</v>
      </c>
      <c r="BC289">
        <v>97</v>
      </c>
      <c r="BD289" s="2">
        <v>0.15</v>
      </c>
      <c r="BE289" t="s">
        <v>930</v>
      </c>
      <c r="BF289" t="s">
        <v>921</v>
      </c>
      <c r="BG289" t="s">
        <v>939</v>
      </c>
      <c r="BH289" s="7">
        <v>40</v>
      </c>
      <c r="BI28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89">
        <v>0</v>
      </c>
      <c r="BK289" t="s">
        <v>733</v>
      </c>
      <c r="BL289" s="11"/>
      <c r="BM289" s="11"/>
      <c r="BN289" s="11">
        <v>117</v>
      </c>
      <c r="BO289">
        <v>0</v>
      </c>
      <c r="BP289" t="s">
        <v>691</v>
      </c>
      <c r="BQ289" t="s">
        <v>693</v>
      </c>
      <c r="BR289" t="s">
        <v>700</v>
      </c>
      <c r="BS289" t="s">
        <v>704</v>
      </c>
      <c r="BT289" t="s">
        <v>705</v>
      </c>
      <c r="BU289" t="s">
        <v>706</v>
      </c>
      <c r="CT289"/>
      <c r="CU289"/>
      <c r="CV289"/>
    </row>
    <row r="290" spans="1:100" x14ac:dyDescent="0.4">
      <c r="A290" s="2" t="s">
        <v>313</v>
      </c>
      <c r="B290" t="str">
        <f>_xlfn.TEXTAFTER(Table1[[#This Row],[VEHIDCODE]],"_")</f>
        <v>Portugal_CP_1500</v>
      </c>
      <c r="C290" t="s">
        <v>739</v>
      </c>
      <c r="D290" t="s">
        <v>958</v>
      </c>
      <c r="E290">
        <v>5123</v>
      </c>
      <c r="F290" t="b">
        <f>OR(ISNUMBER(SEARCH("wagon_",Table1[[#This Row],[FILENAMES_EXPECTED]])),ISNUMBER(SEARCH("coach_",Table1[[#This Row],[FILENAMES_EXPECTED]])))</f>
        <v>0</v>
      </c>
      <c r="G290" t="str">
        <f>"item_"&amp;Table1[[#This Row],[VEHIDCODE]]</f>
        <v>item_diesel_Portugal_CP_1500</v>
      </c>
      <c r="H290" t="str">
        <f>"str_"&amp;Table1[[#This Row],[VEHIDCODE]]</f>
        <v>str_diesel_Portugal_CP_1500</v>
      </c>
      <c r="Q290" s="2" t="b">
        <v>1</v>
      </c>
      <c r="AL290" s="2"/>
      <c r="AM290" s="2" t="b">
        <f>LEN(_xlfn.CONCAT(Table1[[#This Row],[TRACK_TYPE_STANDARD_GAUGE_RAILTYPE_OHLE]:[TRACK_TYPE_MTRO]]))&gt;0</f>
        <v>1</v>
      </c>
      <c r="AN290">
        <v>6</v>
      </c>
      <c r="AO290" t="s">
        <v>20</v>
      </c>
      <c r="AP290">
        <v>0</v>
      </c>
      <c r="AQ290" t="s">
        <v>35</v>
      </c>
      <c r="AR290">
        <v>0</v>
      </c>
      <c r="AS290">
        <v>1948</v>
      </c>
      <c r="AT290">
        <v>6</v>
      </c>
      <c r="AU290" s="2" t="s">
        <v>20</v>
      </c>
      <c r="AV290" t="b">
        <v>1</v>
      </c>
      <c r="AX290" s="2"/>
      <c r="AY290">
        <v>45</v>
      </c>
      <c r="AZ290">
        <v>1</v>
      </c>
      <c r="BA290">
        <v>1700</v>
      </c>
      <c r="BB290" t="s">
        <v>710</v>
      </c>
      <c r="BC290">
        <v>120</v>
      </c>
      <c r="BD290" s="2">
        <v>0.15</v>
      </c>
      <c r="BE290" t="s">
        <v>923</v>
      </c>
      <c r="BF290" t="s">
        <v>921</v>
      </c>
      <c r="BG290" t="s">
        <v>939</v>
      </c>
      <c r="BH290" s="7">
        <v>40</v>
      </c>
      <c r="BI29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90">
        <v>0</v>
      </c>
      <c r="BK290" t="s">
        <v>733</v>
      </c>
      <c r="BL290" s="11"/>
      <c r="BM290" s="11"/>
      <c r="BN290" s="11">
        <v>111</v>
      </c>
      <c r="BO290">
        <v>0</v>
      </c>
      <c r="BP290" t="s">
        <v>691</v>
      </c>
      <c r="BQ290" t="s">
        <v>693</v>
      </c>
      <c r="BR290" t="s">
        <v>700</v>
      </c>
      <c r="BS290" t="s">
        <v>704</v>
      </c>
      <c r="BT290" t="s">
        <v>705</v>
      </c>
      <c r="BU290" t="s">
        <v>706</v>
      </c>
      <c r="CT290"/>
      <c r="CU290"/>
      <c r="CV290"/>
    </row>
    <row r="291" spans="1:100" x14ac:dyDescent="0.4">
      <c r="A291" s="2" t="s">
        <v>314</v>
      </c>
      <c r="B291" t="str">
        <f>_xlfn.TEXTAFTER(Table1[[#This Row],[VEHIDCODE]],"_")</f>
        <v>France_SNCF_BB_67400</v>
      </c>
      <c r="C291" t="s">
        <v>739</v>
      </c>
      <c r="D291" t="s">
        <v>958</v>
      </c>
      <c r="E291">
        <v>5125</v>
      </c>
      <c r="F291" t="b">
        <f>OR(ISNUMBER(SEARCH("wagon_",Table1[[#This Row],[FILENAMES_EXPECTED]])),ISNUMBER(SEARCH("coach_",Table1[[#This Row],[FILENAMES_EXPECTED]])))</f>
        <v>0</v>
      </c>
      <c r="G291" t="str">
        <f>"item_"&amp;Table1[[#This Row],[VEHIDCODE]]</f>
        <v>item_diesel_France_SNCF_BB_67400</v>
      </c>
      <c r="H291" t="str">
        <f>"str_"&amp;Table1[[#This Row],[VEHIDCODE]]</f>
        <v>str_diesel_France_SNCF_BB_67400</v>
      </c>
      <c r="Q291" s="2" t="b">
        <v>1</v>
      </c>
      <c r="AL291" s="2"/>
      <c r="AM291" s="2" t="b">
        <f>LEN(_xlfn.CONCAT(Table1[[#This Row],[TRACK_TYPE_STANDARD_GAUGE_RAILTYPE_OHLE]:[TRACK_TYPE_MTRO]]))&gt;0</f>
        <v>1</v>
      </c>
      <c r="AN291">
        <v>8</v>
      </c>
      <c r="AO291" t="s">
        <v>20</v>
      </c>
      <c r="AP291">
        <v>0</v>
      </c>
      <c r="AQ291" t="s">
        <v>35</v>
      </c>
      <c r="AR291">
        <v>0</v>
      </c>
      <c r="AS291">
        <v>1969</v>
      </c>
      <c r="AT291">
        <v>8</v>
      </c>
      <c r="AU291" s="2" t="s">
        <v>20</v>
      </c>
      <c r="AV291" t="b">
        <v>1</v>
      </c>
      <c r="AX291" s="2"/>
      <c r="AY291">
        <v>45</v>
      </c>
      <c r="AZ291">
        <v>1</v>
      </c>
      <c r="BA291">
        <v>2245</v>
      </c>
      <c r="BB291" t="s">
        <v>710</v>
      </c>
      <c r="BC291">
        <v>140</v>
      </c>
      <c r="BD291" s="2">
        <v>0.34</v>
      </c>
      <c r="BE291" t="s">
        <v>922</v>
      </c>
      <c r="BF291" t="s">
        <v>921</v>
      </c>
      <c r="BG291" t="s">
        <v>939</v>
      </c>
      <c r="BH291" s="7">
        <v>40</v>
      </c>
      <c r="BI29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91">
        <v>0</v>
      </c>
      <c r="BK291" t="s">
        <v>733</v>
      </c>
      <c r="BL291" s="11"/>
      <c r="BM291" s="11"/>
      <c r="BN291" s="11">
        <v>83</v>
      </c>
      <c r="BO291">
        <v>0</v>
      </c>
      <c r="BP291" t="s">
        <v>691</v>
      </c>
      <c r="BQ291" t="s">
        <v>693</v>
      </c>
      <c r="BR291" t="s">
        <v>700</v>
      </c>
      <c r="BS291" t="s">
        <v>704</v>
      </c>
      <c r="BT291" t="s">
        <v>705</v>
      </c>
      <c r="BU291" t="s">
        <v>706</v>
      </c>
      <c r="CT291"/>
      <c r="CU291"/>
      <c r="CV291"/>
    </row>
    <row r="292" spans="1:100" x14ac:dyDescent="0.4">
      <c r="A292" s="2" t="s">
        <v>315</v>
      </c>
      <c r="B292" t="str">
        <f>_xlfn.TEXTAFTER(Table1[[#This Row],[VEHIDCODE]],"_")</f>
        <v>Netherlands_NS_6400</v>
      </c>
      <c r="C292" t="s">
        <v>739</v>
      </c>
      <c r="D292" t="s">
        <v>958</v>
      </c>
      <c r="E292">
        <v>5126</v>
      </c>
      <c r="F292" t="b">
        <f>OR(ISNUMBER(SEARCH("wagon_",Table1[[#This Row],[FILENAMES_EXPECTED]])),ISNUMBER(SEARCH("coach_",Table1[[#This Row],[FILENAMES_EXPECTED]])))</f>
        <v>0</v>
      </c>
      <c r="G292" t="str">
        <f>"item_"&amp;Table1[[#This Row],[VEHIDCODE]]</f>
        <v>item_diesel_Netherlands_NS_6400</v>
      </c>
      <c r="H292" t="str">
        <f>"str_"&amp;Table1[[#This Row],[VEHIDCODE]]</f>
        <v>str_diesel_Netherlands_NS_6400</v>
      </c>
      <c r="Q292" s="2" t="b">
        <v>1</v>
      </c>
      <c r="AL292" s="2"/>
      <c r="AM292" s="2" t="b">
        <f>LEN(_xlfn.CONCAT(Table1[[#This Row],[TRACK_TYPE_STANDARD_GAUGE_RAILTYPE_OHLE]:[TRACK_TYPE_MTRO]]))&gt;0</f>
        <v>1</v>
      </c>
      <c r="AN292">
        <v>6</v>
      </c>
      <c r="AO292" t="s">
        <v>20</v>
      </c>
      <c r="AP292">
        <v>0</v>
      </c>
      <c r="AQ292" t="s">
        <v>35</v>
      </c>
      <c r="AR292">
        <v>0</v>
      </c>
      <c r="AS292">
        <v>1988</v>
      </c>
      <c r="AT292">
        <v>6</v>
      </c>
      <c r="AU292" s="2" t="s">
        <v>20</v>
      </c>
      <c r="AV292" t="b">
        <v>1</v>
      </c>
      <c r="AX292" s="2"/>
      <c r="AY292">
        <v>45</v>
      </c>
      <c r="AZ292">
        <v>1</v>
      </c>
      <c r="BA292">
        <v>1581</v>
      </c>
      <c r="BB292" t="s">
        <v>710</v>
      </c>
      <c r="BC292">
        <v>120</v>
      </c>
      <c r="BD292" s="2">
        <v>0.38</v>
      </c>
      <c r="BE292" t="s">
        <v>922</v>
      </c>
      <c r="BF292" t="s">
        <v>921</v>
      </c>
      <c r="BG292" t="s">
        <v>939</v>
      </c>
      <c r="BH292" s="7">
        <v>40</v>
      </c>
      <c r="BI29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92">
        <v>0</v>
      </c>
      <c r="BK292" t="s">
        <v>733</v>
      </c>
      <c r="BL292" s="11"/>
      <c r="BM292" s="11"/>
      <c r="BN292" s="11">
        <v>80</v>
      </c>
      <c r="BO292">
        <v>0</v>
      </c>
      <c r="BP292" t="s">
        <v>691</v>
      </c>
      <c r="BQ292" t="s">
        <v>693</v>
      </c>
      <c r="BR292" t="s">
        <v>700</v>
      </c>
      <c r="BS292" t="s">
        <v>704</v>
      </c>
      <c r="BT292" t="s">
        <v>705</v>
      </c>
      <c r="BU292" t="s">
        <v>706</v>
      </c>
      <c r="CT292"/>
      <c r="CU292"/>
      <c r="CV292"/>
    </row>
    <row r="293" spans="1:100" x14ac:dyDescent="0.4">
      <c r="A293" s="2" t="s">
        <v>316</v>
      </c>
      <c r="B293" t="str">
        <f>_xlfn.TEXTAFTER(Table1[[#This Row],[VEHIDCODE]],"_")</f>
        <v>Egypt_ENR_2400_GE_ES40ACi</v>
      </c>
      <c r="C293" t="s">
        <v>739</v>
      </c>
      <c r="D293" t="s">
        <v>958</v>
      </c>
      <c r="E293">
        <v>5130</v>
      </c>
      <c r="F293" t="b">
        <f>OR(ISNUMBER(SEARCH("wagon_",Table1[[#This Row],[FILENAMES_EXPECTED]])),ISNUMBER(SEARCH("coach_",Table1[[#This Row],[FILENAMES_EXPECTED]])))</f>
        <v>0</v>
      </c>
      <c r="G293" t="str">
        <f>"item_"&amp;Table1[[#This Row],[VEHIDCODE]]</f>
        <v>item_diesel_Egypt_ENR_2400_GE_ES40ACi</v>
      </c>
      <c r="H293" t="str">
        <f>"str_"&amp;Table1[[#This Row],[VEHIDCODE]]</f>
        <v>str_diesel_Egypt_ENR_2400_GE_ES40ACi</v>
      </c>
      <c r="Q293" s="2" t="b">
        <v>1</v>
      </c>
      <c r="AL293" s="2"/>
      <c r="AM293" s="2" t="b">
        <f>LEN(_xlfn.CONCAT(Table1[[#This Row],[TRACK_TYPE_STANDARD_GAUGE_RAILTYPE_OHLE]:[TRACK_TYPE_MTRO]]))&gt;0</f>
        <v>1</v>
      </c>
      <c r="AN293">
        <v>8</v>
      </c>
      <c r="AO293" t="s">
        <v>20</v>
      </c>
      <c r="AP293">
        <v>0</v>
      </c>
      <c r="AQ293" t="s">
        <v>35</v>
      </c>
      <c r="AR293">
        <v>0</v>
      </c>
      <c r="AS293">
        <v>2009</v>
      </c>
      <c r="AT293">
        <v>8</v>
      </c>
      <c r="AU293" s="2" t="s">
        <v>20</v>
      </c>
      <c r="AV293" t="b">
        <v>1</v>
      </c>
      <c r="AX293" s="2"/>
      <c r="AY293">
        <v>45</v>
      </c>
      <c r="AZ293">
        <v>1</v>
      </c>
      <c r="BA293">
        <v>4000</v>
      </c>
      <c r="BB293" t="s">
        <v>710</v>
      </c>
      <c r="BC293">
        <v>120</v>
      </c>
      <c r="BD293" s="2">
        <v>0.53</v>
      </c>
      <c r="BE293" t="s">
        <v>925</v>
      </c>
      <c r="BF293" t="s">
        <v>921</v>
      </c>
      <c r="BG293" t="s">
        <v>939</v>
      </c>
      <c r="BH293" s="7">
        <v>40</v>
      </c>
      <c r="BI29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93">
        <v>0</v>
      </c>
      <c r="BK293" t="s">
        <v>733</v>
      </c>
      <c r="BL293" s="11"/>
      <c r="BM293" s="11"/>
      <c r="BN293" s="11">
        <v>138</v>
      </c>
      <c r="BO293">
        <v>0</v>
      </c>
      <c r="BP293" t="s">
        <v>691</v>
      </c>
      <c r="BQ293" t="s">
        <v>693</v>
      </c>
      <c r="BR293" t="s">
        <v>700</v>
      </c>
      <c r="BS293" t="s">
        <v>704</v>
      </c>
      <c r="BT293" t="s">
        <v>705</v>
      </c>
      <c r="BU293" t="s">
        <v>706</v>
      </c>
      <c r="CT293"/>
      <c r="CU293"/>
      <c r="CV293"/>
    </row>
    <row r="294" spans="1:100" x14ac:dyDescent="0.4">
      <c r="A294" s="2" t="s">
        <v>317</v>
      </c>
      <c r="B294" t="str">
        <f>_xlfn.TEXTAFTER(Table1[[#This Row],[VEHIDCODE]],"_")</f>
        <v>South_Africa_SAR_Afro_4000</v>
      </c>
      <c r="C294" t="s">
        <v>739</v>
      </c>
      <c r="D294" t="s">
        <v>958</v>
      </c>
      <c r="E294">
        <v>5132</v>
      </c>
      <c r="F294" t="b">
        <f>OR(ISNUMBER(SEARCH("wagon_",Table1[[#This Row],[FILENAMES_EXPECTED]])),ISNUMBER(SEARCH("coach_",Table1[[#This Row],[FILENAMES_EXPECTED]])))</f>
        <v>0</v>
      </c>
      <c r="G294" t="str">
        <f>"item_"&amp;Table1[[#This Row],[VEHIDCODE]]</f>
        <v>item_diesel_South_Africa_SAR_Afro_4000</v>
      </c>
      <c r="H294" t="str">
        <f>"str_"&amp;Table1[[#This Row],[VEHIDCODE]]</f>
        <v>str_diesel_South_Africa_SAR_Afro_4000</v>
      </c>
      <c r="Z294" s="2" t="b">
        <v>1</v>
      </c>
      <c r="AL294" s="2"/>
      <c r="AM294" s="2" t="b">
        <f>LEN(_xlfn.CONCAT(Table1[[#This Row],[TRACK_TYPE_STANDARD_GAUGE_RAILTYPE_OHLE]:[TRACK_TYPE_MTRO]]))&gt;0</f>
        <v>1</v>
      </c>
      <c r="AN294">
        <v>8</v>
      </c>
      <c r="AO294" t="s">
        <v>20</v>
      </c>
      <c r="AP294">
        <v>0</v>
      </c>
      <c r="AQ294" t="s">
        <v>35</v>
      </c>
      <c r="AR294">
        <v>0</v>
      </c>
      <c r="AS294">
        <v>2014</v>
      </c>
      <c r="AT294">
        <v>8</v>
      </c>
      <c r="AU294" s="2" t="s">
        <v>20</v>
      </c>
      <c r="AV294" t="b">
        <v>1</v>
      </c>
      <c r="AX294" s="2"/>
      <c r="AY294" t="s">
        <v>21</v>
      </c>
      <c r="AZ294">
        <v>1</v>
      </c>
      <c r="BA294">
        <v>4262</v>
      </c>
      <c r="BB294" t="s">
        <v>710</v>
      </c>
      <c r="BC294">
        <v>130</v>
      </c>
      <c r="BD294" s="2">
        <v>0.26</v>
      </c>
      <c r="BE294" t="s">
        <v>925</v>
      </c>
      <c r="BF294" t="s">
        <v>921</v>
      </c>
      <c r="BG294" t="s">
        <v>939</v>
      </c>
      <c r="BH294" s="7">
        <v>40</v>
      </c>
      <c r="BI29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94">
        <v>0</v>
      </c>
      <c r="BK294" t="s">
        <v>733</v>
      </c>
      <c r="BL294" s="11"/>
      <c r="BM294" s="11"/>
      <c r="BN294" s="11">
        <v>123</v>
      </c>
      <c r="BO294">
        <v>0</v>
      </c>
      <c r="BP294" t="s">
        <v>691</v>
      </c>
      <c r="BQ294" t="s">
        <v>693</v>
      </c>
      <c r="BR294" t="s">
        <v>700</v>
      </c>
      <c r="BS294" t="s">
        <v>704</v>
      </c>
      <c r="BT294" t="s">
        <v>705</v>
      </c>
      <c r="BU294" t="s">
        <v>706</v>
      </c>
      <c r="CT294"/>
      <c r="CU294"/>
      <c r="CV294"/>
    </row>
    <row r="295" spans="1:100" x14ac:dyDescent="0.4">
      <c r="A295" s="2" t="s">
        <v>318</v>
      </c>
      <c r="B295" t="str">
        <f>_xlfn.TEXTAFTER(Table1[[#This Row],[VEHIDCODE]],"_")</f>
        <v>Spain_RENFE_308</v>
      </c>
      <c r="C295" t="s">
        <v>739</v>
      </c>
      <c r="D295" t="s">
        <v>958</v>
      </c>
      <c r="E295">
        <v>5124</v>
      </c>
      <c r="F295" t="b">
        <f>OR(ISNUMBER(SEARCH("wagon_",Table1[[#This Row],[FILENAMES_EXPECTED]])),ISNUMBER(SEARCH("coach_",Table1[[#This Row],[FILENAMES_EXPECTED]])))</f>
        <v>0</v>
      </c>
      <c r="G295" t="str">
        <f>"item_"&amp;Table1[[#This Row],[VEHIDCODE]]</f>
        <v>item_diesel_Spain_RENFE_308</v>
      </c>
      <c r="H295" t="str">
        <f>"str_"&amp;Table1[[#This Row],[VEHIDCODE]]</f>
        <v>str_diesel_Spain_RENFE_308</v>
      </c>
      <c r="Q295" s="2" t="b">
        <v>1</v>
      </c>
      <c r="AL295" s="2"/>
      <c r="AM295" s="2" t="b">
        <f>LEN(_xlfn.CONCAT(Table1[[#This Row],[TRACK_TYPE_STANDARD_GAUGE_RAILTYPE_OHLE]:[TRACK_TYPE_MTRO]]))&gt;0</f>
        <v>1</v>
      </c>
      <c r="AN295">
        <v>5</v>
      </c>
      <c r="AO295" t="s">
        <v>20</v>
      </c>
      <c r="AP295">
        <v>0</v>
      </c>
      <c r="AQ295" t="s">
        <v>35</v>
      </c>
      <c r="AR295">
        <v>0</v>
      </c>
      <c r="AS295">
        <v>1966</v>
      </c>
      <c r="AT295">
        <v>5</v>
      </c>
      <c r="AU295" s="2" t="s">
        <v>20</v>
      </c>
      <c r="AV295" t="b">
        <v>1</v>
      </c>
      <c r="AX295" s="2"/>
      <c r="AY295">
        <v>45</v>
      </c>
      <c r="AZ295">
        <v>1</v>
      </c>
      <c r="BA295">
        <v>710</v>
      </c>
      <c r="BB295" t="s">
        <v>710</v>
      </c>
      <c r="BC295">
        <v>120</v>
      </c>
      <c r="BD295" s="2">
        <v>0.2</v>
      </c>
      <c r="BE295" t="s">
        <v>923</v>
      </c>
      <c r="BF295" t="s">
        <v>921</v>
      </c>
      <c r="BG295" t="s">
        <v>939</v>
      </c>
      <c r="BH295" s="7">
        <v>40</v>
      </c>
      <c r="BI29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95">
        <v>0</v>
      </c>
      <c r="BK295" t="s">
        <v>733</v>
      </c>
      <c r="BL295" s="11"/>
      <c r="BM295" s="11"/>
      <c r="BN295" s="11">
        <v>64</v>
      </c>
      <c r="BO295">
        <v>0</v>
      </c>
      <c r="BP295" t="s">
        <v>691</v>
      </c>
      <c r="BQ295" t="s">
        <v>693</v>
      </c>
      <c r="BR295" t="s">
        <v>700</v>
      </c>
      <c r="BS295" t="s">
        <v>704</v>
      </c>
      <c r="BT295" t="s">
        <v>705</v>
      </c>
      <c r="BU295" t="s">
        <v>706</v>
      </c>
      <c r="CT295"/>
      <c r="CU295"/>
      <c r="CV295"/>
    </row>
    <row r="296" spans="1:100" x14ac:dyDescent="0.4">
      <c r="A296" s="2" t="s">
        <v>319</v>
      </c>
      <c r="B296" t="str">
        <f>_xlfn.TEXTAFTER(Table1[[#This Row],[VEHIDCODE]],"_")</f>
        <v>Australia_Pacific_National_XR_XRB</v>
      </c>
      <c r="C296" t="s">
        <v>739</v>
      </c>
      <c r="D296" t="s">
        <v>958</v>
      </c>
      <c r="E296">
        <v>5127</v>
      </c>
      <c r="F296" t="b">
        <f>OR(ISNUMBER(SEARCH("wagon_",Table1[[#This Row],[FILENAMES_EXPECTED]])),ISNUMBER(SEARCH("coach_",Table1[[#This Row],[FILENAMES_EXPECTED]])))</f>
        <v>0</v>
      </c>
      <c r="G296" t="str">
        <f>"item_"&amp;Table1[[#This Row],[VEHIDCODE]]</f>
        <v>item_diesel_Australia_Pacific_National_XR_XRB</v>
      </c>
      <c r="H296" t="str">
        <f>"str_"&amp;Table1[[#This Row],[VEHIDCODE]]</f>
        <v>str_diesel_Australia_Pacific_National_XR_XRB</v>
      </c>
      <c r="Q296" s="2" t="b">
        <v>1</v>
      </c>
      <c r="AL296" s="2"/>
      <c r="AM296" s="2" t="b">
        <f>LEN(_xlfn.CONCAT(Table1[[#This Row],[TRACK_TYPE_STANDARD_GAUGE_RAILTYPE_OHLE]:[TRACK_TYPE_MTRO]]))&gt;0</f>
        <v>1</v>
      </c>
      <c r="AN296">
        <v>7</v>
      </c>
      <c r="AO296" t="s">
        <v>20</v>
      </c>
      <c r="AP296">
        <v>0</v>
      </c>
      <c r="AQ296" t="s">
        <v>35</v>
      </c>
      <c r="AR296">
        <v>0</v>
      </c>
      <c r="AS296">
        <v>2002</v>
      </c>
      <c r="AT296">
        <v>7</v>
      </c>
      <c r="AU296" s="2" t="s">
        <v>24</v>
      </c>
      <c r="AV296" t="b">
        <v>1</v>
      </c>
      <c r="AX296" s="2"/>
      <c r="AY296">
        <v>45</v>
      </c>
      <c r="AZ296">
        <v>1</v>
      </c>
      <c r="BA296">
        <v>3300</v>
      </c>
      <c r="BB296" t="s">
        <v>710</v>
      </c>
      <c r="BC296">
        <v>115</v>
      </c>
      <c r="BD296" s="2">
        <v>0.34</v>
      </c>
      <c r="BE296" t="s">
        <v>924</v>
      </c>
      <c r="BF296" t="s">
        <v>921</v>
      </c>
      <c r="BG296" t="s">
        <v>939</v>
      </c>
      <c r="BH296" s="7">
        <v>40</v>
      </c>
      <c r="BI29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96">
        <v>0</v>
      </c>
      <c r="BK296" t="s">
        <v>733</v>
      </c>
      <c r="BL296" s="11"/>
      <c r="BM296" s="11"/>
      <c r="BN296" s="11">
        <v>124</v>
      </c>
      <c r="BO296">
        <v>0</v>
      </c>
      <c r="BP296" t="s">
        <v>691</v>
      </c>
      <c r="BQ296" t="s">
        <v>693</v>
      </c>
      <c r="BR296" t="s">
        <v>700</v>
      </c>
      <c r="BS296" t="s">
        <v>704</v>
      </c>
      <c r="BT296" t="s">
        <v>705</v>
      </c>
      <c r="BU296" t="s">
        <v>706</v>
      </c>
      <c r="CT296"/>
      <c r="CU296"/>
      <c r="CV296"/>
    </row>
    <row r="297" spans="1:100" x14ac:dyDescent="0.4">
      <c r="A297" s="2" t="s">
        <v>320</v>
      </c>
      <c r="B297" t="str">
        <f>_xlfn.TEXTAFTER(Table1[[#This Row],[VEHIDCODE]],"_")</f>
        <v>Norway_CargoNet_312</v>
      </c>
      <c r="C297" t="s">
        <v>739</v>
      </c>
      <c r="D297" t="s">
        <v>958</v>
      </c>
      <c r="E297">
        <v>5128</v>
      </c>
      <c r="F297" t="b">
        <f>OR(ISNUMBER(SEARCH("wagon_",Table1[[#This Row],[FILENAMES_EXPECTED]])),ISNUMBER(SEARCH("coach_",Table1[[#This Row],[FILENAMES_EXPECTED]])))</f>
        <v>0</v>
      </c>
      <c r="G297" t="str">
        <f>"item_"&amp;Table1[[#This Row],[VEHIDCODE]]</f>
        <v>item_diesel_Norway_CargoNet_312</v>
      </c>
      <c r="H297" t="str">
        <f>"str_"&amp;Table1[[#This Row],[VEHIDCODE]]</f>
        <v>str_diesel_Norway_CargoNet_312</v>
      </c>
      <c r="Q297" s="2" t="b">
        <v>1</v>
      </c>
      <c r="AL297" s="2"/>
      <c r="AM297" s="2" t="b">
        <f>LEN(_xlfn.CONCAT(Table1[[#This Row],[TRACK_TYPE_STANDARD_GAUGE_RAILTYPE_OHLE]:[TRACK_TYPE_MTRO]]))&gt;0</f>
        <v>1</v>
      </c>
      <c r="AN297">
        <v>8</v>
      </c>
      <c r="AO297" t="s">
        <v>20</v>
      </c>
      <c r="AP297">
        <v>0</v>
      </c>
      <c r="AQ297" t="s">
        <v>35</v>
      </c>
      <c r="AR297">
        <v>0</v>
      </c>
      <c r="AS297">
        <v>2006</v>
      </c>
      <c r="AT297">
        <v>8</v>
      </c>
      <c r="AU297" s="2" t="s">
        <v>20</v>
      </c>
      <c r="AV297" t="b">
        <v>1</v>
      </c>
      <c r="AX297" s="2"/>
      <c r="AY297">
        <v>45</v>
      </c>
      <c r="AZ297">
        <v>0</v>
      </c>
      <c r="BA297">
        <v>4262</v>
      </c>
      <c r="BB297" t="s">
        <v>710</v>
      </c>
      <c r="BC297">
        <v>120</v>
      </c>
      <c r="BD297" s="2">
        <v>0.33</v>
      </c>
      <c r="BE297" t="s">
        <v>926</v>
      </c>
      <c r="BF297" t="s">
        <v>921</v>
      </c>
      <c r="BG297" t="s">
        <v>939</v>
      </c>
      <c r="BH297" s="7">
        <v>40</v>
      </c>
      <c r="BI29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97">
        <v>0</v>
      </c>
      <c r="BK297" t="s">
        <v>733</v>
      </c>
      <c r="BL297" s="11"/>
      <c r="BM297" s="11"/>
      <c r="BN297" s="11">
        <v>123</v>
      </c>
      <c r="BO297">
        <v>0</v>
      </c>
      <c r="BP297" t="s">
        <v>691</v>
      </c>
      <c r="BQ297" t="s">
        <v>693</v>
      </c>
      <c r="BR297" t="s">
        <v>700</v>
      </c>
      <c r="BS297" t="s">
        <v>704</v>
      </c>
      <c r="BT297" t="s">
        <v>705</v>
      </c>
      <c r="BU297" t="s">
        <v>706</v>
      </c>
      <c r="CT297"/>
      <c r="CU297"/>
      <c r="CV297"/>
    </row>
    <row r="298" spans="1:100" x14ac:dyDescent="0.4">
      <c r="A298" s="2" t="s">
        <v>321</v>
      </c>
      <c r="B298" t="str">
        <f>_xlfn.TEXTAFTER(Table1[[#This Row],[VEHIDCODE]],"_")</f>
        <v>Australia_Pacific_National_92</v>
      </c>
      <c r="C298" t="s">
        <v>739</v>
      </c>
      <c r="D298" t="s">
        <v>958</v>
      </c>
      <c r="E298">
        <v>5129</v>
      </c>
      <c r="F298" t="b">
        <f>OR(ISNUMBER(SEARCH("wagon_",Table1[[#This Row],[FILENAMES_EXPECTED]])),ISNUMBER(SEARCH("coach_",Table1[[#This Row],[FILENAMES_EXPECTED]])))</f>
        <v>0</v>
      </c>
      <c r="G298" t="str">
        <f>"item_"&amp;Table1[[#This Row],[VEHIDCODE]]</f>
        <v>item_diesel_Australia_Pacific_National_92</v>
      </c>
      <c r="H298" t="str">
        <f>"str_"&amp;Table1[[#This Row],[VEHIDCODE]]</f>
        <v>str_diesel_Australia_Pacific_National_92</v>
      </c>
      <c r="Q298" s="2" t="b">
        <v>1</v>
      </c>
      <c r="AL298" s="2"/>
      <c r="AM298" s="2" t="b">
        <f>LEN(_xlfn.CONCAT(Table1[[#This Row],[TRACK_TYPE_STANDARD_GAUGE_RAILTYPE_OHLE]:[TRACK_TYPE_MTRO]]))&gt;0</f>
        <v>1</v>
      </c>
      <c r="AN298">
        <v>8</v>
      </c>
      <c r="AO298" t="s">
        <v>20</v>
      </c>
      <c r="AP298">
        <v>0</v>
      </c>
      <c r="AQ298" t="s">
        <v>35</v>
      </c>
      <c r="AR298">
        <v>0</v>
      </c>
      <c r="AS298">
        <v>2008</v>
      </c>
      <c r="AT298">
        <v>8</v>
      </c>
      <c r="AU298" s="2" t="s">
        <v>24</v>
      </c>
      <c r="AV298" t="b">
        <v>1</v>
      </c>
      <c r="AX298" s="2"/>
      <c r="AY298" t="s">
        <v>21</v>
      </c>
      <c r="AZ298">
        <v>1</v>
      </c>
      <c r="BA298">
        <v>4520</v>
      </c>
      <c r="BB298" t="s">
        <v>710</v>
      </c>
      <c r="BC298">
        <v>115</v>
      </c>
      <c r="BD298" s="2">
        <v>0.38</v>
      </c>
      <c r="BE298" t="s">
        <v>924</v>
      </c>
      <c r="BF298" t="s">
        <v>921</v>
      </c>
      <c r="BG298" t="s">
        <v>939</v>
      </c>
      <c r="BH298" s="7">
        <v>40</v>
      </c>
      <c r="BI29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98">
        <v>0</v>
      </c>
      <c r="BK298" t="s">
        <v>733</v>
      </c>
      <c r="BL298" s="11"/>
      <c r="BM298" s="11"/>
      <c r="BN298" s="11">
        <v>140</v>
      </c>
      <c r="BO298">
        <v>0</v>
      </c>
      <c r="BP298" t="s">
        <v>691</v>
      </c>
      <c r="BQ298" t="s">
        <v>693</v>
      </c>
      <c r="BR298" t="s">
        <v>700</v>
      </c>
      <c r="BS298" t="s">
        <v>704</v>
      </c>
      <c r="BT298" t="s">
        <v>705</v>
      </c>
      <c r="BU298" t="s">
        <v>706</v>
      </c>
      <c r="CT298"/>
      <c r="CU298"/>
      <c r="CV298"/>
    </row>
    <row r="299" spans="1:100" x14ac:dyDescent="0.4">
      <c r="A299" s="2" t="s">
        <v>322</v>
      </c>
      <c r="B299" t="str">
        <f>_xlfn.TEXTAFTER(Table1[[#This Row],[VEHIDCODE]],"_")</f>
        <v>UK_BR_68</v>
      </c>
      <c r="C299" t="s">
        <v>739</v>
      </c>
      <c r="D299" t="s">
        <v>958</v>
      </c>
      <c r="E299">
        <v>5131</v>
      </c>
      <c r="F299" t="b">
        <f>OR(ISNUMBER(SEARCH("wagon_",Table1[[#This Row],[FILENAMES_EXPECTED]])),ISNUMBER(SEARCH("coach_",Table1[[#This Row],[FILENAMES_EXPECTED]])))</f>
        <v>0</v>
      </c>
      <c r="G299" t="str">
        <f>"item_"&amp;Table1[[#This Row],[VEHIDCODE]]</f>
        <v>item_diesel_UK_BR_68</v>
      </c>
      <c r="H299" t="str">
        <f>"str_"&amp;Table1[[#This Row],[VEHIDCODE]]</f>
        <v>str_diesel_UK_BR_68</v>
      </c>
      <c r="Q299" s="2" t="b">
        <v>1</v>
      </c>
      <c r="AL299" s="2"/>
      <c r="AM299" s="2" t="b">
        <f>LEN(_xlfn.CONCAT(Table1[[#This Row],[TRACK_TYPE_STANDARD_GAUGE_RAILTYPE_OHLE]:[TRACK_TYPE_MTRO]]))&gt;0</f>
        <v>1</v>
      </c>
      <c r="AN299">
        <v>8</v>
      </c>
      <c r="AO299" t="s">
        <v>20</v>
      </c>
      <c r="AP299">
        <v>0</v>
      </c>
      <c r="AQ299" t="s">
        <v>35</v>
      </c>
      <c r="AR299">
        <v>0</v>
      </c>
      <c r="AS299">
        <v>2014</v>
      </c>
      <c r="AT299">
        <v>8</v>
      </c>
      <c r="AU299" s="2" t="s">
        <v>20</v>
      </c>
      <c r="AV299" t="b">
        <v>1</v>
      </c>
      <c r="AX299" s="2"/>
      <c r="AY299" t="s">
        <v>21</v>
      </c>
      <c r="AZ299">
        <v>1</v>
      </c>
      <c r="BA299">
        <v>3800</v>
      </c>
      <c r="BB299" t="s">
        <v>710</v>
      </c>
      <c r="BC299">
        <v>160</v>
      </c>
      <c r="BD299" s="2">
        <v>0.37</v>
      </c>
      <c r="BE299" t="s">
        <v>926</v>
      </c>
      <c r="BF299" t="s">
        <v>921</v>
      </c>
      <c r="BG299" t="s">
        <v>939</v>
      </c>
      <c r="BH299" s="7">
        <v>40</v>
      </c>
      <c r="BI29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99">
        <v>0</v>
      </c>
      <c r="BK299" t="s">
        <v>733</v>
      </c>
      <c r="BL299" s="11"/>
      <c r="BM299" s="11"/>
      <c r="BN299" s="11">
        <v>85</v>
      </c>
      <c r="BO299">
        <v>0</v>
      </c>
      <c r="BP299" t="s">
        <v>691</v>
      </c>
      <c r="BQ299" t="s">
        <v>693</v>
      </c>
      <c r="BR299" t="s">
        <v>700</v>
      </c>
      <c r="BS299" t="s">
        <v>704</v>
      </c>
      <c r="BT299" t="s">
        <v>705</v>
      </c>
      <c r="BU299" t="s">
        <v>706</v>
      </c>
      <c r="CT299"/>
      <c r="CU299"/>
      <c r="CV299"/>
    </row>
    <row r="300" spans="1:100" x14ac:dyDescent="0.4">
      <c r="A300" s="2" t="s">
        <v>323</v>
      </c>
      <c r="B300" t="str">
        <f>_xlfn.TEXTAFTER(Table1[[#This Row],[VEHIDCODE]],"_")</f>
        <v>USA_Amtrak_Charger</v>
      </c>
      <c r="C300" t="s">
        <v>739</v>
      </c>
      <c r="D300" t="s">
        <v>958</v>
      </c>
      <c r="E300">
        <v>5133</v>
      </c>
      <c r="F300" t="b">
        <f>OR(ISNUMBER(SEARCH("wagon_",Table1[[#This Row],[FILENAMES_EXPECTED]])),ISNUMBER(SEARCH("coach_",Table1[[#This Row],[FILENAMES_EXPECTED]])))</f>
        <v>0</v>
      </c>
      <c r="G300" t="str">
        <f>"item_"&amp;Table1[[#This Row],[VEHIDCODE]]</f>
        <v>item_diesel_USA_Amtrak_Charger</v>
      </c>
      <c r="H300" t="str">
        <f>"str_"&amp;Table1[[#This Row],[VEHIDCODE]]</f>
        <v>str_diesel_USA_Amtrak_Charger</v>
      </c>
      <c r="Q300" s="2" t="b">
        <v>1</v>
      </c>
      <c r="AL300" s="2"/>
      <c r="AM300" s="2" t="b">
        <f>LEN(_xlfn.CONCAT(Table1[[#This Row],[TRACK_TYPE_STANDARD_GAUGE_RAILTYPE_OHLE]:[TRACK_TYPE_MTRO]]))&gt;0</f>
        <v>1</v>
      </c>
      <c r="AN300">
        <v>8</v>
      </c>
      <c r="AO300" t="s">
        <v>20</v>
      </c>
      <c r="AP300">
        <v>0</v>
      </c>
      <c r="AQ300" t="s">
        <v>35</v>
      </c>
      <c r="AR300">
        <v>0</v>
      </c>
      <c r="AS300">
        <v>2015</v>
      </c>
      <c r="AT300">
        <v>8</v>
      </c>
      <c r="AU300" s="2" t="s">
        <v>20</v>
      </c>
      <c r="AV300" t="b">
        <v>1</v>
      </c>
      <c r="AX300" s="2"/>
      <c r="AY300" t="s">
        <v>21</v>
      </c>
      <c r="AZ300">
        <v>1</v>
      </c>
      <c r="BA300">
        <v>4400</v>
      </c>
      <c r="BB300" t="s">
        <v>710</v>
      </c>
      <c r="BC300">
        <v>201</v>
      </c>
      <c r="BD300" s="2">
        <v>0.24</v>
      </c>
      <c r="BE300" t="s">
        <v>927</v>
      </c>
      <c r="BF300" t="s">
        <v>921</v>
      </c>
      <c r="BG300" t="s">
        <v>939</v>
      </c>
      <c r="BH300" s="7">
        <v>40</v>
      </c>
      <c r="BI30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300">
        <v>0</v>
      </c>
      <c r="BK300" t="s">
        <v>733</v>
      </c>
      <c r="BL300" s="11"/>
      <c r="BM300" s="11"/>
      <c r="BN300" s="11">
        <v>120</v>
      </c>
      <c r="BO300">
        <v>0</v>
      </c>
      <c r="BP300" t="s">
        <v>691</v>
      </c>
      <c r="BQ300" t="s">
        <v>693</v>
      </c>
      <c r="BR300" t="s">
        <v>700</v>
      </c>
      <c r="BS300" t="s">
        <v>704</v>
      </c>
      <c r="BT300" t="s">
        <v>705</v>
      </c>
      <c r="BU300" t="s">
        <v>706</v>
      </c>
      <c r="CT300"/>
      <c r="CU300"/>
      <c r="CV300"/>
    </row>
    <row r="301" spans="1:100" x14ac:dyDescent="0.4">
      <c r="A301" s="2" t="s">
        <v>324</v>
      </c>
      <c r="B301" t="str">
        <f>_xlfn.TEXTAFTER(Table1[[#This Row],[VEHIDCODE]],"_")</f>
        <v>Argentina_Le_Brugeoise</v>
      </c>
      <c r="C301" t="s">
        <v>740</v>
      </c>
      <c r="D301" t="s">
        <v>966</v>
      </c>
      <c r="E301">
        <v>9004</v>
      </c>
      <c r="F301" t="b">
        <f>OR(ISNUMBER(SEARCH("wagon_",Table1[[#This Row],[FILENAMES_EXPECTED]])),ISNUMBER(SEARCH("coach_",Table1[[#This Row],[FILENAMES_EXPECTED]])))</f>
        <v>0</v>
      </c>
      <c r="G301" t="str">
        <f>"item_"&amp;Table1[[#This Row],[VEHIDCODE]]</f>
        <v>item_mtro_Argentina_Le_Brugeoise</v>
      </c>
      <c r="H301" t="str">
        <f>"str_"&amp;Table1[[#This Row],[VEHIDCODE]]</f>
        <v>str_mtro_Argentina_Le_Brugeoise</v>
      </c>
      <c r="N301" t="b">
        <v>1</v>
      </c>
      <c r="AL301" s="2"/>
      <c r="AM301" s="2" t="b">
        <f>LEN(_xlfn.CONCAT(Table1[[#This Row],[TRACK_TYPE_STANDARD_GAUGE_RAILTYPE_OHLE]:[TRACK_TYPE_MTRO]]))&gt;0</f>
        <v>1</v>
      </c>
      <c r="AN301">
        <v>7</v>
      </c>
      <c r="AO301" t="s">
        <v>325</v>
      </c>
      <c r="AP301">
        <v>1</v>
      </c>
      <c r="AQ301" t="s">
        <v>19</v>
      </c>
      <c r="AR301">
        <v>142</v>
      </c>
      <c r="AS301">
        <v>1911</v>
      </c>
      <c r="AT301">
        <v>7</v>
      </c>
      <c r="AU301" s="2" t="s">
        <v>326</v>
      </c>
      <c r="AV301" t="b">
        <v>1</v>
      </c>
      <c r="AW301" t="b">
        <v>1</v>
      </c>
      <c r="AX301" s="2"/>
      <c r="AY301">
        <v>45</v>
      </c>
      <c r="AZ301">
        <v>1</v>
      </c>
      <c r="BA301">
        <v>230</v>
      </c>
      <c r="BB301" t="s">
        <v>708</v>
      </c>
      <c r="BC301">
        <v>50</v>
      </c>
      <c r="BD301" s="2">
        <v>0.16</v>
      </c>
      <c r="BE301" t="s">
        <v>929</v>
      </c>
      <c r="BF301" t="s">
        <v>921</v>
      </c>
      <c r="BG301" t="s">
        <v>939</v>
      </c>
      <c r="BH301" s="7">
        <v>60</v>
      </c>
      <c r="BI30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301">
        <v>0</v>
      </c>
      <c r="BK301" t="s">
        <v>733</v>
      </c>
      <c r="BL301" s="11">
        <v>142</v>
      </c>
      <c r="BM301" s="11">
        <v>7</v>
      </c>
      <c r="BN301" s="11">
        <v>50</v>
      </c>
      <c r="BO301">
        <v>0</v>
      </c>
      <c r="BP301" t="s">
        <v>691</v>
      </c>
      <c r="BQ301" t="s">
        <v>693</v>
      </c>
      <c r="BR301" t="s">
        <v>700</v>
      </c>
      <c r="BS301" t="s">
        <v>704</v>
      </c>
      <c r="BT301" t="s">
        <v>705</v>
      </c>
      <c r="BU301" t="s">
        <v>706</v>
      </c>
      <c r="CT301"/>
      <c r="CU301"/>
      <c r="CV301"/>
    </row>
    <row r="302" spans="1:100" x14ac:dyDescent="0.4">
      <c r="A302" s="2" t="s">
        <v>327</v>
      </c>
      <c r="B302" t="str">
        <f>_xlfn.TEXTAFTER(Table1[[#This Row],[VEHIDCODE]],"_")</f>
        <v>USA_NY_R1</v>
      </c>
      <c r="C302" t="s">
        <v>740</v>
      </c>
      <c r="D302" t="s">
        <v>966</v>
      </c>
      <c r="E302">
        <v>9006</v>
      </c>
      <c r="F302" t="b">
        <f>OR(ISNUMBER(SEARCH("wagon_",Table1[[#This Row],[FILENAMES_EXPECTED]])),ISNUMBER(SEARCH("coach_",Table1[[#This Row],[FILENAMES_EXPECTED]])))</f>
        <v>0</v>
      </c>
      <c r="G302" t="str">
        <f>"item_"&amp;Table1[[#This Row],[VEHIDCODE]]</f>
        <v>item_mtro_USA_NY_R1</v>
      </c>
      <c r="H302" t="str">
        <f>"str_"&amp;Table1[[#This Row],[VEHIDCODE]]</f>
        <v>str_mtro_USA_NY_R1</v>
      </c>
      <c r="N302" t="b">
        <v>1</v>
      </c>
      <c r="AL302" s="2"/>
      <c r="AM302" s="2" t="b">
        <f>LEN(_xlfn.CONCAT(Table1[[#This Row],[TRACK_TYPE_STANDARD_GAUGE_RAILTYPE_OHLE]:[TRACK_TYPE_MTRO]]))&gt;0</f>
        <v>1</v>
      </c>
      <c r="AN302">
        <v>8</v>
      </c>
      <c r="AO302" t="s">
        <v>325</v>
      </c>
      <c r="AP302">
        <v>1</v>
      </c>
      <c r="AQ302" t="s">
        <v>19</v>
      </c>
      <c r="AR302">
        <v>156</v>
      </c>
      <c r="AS302">
        <v>1930</v>
      </c>
      <c r="AT302">
        <v>8</v>
      </c>
      <c r="AU302" s="2" t="s">
        <v>326</v>
      </c>
      <c r="AV302" t="b">
        <v>1</v>
      </c>
      <c r="AW302" t="b">
        <v>1</v>
      </c>
      <c r="AX302" s="2"/>
      <c r="AY302">
        <v>45</v>
      </c>
      <c r="AZ302">
        <v>1</v>
      </c>
      <c r="BA302">
        <v>380</v>
      </c>
      <c r="BB302" t="s">
        <v>708</v>
      </c>
      <c r="BC302">
        <v>90</v>
      </c>
      <c r="BD302" s="2">
        <v>0.32</v>
      </c>
      <c r="BE302" t="s">
        <v>927</v>
      </c>
      <c r="BF302" t="s">
        <v>921</v>
      </c>
      <c r="BG302" t="s">
        <v>939</v>
      </c>
      <c r="BH302" s="7">
        <v>60</v>
      </c>
      <c r="BI30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302">
        <v>0</v>
      </c>
      <c r="BK302" t="s">
        <v>733</v>
      </c>
      <c r="BL302" s="11">
        <v>156</v>
      </c>
      <c r="BM302" s="11">
        <v>8</v>
      </c>
      <c r="BN302" s="11">
        <v>38</v>
      </c>
      <c r="BO302">
        <v>0</v>
      </c>
      <c r="BP302" t="s">
        <v>691</v>
      </c>
      <c r="BQ302" t="s">
        <v>693</v>
      </c>
      <c r="BR302" t="s">
        <v>700</v>
      </c>
      <c r="BS302" t="s">
        <v>704</v>
      </c>
      <c r="BT302" t="s">
        <v>705</v>
      </c>
      <c r="BU302" t="s">
        <v>706</v>
      </c>
      <c r="CT302"/>
      <c r="CU302"/>
      <c r="CV302"/>
    </row>
    <row r="303" spans="1:100" x14ac:dyDescent="0.4">
      <c r="A303" s="2" t="s">
        <v>328</v>
      </c>
      <c r="B303" t="str">
        <f>_xlfn.TEXTAFTER(Table1[[#This Row],[VEHIDCODE]],"_")</f>
        <v>Germany_DB_ET_171</v>
      </c>
      <c r="C303" t="s">
        <v>740</v>
      </c>
      <c r="D303" t="s">
        <v>966</v>
      </c>
      <c r="E303">
        <v>9008</v>
      </c>
      <c r="F303" t="b">
        <f>OR(ISNUMBER(SEARCH("wagon_",Table1[[#This Row],[FILENAMES_EXPECTED]])),ISNUMBER(SEARCH("coach_",Table1[[#This Row],[FILENAMES_EXPECTED]])))</f>
        <v>0</v>
      </c>
      <c r="G303" t="str">
        <f>"item_"&amp;Table1[[#This Row],[VEHIDCODE]]</f>
        <v>item_mtro_Germany_DB_ET_171</v>
      </c>
      <c r="H303" t="str">
        <f>"str_"&amp;Table1[[#This Row],[VEHIDCODE]]</f>
        <v>str_mtro_Germany_DB_ET_171</v>
      </c>
      <c r="N303" t="b">
        <v>1</v>
      </c>
      <c r="AL303" s="2"/>
      <c r="AM303" s="2" t="b">
        <f>LEN(_xlfn.CONCAT(Table1[[#This Row],[TRACK_TYPE_STANDARD_GAUGE_RAILTYPE_OHLE]:[TRACK_TYPE_MTRO]]))&gt;0</f>
        <v>1</v>
      </c>
      <c r="AN303">
        <v>8</v>
      </c>
      <c r="AO303" t="s">
        <v>325</v>
      </c>
      <c r="AP303">
        <v>1</v>
      </c>
      <c r="AQ303" t="s">
        <v>19</v>
      </c>
      <c r="AR303">
        <v>160</v>
      </c>
      <c r="AS303">
        <v>1942</v>
      </c>
      <c r="AT303">
        <v>8</v>
      </c>
      <c r="AU303" s="2" t="s">
        <v>326</v>
      </c>
      <c r="AV303" t="b">
        <v>1</v>
      </c>
      <c r="AW303" t="b">
        <v>1</v>
      </c>
      <c r="AX303" s="2"/>
      <c r="AY303">
        <v>45</v>
      </c>
      <c r="AZ303">
        <v>1</v>
      </c>
      <c r="BA303">
        <v>520</v>
      </c>
      <c r="BB303" t="s">
        <v>708</v>
      </c>
      <c r="BC303">
        <v>80</v>
      </c>
      <c r="BD303" s="2">
        <v>0.32</v>
      </c>
      <c r="BE303" t="s">
        <v>922</v>
      </c>
      <c r="BF303" t="s">
        <v>921</v>
      </c>
      <c r="BG303" t="s">
        <v>939</v>
      </c>
      <c r="BH303" s="7">
        <v>60</v>
      </c>
      <c r="BI30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303">
        <v>0</v>
      </c>
      <c r="BK303" t="s">
        <v>733</v>
      </c>
      <c r="BL303" s="11">
        <v>160</v>
      </c>
      <c r="BM303" s="11">
        <v>8</v>
      </c>
      <c r="BN303" s="11">
        <v>44</v>
      </c>
      <c r="BO303">
        <v>0</v>
      </c>
      <c r="BP303" t="s">
        <v>691</v>
      </c>
      <c r="BQ303" t="s">
        <v>693</v>
      </c>
      <c r="BR303" t="s">
        <v>700</v>
      </c>
      <c r="BS303" t="s">
        <v>704</v>
      </c>
      <c r="BT303" t="s">
        <v>705</v>
      </c>
      <c r="BU303" t="s">
        <v>706</v>
      </c>
      <c r="CT303"/>
      <c r="CU303"/>
      <c r="CV303"/>
    </row>
    <row r="304" spans="1:100" x14ac:dyDescent="0.4">
      <c r="A304" s="2" t="s">
        <v>329</v>
      </c>
      <c r="B304" t="str">
        <f>_xlfn.TEXTAFTER(Table1[[#This Row],[VEHIDCODE]],"_")</f>
        <v>France_Paris_M2_840</v>
      </c>
      <c r="C304" t="s">
        <v>740</v>
      </c>
      <c r="D304" t="s">
        <v>966</v>
      </c>
      <c r="E304">
        <v>9009</v>
      </c>
      <c r="F304" t="b">
        <f>OR(ISNUMBER(SEARCH("wagon_",Table1[[#This Row],[FILENAMES_EXPECTED]])),ISNUMBER(SEARCH("coach_",Table1[[#This Row],[FILENAMES_EXPECTED]])))</f>
        <v>0</v>
      </c>
      <c r="G304" t="str">
        <f>"item_"&amp;Table1[[#This Row],[VEHIDCODE]]</f>
        <v>item_mtro_France_Paris_M2_840</v>
      </c>
      <c r="H304" t="str">
        <f>"str_"&amp;Table1[[#This Row],[VEHIDCODE]]</f>
        <v>str_mtro_France_Paris_M2_840</v>
      </c>
      <c r="N304" t="b">
        <v>1</v>
      </c>
      <c r="AL304" s="2"/>
      <c r="AM304" s="2" t="b">
        <f>LEN(_xlfn.CONCAT(Table1[[#This Row],[TRACK_TYPE_STANDARD_GAUGE_RAILTYPE_OHLE]:[TRACK_TYPE_MTRO]]))&gt;0</f>
        <v>1</v>
      </c>
      <c r="AN304">
        <v>7</v>
      </c>
      <c r="AO304" t="s">
        <v>325</v>
      </c>
      <c r="AP304">
        <v>1</v>
      </c>
      <c r="AQ304" t="s">
        <v>19</v>
      </c>
      <c r="AR304">
        <v>140</v>
      </c>
      <c r="AS304">
        <v>1957</v>
      </c>
      <c r="AT304">
        <v>7</v>
      </c>
      <c r="AU304" s="2" t="s">
        <v>326</v>
      </c>
      <c r="AV304" t="b">
        <v>1</v>
      </c>
      <c r="AW304" t="b">
        <v>1</v>
      </c>
      <c r="AX304" s="2"/>
      <c r="AY304">
        <v>45</v>
      </c>
      <c r="AZ304">
        <v>1</v>
      </c>
      <c r="BA304">
        <v>450</v>
      </c>
      <c r="BB304" t="s">
        <v>708</v>
      </c>
      <c r="BC304">
        <v>80</v>
      </c>
      <c r="BD304" s="2">
        <v>0.32</v>
      </c>
      <c r="BE304" t="s">
        <v>922</v>
      </c>
      <c r="BF304" t="s">
        <v>921</v>
      </c>
      <c r="BG304" t="s">
        <v>939</v>
      </c>
      <c r="BH304" s="7">
        <v>60</v>
      </c>
      <c r="BI30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304">
        <v>0</v>
      </c>
      <c r="BK304" t="s">
        <v>733</v>
      </c>
      <c r="BL304" s="11">
        <v>140</v>
      </c>
      <c r="BM304" s="11">
        <v>7</v>
      </c>
      <c r="BN304" s="11">
        <v>37</v>
      </c>
      <c r="BO304">
        <v>0</v>
      </c>
      <c r="BP304" t="s">
        <v>691</v>
      </c>
      <c r="BQ304" t="s">
        <v>693</v>
      </c>
      <c r="BR304" t="s">
        <v>700</v>
      </c>
      <c r="BS304" t="s">
        <v>704</v>
      </c>
      <c r="BT304" t="s">
        <v>705</v>
      </c>
      <c r="BU304" t="s">
        <v>706</v>
      </c>
      <c r="CT304"/>
      <c r="CU304"/>
      <c r="CV304"/>
    </row>
    <row r="305" spans="1:100" x14ac:dyDescent="0.4">
      <c r="A305" s="2" t="s">
        <v>330</v>
      </c>
      <c r="B305" t="str">
        <f>_xlfn.TEXTAFTER(Table1[[#This Row],[VEHIDCODE]],"_")</f>
        <v>Portugal_Lisbon_ML7</v>
      </c>
      <c r="C305" t="s">
        <v>740</v>
      </c>
      <c r="D305" t="s">
        <v>966</v>
      </c>
      <c r="E305">
        <v>9010</v>
      </c>
      <c r="F305" t="b">
        <f>OR(ISNUMBER(SEARCH("wagon_",Table1[[#This Row],[FILENAMES_EXPECTED]])),ISNUMBER(SEARCH("coach_",Table1[[#This Row],[FILENAMES_EXPECTED]])))</f>
        <v>0</v>
      </c>
      <c r="G305" t="str">
        <f>"item_"&amp;Table1[[#This Row],[VEHIDCODE]]</f>
        <v>item_mtro_Portugal_Lisbon_ML7</v>
      </c>
      <c r="H305" t="str">
        <f>"str_"&amp;Table1[[#This Row],[VEHIDCODE]]</f>
        <v>str_mtro_Portugal_Lisbon_ML7</v>
      </c>
      <c r="N305" t="b">
        <v>1</v>
      </c>
      <c r="AL305" s="2"/>
      <c r="AM305" s="2" t="b">
        <f>LEN(_xlfn.CONCAT(Table1[[#This Row],[TRACK_TYPE_STANDARD_GAUGE_RAILTYPE_OHLE]:[TRACK_TYPE_MTRO]]))&gt;0</f>
        <v>1</v>
      </c>
      <c r="AN305">
        <v>8</v>
      </c>
      <c r="AO305" t="s">
        <v>325</v>
      </c>
      <c r="AP305">
        <v>1</v>
      </c>
      <c r="AQ305" t="s">
        <v>19</v>
      </c>
      <c r="AR305">
        <v>160</v>
      </c>
      <c r="AS305">
        <v>1959</v>
      </c>
      <c r="AT305">
        <v>8</v>
      </c>
      <c r="AU305" s="2" t="s">
        <v>326</v>
      </c>
      <c r="AV305" t="b">
        <v>1</v>
      </c>
      <c r="AW305" t="b">
        <v>1</v>
      </c>
      <c r="AX305" s="2"/>
      <c r="AY305">
        <v>45</v>
      </c>
      <c r="AZ305">
        <v>1</v>
      </c>
      <c r="BA305">
        <v>535</v>
      </c>
      <c r="BB305" t="s">
        <v>708</v>
      </c>
      <c r="BC305">
        <v>60</v>
      </c>
      <c r="BD305" s="2">
        <v>0.48</v>
      </c>
      <c r="BE305" t="s">
        <v>923</v>
      </c>
      <c r="BF305" t="s">
        <v>921</v>
      </c>
      <c r="BG305" t="s">
        <v>939</v>
      </c>
      <c r="BH305" s="7">
        <v>60</v>
      </c>
      <c r="BI30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305">
        <v>0</v>
      </c>
      <c r="BK305" t="s">
        <v>733</v>
      </c>
      <c r="BL305" s="11">
        <v>160</v>
      </c>
      <c r="BM305" s="11">
        <v>8</v>
      </c>
      <c r="BN305" s="11">
        <v>35</v>
      </c>
      <c r="BO305">
        <v>0</v>
      </c>
      <c r="BP305" t="s">
        <v>691</v>
      </c>
      <c r="BQ305" t="s">
        <v>693</v>
      </c>
      <c r="BR305" t="s">
        <v>700</v>
      </c>
      <c r="BS305" t="s">
        <v>704</v>
      </c>
      <c r="BT305" t="s">
        <v>705</v>
      </c>
      <c r="BU305" t="s">
        <v>706</v>
      </c>
      <c r="CT305"/>
      <c r="CU305"/>
      <c r="CV305"/>
    </row>
    <row r="306" spans="1:100" x14ac:dyDescent="0.4">
      <c r="A306" s="2" t="s">
        <v>331</v>
      </c>
      <c r="B306" t="str">
        <f>_xlfn.TEXTAFTER(Table1[[#This Row],[VEHIDCODE]],"_")</f>
        <v>Hungary_Budapest_Ev3_200</v>
      </c>
      <c r="C306" t="s">
        <v>740</v>
      </c>
      <c r="D306" t="s">
        <v>966</v>
      </c>
      <c r="E306">
        <v>9011</v>
      </c>
      <c r="F306" t="b">
        <f>OR(ISNUMBER(SEARCH("wagon_",Table1[[#This Row],[FILENAMES_EXPECTED]])),ISNUMBER(SEARCH("coach_",Table1[[#This Row],[FILENAMES_EXPECTED]])))</f>
        <v>0</v>
      </c>
      <c r="G306" t="str">
        <f>"item_"&amp;Table1[[#This Row],[VEHIDCODE]]</f>
        <v>item_mtro_Hungary_Budapest_Ev3_200</v>
      </c>
      <c r="H306" t="str">
        <f>"str_"&amp;Table1[[#This Row],[VEHIDCODE]]</f>
        <v>str_mtro_Hungary_Budapest_Ev3_200</v>
      </c>
      <c r="N306" t="b">
        <v>1</v>
      </c>
      <c r="AL306" s="2"/>
      <c r="AM306" s="2" t="b">
        <f>LEN(_xlfn.CONCAT(Table1[[#This Row],[TRACK_TYPE_STANDARD_GAUGE_RAILTYPE_OHLE]:[TRACK_TYPE_MTRO]]))&gt;0</f>
        <v>1</v>
      </c>
      <c r="AN306">
        <v>8</v>
      </c>
      <c r="AO306" t="s">
        <v>325</v>
      </c>
      <c r="AP306">
        <v>1</v>
      </c>
      <c r="AQ306" t="s">
        <v>19</v>
      </c>
      <c r="AR306">
        <v>150</v>
      </c>
      <c r="AS306">
        <v>1960</v>
      </c>
      <c r="AT306">
        <v>8</v>
      </c>
      <c r="AU306" s="2" t="s">
        <v>326</v>
      </c>
      <c r="AV306" t="b">
        <v>1</v>
      </c>
      <c r="AW306" t="b">
        <v>1</v>
      </c>
      <c r="AX306" s="2"/>
      <c r="AY306">
        <v>45</v>
      </c>
      <c r="AZ306">
        <v>1</v>
      </c>
      <c r="BA306">
        <v>500</v>
      </c>
      <c r="BB306" t="s">
        <v>708</v>
      </c>
      <c r="BC306">
        <v>100</v>
      </c>
      <c r="BD306" s="2">
        <v>0.22</v>
      </c>
      <c r="BE306" t="s">
        <v>928</v>
      </c>
      <c r="BF306" t="s">
        <v>921</v>
      </c>
      <c r="BG306" t="s">
        <v>939</v>
      </c>
      <c r="BH306" s="7">
        <v>60</v>
      </c>
      <c r="BI30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306">
        <v>0</v>
      </c>
      <c r="BK306" t="s">
        <v>733</v>
      </c>
      <c r="BL306" s="11">
        <v>150</v>
      </c>
      <c r="BM306" s="11">
        <v>8</v>
      </c>
      <c r="BN306" s="11">
        <v>45</v>
      </c>
      <c r="BO306">
        <v>0</v>
      </c>
      <c r="BP306" t="s">
        <v>691</v>
      </c>
      <c r="BQ306" t="s">
        <v>693</v>
      </c>
      <c r="BR306" t="s">
        <v>700</v>
      </c>
      <c r="BS306" t="s">
        <v>704</v>
      </c>
      <c r="BT306" t="s">
        <v>705</v>
      </c>
      <c r="BU306" t="s">
        <v>706</v>
      </c>
      <c r="CT306"/>
      <c r="CU306"/>
      <c r="CV306"/>
    </row>
    <row r="307" spans="1:100" x14ac:dyDescent="0.4">
      <c r="A307" s="2" t="s">
        <v>332</v>
      </c>
      <c r="B307" t="str">
        <f>_xlfn.TEXTAFTER(Table1[[#This Row],[VEHIDCODE]],"_")</f>
        <v>Norway_Oslo_T1000</v>
      </c>
      <c r="C307" t="s">
        <v>740</v>
      </c>
      <c r="D307" t="s">
        <v>966</v>
      </c>
      <c r="E307">
        <v>9012</v>
      </c>
      <c r="F307" t="b">
        <f>OR(ISNUMBER(SEARCH("wagon_",Table1[[#This Row],[FILENAMES_EXPECTED]])),ISNUMBER(SEARCH("coach_",Table1[[#This Row],[FILENAMES_EXPECTED]])))</f>
        <v>0</v>
      </c>
      <c r="G307" t="str">
        <f>"item_"&amp;Table1[[#This Row],[VEHIDCODE]]</f>
        <v>item_mtro_Norway_Oslo_T1000</v>
      </c>
      <c r="H307" t="str">
        <f>"str_"&amp;Table1[[#This Row],[VEHIDCODE]]</f>
        <v>str_mtro_Norway_Oslo_T1000</v>
      </c>
      <c r="N307" t="b">
        <v>1</v>
      </c>
      <c r="AL307" s="2"/>
      <c r="AM307" s="2" t="b">
        <f>LEN(_xlfn.CONCAT(Table1[[#This Row],[TRACK_TYPE_STANDARD_GAUGE_RAILTYPE_OHLE]:[TRACK_TYPE_MTRO]]))&gt;0</f>
        <v>1</v>
      </c>
      <c r="AN307">
        <v>7</v>
      </c>
      <c r="AO307" t="s">
        <v>325</v>
      </c>
      <c r="AP307">
        <v>1</v>
      </c>
      <c r="AQ307" t="s">
        <v>19</v>
      </c>
      <c r="AR307">
        <v>180</v>
      </c>
      <c r="AS307">
        <v>1964</v>
      </c>
      <c r="AT307">
        <v>7</v>
      </c>
      <c r="AU307" s="2" t="s">
        <v>326</v>
      </c>
      <c r="AV307" t="b">
        <v>1</v>
      </c>
      <c r="AW307" t="b">
        <v>1</v>
      </c>
      <c r="AX307" s="2"/>
      <c r="AY307">
        <v>45</v>
      </c>
      <c r="AZ307">
        <v>1</v>
      </c>
      <c r="BA307">
        <v>131</v>
      </c>
      <c r="BB307" t="s">
        <v>708</v>
      </c>
      <c r="BC307">
        <v>70</v>
      </c>
      <c r="BD307" s="2">
        <v>0.55000000000000004</v>
      </c>
      <c r="BE307" t="s">
        <v>926</v>
      </c>
      <c r="BF307" t="s">
        <v>921</v>
      </c>
      <c r="BG307" t="s">
        <v>939</v>
      </c>
      <c r="BH307" s="7">
        <v>60</v>
      </c>
      <c r="BI30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307">
        <v>0</v>
      </c>
      <c r="BK307" t="s">
        <v>733</v>
      </c>
      <c r="BL307" s="11">
        <v>180</v>
      </c>
      <c r="BM307" s="11">
        <v>7</v>
      </c>
      <c r="BN307" s="11">
        <v>28</v>
      </c>
      <c r="BO307">
        <v>0</v>
      </c>
      <c r="BP307" t="s">
        <v>691</v>
      </c>
      <c r="BQ307" t="s">
        <v>693</v>
      </c>
      <c r="BR307" t="s">
        <v>700</v>
      </c>
      <c r="BS307" t="s">
        <v>704</v>
      </c>
      <c r="BT307" t="s">
        <v>705</v>
      </c>
      <c r="BU307" t="s">
        <v>706</v>
      </c>
      <c r="CT307"/>
      <c r="CU307"/>
      <c r="CV307"/>
    </row>
    <row r="308" spans="1:100" x14ac:dyDescent="0.4">
      <c r="A308" s="2" t="s">
        <v>333</v>
      </c>
      <c r="B308" t="str">
        <f>_xlfn.TEXTAFTER(Table1[[#This Row],[VEHIDCODE]],"_")</f>
        <v>Canada_Toronto_H_series</v>
      </c>
      <c r="C308" t="s">
        <v>740</v>
      </c>
      <c r="D308" t="s">
        <v>966</v>
      </c>
      <c r="E308">
        <v>9013</v>
      </c>
      <c r="F308" t="b">
        <f>OR(ISNUMBER(SEARCH("wagon_",Table1[[#This Row],[FILENAMES_EXPECTED]])),ISNUMBER(SEARCH("coach_",Table1[[#This Row],[FILENAMES_EXPECTED]])))</f>
        <v>0</v>
      </c>
      <c r="G308" t="str">
        <f>"item_"&amp;Table1[[#This Row],[VEHIDCODE]]</f>
        <v>item_mtro_Canada_Toronto_H_series</v>
      </c>
      <c r="H308" t="str">
        <f>"str_"&amp;Table1[[#This Row],[VEHIDCODE]]</f>
        <v>str_mtro_Canada_Toronto_H_series</v>
      </c>
      <c r="N308" t="b">
        <v>1</v>
      </c>
      <c r="AL308" s="2"/>
      <c r="AM308" s="2" t="b">
        <f>LEN(_xlfn.CONCAT(Table1[[#This Row],[TRACK_TYPE_STANDARD_GAUGE_RAILTYPE_OHLE]:[TRACK_TYPE_MTRO]]))&gt;0</f>
        <v>1</v>
      </c>
      <c r="AN308">
        <v>8</v>
      </c>
      <c r="AO308" t="s">
        <v>325</v>
      </c>
      <c r="AP308">
        <v>1</v>
      </c>
      <c r="AQ308" t="s">
        <v>19</v>
      </c>
      <c r="AR308">
        <v>210</v>
      </c>
      <c r="AS308">
        <v>1965</v>
      </c>
      <c r="AT308">
        <v>8</v>
      </c>
      <c r="AU308" s="2" t="s">
        <v>326</v>
      </c>
      <c r="AV308" t="b">
        <v>1</v>
      </c>
      <c r="AW308" t="b">
        <v>1</v>
      </c>
      <c r="AX308" s="2"/>
      <c r="AY308">
        <v>45</v>
      </c>
      <c r="AZ308">
        <v>1</v>
      </c>
      <c r="BA308">
        <v>484</v>
      </c>
      <c r="BB308" t="s">
        <v>708</v>
      </c>
      <c r="BC308">
        <v>88</v>
      </c>
      <c r="BD308" s="2">
        <v>0.31</v>
      </c>
      <c r="BE308" t="s">
        <v>927</v>
      </c>
      <c r="BF308" t="s">
        <v>921</v>
      </c>
      <c r="BG308" t="s">
        <v>939</v>
      </c>
      <c r="BH308" s="7">
        <v>60</v>
      </c>
      <c r="BI30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308">
        <v>0</v>
      </c>
      <c r="BK308" t="s">
        <v>733</v>
      </c>
      <c r="BL308" s="11">
        <v>210</v>
      </c>
      <c r="BM308" s="11">
        <v>8</v>
      </c>
      <c r="BN308" s="11">
        <v>51</v>
      </c>
      <c r="BO308">
        <v>0</v>
      </c>
      <c r="BP308" t="s">
        <v>691</v>
      </c>
      <c r="BQ308" t="s">
        <v>693</v>
      </c>
      <c r="BR308" t="s">
        <v>700</v>
      </c>
      <c r="BS308" t="s">
        <v>704</v>
      </c>
      <c r="BT308" t="s">
        <v>705</v>
      </c>
      <c r="BU308" t="s">
        <v>706</v>
      </c>
      <c r="CT308"/>
      <c r="CU308"/>
      <c r="CV308"/>
    </row>
    <row r="309" spans="1:100" x14ac:dyDescent="0.4">
      <c r="A309" s="2" t="s">
        <v>334</v>
      </c>
      <c r="B309" t="str">
        <f>_xlfn.TEXTAFTER(Table1[[#This Row],[VEHIDCODE]],"_")</f>
        <v>Germany_Munchen_MVG_A2</v>
      </c>
      <c r="C309" t="s">
        <v>740</v>
      </c>
      <c r="D309" t="s">
        <v>966</v>
      </c>
      <c r="E309">
        <v>9014</v>
      </c>
      <c r="F309" t="b">
        <f>OR(ISNUMBER(SEARCH("wagon_",Table1[[#This Row],[FILENAMES_EXPECTED]])),ISNUMBER(SEARCH("coach_",Table1[[#This Row],[FILENAMES_EXPECTED]])))</f>
        <v>0</v>
      </c>
      <c r="G309" t="str">
        <f>"item_"&amp;Table1[[#This Row],[VEHIDCODE]]</f>
        <v>item_mtro_Germany_Munchen_MVG_A2</v>
      </c>
      <c r="H309" t="str">
        <f>"str_"&amp;Table1[[#This Row],[VEHIDCODE]]</f>
        <v>str_mtro_Germany_Munchen_MVG_A2</v>
      </c>
      <c r="N309" t="b">
        <v>1</v>
      </c>
      <c r="AL309" s="2"/>
      <c r="AM309" s="2" t="b">
        <f>LEN(_xlfn.CONCAT(Table1[[#This Row],[TRACK_TYPE_STANDARD_GAUGE_RAILTYPE_OHLE]:[TRACK_TYPE_MTRO]]))&gt;0</f>
        <v>1</v>
      </c>
      <c r="AN309">
        <v>8</v>
      </c>
      <c r="AO309" t="s">
        <v>325</v>
      </c>
      <c r="AP309">
        <v>1</v>
      </c>
      <c r="AQ309" t="s">
        <v>19</v>
      </c>
      <c r="AR309">
        <v>195</v>
      </c>
      <c r="AS309">
        <v>1967</v>
      </c>
      <c r="AT309">
        <v>8</v>
      </c>
      <c r="AU309" s="2" t="s">
        <v>326</v>
      </c>
      <c r="AV309" t="b">
        <v>1</v>
      </c>
      <c r="AW309" t="b">
        <v>1</v>
      </c>
      <c r="AX309" s="2"/>
      <c r="AY309">
        <v>45</v>
      </c>
      <c r="AZ309">
        <v>1</v>
      </c>
      <c r="BA309">
        <v>480</v>
      </c>
      <c r="BB309" t="s">
        <v>708</v>
      </c>
      <c r="BC309">
        <v>80</v>
      </c>
      <c r="BD309" s="2">
        <v>0.38</v>
      </c>
      <c r="BE309" t="s">
        <v>922</v>
      </c>
      <c r="BF309" t="s">
        <v>921</v>
      </c>
      <c r="BG309" t="s">
        <v>939</v>
      </c>
      <c r="BH309" s="7">
        <v>60</v>
      </c>
      <c r="BI30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309">
        <v>0</v>
      </c>
      <c r="BK309" t="s">
        <v>733</v>
      </c>
      <c r="BL309" s="11">
        <v>195</v>
      </c>
      <c r="BM309" s="11">
        <v>8</v>
      </c>
      <c r="BN309" s="11">
        <v>26</v>
      </c>
      <c r="BO309">
        <v>0</v>
      </c>
      <c r="BP309" t="s">
        <v>691</v>
      </c>
      <c r="BQ309" t="s">
        <v>693</v>
      </c>
      <c r="BR309" t="s">
        <v>700</v>
      </c>
      <c r="BS309" t="s">
        <v>704</v>
      </c>
      <c r="BT309" t="s">
        <v>705</v>
      </c>
      <c r="BU309" t="s">
        <v>706</v>
      </c>
      <c r="CT309"/>
      <c r="CU309"/>
      <c r="CV309"/>
    </row>
    <row r="310" spans="1:100" x14ac:dyDescent="0.4">
      <c r="A310" s="2" t="s">
        <v>335</v>
      </c>
      <c r="B310" t="str">
        <f>_xlfn.TEXTAFTER(Table1[[#This Row],[VEHIDCODE]],"_")</f>
        <v>USA_NY_R44</v>
      </c>
      <c r="C310" t="s">
        <v>740</v>
      </c>
      <c r="D310" t="s">
        <v>966</v>
      </c>
      <c r="E310">
        <v>9015</v>
      </c>
      <c r="F310" t="b">
        <f>OR(ISNUMBER(SEARCH("wagon_",Table1[[#This Row],[FILENAMES_EXPECTED]])),ISNUMBER(SEARCH("coach_",Table1[[#This Row],[FILENAMES_EXPECTED]])))</f>
        <v>0</v>
      </c>
      <c r="G310" t="str">
        <f>"item_"&amp;Table1[[#This Row],[VEHIDCODE]]</f>
        <v>item_mtro_USA_NY_R44</v>
      </c>
      <c r="H310" t="str">
        <f>"str_"&amp;Table1[[#This Row],[VEHIDCODE]]</f>
        <v>str_mtro_USA_NY_R44</v>
      </c>
      <c r="N310" t="b">
        <v>1</v>
      </c>
      <c r="AL310" s="2"/>
      <c r="AM310" s="2" t="b">
        <f>LEN(_xlfn.CONCAT(Table1[[#This Row],[TRACK_TYPE_STANDARD_GAUGE_RAILTYPE_OHLE]:[TRACK_TYPE_MTRO]]))&gt;0</f>
        <v>1</v>
      </c>
      <c r="AN310">
        <v>8</v>
      </c>
      <c r="AO310" t="s">
        <v>325</v>
      </c>
      <c r="AP310">
        <v>1</v>
      </c>
      <c r="AQ310" t="s">
        <v>19</v>
      </c>
      <c r="AR310">
        <v>162</v>
      </c>
      <c r="AS310">
        <v>1971</v>
      </c>
      <c r="AT310">
        <v>8</v>
      </c>
      <c r="AU310" s="2" t="s">
        <v>326</v>
      </c>
      <c r="AV310" t="b">
        <v>1</v>
      </c>
      <c r="AW310" t="b">
        <v>1</v>
      </c>
      <c r="AX310" s="2"/>
      <c r="AY310">
        <v>45</v>
      </c>
      <c r="AZ310">
        <v>1</v>
      </c>
      <c r="BA310">
        <v>460</v>
      </c>
      <c r="BB310" t="s">
        <v>708</v>
      </c>
      <c r="BC310">
        <v>90</v>
      </c>
      <c r="BD310" s="2">
        <v>0.32</v>
      </c>
      <c r="BE310" t="s">
        <v>927</v>
      </c>
      <c r="BF310" t="s">
        <v>921</v>
      </c>
      <c r="BG310" t="s">
        <v>939</v>
      </c>
      <c r="BH310" s="7">
        <v>60</v>
      </c>
      <c r="BI31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310">
        <v>0</v>
      </c>
      <c r="BK310" t="s">
        <v>733</v>
      </c>
      <c r="BL310" s="11">
        <v>162</v>
      </c>
      <c r="BM310" s="11">
        <v>8</v>
      </c>
      <c r="BN310" s="11">
        <v>40</v>
      </c>
      <c r="BO310">
        <v>0</v>
      </c>
      <c r="BP310" t="s">
        <v>691</v>
      </c>
      <c r="BQ310" t="s">
        <v>693</v>
      </c>
      <c r="BR310" t="s">
        <v>700</v>
      </c>
      <c r="BS310" t="s">
        <v>704</v>
      </c>
      <c r="BT310" t="s">
        <v>705</v>
      </c>
      <c r="BU310" t="s">
        <v>706</v>
      </c>
      <c r="CT310"/>
      <c r="CU310"/>
      <c r="CV310"/>
    </row>
    <row r="311" spans="1:100" x14ac:dyDescent="0.4">
      <c r="A311" s="2" t="s">
        <v>336</v>
      </c>
      <c r="B311" t="str">
        <f>_xlfn.TEXTAFTER(Table1[[#This Row],[VEHIDCODE]],"_")</f>
        <v>Netherlands_Amsterdam_Type_M1</v>
      </c>
      <c r="C311" t="s">
        <v>740</v>
      </c>
      <c r="D311" t="s">
        <v>966</v>
      </c>
      <c r="E311">
        <v>9016</v>
      </c>
      <c r="F311" t="b">
        <f>OR(ISNUMBER(SEARCH("wagon_",Table1[[#This Row],[FILENAMES_EXPECTED]])),ISNUMBER(SEARCH("coach_",Table1[[#This Row],[FILENAMES_EXPECTED]])))</f>
        <v>0</v>
      </c>
      <c r="G311" t="str">
        <f>"item_"&amp;Table1[[#This Row],[VEHIDCODE]]</f>
        <v>item_mtro_Netherlands_Amsterdam_Type_M1</v>
      </c>
      <c r="H311" t="str">
        <f>"str_"&amp;Table1[[#This Row],[VEHIDCODE]]</f>
        <v>str_mtro_Netherlands_Amsterdam_Type_M1</v>
      </c>
      <c r="N311" t="b">
        <v>1</v>
      </c>
      <c r="AL311" s="2"/>
      <c r="AM311" s="2" t="b">
        <f>LEN(_xlfn.CONCAT(Table1[[#This Row],[TRACK_TYPE_STANDARD_GAUGE_RAILTYPE_OHLE]:[TRACK_TYPE_MTRO]]))&gt;0</f>
        <v>1</v>
      </c>
      <c r="AN311">
        <v>8</v>
      </c>
      <c r="AO311" t="s">
        <v>325</v>
      </c>
      <c r="AP311">
        <v>1</v>
      </c>
      <c r="AQ311" t="s">
        <v>19</v>
      </c>
      <c r="AR311">
        <v>174</v>
      </c>
      <c r="AS311">
        <v>1973</v>
      </c>
      <c r="AT311">
        <v>8</v>
      </c>
      <c r="AU311" s="2" t="s">
        <v>326</v>
      </c>
      <c r="AV311" t="b">
        <v>1</v>
      </c>
      <c r="AW311" t="b">
        <v>1</v>
      </c>
      <c r="AX311" s="2"/>
      <c r="AY311">
        <v>45</v>
      </c>
      <c r="AZ311">
        <v>1</v>
      </c>
      <c r="BA311">
        <v>580</v>
      </c>
      <c r="BB311" t="s">
        <v>708</v>
      </c>
      <c r="BC311">
        <v>90</v>
      </c>
      <c r="BD311" s="2">
        <v>0.73</v>
      </c>
      <c r="BE311" t="s">
        <v>922</v>
      </c>
      <c r="BF311" t="s">
        <v>921</v>
      </c>
      <c r="BG311" t="s">
        <v>939</v>
      </c>
      <c r="BH311" s="7">
        <v>60</v>
      </c>
      <c r="BI31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311">
        <v>0</v>
      </c>
      <c r="BK311" t="s">
        <v>733</v>
      </c>
      <c r="BL311" s="11">
        <v>174</v>
      </c>
      <c r="BM311" s="11">
        <v>7</v>
      </c>
      <c r="BN311" s="11">
        <v>31</v>
      </c>
      <c r="BO311">
        <v>0</v>
      </c>
      <c r="BP311" t="s">
        <v>691</v>
      </c>
      <c r="BQ311" t="s">
        <v>693</v>
      </c>
      <c r="BR311" t="s">
        <v>700</v>
      </c>
      <c r="BS311" t="s">
        <v>704</v>
      </c>
      <c r="BT311" t="s">
        <v>705</v>
      </c>
      <c r="BU311" t="s">
        <v>706</v>
      </c>
      <c r="CT311"/>
      <c r="CU311"/>
      <c r="CV311"/>
    </row>
    <row r="312" spans="1:100" x14ac:dyDescent="0.4">
      <c r="A312" s="2" t="s">
        <v>337</v>
      </c>
      <c r="B312" t="str">
        <f>_xlfn.TEXTAFTER(Table1[[#This Row],[VEHIDCODE]],"_")</f>
        <v>Sweden_Stockholm_C8</v>
      </c>
      <c r="C312" t="s">
        <v>740</v>
      </c>
      <c r="D312" t="s">
        <v>966</v>
      </c>
      <c r="E312">
        <v>9017</v>
      </c>
      <c r="F312" t="b">
        <f>OR(ISNUMBER(SEARCH("wagon_",Table1[[#This Row],[FILENAMES_EXPECTED]])),ISNUMBER(SEARCH("coach_",Table1[[#This Row],[FILENAMES_EXPECTED]])))</f>
        <v>0</v>
      </c>
      <c r="G312" t="str">
        <f>"item_"&amp;Table1[[#This Row],[VEHIDCODE]]</f>
        <v>item_mtro_Sweden_Stockholm_C8</v>
      </c>
      <c r="H312" t="str">
        <f>"str_"&amp;Table1[[#This Row],[VEHIDCODE]]</f>
        <v>str_mtro_Sweden_Stockholm_C8</v>
      </c>
      <c r="N312" t="b">
        <v>1</v>
      </c>
      <c r="AL312" s="2"/>
      <c r="AM312" s="2" t="b">
        <f>LEN(_xlfn.CONCAT(Table1[[#This Row],[TRACK_TYPE_STANDARD_GAUGE_RAILTYPE_OHLE]:[TRACK_TYPE_MTRO]]))&gt;0</f>
        <v>1</v>
      </c>
      <c r="AN312">
        <v>8</v>
      </c>
      <c r="AO312" t="s">
        <v>325</v>
      </c>
      <c r="AP312">
        <v>1</v>
      </c>
      <c r="AQ312" t="s">
        <v>19</v>
      </c>
      <c r="AR312">
        <v>158</v>
      </c>
      <c r="AS312">
        <v>1974</v>
      </c>
      <c r="AT312">
        <v>8</v>
      </c>
      <c r="AU312" s="2" t="s">
        <v>326</v>
      </c>
      <c r="AV312" t="b">
        <v>1</v>
      </c>
      <c r="AW312" t="b">
        <v>1</v>
      </c>
      <c r="AX312" s="2"/>
      <c r="AY312">
        <v>45</v>
      </c>
      <c r="AZ312">
        <v>1</v>
      </c>
      <c r="BA312">
        <v>470</v>
      </c>
      <c r="BB312" t="s">
        <v>708</v>
      </c>
      <c r="BC312">
        <v>90</v>
      </c>
      <c r="BD312" s="2">
        <v>0.38</v>
      </c>
      <c r="BE312" t="s">
        <v>926</v>
      </c>
      <c r="BF312" t="s">
        <v>921</v>
      </c>
      <c r="BG312" t="s">
        <v>939</v>
      </c>
      <c r="BH312" s="7">
        <v>60</v>
      </c>
      <c r="BI31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312">
        <v>0</v>
      </c>
      <c r="BK312" t="s">
        <v>733</v>
      </c>
      <c r="BL312" s="11">
        <v>158</v>
      </c>
      <c r="BM312" s="11">
        <v>8</v>
      </c>
      <c r="BN312" s="11">
        <v>23</v>
      </c>
      <c r="BO312">
        <v>0</v>
      </c>
      <c r="BP312" t="s">
        <v>691</v>
      </c>
      <c r="BQ312" t="s">
        <v>693</v>
      </c>
      <c r="BR312" t="s">
        <v>700</v>
      </c>
      <c r="BS312" t="s">
        <v>704</v>
      </c>
      <c r="BT312" t="s">
        <v>705</v>
      </c>
      <c r="BU312" t="s">
        <v>706</v>
      </c>
      <c r="CT312"/>
      <c r="CU312"/>
      <c r="CV312"/>
    </row>
    <row r="313" spans="1:100" x14ac:dyDescent="0.4">
      <c r="A313" s="2" t="s">
        <v>338</v>
      </c>
      <c r="B313" t="str">
        <f>_xlfn.TEXTAFTER(Table1[[#This Row],[VEHIDCODE]],"_")</f>
        <v>North_Korea_Pyongyang_D_stock</v>
      </c>
      <c r="C313" t="s">
        <v>740</v>
      </c>
      <c r="D313" t="s">
        <v>966</v>
      </c>
      <c r="E313">
        <v>9018</v>
      </c>
      <c r="F313" t="b">
        <f>OR(ISNUMBER(SEARCH("wagon_",Table1[[#This Row],[FILENAMES_EXPECTED]])),ISNUMBER(SEARCH("coach_",Table1[[#This Row],[FILENAMES_EXPECTED]])))</f>
        <v>0</v>
      </c>
      <c r="G313" t="str">
        <f>"item_"&amp;Table1[[#This Row],[VEHIDCODE]]</f>
        <v>item_mtro_North_Korea_Pyongyang_D_stock</v>
      </c>
      <c r="H313" t="str">
        <f>"str_"&amp;Table1[[#This Row],[VEHIDCODE]]</f>
        <v>str_mtro_North_Korea_Pyongyang_D_stock</v>
      </c>
      <c r="N313" t="b">
        <v>1</v>
      </c>
      <c r="AL313" s="2"/>
      <c r="AM313" s="2" t="b">
        <f>LEN(_xlfn.CONCAT(Table1[[#This Row],[TRACK_TYPE_STANDARD_GAUGE_RAILTYPE_OHLE]:[TRACK_TYPE_MTRO]]))&gt;0</f>
        <v>1</v>
      </c>
      <c r="AN313">
        <v>8</v>
      </c>
      <c r="AO313" t="s">
        <v>325</v>
      </c>
      <c r="AP313">
        <v>1</v>
      </c>
      <c r="AQ313" t="s">
        <v>19</v>
      </c>
      <c r="AR313">
        <v>180</v>
      </c>
      <c r="AS313">
        <v>1975</v>
      </c>
      <c r="AT313">
        <v>8</v>
      </c>
      <c r="AU313" s="2" t="s">
        <v>326</v>
      </c>
      <c r="AV313" t="b">
        <v>1</v>
      </c>
      <c r="AW313" t="b">
        <v>1</v>
      </c>
      <c r="AX313" s="2"/>
      <c r="AY313">
        <v>45</v>
      </c>
      <c r="AZ313">
        <v>1</v>
      </c>
      <c r="BA313">
        <v>350</v>
      </c>
      <c r="BB313" t="s">
        <v>708</v>
      </c>
      <c r="BC313">
        <v>100</v>
      </c>
      <c r="BD313" s="2">
        <v>0.38</v>
      </c>
      <c r="BE313" t="s">
        <v>930</v>
      </c>
      <c r="BF313" t="s">
        <v>921</v>
      </c>
      <c r="BG313" t="s">
        <v>939</v>
      </c>
      <c r="BH313" s="7">
        <v>60</v>
      </c>
      <c r="BI31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313">
        <v>0</v>
      </c>
      <c r="BK313" t="s">
        <v>733</v>
      </c>
      <c r="BL313" s="11">
        <v>180</v>
      </c>
      <c r="BM313" s="11">
        <v>8</v>
      </c>
      <c r="BN313" s="11">
        <v>40</v>
      </c>
      <c r="BO313">
        <v>0</v>
      </c>
      <c r="BP313" t="s">
        <v>691</v>
      </c>
      <c r="BQ313" t="s">
        <v>693</v>
      </c>
      <c r="BR313" t="s">
        <v>700</v>
      </c>
      <c r="BS313" t="s">
        <v>704</v>
      </c>
      <c r="BT313" t="s">
        <v>705</v>
      </c>
      <c r="BU313" t="s">
        <v>706</v>
      </c>
      <c r="CT313"/>
      <c r="CU313"/>
      <c r="CV313"/>
    </row>
    <row r="314" spans="1:100" x14ac:dyDescent="0.4">
      <c r="A314" s="2" t="s">
        <v>339</v>
      </c>
      <c r="B314" t="str">
        <f>_xlfn.TEXTAFTER(Table1[[#This Row],[VEHIDCODE]],"_")</f>
        <v>Finland_Helsinki_M100</v>
      </c>
      <c r="C314" t="s">
        <v>740</v>
      </c>
      <c r="D314" t="s">
        <v>966</v>
      </c>
      <c r="E314">
        <v>9019</v>
      </c>
      <c r="F314" t="b">
        <f>OR(ISNUMBER(SEARCH("wagon_",Table1[[#This Row],[FILENAMES_EXPECTED]])),ISNUMBER(SEARCH("coach_",Table1[[#This Row],[FILENAMES_EXPECTED]])))</f>
        <v>0</v>
      </c>
      <c r="G314" t="str">
        <f>"item_"&amp;Table1[[#This Row],[VEHIDCODE]]</f>
        <v>item_mtro_Finland_Helsinki_M100</v>
      </c>
      <c r="H314" t="str">
        <f>"str_"&amp;Table1[[#This Row],[VEHIDCODE]]</f>
        <v>str_mtro_Finland_Helsinki_M100</v>
      </c>
      <c r="N314" t="b">
        <v>1</v>
      </c>
      <c r="AL314" s="2"/>
      <c r="AM314" s="2" t="b">
        <f>LEN(_xlfn.CONCAT(Table1[[#This Row],[TRACK_TYPE_STANDARD_GAUGE_RAILTYPE_OHLE]:[TRACK_TYPE_MTRO]]))&gt;0</f>
        <v>1</v>
      </c>
      <c r="AN314">
        <v>8</v>
      </c>
      <c r="AO314" t="s">
        <v>325</v>
      </c>
      <c r="AP314">
        <v>1</v>
      </c>
      <c r="AQ314" t="s">
        <v>19</v>
      </c>
      <c r="AR314">
        <v>165</v>
      </c>
      <c r="AS314">
        <v>1977</v>
      </c>
      <c r="AT314">
        <v>8</v>
      </c>
      <c r="AU314" s="2" t="s">
        <v>326</v>
      </c>
      <c r="AV314" t="b">
        <v>1</v>
      </c>
      <c r="AW314" t="b">
        <v>1</v>
      </c>
      <c r="AX314" s="2"/>
      <c r="AY314">
        <v>45</v>
      </c>
      <c r="AZ314">
        <v>1</v>
      </c>
      <c r="BA314">
        <v>680</v>
      </c>
      <c r="BB314" t="s">
        <v>708</v>
      </c>
      <c r="BC314">
        <v>90</v>
      </c>
      <c r="BD314" s="2">
        <v>0.48</v>
      </c>
      <c r="BE314" t="s">
        <v>926</v>
      </c>
      <c r="BF314" t="s">
        <v>921</v>
      </c>
      <c r="BG314" t="s">
        <v>939</v>
      </c>
      <c r="BH314" s="7">
        <v>60</v>
      </c>
      <c r="BI31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314">
        <v>0</v>
      </c>
      <c r="BK314" t="s">
        <v>733</v>
      </c>
      <c r="BL314" s="11">
        <v>165</v>
      </c>
      <c r="BM314" s="11">
        <v>8</v>
      </c>
      <c r="BN314" s="11">
        <v>31</v>
      </c>
      <c r="BO314">
        <v>0</v>
      </c>
      <c r="BP314" t="s">
        <v>691</v>
      </c>
      <c r="BQ314" t="s">
        <v>693</v>
      </c>
      <c r="BR314" t="s">
        <v>700</v>
      </c>
      <c r="BS314" t="s">
        <v>704</v>
      </c>
      <c r="BT314" t="s">
        <v>705</v>
      </c>
      <c r="BU314" t="s">
        <v>706</v>
      </c>
      <c r="CT314"/>
      <c r="CU314"/>
      <c r="CV314"/>
    </row>
    <row r="315" spans="1:100" x14ac:dyDescent="0.4">
      <c r="A315" s="2" t="s">
        <v>340</v>
      </c>
      <c r="B315" t="str">
        <f>_xlfn.TEXTAFTER(Table1[[#This Row],[VEHIDCODE]],"_")</f>
        <v>Brazil_Sao_Paulo_Serie_5500</v>
      </c>
      <c r="C315" t="s">
        <v>740</v>
      </c>
      <c r="D315" t="s">
        <v>966</v>
      </c>
      <c r="E315">
        <v>9020</v>
      </c>
      <c r="F315" t="b">
        <f>OR(ISNUMBER(SEARCH("wagon_",Table1[[#This Row],[FILENAMES_EXPECTED]])),ISNUMBER(SEARCH("coach_",Table1[[#This Row],[FILENAMES_EXPECTED]])))</f>
        <v>0</v>
      </c>
      <c r="G315" t="str">
        <f>"item_"&amp;Table1[[#This Row],[VEHIDCODE]]</f>
        <v>item_mtro_Brazil_Sao_Paulo_Serie_5500</v>
      </c>
      <c r="H315" t="str">
        <f>"str_"&amp;Table1[[#This Row],[VEHIDCODE]]</f>
        <v>str_mtro_Brazil_Sao_Paulo_Serie_5500</v>
      </c>
      <c r="N315" t="b">
        <v>1</v>
      </c>
      <c r="AL315" s="2"/>
      <c r="AM315" s="2" t="b">
        <f>LEN(_xlfn.CONCAT(Table1[[#This Row],[TRACK_TYPE_STANDARD_GAUGE_RAILTYPE_OHLE]:[TRACK_TYPE_MTRO]]))&gt;0</f>
        <v>1</v>
      </c>
      <c r="AN315">
        <v>8</v>
      </c>
      <c r="AO315" t="s">
        <v>325</v>
      </c>
      <c r="AP315">
        <v>1</v>
      </c>
      <c r="AQ315" t="s">
        <v>19</v>
      </c>
      <c r="AR315">
        <v>230</v>
      </c>
      <c r="AS315">
        <v>1979</v>
      </c>
      <c r="AT315">
        <v>8</v>
      </c>
      <c r="AU315" s="2" t="s">
        <v>326</v>
      </c>
      <c r="AV315" t="b">
        <v>1</v>
      </c>
      <c r="AW315" t="b">
        <v>1</v>
      </c>
      <c r="AX315" s="2"/>
      <c r="AY315">
        <v>45</v>
      </c>
      <c r="AZ315">
        <v>1</v>
      </c>
      <c r="BA315">
        <v>250</v>
      </c>
      <c r="BB315" t="s">
        <v>708</v>
      </c>
      <c r="BC315">
        <v>90</v>
      </c>
      <c r="BD315" s="2">
        <v>0.38</v>
      </c>
      <c r="BE315" t="s">
        <v>929</v>
      </c>
      <c r="BF315" t="s">
        <v>921</v>
      </c>
      <c r="BG315" t="s">
        <v>939</v>
      </c>
      <c r="BH315" s="7">
        <v>60</v>
      </c>
      <c r="BI31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315">
        <v>0</v>
      </c>
      <c r="BK315" t="s">
        <v>733</v>
      </c>
      <c r="BL315" s="11">
        <v>230</v>
      </c>
      <c r="BM315" s="11">
        <v>8</v>
      </c>
      <c r="BN315" s="11">
        <v>37</v>
      </c>
      <c r="BO315">
        <v>0</v>
      </c>
      <c r="BP315" t="s">
        <v>691</v>
      </c>
      <c r="BQ315" t="s">
        <v>693</v>
      </c>
      <c r="BR315" t="s">
        <v>700</v>
      </c>
      <c r="BS315" t="s">
        <v>704</v>
      </c>
      <c r="BT315" t="s">
        <v>705</v>
      </c>
      <c r="BU315" t="s">
        <v>706</v>
      </c>
      <c r="CT315"/>
      <c r="CU315"/>
      <c r="CV315"/>
    </row>
    <row r="316" spans="1:100" x14ac:dyDescent="0.4">
      <c r="A316" s="2" t="s">
        <v>341</v>
      </c>
      <c r="B316" t="str">
        <f>_xlfn.TEXTAFTER(Table1[[#This Row],[VEHIDCODE]],"_")</f>
        <v>Russia_Moscow_81_720</v>
      </c>
      <c r="C316" t="s">
        <v>740</v>
      </c>
      <c r="D316" t="s">
        <v>966</v>
      </c>
      <c r="E316">
        <v>9021</v>
      </c>
      <c r="F316" t="b">
        <f>OR(ISNUMBER(SEARCH("wagon_",Table1[[#This Row],[FILENAMES_EXPECTED]])),ISNUMBER(SEARCH("coach_",Table1[[#This Row],[FILENAMES_EXPECTED]])))</f>
        <v>0</v>
      </c>
      <c r="G316" t="str">
        <f>"item_"&amp;Table1[[#This Row],[VEHIDCODE]]</f>
        <v>item_mtro_Russia_Moscow_81_720</v>
      </c>
      <c r="H316" t="str">
        <f>"str_"&amp;Table1[[#This Row],[VEHIDCODE]]</f>
        <v>str_mtro_Russia_Moscow_81_720</v>
      </c>
      <c r="AF316" t="b">
        <v>1</v>
      </c>
      <c r="AL316" s="2"/>
      <c r="AM316" s="2" t="b">
        <f>LEN(_xlfn.CONCAT(Table1[[#This Row],[TRACK_TYPE_STANDARD_GAUGE_RAILTYPE_OHLE]:[TRACK_TYPE_MTRO]]))&gt;0</f>
        <v>1</v>
      </c>
      <c r="AN316">
        <v>8</v>
      </c>
      <c r="AO316" t="s">
        <v>325</v>
      </c>
      <c r="AP316">
        <v>1</v>
      </c>
      <c r="AQ316" t="s">
        <v>19</v>
      </c>
      <c r="AR316">
        <v>144</v>
      </c>
      <c r="AS316">
        <v>1981</v>
      </c>
      <c r="AT316">
        <v>8</v>
      </c>
      <c r="AU316" s="2" t="s">
        <v>326</v>
      </c>
      <c r="AV316" t="b">
        <v>1</v>
      </c>
      <c r="AW316" t="b">
        <v>1</v>
      </c>
      <c r="AX316" s="2"/>
      <c r="AY316">
        <v>45</v>
      </c>
      <c r="AZ316">
        <v>1</v>
      </c>
      <c r="BA316">
        <v>616</v>
      </c>
      <c r="BB316" t="s">
        <v>708</v>
      </c>
      <c r="BC316">
        <v>100</v>
      </c>
      <c r="BD316" s="2">
        <v>0.67</v>
      </c>
      <c r="BE316" t="s">
        <v>930</v>
      </c>
      <c r="BF316" t="s">
        <v>921</v>
      </c>
      <c r="BG316" t="s">
        <v>939</v>
      </c>
      <c r="BH316" s="7">
        <v>60</v>
      </c>
      <c r="BI31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316">
        <v>0</v>
      </c>
      <c r="BK316" t="s">
        <v>733</v>
      </c>
      <c r="BL316" s="11">
        <v>144</v>
      </c>
      <c r="BM316" s="11">
        <v>8</v>
      </c>
      <c r="BN316" s="11">
        <v>34</v>
      </c>
      <c r="BO316">
        <v>0</v>
      </c>
      <c r="BP316" t="s">
        <v>691</v>
      </c>
      <c r="BQ316" t="s">
        <v>693</v>
      </c>
      <c r="BR316" t="s">
        <v>700</v>
      </c>
      <c r="BS316" t="s">
        <v>704</v>
      </c>
      <c r="BT316" t="s">
        <v>705</v>
      </c>
      <c r="BU316" t="s">
        <v>706</v>
      </c>
      <c r="CT316"/>
      <c r="CU316"/>
      <c r="CV316"/>
    </row>
    <row r="317" spans="1:100" x14ac:dyDescent="0.4">
      <c r="A317" s="2" t="s">
        <v>342</v>
      </c>
      <c r="B317" t="str">
        <f>_xlfn.TEXTAFTER(Table1[[#This Row],[VEHIDCODE]],"_")</f>
        <v>Japan_Tokyo_S01</v>
      </c>
      <c r="C317" t="s">
        <v>740</v>
      </c>
      <c r="D317" t="s">
        <v>966</v>
      </c>
      <c r="E317">
        <v>9022</v>
      </c>
      <c r="F317" t="b">
        <f>OR(ISNUMBER(SEARCH("wagon_",Table1[[#This Row],[FILENAMES_EXPECTED]])),ISNUMBER(SEARCH("coach_",Table1[[#This Row],[FILENAMES_EXPECTED]])))</f>
        <v>0</v>
      </c>
      <c r="G317" t="str">
        <f>"item_"&amp;Table1[[#This Row],[VEHIDCODE]]</f>
        <v>item_mtro_Japan_Tokyo_S01</v>
      </c>
      <c r="H317" t="str">
        <f>"str_"&amp;Table1[[#This Row],[VEHIDCODE]]</f>
        <v>str_mtro_Japan_Tokyo_S01</v>
      </c>
      <c r="N317" t="b">
        <v>1</v>
      </c>
      <c r="AL317" s="2"/>
      <c r="AM317" s="2" t="b">
        <f>LEN(_xlfn.CONCAT(Table1[[#This Row],[TRACK_TYPE_STANDARD_GAUGE_RAILTYPE_OHLE]:[TRACK_TYPE_MTRO]]))&gt;0</f>
        <v>1</v>
      </c>
      <c r="AN317">
        <v>8</v>
      </c>
      <c r="AO317" t="s">
        <v>325</v>
      </c>
      <c r="AP317">
        <v>1</v>
      </c>
      <c r="AQ317" t="s">
        <v>19</v>
      </c>
      <c r="AR317">
        <v>120</v>
      </c>
      <c r="AS317">
        <v>1985</v>
      </c>
      <c r="AT317">
        <v>8</v>
      </c>
      <c r="AU317" s="2" t="s">
        <v>326</v>
      </c>
      <c r="AV317" t="b">
        <v>1</v>
      </c>
      <c r="AW317" t="b">
        <v>1</v>
      </c>
      <c r="AX317" s="2"/>
      <c r="AY317">
        <v>45</v>
      </c>
      <c r="AZ317">
        <v>1</v>
      </c>
      <c r="BA317">
        <v>700</v>
      </c>
      <c r="BB317" t="s">
        <v>708</v>
      </c>
      <c r="BC317">
        <v>120</v>
      </c>
      <c r="BD317" s="2">
        <v>0.95</v>
      </c>
      <c r="BE317" t="s">
        <v>930</v>
      </c>
      <c r="BF317" t="s">
        <v>921</v>
      </c>
      <c r="BG317" t="s">
        <v>939</v>
      </c>
      <c r="BH317" s="7">
        <v>60</v>
      </c>
      <c r="BI31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317">
        <v>0</v>
      </c>
      <c r="BK317" t="s">
        <v>733</v>
      </c>
      <c r="BL317" s="11">
        <v>120</v>
      </c>
      <c r="BM317" s="11">
        <v>8</v>
      </c>
      <c r="BN317" s="11">
        <v>35</v>
      </c>
      <c r="BO317">
        <v>0</v>
      </c>
      <c r="BP317" t="s">
        <v>691</v>
      </c>
      <c r="BQ317" t="s">
        <v>693</v>
      </c>
      <c r="BR317" t="s">
        <v>700</v>
      </c>
      <c r="BS317" t="s">
        <v>704</v>
      </c>
      <c r="BT317" t="s">
        <v>705</v>
      </c>
      <c r="BU317" t="s">
        <v>706</v>
      </c>
      <c r="CT317"/>
      <c r="CU317"/>
      <c r="CV317"/>
    </row>
    <row r="318" spans="1:100" x14ac:dyDescent="0.4">
      <c r="A318" s="2" t="s">
        <v>343</v>
      </c>
      <c r="B318" t="str">
        <f>_xlfn.TEXTAFTER(Table1[[#This Row],[VEHIDCODE]],"_")</f>
        <v>Egypt_Cairo_1987_Stock</v>
      </c>
      <c r="C318" t="s">
        <v>740</v>
      </c>
      <c r="D318" t="s">
        <v>966</v>
      </c>
      <c r="E318">
        <v>9023</v>
      </c>
      <c r="F318" t="b">
        <f>OR(ISNUMBER(SEARCH("wagon_",Table1[[#This Row],[FILENAMES_EXPECTED]])),ISNUMBER(SEARCH("coach_",Table1[[#This Row],[FILENAMES_EXPECTED]])))</f>
        <v>0</v>
      </c>
      <c r="G318" t="str">
        <f>"item_"&amp;Table1[[#This Row],[VEHIDCODE]]</f>
        <v>item_mtro_Egypt_Cairo_1987_Stock</v>
      </c>
      <c r="H318" t="str">
        <f>"str_"&amp;Table1[[#This Row],[VEHIDCODE]]</f>
        <v>str_mtro_Egypt_Cairo_1987_Stock</v>
      </c>
      <c r="N318" t="b">
        <v>1</v>
      </c>
      <c r="AL318" s="2"/>
      <c r="AM318" s="2" t="b">
        <f>LEN(_xlfn.CONCAT(Table1[[#This Row],[TRACK_TYPE_STANDARD_GAUGE_RAILTYPE_OHLE]:[TRACK_TYPE_MTRO]]))&gt;0</f>
        <v>1</v>
      </c>
      <c r="AN318">
        <v>8</v>
      </c>
      <c r="AO318" t="s">
        <v>325</v>
      </c>
      <c r="AP318">
        <v>1</v>
      </c>
      <c r="AQ318" t="s">
        <v>19</v>
      </c>
      <c r="AR318">
        <v>250</v>
      </c>
      <c r="AS318">
        <v>1987</v>
      </c>
      <c r="AT318">
        <v>8</v>
      </c>
      <c r="AU318" s="2" t="s">
        <v>326</v>
      </c>
      <c r="AV318" t="b">
        <v>1</v>
      </c>
      <c r="AW318" t="b">
        <v>1</v>
      </c>
      <c r="AX318" s="2"/>
      <c r="AY318">
        <v>45</v>
      </c>
      <c r="AZ318">
        <v>1</v>
      </c>
      <c r="BA318">
        <v>590</v>
      </c>
      <c r="BB318" t="s">
        <v>708</v>
      </c>
      <c r="BC318">
        <v>90</v>
      </c>
      <c r="BD318" s="2">
        <v>0.59</v>
      </c>
      <c r="BE318" t="s">
        <v>925</v>
      </c>
      <c r="BF318" t="s">
        <v>921</v>
      </c>
      <c r="BG318" t="s">
        <v>939</v>
      </c>
      <c r="BH318" s="7">
        <v>60</v>
      </c>
      <c r="BI31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318">
        <v>0</v>
      </c>
      <c r="BK318" t="s">
        <v>733</v>
      </c>
      <c r="BL318" s="11">
        <v>250</v>
      </c>
      <c r="BM318" s="11">
        <v>8</v>
      </c>
      <c r="BN318" s="11">
        <v>34</v>
      </c>
      <c r="BO318">
        <v>0</v>
      </c>
      <c r="BP318" t="s">
        <v>691</v>
      </c>
      <c r="BQ318" t="s">
        <v>693</v>
      </c>
      <c r="BR318" t="s">
        <v>700</v>
      </c>
      <c r="BS318" t="s">
        <v>704</v>
      </c>
      <c r="BT318" t="s">
        <v>705</v>
      </c>
      <c r="BU318" t="s">
        <v>706</v>
      </c>
      <c r="CT318"/>
      <c r="CU318"/>
      <c r="CV318"/>
    </row>
    <row r="319" spans="1:100" x14ac:dyDescent="0.4">
      <c r="A319" s="2" t="s">
        <v>344</v>
      </c>
      <c r="B319" t="str">
        <f>_xlfn.TEXTAFTER(Table1[[#This Row],[VEHIDCODE]],"_")</f>
        <v>UK_DLR_P86</v>
      </c>
      <c r="C319" t="s">
        <v>740</v>
      </c>
      <c r="D319" t="s">
        <v>966</v>
      </c>
      <c r="E319">
        <v>9024</v>
      </c>
      <c r="F319" t="b">
        <f>OR(ISNUMBER(SEARCH("wagon_",Table1[[#This Row],[FILENAMES_EXPECTED]])),ISNUMBER(SEARCH("coach_",Table1[[#This Row],[FILENAMES_EXPECTED]])))</f>
        <v>0</v>
      </c>
      <c r="G319" t="str">
        <f>"item_"&amp;Table1[[#This Row],[VEHIDCODE]]</f>
        <v>item_mtro_UK_DLR_P86</v>
      </c>
      <c r="H319" t="str">
        <f>"str_"&amp;Table1[[#This Row],[VEHIDCODE]]</f>
        <v>str_mtro_UK_DLR_P86</v>
      </c>
      <c r="N319" t="b">
        <v>1</v>
      </c>
      <c r="AL319" s="2"/>
      <c r="AM319" s="2" t="b">
        <f>LEN(_xlfn.CONCAT(Table1[[#This Row],[TRACK_TYPE_STANDARD_GAUGE_RAILTYPE_OHLE]:[TRACK_TYPE_MTRO]]))&gt;0</f>
        <v>1</v>
      </c>
      <c r="AN319">
        <v>6</v>
      </c>
      <c r="AO319" t="s">
        <v>325</v>
      </c>
      <c r="AP319">
        <v>1</v>
      </c>
      <c r="AQ319" t="s">
        <v>19</v>
      </c>
      <c r="AR319">
        <v>200</v>
      </c>
      <c r="AS319">
        <v>1987</v>
      </c>
      <c r="AT319">
        <v>6</v>
      </c>
      <c r="AU319" s="2" t="s">
        <v>326</v>
      </c>
      <c r="AV319" t="b">
        <v>1</v>
      </c>
      <c r="AW319" t="b">
        <v>1</v>
      </c>
      <c r="AX319" s="2"/>
      <c r="AY319">
        <v>45</v>
      </c>
      <c r="AZ319">
        <v>1</v>
      </c>
      <c r="BA319">
        <v>500</v>
      </c>
      <c r="BB319" t="s">
        <v>708</v>
      </c>
      <c r="BC319">
        <v>80</v>
      </c>
      <c r="BD319" s="2">
        <v>0.31</v>
      </c>
      <c r="BE319" t="s">
        <v>926</v>
      </c>
      <c r="BF319" t="s">
        <v>921</v>
      </c>
      <c r="BG319" t="s">
        <v>939</v>
      </c>
      <c r="BH319" s="7">
        <v>60</v>
      </c>
      <c r="BI31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319">
        <v>0</v>
      </c>
      <c r="BK319" t="s">
        <v>733</v>
      </c>
      <c r="BL319" s="11">
        <v>200</v>
      </c>
      <c r="BM319" s="11">
        <v>6</v>
      </c>
      <c r="BN319" s="11">
        <v>40</v>
      </c>
      <c r="BO319">
        <v>0</v>
      </c>
      <c r="BP319" t="s">
        <v>691</v>
      </c>
      <c r="BQ319" t="s">
        <v>693</v>
      </c>
      <c r="BR319" t="s">
        <v>700</v>
      </c>
      <c r="BS319" t="s">
        <v>704</v>
      </c>
      <c r="BT319" t="s">
        <v>705</v>
      </c>
      <c r="BU319" t="s">
        <v>706</v>
      </c>
      <c r="CT319"/>
      <c r="CU319"/>
      <c r="CV319"/>
    </row>
    <row r="320" spans="1:100" x14ac:dyDescent="0.4">
      <c r="A320" s="2" t="s">
        <v>345</v>
      </c>
      <c r="B320" t="str">
        <f>_xlfn.TEXTAFTER(Table1[[#This Row],[VEHIDCODE]],"_")</f>
        <v>Russia_Moscow_81_7175M</v>
      </c>
      <c r="C320" t="s">
        <v>740</v>
      </c>
      <c r="D320" t="s">
        <v>966</v>
      </c>
      <c r="E320">
        <v>9025</v>
      </c>
      <c r="F320" t="b">
        <f>OR(ISNUMBER(SEARCH("wagon_",Table1[[#This Row],[FILENAMES_EXPECTED]])),ISNUMBER(SEARCH("coach_",Table1[[#This Row],[FILENAMES_EXPECTED]])))</f>
        <v>0</v>
      </c>
      <c r="G320" t="str">
        <f>"item_"&amp;Table1[[#This Row],[VEHIDCODE]]</f>
        <v>item_mtro_Russia_Moscow_81_7175M</v>
      </c>
      <c r="H320" t="str">
        <f>"str_"&amp;Table1[[#This Row],[VEHIDCODE]]</f>
        <v>str_mtro_Russia_Moscow_81_7175M</v>
      </c>
      <c r="AF320" t="b">
        <v>1</v>
      </c>
      <c r="AL320" s="2"/>
      <c r="AM320" s="2" t="b">
        <f>LEN(_xlfn.CONCAT(Table1[[#This Row],[TRACK_TYPE_STANDARD_GAUGE_RAILTYPE_OHLE]:[TRACK_TYPE_MTRO]]))&gt;0</f>
        <v>1</v>
      </c>
      <c r="AN320">
        <v>8</v>
      </c>
      <c r="AO320" t="s">
        <v>325</v>
      </c>
      <c r="AP320">
        <v>1</v>
      </c>
      <c r="AQ320" t="s">
        <v>19</v>
      </c>
      <c r="AR320">
        <v>147</v>
      </c>
      <c r="AS320">
        <v>1987</v>
      </c>
      <c r="AT320">
        <v>8</v>
      </c>
      <c r="AU320" s="2" t="s">
        <v>326</v>
      </c>
      <c r="AV320" t="b">
        <v>1</v>
      </c>
      <c r="AW320" t="b">
        <v>1</v>
      </c>
      <c r="AX320" s="2"/>
      <c r="AY320">
        <v>45</v>
      </c>
      <c r="AZ320">
        <v>1</v>
      </c>
      <c r="BA320">
        <v>600</v>
      </c>
      <c r="BB320" t="s">
        <v>708</v>
      </c>
      <c r="BC320">
        <v>80</v>
      </c>
      <c r="BD320" s="2">
        <v>0.83</v>
      </c>
      <c r="BE320" t="s">
        <v>930</v>
      </c>
      <c r="BF320" t="s">
        <v>921</v>
      </c>
      <c r="BG320" t="s">
        <v>939</v>
      </c>
      <c r="BH320" s="7">
        <v>60</v>
      </c>
      <c r="BI32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320">
        <v>0</v>
      </c>
      <c r="BK320" t="s">
        <v>733</v>
      </c>
      <c r="BL320" s="11">
        <v>147</v>
      </c>
      <c r="BM320" s="11">
        <v>8</v>
      </c>
      <c r="BN320" s="11">
        <v>18</v>
      </c>
      <c r="BO320">
        <v>0</v>
      </c>
      <c r="BP320" t="s">
        <v>691</v>
      </c>
      <c r="BQ320" t="s">
        <v>693</v>
      </c>
      <c r="BR320" t="s">
        <v>700</v>
      </c>
      <c r="BS320" t="s">
        <v>704</v>
      </c>
      <c r="BT320" t="s">
        <v>705</v>
      </c>
      <c r="BU320" t="s">
        <v>706</v>
      </c>
      <c r="CT320"/>
      <c r="CU320"/>
      <c r="CV320"/>
    </row>
    <row r="321" spans="1:100" x14ac:dyDescent="0.4">
      <c r="A321" s="2" t="s">
        <v>346</v>
      </c>
      <c r="B321" t="str">
        <f>_xlfn.TEXTAFTER(Table1[[#This Row],[VEHIDCODE]],"_")</f>
        <v>USA_Boston_01800</v>
      </c>
      <c r="C321" t="s">
        <v>740</v>
      </c>
      <c r="D321" t="s">
        <v>966</v>
      </c>
      <c r="E321">
        <v>9026</v>
      </c>
      <c r="F321" t="b">
        <f>OR(ISNUMBER(SEARCH("wagon_",Table1[[#This Row],[FILENAMES_EXPECTED]])),ISNUMBER(SEARCH("coach_",Table1[[#This Row],[FILENAMES_EXPECTED]])))</f>
        <v>0</v>
      </c>
      <c r="G321" t="str">
        <f>"item_"&amp;Table1[[#This Row],[VEHIDCODE]]</f>
        <v>item_mtro_USA_Boston_01800</v>
      </c>
      <c r="H321" t="str">
        <f>"str_"&amp;Table1[[#This Row],[VEHIDCODE]]</f>
        <v>str_mtro_USA_Boston_01800</v>
      </c>
      <c r="N321" t="b">
        <v>1</v>
      </c>
      <c r="AL321" s="2"/>
      <c r="AM321" s="2" t="b">
        <f>LEN(_xlfn.CONCAT(Table1[[#This Row],[TRACK_TYPE_STANDARD_GAUGE_RAILTYPE_OHLE]:[TRACK_TYPE_MTRO]]))&gt;0</f>
        <v>1</v>
      </c>
      <c r="AN321">
        <v>8</v>
      </c>
      <c r="AO321" t="s">
        <v>325</v>
      </c>
      <c r="AP321">
        <v>1</v>
      </c>
      <c r="AQ321" t="s">
        <v>19</v>
      </c>
      <c r="AR321">
        <v>150</v>
      </c>
      <c r="AS321">
        <v>1993</v>
      </c>
      <c r="AT321">
        <v>8</v>
      </c>
      <c r="AU321" s="2" t="s">
        <v>326</v>
      </c>
      <c r="AV321" t="b">
        <v>1</v>
      </c>
      <c r="AW321" t="b">
        <v>1</v>
      </c>
      <c r="AX321" s="2"/>
      <c r="AY321">
        <v>45</v>
      </c>
      <c r="AZ321">
        <v>1</v>
      </c>
      <c r="BA321">
        <v>700</v>
      </c>
      <c r="BB321" t="s">
        <v>708</v>
      </c>
      <c r="BC321">
        <v>80</v>
      </c>
      <c r="BD321" s="2">
        <v>0.51</v>
      </c>
      <c r="BE321" t="s">
        <v>927</v>
      </c>
      <c r="BF321" t="s">
        <v>921</v>
      </c>
      <c r="BG321" t="s">
        <v>939</v>
      </c>
      <c r="BH321" s="7">
        <v>60</v>
      </c>
      <c r="BI32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321">
        <v>0</v>
      </c>
      <c r="BK321" t="s">
        <v>733</v>
      </c>
      <c r="BL321" s="11">
        <v>150</v>
      </c>
      <c r="BM321" s="11">
        <v>8</v>
      </c>
      <c r="BN321" s="11">
        <v>31</v>
      </c>
      <c r="BO321">
        <v>0</v>
      </c>
      <c r="BP321" t="s">
        <v>691</v>
      </c>
      <c r="BQ321" t="s">
        <v>693</v>
      </c>
      <c r="BR321" t="s">
        <v>700</v>
      </c>
      <c r="BS321" t="s">
        <v>704</v>
      </c>
      <c r="BT321" t="s">
        <v>705</v>
      </c>
      <c r="BU321" t="s">
        <v>706</v>
      </c>
      <c r="CT321"/>
      <c r="CU321"/>
      <c r="CV321"/>
    </row>
    <row r="322" spans="1:100" x14ac:dyDescent="0.4">
      <c r="A322" s="2" t="s">
        <v>347</v>
      </c>
      <c r="B322" t="str">
        <f>_xlfn.TEXTAFTER(Table1[[#This Row],[VEHIDCODE]],"_")</f>
        <v>USA_LA_A650</v>
      </c>
      <c r="C322" t="s">
        <v>740</v>
      </c>
      <c r="D322" t="s">
        <v>966</v>
      </c>
      <c r="E322">
        <v>9027</v>
      </c>
      <c r="F322" t="b">
        <f>OR(ISNUMBER(SEARCH("wagon_",Table1[[#This Row],[FILENAMES_EXPECTED]])),ISNUMBER(SEARCH("coach_",Table1[[#This Row],[FILENAMES_EXPECTED]])))</f>
        <v>0</v>
      </c>
      <c r="G322" t="str">
        <f>"item_"&amp;Table1[[#This Row],[VEHIDCODE]]</f>
        <v>item_mtro_USA_LA_A650</v>
      </c>
      <c r="H322" t="str">
        <f>"str_"&amp;Table1[[#This Row],[VEHIDCODE]]</f>
        <v>str_mtro_USA_LA_A650</v>
      </c>
      <c r="N322" t="b">
        <v>1</v>
      </c>
      <c r="AL322" s="2"/>
      <c r="AM322" s="2" t="b">
        <f>LEN(_xlfn.CONCAT(Table1[[#This Row],[TRACK_TYPE_STANDARD_GAUGE_RAILTYPE_OHLE]:[TRACK_TYPE_MTRO]]))&gt;0</f>
        <v>1</v>
      </c>
      <c r="AN322">
        <v>8</v>
      </c>
      <c r="AO322" t="s">
        <v>325</v>
      </c>
      <c r="AP322">
        <v>1</v>
      </c>
      <c r="AQ322" t="s">
        <v>19</v>
      </c>
      <c r="AR322">
        <v>170</v>
      </c>
      <c r="AS322">
        <v>1993</v>
      </c>
      <c r="AT322">
        <v>8</v>
      </c>
      <c r="AU322" s="2" t="s">
        <v>326</v>
      </c>
      <c r="AV322" t="b">
        <v>1</v>
      </c>
      <c r="AW322" t="b">
        <v>1</v>
      </c>
      <c r="AX322" s="2"/>
      <c r="AY322" t="s">
        <v>21</v>
      </c>
      <c r="AZ322">
        <v>1</v>
      </c>
      <c r="BA322">
        <v>530</v>
      </c>
      <c r="BB322" t="s">
        <v>708</v>
      </c>
      <c r="BC322">
        <v>112</v>
      </c>
      <c r="BD322" s="2">
        <v>0.47</v>
      </c>
      <c r="BE322" t="s">
        <v>927</v>
      </c>
      <c r="BF322" t="s">
        <v>921</v>
      </c>
      <c r="BG322" t="s">
        <v>939</v>
      </c>
      <c r="BH322" s="7">
        <v>60</v>
      </c>
      <c r="BI32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322">
        <v>0</v>
      </c>
      <c r="BK322" t="s">
        <v>733</v>
      </c>
      <c r="BL322" s="11">
        <v>170</v>
      </c>
      <c r="BM322" s="11">
        <v>8</v>
      </c>
      <c r="BN322" s="11">
        <v>37</v>
      </c>
      <c r="BO322">
        <v>0</v>
      </c>
      <c r="BP322" t="s">
        <v>691</v>
      </c>
      <c r="BQ322" t="s">
        <v>693</v>
      </c>
      <c r="BR322" t="s">
        <v>700</v>
      </c>
      <c r="BS322" t="s">
        <v>704</v>
      </c>
      <c r="BT322" t="s">
        <v>705</v>
      </c>
      <c r="BU322" t="s">
        <v>706</v>
      </c>
      <c r="CT322"/>
      <c r="CU322"/>
      <c r="CV322"/>
    </row>
    <row r="323" spans="1:100" x14ac:dyDescent="0.4">
      <c r="A323" s="2" t="s">
        <v>348</v>
      </c>
      <c r="B323" t="str">
        <f>_xlfn.TEXTAFTER(Table1[[#This Row],[VEHIDCODE]],"_")</f>
        <v>Taiwan_Taipei_C301</v>
      </c>
      <c r="C323" t="s">
        <v>740</v>
      </c>
      <c r="D323" t="s">
        <v>966</v>
      </c>
      <c r="E323">
        <v>9028</v>
      </c>
      <c r="F323" t="b">
        <f>OR(ISNUMBER(SEARCH("wagon_",Table1[[#This Row],[FILENAMES_EXPECTED]])),ISNUMBER(SEARCH("coach_",Table1[[#This Row],[FILENAMES_EXPECTED]])))</f>
        <v>0</v>
      </c>
      <c r="G323" t="str">
        <f>"item_"&amp;Table1[[#This Row],[VEHIDCODE]]</f>
        <v>item_mtro_Taiwan_Taipei_C301</v>
      </c>
      <c r="H323" t="str">
        <f>"str_"&amp;Table1[[#This Row],[VEHIDCODE]]</f>
        <v>str_mtro_Taiwan_Taipei_C301</v>
      </c>
      <c r="N323" t="b">
        <v>1</v>
      </c>
      <c r="AL323" s="2"/>
      <c r="AM323" s="2" t="b">
        <f>LEN(_xlfn.CONCAT(Table1[[#This Row],[TRACK_TYPE_STANDARD_GAUGE_RAILTYPE_OHLE]:[TRACK_TYPE_MTRO]]))&gt;0</f>
        <v>1</v>
      </c>
      <c r="AN323">
        <v>8</v>
      </c>
      <c r="AO323" t="s">
        <v>325</v>
      </c>
      <c r="AP323">
        <v>1</v>
      </c>
      <c r="AQ323" t="s">
        <v>19</v>
      </c>
      <c r="AR323">
        <v>250</v>
      </c>
      <c r="AS323">
        <v>1996</v>
      </c>
      <c r="AT323">
        <v>8</v>
      </c>
      <c r="AU323" s="2" t="s">
        <v>326</v>
      </c>
      <c r="AV323" t="b">
        <v>1</v>
      </c>
      <c r="AW323" t="b">
        <v>1</v>
      </c>
      <c r="AX323" s="2"/>
      <c r="AY323" t="s">
        <v>21</v>
      </c>
      <c r="AZ323">
        <v>1</v>
      </c>
      <c r="BA323">
        <v>200</v>
      </c>
      <c r="BB323" t="s">
        <v>708</v>
      </c>
      <c r="BC323">
        <v>90</v>
      </c>
      <c r="BD323" s="2">
        <v>0.3</v>
      </c>
      <c r="BE323" t="s">
        <v>930</v>
      </c>
      <c r="BF323" t="s">
        <v>921</v>
      </c>
      <c r="BG323" t="s">
        <v>939</v>
      </c>
      <c r="BH323" s="7">
        <v>60</v>
      </c>
      <c r="BI32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323">
        <v>0</v>
      </c>
      <c r="BK323" t="s">
        <v>733</v>
      </c>
      <c r="BL323" s="11">
        <v>250</v>
      </c>
      <c r="BM323" s="11">
        <v>8</v>
      </c>
      <c r="BN323" s="11">
        <v>39</v>
      </c>
      <c r="BO323">
        <v>0</v>
      </c>
      <c r="BP323" t="s">
        <v>691</v>
      </c>
      <c r="BQ323" t="s">
        <v>693</v>
      </c>
      <c r="BR323" t="s">
        <v>700</v>
      </c>
      <c r="BS323" t="s">
        <v>704</v>
      </c>
      <c r="BT323" t="s">
        <v>705</v>
      </c>
      <c r="BU323" t="s">
        <v>706</v>
      </c>
      <c r="CT323"/>
      <c r="CU323"/>
      <c r="CV323"/>
    </row>
    <row r="324" spans="1:100" x14ac:dyDescent="0.4">
      <c r="A324" s="2" t="s">
        <v>349</v>
      </c>
      <c r="B324" t="str">
        <f>_xlfn.TEXTAFTER(Table1[[#This Row],[VEHIDCODE]],"_")</f>
        <v>Netherlands_Amsterdam_CAF_90</v>
      </c>
      <c r="C324" t="s">
        <v>740</v>
      </c>
      <c r="D324" t="s">
        <v>966</v>
      </c>
      <c r="E324">
        <v>9030</v>
      </c>
      <c r="F324" t="b">
        <f>OR(ISNUMBER(SEARCH("wagon_",Table1[[#This Row],[FILENAMES_EXPECTED]])),ISNUMBER(SEARCH("coach_",Table1[[#This Row],[FILENAMES_EXPECTED]])))</f>
        <v>0</v>
      </c>
      <c r="G324" t="str">
        <f>"item_"&amp;Table1[[#This Row],[VEHIDCODE]]</f>
        <v>item_mtro_Netherlands_Amsterdam_CAF_90</v>
      </c>
      <c r="H324" t="str">
        <f>"str_"&amp;Table1[[#This Row],[VEHIDCODE]]</f>
        <v>str_mtro_Netherlands_Amsterdam_CAF_90</v>
      </c>
      <c r="N324" t="b">
        <v>1</v>
      </c>
      <c r="AL324" s="2"/>
      <c r="AM324" s="2" t="b">
        <f>LEN(_xlfn.CONCAT(Table1[[#This Row],[TRACK_TYPE_STANDARD_GAUGE_RAILTYPE_OHLE]:[TRACK_TYPE_MTRO]]))&gt;0</f>
        <v>1</v>
      </c>
      <c r="AN324">
        <v>8</v>
      </c>
      <c r="AO324" t="s">
        <v>325</v>
      </c>
      <c r="AP324">
        <v>1</v>
      </c>
      <c r="AQ324" t="s">
        <v>19</v>
      </c>
      <c r="AR324">
        <v>250</v>
      </c>
      <c r="AS324">
        <v>1997</v>
      </c>
      <c r="AT324">
        <v>8</v>
      </c>
      <c r="AU324" s="2" t="s">
        <v>326</v>
      </c>
      <c r="AV324" t="b">
        <v>1</v>
      </c>
      <c r="AW324" t="b">
        <v>1</v>
      </c>
      <c r="AX324" s="2"/>
      <c r="AY324" t="s">
        <v>21</v>
      </c>
      <c r="AZ324">
        <v>1</v>
      </c>
      <c r="BA324">
        <v>700</v>
      </c>
      <c r="BB324" t="s">
        <v>708</v>
      </c>
      <c r="BC324">
        <v>70</v>
      </c>
      <c r="BD324" s="2">
        <v>0.26</v>
      </c>
      <c r="BE324" t="s">
        <v>922</v>
      </c>
      <c r="BF324" t="s">
        <v>921</v>
      </c>
      <c r="BG324" t="s">
        <v>939</v>
      </c>
      <c r="BH324" s="7">
        <v>60</v>
      </c>
      <c r="BI32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324">
        <v>0</v>
      </c>
      <c r="BK324" t="s">
        <v>733</v>
      </c>
      <c r="BL324" s="11">
        <v>250</v>
      </c>
      <c r="BM324" s="11">
        <v>8</v>
      </c>
      <c r="BN324" s="11">
        <v>47</v>
      </c>
      <c r="BO324">
        <v>0</v>
      </c>
      <c r="BP324" t="s">
        <v>691</v>
      </c>
      <c r="BQ324" t="s">
        <v>693</v>
      </c>
      <c r="BR324" t="s">
        <v>700</v>
      </c>
      <c r="BS324" t="s">
        <v>704</v>
      </c>
      <c r="BT324" t="s">
        <v>705</v>
      </c>
      <c r="BU324" t="s">
        <v>706</v>
      </c>
      <c r="CT324"/>
      <c r="CU324"/>
      <c r="CV324"/>
    </row>
    <row r="325" spans="1:100" x14ac:dyDescent="0.4">
      <c r="A325" s="2" t="s">
        <v>350</v>
      </c>
      <c r="B325" t="str">
        <f>_xlfn.TEXTAFTER(Table1[[#This Row],[VEHIDCODE]],"_")</f>
        <v>France_Paris_MP89</v>
      </c>
      <c r="C325" t="s">
        <v>740</v>
      </c>
      <c r="D325" t="s">
        <v>966</v>
      </c>
      <c r="E325">
        <v>9029</v>
      </c>
      <c r="F325" t="b">
        <f>OR(ISNUMBER(SEARCH("wagon_",Table1[[#This Row],[FILENAMES_EXPECTED]])),ISNUMBER(SEARCH("coach_",Table1[[#This Row],[FILENAMES_EXPECTED]])))</f>
        <v>0</v>
      </c>
      <c r="G325" t="str">
        <f>"item_"&amp;Table1[[#This Row],[VEHIDCODE]]</f>
        <v>item_mtro_France_Paris_MP89</v>
      </c>
      <c r="H325" t="str">
        <f>"str_"&amp;Table1[[#This Row],[VEHIDCODE]]</f>
        <v>str_mtro_France_Paris_MP89</v>
      </c>
      <c r="N325" t="b">
        <v>1</v>
      </c>
      <c r="AL325" s="2"/>
      <c r="AM325" s="2" t="b">
        <f>LEN(_xlfn.CONCAT(Table1[[#This Row],[TRACK_TYPE_STANDARD_GAUGE_RAILTYPE_OHLE]:[TRACK_TYPE_MTRO]]))&gt;0</f>
        <v>1</v>
      </c>
      <c r="AN325">
        <v>7</v>
      </c>
      <c r="AO325" t="s">
        <v>325</v>
      </c>
      <c r="AP325">
        <v>1</v>
      </c>
      <c r="AQ325" t="s">
        <v>19</v>
      </c>
      <c r="AR325">
        <v>120</v>
      </c>
      <c r="AS325">
        <v>1997</v>
      </c>
      <c r="AT325">
        <v>7</v>
      </c>
      <c r="AU325" s="2" t="s">
        <v>326</v>
      </c>
      <c r="AV325" t="b">
        <v>1</v>
      </c>
      <c r="AW325" t="b">
        <v>1</v>
      </c>
      <c r="AX325" s="2"/>
      <c r="AY325" t="s">
        <v>21</v>
      </c>
      <c r="AZ325">
        <v>1</v>
      </c>
      <c r="BA325">
        <v>634</v>
      </c>
      <c r="BB325" t="s">
        <v>708</v>
      </c>
      <c r="BC325">
        <v>100</v>
      </c>
      <c r="BD325" s="2">
        <v>0.36</v>
      </c>
      <c r="BE325" t="s">
        <v>922</v>
      </c>
      <c r="BF325" t="s">
        <v>921</v>
      </c>
      <c r="BG325" t="s">
        <v>939</v>
      </c>
      <c r="BH325" s="7">
        <v>60</v>
      </c>
      <c r="BI32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325">
        <v>0</v>
      </c>
      <c r="BK325" t="s">
        <v>733</v>
      </c>
      <c r="BL325" s="11">
        <v>120</v>
      </c>
      <c r="BM325" s="11">
        <v>7</v>
      </c>
      <c r="BN325" s="11">
        <v>28</v>
      </c>
      <c r="BO325">
        <v>0</v>
      </c>
      <c r="BP325" t="s">
        <v>691</v>
      </c>
      <c r="BQ325" t="s">
        <v>693</v>
      </c>
      <c r="BR325" t="s">
        <v>700</v>
      </c>
      <c r="BS325" t="s">
        <v>704</v>
      </c>
      <c r="BT325" t="s">
        <v>705</v>
      </c>
      <c r="BU325" t="s">
        <v>706</v>
      </c>
      <c r="CT325"/>
      <c r="CU325"/>
      <c r="CV325"/>
    </row>
    <row r="326" spans="1:100" x14ac:dyDescent="0.4">
      <c r="A326" s="2" t="s">
        <v>351</v>
      </c>
      <c r="B326" t="str">
        <f>_xlfn.TEXTAFTER(Table1[[#This Row],[VEHIDCODE]],"_")</f>
        <v>Russia_Moscow_81_740</v>
      </c>
      <c r="C326" t="s">
        <v>740</v>
      </c>
      <c r="D326" t="s">
        <v>966</v>
      </c>
      <c r="E326">
        <v>9031</v>
      </c>
      <c r="F326" t="b">
        <f>OR(ISNUMBER(SEARCH("wagon_",Table1[[#This Row],[FILENAMES_EXPECTED]])),ISNUMBER(SEARCH("coach_",Table1[[#This Row],[FILENAMES_EXPECTED]])))</f>
        <v>0</v>
      </c>
      <c r="G326" t="str">
        <f>"item_"&amp;Table1[[#This Row],[VEHIDCODE]]</f>
        <v>item_mtro_Russia_Moscow_81_740</v>
      </c>
      <c r="H326" t="str">
        <f>"str_"&amp;Table1[[#This Row],[VEHIDCODE]]</f>
        <v>str_mtro_Russia_Moscow_81_740</v>
      </c>
      <c r="AF326" t="b">
        <v>1</v>
      </c>
      <c r="AL326" s="2"/>
      <c r="AM326" s="2" t="b">
        <f>LEN(_xlfn.CONCAT(Table1[[#This Row],[TRACK_TYPE_STANDARD_GAUGE_RAILTYPE_OHLE]:[TRACK_TYPE_MTRO]]))&gt;0</f>
        <v>1</v>
      </c>
      <c r="AN326">
        <v>7</v>
      </c>
      <c r="AO326" t="s">
        <v>325</v>
      </c>
      <c r="AP326">
        <v>1</v>
      </c>
      <c r="AQ326" t="s">
        <v>19</v>
      </c>
      <c r="AR326">
        <v>120</v>
      </c>
      <c r="AS326">
        <v>2003</v>
      </c>
      <c r="AT326">
        <v>7</v>
      </c>
      <c r="AU326" s="2" t="s">
        <v>326</v>
      </c>
      <c r="AV326" t="b">
        <v>1</v>
      </c>
      <c r="AW326" t="b">
        <v>1</v>
      </c>
      <c r="AX326" s="2"/>
      <c r="AY326" t="s">
        <v>21</v>
      </c>
      <c r="AZ326">
        <v>1</v>
      </c>
      <c r="BA326">
        <v>860</v>
      </c>
      <c r="BB326" t="s">
        <v>708</v>
      </c>
      <c r="BC326">
        <v>90</v>
      </c>
      <c r="BD326" s="2">
        <v>0.36</v>
      </c>
      <c r="BE326" t="s">
        <v>930</v>
      </c>
      <c r="BF326" t="s">
        <v>921</v>
      </c>
      <c r="BG326" t="s">
        <v>939</v>
      </c>
      <c r="BH326" s="7">
        <v>60</v>
      </c>
      <c r="BI32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326">
        <v>0</v>
      </c>
      <c r="BK326" t="s">
        <v>733</v>
      </c>
      <c r="BL326" s="11">
        <v>120</v>
      </c>
      <c r="BM326" s="11">
        <v>6</v>
      </c>
      <c r="BN326" s="11">
        <v>47</v>
      </c>
      <c r="BO326">
        <v>0</v>
      </c>
      <c r="BP326" t="s">
        <v>691</v>
      </c>
      <c r="BQ326" t="s">
        <v>693</v>
      </c>
      <c r="BR326" t="s">
        <v>700</v>
      </c>
      <c r="BS326" t="s">
        <v>704</v>
      </c>
      <c r="BT326" t="s">
        <v>705</v>
      </c>
      <c r="BU326" t="s">
        <v>706</v>
      </c>
      <c r="CT326"/>
      <c r="CU326"/>
      <c r="CV326"/>
    </row>
    <row r="327" spans="1:100" x14ac:dyDescent="0.4">
      <c r="A327" s="2" t="s">
        <v>352</v>
      </c>
      <c r="B327" t="str">
        <f>_xlfn.TEXTAFTER(Table1[[#This Row],[VEHIDCODE]],"_")</f>
        <v>Singapore_Singapore_C830_Metropolis</v>
      </c>
      <c r="C327" t="s">
        <v>740</v>
      </c>
      <c r="D327" t="s">
        <v>966</v>
      </c>
      <c r="E327">
        <v>9032</v>
      </c>
      <c r="F327" t="b">
        <f>OR(ISNUMBER(SEARCH("wagon_",Table1[[#This Row],[FILENAMES_EXPECTED]])),ISNUMBER(SEARCH("coach_",Table1[[#This Row],[FILENAMES_EXPECTED]])))</f>
        <v>0</v>
      </c>
      <c r="G327" t="str">
        <f>"item_"&amp;Table1[[#This Row],[VEHIDCODE]]</f>
        <v>item_mtro_Singapore_Singapore_C830_Metropolis</v>
      </c>
      <c r="H327" t="str">
        <f>"str_"&amp;Table1[[#This Row],[VEHIDCODE]]</f>
        <v>str_mtro_Singapore_Singapore_C830_Metropolis</v>
      </c>
      <c r="N327" t="b">
        <v>1</v>
      </c>
      <c r="AL327" s="2"/>
      <c r="AM327" s="2" t="b">
        <f>LEN(_xlfn.CONCAT(Table1[[#This Row],[TRACK_TYPE_STANDARD_GAUGE_RAILTYPE_OHLE]:[TRACK_TYPE_MTRO]]))&gt;0</f>
        <v>1</v>
      </c>
      <c r="AN327">
        <v>8</v>
      </c>
      <c r="AO327" t="s">
        <v>325</v>
      </c>
      <c r="AP327">
        <v>1</v>
      </c>
      <c r="AQ327" t="s">
        <v>19</v>
      </c>
      <c r="AR327">
        <v>250</v>
      </c>
      <c r="AS327">
        <v>2003</v>
      </c>
      <c r="AT327">
        <v>8</v>
      </c>
      <c r="AU327" s="2" t="s">
        <v>326</v>
      </c>
      <c r="AV327" t="b">
        <v>1</v>
      </c>
      <c r="AW327" t="b">
        <v>1</v>
      </c>
      <c r="AX327" s="2"/>
      <c r="AY327" t="s">
        <v>21</v>
      </c>
      <c r="AZ327">
        <v>1</v>
      </c>
      <c r="BA327">
        <v>740</v>
      </c>
      <c r="BB327" t="s">
        <v>708</v>
      </c>
      <c r="BC327">
        <v>100</v>
      </c>
      <c r="BD327" s="2">
        <v>0.86</v>
      </c>
      <c r="BE327" t="s">
        <v>930</v>
      </c>
      <c r="BF327" t="s">
        <v>921</v>
      </c>
      <c r="BG327" t="s">
        <v>939</v>
      </c>
      <c r="BH327" s="7">
        <v>60</v>
      </c>
      <c r="BI32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327">
        <v>0</v>
      </c>
      <c r="BK327" t="s">
        <v>733</v>
      </c>
      <c r="BL327" s="11">
        <v>250</v>
      </c>
      <c r="BM327" s="11">
        <v>8</v>
      </c>
      <c r="BN327" s="11">
        <v>35</v>
      </c>
      <c r="BO327">
        <v>0</v>
      </c>
      <c r="BP327" t="s">
        <v>691</v>
      </c>
      <c r="BQ327" t="s">
        <v>693</v>
      </c>
      <c r="BR327" t="s">
        <v>700</v>
      </c>
      <c r="BS327" t="s">
        <v>704</v>
      </c>
      <c r="BT327" t="s">
        <v>705</v>
      </c>
      <c r="BU327" t="s">
        <v>706</v>
      </c>
      <c r="CT327"/>
      <c r="CU327"/>
      <c r="CV327"/>
    </row>
    <row r="328" spans="1:100" x14ac:dyDescent="0.4">
      <c r="A328" s="2" t="s">
        <v>353</v>
      </c>
      <c r="B328" t="str">
        <f>_xlfn.TEXTAFTER(Table1[[#This Row],[VEHIDCODE]],"_")</f>
        <v>Norway_Oslo_MX3000</v>
      </c>
      <c r="C328" t="s">
        <v>740</v>
      </c>
      <c r="D328" t="s">
        <v>966</v>
      </c>
      <c r="E328">
        <v>9033</v>
      </c>
      <c r="F328" t="b">
        <f>OR(ISNUMBER(SEARCH("wagon_",Table1[[#This Row],[FILENAMES_EXPECTED]])),ISNUMBER(SEARCH("coach_",Table1[[#This Row],[FILENAMES_EXPECTED]])))</f>
        <v>0</v>
      </c>
      <c r="G328" t="str">
        <f>"item_"&amp;Table1[[#This Row],[VEHIDCODE]]</f>
        <v>item_mtro_Norway_Oslo_MX3000</v>
      </c>
      <c r="H328" t="str">
        <f>"str_"&amp;Table1[[#This Row],[VEHIDCODE]]</f>
        <v>str_mtro_Norway_Oslo_MX3000</v>
      </c>
      <c r="N328" t="b">
        <v>1</v>
      </c>
      <c r="AL328" s="2"/>
      <c r="AM328" s="2" t="b">
        <f>LEN(_xlfn.CONCAT(Table1[[#This Row],[TRACK_TYPE_STANDARD_GAUGE_RAILTYPE_OHLE]:[TRACK_TYPE_MTRO]]))&gt;0</f>
        <v>1</v>
      </c>
      <c r="AN328">
        <v>7</v>
      </c>
      <c r="AO328" t="s">
        <v>325</v>
      </c>
      <c r="AP328">
        <v>1</v>
      </c>
      <c r="AQ328" t="s">
        <v>19</v>
      </c>
      <c r="AR328">
        <v>164</v>
      </c>
      <c r="AS328">
        <v>2007</v>
      </c>
      <c r="AT328">
        <v>7</v>
      </c>
      <c r="AU328" s="2" t="s">
        <v>326</v>
      </c>
      <c r="AV328" t="b">
        <v>1</v>
      </c>
      <c r="AW328" t="b">
        <v>1</v>
      </c>
      <c r="AX328" s="2"/>
      <c r="AY328" t="s">
        <v>21</v>
      </c>
      <c r="AZ328">
        <v>1</v>
      </c>
      <c r="BA328">
        <v>760</v>
      </c>
      <c r="BB328" t="s">
        <v>708</v>
      </c>
      <c r="BC328">
        <v>80</v>
      </c>
      <c r="BD328" s="2">
        <v>0.3</v>
      </c>
      <c r="BE328" t="s">
        <v>926</v>
      </c>
      <c r="BF328" t="s">
        <v>921</v>
      </c>
      <c r="BG328" t="s">
        <v>939</v>
      </c>
      <c r="BH328" s="7">
        <v>60</v>
      </c>
      <c r="BI32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328">
        <v>0</v>
      </c>
      <c r="BK328" t="s">
        <v>733</v>
      </c>
      <c r="BL328" s="11">
        <v>164</v>
      </c>
      <c r="BM328" s="11">
        <v>7</v>
      </c>
      <c r="BN328" s="11">
        <v>33</v>
      </c>
      <c r="BO328">
        <v>0</v>
      </c>
      <c r="BP328" t="s">
        <v>691</v>
      </c>
      <c r="BQ328" t="s">
        <v>693</v>
      </c>
      <c r="BR328" t="s">
        <v>700</v>
      </c>
      <c r="BS328" t="s">
        <v>704</v>
      </c>
      <c r="BT328" t="s">
        <v>705</v>
      </c>
      <c r="BU328" t="s">
        <v>706</v>
      </c>
      <c r="CT328"/>
      <c r="CU328"/>
      <c r="CV328"/>
    </row>
    <row r="329" spans="1:100" x14ac:dyDescent="0.4">
      <c r="A329" s="2" t="s">
        <v>354</v>
      </c>
      <c r="B329" t="str">
        <f>_xlfn.TEXTAFTER(Table1[[#This Row],[VEHIDCODE]],"_")</f>
        <v>Japan_Osaka_30000</v>
      </c>
      <c r="C329" t="s">
        <v>740</v>
      </c>
      <c r="D329" t="s">
        <v>966</v>
      </c>
      <c r="E329">
        <v>9034</v>
      </c>
      <c r="F329" t="b">
        <f>OR(ISNUMBER(SEARCH("wagon_",Table1[[#This Row],[FILENAMES_EXPECTED]])),ISNUMBER(SEARCH("coach_",Table1[[#This Row],[FILENAMES_EXPECTED]])))</f>
        <v>0</v>
      </c>
      <c r="G329" t="str">
        <f>"item_"&amp;Table1[[#This Row],[VEHIDCODE]]</f>
        <v>item_mtro_Japan_Osaka_30000</v>
      </c>
      <c r="H329" t="str">
        <f>"str_"&amp;Table1[[#This Row],[VEHIDCODE]]</f>
        <v>str_mtro_Japan_Osaka_30000</v>
      </c>
      <c r="N329" t="b">
        <v>1</v>
      </c>
      <c r="AL329" s="2"/>
      <c r="AM329" s="2" t="b">
        <f>LEN(_xlfn.CONCAT(Table1[[#This Row],[TRACK_TYPE_STANDARD_GAUGE_RAILTYPE_OHLE]:[TRACK_TYPE_MTRO]]))&gt;0</f>
        <v>1</v>
      </c>
      <c r="AN329">
        <v>8</v>
      </c>
      <c r="AO329" t="s">
        <v>325</v>
      </c>
      <c r="AP329">
        <v>1</v>
      </c>
      <c r="AQ329" t="s">
        <v>19</v>
      </c>
      <c r="AR329">
        <v>140</v>
      </c>
      <c r="AS329">
        <v>2009</v>
      </c>
      <c r="AT329">
        <v>8</v>
      </c>
      <c r="AU329" s="2" t="s">
        <v>326</v>
      </c>
      <c r="AV329" t="b">
        <v>1</v>
      </c>
      <c r="AW329" t="b">
        <v>1</v>
      </c>
      <c r="AX329" s="2"/>
      <c r="AY329" t="s">
        <v>21</v>
      </c>
      <c r="AZ329">
        <v>1</v>
      </c>
      <c r="BA329">
        <v>750</v>
      </c>
      <c r="BB329" t="s">
        <v>708</v>
      </c>
      <c r="BC329">
        <v>70</v>
      </c>
      <c r="BD329" s="2">
        <v>0.62</v>
      </c>
      <c r="BE329" t="s">
        <v>930</v>
      </c>
      <c r="BF329" t="s">
        <v>921</v>
      </c>
      <c r="BG329" t="s">
        <v>939</v>
      </c>
      <c r="BH329" s="7">
        <v>60</v>
      </c>
      <c r="BI32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329">
        <v>0</v>
      </c>
      <c r="BK329" t="s">
        <v>733</v>
      </c>
      <c r="BL329" s="11">
        <v>140</v>
      </c>
      <c r="BM329" s="11">
        <v>8</v>
      </c>
      <c r="BN329" s="11">
        <v>30</v>
      </c>
      <c r="BO329">
        <v>0</v>
      </c>
      <c r="BP329" t="s">
        <v>691</v>
      </c>
      <c r="BQ329" t="s">
        <v>693</v>
      </c>
      <c r="BR329" t="s">
        <v>700</v>
      </c>
      <c r="BS329" t="s">
        <v>704</v>
      </c>
      <c r="BT329" t="s">
        <v>705</v>
      </c>
      <c r="BU329" t="s">
        <v>706</v>
      </c>
      <c r="CT329"/>
      <c r="CU329"/>
      <c r="CV329"/>
    </row>
    <row r="330" spans="1:100" x14ac:dyDescent="0.4">
      <c r="A330" s="2" t="s">
        <v>355</v>
      </c>
      <c r="B330" t="str">
        <f>_xlfn.TEXTAFTER(Table1[[#This Row],[VEHIDCODE]],"_")</f>
        <v>Singapore_Singapore_C151A</v>
      </c>
      <c r="C330" t="s">
        <v>740</v>
      </c>
      <c r="D330" t="s">
        <v>966</v>
      </c>
      <c r="E330">
        <v>9035</v>
      </c>
      <c r="F330" t="b">
        <f>OR(ISNUMBER(SEARCH("wagon_",Table1[[#This Row],[FILENAMES_EXPECTED]])),ISNUMBER(SEARCH("coach_",Table1[[#This Row],[FILENAMES_EXPECTED]])))</f>
        <v>0</v>
      </c>
      <c r="G330" t="str">
        <f>"item_"&amp;Table1[[#This Row],[VEHIDCODE]]</f>
        <v>item_mtro_Singapore_Singapore_C151A</v>
      </c>
      <c r="H330" t="str">
        <f>"str_"&amp;Table1[[#This Row],[VEHIDCODE]]</f>
        <v>str_mtro_Singapore_Singapore_C151A</v>
      </c>
      <c r="N330" t="b">
        <v>1</v>
      </c>
      <c r="AL330" s="2"/>
      <c r="AM330" s="2" t="b">
        <f>LEN(_xlfn.CONCAT(Table1[[#This Row],[TRACK_TYPE_STANDARD_GAUGE_RAILTYPE_OHLE]:[TRACK_TYPE_MTRO]]))&gt;0</f>
        <v>1</v>
      </c>
      <c r="AN330">
        <v>8</v>
      </c>
      <c r="AO330" t="s">
        <v>325</v>
      </c>
      <c r="AP330">
        <v>1</v>
      </c>
      <c r="AQ330" t="s">
        <v>19</v>
      </c>
      <c r="AR330">
        <v>250</v>
      </c>
      <c r="AS330">
        <v>2012</v>
      </c>
      <c r="AT330">
        <v>8</v>
      </c>
      <c r="AU330" s="2" t="s">
        <v>326</v>
      </c>
      <c r="AV330" t="b">
        <v>1</v>
      </c>
      <c r="AW330" t="b">
        <v>1</v>
      </c>
      <c r="AX330" s="2"/>
      <c r="AY330" t="s">
        <v>21</v>
      </c>
      <c r="AZ330">
        <v>1</v>
      </c>
      <c r="BA330">
        <v>720</v>
      </c>
      <c r="BB330" t="s">
        <v>708</v>
      </c>
      <c r="BC330">
        <v>90</v>
      </c>
      <c r="BD330" s="2">
        <v>0.81</v>
      </c>
      <c r="BE330" t="s">
        <v>930</v>
      </c>
      <c r="BF330" t="s">
        <v>921</v>
      </c>
      <c r="BG330" t="s">
        <v>939</v>
      </c>
      <c r="BH330" s="7">
        <v>60</v>
      </c>
      <c r="BI33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330">
        <v>0</v>
      </c>
      <c r="BK330" t="s">
        <v>733</v>
      </c>
      <c r="BL330" s="11">
        <v>250</v>
      </c>
      <c r="BM330" s="11">
        <v>8</v>
      </c>
      <c r="BN330" s="11">
        <v>35</v>
      </c>
      <c r="BO330">
        <v>0</v>
      </c>
      <c r="BP330" t="s">
        <v>691</v>
      </c>
      <c r="BQ330" t="s">
        <v>693</v>
      </c>
      <c r="BR330" t="s">
        <v>700</v>
      </c>
      <c r="BS330" t="s">
        <v>704</v>
      </c>
      <c r="BT330" t="s">
        <v>705</v>
      </c>
      <c r="BU330" t="s">
        <v>706</v>
      </c>
      <c r="CT330"/>
      <c r="CU330"/>
      <c r="CV330"/>
    </row>
    <row r="331" spans="1:100" x14ac:dyDescent="0.4">
      <c r="A331" s="2" t="s">
        <v>356</v>
      </c>
      <c r="B331" t="str">
        <f>_xlfn.TEXTAFTER(Table1[[#This Row],[VEHIDCODE]],"_")</f>
        <v>USA_Washington_7000</v>
      </c>
      <c r="C331" t="s">
        <v>740</v>
      </c>
      <c r="D331" t="s">
        <v>966</v>
      </c>
      <c r="E331">
        <v>9036</v>
      </c>
      <c r="F331" t="b">
        <f>OR(ISNUMBER(SEARCH("wagon_",Table1[[#This Row],[FILENAMES_EXPECTED]])),ISNUMBER(SEARCH("coach_",Table1[[#This Row],[FILENAMES_EXPECTED]])))</f>
        <v>0</v>
      </c>
      <c r="G331" t="str">
        <f>"item_"&amp;Table1[[#This Row],[VEHIDCODE]]</f>
        <v>item_mtro_USA_Washington_7000</v>
      </c>
      <c r="H331" t="str">
        <f>"str_"&amp;Table1[[#This Row],[VEHIDCODE]]</f>
        <v>str_mtro_USA_Washington_7000</v>
      </c>
      <c r="N331" t="b">
        <v>1</v>
      </c>
      <c r="AL331" s="2"/>
      <c r="AM331" s="2" t="b">
        <f>LEN(_xlfn.CONCAT(Table1[[#This Row],[TRACK_TYPE_STANDARD_GAUGE_RAILTYPE_OHLE]:[TRACK_TYPE_MTRO]]))&gt;0</f>
        <v>1</v>
      </c>
      <c r="AN331">
        <v>8</v>
      </c>
      <c r="AO331" t="s">
        <v>325</v>
      </c>
      <c r="AP331">
        <v>1</v>
      </c>
      <c r="AQ331" t="s">
        <v>19</v>
      </c>
      <c r="AR331">
        <v>184</v>
      </c>
      <c r="AS331">
        <v>2013</v>
      </c>
      <c r="AT331">
        <v>8</v>
      </c>
      <c r="AU331" s="2" t="s">
        <v>326</v>
      </c>
      <c r="AV331" t="b">
        <v>1</v>
      </c>
      <c r="AW331" t="b">
        <v>1</v>
      </c>
      <c r="AX331" s="2"/>
      <c r="AY331" t="s">
        <v>21</v>
      </c>
      <c r="AZ331">
        <v>1</v>
      </c>
      <c r="BA331">
        <v>720</v>
      </c>
      <c r="BB331" t="s">
        <v>708</v>
      </c>
      <c r="BC331">
        <v>126</v>
      </c>
      <c r="BD331" s="2">
        <v>0.64</v>
      </c>
      <c r="BE331" t="s">
        <v>927</v>
      </c>
      <c r="BF331" t="s">
        <v>921</v>
      </c>
      <c r="BG331" t="s">
        <v>939</v>
      </c>
      <c r="BH331" s="7">
        <v>60</v>
      </c>
      <c r="BI33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331">
        <v>0</v>
      </c>
      <c r="BK331" t="s">
        <v>733</v>
      </c>
      <c r="BL331" s="11">
        <v>184</v>
      </c>
      <c r="BM331" s="11">
        <v>8</v>
      </c>
      <c r="BN331" s="11">
        <v>36</v>
      </c>
      <c r="BO331">
        <v>0</v>
      </c>
      <c r="BP331" t="s">
        <v>691</v>
      </c>
      <c r="BQ331" t="s">
        <v>693</v>
      </c>
      <c r="BR331" t="s">
        <v>700</v>
      </c>
      <c r="BS331" t="s">
        <v>704</v>
      </c>
      <c r="BT331" t="s">
        <v>705</v>
      </c>
      <c r="BU331" t="s">
        <v>706</v>
      </c>
      <c r="CT331"/>
      <c r="CU331"/>
      <c r="CV331"/>
    </row>
    <row r="332" spans="1:100" x14ac:dyDescent="0.4">
      <c r="A332" s="2" t="s">
        <v>357</v>
      </c>
      <c r="B332" t="str">
        <f>_xlfn.TEXTAFTER(Table1[[#This Row],[VEHIDCODE]],"_")</f>
        <v>Greece_Thessaloniki_2014</v>
      </c>
      <c r="C332" t="s">
        <v>740</v>
      </c>
      <c r="D332" t="s">
        <v>966</v>
      </c>
      <c r="E332">
        <v>9037</v>
      </c>
      <c r="F332" t="b">
        <f>OR(ISNUMBER(SEARCH("wagon_",Table1[[#This Row],[FILENAMES_EXPECTED]])),ISNUMBER(SEARCH("coach_",Table1[[#This Row],[FILENAMES_EXPECTED]])))</f>
        <v>0</v>
      </c>
      <c r="G332" t="str">
        <f>"item_"&amp;Table1[[#This Row],[VEHIDCODE]]</f>
        <v>item_mtro_Greece_Thessaloniki_2014</v>
      </c>
      <c r="H332" t="str">
        <f>"str_"&amp;Table1[[#This Row],[VEHIDCODE]]</f>
        <v>str_mtro_Greece_Thessaloniki_2014</v>
      </c>
      <c r="N332" t="b">
        <v>1</v>
      </c>
      <c r="AL332" s="2"/>
      <c r="AM332" s="2" t="b">
        <f>LEN(_xlfn.CONCAT(Table1[[#This Row],[TRACK_TYPE_STANDARD_GAUGE_RAILTYPE_OHLE]:[TRACK_TYPE_MTRO]]))&gt;0</f>
        <v>1</v>
      </c>
      <c r="AN332">
        <v>6</v>
      </c>
      <c r="AO332" t="s">
        <v>325</v>
      </c>
      <c r="AP332">
        <v>1</v>
      </c>
      <c r="AQ332" t="s">
        <v>19</v>
      </c>
      <c r="AR332">
        <v>110</v>
      </c>
      <c r="AS332">
        <v>2014</v>
      </c>
      <c r="AT332">
        <v>6</v>
      </c>
      <c r="AU332" s="2" t="s">
        <v>326</v>
      </c>
      <c r="AV332" t="b">
        <v>1</v>
      </c>
      <c r="AW332" t="b">
        <v>1</v>
      </c>
      <c r="AX332" s="2"/>
      <c r="AY332" t="s">
        <v>21</v>
      </c>
      <c r="AZ332">
        <v>1</v>
      </c>
      <c r="BA332">
        <v>255</v>
      </c>
      <c r="BB332" t="s">
        <v>708</v>
      </c>
      <c r="BC332">
        <v>90</v>
      </c>
      <c r="BD332" s="2">
        <v>0.97</v>
      </c>
      <c r="BE332" t="s">
        <v>923</v>
      </c>
      <c r="BF332" t="s">
        <v>921</v>
      </c>
      <c r="BG332" t="s">
        <v>939</v>
      </c>
      <c r="BH332" s="7">
        <v>60</v>
      </c>
      <c r="BI33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332">
        <v>0</v>
      </c>
      <c r="BK332" t="s">
        <v>733</v>
      </c>
      <c r="BL332" s="11">
        <v>110</v>
      </c>
      <c r="BM332" s="11">
        <v>6</v>
      </c>
      <c r="BN332" s="11">
        <v>18</v>
      </c>
      <c r="BO332">
        <v>0</v>
      </c>
      <c r="BP332" t="s">
        <v>691</v>
      </c>
      <c r="BQ332" t="s">
        <v>693</v>
      </c>
      <c r="BR332" t="s">
        <v>700</v>
      </c>
      <c r="BS332" t="s">
        <v>704</v>
      </c>
      <c r="BT332" t="s">
        <v>705</v>
      </c>
      <c r="BU332" t="s">
        <v>706</v>
      </c>
      <c r="CT332"/>
      <c r="CU332"/>
      <c r="CV332"/>
    </row>
    <row r="333" spans="1:100" x14ac:dyDescent="0.4">
      <c r="A333" s="2" t="s">
        <v>358</v>
      </c>
      <c r="B333" t="str">
        <f>_xlfn.TEXTAFTER(Table1[[#This Row],[VEHIDCODE]],"_")</f>
        <v>Germany_Berlin_U_Bahn_A_I</v>
      </c>
      <c r="C333" t="s">
        <v>740</v>
      </c>
      <c r="D333" t="s">
        <v>966</v>
      </c>
      <c r="E333">
        <v>9038</v>
      </c>
      <c r="F333" t="b">
        <f>OR(ISNUMBER(SEARCH("wagon_",Table1[[#This Row],[FILENAMES_EXPECTED]])),ISNUMBER(SEARCH("coach_",Table1[[#This Row],[FILENAMES_EXPECTED]])))</f>
        <v>0</v>
      </c>
      <c r="G333" t="str">
        <f>"item_"&amp;Table1[[#This Row],[VEHIDCODE]]</f>
        <v>item_mtro_Germany_Berlin_U_Bahn_A_I</v>
      </c>
      <c r="H333" t="str">
        <f>"str_"&amp;Table1[[#This Row],[VEHIDCODE]]</f>
        <v>str_mtro_Germany_Berlin_U_Bahn_A_I</v>
      </c>
      <c r="N333" t="b">
        <v>1</v>
      </c>
      <c r="AL333" s="2"/>
      <c r="AM333" s="2" t="b">
        <f>LEN(_xlfn.CONCAT(Table1[[#This Row],[TRACK_TYPE_STANDARD_GAUGE_RAILTYPE_OHLE]:[TRACK_TYPE_MTRO]]))&gt;0</f>
        <v>1</v>
      </c>
      <c r="AN333">
        <v>5</v>
      </c>
      <c r="AO333" t="s">
        <v>325</v>
      </c>
      <c r="AP333">
        <v>1</v>
      </c>
      <c r="AQ333" t="s">
        <v>19</v>
      </c>
      <c r="AR333">
        <v>88</v>
      </c>
      <c r="AS333">
        <v>1901</v>
      </c>
      <c r="AT333">
        <v>5</v>
      </c>
      <c r="AU333" s="2" t="s">
        <v>326</v>
      </c>
      <c r="AV333" t="b">
        <v>1</v>
      </c>
      <c r="AW333" t="b">
        <v>1</v>
      </c>
      <c r="AX333" s="2"/>
      <c r="AY333">
        <v>45</v>
      </c>
      <c r="AZ333">
        <v>1</v>
      </c>
      <c r="BA333">
        <v>321</v>
      </c>
      <c r="BB333" t="s">
        <v>708</v>
      </c>
      <c r="BC333">
        <v>50</v>
      </c>
      <c r="BD333" s="2">
        <v>0.14000000000000001</v>
      </c>
      <c r="BE333" t="s">
        <v>922</v>
      </c>
      <c r="BF333" t="s">
        <v>921</v>
      </c>
      <c r="BG333" t="s">
        <v>939</v>
      </c>
      <c r="BH333" s="7">
        <v>60</v>
      </c>
      <c r="BI33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333">
        <v>0</v>
      </c>
      <c r="BK333" t="s">
        <v>733</v>
      </c>
      <c r="BL333" s="11">
        <v>88</v>
      </c>
      <c r="BM333" s="11">
        <v>5</v>
      </c>
      <c r="BN333" s="11">
        <v>29</v>
      </c>
      <c r="BO333">
        <v>0</v>
      </c>
      <c r="BP333" t="s">
        <v>691</v>
      </c>
      <c r="BQ333" t="s">
        <v>693</v>
      </c>
      <c r="BR333" t="s">
        <v>700</v>
      </c>
      <c r="BS333" t="s">
        <v>704</v>
      </c>
      <c r="BT333" t="s">
        <v>705</v>
      </c>
      <c r="BU333" t="s">
        <v>706</v>
      </c>
      <c r="CT333"/>
      <c r="CU333"/>
      <c r="CV333"/>
    </row>
    <row r="334" spans="1:100" x14ac:dyDescent="0.4">
      <c r="A334" s="2" t="s">
        <v>359</v>
      </c>
      <c r="B334" t="str">
        <f>_xlfn.TEXTAFTER(Table1[[#This Row],[VEHIDCODE]],"_")</f>
        <v>USA_NY_Hedley_Hi_V</v>
      </c>
      <c r="C334" t="s">
        <v>740</v>
      </c>
      <c r="D334" t="s">
        <v>966</v>
      </c>
      <c r="E334">
        <v>9039</v>
      </c>
      <c r="F334" t="b">
        <f>OR(ISNUMBER(SEARCH("wagon_",Table1[[#This Row],[FILENAMES_EXPECTED]])),ISNUMBER(SEARCH("coach_",Table1[[#This Row],[FILENAMES_EXPECTED]])))</f>
        <v>0</v>
      </c>
      <c r="G334" t="str">
        <f>"item_"&amp;Table1[[#This Row],[VEHIDCODE]]</f>
        <v>item_mtro_USA_NY_Hedley_Hi_V</v>
      </c>
      <c r="H334" t="str">
        <f>"str_"&amp;Table1[[#This Row],[VEHIDCODE]]</f>
        <v>str_mtro_USA_NY_Hedley_Hi_V</v>
      </c>
      <c r="N334" t="b">
        <v>1</v>
      </c>
      <c r="AL334" s="2"/>
      <c r="AM334" s="2" t="b">
        <f>LEN(_xlfn.CONCAT(Table1[[#This Row],[TRACK_TYPE_STANDARD_GAUGE_RAILTYPE_OHLE]:[TRACK_TYPE_MTRO]]))&gt;0</f>
        <v>1</v>
      </c>
      <c r="AN334">
        <v>8</v>
      </c>
      <c r="AO334" t="s">
        <v>325</v>
      </c>
      <c r="AP334">
        <v>1</v>
      </c>
      <c r="AQ334" t="s">
        <v>19</v>
      </c>
      <c r="AR334">
        <v>128</v>
      </c>
      <c r="AS334">
        <v>1910</v>
      </c>
      <c r="AT334">
        <v>8</v>
      </c>
      <c r="AU334" s="2" t="s">
        <v>326</v>
      </c>
      <c r="AV334" t="b">
        <v>1</v>
      </c>
      <c r="AW334" t="b">
        <v>1</v>
      </c>
      <c r="AX334" s="2"/>
      <c r="AY334">
        <v>45</v>
      </c>
      <c r="AZ334">
        <v>1</v>
      </c>
      <c r="BA334">
        <v>400</v>
      </c>
      <c r="BB334" t="s">
        <v>708</v>
      </c>
      <c r="BC334">
        <v>90</v>
      </c>
      <c r="BD334" s="2">
        <v>0.2</v>
      </c>
      <c r="BE334" t="s">
        <v>927</v>
      </c>
      <c r="BF334" t="s">
        <v>921</v>
      </c>
      <c r="BG334" t="s">
        <v>939</v>
      </c>
      <c r="BH334" s="7">
        <v>60</v>
      </c>
      <c r="BI33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334">
        <v>0</v>
      </c>
      <c r="BK334" t="s">
        <v>733</v>
      </c>
      <c r="BL334" s="11">
        <v>128</v>
      </c>
      <c r="BM334" s="11">
        <v>8</v>
      </c>
      <c r="BN334" s="11">
        <v>36</v>
      </c>
      <c r="BO334">
        <v>0</v>
      </c>
      <c r="BP334" t="s">
        <v>691</v>
      </c>
      <c r="BQ334" t="s">
        <v>693</v>
      </c>
      <c r="BR334" t="s">
        <v>700</v>
      </c>
      <c r="BS334" t="s">
        <v>704</v>
      </c>
      <c r="BT334" t="s">
        <v>705</v>
      </c>
      <c r="BU334" t="s">
        <v>706</v>
      </c>
      <c r="CT334"/>
      <c r="CU334"/>
      <c r="CV334"/>
    </row>
    <row r="335" spans="1:100" x14ac:dyDescent="0.4">
      <c r="A335" s="2" t="s">
        <v>360</v>
      </c>
      <c r="B335" t="str">
        <f>_xlfn.TEXTAFTER(Table1[[#This Row],[VEHIDCODE]],"_")</f>
        <v>Japan_Osaka_1000</v>
      </c>
      <c r="C335" t="s">
        <v>740</v>
      </c>
      <c r="D335" t="s">
        <v>966</v>
      </c>
      <c r="E335">
        <v>9040</v>
      </c>
      <c r="F335" t="b">
        <f>OR(ISNUMBER(SEARCH("wagon_",Table1[[#This Row],[FILENAMES_EXPECTED]])),ISNUMBER(SEARCH("coach_",Table1[[#This Row],[FILENAMES_EXPECTED]])))</f>
        <v>0</v>
      </c>
      <c r="G335" t="str">
        <f>"item_"&amp;Table1[[#This Row],[VEHIDCODE]]</f>
        <v>item_mtro_Japan_Osaka_1000</v>
      </c>
      <c r="H335" t="str">
        <f>"str_"&amp;Table1[[#This Row],[VEHIDCODE]]</f>
        <v>str_mtro_Japan_Osaka_1000</v>
      </c>
      <c r="N335" t="b">
        <v>1</v>
      </c>
      <c r="AL335" s="2"/>
      <c r="AM335" s="2" t="b">
        <f>LEN(_xlfn.CONCAT(Table1[[#This Row],[TRACK_TYPE_STANDARD_GAUGE_RAILTYPE_OHLE]:[TRACK_TYPE_MTRO]]))&gt;0</f>
        <v>1</v>
      </c>
      <c r="AN335">
        <v>7</v>
      </c>
      <c r="AO335" t="s">
        <v>325</v>
      </c>
      <c r="AP335">
        <v>1</v>
      </c>
      <c r="AQ335" t="s">
        <v>19</v>
      </c>
      <c r="AR335">
        <v>145</v>
      </c>
      <c r="AS335">
        <v>1933</v>
      </c>
      <c r="AT335">
        <v>7</v>
      </c>
      <c r="AU335" s="2" t="s">
        <v>326</v>
      </c>
      <c r="AV335" t="b">
        <v>1</v>
      </c>
      <c r="AW335" t="b">
        <v>1</v>
      </c>
      <c r="AX335" s="2"/>
      <c r="AY335">
        <v>45</v>
      </c>
      <c r="AZ335">
        <v>1</v>
      </c>
      <c r="BA335">
        <v>200</v>
      </c>
      <c r="BB335" t="s">
        <v>708</v>
      </c>
      <c r="BC335">
        <v>65</v>
      </c>
      <c r="BD335" s="2">
        <v>0.24</v>
      </c>
      <c r="BE335" t="s">
        <v>930</v>
      </c>
      <c r="BF335" t="s">
        <v>921</v>
      </c>
      <c r="BG335" t="s">
        <v>939</v>
      </c>
      <c r="BH335" s="7">
        <v>60</v>
      </c>
      <c r="BI33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335">
        <v>0</v>
      </c>
      <c r="BK335" t="s">
        <v>733</v>
      </c>
      <c r="BL335" s="11">
        <v>145</v>
      </c>
      <c r="BM335" s="11">
        <v>7</v>
      </c>
      <c r="BN335" s="11">
        <v>35</v>
      </c>
      <c r="BO335">
        <v>0</v>
      </c>
      <c r="BP335" t="s">
        <v>691</v>
      </c>
      <c r="BQ335" t="s">
        <v>693</v>
      </c>
      <c r="BR335" t="s">
        <v>700</v>
      </c>
      <c r="BS335" t="s">
        <v>704</v>
      </c>
      <c r="BT335" t="s">
        <v>705</v>
      </c>
      <c r="BU335" t="s">
        <v>706</v>
      </c>
      <c r="CT335"/>
      <c r="CU335"/>
      <c r="CV335"/>
    </row>
    <row r="336" spans="1:100" x14ac:dyDescent="0.4">
      <c r="A336" s="2" t="s">
        <v>361</v>
      </c>
      <c r="B336" t="str">
        <f>_xlfn.TEXTAFTER(Table1[[#This Row],[VEHIDCODE]],"_")</f>
        <v>Russia_Moscow_Type_A</v>
      </c>
      <c r="C336" t="s">
        <v>740</v>
      </c>
      <c r="D336" t="s">
        <v>966</v>
      </c>
      <c r="E336">
        <v>9041</v>
      </c>
      <c r="F336" t="b">
        <f>OR(ISNUMBER(SEARCH("wagon_",Table1[[#This Row],[FILENAMES_EXPECTED]])),ISNUMBER(SEARCH("coach_",Table1[[#This Row],[FILENAMES_EXPECTED]])))</f>
        <v>0</v>
      </c>
      <c r="G336" t="str">
        <f>"item_"&amp;Table1[[#This Row],[VEHIDCODE]]</f>
        <v>item_mtro_Russia_Moscow_Type_A</v>
      </c>
      <c r="H336" t="str">
        <f>"str_"&amp;Table1[[#This Row],[VEHIDCODE]]</f>
        <v>str_mtro_Russia_Moscow_Type_A</v>
      </c>
      <c r="AF336" t="b">
        <v>1</v>
      </c>
      <c r="AL336" s="2"/>
      <c r="AM336" s="2" t="b">
        <f>LEN(_xlfn.CONCAT(Table1[[#This Row],[TRACK_TYPE_STANDARD_GAUGE_RAILTYPE_OHLE]:[TRACK_TYPE_MTRO]]))&gt;0</f>
        <v>1</v>
      </c>
      <c r="AN336">
        <v>7</v>
      </c>
      <c r="AO336" t="s">
        <v>325</v>
      </c>
      <c r="AP336">
        <v>1</v>
      </c>
      <c r="AQ336" t="s">
        <v>19</v>
      </c>
      <c r="AR336">
        <v>131</v>
      </c>
      <c r="AS336">
        <v>1934</v>
      </c>
      <c r="AT336">
        <v>7</v>
      </c>
      <c r="AU336" s="2" t="s">
        <v>326</v>
      </c>
      <c r="AV336" t="b">
        <v>1</v>
      </c>
      <c r="AW336" t="b">
        <v>1</v>
      </c>
      <c r="AX336" s="2"/>
      <c r="AY336">
        <v>45</v>
      </c>
      <c r="AZ336">
        <v>1</v>
      </c>
      <c r="BA336">
        <v>205</v>
      </c>
      <c r="BB336" t="s">
        <v>708</v>
      </c>
      <c r="BC336">
        <v>65</v>
      </c>
      <c r="BD336" s="2">
        <v>0.14000000000000001</v>
      </c>
      <c r="BE336" t="s">
        <v>930</v>
      </c>
      <c r="BF336" t="s">
        <v>921</v>
      </c>
      <c r="BG336" t="s">
        <v>939</v>
      </c>
      <c r="BH336" s="7">
        <v>60</v>
      </c>
      <c r="BI33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336">
        <v>0</v>
      </c>
      <c r="BK336" t="s">
        <v>733</v>
      </c>
      <c r="BL336" s="11">
        <v>131</v>
      </c>
      <c r="BM336" s="11">
        <v>7</v>
      </c>
      <c r="BN336" s="11">
        <v>51</v>
      </c>
      <c r="BO336">
        <v>0</v>
      </c>
      <c r="BP336" t="s">
        <v>691</v>
      </c>
      <c r="BQ336" t="s">
        <v>693</v>
      </c>
      <c r="BR336" t="s">
        <v>700</v>
      </c>
      <c r="BS336" t="s">
        <v>704</v>
      </c>
      <c r="BT336" t="s">
        <v>705</v>
      </c>
      <c r="BU336" t="s">
        <v>706</v>
      </c>
      <c r="CT336"/>
      <c r="CU336"/>
      <c r="CV336"/>
    </row>
    <row r="337" spans="1:100" x14ac:dyDescent="0.4">
      <c r="A337" s="2" t="s">
        <v>362</v>
      </c>
      <c r="B337" t="str">
        <f>_xlfn.TEXTAFTER(Table1[[#This Row],[VEHIDCODE]],"_")</f>
        <v>USA_NY_R10</v>
      </c>
      <c r="C337" t="s">
        <v>740</v>
      </c>
      <c r="D337" t="s">
        <v>966</v>
      </c>
      <c r="E337">
        <v>9042</v>
      </c>
      <c r="F337" t="b">
        <f>OR(ISNUMBER(SEARCH("wagon_",Table1[[#This Row],[FILENAMES_EXPECTED]])),ISNUMBER(SEARCH("coach_",Table1[[#This Row],[FILENAMES_EXPECTED]])))</f>
        <v>0</v>
      </c>
      <c r="G337" t="str">
        <f>"item_"&amp;Table1[[#This Row],[VEHIDCODE]]</f>
        <v>item_mtro_USA_NY_R10</v>
      </c>
      <c r="H337" t="str">
        <f>"str_"&amp;Table1[[#This Row],[VEHIDCODE]]</f>
        <v>str_mtro_USA_NY_R10</v>
      </c>
      <c r="N337" t="b">
        <v>1</v>
      </c>
      <c r="AL337" s="2"/>
      <c r="AM337" s="2" t="b">
        <f>LEN(_xlfn.CONCAT(Table1[[#This Row],[TRACK_TYPE_STANDARD_GAUGE_RAILTYPE_OHLE]:[TRACK_TYPE_MTRO]]))&gt;0</f>
        <v>1</v>
      </c>
      <c r="AN337">
        <v>8</v>
      </c>
      <c r="AO337" t="s">
        <v>325</v>
      </c>
      <c r="AP337">
        <v>1</v>
      </c>
      <c r="AQ337" t="s">
        <v>19</v>
      </c>
      <c r="AR337">
        <v>160</v>
      </c>
      <c r="AS337">
        <v>1948</v>
      </c>
      <c r="AT337">
        <v>8</v>
      </c>
      <c r="AU337" s="2" t="s">
        <v>326</v>
      </c>
      <c r="AV337" t="b">
        <v>1</v>
      </c>
      <c r="AW337" t="b">
        <v>1</v>
      </c>
      <c r="AX337" s="2"/>
      <c r="AY337">
        <v>45</v>
      </c>
      <c r="AZ337">
        <v>1</v>
      </c>
      <c r="BA337">
        <v>400</v>
      </c>
      <c r="BB337" t="s">
        <v>708</v>
      </c>
      <c r="BC337">
        <v>90</v>
      </c>
      <c r="BD337" s="2">
        <v>0.2</v>
      </c>
      <c r="BE337" t="s">
        <v>927</v>
      </c>
      <c r="BF337" t="s">
        <v>921</v>
      </c>
      <c r="BG337" t="s">
        <v>939</v>
      </c>
      <c r="BH337" s="7">
        <v>60</v>
      </c>
      <c r="BI33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337">
        <v>0</v>
      </c>
      <c r="BK337" t="s">
        <v>733</v>
      </c>
      <c r="BL337" s="11">
        <v>160</v>
      </c>
      <c r="BM337" s="11">
        <v>8</v>
      </c>
      <c r="BN337" s="11">
        <v>36</v>
      </c>
      <c r="BO337">
        <v>0</v>
      </c>
      <c r="BP337" t="s">
        <v>691</v>
      </c>
      <c r="BQ337" t="s">
        <v>693</v>
      </c>
      <c r="BR337" t="s">
        <v>700</v>
      </c>
      <c r="BS337" t="s">
        <v>704</v>
      </c>
      <c r="BT337" t="s">
        <v>705</v>
      </c>
      <c r="BU337" t="s">
        <v>706</v>
      </c>
      <c r="CT337"/>
      <c r="CU337"/>
      <c r="CV337"/>
    </row>
    <row r="338" spans="1:100" x14ac:dyDescent="0.4">
      <c r="A338" s="2" t="s">
        <v>363</v>
      </c>
      <c r="B338" t="str">
        <f>_xlfn.TEXTAFTER(Table1[[#This Row],[VEHIDCODE]],"_")</f>
        <v>Italy_Rome_MR_100</v>
      </c>
      <c r="C338" t="s">
        <v>740</v>
      </c>
      <c r="D338" t="s">
        <v>966</v>
      </c>
      <c r="E338">
        <v>9043</v>
      </c>
      <c r="F338" t="b">
        <f>OR(ISNUMBER(SEARCH("wagon_",Table1[[#This Row],[FILENAMES_EXPECTED]])),ISNUMBER(SEARCH("coach_",Table1[[#This Row],[FILENAMES_EXPECTED]])))</f>
        <v>0</v>
      </c>
      <c r="G338" t="str">
        <f>"item_"&amp;Table1[[#This Row],[VEHIDCODE]]</f>
        <v>item_mtro_Italy_Rome_MR_100</v>
      </c>
      <c r="H338" t="str">
        <f>"str_"&amp;Table1[[#This Row],[VEHIDCODE]]</f>
        <v>str_mtro_Italy_Rome_MR_100</v>
      </c>
      <c r="N338" t="b">
        <v>1</v>
      </c>
      <c r="AL338" s="2"/>
      <c r="AM338" s="2" t="b">
        <f>LEN(_xlfn.CONCAT(Table1[[#This Row],[TRACK_TYPE_STANDARD_GAUGE_RAILTYPE_OHLE]:[TRACK_TYPE_MTRO]]))&gt;0</f>
        <v>1</v>
      </c>
      <c r="AN338">
        <v>7</v>
      </c>
      <c r="AO338" t="s">
        <v>325</v>
      </c>
      <c r="AP338">
        <v>1</v>
      </c>
      <c r="AQ338" t="s">
        <v>19</v>
      </c>
      <c r="AR338">
        <v>156</v>
      </c>
      <c r="AS338">
        <v>1954</v>
      </c>
      <c r="AT338">
        <v>7</v>
      </c>
      <c r="AU338" s="2" t="s">
        <v>326</v>
      </c>
      <c r="AV338" t="b">
        <v>1</v>
      </c>
      <c r="AW338" t="b">
        <v>1</v>
      </c>
      <c r="AX338" s="2"/>
      <c r="AY338">
        <v>45</v>
      </c>
      <c r="AZ338">
        <v>1</v>
      </c>
      <c r="BA338">
        <v>237</v>
      </c>
      <c r="BB338" t="s">
        <v>708</v>
      </c>
      <c r="BC338">
        <v>100</v>
      </c>
      <c r="BD338" s="2">
        <v>0.15</v>
      </c>
      <c r="BE338" t="s">
        <v>923</v>
      </c>
      <c r="BF338" t="s">
        <v>921</v>
      </c>
      <c r="BG338" t="s">
        <v>939</v>
      </c>
      <c r="BH338" s="7">
        <v>60</v>
      </c>
      <c r="BI33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338">
        <v>0</v>
      </c>
      <c r="BK338" t="s">
        <v>733</v>
      </c>
      <c r="BL338" s="11">
        <v>156</v>
      </c>
      <c r="BM338" s="11">
        <v>7</v>
      </c>
      <c r="BN338" s="11">
        <v>40</v>
      </c>
      <c r="BO338">
        <v>0</v>
      </c>
      <c r="BP338" t="s">
        <v>691</v>
      </c>
      <c r="BQ338" t="s">
        <v>693</v>
      </c>
      <c r="BR338" t="s">
        <v>700</v>
      </c>
      <c r="BS338" t="s">
        <v>704</v>
      </c>
      <c r="BT338" t="s">
        <v>705</v>
      </c>
      <c r="BU338" t="s">
        <v>706</v>
      </c>
      <c r="CT338"/>
      <c r="CU338"/>
      <c r="CV338"/>
    </row>
    <row r="339" spans="1:100" x14ac:dyDescent="0.4">
      <c r="A339" s="2" t="s">
        <v>364</v>
      </c>
      <c r="B339" t="str">
        <f>_xlfn.TEXTAFTER(Table1[[#This Row],[VEHIDCODE]],"_")</f>
        <v>Russia_Moscow_Type_D</v>
      </c>
      <c r="C339" t="s">
        <v>740</v>
      </c>
      <c r="D339" t="s">
        <v>966</v>
      </c>
      <c r="E339">
        <v>9044</v>
      </c>
      <c r="F339" t="b">
        <f>OR(ISNUMBER(SEARCH("wagon_",Table1[[#This Row],[FILENAMES_EXPECTED]])),ISNUMBER(SEARCH("coach_",Table1[[#This Row],[FILENAMES_EXPECTED]])))</f>
        <v>0</v>
      </c>
      <c r="G339" t="str">
        <f>"item_"&amp;Table1[[#This Row],[VEHIDCODE]]</f>
        <v>item_mtro_Russia_Moscow_Type_D</v>
      </c>
      <c r="H339" t="str">
        <f>"str_"&amp;Table1[[#This Row],[VEHIDCODE]]</f>
        <v>str_mtro_Russia_Moscow_Type_D</v>
      </c>
      <c r="AF339" t="b">
        <v>1</v>
      </c>
      <c r="AL339" s="2"/>
      <c r="AM339" s="2" t="b">
        <f>LEN(_xlfn.CONCAT(Table1[[#This Row],[TRACK_TYPE_STANDARD_GAUGE_RAILTYPE_OHLE]:[TRACK_TYPE_MTRO]]))&gt;0</f>
        <v>1</v>
      </c>
      <c r="AN339">
        <v>8</v>
      </c>
      <c r="AO339" t="s">
        <v>325</v>
      </c>
      <c r="AP339">
        <v>1</v>
      </c>
      <c r="AQ339" t="s">
        <v>19</v>
      </c>
      <c r="AR339">
        <v>132</v>
      </c>
      <c r="AS339">
        <v>1955</v>
      </c>
      <c r="AT339">
        <v>8</v>
      </c>
      <c r="AU339" s="2" t="s">
        <v>326</v>
      </c>
      <c r="AV339" t="b">
        <v>1</v>
      </c>
      <c r="AW339" t="b">
        <v>1</v>
      </c>
      <c r="AX339" s="2"/>
      <c r="AY339">
        <v>45</v>
      </c>
      <c r="AZ339">
        <v>1</v>
      </c>
      <c r="BA339">
        <v>192</v>
      </c>
      <c r="BB339" t="s">
        <v>708</v>
      </c>
      <c r="BC339">
        <v>75</v>
      </c>
      <c r="BD339" s="2">
        <v>0.21</v>
      </c>
      <c r="BE339" t="s">
        <v>930</v>
      </c>
      <c r="BF339" t="s">
        <v>921</v>
      </c>
      <c r="BG339" t="s">
        <v>939</v>
      </c>
      <c r="BH339" s="7">
        <v>60</v>
      </c>
      <c r="BI33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339">
        <v>0</v>
      </c>
      <c r="BK339" t="s">
        <v>733</v>
      </c>
      <c r="BL339" s="11">
        <v>132</v>
      </c>
      <c r="BM339" s="11">
        <v>8</v>
      </c>
      <c r="BN339" s="11">
        <v>36</v>
      </c>
      <c r="BO339">
        <v>0</v>
      </c>
      <c r="BP339" t="s">
        <v>691</v>
      </c>
      <c r="BQ339" t="s">
        <v>693</v>
      </c>
      <c r="BR339" t="s">
        <v>700</v>
      </c>
      <c r="BS339" t="s">
        <v>704</v>
      </c>
      <c r="BT339" t="s">
        <v>705</v>
      </c>
      <c r="BU339" t="s">
        <v>706</v>
      </c>
      <c r="CT339"/>
      <c r="CU339"/>
      <c r="CV339"/>
    </row>
    <row r="340" spans="1:100" x14ac:dyDescent="0.4">
      <c r="A340" s="2" t="s">
        <v>365</v>
      </c>
      <c r="B340" t="str">
        <f>_xlfn.TEXTAFTER(Table1[[#This Row],[VEHIDCODE]],"_")</f>
        <v>Netherlands_Rotterdam_MG2_Type_M</v>
      </c>
      <c r="C340" t="s">
        <v>740</v>
      </c>
      <c r="D340" t="s">
        <v>966</v>
      </c>
      <c r="E340">
        <v>9045</v>
      </c>
      <c r="F340" t="b">
        <f>OR(ISNUMBER(SEARCH("wagon_",Table1[[#This Row],[FILENAMES_EXPECTED]])),ISNUMBER(SEARCH("coach_",Table1[[#This Row],[FILENAMES_EXPECTED]])))</f>
        <v>0</v>
      </c>
      <c r="G340" t="str">
        <f>"item_"&amp;Table1[[#This Row],[VEHIDCODE]]</f>
        <v>item_mtro_Netherlands_Rotterdam_MG2_Type_M</v>
      </c>
      <c r="H340" t="str">
        <f>"str_"&amp;Table1[[#This Row],[VEHIDCODE]]</f>
        <v>str_mtro_Netherlands_Rotterdam_MG2_Type_M</v>
      </c>
      <c r="N340" t="b">
        <v>1</v>
      </c>
      <c r="AL340" s="2"/>
      <c r="AM340" s="2" t="b">
        <f>LEN(_xlfn.CONCAT(Table1[[#This Row],[TRACK_TYPE_STANDARD_GAUGE_RAILTYPE_OHLE]:[TRACK_TYPE_MTRO]]))&gt;0</f>
        <v>1</v>
      </c>
      <c r="AN340">
        <v>7</v>
      </c>
      <c r="AO340" t="s">
        <v>325</v>
      </c>
      <c r="AP340">
        <v>1</v>
      </c>
      <c r="AQ340" t="s">
        <v>19</v>
      </c>
      <c r="AR340">
        <v>235</v>
      </c>
      <c r="AS340">
        <v>1968</v>
      </c>
      <c r="AT340">
        <v>7</v>
      </c>
      <c r="AU340" s="2" t="s">
        <v>326</v>
      </c>
      <c r="AV340" t="b">
        <v>1</v>
      </c>
      <c r="AW340" t="b">
        <v>1</v>
      </c>
      <c r="AX340" s="2"/>
      <c r="AY340">
        <v>45</v>
      </c>
      <c r="AZ340">
        <v>1</v>
      </c>
      <c r="BA340">
        <v>197</v>
      </c>
      <c r="BB340" t="s">
        <v>708</v>
      </c>
      <c r="BC340">
        <v>80</v>
      </c>
      <c r="BD340" s="2">
        <v>0.3</v>
      </c>
      <c r="BE340" t="s">
        <v>922</v>
      </c>
      <c r="BF340" t="s">
        <v>921</v>
      </c>
      <c r="BG340" t="s">
        <v>939</v>
      </c>
      <c r="BH340" s="7">
        <v>60</v>
      </c>
      <c r="BI34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340">
        <v>0</v>
      </c>
      <c r="BK340" t="s">
        <v>733</v>
      </c>
      <c r="BL340" s="11">
        <v>235</v>
      </c>
      <c r="BM340" s="11">
        <v>7</v>
      </c>
      <c r="BN340" s="11">
        <v>20</v>
      </c>
      <c r="BO340">
        <v>0</v>
      </c>
      <c r="BP340" t="s">
        <v>691</v>
      </c>
      <c r="BQ340" t="s">
        <v>693</v>
      </c>
      <c r="BR340" t="s">
        <v>700</v>
      </c>
      <c r="BS340" t="s">
        <v>704</v>
      </c>
      <c r="BT340" t="s">
        <v>705</v>
      </c>
      <c r="BU340" t="s">
        <v>706</v>
      </c>
      <c r="CT340"/>
      <c r="CU340"/>
      <c r="CV340"/>
    </row>
    <row r="341" spans="1:100" x14ac:dyDescent="0.4">
      <c r="A341" s="2" t="s">
        <v>366</v>
      </c>
      <c r="B341" t="str">
        <f>_xlfn.TEXTAFTER(Table1[[#This Row],[VEHIDCODE]],"_")</f>
        <v>Czech_Republic_Prague_ECS_Set</v>
      </c>
      <c r="C341" t="s">
        <v>740</v>
      </c>
      <c r="D341" t="s">
        <v>966</v>
      </c>
      <c r="E341">
        <v>9046</v>
      </c>
      <c r="F341" t="b">
        <f>OR(ISNUMBER(SEARCH("wagon_",Table1[[#This Row],[FILENAMES_EXPECTED]])),ISNUMBER(SEARCH("coach_",Table1[[#This Row],[FILENAMES_EXPECTED]])))</f>
        <v>0</v>
      </c>
      <c r="G341" t="str">
        <f>"item_"&amp;Table1[[#This Row],[VEHIDCODE]]</f>
        <v>item_mtro_Czech_Republic_Prague_ECS_Set</v>
      </c>
      <c r="H341" t="str">
        <f>"str_"&amp;Table1[[#This Row],[VEHIDCODE]]</f>
        <v>str_mtro_Czech_Republic_Prague_ECS_Set</v>
      </c>
      <c r="N341" t="b">
        <v>1</v>
      </c>
      <c r="AL341" s="2"/>
      <c r="AM341" s="2" t="b">
        <f>LEN(_xlfn.CONCAT(Table1[[#This Row],[TRACK_TYPE_STANDARD_GAUGE_RAILTYPE_OHLE]:[TRACK_TYPE_MTRO]]))&gt;0</f>
        <v>1</v>
      </c>
      <c r="AN341">
        <v>8</v>
      </c>
      <c r="AO341" t="s">
        <v>325</v>
      </c>
      <c r="AP341">
        <v>1</v>
      </c>
      <c r="AQ341" t="s">
        <v>19</v>
      </c>
      <c r="AR341">
        <v>150</v>
      </c>
      <c r="AS341">
        <v>1972</v>
      </c>
      <c r="AT341">
        <v>8</v>
      </c>
      <c r="AU341" s="2" t="s">
        <v>326</v>
      </c>
      <c r="AV341" t="b">
        <v>1</v>
      </c>
      <c r="AW341" t="b">
        <v>1</v>
      </c>
      <c r="AX341" s="2"/>
      <c r="AY341">
        <v>45</v>
      </c>
      <c r="AZ341">
        <v>1</v>
      </c>
      <c r="BA341">
        <v>192</v>
      </c>
      <c r="BB341" t="s">
        <v>708</v>
      </c>
      <c r="BC341">
        <v>80</v>
      </c>
      <c r="BD341" s="2">
        <v>0.16</v>
      </c>
      <c r="BE341" t="s">
        <v>928</v>
      </c>
      <c r="BF341" t="s">
        <v>921</v>
      </c>
      <c r="BG341" t="s">
        <v>939</v>
      </c>
      <c r="BH341" s="7">
        <v>60</v>
      </c>
      <c r="BI34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341">
        <v>0</v>
      </c>
      <c r="BK341" t="s">
        <v>733</v>
      </c>
      <c r="BL341" s="11">
        <v>150</v>
      </c>
      <c r="BM341" s="11">
        <v>8</v>
      </c>
      <c r="BN341" s="11">
        <v>33</v>
      </c>
      <c r="BO341">
        <v>0</v>
      </c>
      <c r="BP341" t="s">
        <v>691</v>
      </c>
      <c r="BQ341" t="s">
        <v>693</v>
      </c>
      <c r="BR341" t="s">
        <v>700</v>
      </c>
      <c r="BS341" t="s">
        <v>704</v>
      </c>
      <c r="BT341" t="s">
        <v>705</v>
      </c>
      <c r="BU341" t="s">
        <v>706</v>
      </c>
      <c r="CT341"/>
      <c r="CU341"/>
      <c r="CV341"/>
    </row>
    <row r="342" spans="1:100" x14ac:dyDescent="0.4">
      <c r="A342" s="2" t="s">
        <v>367</v>
      </c>
      <c r="B342" t="str">
        <f>_xlfn.TEXTAFTER(Table1[[#This Row],[VEHIDCODE]],"_")</f>
        <v>Argentina_Buenos_Aires_Serie_1200</v>
      </c>
      <c r="C342" t="s">
        <v>740</v>
      </c>
      <c r="D342" t="s">
        <v>966</v>
      </c>
      <c r="E342">
        <v>9047</v>
      </c>
      <c r="F342" t="b">
        <f>OR(ISNUMBER(SEARCH("wagon_",Table1[[#This Row],[FILENAMES_EXPECTED]])),ISNUMBER(SEARCH("coach_",Table1[[#This Row],[FILENAMES_EXPECTED]])))</f>
        <v>0</v>
      </c>
      <c r="G342" t="str">
        <f>"item_"&amp;Table1[[#This Row],[VEHIDCODE]]</f>
        <v>item_mtro_Argentina_Buenos_Aires_Serie_1200</v>
      </c>
      <c r="H342" t="str">
        <f>"str_"&amp;Table1[[#This Row],[VEHIDCODE]]</f>
        <v>str_mtro_Argentina_Buenos_Aires_Serie_1200</v>
      </c>
      <c r="N342" t="b">
        <v>1</v>
      </c>
      <c r="AL342" s="2"/>
      <c r="AM342" s="2" t="b">
        <f>LEN(_xlfn.CONCAT(Table1[[#This Row],[TRACK_TYPE_STANDARD_GAUGE_RAILTYPE_OHLE]:[TRACK_TYPE_MTRO]]))&gt;0</f>
        <v>1</v>
      </c>
      <c r="AN342">
        <v>7</v>
      </c>
      <c r="AO342" t="s">
        <v>325</v>
      </c>
      <c r="AP342">
        <v>1</v>
      </c>
      <c r="AQ342" t="s">
        <v>19</v>
      </c>
      <c r="AR342">
        <v>162</v>
      </c>
      <c r="AS342">
        <v>1954</v>
      </c>
      <c r="AT342">
        <v>7</v>
      </c>
      <c r="AU342" s="2" t="s">
        <v>326</v>
      </c>
      <c r="AV342" t="b">
        <v>1</v>
      </c>
      <c r="AW342" t="b">
        <v>1</v>
      </c>
      <c r="AX342" s="2"/>
      <c r="AY342">
        <v>45</v>
      </c>
      <c r="AZ342">
        <v>1</v>
      </c>
      <c r="BA342">
        <v>224</v>
      </c>
      <c r="BB342" t="s">
        <v>708</v>
      </c>
      <c r="BC342">
        <v>75</v>
      </c>
      <c r="BD342" s="2">
        <v>0.25</v>
      </c>
      <c r="BE342" t="s">
        <v>929</v>
      </c>
      <c r="BF342" t="s">
        <v>921</v>
      </c>
      <c r="BG342" t="s">
        <v>939</v>
      </c>
      <c r="BH342" s="7">
        <v>40</v>
      </c>
      <c r="BI34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342">
        <v>0</v>
      </c>
      <c r="BK342" t="s">
        <v>733</v>
      </c>
      <c r="BL342" s="11">
        <v>162</v>
      </c>
      <c r="BM342" s="11">
        <v>7</v>
      </c>
      <c r="BN342" s="11">
        <v>21</v>
      </c>
      <c r="BO342">
        <v>0</v>
      </c>
      <c r="BP342" t="s">
        <v>691</v>
      </c>
      <c r="BQ342" t="s">
        <v>693</v>
      </c>
      <c r="BR342" t="s">
        <v>700</v>
      </c>
      <c r="BS342" t="s">
        <v>704</v>
      </c>
      <c r="BT342" t="s">
        <v>705</v>
      </c>
      <c r="BU342" t="s">
        <v>706</v>
      </c>
      <c r="CT342"/>
      <c r="CU342"/>
      <c r="CV342"/>
    </row>
    <row r="343" spans="1:100" x14ac:dyDescent="0.4">
      <c r="A343" s="2" t="s">
        <v>368</v>
      </c>
      <c r="B343" t="str">
        <f>_xlfn.TEXTAFTER(Table1[[#This Row],[VEHIDCODE]],"_")</f>
        <v>Chile_Santiago_NS_93</v>
      </c>
      <c r="C343" t="s">
        <v>740</v>
      </c>
      <c r="D343" t="s">
        <v>966</v>
      </c>
      <c r="E343">
        <v>9048</v>
      </c>
      <c r="F343" t="b">
        <f>OR(ISNUMBER(SEARCH("wagon_",Table1[[#This Row],[FILENAMES_EXPECTED]])),ISNUMBER(SEARCH("coach_",Table1[[#This Row],[FILENAMES_EXPECTED]])))</f>
        <v>0</v>
      </c>
      <c r="G343" t="str">
        <f>"item_"&amp;Table1[[#This Row],[VEHIDCODE]]</f>
        <v>item_mtro_Chile_Santiago_NS_93</v>
      </c>
      <c r="H343" t="str">
        <f>"str_"&amp;Table1[[#This Row],[VEHIDCODE]]</f>
        <v>str_mtro_Chile_Santiago_NS_93</v>
      </c>
      <c r="N343" t="b">
        <v>1</v>
      </c>
      <c r="AL343" s="2"/>
      <c r="AM343" s="2" t="b">
        <f>LEN(_xlfn.CONCAT(Table1[[#This Row],[TRACK_TYPE_STANDARD_GAUGE_RAILTYPE_OHLE]:[TRACK_TYPE_MTRO]]))&gt;0</f>
        <v>1</v>
      </c>
      <c r="AN343">
        <v>7</v>
      </c>
      <c r="AO343" t="s">
        <v>325</v>
      </c>
      <c r="AP343">
        <v>1</v>
      </c>
      <c r="AQ343" t="s">
        <v>19</v>
      </c>
      <c r="AR343">
        <v>116</v>
      </c>
      <c r="AS343">
        <v>1996</v>
      </c>
      <c r="AT343">
        <v>7</v>
      </c>
      <c r="AU343" s="2" t="s">
        <v>326</v>
      </c>
      <c r="AV343" t="b">
        <v>1</v>
      </c>
      <c r="AW343" t="b">
        <v>1</v>
      </c>
      <c r="AX343" s="2"/>
      <c r="AY343">
        <v>45</v>
      </c>
      <c r="AZ343">
        <v>1</v>
      </c>
      <c r="BA343">
        <v>1270</v>
      </c>
      <c r="BB343" t="s">
        <v>708</v>
      </c>
      <c r="BC343">
        <v>100</v>
      </c>
      <c r="BD343" s="2">
        <v>0.42</v>
      </c>
      <c r="BE343" t="s">
        <v>929</v>
      </c>
      <c r="BF343" t="s">
        <v>921</v>
      </c>
      <c r="BG343" t="s">
        <v>939</v>
      </c>
      <c r="BH343" s="7">
        <v>40</v>
      </c>
      <c r="BI34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343">
        <v>0</v>
      </c>
      <c r="BK343" t="s">
        <v>733</v>
      </c>
      <c r="BL343" s="11">
        <v>116</v>
      </c>
      <c r="BM343" s="11">
        <v>7</v>
      </c>
      <c r="BN343" s="11">
        <v>44</v>
      </c>
      <c r="BO343">
        <v>0</v>
      </c>
      <c r="BP343" t="s">
        <v>691</v>
      </c>
      <c r="BQ343" t="s">
        <v>693</v>
      </c>
      <c r="BR343" t="s">
        <v>700</v>
      </c>
      <c r="BS343" t="s">
        <v>704</v>
      </c>
      <c r="BT343" t="s">
        <v>705</v>
      </c>
      <c r="BU343" t="s">
        <v>706</v>
      </c>
      <c r="CT343"/>
      <c r="CU343"/>
      <c r="CV343"/>
    </row>
    <row r="344" spans="1:100" x14ac:dyDescent="0.4">
      <c r="A344" s="2" t="s">
        <v>369</v>
      </c>
      <c r="B344" t="str">
        <f>_xlfn.TEXTAFTER(Table1[[#This Row],[VEHIDCODE]],"_")</f>
        <v>Chile_Santiago_AS_2002</v>
      </c>
      <c r="C344" t="s">
        <v>740</v>
      </c>
      <c r="D344" t="s">
        <v>966</v>
      </c>
      <c r="E344">
        <v>9049</v>
      </c>
      <c r="F344" t="b">
        <f>OR(ISNUMBER(SEARCH("wagon_",Table1[[#This Row],[FILENAMES_EXPECTED]])),ISNUMBER(SEARCH("coach_",Table1[[#This Row],[FILENAMES_EXPECTED]])))</f>
        <v>0</v>
      </c>
      <c r="G344" t="str">
        <f>"item_"&amp;Table1[[#This Row],[VEHIDCODE]]</f>
        <v>item_mtro_Chile_Santiago_AS_2002</v>
      </c>
      <c r="H344" t="str">
        <f>"str_"&amp;Table1[[#This Row],[VEHIDCODE]]</f>
        <v>str_mtro_Chile_Santiago_AS_2002</v>
      </c>
      <c r="N344" t="b">
        <v>1</v>
      </c>
      <c r="AL344" s="2"/>
      <c r="AM344" s="2" t="b">
        <f>LEN(_xlfn.CONCAT(Table1[[#This Row],[TRACK_TYPE_STANDARD_GAUGE_RAILTYPE_OHLE]:[TRACK_TYPE_MTRO]]))&gt;0</f>
        <v>1</v>
      </c>
      <c r="AN344">
        <v>8</v>
      </c>
      <c r="AO344" t="s">
        <v>325</v>
      </c>
      <c r="AP344">
        <v>1</v>
      </c>
      <c r="AQ344" t="s">
        <v>19</v>
      </c>
      <c r="AR344">
        <v>196</v>
      </c>
      <c r="AS344">
        <v>2004</v>
      </c>
      <c r="AT344">
        <v>8</v>
      </c>
      <c r="AU344" s="2" t="s">
        <v>326</v>
      </c>
      <c r="AV344" t="b">
        <v>1</v>
      </c>
      <c r="AW344" t="b">
        <v>1</v>
      </c>
      <c r="AX344" s="2"/>
      <c r="AY344" t="s">
        <v>21</v>
      </c>
      <c r="AZ344">
        <v>1</v>
      </c>
      <c r="BA344">
        <v>1500</v>
      </c>
      <c r="BB344" t="s">
        <v>708</v>
      </c>
      <c r="BC344">
        <v>100</v>
      </c>
      <c r="BD344" s="2">
        <v>0.92</v>
      </c>
      <c r="BE344" t="s">
        <v>929</v>
      </c>
      <c r="BF344" t="s">
        <v>921</v>
      </c>
      <c r="BG344" t="s">
        <v>939</v>
      </c>
      <c r="BH344" s="7">
        <v>40</v>
      </c>
      <c r="BI34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344">
        <v>0</v>
      </c>
      <c r="BK344" t="s">
        <v>733</v>
      </c>
      <c r="BL344" s="11">
        <v>196</v>
      </c>
      <c r="BM344" s="11">
        <v>8</v>
      </c>
      <c r="BN344" s="11">
        <v>42</v>
      </c>
      <c r="BO344">
        <v>0</v>
      </c>
      <c r="BP344" t="s">
        <v>691</v>
      </c>
      <c r="BQ344" t="s">
        <v>693</v>
      </c>
      <c r="BR344" t="s">
        <v>700</v>
      </c>
      <c r="BS344" t="s">
        <v>704</v>
      </c>
      <c r="BT344" t="s">
        <v>705</v>
      </c>
      <c r="BU344" t="s">
        <v>706</v>
      </c>
      <c r="CT344"/>
      <c r="CU344"/>
      <c r="CV344"/>
    </row>
    <row r="345" spans="1:100" x14ac:dyDescent="0.4">
      <c r="A345" s="2" t="s">
        <v>370</v>
      </c>
      <c r="B345" t="str">
        <f>_xlfn.TEXTAFTER(Table1[[#This Row],[VEHIDCODE]],"_")</f>
        <v>Brazil_Recife_VLT_Mobile_3</v>
      </c>
      <c r="C345" t="s">
        <v>740</v>
      </c>
      <c r="D345" t="s">
        <v>966</v>
      </c>
      <c r="E345">
        <v>9050</v>
      </c>
      <c r="F345" t="b">
        <f>OR(ISNUMBER(SEARCH("wagon_",Table1[[#This Row],[FILENAMES_EXPECTED]])),ISNUMBER(SEARCH("coach_",Table1[[#This Row],[FILENAMES_EXPECTED]])))</f>
        <v>0</v>
      </c>
      <c r="G345" t="str">
        <f>"item_"&amp;Table1[[#This Row],[VEHIDCODE]]</f>
        <v>item_mtro_Brazil_Recife_VLT_Mobile_3</v>
      </c>
      <c r="H345" t="str">
        <f>"str_"&amp;Table1[[#This Row],[VEHIDCODE]]</f>
        <v>str_mtro_Brazil_Recife_VLT_Mobile_3</v>
      </c>
      <c r="N345" t="b">
        <v>1</v>
      </c>
      <c r="AL345" s="2"/>
      <c r="AM345" s="2" t="b">
        <f>LEN(_xlfn.CONCAT(Table1[[#This Row],[TRACK_TYPE_STANDARD_GAUGE_RAILTYPE_OHLE]:[TRACK_TYPE_MTRO]]))&gt;0</f>
        <v>1</v>
      </c>
      <c r="AN345">
        <v>8</v>
      </c>
      <c r="AO345" t="s">
        <v>325</v>
      </c>
      <c r="AP345">
        <v>1</v>
      </c>
      <c r="AQ345" t="s">
        <v>19</v>
      </c>
      <c r="AR345">
        <v>182</v>
      </c>
      <c r="AS345">
        <v>2008</v>
      </c>
      <c r="AT345">
        <v>8</v>
      </c>
      <c r="AU345" s="2" t="s">
        <v>326</v>
      </c>
      <c r="AV345" t="b">
        <v>1</v>
      </c>
      <c r="AW345" t="b">
        <v>1</v>
      </c>
      <c r="AX345" s="2"/>
      <c r="AY345" t="s">
        <v>21</v>
      </c>
      <c r="AZ345">
        <v>1</v>
      </c>
      <c r="BA345">
        <v>946</v>
      </c>
      <c r="BB345" t="s">
        <v>708</v>
      </c>
      <c r="BC345">
        <v>80</v>
      </c>
      <c r="BD345" s="2">
        <v>0.97</v>
      </c>
      <c r="BE345" t="s">
        <v>929</v>
      </c>
      <c r="BF345" t="s">
        <v>921</v>
      </c>
      <c r="BG345" t="s">
        <v>939</v>
      </c>
      <c r="BH345" s="7">
        <v>40</v>
      </c>
      <c r="BI34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345">
        <v>0</v>
      </c>
      <c r="BK345" t="s">
        <v>733</v>
      </c>
      <c r="BL345" s="11">
        <v>182</v>
      </c>
      <c r="BM345" s="11">
        <v>8</v>
      </c>
      <c r="BN345" s="11">
        <v>27</v>
      </c>
      <c r="BO345">
        <v>0</v>
      </c>
      <c r="BP345" t="s">
        <v>691</v>
      </c>
      <c r="BQ345" t="s">
        <v>693</v>
      </c>
      <c r="BR345" t="s">
        <v>700</v>
      </c>
      <c r="BS345" t="s">
        <v>704</v>
      </c>
      <c r="BT345" t="s">
        <v>705</v>
      </c>
      <c r="BU345" t="s">
        <v>706</v>
      </c>
      <c r="CT345"/>
      <c r="CU345"/>
      <c r="CV345"/>
    </row>
    <row r="346" spans="1:100" x14ac:dyDescent="0.4">
      <c r="A346" s="2" t="s">
        <v>371</v>
      </c>
      <c r="B346" t="str">
        <f>_xlfn.TEXTAFTER(Table1[[#This Row],[VEHIDCODE]],"_")</f>
        <v>Spain_Madrid_Series_5000</v>
      </c>
      <c r="C346" t="s">
        <v>740</v>
      </c>
      <c r="D346" t="s">
        <v>966</v>
      </c>
      <c r="E346">
        <v>9051</v>
      </c>
      <c r="F346" t="b">
        <f>OR(ISNUMBER(SEARCH("wagon_",Table1[[#This Row],[FILENAMES_EXPECTED]])),ISNUMBER(SEARCH("coach_",Table1[[#This Row],[FILENAMES_EXPECTED]])))</f>
        <v>0</v>
      </c>
      <c r="G346" t="str">
        <f>"item_"&amp;Table1[[#This Row],[VEHIDCODE]]</f>
        <v>item_mtro_Spain_Madrid_Series_5000</v>
      </c>
      <c r="H346" t="str">
        <f>"str_"&amp;Table1[[#This Row],[VEHIDCODE]]</f>
        <v>str_mtro_Spain_Madrid_Series_5000</v>
      </c>
      <c r="N346" t="b">
        <v>1</v>
      </c>
      <c r="AL346" s="2"/>
      <c r="AM346" s="2" t="b">
        <f>LEN(_xlfn.CONCAT(Table1[[#This Row],[TRACK_TYPE_STANDARD_GAUGE_RAILTYPE_OHLE]:[TRACK_TYPE_MTRO]]))&gt;0</f>
        <v>1</v>
      </c>
      <c r="AN346">
        <v>8</v>
      </c>
      <c r="AO346" t="s">
        <v>325</v>
      </c>
      <c r="AP346">
        <v>1</v>
      </c>
      <c r="AQ346" t="s">
        <v>19</v>
      </c>
      <c r="AR346">
        <v>192</v>
      </c>
      <c r="AS346">
        <v>1974</v>
      </c>
      <c r="AT346">
        <v>8</v>
      </c>
      <c r="AU346" s="2" t="s">
        <v>24</v>
      </c>
      <c r="AV346" t="b">
        <v>1</v>
      </c>
      <c r="AW346" t="b">
        <v>1</v>
      </c>
      <c r="AX346" s="2"/>
      <c r="AY346">
        <v>45</v>
      </c>
      <c r="AZ346">
        <v>1</v>
      </c>
      <c r="BA346">
        <v>530</v>
      </c>
      <c r="BB346" t="s">
        <v>708</v>
      </c>
      <c r="BC346">
        <v>80</v>
      </c>
      <c r="BD346" s="2">
        <v>0.46</v>
      </c>
      <c r="BE346" t="s">
        <v>923</v>
      </c>
      <c r="BF346" t="s">
        <v>921</v>
      </c>
      <c r="BG346" t="s">
        <v>939</v>
      </c>
      <c r="BH346" s="7">
        <v>40</v>
      </c>
      <c r="BI34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346">
        <v>0</v>
      </c>
      <c r="BK346" t="s">
        <v>733</v>
      </c>
      <c r="BL346" s="11">
        <v>192</v>
      </c>
      <c r="BM346" s="11">
        <v>8</v>
      </c>
      <c r="BN346" s="11">
        <v>41</v>
      </c>
      <c r="BO346">
        <v>0</v>
      </c>
      <c r="BP346" t="s">
        <v>691</v>
      </c>
      <c r="BQ346" t="s">
        <v>693</v>
      </c>
      <c r="BR346" t="s">
        <v>700</v>
      </c>
      <c r="BS346" t="s">
        <v>704</v>
      </c>
      <c r="BT346" t="s">
        <v>705</v>
      </c>
      <c r="BU346" t="s">
        <v>706</v>
      </c>
      <c r="CT346"/>
      <c r="CU346"/>
      <c r="CV346"/>
    </row>
    <row r="347" spans="1:100" x14ac:dyDescent="0.4">
      <c r="A347" s="2" t="s">
        <v>372</v>
      </c>
      <c r="B347" t="str">
        <f>_xlfn.TEXTAFTER(Table1[[#This Row],[VEHIDCODE]],"_")</f>
        <v>Italy_Rome_S_300</v>
      </c>
      <c r="C347" t="s">
        <v>740</v>
      </c>
      <c r="D347" t="s">
        <v>966</v>
      </c>
      <c r="E347">
        <v>9052</v>
      </c>
      <c r="F347" t="b">
        <f>OR(ISNUMBER(SEARCH("wagon_",Table1[[#This Row],[FILENAMES_EXPECTED]])),ISNUMBER(SEARCH("coach_",Table1[[#This Row],[FILENAMES_EXPECTED]])))</f>
        <v>0</v>
      </c>
      <c r="G347" t="str">
        <f>"item_"&amp;Table1[[#This Row],[VEHIDCODE]]</f>
        <v>item_mtro_Italy_Rome_S_300</v>
      </c>
      <c r="H347" t="str">
        <f>"str_"&amp;Table1[[#This Row],[VEHIDCODE]]</f>
        <v>str_mtro_Italy_Rome_S_300</v>
      </c>
      <c r="N347" t="b">
        <v>1</v>
      </c>
      <c r="AL347" s="2"/>
      <c r="AM347" s="2" t="b">
        <f>LEN(_xlfn.CONCAT(Table1[[#This Row],[TRACK_TYPE_STANDARD_GAUGE_RAILTYPE_OHLE]:[TRACK_TYPE_MTRO]]))&gt;0</f>
        <v>1</v>
      </c>
      <c r="AN347">
        <v>8</v>
      </c>
      <c r="AO347" t="s">
        <v>325</v>
      </c>
      <c r="AP347">
        <v>1</v>
      </c>
      <c r="AQ347" t="s">
        <v>19</v>
      </c>
      <c r="AR347">
        <v>194</v>
      </c>
      <c r="AS347">
        <v>1999</v>
      </c>
      <c r="AT347">
        <v>8</v>
      </c>
      <c r="AU347" s="2" t="s">
        <v>24</v>
      </c>
      <c r="AV347" t="b">
        <v>1</v>
      </c>
      <c r="AW347" t="b">
        <v>1</v>
      </c>
      <c r="AX347" s="2"/>
      <c r="AY347">
        <v>45</v>
      </c>
      <c r="AZ347">
        <v>1</v>
      </c>
      <c r="BA347">
        <v>1876</v>
      </c>
      <c r="BB347" t="s">
        <v>708</v>
      </c>
      <c r="BC347">
        <v>90</v>
      </c>
      <c r="BD347" s="2">
        <v>1</v>
      </c>
      <c r="BE347" t="s">
        <v>923</v>
      </c>
      <c r="BF347" t="s">
        <v>921</v>
      </c>
      <c r="BG347" t="s">
        <v>939</v>
      </c>
      <c r="BH347" s="7">
        <v>40</v>
      </c>
      <c r="BI34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347">
        <v>0</v>
      </c>
      <c r="BK347" t="s">
        <v>733</v>
      </c>
      <c r="BL347" s="11">
        <v>194</v>
      </c>
      <c r="BM347" s="11">
        <v>8</v>
      </c>
      <c r="BN347" s="11">
        <v>30</v>
      </c>
      <c r="BO347">
        <v>0</v>
      </c>
      <c r="BP347" t="s">
        <v>691</v>
      </c>
      <c r="BQ347" t="s">
        <v>693</v>
      </c>
      <c r="BR347" t="s">
        <v>700</v>
      </c>
      <c r="BS347" t="s">
        <v>704</v>
      </c>
      <c r="BT347" t="s">
        <v>705</v>
      </c>
      <c r="BU347" t="s">
        <v>706</v>
      </c>
      <c r="CT347"/>
      <c r="CU347"/>
      <c r="CV347"/>
    </row>
    <row r="348" spans="1:100" x14ac:dyDescent="0.4">
      <c r="A348" s="2" t="s">
        <v>373</v>
      </c>
      <c r="B348" t="str">
        <f>_xlfn.TEXTAFTER(Table1[[#This Row],[VEHIDCODE]],"_")</f>
        <v>Algeria_Algiers_CAF_2011_Stock</v>
      </c>
      <c r="C348" t="s">
        <v>740</v>
      </c>
      <c r="D348" t="s">
        <v>966</v>
      </c>
      <c r="E348">
        <v>9053</v>
      </c>
      <c r="F348" t="b">
        <f>OR(ISNUMBER(SEARCH("wagon_",Table1[[#This Row],[FILENAMES_EXPECTED]])),ISNUMBER(SEARCH("coach_",Table1[[#This Row],[FILENAMES_EXPECTED]])))</f>
        <v>0</v>
      </c>
      <c r="G348" t="str">
        <f>"item_"&amp;Table1[[#This Row],[VEHIDCODE]]</f>
        <v>item_mtro_Algeria_Algiers_CAF_2011_Stock</v>
      </c>
      <c r="H348" t="str">
        <f>"str_"&amp;Table1[[#This Row],[VEHIDCODE]]</f>
        <v>str_mtro_Algeria_Algiers_CAF_2011_Stock</v>
      </c>
      <c r="N348" t="b">
        <v>1</v>
      </c>
      <c r="AL348" s="2"/>
      <c r="AM348" s="2" t="b">
        <f>LEN(_xlfn.CONCAT(Table1[[#This Row],[TRACK_TYPE_STANDARD_GAUGE_RAILTYPE_OHLE]:[TRACK_TYPE_MTRO]]))&gt;0</f>
        <v>1</v>
      </c>
      <c r="AN348">
        <v>7</v>
      </c>
      <c r="AO348" t="s">
        <v>325</v>
      </c>
      <c r="AP348">
        <v>1</v>
      </c>
      <c r="AQ348" t="s">
        <v>19</v>
      </c>
      <c r="AR348">
        <v>215</v>
      </c>
      <c r="AS348">
        <v>2011</v>
      </c>
      <c r="AT348">
        <v>7</v>
      </c>
      <c r="AU348" s="2" t="s">
        <v>24</v>
      </c>
      <c r="AV348" t="b">
        <v>1</v>
      </c>
      <c r="AW348" t="b">
        <v>1</v>
      </c>
      <c r="AX348" s="2"/>
      <c r="AY348" t="s">
        <v>21</v>
      </c>
      <c r="AZ348">
        <v>1</v>
      </c>
      <c r="BA348">
        <v>1400</v>
      </c>
      <c r="BB348" t="s">
        <v>708</v>
      </c>
      <c r="BC348">
        <v>72</v>
      </c>
      <c r="BD348" s="2">
        <v>0.51</v>
      </c>
      <c r="BE348" t="s">
        <v>925</v>
      </c>
      <c r="BF348" t="s">
        <v>921</v>
      </c>
      <c r="BG348" t="s">
        <v>939</v>
      </c>
      <c r="BH348" s="7">
        <v>40</v>
      </c>
      <c r="BI34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348">
        <v>0</v>
      </c>
      <c r="BK348" t="s">
        <v>733</v>
      </c>
      <c r="BL348" s="11">
        <v>215</v>
      </c>
      <c r="BM348" s="11">
        <v>7</v>
      </c>
      <c r="BN348" s="11">
        <v>47</v>
      </c>
      <c r="BO348">
        <v>0</v>
      </c>
      <c r="BP348" t="s">
        <v>691</v>
      </c>
      <c r="BQ348" t="s">
        <v>693</v>
      </c>
      <c r="BR348" t="s">
        <v>700</v>
      </c>
      <c r="BS348" t="s">
        <v>704</v>
      </c>
      <c r="BT348" t="s">
        <v>705</v>
      </c>
      <c r="BU348" t="s">
        <v>706</v>
      </c>
      <c r="CT348"/>
      <c r="CU348"/>
      <c r="CV348"/>
    </row>
    <row r="349" spans="1:100" x14ac:dyDescent="0.4">
      <c r="A349" s="2" t="s">
        <v>374</v>
      </c>
      <c r="B349" t="str">
        <f>_xlfn.TEXTAFTER(Table1[[#This Row],[VEHIDCODE]],"_")</f>
        <v>Germany_Berlin_U_Bahn_IK</v>
      </c>
      <c r="C349" t="s">
        <v>740</v>
      </c>
      <c r="D349" t="s">
        <v>966</v>
      </c>
      <c r="E349">
        <v>9054</v>
      </c>
      <c r="F349" t="b">
        <f>OR(ISNUMBER(SEARCH("wagon_",Table1[[#This Row],[FILENAMES_EXPECTED]])),ISNUMBER(SEARCH("coach_",Table1[[#This Row],[FILENAMES_EXPECTED]])))</f>
        <v>0</v>
      </c>
      <c r="G349" t="str">
        <f>"item_"&amp;Table1[[#This Row],[VEHIDCODE]]</f>
        <v>item_mtro_Germany_Berlin_U_Bahn_IK</v>
      </c>
      <c r="H349" t="str">
        <f>"str_"&amp;Table1[[#This Row],[VEHIDCODE]]</f>
        <v>str_mtro_Germany_Berlin_U_Bahn_IK</v>
      </c>
      <c r="N349" t="b">
        <v>1</v>
      </c>
      <c r="AL349" s="2"/>
      <c r="AM349" s="2" t="b">
        <f>LEN(_xlfn.CONCAT(Table1[[#This Row],[TRACK_TYPE_STANDARD_GAUGE_RAILTYPE_OHLE]:[TRACK_TYPE_MTRO]]))&gt;0</f>
        <v>1</v>
      </c>
      <c r="AN349">
        <v>8</v>
      </c>
      <c r="AO349" t="s">
        <v>325</v>
      </c>
      <c r="AP349">
        <v>1</v>
      </c>
      <c r="AQ349" t="s">
        <v>19</v>
      </c>
      <c r="AR349">
        <v>145</v>
      </c>
      <c r="AS349">
        <v>2015</v>
      </c>
      <c r="AT349">
        <v>8</v>
      </c>
      <c r="AU349" s="2" t="s">
        <v>24</v>
      </c>
      <c r="AV349" t="b">
        <v>1</v>
      </c>
      <c r="AW349" t="b">
        <v>1</v>
      </c>
      <c r="AX349" s="2"/>
      <c r="AY349" t="s">
        <v>21</v>
      </c>
      <c r="AZ349">
        <v>1</v>
      </c>
      <c r="BA349">
        <v>1448</v>
      </c>
      <c r="BB349" t="s">
        <v>708</v>
      </c>
      <c r="BC349">
        <v>70</v>
      </c>
      <c r="BD349" s="2">
        <v>0.87</v>
      </c>
      <c r="BE349" t="s">
        <v>922</v>
      </c>
      <c r="BF349" t="s">
        <v>921</v>
      </c>
      <c r="BG349" t="s">
        <v>939</v>
      </c>
      <c r="BH349" s="7">
        <v>40</v>
      </c>
      <c r="BI34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349">
        <v>0</v>
      </c>
      <c r="BK349" t="s">
        <v>733</v>
      </c>
      <c r="BL349" s="11">
        <v>145</v>
      </c>
      <c r="BM349" s="11">
        <v>8</v>
      </c>
      <c r="BN349" s="11">
        <v>27</v>
      </c>
      <c r="BO349">
        <v>0</v>
      </c>
      <c r="BP349" t="s">
        <v>691</v>
      </c>
      <c r="BQ349" t="s">
        <v>693</v>
      </c>
      <c r="BR349" t="s">
        <v>700</v>
      </c>
      <c r="BS349" t="s">
        <v>704</v>
      </c>
      <c r="BT349" t="s">
        <v>705</v>
      </c>
      <c r="BU349" t="s">
        <v>706</v>
      </c>
      <c r="CT349"/>
      <c r="CU349"/>
      <c r="CV349"/>
    </row>
    <row r="350" spans="1:100" x14ac:dyDescent="0.4">
      <c r="A350" s="2" t="s">
        <v>375</v>
      </c>
      <c r="B350" t="str">
        <f>_xlfn.TEXTAFTER(Table1[[#This Row],[VEHIDCODE]],"_")</f>
        <v>USA_Chicago_L_6000</v>
      </c>
      <c r="C350" t="s">
        <v>740</v>
      </c>
      <c r="D350" t="s">
        <v>966</v>
      </c>
      <c r="E350">
        <v>9055</v>
      </c>
      <c r="F350" t="b">
        <f>OR(ISNUMBER(SEARCH("wagon_",Table1[[#This Row],[FILENAMES_EXPECTED]])),ISNUMBER(SEARCH("coach_",Table1[[#This Row],[FILENAMES_EXPECTED]])))</f>
        <v>0</v>
      </c>
      <c r="G350" t="str">
        <f>"item_"&amp;Table1[[#This Row],[VEHIDCODE]]</f>
        <v>item_mtro_USA_Chicago_L_6000</v>
      </c>
      <c r="H350" t="str">
        <f>"str_"&amp;Table1[[#This Row],[VEHIDCODE]]</f>
        <v>str_mtro_USA_Chicago_L_6000</v>
      </c>
      <c r="N350" t="b">
        <v>1</v>
      </c>
      <c r="AL350" s="2"/>
      <c r="AM350" s="2" t="b">
        <f>LEN(_xlfn.CONCAT(Table1[[#This Row],[TRACK_TYPE_STANDARD_GAUGE_RAILTYPE_OHLE]:[TRACK_TYPE_MTRO]]))&gt;0</f>
        <v>1</v>
      </c>
      <c r="AN350">
        <v>7</v>
      </c>
      <c r="AO350" t="s">
        <v>325</v>
      </c>
      <c r="AP350">
        <v>1</v>
      </c>
      <c r="AQ350" t="s">
        <v>19</v>
      </c>
      <c r="AR350">
        <v>130</v>
      </c>
      <c r="AS350">
        <v>1950</v>
      </c>
      <c r="AT350">
        <v>7</v>
      </c>
      <c r="AU350" s="2" t="s">
        <v>326</v>
      </c>
      <c r="AV350" t="b">
        <v>1</v>
      </c>
      <c r="AW350" t="b">
        <v>1</v>
      </c>
      <c r="AX350" s="2"/>
      <c r="AY350">
        <v>45</v>
      </c>
      <c r="AZ350">
        <v>1</v>
      </c>
      <c r="BA350">
        <v>440</v>
      </c>
      <c r="BB350" t="s">
        <v>708</v>
      </c>
      <c r="BC350">
        <v>80</v>
      </c>
      <c r="BD350" s="2">
        <v>1</v>
      </c>
      <c r="BE350" t="s">
        <v>927</v>
      </c>
      <c r="BF350" t="s">
        <v>921</v>
      </c>
      <c r="BG350" t="s">
        <v>939</v>
      </c>
      <c r="BH350" s="7">
        <v>60</v>
      </c>
      <c r="BI35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350">
        <v>0</v>
      </c>
      <c r="BK350" t="s">
        <v>733</v>
      </c>
      <c r="BL350" s="11">
        <v>130</v>
      </c>
      <c r="BM350" s="11">
        <v>7</v>
      </c>
      <c r="BN350" s="11">
        <v>10</v>
      </c>
      <c r="BO350">
        <v>0</v>
      </c>
      <c r="BP350" t="s">
        <v>691</v>
      </c>
      <c r="BQ350" t="s">
        <v>693</v>
      </c>
      <c r="BR350" t="s">
        <v>700</v>
      </c>
      <c r="BS350" t="s">
        <v>704</v>
      </c>
      <c r="BT350" t="s">
        <v>705</v>
      </c>
      <c r="BU350" t="s">
        <v>706</v>
      </c>
      <c r="CT350"/>
      <c r="CU350"/>
      <c r="CV350"/>
    </row>
    <row r="351" spans="1:100" x14ac:dyDescent="0.4">
      <c r="A351" s="2" t="s">
        <v>376</v>
      </c>
      <c r="B351" t="str">
        <f>_xlfn.TEXTAFTER(Table1[[#This Row],[VEHIDCODE]],"_")</f>
        <v>UK_London_1903_Stock</v>
      </c>
      <c r="C351" t="s">
        <v>740</v>
      </c>
      <c r="D351" t="s">
        <v>966</v>
      </c>
      <c r="E351">
        <v>9002</v>
      </c>
      <c r="F351" t="b">
        <f>OR(ISNUMBER(SEARCH("wagon_",Table1[[#This Row],[FILENAMES_EXPECTED]])),ISNUMBER(SEARCH("coach_",Table1[[#This Row],[FILENAMES_EXPECTED]])))</f>
        <v>0</v>
      </c>
      <c r="G351" t="str">
        <f>"item_"&amp;Table1[[#This Row],[VEHIDCODE]]</f>
        <v>item_mtro_UK_London_1903_Stock</v>
      </c>
      <c r="H351" t="str">
        <f>"str_"&amp;Table1[[#This Row],[VEHIDCODE]]</f>
        <v>str_mtro_UK_London_1903_Stock</v>
      </c>
      <c r="O351" t="b">
        <v>1</v>
      </c>
      <c r="AL351" s="2"/>
      <c r="AM351" s="2" t="b">
        <f>LEN(_xlfn.CONCAT(Table1[[#This Row],[TRACK_TYPE_STANDARD_GAUGE_RAILTYPE_OHLE]:[TRACK_TYPE_MTRO]]))&gt;0</f>
        <v>1</v>
      </c>
      <c r="AN351">
        <v>8</v>
      </c>
      <c r="AO351" t="s">
        <v>325</v>
      </c>
      <c r="AP351">
        <v>1</v>
      </c>
      <c r="AQ351" t="s">
        <v>19</v>
      </c>
      <c r="AR351">
        <v>125</v>
      </c>
      <c r="AS351">
        <v>1903</v>
      </c>
      <c r="AT351">
        <v>8</v>
      </c>
      <c r="AU351" s="2" t="s">
        <v>326</v>
      </c>
      <c r="AV351" t="b">
        <v>1</v>
      </c>
      <c r="AW351" t="b">
        <v>1</v>
      </c>
      <c r="AX351" s="2"/>
      <c r="AY351">
        <v>45</v>
      </c>
      <c r="AZ351">
        <v>1</v>
      </c>
      <c r="BA351">
        <v>300</v>
      </c>
      <c r="BB351" t="s">
        <v>708</v>
      </c>
      <c r="BC351">
        <v>70</v>
      </c>
      <c r="BD351" s="2">
        <v>0.22</v>
      </c>
      <c r="BE351" t="s">
        <v>926</v>
      </c>
      <c r="BF351" t="s">
        <v>921</v>
      </c>
      <c r="BG351" t="s">
        <v>939</v>
      </c>
      <c r="BH351" s="7">
        <v>60</v>
      </c>
      <c r="BI35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351">
        <v>0</v>
      </c>
      <c r="BK351" t="s">
        <v>733</v>
      </c>
      <c r="BL351" s="11">
        <v>125</v>
      </c>
      <c r="BM351" s="11">
        <v>8</v>
      </c>
      <c r="BN351" s="11">
        <v>45</v>
      </c>
      <c r="BO351">
        <v>0</v>
      </c>
      <c r="BP351" t="s">
        <v>691</v>
      </c>
      <c r="BQ351" t="s">
        <v>693</v>
      </c>
      <c r="BR351" t="s">
        <v>700</v>
      </c>
      <c r="BS351" t="s">
        <v>704</v>
      </c>
      <c r="BT351" t="s">
        <v>705</v>
      </c>
      <c r="BU351" t="s">
        <v>706</v>
      </c>
      <c r="CT351"/>
      <c r="CU351"/>
      <c r="CV351"/>
    </row>
    <row r="352" spans="1:100" x14ac:dyDescent="0.4">
      <c r="A352" s="2" t="s">
        <v>377</v>
      </c>
      <c r="B352" t="str">
        <f>_xlfn.TEXTAFTER(Table1[[#This Row],[VEHIDCODE]],"_")</f>
        <v>UK_London_1938_Stock</v>
      </c>
      <c r="C352" t="s">
        <v>740</v>
      </c>
      <c r="D352" t="s">
        <v>966</v>
      </c>
      <c r="E352">
        <v>9007</v>
      </c>
      <c r="F352" t="b">
        <f>OR(ISNUMBER(SEARCH("wagon_",Table1[[#This Row],[FILENAMES_EXPECTED]])),ISNUMBER(SEARCH("coach_",Table1[[#This Row],[FILENAMES_EXPECTED]])))</f>
        <v>0</v>
      </c>
      <c r="G352" t="str">
        <f>"item_"&amp;Table1[[#This Row],[VEHIDCODE]]</f>
        <v>item_mtro_UK_London_1938_Stock</v>
      </c>
      <c r="H352" t="str">
        <f>"str_"&amp;Table1[[#This Row],[VEHIDCODE]]</f>
        <v>str_mtro_UK_London_1938_Stock</v>
      </c>
      <c r="O352" t="b">
        <v>1</v>
      </c>
      <c r="AL352" s="2"/>
      <c r="AM352" s="2" t="b">
        <f>LEN(_xlfn.CONCAT(Table1[[#This Row],[TRACK_TYPE_STANDARD_GAUGE_RAILTYPE_OHLE]:[TRACK_TYPE_MTRO]]))&gt;0</f>
        <v>1</v>
      </c>
      <c r="AN352">
        <v>7</v>
      </c>
      <c r="AO352" t="s">
        <v>325</v>
      </c>
      <c r="AP352">
        <v>1</v>
      </c>
      <c r="AQ352" t="s">
        <v>19</v>
      </c>
      <c r="AR352">
        <v>120</v>
      </c>
      <c r="AS352">
        <v>1938</v>
      </c>
      <c r="AT352">
        <v>7</v>
      </c>
      <c r="AU352" s="2" t="s">
        <v>326</v>
      </c>
      <c r="AV352" t="b">
        <v>1</v>
      </c>
      <c r="AW352" t="b">
        <v>1</v>
      </c>
      <c r="AX352" s="2"/>
      <c r="AY352">
        <v>45</v>
      </c>
      <c r="AZ352">
        <v>1</v>
      </c>
      <c r="BA352">
        <v>600</v>
      </c>
      <c r="BB352" t="s">
        <v>708</v>
      </c>
      <c r="BC352">
        <v>70</v>
      </c>
      <c r="BD352" s="2">
        <v>0.77</v>
      </c>
      <c r="BE352" t="s">
        <v>926</v>
      </c>
      <c r="BF352" t="s">
        <v>921</v>
      </c>
      <c r="BG352" t="s">
        <v>939</v>
      </c>
      <c r="BH352" s="7">
        <v>60</v>
      </c>
      <c r="BI35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352">
        <v>0</v>
      </c>
      <c r="BK352" t="s">
        <v>733</v>
      </c>
      <c r="BL352" s="11">
        <v>120</v>
      </c>
      <c r="BM352" s="11">
        <v>7</v>
      </c>
      <c r="BN352" s="11">
        <v>26</v>
      </c>
      <c r="BO352">
        <v>0</v>
      </c>
      <c r="BP352" t="s">
        <v>691</v>
      </c>
      <c r="BQ352" t="s">
        <v>693</v>
      </c>
      <c r="BR352" t="s">
        <v>700</v>
      </c>
      <c r="BS352" t="s">
        <v>704</v>
      </c>
      <c r="BT352" t="s">
        <v>705</v>
      </c>
      <c r="BU352" t="s">
        <v>706</v>
      </c>
      <c r="CT352"/>
      <c r="CU352"/>
      <c r="CV352"/>
    </row>
    <row r="353" spans="1:100" x14ac:dyDescent="0.4">
      <c r="A353" s="2" t="s">
        <v>378</v>
      </c>
      <c r="B353" t="str">
        <f>_xlfn.TEXTAFTER(Table1[[#This Row],[VEHIDCODE]],"_")</f>
        <v>UK_NER_EF1</v>
      </c>
      <c r="C353" t="s">
        <v>740</v>
      </c>
      <c r="D353" t="s">
        <v>960</v>
      </c>
      <c r="E353">
        <v>6002</v>
      </c>
      <c r="F353" t="b">
        <f>OR(ISNUMBER(SEARCH("wagon_",Table1[[#This Row],[FILENAMES_EXPECTED]])),ISNUMBER(SEARCH("coach_",Table1[[#This Row],[FILENAMES_EXPECTED]])))</f>
        <v>0</v>
      </c>
      <c r="G353" t="str">
        <f>"item_"&amp;Table1[[#This Row],[VEHIDCODE]]</f>
        <v>item_electric_UK_NER_EF1</v>
      </c>
      <c r="H353" t="str">
        <f>"str_"&amp;Table1[[#This Row],[VEHIDCODE]]</f>
        <v>str_electric_UK_NER_EF1</v>
      </c>
      <c r="V353" t="b">
        <v>1</v>
      </c>
      <c r="AL353" s="2"/>
      <c r="AM353" s="2" t="b">
        <f>LEN(_xlfn.CONCAT(Table1[[#This Row],[TRACK_TYPE_STANDARD_GAUGE_RAILTYPE_OHLE]:[TRACK_TYPE_MTRO]]))&gt;0</f>
        <v>1</v>
      </c>
      <c r="AN353">
        <v>7</v>
      </c>
      <c r="AO353" t="s">
        <v>20</v>
      </c>
      <c r="AP353">
        <v>0</v>
      </c>
      <c r="AQ353" t="s">
        <v>74</v>
      </c>
      <c r="AR353">
        <v>0</v>
      </c>
      <c r="AS353">
        <v>1914</v>
      </c>
      <c r="AT353">
        <v>7</v>
      </c>
      <c r="AU353" s="2" t="s">
        <v>20</v>
      </c>
      <c r="AV353" t="b">
        <v>1</v>
      </c>
      <c r="AX353" s="2"/>
      <c r="AY353">
        <v>45</v>
      </c>
      <c r="AZ353">
        <v>0</v>
      </c>
      <c r="BA353">
        <v>1100</v>
      </c>
      <c r="BB353" t="s">
        <v>708</v>
      </c>
      <c r="BC353">
        <v>40</v>
      </c>
      <c r="BD353" s="2">
        <v>0.18</v>
      </c>
      <c r="BE353" t="s">
        <v>926</v>
      </c>
      <c r="BF353" t="s">
        <v>921</v>
      </c>
      <c r="BG353" t="s">
        <v>939</v>
      </c>
      <c r="BH353" s="7">
        <v>40</v>
      </c>
      <c r="BI35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353">
        <v>-3</v>
      </c>
      <c r="BK353" t="s">
        <v>733</v>
      </c>
      <c r="BL353" s="11"/>
      <c r="BM353" s="11"/>
      <c r="BN353" s="11">
        <v>74</v>
      </c>
      <c r="BO353">
        <v>0</v>
      </c>
      <c r="BP353" t="s">
        <v>691</v>
      </c>
      <c r="BQ353" t="s">
        <v>693</v>
      </c>
      <c r="BR353" t="s">
        <v>700</v>
      </c>
      <c r="BS353" t="s">
        <v>704</v>
      </c>
      <c r="BT353" t="s">
        <v>705</v>
      </c>
      <c r="BU353" t="s">
        <v>706</v>
      </c>
      <c r="CT353"/>
      <c r="CU353"/>
      <c r="CV353"/>
    </row>
    <row r="354" spans="1:100" x14ac:dyDescent="0.4">
      <c r="A354" s="2" t="s">
        <v>379</v>
      </c>
      <c r="B354" t="str">
        <f>_xlfn.TEXTAFTER(Table1[[#This Row],[VEHIDCODE]],"_")</f>
        <v>Japan_JNR_EB10</v>
      </c>
      <c r="C354" t="s">
        <v>740</v>
      </c>
      <c r="D354" t="s">
        <v>960</v>
      </c>
      <c r="E354">
        <v>6010</v>
      </c>
      <c r="F354" t="b">
        <f>OR(ISNUMBER(SEARCH("wagon_",Table1[[#This Row],[FILENAMES_EXPECTED]])),ISNUMBER(SEARCH("coach_",Table1[[#This Row],[FILENAMES_EXPECTED]])))</f>
        <v>0</v>
      </c>
      <c r="G354" t="str">
        <f>"item_"&amp;Table1[[#This Row],[VEHIDCODE]]</f>
        <v>item_electric_Japan_JNR_EB10</v>
      </c>
      <c r="H354" t="str">
        <f>"str_"&amp;Table1[[#This Row],[VEHIDCODE]]</f>
        <v>str_electric_Japan_JNR_EB10</v>
      </c>
      <c r="V354" t="b">
        <v>1</v>
      </c>
      <c r="AL354" s="2"/>
      <c r="AM354" s="2" t="b">
        <f>LEN(_xlfn.CONCAT(Table1[[#This Row],[TRACK_TYPE_STANDARD_GAUGE_RAILTYPE_OHLE]:[TRACK_TYPE_MTRO]]))&gt;0</f>
        <v>1</v>
      </c>
      <c r="AN354">
        <v>5</v>
      </c>
      <c r="AO354" t="s">
        <v>20</v>
      </c>
      <c r="AP354">
        <v>0</v>
      </c>
      <c r="AQ354" t="s">
        <v>74</v>
      </c>
      <c r="AR354">
        <v>0</v>
      </c>
      <c r="AS354">
        <v>1931</v>
      </c>
      <c r="AT354">
        <v>5</v>
      </c>
      <c r="AU354" s="2" t="s">
        <v>20</v>
      </c>
      <c r="AV354" t="b">
        <v>1</v>
      </c>
      <c r="AX354" s="2"/>
      <c r="AY354">
        <v>45</v>
      </c>
      <c r="AZ354">
        <v>1</v>
      </c>
      <c r="BA354">
        <v>180</v>
      </c>
      <c r="BB354" t="s">
        <v>708</v>
      </c>
      <c r="BC354">
        <v>40</v>
      </c>
      <c r="BD354" s="2">
        <v>0.3</v>
      </c>
      <c r="BE354" t="s">
        <v>930</v>
      </c>
      <c r="BF354" t="s">
        <v>921</v>
      </c>
      <c r="BG354" t="s">
        <v>939</v>
      </c>
      <c r="BH354" s="7">
        <v>40</v>
      </c>
      <c r="BI35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354">
        <v>-3</v>
      </c>
      <c r="BK354" t="s">
        <v>733</v>
      </c>
      <c r="BL354" s="11"/>
      <c r="BM354" s="11"/>
      <c r="BN354" s="11">
        <v>22</v>
      </c>
      <c r="BO354">
        <v>0</v>
      </c>
      <c r="BP354" t="s">
        <v>691</v>
      </c>
      <c r="BQ354" t="s">
        <v>693</v>
      </c>
      <c r="BR354" t="s">
        <v>700</v>
      </c>
      <c r="BS354" t="s">
        <v>704</v>
      </c>
      <c r="BT354" t="s">
        <v>705</v>
      </c>
      <c r="BU354" t="s">
        <v>706</v>
      </c>
      <c r="CT354"/>
      <c r="CU354"/>
      <c r="CV354"/>
    </row>
    <row r="355" spans="1:100" x14ac:dyDescent="0.4">
      <c r="A355" s="2" t="s">
        <v>380</v>
      </c>
      <c r="B355" t="str">
        <f>_xlfn.TEXTAFTER(Table1[[#This Row],[VEHIDCODE]],"_")</f>
        <v>Japan_JNR_EF55</v>
      </c>
      <c r="C355" t="s">
        <v>740</v>
      </c>
      <c r="D355" t="s">
        <v>960</v>
      </c>
      <c r="E355">
        <v>6015</v>
      </c>
      <c r="F355" t="b">
        <f>OR(ISNUMBER(SEARCH("wagon_",Table1[[#This Row],[FILENAMES_EXPECTED]])),ISNUMBER(SEARCH("coach_",Table1[[#This Row],[FILENAMES_EXPECTED]])))</f>
        <v>0</v>
      </c>
      <c r="G355" t="str">
        <f>"item_"&amp;Table1[[#This Row],[VEHIDCODE]]</f>
        <v>item_electric_Japan_JNR_EF55</v>
      </c>
      <c r="H355" t="str">
        <f>"str_"&amp;Table1[[#This Row],[VEHIDCODE]]</f>
        <v>str_electric_Japan_JNR_EF55</v>
      </c>
      <c r="M355" t="b">
        <v>1</v>
      </c>
      <c r="AL355" s="2"/>
      <c r="AM355" s="2" t="b">
        <f>LEN(_xlfn.CONCAT(Table1[[#This Row],[TRACK_TYPE_STANDARD_GAUGE_RAILTYPE_OHLE]:[TRACK_TYPE_MTRO]]))&gt;0</f>
        <v>1</v>
      </c>
      <c r="AN355">
        <v>8</v>
      </c>
      <c r="AO355" t="s">
        <v>20</v>
      </c>
      <c r="AP355">
        <v>0</v>
      </c>
      <c r="AQ355" t="s">
        <v>74</v>
      </c>
      <c r="AR355">
        <v>0</v>
      </c>
      <c r="AS355">
        <v>1936</v>
      </c>
      <c r="AT355">
        <v>8</v>
      </c>
      <c r="AU355" s="2" t="s">
        <v>20</v>
      </c>
      <c r="AV355" t="b">
        <v>1</v>
      </c>
      <c r="AX355" s="2"/>
      <c r="AY355">
        <v>45</v>
      </c>
      <c r="AZ355">
        <v>1</v>
      </c>
      <c r="BA355">
        <v>1810</v>
      </c>
      <c r="BB355" t="s">
        <v>708</v>
      </c>
      <c r="BC355">
        <v>75</v>
      </c>
      <c r="BD355" s="2">
        <v>0.06</v>
      </c>
      <c r="BE355" t="s">
        <v>930</v>
      </c>
      <c r="BF355" t="s">
        <v>921</v>
      </c>
      <c r="BG355" t="s">
        <v>939</v>
      </c>
      <c r="BH355" s="7">
        <v>40</v>
      </c>
      <c r="BI35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355">
        <v>-3</v>
      </c>
      <c r="BK355" t="s">
        <v>733</v>
      </c>
      <c r="BL355" s="11"/>
      <c r="BM355" s="11"/>
      <c r="BN355" s="11">
        <v>100</v>
      </c>
      <c r="BO355">
        <v>0</v>
      </c>
      <c r="BP355" t="s">
        <v>691</v>
      </c>
      <c r="BQ355" t="s">
        <v>693</v>
      </c>
      <c r="BR355" t="s">
        <v>700</v>
      </c>
      <c r="BS355" t="s">
        <v>704</v>
      </c>
      <c r="BT355" t="s">
        <v>705</v>
      </c>
      <c r="BU355" t="s">
        <v>706</v>
      </c>
      <c r="CT355"/>
      <c r="CU355"/>
      <c r="CV355"/>
    </row>
    <row r="356" spans="1:100" x14ac:dyDescent="0.4">
      <c r="A356" s="2" t="s">
        <v>381</v>
      </c>
      <c r="B356" t="str">
        <f>_xlfn.TEXTAFTER(Table1[[#This Row],[VEHIDCODE]],"_")</f>
        <v>Netherlands_NS_1000</v>
      </c>
      <c r="C356" t="s">
        <v>740</v>
      </c>
      <c r="D356" t="s">
        <v>960</v>
      </c>
      <c r="E356">
        <v>6019</v>
      </c>
      <c r="F356" t="b">
        <f>OR(ISNUMBER(SEARCH("wagon_",Table1[[#This Row],[FILENAMES_EXPECTED]])),ISNUMBER(SEARCH("coach_",Table1[[#This Row],[FILENAMES_EXPECTED]])))</f>
        <v>0</v>
      </c>
      <c r="G356" t="str">
        <f>"item_"&amp;Table1[[#This Row],[VEHIDCODE]]</f>
        <v>item_electric_Netherlands_NS_1000</v>
      </c>
      <c r="H356" t="str">
        <f>"str_"&amp;Table1[[#This Row],[VEHIDCODE]]</f>
        <v>str_electric_Netherlands_NS_1000</v>
      </c>
      <c r="M356" t="b">
        <v>1</v>
      </c>
      <c r="AL356" s="2"/>
      <c r="AM356" s="2" t="b">
        <f>LEN(_xlfn.CONCAT(Table1[[#This Row],[TRACK_TYPE_STANDARD_GAUGE_RAILTYPE_OHLE]:[TRACK_TYPE_MTRO]]))&gt;0</f>
        <v>1</v>
      </c>
      <c r="AN356">
        <v>8</v>
      </c>
      <c r="AO356" t="s">
        <v>20</v>
      </c>
      <c r="AP356">
        <v>0</v>
      </c>
      <c r="AQ356" t="s">
        <v>74</v>
      </c>
      <c r="AR356">
        <v>0</v>
      </c>
      <c r="AS356">
        <v>1948</v>
      </c>
      <c r="AT356">
        <v>8</v>
      </c>
      <c r="AU356" s="2" t="s">
        <v>20</v>
      </c>
      <c r="AV356" t="b">
        <v>1</v>
      </c>
      <c r="AX356" s="2"/>
      <c r="AY356">
        <v>45</v>
      </c>
      <c r="AZ356">
        <v>1</v>
      </c>
      <c r="BA356">
        <v>3749</v>
      </c>
      <c r="BB356" t="s">
        <v>708</v>
      </c>
      <c r="BC356">
        <v>135</v>
      </c>
      <c r="BD356" s="2">
        <v>0.18</v>
      </c>
      <c r="BE356" t="s">
        <v>922</v>
      </c>
      <c r="BF356" t="s">
        <v>921</v>
      </c>
      <c r="BG356" t="s">
        <v>939</v>
      </c>
      <c r="BH356" s="7">
        <v>40</v>
      </c>
      <c r="BI35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356">
        <v>-3</v>
      </c>
      <c r="BK356" t="s">
        <v>733</v>
      </c>
      <c r="BL356" s="11"/>
      <c r="BM356" s="11"/>
      <c r="BN356" s="11">
        <v>100</v>
      </c>
      <c r="BO356">
        <v>0</v>
      </c>
      <c r="BP356" t="s">
        <v>691</v>
      </c>
      <c r="BQ356" t="s">
        <v>693</v>
      </c>
      <c r="BR356" t="s">
        <v>700</v>
      </c>
      <c r="BS356" t="s">
        <v>704</v>
      </c>
      <c r="BT356" t="s">
        <v>705</v>
      </c>
      <c r="BU356" t="s">
        <v>706</v>
      </c>
      <c r="CT356"/>
      <c r="CU356"/>
      <c r="CV356"/>
    </row>
    <row r="357" spans="1:100" x14ac:dyDescent="0.4">
      <c r="A357" s="2" t="s">
        <v>382</v>
      </c>
      <c r="B357" t="str">
        <f>_xlfn.TEXTAFTER(Table1[[#This Row],[VEHIDCODE]],"_")</f>
        <v>Netherlands_NS_1600</v>
      </c>
      <c r="C357" t="s">
        <v>740</v>
      </c>
      <c r="D357" t="s">
        <v>960</v>
      </c>
      <c r="E357">
        <v>6038</v>
      </c>
      <c r="F357" t="b">
        <f>OR(ISNUMBER(SEARCH("wagon_",Table1[[#This Row],[FILENAMES_EXPECTED]])),ISNUMBER(SEARCH("coach_",Table1[[#This Row],[FILENAMES_EXPECTED]])))</f>
        <v>0</v>
      </c>
      <c r="G357" t="str">
        <f>"item_"&amp;Table1[[#This Row],[VEHIDCODE]]</f>
        <v>item_electric_Netherlands_NS_1600</v>
      </c>
      <c r="H357" t="str">
        <f>"str_"&amp;Table1[[#This Row],[VEHIDCODE]]</f>
        <v>str_electric_Netherlands_NS_1600</v>
      </c>
      <c r="M357" t="b">
        <v>1</v>
      </c>
      <c r="AL357" s="2"/>
      <c r="AM357" s="2" t="b">
        <f>LEN(_xlfn.CONCAT(Table1[[#This Row],[TRACK_TYPE_STANDARD_GAUGE_RAILTYPE_OHLE]:[TRACK_TYPE_MTRO]]))&gt;0</f>
        <v>1</v>
      </c>
      <c r="AN357">
        <v>8</v>
      </c>
      <c r="AO357" t="s">
        <v>20</v>
      </c>
      <c r="AP357">
        <v>0</v>
      </c>
      <c r="AQ357" t="s">
        <v>74</v>
      </c>
      <c r="AR357">
        <v>0</v>
      </c>
      <c r="AS357">
        <v>1980</v>
      </c>
      <c r="AT357">
        <v>8</v>
      </c>
      <c r="AU357" s="2" t="s">
        <v>20</v>
      </c>
      <c r="AV357" t="b">
        <v>1</v>
      </c>
      <c r="AX357" s="2"/>
      <c r="AY357">
        <v>45</v>
      </c>
      <c r="AZ357">
        <v>1</v>
      </c>
      <c r="BA357">
        <v>4539</v>
      </c>
      <c r="BB357" t="s">
        <v>708</v>
      </c>
      <c r="BC357">
        <v>180</v>
      </c>
      <c r="BD357" s="2">
        <v>0.31</v>
      </c>
      <c r="BE357" t="s">
        <v>922</v>
      </c>
      <c r="BF357" t="s">
        <v>921</v>
      </c>
      <c r="BG357" t="s">
        <v>939</v>
      </c>
      <c r="BH357" s="7">
        <v>40</v>
      </c>
      <c r="BI35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357">
        <v>-3</v>
      </c>
      <c r="BK357" t="s">
        <v>733</v>
      </c>
      <c r="BL357" s="11"/>
      <c r="BM357" s="11"/>
      <c r="BN357" s="11">
        <v>84</v>
      </c>
      <c r="BO357">
        <v>0</v>
      </c>
      <c r="BP357" t="s">
        <v>691</v>
      </c>
      <c r="BQ357" t="s">
        <v>693</v>
      </c>
      <c r="BR357" t="s">
        <v>700</v>
      </c>
      <c r="BS357" t="s">
        <v>704</v>
      </c>
      <c r="BT357" t="s">
        <v>705</v>
      </c>
      <c r="BU357" t="s">
        <v>706</v>
      </c>
      <c r="CT357"/>
      <c r="CU357"/>
      <c r="CV357"/>
    </row>
    <row r="358" spans="1:100" x14ac:dyDescent="0.4">
      <c r="A358" s="2" t="s">
        <v>383</v>
      </c>
      <c r="B358" t="str">
        <f>_xlfn.TEXTAFTER(Table1[[#This Row],[VEHIDCODE]],"_")</f>
        <v>Australia_Victorian_Railways_E_Class</v>
      </c>
      <c r="C358" t="s">
        <v>740</v>
      </c>
      <c r="D358" t="s">
        <v>960</v>
      </c>
      <c r="E358">
        <v>6072</v>
      </c>
      <c r="F358" t="b">
        <f>OR(ISNUMBER(SEARCH("wagon_",Table1[[#This Row],[FILENAMES_EXPECTED]])),ISNUMBER(SEARCH("coach_",Table1[[#This Row],[FILENAMES_EXPECTED]])))</f>
        <v>0</v>
      </c>
      <c r="G358" t="str">
        <f>"item_"&amp;Table1[[#This Row],[VEHIDCODE]]</f>
        <v>item_electric_Australia_Victorian_Railways_E_Class</v>
      </c>
      <c r="H358" t="str">
        <f>"str_"&amp;Table1[[#This Row],[VEHIDCODE]]</f>
        <v>str_electric_Australia_Victorian_Railways_E_Class</v>
      </c>
      <c r="M358" t="b">
        <v>1</v>
      </c>
      <c r="AL358" s="2"/>
      <c r="AM358" s="2" t="b">
        <f>LEN(_xlfn.CONCAT(Table1[[#This Row],[TRACK_TYPE_STANDARD_GAUGE_RAILTYPE_OHLE]:[TRACK_TYPE_MTRO]]))&gt;0</f>
        <v>1</v>
      </c>
      <c r="AN358">
        <v>7</v>
      </c>
      <c r="AO358" t="s">
        <v>20</v>
      </c>
      <c r="AP358">
        <v>0</v>
      </c>
      <c r="AQ358" t="s">
        <v>74</v>
      </c>
      <c r="AR358">
        <v>0</v>
      </c>
      <c r="AS358">
        <v>1923</v>
      </c>
      <c r="AT358">
        <v>7</v>
      </c>
      <c r="AU358" s="2" t="s">
        <v>20</v>
      </c>
      <c r="AV358" t="b">
        <v>1</v>
      </c>
      <c r="AX358" s="2"/>
      <c r="AY358">
        <v>45</v>
      </c>
      <c r="AZ358">
        <v>1</v>
      </c>
      <c r="BA358">
        <v>620</v>
      </c>
      <c r="BB358" t="s">
        <v>708</v>
      </c>
      <c r="BC358">
        <v>65</v>
      </c>
      <c r="BD358" s="2">
        <v>0.11</v>
      </c>
      <c r="BE358" t="s">
        <v>924</v>
      </c>
      <c r="BF358" t="s">
        <v>921</v>
      </c>
      <c r="BG358" t="s">
        <v>939</v>
      </c>
      <c r="BH358" s="7">
        <v>40</v>
      </c>
      <c r="BI35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358">
        <v>0</v>
      </c>
      <c r="BK358" t="s">
        <v>733</v>
      </c>
      <c r="BL358" s="11"/>
      <c r="BM358" s="11"/>
      <c r="BN358" s="11">
        <v>56</v>
      </c>
      <c r="BO358">
        <v>0</v>
      </c>
      <c r="BP358" t="s">
        <v>691</v>
      </c>
      <c r="BQ358" t="s">
        <v>693</v>
      </c>
      <c r="BR358" t="s">
        <v>700</v>
      </c>
      <c r="BS358" t="s">
        <v>704</v>
      </c>
      <c r="BT358" t="s">
        <v>705</v>
      </c>
      <c r="BU358" t="s">
        <v>706</v>
      </c>
      <c r="CT358"/>
      <c r="CU358"/>
      <c r="CV358"/>
    </row>
    <row r="359" spans="1:100" x14ac:dyDescent="0.4">
      <c r="A359" s="2" t="s">
        <v>384</v>
      </c>
      <c r="B359" t="str">
        <f>_xlfn.TEXTAFTER(Table1[[#This Row],[VEHIDCODE]],"_")</f>
        <v>UK_NER_ES1</v>
      </c>
      <c r="C359" t="s">
        <v>740</v>
      </c>
      <c r="D359" t="s">
        <v>960</v>
      </c>
      <c r="E359">
        <v>6067</v>
      </c>
      <c r="F359" t="b">
        <f>OR(ISNUMBER(SEARCH("wagon_",Table1[[#This Row],[FILENAMES_EXPECTED]])),ISNUMBER(SEARCH("coach_",Table1[[#This Row],[FILENAMES_EXPECTED]])))</f>
        <v>0</v>
      </c>
      <c r="G359" t="str">
        <f>"item_"&amp;Table1[[#This Row],[VEHIDCODE]]</f>
        <v>item_electric_UK_NER_ES1</v>
      </c>
      <c r="H359" t="str">
        <f>"str_"&amp;Table1[[#This Row],[VEHIDCODE]]</f>
        <v>str_electric_UK_NER_ES1</v>
      </c>
      <c r="M359" t="b">
        <v>1</v>
      </c>
      <c r="AL359" s="2"/>
      <c r="AM359" s="2" t="b">
        <f>LEN(_xlfn.CONCAT(Table1[[#This Row],[TRACK_TYPE_STANDARD_GAUGE_RAILTYPE_OHLE]:[TRACK_TYPE_MTRO]]))&gt;0</f>
        <v>1</v>
      </c>
      <c r="AN359">
        <v>6</v>
      </c>
      <c r="AO359" t="s">
        <v>20</v>
      </c>
      <c r="AP359">
        <v>0</v>
      </c>
      <c r="AQ359" t="s">
        <v>74</v>
      </c>
      <c r="AR359">
        <v>0</v>
      </c>
      <c r="AS359">
        <v>1903</v>
      </c>
      <c r="AT359">
        <v>6</v>
      </c>
      <c r="AU359" s="2" t="s">
        <v>20</v>
      </c>
      <c r="AV359" t="b">
        <v>1</v>
      </c>
      <c r="AX359" s="2"/>
      <c r="AY359">
        <v>45</v>
      </c>
      <c r="AZ359">
        <v>0</v>
      </c>
      <c r="BA359">
        <v>640</v>
      </c>
      <c r="BB359" t="s">
        <v>708</v>
      </c>
      <c r="BC359">
        <v>43</v>
      </c>
      <c r="BD359" s="2">
        <v>0.19</v>
      </c>
      <c r="BE359" t="s">
        <v>926</v>
      </c>
      <c r="BF359" t="s">
        <v>921</v>
      </c>
      <c r="BG359" t="s">
        <v>939</v>
      </c>
      <c r="BH359" s="7">
        <v>40</v>
      </c>
      <c r="BI35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359">
        <v>0</v>
      </c>
      <c r="BK359" t="s">
        <v>733</v>
      </c>
      <c r="BL359" s="11"/>
      <c r="BM359" s="11"/>
      <c r="BN359" s="11">
        <v>57</v>
      </c>
      <c r="BO359">
        <v>0</v>
      </c>
      <c r="BP359" t="s">
        <v>691</v>
      </c>
      <c r="BQ359" t="s">
        <v>693</v>
      </c>
      <c r="BR359" t="s">
        <v>700</v>
      </c>
      <c r="BS359" t="s">
        <v>704</v>
      </c>
      <c r="BT359" t="s">
        <v>705</v>
      </c>
      <c r="BU359" t="s">
        <v>706</v>
      </c>
      <c r="CT359"/>
      <c r="CU359"/>
      <c r="CV359"/>
    </row>
    <row r="360" spans="1:100" x14ac:dyDescent="0.4">
      <c r="A360" s="2" t="s">
        <v>385</v>
      </c>
      <c r="B360" t="str">
        <f>_xlfn.TEXTAFTER(Table1[[#This Row],[VEHIDCODE]],"_")</f>
        <v>USA_NYC_S_motor</v>
      </c>
      <c r="C360" t="s">
        <v>740</v>
      </c>
      <c r="D360" t="s">
        <v>960</v>
      </c>
      <c r="E360">
        <v>6066</v>
      </c>
      <c r="F360" t="b">
        <f>OR(ISNUMBER(SEARCH("wagon_",Table1[[#This Row],[FILENAMES_EXPECTED]])),ISNUMBER(SEARCH("coach_",Table1[[#This Row],[FILENAMES_EXPECTED]])))</f>
        <v>0</v>
      </c>
      <c r="G360" t="str">
        <f>"item_"&amp;Table1[[#This Row],[VEHIDCODE]]</f>
        <v>item_electric_USA_NYC_S_motor</v>
      </c>
      <c r="H360" t="str">
        <f>"str_"&amp;Table1[[#This Row],[VEHIDCODE]]</f>
        <v>str_electric_USA_NYC_S_motor</v>
      </c>
      <c r="M360" t="b">
        <v>1</v>
      </c>
      <c r="AL360" s="2"/>
      <c r="AM360" s="2" t="b">
        <f>LEN(_xlfn.CONCAT(Table1[[#This Row],[TRACK_TYPE_STANDARD_GAUGE_RAILTYPE_OHLE]:[TRACK_TYPE_MTRO]]))&gt;0</f>
        <v>1</v>
      </c>
      <c r="AN360">
        <v>7</v>
      </c>
      <c r="AO360" t="s">
        <v>20</v>
      </c>
      <c r="AP360">
        <v>0</v>
      </c>
      <c r="AQ360" t="s">
        <v>74</v>
      </c>
      <c r="AR360">
        <v>0</v>
      </c>
      <c r="AS360">
        <v>1903</v>
      </c>
      <c r="AT360">
        <v>7</v>
      </c>
      <c r="AU360" s="2" t="s">
        <v>20</v>
      </c>
      <c r="AV360" t="b">
        <v>1</v>
      </c>
      <c r="AX360" s="2"/>
      <c r="AY360">
        <v>45</v>
      </c>
      <c r="AZ360">
        <v>1</v>
      </c>
      <c r="BA360">
        <v>1264</v>
      </c>
      <c r="BB360" t="s">
        <v>708</v>
      </c>
      <c r="BC360">
        <v>97</v>
      </c>
      <c r="BD360" s="2">
        <v>0.16</v>
      </c>
      <c r="BE360" t="s">
        <v>927</v>
      </c>
      <c r="BF360" t="s">
        <v>921</v>
      </c>
      <c r="BG360" t="s">
        <v>939</v>
      </c>
      <c r="BH360" s="7">
        <v>40</v>
      </c>
      <c r="BI36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360">
        <v>0</v>
      </c>
      <c r="BK360" t="s">
        <v>733</v>
      </c>
      <c r="BL360" s="11"/>
      <c r="BM360" s="11"/>
      <c r="BN360" s="11">
        <v>103</v>
      </c>
      <c r="BO360">
        <v>0</v>
      </c>
      <c r="BP360" t="s">
        <v>691</v>
      </c>
      <c r="BQ360" t="s">
        <v>693</v>
      </c>
      <c r="BR360" t="s">
        <v>700</v>
      </c>
      <c r="BS360" t="s">
        <v>704</v>
      </c>
      <c r="BT360" t="s">
        <v>705</v>
      </c>
      <c r="BU360" t="s">
        <v>706</v>
      </c>
      <c r="CT360"/>
      <c r="CU360"/>
      <c r="CV360"/>
    </row>
    <row r="361" spans="1:100" x14ac:dyDescent="0.4">
      <c r="A361" s="2" t="s">
        <v>386</v>
      </c>
      <c r="B361" t="str">
        <f>_xlfn.TEXTAFTER(Table1[[#This Row],[VEHIDCODE]],"_")</f>
        <v>Japan_Aichi_Railroad_DeKi_400</v>
      </c>
      <c r="C361" t="s">
        <v>740</v>
      </c>
      <c r="D361" t="s">
        <v>960</v>
      </c>
      <c r="E361">
        <v>6075</v>
      </c>
      <c r="F361" t="b">
        <f>OR(ISNUMBER(SEARCH("wagon_",Table1[[#This Row],[FILENAMES_EXPECTED]])),ISNUMBER(SEARCH("coach_",Table1[[#This Row],[FILENAMES_EXPECTED]])))</f>
        <v>0</v>
      </c>
      <c r="G361" t="str">
        <f>"item_"&amp;Table1[[#This Row],[VEHIDCODE]]</f>
        <v>item_electric_Japan_Aichi_Railroad_DeKi_400</v>
      </c>
      <c r="H361" t="str">
        <f>"str_"&amp;Table1[[#This Row],[VEHIDCODE]]</f>
        <v>str_electric_Japan_Aichi_Railroad_DeKi_400</v>
      </c>
      <c r="V361" t="b">
        <v>1</v>
      </c>
      <c r="AL361" s="2"/>
      <c r="AM361" s="2" t="b">
        <f>LEN(_xlfn.CONCAT(Table1[[#This Row],[TRACK_TYPE_STANDARD_GAUGE_RAILTYPE_OHLE]:[TRACK_TYPE_MTRO]]))&gt;0</f>
        <v>1</v>
      </c>
      <c r="AN361">
        <v>6</v>
      </c>
      <c r="AO361" t="s">
        <v>20</v>
      </c>
      <c r="AP361">
        <v>0</v>
      </c>
      <c r="AQ361" t="s">
        <v>74</v>
      </c>
      <c r="AR361">
        <v>0</v>
      </c>
      <c r="AS361">
        <v>1930</v>
      </c>
      <c r="AT361">
        <v>6</v>
      </c>
      <c r="AU361" s="2" t="s">
        <v>20</v>
      </c>
      <c r="AV361" t="b">
        <v>1</v>
      </c>
      <c r="AX361" s="2"/>
      <c r="AY361">
        <v>45</v>
      </c>
      <c r="AZ361">
        <v>1</v>
      </c>
      <c r="BA361">
        <v>482</v>
      </c>
      <c r="BB361" t="s">
        <v>708</v>
      </c>
      <c r="BC361">
        <v>28</v>
      </c>
      <c r="BD361" s="2">
        <v>0.12</v>
      </c>
      <c r="BE361" t="s">
        <v>930</v>
      </c>
      <c r="BF361" t="s">
        <v>921</v>
      </c>
      <c r="BG361" t="s">
        <v>939</v>
      </c>
      <c r="BH361" s="7">
        <v>40</v>
      </c>
      <c r="BI36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361">
        <v>0</v>
      </c>
      <c r="BK361" t="s">
        <v>733</v>
      </c>
      <c r="BL361" s="11"/>
      <c r="BM361" s="11"/>
      <c r="BN361" s="11">
        <v>40</v>
      </c>
      <c r="BO361">
        <v>0</v>
      </c>
      <c r="BP361" t="s">
        <v>691</v>
      </c>
      <c r="BQ361" t="s">
        <v>693</v>
      </c>
      <c r="BR361" t="s">
        <v>700</v>
      </c>
      <c r="BS361" t="s">
        <v>704</v>
      </c>
      <c r="BT361" t="s">
        <v>705</v>
      </c>
      <c r="BU361" t="s">
        <v>706</v>
      </c>
      <c r="CT361"/>
      <c r="CU361"/>
      <c r="CV361"/>
    </row>
    <row r="362" spans="1:100" x14ac:dyDescent="0.4">
      <c r="A362" s="2" t="s">
        <v>387</v>
      </c>
      <c r="B362" t="str">
        <f>_xlfn.TEXTAFTER(Table1[[#This Row],[VEHIDCODE]],"_")</f>
        <v>India_Indian_Railways_WCG_1</v>
      </c>
      <c r="C362" t="s">
        <v>740</v>
      </c>
      <c r="D362" t="s">
        <v>960</v>
      </c>
      <c r="E362">
        <v>6008</v>
      </c>
      <c r="F362" t="b">
        <f>OR(ISNUMBER(SEARCH("wagon_",Table1[[#This Row],[FILENAMES_EXPECTED]])),ISNUMBER(SEARCH("coach_",Table1[[#This Row],[FILENAMES_EXPECTED]])))</f>
        <v>0</v>
      </c>
      <c r="G362" t="str">
        <f>"item_"&amp;Table1[[#This Row],[VEHIDCODE]]</f>
        <v>item_electric_India_Indian_Railways_WCG_1</v>
      </c>
      <c r="H362" t="str">
        <f>"str_"&amp;Table1[[#This Row],[VEHIDCODE]]</f>
        <v>str_electric_India_Indian_Railways_WCG_1</v>
      </c>
      <c r="AE362" t="b">
        <v>1</v>
      </c>
      <c r="AL362" s="2"/>
      <c r="AM362" s="2" t="b">
        <f>LEN(_xlfn.CONCAT(Table1[[#This Row],[TRACK_TYPE_STANDARD_GAUGE_RAILTYPE_OHLE]:[TRACK_TYPE_MTRO]]))&gt;0</f>
        <v>1</v>
      </c>
      <c r="AN362">
        <v>8</v>
      </c>
      <c r="AO362" t="s">
        <v>20</v>
      </c>
      <c r="AP362">
        <v>0</v>
      </c>
      <c r="AQ362" t="s">
        <v>74</v>
      </c>
      <c r="AR362">
        <v>0</v>
      </c>
      <c r="AS362">
        <v>1928</v>
      </c>
      <c r="AT362">
        <v>8</v>
      </c>
      <c r="AU362" s="2" t="s">
        <v>20</v>
      </c>
      <c r="AV362" t="b">
        <v>1</v>
      </c>
      <c r="AX362" s="2"/>
      <c r="AY362">
        <v>45</v>
      </c>
      <c r="AZ362">
        <v>1</v>
      </c>
      <c r="BA362">
        <v>2610</v>
      </c>
      <c r="BB362" t="s">
        <v>708</v>
      </c>
      <c r="BC362">
        <v>90</v>
      </c>
      <c r="BD362" s="2">
        <v>0.6</v>
      </c>
      <c r="BE362" t="s">
        <v>930</v>
      </c>
      <c r="BF362" t="s">
        <v>921</v>
      </c>
      <c r="BG362" t="s">
        <v>939</v>
      </c>
      <c r="BH362" s="7">
        <v>40</v>
      </c>
      <c r="BI36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362">
        <v>-3</v>
      </c>
      <c r="BK362" t="s">
        <v>733</v>
      </c>
      <c r="BL362" s="11"/>
      <c r="BM362" s="11"/>
      <c r="BN362" s="11">
        <v>55</v>
      </c>
      <c r="BO362">
        <v>0</v>
      </c>
      <c r="BP362" t="s">
        <v>691</v>
      </c>
      <c r="BQ362" t="s">
        <v>693</v>
      </c>
      <c r="BR362" t="s">
        <v>700</v>
      </c>
      <c r="BS362" t="s">
        <v>704</v>
      </c>
      <c r="BT362" t="s">
        <v>705</v>
      </c>
      <c r="BU362" t="s">
        <v>706</v>
      </c>
      <c r="CT362"/>
      <c r="CU362"/>
      <c r="CV362"/>
    </row>
    <row r="363" spans="1:100" x14ac:dyDescent="0.4">
      <c r="A363" s="2" t="s">
        <v>388</v>
      </c>
      <c r="B363" t="str">
        <f>_xlfn.TEXTAFTER(Table1[[#This Row],[VEHIDCODE]],"_")</f>
        <v>France_SNCF_BB_9004</v>
      </c>
      <c r="C363" t="s">
        <v>740</v>
      </c>
      <c r="D363" t="s">
        <v>960</v>
      </c>
      <c r="E363">
        <v>6022</v>
      </c>
      <c r="F363" t="b">
        <f>OR(ISNUMBER(SEARCH("wagon_",Table1[[#This Row],[FILENAMES_EXPECTED]])),ISNUMBER(SEARCH("coach_",Table1[[#This Row],[FILENAMES_EXPECTED]])))</f>
        <v>0</v>
      </c>
      <c r="G363" t="str">
        <f>"item_"&amp;Table1[[#This Row],[VEHIDCODE]]</f>
        <v>item_electric_France_SNCF_BB_9004</v>
      </c>
      <c r="H363" t="str">
        <f>"str_"&amp;Table1[[#This Row],[VEHIDCODE]]</f>
        <v>str_electric_France_SNCF_BB_9004</v>
      </c>
      <c r="M363" t="b">
        <v>1</v>
      </c>
      <c r="AL363" s="2"/>
      <c r="AM363" s="2" t="b">
        <f>LEN(_xlfn.CONCAT(Table1[[#This Row],[TRACK_TYPE_STANDARD_GAUGE_RAILTYPE_OHLE]:[TRACK_TYPE_MTRO]]))&gt;0</f>
        <v>1</v>
      </c>
      <c r="AN363">
        <v>8</v>
      </c>
      <c r="AO363" t="s">
        <v>20</v>
      </c>
      <c r="AP363">
        <v>0</v>
      </c>
      <c r="AQ363" t="s">
        <v>74</v>
      </c>
      <c r="AR363">
        <v>0</v>
      </c>
      <c r="AS363">
        <v>1954</v>
      </c>
      <c r="AT363">
        <v>8</v>
      </c>
      <c r="AU363" s="2" t="s">
        <v>20</v>
      </c>
      <c r="AV363" t="b">
        <v>1</v>
      </c>
      <c r="AX363" s="2"/>
      <c r="AY363">
        <v>45</v>
      </c>
      <c r="AZ363">
        <v>1</v>
      </c>
      <c r="BA363">
        <v>4000</v>
      </c>
      <c r="BB363" t="s">
        <v>708</v>
      </c>
      <c r="BC363">
        <v>140</v>
      </c>
      <c r="BD363" s="2">
        <v>0.25</v>
      </c>
      <c r="BE363" t="s">
        <v>922</v>
      </c>
      <c r="BF363" t="s">
        <v>921</v>
      </c>
      <c r="BG363" t="s">
        <v>939</v>
      </c>
      <c r="BH363" s="7">
        <v>40</v>
      </c>
      <c r="BI36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363">
        <v>-3</v>
      </c>
      <c r="BK363" t="s">
        <v>733</v>
      </c>
      <c r="BL363" s="11"/>
      <c r="BM363" s="11"/>
      <c r="BN363" s="11">
        <v>83</v>
      </c>
      <c r="BO363">
        <v>0</v>
      </c>
      <c r="BP363" t="s">
        <v>691</v>
      </c>
      <c r="BQ363" t="s">
        <v>693</v>
      </c>
      <c r="BR363" t="s">
        <v>700</v>
      </c>
      <c r="BS363" t="s">
        <v>704</v>
      </c>
      <c r="BT363" t="s">
        <v>705</v>
      </c>
      <c r="BU363" t="s">
        <v>706</v>
      </c>
      <c r="CT363"/>
      <c r="CU363"/>
      <c r="CV363"/>
    </row>
    <row r="364" spans="1:100" x14ac:dyDescent="0.4">
      <c r="A364" s="2" t="s">
        <v>389</v>
      </c>
      <c r="B364" t="str">
        <f>_xlfn.TEXTAFTER(Table1[[#This Row],[VEHIDCODE]],"_")</f>
        <v>Indonesia_ESS_3200</v>
      </c>
      <c r="C364" t="s">
        <v>740</v>
      </c>
      <c r="D364" t="s">
        <v>960</v>
      </c>
      <c r="E364">
        <v>6096</v>
      </c>
      <c r="F364" t="b">
        <f>OR(ISNUMBER(SEARCH("wagon_",Table1[[#This Row],[FILENAMES_EXPECTED]])),ISNUMBER(SEARCH("coach_",Table1[[#This Row],[FILENAMES_EXPECTED]])))</f>
        <v>0</v>
      </c>
      <c r="G364" t="str">
        <f>"item_"&amp;Table1[[#This Row],[VEHIDCODE]]</f>
        <v>item_electric_Indonesia_ESS_3200</v>
      </c>
      <c r="H364" t="str">
        <f>"str_"&amp;Table1[[#This Row],[VEHIDCODE]]</f>
        <v>str_electric_Indonesia_ESS_3200</v>
      </c>
      <c r="M364" t="b">
        <v>1</v>
      </c>
      <c r="AL364" s="2"/>
      <c r="AM364" s="2" t="b">
        <f>LEN(_xlfn.CONCAT(Table1[[#This Row],[TRACK_TYPE_STANDARD_GAUGE_RAILTYPE_OHLE]:[TRACK_TYPE_MTRO]]))&gt;0</f>
        <v>1</v>
      </c>
      <c r="AN364">
        <v>6</v>
      </c>
      <c r="AO364" t="s">
        <v>20</v>
      </c>
      <c r="AP364">
        <v>0</v>
      </c>
      <c r="AQ364" t="s">
        <v>74</v>
      </c>
      <c r="AR364">
        <v>0</v>
      </c>
      <c r="AS364">
        <v>1925</v>
      </c>
      <c r="AT364">
        <v>6</v>
      </c>
      <c r="AU364" s="2" t="s">
        <v>20</v>
      </c>
      <c r="AV364" t="b">
        <v>1</v>
      </c>
      <c r="AX364" s="2"/>
      <c r="AY364">
        <v>45</v>
      </c>
      <c r="AZ364">
        <v>1</v>
      </c>
      <c r="BA364">
        <v>765</v>
      </c>
      <c r="BB364" t="s">
        <v>708</v>
      </c>
      <c r="BC364">
        <v>120</v>
      </c>
      <c r="BD364" s="2">
        <v>0.23</v>
      </c>
      <c r="BE364" t="s">
        <v>924</v>
      </c>
      <c r="BF364" t="s">
        <v>921</v>
      </c>
      <c r="BG364" t="s">
        <v>939</v>
      </c>
      <c r="BH364" s="7">
        <v>40</v>
      </c>
      <c r="BI36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364">
        <v>0</v>
      </c>
      <c r="BK364" t="s">
        <v>733</v>
      </c>
      <c r="BL364" s="11"/>
      <c r="BM364" s="11"/>
      <c r="BN364" s="11">
        <v>69</v>
      </c>
      <c r="BO364">
        <v>0</v>
      </c>
      <c r="BP364" t="s">
        <v>691</v>
      </c>
      <c r="BQ364" t="s">
        <v>693</v>
      </c>
      <c r="BR364" t="s">
        <v>700</v>
      </c>
      <c r="BS364" t="s">
        <v>704</v>
      </c>
      <c r="BT364" t="s">
        <v>705</v>
      </c>
      <c r="BU364" t="s">
        <v>706</v>
      </c>
      <c r="CT364"/>
      <c r="CU364"/>
      <c r="CV364"/>
    </row>
    <row r="365" spans="1:100" x14ac:dyDescent="0.4">
      <c r="A365" s="2" t="s">
        <v>390</v>
      </c>
      <c r="B365" t="str">
        <f>_xlfn.TEXTAFTER(Table1[[#This Row],[VEHIDCODE]],"_")</f>
        <v>UK_BR_77_Metrovic</v>
      </c>
      <c r="C365" t="s">
        <v>740</v>
      </c>
      <c r="D365" t="s">
        <v>960</v>
      </c>
      <c r="E365">
        <v>6021</v>
      </c>
      <c r="F365" t="b">
        <f>OR(ISNUMBER(SEARCH("wagon_",Table1[[#This Row],[FILENAMES_EXPECTED]])),ISNUMBER(SEARCH("coach_",Table1[[#This Row],[FILENAMES_EXPECTED]])))</f>
        <v>0</v>
      </c>
      <c r="G365" t="str">
        <f>"item_"&amp;Table1[[#This Row],[VEHIDCODE]]</f>
        <v>item_electric_UK_BR_77_Metrovic</v>
      </c>
      <c r="H365" t="str">
        <f>"str_"&amp;Table1[[#This Row],[VEHIDCODE]]</f>
        <v>str_electric_UK_BR_77_Metrovic</v>
      </c>
      <c r="M365" t="b">
        <v>1</v>
      </c>
      <c r="AL365" s="2"/>
      <c r="AM365" s="2" t="b">
        <f>LEN(_xlfn.CONCAT(Table1[[#This Row],[TRACK_TYPE_STANDARD_GAUGE_RAILTYPE_OHLE]:[TRACK_TYPE_MTRO]]))&gt;0</f>
        <v>1</v>
      </c>
      <c r="AN365">
        <v>8</v>
      </c>
      <c r="AO365" t="s">
        <v>20</v>
      </c>
      <c r="AP365">
        <v>0</v>
      </c>
      <c r="AQ365" t="s">
        <v>74</v>
      </c>
      <c r="AR365">
        <v>0</v>
      </c>
      <c r="AS365">
        <v>1953</v>
      </c>
      <c r="AT365">
        <v>8</v>
      </c>
      <c r="AU365" s="2" t="s">
        <v>20</v>
      </c>
      <c r="AV365" t="b">
        <v>1</v>
      </c>
      <c r="AX365" s="2"/>
      <c r="AY365">
        <v>45</v>
      </c>
      <c r="AZ365">
        <v>1</v>
      </c>
      <c r="BA365">
        <v>2490</v>
      </c>
      <c r="BB365" t="s">
        <v>708</v>
      </c>
      <c r="BC365">
        <v>145</v>
      </c>
      <c r="BD365" s="2">
        <v>0.2</v>
      </c>
      <c r="BE365" t="s">
        <v>926</v>
      </c>
      <c r="BF365" t="s">
        <v>921</v>
      </c>
      <c r="BG365" t="s">
        <v>939</v>
      </c>
      <c r="BH365" s="7">
        <v>40</v>
      </c>
      <c r="BI36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365">
        <v>-3</v>
      </c>
      <c r="BK365" t="s">
        <v>733</v>
      </c>
      <c r="BL365" s="11"/>
      <c r="BM365" s="11"/>
      <c r="BN365" s="11">
        <v>102</v>
      </c>
      <c r="BO365">
        <v>0</v>
      </c>
      <c r="BP365" t="s">
        <v>691</v>
      </c>
      <c r="BQ365" t="s">
        <v>693</v>
      </c>
      <c r="BR365" t="s">
        <v>700</v>
      </c>
      <c r="BS365" t="s">
        <v>704</v>
      </c>
      <c r="BT365" t="s">
        <v>705</v>
      </c>
      <c r="BU365" t="s">
        <v>706</v>
      </c>
      <c r="CT365"/>
      <c r="CU365"/>
      <c r="CV365"/>
    </row>
    <row r="366" spans="1:100" x14ac:dyDescent="0.4">
      <c r="A366" s="2" t="s">
        <v>391</v>
      </c>
      <c r="B366" t="str">
        <f>_xlfn.TEXTAFTER(Table1[[#This Row],[VEHIDCODE]],"_")</f>
        <v>UK_NER_EE1</v>
      </c>
      <c r="C366" t="s">
        <v>740</v>
      </c>
      <c r="D366" t="s">
        <v>960</v>
      </c>
      <c r="E366">
        <v>6071</v>
      </c>
      <c r="F366" t="b">
        <f>OR(ISNUMBER(SEARCH("wagon_",Table1[[#This Row],[FILENAMES_EXPECTED]])),ISNUMBER(SEARCH("coach_",Table1[[#This Row],[FILENAMES_EXPECTED]])))</f>
        <v>0</v>
      </c>
      <c r="G366" t="str">
        <f>"item_"&amp;Table1[[#This Row],[VEHIDCODE]]</f>
        <v>item_electric_UK_NER_EE1</v>
      </c>
      <c r="H366" t="str">
        <f>"str_"&amp;Table1[[#This Row],[VEHIDCODE]]</f>
        <v>str_electric_UK_NER_EE1</v>
      </c>
      <c r="M366" t="b">
        <v>1</v>
      </c>
      <c r="AL366" s="2"/>
      <c r="AM366" s="2" t="b">
        <f>LEN(_xlfn.CONCAT(Table1[[#This Row],[TRACK_TYPE_STANDARD_GAUGE_RAILTYPE_OHLE]:[TRACK_TYPE_MTRO]]))&gt;0</f>
        <v>1</v>
      </c>
      <c r="AN366">
        <v>8</v>
      </c>
      <c r="AO366" t="s">
        <v>20</v>
      </c>
      <c r="AP366">
        <v>0</v>
      </c>
      <c r="AQ366" t="s">
        <v>74</v>
      </c>
      <c r="AR366">
        <v>0</v>
      </c>
      <c r="AS366">
        <v>1922</v>
      </c>
      <c r="AT366">
        <v>8</v>
      </c>
      <c r="AU366" s="2" t="s">
        <v>20</v>
      </c>
      <c r="AV366" t="b">
        <v>1</v>
      </c>
      <c r="AX366" s="2"/>
      <c r="AY366">
        <v>45</v>
      </c>
      <c r="AZ366">
        <v>1</v>
      </c>
      <c r="BA366">
        <v>1800</v>
      </c>
      <c r="BB366" t="s">
        <v>708</v>
      </c>
      <c r="BC366">
        <v>105</v>
      </c>
      <c r="BD366" s="2">
        <v>0.11</v>
      </c>
      <c r="BE366" t="s">
        <v>926</v>
      </c>
      <c r="BF366" t="s">
        <v>921</v>
      </c>
      <c r="BG366" t="s">
        <v>939</v>
      </c>
      <c r="BH366" s="7">
        <v>40</v>
      </c>
      <c r="BI36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366">
        <v>0</v>
      </c>
      <c r="BK366" t="s">
        <v>733</v>
      </c>
      <c r="BL366" s="11"/>
      <c r="BM366" s="11"/>
      <c r="BN366" s="11">
        <v>111</v>
      </c>
      <c r="BO366">
        <v>0</v>
      </c>
      <c r="BP366" t="s">
        <v>691</v>
      </c>
      <c r="BQ366" t="s">
        <v>693</v>
      </c>
      <c r="BR366" t="s">
        <v>700</v>
      </c>
      <c r="BS366" t="s">
        <v>704</v>
      </c>
      <c r="BT366" t="s">
        <v>705</v>
      </c>
      <c r="BU366" t="s">
        <v>706</v>
      </c>
      <c r="CT366"/>
      <c r="CU366"/>
      <c r="CV366"/>
    </row>
    <row r="367" spans="1:100" x14ac:dyDescent="0.4">
      <c r="A367" s="2" t="s">
        <v>392</v>
      </c>
      <c r="B367" t="str">
        <f>_xlfn.TEXTAFTER(Table1[[#This Row],[VEHIDCODE]],"_")</f>
        <v>USA_Milwaukee_Road_ES_2</v>
      </c>
      <c r="C367" t="s">
        <v>740</v>
      </c>
      <c r="D367" t="s">
        <v>960</v>
      </c>
      <c r="E367">
        <v>6003</v>
      </c>
      <c r="F367" t="b">
        <f>OR(ISNUMBER(SEARCH("wagon_",Table1[[#This Row],[FILENAMES_EXPECTED]])),ISNUMBER(SEARCH("coach_",Table1[[#This Row],[FILENAMES_EXPECTED]])))</f>
        <v>0</v>
      </c>
      <c r="G367" t="str">
        <f>"item_"&amp;Table1[[#This Row],[VEHIDCODE]]</f>
        <v>item_electric_USA_Milwaukee_Road_ES_2</v>
      </c>
      <c r="H367" t="str">
        <f>"str_"&amp;Table1[[#This Row],[VEHIDCODE]]</f>
        <v>str_electric_USA_Milwaukee_Road_ES_2</v>
      </c>
      <c r="L367" t="b">
        <v>1</v>
      </c>
      <c r="AL367" s="2"/>
      <c r="AM367" s="2" t="b">
        <f>LEN(_xlfn.CONCAT(Table1[[#This Row],[TRACK_TYPE_STANDARD_GAUGE_RAILTYPE_OHLE]:[TRACK_TYPE_MTRO]]))&gt;0</f>
        <v>1</v>
      </c>
      <c r="AN367">
        <v>6</v>
      </c>
      <c r="AO367" t="s">
        <v>20</v>
      </c>
      <c r="AP367">
        <v>0</v>
      </c>
      <c r="AQ367" t="s">
        <v>74</v>
      </c>
      <c r="AR367">
        <v>0</v>
      </c>
      <c r="AS367">
        <v>1916</v>
      </c>
      <c r="AT367">
        <v>6</v>
      </c>
      <c r="AU367" s="2" t="s">
        <v>20</v>
      </c>
      <c r="AV367" t="b">
        <v>1</v>
      </c>
      <c r="AX367" s="2"/>
      <c r="AY367">
        <v>45</v>
      </c>
      <c r="AZ367">
        <v>1</v>
      </c>
      <c r="BA367">
        <v>670</v>
      </c>
      <c r="BB367" t="s">
        <v>708</v>
      </c>
      <c r="BC367">
        <v>72</v>
      </c>
      <c r="BD367" s="2">
        <v>0.18</v>
      </c>
      <c r="BE367" t="s">
        <v>927</v>
      </c>
      <c r="BF367" t="s">
        <v>921</v>
      </c>
      <c r="BG367" t="s">
        <v>939</v>
      </c>
      <c r="BH367" s="7">
        <v>40</v>
      </c>
      <c r="BI36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367">
        <v>-3</v>
      </c>
      <c r="BK367" t="s">
        <v>733</v>
      </c>
      <c r="BL367" s="11"/>
      <c r="BM367" s="11"/>
      <c r="BN367" s="11">
        <v>74</v>
      </c>
      <c r="BO367">
        <v>0</v>
      </c>
      <c r="BP367" t="s">
        <v>691</v>
      </c>
      <c r="BQ367" t="s">
        <v>693</v>
      </c>
      <c r="BR367" t="s">
        <v>700</v>
      </c>
      <c r="BS367" t="s">
        <v>704</v>
      </c>
      <c r="BT367" t="s">
        <v>705</v>
      </c>
      <c r="BU367" t="s">
        <v>706</v>
      </c>
      <c r="CT367"/>
      <c r="CU367"/>
      <c r="CV367"/>
    </row>
    <row r="368" spans="1:100" x14ac:dyDescent="0.4">
      <c r="A368" s="2" t="s">
        <v>393</v>
      </c>
      <c r="B368" t="str">
        <f>_xlfn.TEXTAFTER(Table1[[#This Row],[VEHIDCODE]],"_")</f>
        <v>USA_Milwaukee_Road_EP_2_Bipolar</v>
      </c>
      <c r="C368" t="s">
        <v>740</v>
      </c>
      <c r="D368" t="s">
        <v>960</v>
      </c>
      <c r="E368">
        <v>6064</v>
      </c>
      <c r="F368" t="b">
        <f>OR(ISNUMBER(SEARCH("wagon_",Table1[[#This Row],[FILENAMES_EXPECTED]])),ISNUMBER(SEARCH("coach_",Table1[[#This Row],[FILENAMES_EXPECTED]])))</f>
        <v>0</v>
      </c>
      <c r="G368" t="str">
        <f>"item_"&amp;Table1[[#This Row],[VEHIDCODE]]</f>
        <v>item_electric_USA_Milwaukee_Road_EP_2_Bipolar</v>
      </c>
      <c r="H368" t="str">
        <f>"str_"&amp;Table1[[#This Row],[VEHIDCODE]]</f>
        <v>str_electric_USA_Milwaukee_Road_EP_2_Bipolar</v>
      </c>
      <c r="L368" t="b">
        <v>1</v>
      </c>
      <c r="AL368" s="2"/>
      <c r="AM368" s="2" t="b">
        <f>LEN(_xlfn.CONCAT(Table1[[#This Row],[TRACK_TYPE_STANDARD_GAUGE_RAILTYPE_OHLE]:[TRACK_TYPE_MTRO]]))&gt;0</f>
        <v>1</v>
      </c>
      <c r="AN368">
        <v>4</v>
      </c>
      <c r="AO368" t="s">
        <v>20</v>
      </c>
      <c r="AP368">
        <v>0</v>
      </c>
      <c r="AQ368" t="s">
        <v>74</v>
      </c>
      <c r="AR368">
        <v>0</v>
      </c>
      <c r="AS368">
        <v>1919</v>
      </c>
      <c r="AT368">
        <v>8</v>
      </c>
      <c r="AU368" s="2" t="s">
        <v>20</v>
      </c>
      <c r="AV368" t="b">
        <v>1</v>
      </c>
      <c r="AX368" s="2"/>
      <c r="AY368">
        <v>45</v>
      </c>
      <c r="AZ368">
        <v>1</v>
      </c>
      <c r="BA368">
        <v>4400</v>
      </c>
      <c r="BB368" t="s">
        <v>708</v>
      </c>
      <c r="BC368">
        <v>144</v>
      </c>
      <c r="BD368" s="2">
        <v>0.17</v>
      </c>
      <c r="BE368" t="s">
        <v>927</v>
      </c>
      <c r="BF368" t="s">
        <v>921</v>
      </c>
      <c r="BG368" t="s">
        <v>939</v>
      </c>
      <c r="BH368" s="7">
        <v>40</v>
      </c>
      <c r="BI36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368">
        <v>0</v>
      </c>
      <c r="BK368" t="s">
        <v>733</v>
      </c>
      <c r="BL368" s="11"/>
      <c r="BM368" s="11"/>
      <c r="BN368" s="11">
        <v>240</v>
      </c>
      <c r="BO368">
        <v>0</v>
      </c>
      <c r="BP368" t="s">
        <v>691</v>
      </c>
      <c r="BQ368" t="s">
        <v>693</v>
      </c>
      <c r="BR368" t="s">
        <v>700</v>
      </c>
      <c r="BS368" t="s">
        <v>704</v>
      </c>
      <c r="BT368" t="s">
        <v>705</v>
      </c>
      <c r="BU368" t="s">
        <v>706</v>
      </c>
      <c r="CT368"/>
      <c r="CU368"/>
      <c r="CV368"/>
    </row>
    <row r="369" spans="1:100" x14ac:dyDescent="0.4">
      <c r="A369" s="2" t="s">
        <v>394</v>
      </c>
      <c r="B369" t="str">
        <f>_xlfn.TEXTAFTER(Table1[[#This Row],[VEHIDCODE]],"_")</f>
        <v>Chile_EFE_E_28</v>
      </c>
      <c r="C369" t="s">
        <v>740</v>
      </c>
      <c r="D369" t="s">
        <v>960</v>
      </c>
      <c r="E369">
        <v>6006</v>
      </c>
      <c r="F369" t="b">
        <f>OR(ISNUMBER(SEARCH("wagon_",Table1[[#This Row],[FILENAMES_EXPECTED]])),ISNUMBER(SEARCH("coach_",Table1[[#This Row],[FILENAMES_EXPECTED]])))</f>
        <v>0</v>
      </c>
      <c r="G369" t="str">
        <f>"item_"&amp;Table1[[#This Row],[VEHIDCODE]]</f>
        <v>item_electric_Chile_EFE_E_28</v>
      </c>
      <c r="H369" t="str">
        <f>"str_"&amp;Table1[[#This Row],[VEHIDCODE]]</f>
        <v>str_electric_Chile_EFE_E_28</v>
      </c>
      <c r="AD369" t="b">
        <v>1</v>
      </c>
      <c r="AL369" s="2"/>
      <c r="AM369" s="2" t="b">
        <f>LEN(_xlfn.CONCAT(Table1[[#This Row],[TRACK_TYPE_STANDARD_GAUGE_RAILTYPE_OHLE]:[TRACK_TYPE_MTRO]]))&gt;0</f>
        <v>1</v>
      </c>
      <c r="AN369">
        <v>8</v>
      </c>
      <c r="AO369" t="s">
        <v>20</v>
      </c>
      <c r="AP369">
        <v>0</v>
      </c>
      <c r="AQ369" t="s">
        <v>74</v>
      </c>
      <c r="AR369">
        <v>0</v>
      </c>
      <c r="AS369">
        <v>1922</v>
      </c>
      <c r="AT369">
        <v>8</v>
      </c>
      <c r="AU369" s="2" t="s">
        <v>20</v>
      </c>
      <c r="AV369" t="b">
        <v>1</v>
      </c>
      <c r="AX369" s="2"/>
      <c r="AY369">
        <v>45</v>
      </c>
      <c r="AZ369">
        <v>1</v>
      </c>
      <c r="BA369">
        <v>2250</v>
      </c>
      <c r="BB369" t="s">
        <v>708</v>
      </c>
      <c r="BC369">
        <v>110</v>
      </c>
      <c r="BD369" s="2">
        <v>0.19</v>
      </c>
      <c r="BE369" t="s">
        <v>929</v>
      </c>
      <c r="BF369" t="s">
        <v>921</v>
      </c>
      <c r="BG369" t="s">
        <v>939</v>
      </c>
      <c r="BH369" s="7">
        <v>40</v>
      </c>
      <c r="BI36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369">
        <v>-3</v>
      </c>
      <c r="BK369" t="s">
        <v>733</v>
      </c>
      <c r="BL369" s="11"/>
      <c r="BM369" s="11"/>
      <c r="BN369" s="11">
        <v>115</v>
      </c>
      <c r="BO369">
        <v>0</v>
      </c>
      <c r="BP369" t="s">
        <v>691</v>
      </c>
      <c r="BQ369" t="s">
        <v>693</v>
      </c>
      <c r="BR369" t="s">
        <v>700</v>
      </c>
      <c r="BS369" t="s">
        <v>704</v>
      </c>
      <c r="BT369" t="s">
        <v>705</v>
      </c>
      <c r="BU369" t="s">
        <v>706</v>
      </c>
      <c r="CT369"/>
      <c r="CU369"/>
      <c r="CV369"/>
    </row>
    <row r="370" spans="1:100" x14ac:dyDescent="0.4">
      <c r="A370" s="2" t="s">
        <v>395</v>
      </c>
      <c r="B370" t="str">
        <f>_xlfn.TEXTAFTER(Table1[[#This Row],[VEHIDCODE]],"_")</f>
        <v>Italy_FS_E428</v>
      </c>
      <c r="C370" t="s">
        <v>740</v>
      </c>
      <c r="D370" t="s">
        <v>960</v>
      </c>
      <c r="E370">
        <v>6013</v>
      </c>
      <c r="F370" t="b">
        <f>OR(ISNUMBER(SEARCH("wagon_",Table1[[#This Row],[FILENAMES_EXPECTED]])),ISNUMBER(SEARCH("coach_",Table1[[#This Row],[FILENAMES_EXPECTED]])))</f>
        <v>0</v>
      </c>
      <c r="G370" t="str">
        <f>"item_"&amp;Table1[[#This Row],[VEHIDCODE]]</f>
        <v>item_electric_Italy_FS_E428</v>
      </c>
      <c r="H370" t="str">
        <f>"str_"&amp;Table1[[#This Row],[VEHIDCODE]]</f>
        <v>str_electric_Italy_FS_E428</v>
      </c>
      <c r="L370" t="b">
        <v>1</v>
      </c>
      <c r="AL370" s="2"/>
      <c r="AM370" s="2" t="b">
        <f>LEN(_xlfn.CONCAT(Table1[[#This Row],[TRACK_TYPE_STANDARD_GAUGE_RAILTYPE_OHLE]:[TRACK_TYPE_MTRO]]))&gt;0</f>
        <v>1</v>
      </c>
      <c r="AN370">
        <v>8</v>
      </c>
      <c r="AO370" t="s">
        <v>20</v>
      </c>
      <c r="AP370">
        <v>0</v>
      </c>
      <c r="AQ370" t="s">
        <v>74</v>
      </c>
      <c r="AR370">
        <v>0</v>
      </c>
      <c r="AS370">
        <v>1934</v>
      </c>
      <c r="AT370">
        <v>8</v>
      </c>
      <c r="AU370" s="2" t="s">
        <v>20</v>
      </c>
      <c r="AV370" t="b">
        <v>1</v>
      </c>
      <c r="AX370" s="2"/>
      <c r="AY370">
        <v>45</v>
      </c>
      <c r="AZ370">
        <v>1</v>
      </c>
      <c r="BA370">
        <v>3750</v>
      </c>
      <c r="BB370" t="s">
        <v>708</v>
      </c>
      <c r="BC370">
        <v>130</v>
      </c>
      <c r="BD370" s="2">
        <v>0.1</v>
      </c>
      <c r="BE370" t="s">
        <v>923</v>
      </c>
      <c r="BF370" t="s">
        <v>921</v>
      </c>
      <c r="BG370" t="s">
        <v>939</v>
      </c>
      <c r="BH370" s="7">
        <v>40</v>
      </c>
      <c r="BI37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370">
        <v>-3</v>
      </c>
      <c r="BK370" t="s">
        <v>733</v>
      </c>
      <c r="BL370" s="11"/>
      <c r="BM370" s="11"/>
      <c r="BN370" s="11">
        <v>135</v>
      </c>
      <c r="BO370">
        <v>0</v>
      </c>
      <c r="BP370" t="s">
        <v>691</v>
      </c>
      <c r="BQ370" t="s">
        <v>693</v>
      </c>
      <c r="BR370" t="s">
        <v>700</v>
      </c>
      <c r="BS370" t="s">
        <v>704</v>
      </c>
      <c r="BT370" t="s">
        <v>705</v>
      </c>
      <c r="BU370" t="s">
        <v>706</v>
      </c>
      <c r="CT370"/>
      <c r="CU370"/>
      <c r="CV370"/>
    </row>
    <row r="371" spans="1:100" x14ac:dyDescent="0.4">
      <c r="A371" s="2" t="s">
        <v>396</v>
      </c>
      <c r="B371" t="str">
        <f>_xlfn.TEXTAFTER(Table1[[#This Row],[VEHIDCODE]],"_")</f>
        <v>South_Africa_SAR_ES_Class</v>
      </c>
      <c r="C371" t="s">
        <v>740</v>
      </c>
      <c r="D371" t="s">
        <v>960</v>
      </c>
      <c r="E371">
        <v>6016</v>
      </c>
      <c r="F371" t="b">
        <f>OR(ISNUMBER(SEARCH("wagon_",Table1[[#This Row],[FILENAMES_EXPECTED]])),ISNUMBER(SEARCH("coach_",Table1[[#This Row],[FILENAMES_EXPECTED]])))</f>
        <v>0</v>
      </c>
      <c r="G371" t="str">
        <f>"item_"&amp;Table1[[#This Row],[VEHIDCODE]]</f>
        <v>item_electric_South_Africa_SAR_ES_Class</v>
      </c>
      <c r="H371" t="str">
        <f>"str_"&amp;Table1[[#This Row],[VEHIDCODE]]</f>
        <v>str_electric_South_Africa_SAR_ES_Class</v>
      </c>
      <c r="U371" t="b">
        <v>1</v>
      </c>
      <c r="AL371" s="2"/>
      <c r="AM371" s="2" t="b">
        <f>LEN(_xlfn.CONCAT(Table1[[#This Row],[TRACK_TYPE_STANDARD_GAUGE_RAILTYPE_OHLE]:[TRACK_TYPE_MTRO]]))&gt;0</f>
        <v>1</v>
      </c>
      <c r="AN371">
        <v>8</v>
      </c>
      <c r="AO371" t="s">
        <v>20</v>
      </c>
      <c r="AP371">
        <v>0</v>
      </c>
      <c r="AQ371" t="s">
        <v>74</v>
      </c>
      <c r="AR371">
        <v>0</v>
      </c>
      <c r="AS371">
        <v>1936</v>
      </c>
      <c r="AT371">
        <v>8</v>
      </c>
      <c r="AU371" s="2" t="s">
        <v>20</v>
      </c>
      <c r="AV371" t="b">
        <v>1</v>
      </c>
      <c r="AX371" s="2"/>
      <c r="AY371">
        <v>45</v>
      </c>
      <c r="AZ371">
        <v>1</v>
      </c>
      <c r="BA371">
        <v>1200</v>
      </c>
      <c r="BB371" t="s">
        <v>708</v>
      </c>
      <c r="BC371">
        <v>40</v>
      </c>
      <c r="BD371" s="2">
        <v>0.26</v>
      </c>
      <c r="BE371" t="s">
        <v>925</v>
      </c>
      <c r="BF371" t="s">
        <v>921</v>
      </c>
      <c r="BG371" t="s">
        <v>939</v>
      </c>
      <c r="BH371" s="7">
        <v>40</v>
      </c>
      <c r="BI37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371">
        <v>-3</v>
      </c>
      <c r="BK371" t="s">
        <v>733</v>
      </c>
      <c r="BL371" s="11"/>
      <c r="BM371" s="11"/>
      <c r="BN371" s="11">
        <v>68</v>
      </c>
      <c r="BO371">
        <v>0</v>
      </c>
      <c r="BP371" t="s">
        <v>691</v>
      </c>
      <c r="BQ371" t="s">
        <v>693</v>
      </c>
      <c r="BR371" t="s">
        <v>700</v>
      </c>
      <c r="BS371" t="s">
        <v>704</v>
      </c>
      <c r="BT371" t="s">
        <v>705</v>
      </c>
      <c r="BU371" t="s">
        <v>706</v>
      </c>
      <c r="CT371"/>
      <c r="CU371"/>
      <c r="CV371"/>
    </row>
    <row r="372" spans="1:100" x14ac:dyDescent="0.4">
      <c r="A372" s="2" t="s">
        <v>397</v>
      </c>
      <c r="B372" t="str">
        <f>_xlfn.TEXTAFTER(Table1[[#This Row],[VEHIDCODE]],"_")</f>
        <v>Poland_PKP_EU06</v>
      </c>
      <c r="C372" t="s">
        <v>740</v>
      </c>
      <c r="D372" t="s">
        <v>960</v>
      </c>
      <c r="E372">
        <v>6084</v>
      </c>
      <c r="F372" t="b">
        <f>OR(ISNUMBER(SEARCH("wagon_",Table1[[#This Row],[FILENAMES_EXPECTED]])),ISNUMBER(SEARCH("coach_",Table1[[#This Row],[FILENAMES_EXPECTED]])))</f>
        <v>0</v>
      </c>
      <c r="G372" t="str">
        <f>"item_"&amp;Table1[[#This Row],[VEHIDCODE]]</f>
        <v>item_electric_Poland_PKP_EU06</v>
      </c>
      <c r="H372" t="str">
        <f>"str_"&amp;Table1[[#This Row],[VEHIDCODE]]</f>
        <v>str_electric_Poland_PKP_EU06</v>
      </c>
      <c r="L372" t="b">
        <v>1</v>
      </c>
      <c r="AL372" s="2"/>
      <c r="AM372" s="2" t="b">
        <f>LEN(_xlfn.CONCAT(Table1[[#This Row],[TRACK_TYPE_STANDARD_GAUGE_RAILTYPE_OHLE]:[TRACK_TYPE_MTRO]]))&gt;0</f>
        <v>1</v>
      </c>
      <c r="AN372">
        <v>7</v>
      </c>
      <c r="AO372" t="s">
        <v>20</v>
      </c>
      <c r="AP372">
        <v>0</v>
      </c>
      <c r="AQ372" t="s">
        <v>74</v>
      </c>
      <c r="AR372">
        <v>0</v>
      </c>
      <c r="AS372">
        <v>1962</v>
      </c>
      <c r="AT372">
        <v>7</v>
      </c>
      <c r="AU372" s="2" t="s">
        <v>20</v>
      </c>
      <c r="AV372" t="b">
        <v>1</v>
      </c>
      <c r="AX372" s="2"/>
      <c r="AY372">
        <v>45</v>
      </c>
      <c r="AZ372">
        <v>1</v>
      </c>
      <c r="BA372">
        <v>1500</v>
      </c>
      <c r="BB372" t="s">
        <v>708</v>
      </c>
      <c r="BC372">
        <v>126</v>
      </c>
      <c r="BD372" s="2">
        <v>0.35</v>
      </c>
      <c r="BE372" t="s">
        <v>928</v>
      </c>
      <c r="BF372" t="s">
        <v>921</v>
      </c>
      <c r="BG372" t="s">
        <v>939</v>
      </c>
      <c r="BH372" s="7">
        <v>40</v>
      </c>
      <c r="BI37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372">
        <v>0</v>
      </c>
      <c r="BK372" t="s">
        <v>733</v>
      </c>
      <c r="BL372" s="11"/>
      <c r="BM372" s="11"/>
      <c r="BN372" s="11">
        <v>81</v>
      </c>
      <c r="BO372">
        <v>0</v>
      </c>
      <c r="BP372" t="s">
        <v>691</v>
      </c>
      <c r="BQ372" t="s">
        <v>693</v>
      </c>
      <c r="BR372" t="s">
        <v>700</v>
      </c>
      <c r="BS372" t="s">
        <v>704</v>
      </c>
      <c r="BT372" t="s">
        <v>705</v>
      </c>
      <c r="BU372" t="s">
        <v>706</v>
      </c>
      <c r="CT372"/>
      <c r="CU372"/>
      <c r="CV372"/>
    </row>
    <row r="373" spans="1:100" x14ac:dyDescent="0.4">
      <c r="A373" s="2" t="s">
        <v>398</v>
      </c>
      <c r="B373" t="str">
        <f>_xlfn.TEXTAFTER(Table1[[#This Row],[VEHIDCODE]],"_")</f>
        <v>Poland_PKP_ET41</v>
      </c>
      <c r="C373" t="s">
        <v>740</v>
      </c>
      <c r="D373" t="s">
        <v>960</v>
      </c>
      <c r="E373">
        <v>6037</v>
      </c>
      <c r="F373" t="b">
        <f>OR(ISNUMBER(SEARCH("wagon_",Table1[[#This Row],[FILENAMES_EXPECTED]])),ISNUMBER(SEARCH("coach_",Table1[[#This Row],[FILENAMES_EXPECTED]])))</f>
        <v>0</v>
      </c>
      <c r="G373" t="str">
        <f>"item_"&amp;Table1[[#This Row],[VEHIDCODE]]</f>
        <v>item_electric_Poland_PKP_ET41</v>
      </c>
      <c r="H373" t="str">
        <f>"str_"&amp;Table1[[#This Row],[VEHIDCODE]]</f>
        <v>str_electric_Poland_PKP_ET41</v>
      </c>
      <c r="L373" t="b">
        <v>1</v>
      </c>
      <c r="AL373" s="2"/>
      <c r="AM373" s="2" t="b">
        <f>LEN(_xlfn.CONCAT(Table1[[#This Row],[TRACK_TYPE_STANDARD_GAUGE_RAILTYPE_OHLE]:[TRACK_TYPE_MTRO]]))&gt;0</f>
        <v>1</v>
      </c>
      <c r="AN373">
        <v>14</v>
      </c>
      <c r="AO373" t="s">
        <v>20</v>
      </c>
      <c r="AP373">
        <v>0</v>
      </c>
      <c r="AQ373" t="s">
        <v>74</v>
      </c>
      <c r="AR373">
        <v>0</v>
      </c>
      <c r="AS373">
        <v>1977</v>
      </c>
      <c r="AT373">
        <v>7</v>
      </c>
      <c r="AU373" s="2" t="s">
        <v>20</v>
      </c>
      <c r="AV373" t="b">
        <v>1</v>
      </c>
      <c r="AX373" s="2"/>
      <c r="AY373">
        <v>45</v>
      </c>
      <c r="AZ373">
        <v>0</v>
      </c>
      <c r="BA373">
        <v>5400</v>
      </c>
      <c r="BB373" t="s">
        <v>708</v>
      </c>
      <c r="BC373">
        <v>125</v>
      </c>
      <c r="BD373" s="2">
        <v>0.6</v>
      </c>
      <c r="BE373" t="s">
        <v>928</v>
      </c>
      <c r="BF373" t="s">
        <v>921</v>
      </c>
      <c r="BG373" t="s">
        <v>939</v>
      </c>
      <c r="BH373" s="7">
        <v>40</v>
      </c>
      <c r="BI37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373">
        <v>0</v>
      </c>
      <c r="BK373" t="s">
        <v>733</v>
      </c>
      <c r="BL373" s="11"/>
      <c r="BM373" s="11"/>
      <c r="BN373" s="11">
        <v>167</v>
      </c>
      <c r="BO373">
        <v>0</v>
      </c>
      <c r="BP373" t="s">
        <v>691</v>
      </c>
      <c r="BQ373" t="s">
        <v>693</v>
      </c>
      <c r="BR373" t="s">
        <v>700</v>
      </c>
      <c r="BS373" t="s">
        <v>704</v>
      </c>
      <c r="BT373" t="s">
        <v>705</v>
      </c>
      <c r="BU373" t="s">
        <v>706</v>
      </c>
      <c r="CT373"/>
      <c r="CU373"/>
      <c r="CV373"/>
    </row>
    <row r="374" spans="1:100" x14ac:dyDescent="0.4">
      <c r="A374" s="2" t="s">
        <v>399</v>
      </c>
      <c r="B374" t="str">
        <f>_xlfn.TEXTAFTER(Table1[[#This Row],[VEHIDCODE]],"_")</f>
        <v>Poland_PKP_EP09</v>
      </c>
      <c r="C374" t="s">
        <v>740</v>
      </c>
      <c r="D374" t="s">
        <v>960</v>
      </c>
      <c r="E374">
        <v>6114</v>
      </c>
      <c r="F374" t="b">
        <f>OR(ISNUMBER(SEARCH("wagon_",Table1[[#This Row],[FILENAMES_EXPECTED]])),ISNUMBER(SEARCH("coach_",Table1[[#This Row],[FILENAMES_EXPECTED]])))</f>
        <v>0</v>
      </c>
      <c r="G374" t="str">
        <f>"item_"&amp;Table1[[#This Row],[VEHIDCODE]]</f>
        <v>item_electric_Poland_PKP_EP09</v>
      </c>
      <c r="H374" t="str">
        <f>"str_"&amp;Table1[[#This Row],[VEHIDCODE]]</f>
        <v>str_electric_Poland_PKP_EP09</v>
      </c>
      <c r="L374" t="b">
        <v>1</v>
      </c>
      <c r="AL374" s="2"/>
      <c r="AM374" s="2" t="b">
        <f>LEN(_xlfn.CONCAT(Table1[[#This Row],[TRACK_TYPE_STANDARD_GAUGE_RAILTYPE_OHLE]:[TRACK_TYPE_MTRO]]))&gt;0</f>
        <v>1</v>
      </c>
      <c r="AN374">
        <v>7</v>
      </c>
      <c r="AO374" t="s">
        <v>20</v>
      </c>
      <c r="AP374">
        <v>0</v>
      </c>
      <c r="AQ374" t="s">
        <v>74</v>
      </c>
      <c r="AR374">
        <v>0</v>
      </c>
      <c r="AS374">
        <v>1986</v>
      </c>
      <c r="AT374">
        <v>7</v>
      </c>
      <c r="AU374" s="2" t="s">
        <v>20</v>
      </c>
      <c r="AV374" t="b">
        <v>1</v>
      </c>
      <c r="AX374" s="2"/>
      <c r="AY374">
        <v>45</v>
      </c>
      <c r="AZ374">
        <v>1</v>
      </c>
      <c r="BA374">
        <v>4452</v>
      </c>
      <c r="BB374" t="s">
        <v>708</v>
      </c>
      <c r="BC374">
        <v>160</v>
      </c>
      <c r="BD374" s="2">
        <v>0.23</v>
      </c>
      <c r="BE374" t="s">
        <v>928</v>
      </c>
      <c r="BF374" t="s">
        <v>921</v>
      </c>
      <c r="BG374" t="s">
        <v>939</v>
      </c>
      <c r="BH374" s="7">
        <v>40</v>
      </c>
      <c r="BI37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374">
        <v>0</v>
      </c>
      <c r="BK374" t="s">
        <v>733</v>
      </c>
      <c r="BL374" s="11"/>
      <c r="BM374" s="11"/>
      <c r="BN374" s="11">
        <v>84</v>
      </c>
      <c r="BO374">
        <v>0</v>
      </c>
      <c r="BP374" t="s">
        <v>691</v>
      </c>
      <c r="BQ374" t="s">
        <v>693</v>
      </c>
      <c r="BR374" t="s">
        <v>700</v>
      </c>
      <c r="BS374" t="s">
        <v>704</v>
      </c>
      <c r="BT374" t="s">
        <v>705</v>
      </c>
      <c r="BU374" t="s">
        <v>706</v>
      </c>
      <c r="CT374"/>
      <c r="CU374"/>
      <c r="CV374"/>
    </row>
    <row r="375" spans="1:100" x14ac:dyDescent="0.4">
      <c r="A375" s="2" t="s">
        <v>400</v>
      </c>
      <c r="B375" t="str">
        <f>_xlfn.TEXTAFTER(Table1[[#This Row],[VEHIDCODE]],"_")</f>
        <v>Slovakia_ZSSK_162</v>
      </c>
      <c r="C375" t="s">
        <v>740</v>
      </c>
      <c r="D375" t="s">
        <v>960</v>
      </c>
      <c r="E375">
        <v>6116</v>
      </c>
      <c r="F375" t="b">
        <f>OR(ISNUMBER(SEARCH("wagon_",Table1[[#This Row],[FILENAMES_EXPECTED]])),ISNUMBER(SEARCH("coach_",Table1[[#This Row],[FILENAMES_EXPECTED]])))</f>
        <v>0</v>
      </c>
      <c r="G375" t="str">
        <f>"item_"&amp;Table1[[#This Row],[VEHIDCODE]]</f>
        <v>item_electric_Slovakia_ZSSK_162</v>
      </c>
      <c r="H375" t="str">
        <f>"str_"&amp;Table1[[#This Row],[VEHIDCODE]]</f>
        <v>str_electric_Slovakia_ZSSK_162</v>
      </c>
      <c r="L375" t="b">
        <v>1</v>
      </c>
      <c r="AL375" s="2"/>
      <c r="AM375" s="2" t="b">
        <f>LEN(_xlfn.CONCAT(Table1[[#This Row],[TRACK_TYPE_STANDARD_GAUGE_RAILTYPE_OHLE]:[TRACK_TYPE_MTRO]]))&gt;0</f>
        <v>1</v>
      </c>
      <c r="AN375">
        <v>7</v>
      </c>
      <c r="AO375" t="s">
        <v>20</v>
      </c>
      <c r="AP375">
        <v>0</v>
      </c>
      <c r="AQ375" t="s">
        <v>74</v>
      </c>
      <c r="AR375">
        <v>0</v>
      </c>
      <c r="AS375">
        <v>1991</v>
      </c>
      <c r="AT375">
        <v>7</v>
      </c>
      <c r="AU375" s="2" t="s">
        <v>20</v>
      </c>
      <c r="AV375" t="b">
        <v>1</v>
      </c>
      <c r="AX375" s="2"/>
      <c r="AY375">
        <v>45</v>
      </c>
      <c r="AZ375">
        <v>1</v>
      </c>
      <c r="BA375">
        <v>4872</v>
      </c>
      <c r="BB375" t="s">
        <v>708</v>
      </c>
      <c r="BC375">
        <v>140</v>
      </c>
      <c r="BD375" s="2">
        <v>0.3</v>
      </c>
      <c r="BE375" t="s">
        <v>928</v>
      </c>
      <c r="BF375" t="s">
        <v>921</v>
      </c>
      <c r="BG375" t="s">
        <v>939</v>
      </c>
      <c r="BH375" s="7">
        <v>40</v>
      </c>
      <c r="BI37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375">
        <v>0</v>
      </c>
      <c r="BK375" t="s">
        <v>733</v>
      </c>
      <c r="BL375" s="11"/>
      <c r="BM375" s="11"/>
      <c r="BN375" s="11">
        <v>85</v>
      </c>
      <c r="BO375">
        <v>0</v>
      </c>
      <c r="BP375" t="s">
        <v>691</v>
      </c>
      <c r="BQ375" t="s">
        <v>693</v>
      </c>
      <c r="BR375" t="s">
        <v>700</v>
      </c>
      <c r="BS375" t="s">
        <v>704</v>
      </c>
      <c r="BT375" t="s">
        <v>705</v>
      </c>
      <c r="BU375" t="s">
        <v>706</v>
      </c>
      <c r="CT375"/>
      <c r="CU375"/>
      <c r="CV375"/>
    </row>
    <row r="376" spans="1:100" x14ac:dyDescent="0.4">
      <c r="A376" s="2" t="s">
        <v>401</v>
      </c>
      <c r="B376" t="str">
        <f>_xlfn.TEXTAFTER(Table1[[#This Row],[VEHIDCODE]],"_")</f>
        <v>Italy_FS_E646</v>
      </c>
      <c r="C376" t="s">
        <v>740</v>
      </c>
      <c r="D376" t="s">
        <v>960</v>
      </c>
      <c r="E376">
        <v>6027</v>
      </c>
      <c r="F376" t="b">
        <f>OR(ISNUMBER(SEARCH("wagon_",Table1[[#This Row],[FILENAMES_EXPECTED]])),ISNUMBER(SEARCH("coach_",Table1[[#This Row],[FILENAMES_EXPECTED]])))</f>
        <v>0</v>
      </c>
      <c r="G376" t="str">
        <f>"item_"&amp;Table1[[#This Row],[VEHIDCODE]]</f>
        <v>item_electric_Italy_FS_E646</v>
      </c>
      <c r="H376" t="str">
        <f>"str_"&amp;Table1[[#This Row],[VEHIDCODE]]</f>
        <v>str_electric_Italy_FS_E646</v>
      </c>
      <c r="L376" t="b">
        <v>1</v>
      </c>
      <c r="AL376" s="2"/>
      <c r="AM376" s="2" t="b">
        <f>LEN(_xlfn.CONCAT(Table1[[#This Row],[TRACK_TYPE_STANDARD_GAUGE_RAILTYPE_OHLE]:[TRACK_TYPE_MTRO]]))&gt;0</f>
        <v>1</v>
      </c>
      <c r="AN376">
        <v>10</v>
      </c>
      <c r="AO376" t="s">
        <v>20</v>
      </c>
      <c r="AP376">
        <v>0</v>
      </c>
      <c r="AQ376" t="s">
        <v>74</v>
      </c>
      <c r="AR376">
        <v>0</v>
      </c>
      <c r="AS376">
        <v>1961</v>
      </c>
      <c r="AT376">
        <v>5</v>
      </c>
      <c r="AU376" s="2" t="s">
        <v>20</v>
      </c>
      <c r="AV376" t="b">
        <v>1</v>
      </c>
      <c r="AX376" s="2"/>
      <c r="AY376">
        <v>45</v>
      </c>
      <c r="AZ376">
        <v>1</v>
      </c>
      <c r="BA376">
        <v>6610</v>
      </c>
      <c r="BB376" t="s">
        <v>708</v>
      </c>
      <c r="BC376">
        <v>140</v>
      </c>
      <c r="BD376" s="2">
        <v>0.21</v>
      </c>
      <c r="BE376" t="s">
        <v>923</v>
      </c>
      <c r="BF376" t="s">
        <v>921</v>
      </c>
      <c r="BG376" t="s">
        <v>939</v>
      </c>
      <c r="BH376" s="7">
        <v>40</v>
      </c>
      <c r="BI37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376">
        <v>0</v>
      </c>
      <c r="BK376" t="s">
        <v>733</v>
      </c>
      <c r="BL376" s="11"/>
      <c r="BM376" s="11"/>
      <c r="BN376" s="11">
        <v>110</v>
      </c>
      <c r="BO376">
        <v>0</v>
      </c>
      <c r="BP376" t="s">
        <v>691</v>
      </c>
      <c r="BQ376" t="s">
        <v>693</v>
      </c>
      <c r="BR376" t="s">
        <v>700</v>
      </c>
      <c r="BS376" t="s">
        <v>704</v>
      </c>
      <c r="BT376" t="s">
        <v>705</v>
      </c>
      <c r="BU376" t="s">
        <v>706</v>
      </c>
      <c r="CT376"/>
      <c r="CU376"/>
      <c r="CV376"/>
    </row>
    <row r="377" spans="1:100" x14ac:dyDescent="0.4">
      <c r="A377" s="2" t="s">
        <v>402</v>
      </c>
      <c r="B377" t="str">
        <f>_xlfn.TEXTAFTER(Table1[[#This Row],[VEHIDCODE]],"_")</f>
        <v>Italy_FS_E424</v>
      </c>
      <c r="C377" t="s">
        <v>740</v>
      </c>
      <c r="D377" t="s">
        <v>960</v>
      </c>
      <c r="E377">
        <v>6077</v>
      </c>
      <c r="F377" t="b">
        <f>OR(ISNUMBER(SEARCH("wagon_",Table1[[#This Row],[FILENAMES_EXPECTED]])),ISNUMBER(SEARCH("coach_",Table1[[#This Row],[FILENAMES_EXPECTED]])))</f>
        <v>0</v>
      </c>
      <c r="G377" t="str">
        <f>"item_"&amp;Table1[[#This Row],[VEHIDCODE]]</f>
        <v>item_electric_Italy_FS_E424</v>
      </c>
      <c r="H377" t="str">
        <f>"str_"&amp;Table1[[#This Row],[VEHIDCODE]]</f>
        <v>str_electric_Italy_FS_E424</v>
      </c>
      <c r="L377" t="b">
        <v>1</v>
      </c>
      <c r="AL377" s="2"/>
      <c r="AM377" s="2" t="b">
        <f>LEN(_xlfn.CONCAT(Table1[[#This Row],[TRACK_TYPE_STANDARD_GAUGE_RAILTYPE_OHLE]:[TRACK_TYPE_MTRO]]))&gt;0</f>
        <v>1</v>
      </c>
      <c r="AN377">
        <v>8</v>
      </c>
      <c r="AO377" t="s">
        <v>20</v>
      </c>
      <c r="AP377">
        <v>0</v>
      </c>
      <c r="AQ377" t="s">
        <v>74</v>
      </c>
      <c r="AR377">
        <v>0</v>
      </c>
      <c r="AS377">
        <v>1943</v>
      </c>
      <c r="AT377">
        <v>8</v>
      </c>
      <c r="AU377" s="2" t="s">
        <v>20</v>
      </c>
      <c r="AV377" t="b">
        <v>1</v>
      </c>
      <c r="AX377" s="2"/>
      <c r="AY377">
        <v>45</v>
      </c>
      <c r="AZ377">
        <v>1</v>
      </c>
      <c r="BA377">
        <v>2000</v>
      </c>
      <c r="BB377" t="s">
        <v>708</v>
      </c>
      <c r="BC377">
        <v>120</v>
      </c>
      <c r="BD377" s="2">
        <v>0.26</v>
      </c>
      <c r="BE377" t="s">
        <v>923</v>
      </c>
      <c r="BF377" t="s">
        <v>921</v>
      </c>
      <c r="BG377" t="s">
        <v>939</v>
      </c>
      <c r="BH377" s="7">
        <v>40</v>
      </c>
      <c r="BI37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377">
        <v>0</v>
      </c>
      <c r="BK377" t="s">
        <v>733</v>
      </c>
      <c r="BL377" s="11"/>
      <c r="BM377" s="11"/>
      <c r="BN377" s="11">
        <v>65</v>
      </c>
      <c r="BO377">
        <v>0</v>
      </c>
      <c r="BP377" t="s">
        <v>691</v>
      </c>
      <c r="BQ377" t="s">
        <v>693</v>
      </c>
      <c r="BR377" t="s">
        <v>700</v>
      </c>
      <c r="BS377" t="s">
        <v>704</v>
      </c>
      <c r="BT377" t="s">
        <v>705</v>
      </c>
      <c r="BU377" t="s">
        <v>706</v>
      </c>
      <c r="CT377"/>
      <c r="CU377"/>
      <c r="CV377"/>
    </row>
    <row r="378" spans="1:100" x14ac:dyDescent="0.4">
      <c r="A378" s="2" t="s">
        <v>403</v>
      </c>
      <c r="B378" t="str">
        <f>_xlfn.TEXTAFTER(Table1[[#This Row],[VEHIDCODE]],"_")</f>
        <v>Italy_FS_E444</v>
      </c>
      <c r="C378" t="s">
        <v>740</v>
      </c>
      <c r="D378" t="s">
        <v>960</v>
      </c>
      <c r="E378">
        <v>6090</v>
      </c>
      <c r="F378" t="b">
        <f>OR(ISNUMBER(SEARCH("wagon_",Table1[[#This Row],[FILENAMES_EXPECTED]])),ISNUMBER(SEARCH("coach_",Table1[[#This Row],[FILENAMES_EXPECTED]])))</f>
        <v>0</v>
      </c>
      <c r="G378" t="str">
        <f>"item_"&amp;Table1[[#This Row],[VEHIDCODE]]</f>
        <v>item_electric_Italy_FS_E444</v>
      </c>
      <c r="H378" t="str">
        <f>"str_"&amp;Table1[[#This Row],[VEHIDCODE]]</f>
        <v>str_electric_Italy_FS_E444</v>
      </c>
      <c r="L378" t="b">
        <v>1</v>
      </c>
      <c r="AL378" s="2"/>
      <c r="AM378" s="2" t="b">
        <f>LEN(_xlfn.CONCAT(Table1[[#This Row],[TRACK_TYPE_STANDARD_GAUGE_RAILTYPE_OHLE]:[TRACK_TYPE_MTRO]]))&gt;0</f>
        <v>1</v>
      </c>
      <c r="AN378">
        <v>8</v>
      </c>
      <c r="AO378" t="s">
        <v>20</v>
      </c>
      <c r="AP378">
        <v>0</v>
      </c>
      <c r="AQ378" t="s">
        <v>74</v>
      </c>
      <c r="AR378">
        <v>0</v>
      </c>
      <c r="AS378">
        <v>1967</v>
      </c>
      <c r="AT378">
        <v>8</v>
      </c>
      <c r="AU378" s="2" t="s">
        <v>20</v>
      </c>
      <c r="AV378" t="b">
        <v>1</v>
      </c>
      <c r="AX378" s="2"/>
      <c r="AY378">
        <v>45</v>
      </c>
      <c r="AZ378">
        <v>1</v>
      </c>
      <c r="BA378">
        <v>5729</v>
      </c>
      <c r="BB378" t="s">
        <v>708</v>
      </c>
      <c r="BC378">
        <v>200</v>
      </c>
      <c r="BD378" s="2">
        <v>0.24</v>
      </c>
      <c r="BE378" t="s">
        <v>923</v>
      </c>
      <c r="BF378" t="s">
        <v>921</v>
      </c>
      <c r="BG378" t="s">
        <v>939</v>
      </c>
      <c r="BH378" s="7">
        <v>40</v>
      </c>
      <c r="BI37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378">
        <v>0</v>
      </c>
      <c r="BK378" t="s">
        <v>733</v>
      </c>
      <c r="BL378" s="11"/>
      <c r="BM378" s="11"/>
      <c r="BN378" s="11">
        <v>83</v>
      </c>
      <c r="BO378">
        <v>0</v>
      </c>
      <c r="BP378" t="s">
        <v>691</v>
      </c>
      <c r="BQ378" t="s">
        <v>693</v>
      </c>
      <c r="BR378" t="s">
        <v>700</v>
      </c>
      <c r="BS378" t="s">
        <v>704</v>
      </c>
      <c r="BT378" t="s">
        <v>705</v>
      </c>
      <c r="BU378" t="s">
        <v>706</v>
      </c>
      <c r="CT378"/>
      <c r="CU378"/>
      <c r="CV378"/>
    </row>
    <row r="379" spans="1:100" x14ac:dyDescent="0.4">
      <c r="A379" s="2" t="s">
        <v>404</v>
      </c>
      <c r="B379" t="str">
        <f>_xlfn.TEXTAFTER(Table1[[#This Row],[VEHIDCODE]],"_")</f>
        <v>Italy_FS_E633</v>
      </c>
      <c r="C379" t="s">
        <v>740</v>
      </c>
      <c r="D379" t="s">
        <v>960</v>
      </c>
      <c r="E379">
        <v>6106</v>
      </c>
      <c r="F379" t="b">
        <f>OR(ISNUMBER(SEARCH("wagon_",Table1[[#This Row],[FILENAMES_EXPECTED]])),ISNUMBER(SEARCH("coach_",Table1[[#This Row],[FILENAMES_EXPECTED]])))</f>
        <v>0</v>
      </c>
      <c r="G379" t="str">
        <f>"item_"&amp;Table1[[#This Row],[VEHIDCODE]]</f>
        <v>item_electric_Italy_FS_E633</v>
      </c>
      <c r="H379" t="str">
        <f>"str_"&amp;Table1[[#This Row],[VEHIDCODE]]</f>
        <v>str_electric_Italy_FS_E633</v>
      </c>
      <c r="L379" t="b">
        <v>1</v>
      </c>
      <c r="AL379" s="2"/>
      <c r="AM379" s="2" t="b">
        <f>LEN(_xlfn.CONCAT(Table1[[#This Row],[TRACK_TYPE_STANDARD_GAUGE_RAILTYPE_OHLE]:[TRACK_TYPE_MTRO]]))&gt;0</f>
        <v>1</v>
      </c>
      <c r="AN379">
        <v>8</v>
      </c>
      <c r="AO379" t="s">
        <v>20</v>
      </c>
      <c r="AP379">
        <v>0</v>
      </c>
      <c r="AQ379" t="s">
        <v>74</v>
      </c>
      <c r="AR379">
        <v>0</v>
      </c>
      <c r="AS379">
        <v>1979</v>
      </c>
      <c r="AT379">
        <v>8</v>
      </c>
      <c r="AU379" s="2" t="s">
        <v>20</v>
      </c>
      <c r="AV379" t="b">
        <v>1</v>
      </c>
      <c r="AX379" s="2"/>
      <c r="AY379">
        <v>45</v>
      </c>
      <c r="AZ379">
        <v>1</v>
      </c>
      <c r="BA379">
        <v>5600</v>
      </c>
      <c r="BB379" t="s">
        <v>708</v>
      </c>
      <c r="BC379">
        <v>130</v>
      </c>
      <c r="BD379" s="2">
        <v>0.27</v>
      </c>
      <c r="BE379" t="s">
        <v>923</v>
      </c>
      <c r="BF379" t="s">
        <v>921</v>
      </c>
      <c r="BG379" t="s">
        <v>939</v>
      </c>
      <c r="BH379" s="7">
        <v>40</v>
      </c>
      <c r="BI37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379">
        <v>0</v>
      </c>
      <c r="BK379" t="s">
        <v>733</v>
      </c>
      <c r="BL379" s="11"/>
      <c r="BM379" s="11"/>
      <c r="BN379" s="11">
        <v>103</v>
      </c>
      <c r="BO379">
        <v>0</v>
      </c>
      <c r="BP379" t="s">
        <v>691</v>
      </c>
      <c r="BQ379" t="s">
        <v>693</v>
      </c>
      <c r="BR379" t="s">
        <v>700</v>
      </c>
      <c r="BS379" t="s">
        <v>704</v>
      </c>
      <c r="BT379" t="s">
        <v>705</v>
      </c>
      <c r="BU379" t="s">
        <v>706</v>
      </c>
      <c r="CT379"/>
      <c r="CU379"/>
      <c r="CV379"/>
    </row>
    <row r="380" spans="1:100" x14ac:dyDescent="0.4">
      <c r="A380" s="2" t="s">
        <v>405</v>
      </c>
      <c r="B380" t="str">
        <f>_xlfn.TEXTAFTER(Table1[[#This Row],[VEHIDCODE]],"_")</f>
        <v>Belgium_NMBS_Class_255</v>
      </c>
      <c r="C380" t="s">
        <v>740</v>
      </c>
      <c r="D380" t="s">
        <v>960</v>
      </c>
      <c r="E380">
        <v>6082</v>
      </c>
      <c r="F380" t="b">
        <f>OR(ISNUMBER(SEARCH("wagon_",Table1[[#This Row],[FILENAMES_EXPECTED]])),ISNUMBER(SEARCH("coach_",Table1[[#This Row],[FILENAMES_EXPECTED]])))</f>
        <v>0</v>
      </c>
      <c r="G380" t="str">
        <f>"item_"&amp;Table1[[#This Row],[VEHIDCODE]]</f>
        <v>item_electric_Belgium_NMBS_Class_255</v>
      </c>
      <c r="H380" t="str">
        <f>"str_"&amp;Table1[[#This Row],[VEHIDCODE]]</f>
        <v>str_electric_Belgium_NMBS_Class_255</v>
      </c>
      <c r="L380" t="b">
        <v>1</v>
      </c>
      <c r="AL380" s="2"/>
      <c r="AM380" s="2" t="b">
        <f>LEN(_xlfn.CONCAT(Table1[[#This Row],[TRACK_TYPE_STANDARD_GAUGE_RAILTYPE_OHLE]:[TRACK_TYPE_MTRO]]))&gt;0</f>
        <v>1</v>
      </c>
      <c r="AN380">
        <v>8</v>
      </c>
      <c r="AO380" t="s">
        <v>20</v>
      </c>
      <c r="AP380">
        <v>0</v>
      </c>
      <c r="AQ380" t="s">
        <v>74</v>
      </c>
      <c r="AR380">
        <v>0</v>
      </c>
      <c r="AS380">
        <v>1960</v>
      </c>
      <c r="AT380">
        <v>8</v>
      </c>
      <c r="AU380" s="2" t="s">
        <v>20</v>
      </c>
      <c r="AV380" t="b">
        <v>1</v>
      </c>
      <c r="AX380" s="2"/>
      <c r="AY380">
        <v>45</v>
      </c>
      <c r="AZ380">
        <v>1</v>
      </c>
      <c r="BA380">
        <v>2520</v>
      </c>
      <c r="BB380" t="s">
        <v>708</v>
      </c>
      <c r="BC380">
        <v>130</v>
      </c>
      <c r="BD380" s="2">
        <v>0.23</v>
      </c>
      <c r="BE380" t="s">
        <v>922</v>
      </c>
      <c r="BF380" t="s">
        <v>921</v>
      </c>
      <c r="BG380" t="s">
        <v>939</v>
      </c>
      <c r="BH380" s="7">
        <v>40</v>
      </c>
      <c r="BI38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380">
        <v>0</v>
      </c>
      <c r="BK380" t="s">
        <v>733</v>
      </c>
      <c r="BL380" s="11"/>
      <c r="BM380" s="11"/>
      <c r="BN380" s="11">
        <v>85</v>
      </c>
      <c r="BO380">
        <v>0</v>
      </c>
      <c r="BP380" t="s">
        <v>691</v>
      </c>
      <c r="BQ380" t="s">
        <v>693</v>
      </c>
      <c r="BR380" t="s">
        <v>700</v>
      </c>
      <c r="BS380" t="s">
        <v>704</v>
      </c>
      <c r="BT380" t="s">
        <v>705</v>
      </c>
      <c r="BU380" t="s">
        <v>706</v>
      </c>
      <c r="CT380"/>
      <c r="CU380"/>
      <c r="CV380"/>
    </row>
    <row r="381" spans="1:100" x14ac:dyDescent="0.4">
      <c r="A381" s="2" t="s">
        <v>406</v>
      </c>
      <c r="B381" t="str">
        <f>_xlfn.TEXTAFTER(Table1[[#This Row],[VEHIDCODE]],"_")</f>
        <v>Spain_RENFE_250</v>
      </c>
      <c r="C381" t="s">
        <v>740</v>
      </c>
      <c r="D381" t="s">
        <v>960</v>
      </c>
      <c r="E381">
        <v>6110</v>
      </c>
      <c r="F381" t="b">
        <f>OR(ISNUMBER(SEARCH("wagon_",Table1[[#This Row],[FILENAMES_EXPECTED]])),ISNUMBER(SEARCH("coach_",Table1[[#This Row],[FILENAMES_EXPECTED]])))</f>
        <v>0</v>
      </c>
      <c r="G381" t="str">
        <f>"item_"&amp;Table1[[#This Row],[VEHIDCODE]]</f>
        <v>item_electric_Spain_RENFE_250</v>
      </c>
      <c r="H381" t="str">
        <f>"str_"&amp;Table1[[#This Row],[VEHIDCODE]]</f>
        <v>str_electric_Spain_RENFE_250</v>
      </c>
      <c r="AD381" t="b">
        <v>1</v>
      </c>
      <c r="AL381" s="2"/>
      <c r="AM381" s="2" t="b">
        <f>LEN(_xlfn.CONCAT(Table1[[#This Row],[TRACK_TYPE_STANDARD_GAUGE_RAILTYPE_OHLE]:[TRACK_TYPE_MTRO]]))&gt;0</f>
        <v>1</v>
      </c>
      <c r="AN381">
        <v>8</v>
      </c>
      <c r="AO381" t="s">
        <v>20</v>
      </c>
      <c r="AP381">
        <v>0</v>
      </c>
      <c r="AQ381" t="s">
        <v>74</v>
      </c>
      <c r="AR381">
        <v>0</v>
      </c>
      <c r="AS381">
        <v>1982</v>
      </c>
      <c r="AT381">
        <v>8</v>
      </c>
      <c r="AU381" s="2" t="s">
        <v>20</v>
      </c>
      <c r="AV381" t="b">
        <v>1</v>
      </c>
      <c r="AX381" s="2"/>
      <c r="AY381">
        <v>45</v>
      </c>
      <c r="AZ381">
        <v>1</v>
      </c>
      <c r="BA381">
        <v>6440</v>
      </c>
      <c r="BB381" t="s">
        <v>708</v>
      </c>
      <c r="BC381">
        <v>160</v>
      </c>
      <c r="BD381" s="2">
        <v>0.16</v>
      </c>
      <c r="BE381" t="s">
        <v>923</v>
      </c>
      <c r="BF381" t="s">
        <v>921</v>
      </c>
      <c r="BG381" t="s">
        <v>939</v>
      </c>
      <c r="BH381" s="7">
        <v>40</v>
      </c>
      <c r="BI38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381">
        <v>0</v>
      </c>
      <c r="BK381" t="s">
        <v>733</v>
      </c>
      <c r="BL381" s="11"/>
      <c r="BM381" s="11"/>
      <c r="BN381" s="11">
        <v>124</v>
      </c>
      <c r="BO381">
        <v>0</v>
      </c>
      <c r="BP381" t="s">
        <v>691</v>
      </c>
      <c r="BQ381" t="s">
        <v>693</v>
      </c>
      <c r="BR381" t="s">
        <v>700</v>
      </c>
      <c r="BS381" t="s">
        <v>704</v>
      </c>
      <c r="BT381" t="s">
        <v>705</v>
      </c>
      <c r="BU381" t="s">
        <v>706</v>
      </c>
      <c r="CT381"/>
      <c r="CU381"/>
      <c r="CV381"/>
    </row>
    <row r="382" spans="1:100" x14ac:dyDescent="0.4">
      <c r="A382" s="2" t="s">
        <v>407</v>
      </c>
      <c r="B382" t="str">
        <f>_xlfn.TEXTAFTER(Table1[[#This Row],[VEHIDCODE]],"_")</f>
        <v>Chile_EFE_E_29</v>
      </c>
      <c r="C382" t="s">
        <v>740</v>
      </c>
      <c r="D382" t="s">
        <v>960</v>
      </c>
      <c r="E382">
        <v>6100</v>
      </c>
      <c r="F382" t="b">
        <f>OR(ISNUMBER(SEARCH("wagon_",Table1[[#This Row],[FILENAMES_EXPECTED]])),ISNUMBER(SEARCH("coach_",Table1[[#This Row],[FILENAMES_EXPECTED]])))</f>
        <v>0</v>
      </c>
      <c r="G382" t="str">
        <f>"item_"&amp;Table1[[#This Row],[VEHIDCODE]]</f>
        <v>item_electric_Chile_EFE_E_29</v>
      </c>
      <c r="H382" t="str">
        <f>"str_"&amp;Table1[[#This Row],[VEHIDCODE]]</f>
        <v>str_electric_Chile_EFE_E_29</v>
      </c>
      <c r="AD382" t="b">
        <v>1</v>
      </c>
      <c r="AL382" s="2"/>
      <c r="AM382" s="2" t="b">
        <f>LEN(_xlfn.CONCAT(Table1[[#This Row],[TRACK_TYPE_STANDARD_GAUGE_RAILTYPE_OHLE]:[TRACK_TYPE_MTRO]]))&gt;0</f>
        <v>1</v>
      </c>
      <c r="AN382">
        <v>2</v>
      </c>
      <c r="AO382" t="s">
        <v>20</v>
      </c>
      <c r="AP382">
        <v>0</v>
      </c>
      <c r="AQ382" t="s">
        <v>74</v>
      </c>
      <c r="AR382">
        <v>0</v>
      </c>
      <c r="AS382">
        <v>1949</v>
      </c>
      <c r="AT382">
        <v>8</v>
      </c>
      <c r="AU382" s="2" t="s">
        <v>20</v>
      </c>
      <c r="AV382" t="b">
        <v>1</v>
      </c>
      <c r="AX382" s="2"/>
      <c r="AY382">
        <v>45</v>
      </c>
      <c r="AZ382">
        <v>1</v>
      </c>
      <c r="BA382">
        <v>4500</v>
      </c>
      <c r="BB382" t="s">
        <v>708</v>
      </c>
      <c r="BC382">
        <v>120</v>
      </c>
      <c r="BD382" s="2">
        <v>0.2</v>
      </c>
      <c r="BE382" t="s">
        <v>929</v>
      </c>
      <c r="BF382" t="s">
        <v>921</v>
      </c>
      <c r="BG382" t="s">
        <v>939</v>
      </c>
      <c r="BH382" s="7">
        <v>40</v>
      </c>
      <c r="BI38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382">
        <v>0</v>
      </c>
      <c r="BK382" t="s">
        <v>733</v>
      </c>
      <c r="BL382" s="11"/>
      <c r="BM382" s="11"/>
      <c r="BN382" s="11">
        <v>210</v>
      </c>
      <c r="BO382">
        <v>0</v>
      </c>
      <c r="BP382" t="s">
        <v>691</v>
      </c>
      <c r="BQ382" t="s">
        <v>693</v>
      </c>
      <c r="BR382" t="s">
        <v>700</v>
      </c>
      <c r="BS382" t="s">
        <v>704</v>
      </c>
      <c r="BT382" t="s">
        <v>705</v>
      </c>
      <c r="BU382" t="s">
        <v>706</v>
      </c>
      <c r="CT382"/>
      <c r="CU382"/>
      <c r="CV382"/>
    </row>
    <row r="383" spans="1:100" x14ac:dyDescent="0.4">
      <c r="A383" s="2" t="s">
        <v>408</v>
      </c>
      <c r="B383" t="str">
        <f>_xlfn.TEXTAFTER(Table1[[#This Row],[VEHIDCODE]],"_")</f>
        <v>Chile_EFE_E_17</v>
      </c>
      <c r="C383" t="s">
        <v>740</v>
      </c>
      <c r="D383" t="s">
        <v>960</v>
      </c>
      <c r="E383">
        <v>6126</v>
      </c>
      <c r="F383" t="b">
        <f>OR(ISNUMBER(SEARCH("wagon_",Table1[[#This Row],[FILENAMES_EXPECTED]])),ISNUMBER(SEARCH("coach_",Table1[[#This Row],[FILENAMES_EXPECTED]])))</f>
        <v>0</v>
      </c>
      <c r="G383" t="str">
        <f>"item_"&amp;Table1[[#This Row],[VEHIDCODE]]</f>
        <v>item_electric_Chile_EFE_E_17</v>
      </c>
      <c r="H383" t="str">
        <f>"str_"&amp;Table1[[#This Row],[VEHIDCODE]]</f>
        <v>str_electric_Chile_EFE_E_17</v>
      </c>
      <c r="AD383" t="b">
        <v>1</v>
      </c>
      <c r="AL383" s="2"/>
      <c r="AM383" s="2" t="b">
        <f>LEN(_xlfn.CONCAT(Table1[[#This Row],[TRACK_TYPE_STANDARD_GAUGE_RAILTYPE_OHLE]:[TRACK_TYPE_MTRO]]))&gt;0</f>
        <v>1</v>
      </c>
      <c r="AN383">
        <v>6</v>
      </c>
      <c r="AO383" t="s">
        <v>20</v>
      </c>
      <c r="AP383">
        <v>0</v>
      </c>
      <c r="AQ383" t="s">
        <v>74</v>
      </c>
      <c r="AR383">
        <v>0</v>
      </c>
      <c r="AS383">
        <v>1974</v>
      </c>
      <c r="AT383">
        <v>6</v>
      </c>
      <c r="AU383" s="2" t="s">
        <v>24</v>
      </c>
      <c r="AV383" t="b">
        <v>1</v>
      </c>
      <c r="AX383" s="2"/>
      <c r="AY383">
        <v>45</v>
      </c>
      <c r="AZ383">
        <v>1</v>
      </c>
      <c r="BA383">
        <v>1640</v>
      </c>
      <c r="BB383" t="s">
        <v>708</v>
      </c>
      <c r="BC383">
        <v>90</v>
      </c>
      <c r="BD383" s="2">
        <v>0.24</v>
      </c>
      <c r="BE383" t="s">
        <v>929</v>
      </c>
      <c r="BF383" t="s">
        <v>921</v>
      </c>
      <c r="BG383" t="s">
        <v>939</v>
      </c>
      <c r="BH383" s="7">
        <v>40</v>
      </c>
      <c r="BI38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383">
        <v>0</v>
      </c>
      <c r="BK383" t="s">
        <v>733</v>
      </c>
      <c r="BL383" s="11"/>
      <c r="BM383" s="11"/>
      <c r="BN383" s="11">
        <v>79</v>
      </c>
      <c r="BO383">
        <v>0</v>
      </c>
      <c r="BP383" t="s">
        <v>691</v>
      </c>
      <c r="BQ383" t="s">
        <v>693</v>
      </c>
      <c r="BR383" t="s">
        <v>700</v>
      </c>
      <c r="BS383" t="s">
        <v>704</v>
      </c>
      <c r="BT383" t="s">
        <v>705</v>
      </c>
      <c r="BU383" t="s">
        <v>706</v>
      </c>
      <c r="CT383"/>
      <c r="CU383"/>
      <c r="CV383"/>
    </row>
    <row r="384" spans="1:100" x14ac:dyDescent="0.4">
      <c r="A384" s="2" t="s">
        <v>409</v>
      </c>
      <c r="B384" t="str">
        <f>_xlfn.TEXTAFTER(Table1[[#This Row],[VEHIDCODE]],"_")</f>
        <v>Morocco_ONCF_E_700</v>
      </c>
      <c r="C384" t="s">
        <v>740</v>
      </c>
      <c r="D384" t="s">
        <v>960</v>
      </c>
      <c r="E384">
        <v>6099</v>
      </c>
      <c r="F384" t="b">
        <f>OR(ISNUMBER(SEARCH("wagon_",Table1[[#This Row],[FILENAMES_EXPECTED]])),ISNUMBER(SEARCH("coach_",Table1[[#This Row],[FILENAMES_EXPECTED]])))</f>
        <v>0</v>
      </c>
      <c r="G384" t="str">
        <f>"item_"&amp;Table1[[#This Row],[VEHIDCODE]]</f>
        <v>item_electric_Morocco_ONCF_E_700</v>
      </c>
      <c r="H384" t="str">
        <f>"str_"&amp;Table1[[#This Row],[VEHIDCODE]]</f>
        <v>str_electric_Morocco_ONCF_E_700</v>
      </c>
      <c r="L384" t="b">
        <v>1</v>
      </c>
      <c r="AL384" s="2"/>
      <c r="AM384" s="2" t="b">
        <f>LEN(_xlfn.CONCAT(Table1[[#This Row],[TRACK_TYPE_STANDARD_GAUGE_RAILTYPE_OHLE]:[TRACK_TYPE_MTRO]]))&gt;0</f>
        <v>1</v>
      </c>
      <c r="AN384">
        <v>6</v>
      </c>
      <c r="AO384" t="s">
        <v>20</v>
      </c>
      <c r="AP384">
        <v>0</v>
      </c>
      <c r="AQ384" t="s">
        <v>74</v>
      </c>
      <c r="AR384">
        <v>0</v>
      </c>
      <c r="AS384">
        <v>1948</v>
      </c>
      <c r="AT384">
        <v>6</v>
      </c>
      <c r="AU384" s="2" t="s">
        <v>20</v>
      </c>
      <c r="AV384" t="b">
        <v>1</v>
      </c>
      <c r="AX384" s="2"/>
      <c r="AY384">
        <v>45</v>
      </c>
      <c r="AZ384">
        <v>1</v>
      </c>
      <c r="BA384">
        <v>1710</v>
      </c>
      <c r="BB384" t="s">
        <v>708</v>
      </c>
      <c r="BC384">
        <v>115</v>
      </c>
      <c r="BD384" s="2">
        <v>0.17</v>
      </c>
      <c r="BE384" t="s">
        <v>925</v>
      </c>
      <c r="BF384" t="s">
        <v>921</v>
      </c>
      <c r="BG384" t="s">
        <v>939</v>
      </c>
      <c r="BH384" s="7">
        <v>40</v>
      </c>
      <c r="BI38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384">
        <v>0</v>
      </c>
      <c r="BK384" t="s">
        <v>733</v>
      </c>
      <c r="BL384" s="11"/>
      <c r="BM384" s="11"/>
      <c r="BN384" s="11">
        <v>92</v>
      </c>
      <c r="BO384">
        <v>0</v>
      </c>
      <c r="BP384" t="s">
        <v>691</v>
      </c>
      <c r="BQ384" t="s">
        <v>693</v>
      </c>
      <c r="BR384" t="s">
        <v>700</v>
      </c>
      <c r="BS384" t="s">
        <v>704</v>
      </c>
      <c r="BT384" t="s">
        <v>705</v>
      </c>
      <c r="BU384" t="s">
        <v>706</v>
      </c>
      <c r="CT384"/>
      <c r="CU384"/>
      <c r="CV384"/>
    </row>
    <row r="385" spans="1:100" x14ac:dyDescent="0.4">
      <c r="A385" s="2" t="s">
        <v>410</v>
      </c>
      <c r="B385" t="str">
        <f>_xlfn.TEXTAFTER(Table1[[#This Row],[VEHIDCODE]],"_")</f>
        <v>India_Indian_Railways_WCM_1</v>
      </c>
      <c r="C385" t="s">
        <v>740</v>
      </c>
      <c r="D385" t="s">
        <v>960</v>
      </c>
      <c r="E385">
        <v>6026</v>
      </c>
      <c r="F385" t="b">
        <f>OR(ISNUMBER(SEARCH("wagon_",Table1[[#This Row],[FILENAMES_EXPECTED]])),ISNUMBER(SEARCH("coach_",Table1[[#This Row],[FILENAMES_EXPECTED]])))</f>
        <v>0</v>
      </c>
      <c r="G385" t="str">
        <f>"item_"&amp;Table1[[#This Row],[VEHIDCODE]]</f>
        <v>item_electric_India_Indian_Railways_WCM_1</v>
      </c>
      <c r="H385" t="str">
        <f>"str_"&amp;Table1[[#This Row],[VEHIDCODE]]</f>
        <v>str_electric_India_Indian_Railways_WCM_1</v>
      </c>
      <c r="AE385" t="b">
        <v>1</v>
      </c>
      <c r="AL385" s="2"/>
      <c r="AM385" s="2" t="b">
        <f>LEN(_xlfn.CONCAT(Table1[[#This Row],[TRACK_TYPE_STANDARD_GAUGE_RAILTYPE_OHLE]:[TRACK_TYPE_MTRO]]))&gt;0</f>
        <v>1</v>
      </c>
      <c r="AN385">
        <v>8</v>
      </c>
      <c r="AO385" t="s">
        <v>20</v>
      </c>
      <c r="AP385">
        <v>0</v>
      </c>
      <c r="AQ385" t="s">
        <v>74</v>
      </c>
      <c r="AR385">
        <v>0</v>
      </c>
      <c r="AS385">
        <v>1958</v>
      </c>
      <c r="AT385">
        <v>8</v>
      </c>
      <c r="AU385" s="2" t="s">
        <v>20</v>
      </c>
      <c r="AV385" t="b">
        <v>1</v>
      </c>
      <c r="AX385" s="2"/>
      <c r="AY385">
        <v>45</v>
      </c>
      <c r="AZ385">
        <v>1</v>
      </c>
      <c r="BA385">
        <v>3700</v>
      </c>
      <c r="BB385" t="s">
        <v>708</v>
      </c>
      <c r="BC385">
        <v>104</v>
      </c>
      <c r="BD385" s="2">
        <v>0.25</v>
      </c>
      <c r="BE385" t="s">
        <v>930</v>
      </c>
      <c r="BF385" t="s">
        <v>921</v>
      </c>
      <c r="BG385" t="s">
        <v>939</v>
      </c>
      <c r="BH385" s="7">
        <v>40</v>
      </c>
      <c r="BI38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385">
        <v>-3</v>
      </c>
      <c r="BK385" t="s">
        <v>733</v>
      </c>
      <c r="BL385" s="11"/>
      <c r="BM385" s="11"/>
      <c r="BN385" s="11">
        <v>124</v>
      </c>
      <c r="BO385">
        <v>0</v>
      </c>
      <c r="BP385" t="s">
        <v>691</v>
      </c>
      <c r="BQ385" t="s">
        <v>693</v>
      </c>
      <c r="BR385" t="s">
        <v>700</v>
      </c>
      <c r="BS385" t="s">
        <v>704</v>
      </c>
      <c r="BT385" t="s">
        <v>705</v>
      </c>
      <c r="BU385" t="s">
        <v>706</v>
      </c>
      <c r="CT385"/>
      <c r="CU385"/>
      <c r="CV385"/>
    </row>
    <row r="386" spans="1:100" x14ac:dyDescent="0.4">
      <c r="A386" s="2" t="s">
        <v>411</v>
      </c>
      <c r="B386" t="str">
        <f>_xlfn.TEXTAFTER(Table1[[#This Row],[VEHIDCODE]],"_")</f>
        <v>South_Africa_SAR_E38</v>
      </c>
      <c r="C386" t="s">
        <v>740</v>
      </c>
      <c r="D386" t="s">
        <v>960</v>
      </c>
      <c r="E386">
        <v>6131</v>
      </c>
      <c r="F386" t="b">
        <f>OR(ISNUMBER(SEARCH("wagon_",Table1[[#This Row],[FILENAMES_EXPECTED]])),ISNUMBER(SEARCH("coach_",Table1[[#This Row],[FILENAMES_EXPECTED]])))</f>
        <v>0</v>
      </c>
      <c r="G386" t="str">
        <f>"item_"&amp;Table1[[#This Row],[VEHIDCODE]]</f>
        <v>item_electric_South_Africa_SAR_E38</v>
      </c>
      <c r="H386" t="str">
        <f>"str_"&amp;Table1[[#This Row],[VEHIDCODE]]</f>
        <v>str_electric_South_Africa_SAR_E38</v>
      </c>
      <c r="U386" t="b">
        <v>1</v>
      </c>
      <c r="AL386" s="2"/>
      <c r="AM386" s="2" t="b">
        <f>LEN(_xlfn.CONCAT(Table1[[#This Row],[TRACK_TYPE_STANDARD_GAUGE_RAILTYPE_OHLE]:[TRACK_TYPE_MTRO]]))&gt;0</f>
        <v>1</v>
      </c>
      <c r="AN386">
        <v>6</v>
      </c>
      <c r="AO386" t="s">
        <v>20</v>
      </c>
      <c r="AP386">
        <v>0</v>
      </c>
      <c r="AQ386" t="s">
        <v>74</v>
      </c>
      <c r="AR386">
        <v>0</v>
      </c>
      <c r="AS386">
        <v>1992</v>
      </c>
      <c r="AT386">
        <v>6</v>
      </c>
      <c r="AU386" s="2" t="s">
        <v>24</v>
      </c>
      <c r="AV386" t="b">
        <v>1</v>
      </c>
      <c r="AX386" s="2"/>
      <c r="AY386">
        <v>45</v>
      </c>
      <c r="AZ386">
        <v>1</v>
      </c>
      <c r="BA386">
        <v>2028</v>
      </c>
      <c r="BB386" t="s">
        <v>708</v>
      </c>
      <c r="BC386">
        <v>100</v>
      </c>
      <c r="BD386" s="2">
        <v>0.24</v>
      </c>
      <c r="BE386" t="s">
        <v>925</v>
      </c>
      <c r="BF386" t="s">
        <v>921</v>
      </c>
      <c r="BG386" t="s">
        <v>939</v>
      </c>
      <c r="BH386" s="7">
        <v>40</v>
      </c>
      <c r="BI38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386">
        <v>0</v>
      </c>
      <c r="BK386" t="s">
        <v>733</v>
      </c>
      <c r="BL386" s="11"/>
      <c r="BM386" s="11"/>
      <c r="BN386" s="11">
        <v>74</v>
      </c>
      <c r="BO386">
        <v>0</v>
      </c>
      <c r="BP386" t="s">
        <v>691</v>
      </c>
      <c r="BQ386" t="s">
        <v>693</v>
      </c>
      <c r="BR386" t="s">
        <v>700</v>
      </c>
      <c r="BS386" t="s">
        <v>704</v>
      </c>
      <c r="BT386" t="s">
        <v>705</v>
      </c>
      <c r="BU386" t="s">
        <v>706</v>
      </c>
      <c r="CT386"/>
      <c r="CU386"/>
      <c r="CV386"/>
    </row>
    <row r="387" spans="1:100" x14ac:dyDescent="0.4">
      <c r="A387" s="2" t="s">
        <v>412</v>
      </c>
      <c r="B387" t="str">
        <f>_xlfn.TEXTAFTER(Table1[[#This Row],[VEHIDCODE]],"_")</f>
        <v>Chile_EFE_E_269</v>
      </c>
      <c r="C387" t="s">
        <v>740</v>
      </c>
      <c r="D387" t="s">
        <v>960</v>
      </c>
      <c r="E387">
        <v>6107</v>
      </c>
      <c r="F387" t="b">
        <f>OR(ISNUMBER(SEARCH("wagon_",Table1[[#This Row],[FILENAMES_EXPECTED]])),ISNUMBER(SEARCH("coach_",Table1[[#This Row],[FILENAMES_EXPECTED]])))</f>
        <v>0</v>
      </c>
      <c r="G387" t="str">
        <f>"item_"&amp;Table1[[#This Row],[VEHIDCODE]]</f>
        <v>item_electric_Chile_EFE_E_269</v>
      </c>
      <c r="H387" t="str">
        <f>"str_"&amp;Table1[[#This Row],[VEHIDCODE]]</f>
        <v>str_electric_Chile_EFE_E_269</v>
      </c>
      <c r="AD387" t="b">
        <v>1</v>
      </c>
      <c r="AL387" s="2"/>
      <c r="AM387" s="2" t="b">
        <f>LEN(_xlfn.CONCAT(Table1[[#This Row],[TRACK_TYPE_STANDARD_GAUGE_RAILTYPE_OHLE]:[TRACK_TYPE_MTRO]]))&gt;0</f>
        <v>1</v>
      </c>
      <c r="AN387">
        <v>7</v>
      </c>
      <c r="AO387" t="s">
        <v>20</v>
      </c>
      <c r="AP387">
        <v>0</v>
      </c>
      <c r="AQ387" t="s">
        <v>74</v>
      </c>
      <c r="AR387">
        <v>0</v>
      </c>
      <c r="AS387">
        <v>1980</v>
      </c>
      <c r="AT387">
        <v>7</v>
      </c>
      <c r="AU387" s="2" t="s">
        <v>20</v>
      </c>
      <c r="AV387" t="b">
        <v>1</v>
      </c>
      <c r="AX387" s="2"/>
      <c r="AY387">
        <v>45</v>
      </c>
      <c r="AZ387">
        <v>1</v>
      </c>
      <c r="BA387">
        <v>4340</v>
      </c>
      <c r="BB387" t="s">
        <v>708</v>
      </c>
      <c r="BC387">
        <v>160</v>
      </c>
      <c r="BD387" s="2">
        <v>0.16</v>
      </c>
      <c r="BE387" t="s">
        <v>929</v>
      </c>
      <c r="BF387" t="s">
        <v>921</v>
      </c>
      <c r="BG387" t="s">
        <v>939</v>
      </c>
      <c r="BH387" s="7">
        <v>40</v>
      </c>
      <c r="BI38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387">
        <v>0</v>
      </c>
      <c r="BK387" t="s">
        <v>733</v>
      </c>
      <c r="BL387" s="11"/>
      <c r="BM387" s="11"/>
      <c r="BN387" s="11">
        <v>88</v>
      </c>
      <c r="BO387">
        <v>0</v>
      </c>
      <c r="BP387" t="s">
        <v>691</v>
      </c>
      <c r="BQ387" t="s">
        <v>693</v>
      </c>
      <c r="BR387" t="s">
        <v>700</v>
      </c>
      <c r="BS387" t="s">
        <v>704</v>
      </c>
      <c r="BT387" t="s">
        <v>705</v>
      </c>
      <c r="BU387" t="s">
        <v>706</v>
      </c>
      <c r="CT387"/>
      <c r="CU387"/>
      <c r="CV387"/>
    </row>
    <row r="388" spans="1:100" x14ac:dyDescent="0.4">
      <c r="A388" s="2" t="s">
        <v>413</v>
      </c>
      <c r="B388" t="str">
        <f>_xlfn.TEXTAFTER(Table1[[#This Row],[VEHIDCODE]],"_")</f>
        <v>Czech_Republic_CD_363</v>
      </c>
      <c r="C388" t="s">
        <v>740</v>
      </c>
      <c r="D388" t="s">
        <v>960</v>
      </c>
      <c r="E388">
        <v>6108</v>
      </c>
      <c r="F388" t="b">
        <f>OR(ISNUMBER(SEARCH("wagon_",Table1[[#This Row],[FILENAMES_EXPECTED]])),ISNUMBER(SEARCH("coach_",Table1[[#This Row],[FILENAMES_EXPECTED]])))</f>
        <v>0</v>
      </c>
      <c r="G388" t="str">
        <f>"item_"&amp;Table1[[#This Row],[VEHIDCODE]]</f>
        <v>item_electric_Czech_Republic_CD_363</v>
      </c>
      <c r="H388" t="str">
        <f>"str_"&amp;Table1[[#This Row],[VEHIDCODE]]</f>
        <v>str_electric_Czech_Republic_CD_363</v>
      </c>
      <c r="L388" t="b">
        <v>1</v>
      </c>
      <c r="AL388" s="2"/>
      <c r="AM388" s="2" t="b">
        <f>LEN(_xlfn.CONCAT(Table1[[#This Row],[TRACK_TYPE_STANDARD_GAUGE_RAILTYPE_OHLE]:[TRACK_TYPE_MTRO]]))&gt;0</f>
        <v>1</v>
      </c>
      <c r="AN388">
        <v>7</v>
      </c>
      <c r="AO388" t="s">
        <v>20</v>
      </c>
      <c r="AP388">
        <v>0</v>
      </c>
      <c r="AQ388" t="s">
        <v>74</v>
      </c>
      <c r="AR388">
        <v>0</v>
      </c>
      <c r="AS388">
        <v>1980</v>
      </c>
      <c r="AT388">
        <v>7</v>
      </c>
      <c r="AU388" s="2" t="s">
        <v>20</v>
      </c>
      <c r="AV388" t="b">
        <v>1</v>
      </c>
      <c r="AX388" s="2"/>
      <c r="AY388">
        <v>45</v>
      </c>
      <c r="AZ388">
        <v>1</v>
      </c>
      <c r="BA388">
        <v>4667</v>
      </c>
      <c r="BB388" t="s">
        <v>708</v>
      </c>
      <c r="BC388">
        <v>120</v>
      </c>
      <c r="BD388" s="2">
        <v>0.3</v>
      </c>
      <c r="BE388" t="s">
        <v>928</v>
      </c>
      <c r="BF388" t="s">
        <v>921</v>
      </c>
      <c r="BG388" t="s">
        <v>939</v>
      </c>
      <c r="BH388" s="7">
        <v>40</v>
      </c>
      <c r="BI38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388">
        <v>0</v>
      </c>
      <c r="BK388" t="s">
        <v>733</v>
      </c>
      <c r="BL388" s="11"/>
      <c r="BM388" s="11"/>
      <c r="BN388" s="11">
        <v>87</v>
      </c>
      <c r="BO388">
        <v>0</v>
      </c>
      <c r="BP388" t="s">
        <v>691</v>
      </c>
      <c r="BQ388" t="s">
        <v>693</v>
      </c>
      <c r="BR388" t="s">
        <v>700</v>
      </c>
      <c r="BS388" t="s">
        <v>704</v>
      </c>
      <c r="BT388" t="s">
        <v>705</v>
      </c>
      <c r="BU388" t="s">
        <v>706</v>
      </c>
      <c r="CT388"/>
      <c r="CU388"/>
      <c r="CV388"/>
    </row>
    <row r="389" spans="1:100" x14ac:dyDescent="0.4">
      <c r="A389" s="2" t="s">
        <v>414</v>
      </c>
      <c r="B389" t="str">
        <f>_xlfn.TEXTAFTER(Table1[[#This Row],[VEHIDCODE]],"_")</f>
        <v>Norway_NSB_EL7</v>
      </c>
      <c r="C389" t="s">
        <v>740</v>
      </c>
      <c r="D389" t="s">
        <v>960</v>
      </c>
      <c r="E389">
        <v>6001</v>
      </c>
      <c r="F389" t="b">
        <f>OR(ISNUMBER(SEARCH("wagon_",Table1[[#This Row],[FILENAMES_EXPECTED]])),ISNUMBER(SEARCH("coach_",Table1[[#This Row],[FILENAMES_EXPECTED]])))</f>
        <v>0</v>
      </c>
      <c r="G389" t="str">
        <f>"item_"&amp;Table1[[#This Row],[VEHIDCODE]]</f>
        <v>item_electric_Norway_NSB_EL7</v>
      </c>
      <c r="H389" t="str">
        <f>"str_"&amp;Table1[[#This Row],[VEHIDCODE]]</f>
        <v>str_electric_Norway_NSB_EL7</v>
      </c>
      <c r="K389" t="b">
        <v>1</v>
      </c>
      <c r="AL389" s="2"/>
      <c r="AM389" s="2" t="b">
        <f>LEN(_xlfn.CONCAT(Table1[[#This Row],[TRACK_TYPE_STANDARD_GAUGE_RAILTYPE_OHLE]:[TRACK_TYPE_MTRO]]))&gt;0</f>
        <v>1</v>
      </c>
      <c r="AN389">
        <v>6</v>
      </c>
      <c r="AO389" t="s">
        <v>20</v>
      </c>
      <c r="AP389">
        <v>0</v>
      </c>
      <c r="AQ389" t="s">
        <v>74</v>
      </c>
      <c r="AR389">
        <v>0</v>
      </c>
      <c r="AS389">
        <v>1911</v>
      </c>
      <c r="AT389">
        <v>6</v>
      </c>
      <c r="AU389" s="2" t="s">
        <v>20</v>
      </c>
      <c r="AV389" t="b">
        <v>1</v>
      </c>
      <c r="AX389" s="2"/>
      <c r="AY389">
        <v>45</v>
      </c>
      <c r="AZ389">
        <v>0</v>
      </c>
      <c r="BA389">
        <v>490</v>
      </c>
      <c r="BB389" t="s">
        <v>708</v>
      </c>
      <c r="BC389">
        <v>45</v>
      </c>
      <c r="BD389" s="2">
        <v>0.22</v>
      </c>
      <c r="BE389" t="s">
        <v>926</v>
      </c>
      <c r="BF389" t="s">
        <v>921</v>
      </c>
      <c r="BG389" t="s">
        <v>939</v>
      </c>
      <c r="BH389" s="7">
        <v>40</v>
      </c>
      <c r="BI38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389">
        <v>-3</v>
      </c>
      <c r="BK389" t="s">
        <v>733</v>
      </c>
      <c r="BL389" s="11"/>
      <c r="BM389" s="11"/>
      <c r="BN389" s="11">
        <v>48</v>
      </c>
      <c r="BO389">
        <v>0</v>
      </c>
      <c r="BP389" t="s">
        <v>691</v>
      </c>
      <c r="BQ389" t="s">
        <v>693</v>
      </c>
      <c r="BR389" t="s">
        <v>700</v>
      </c>
      <c r="BS389" t="s">
        <v>704</v>
      </c>
      <c r="BT389" t="s">
        <v>705</v>
      </c>
      <c r="BU389" t="s">
        <v>706</v>
      </c>
      <c r="CT389"/>
      <c r="CU389"/>
      <c r="CV389"/>
    </row>
    <row r="390" spans="1:100" x14ac:dyDescent="0.4">
      <c r="A390" s="2" t="s">
        <v>415</v>
      </c>
      <c r="B390" t="str">
        <f>_xlfn.TEXTAFTER(Table1[[#This Row],[VEHIDCODE]],"_")</f>
        <v>USA_Pennsylvania_Railroad_FF_1</v>
      </c>
      <c r="C390" t="s">
        <v>740</v>
      </c>
      <c r="D390" t="s">
        <v>960</v>
      </c>
      <c r="E390">
        <v>6063</v>
      </c>
      <c r="F390" t="b">
        <f>OR(ISNUMBER(SEARCH("wagon_",Table1[[#This Row],[FILENAMES_EXPECTED]])),ISNUMBER(SEARCH("coach_",Table1[[#This Row],[FILENAMES_EXPECTED]])))</f>
        <v>0</v>
      </c>
      <c r="G390" t="str">
        <f>"item_"&amp;Table1[[#This Row],[VEHIDCODE]]</f>
        <v>item_electric_USA_Pennsylvania_Railroad_FF_1</v>
      </c>
      <c r="H390" t="str">
        <f>"str_"&amp;Table1[[#This Row],[VEHIDCODE]]</f>
        <v>str_electric_USA_Pennsylvania_Railroad_FF_1</v>
      </c>
      <c r="K390" t="b">
        <v>1</v>
      </c>
      <c r="AL390" s="2"/>
      <c r="AM390" s="2" t="b">
        <f>LEN(_xlfn.CONCAT(Table1[[#This Row],[TRACK_TYPE_STANDARD_GAUGE_RAILTYPE_OHLE]:[TRACK_TYPE_MTRO]]))&gt;0</f>
        <v>1</v>
      </c>
      <c r="AN390">
        <v>4</v>
      </c>
      <c r="AO390" t="s">
        <v>20</v>
      </c>
      <c r="AP390">
        <v>0</v>
      </c>
      <c r="AQ390" t="s">
        <v>74</v>
      </c>
      <c r="AR390">
        <v>0</v>
      </c>
      <c r="AS390">
        <v>1916</v>
      </c>
      <c r="AT390">
        <v>8</v>
      </c>
      <c r="AU390" s="2" t="s">
        <v>20</v>
      </c>
      <c r="AV390" t="b">
        <v>1</v>
      </c>
      <c r="AX390" s="2"/>
      <c r="AY390">
        <v>45</v>
      </c>
      <c r="AZ390">
        <v>1</v>
      </c>
      <c r="BA390">
        <v>4800</v>
      </c>
      <c r="BB390" t="s">
        <v>708</v>
      </c>
      <c r="BC390">
        <v>40</v>
      </c>
      <c r="BD390" s="2">
        <v>0.17</v>
      </c>
      <c r="BE390" t="s">
        <v>927</v>
      </c>
      <c r="BF390" t="s">
        <v>921</v>
      </c>
      <c r="BG390" t="s">
        <v>939</v>
      </c>
      <c r="BH390" s="7">
        <v>40</v>
      </c>
      <c r="BI39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390">
        <v>0</v>
      </c>
      <c r="BK390" t="s">
        <v>733</v>
      </c>
      <c r="BL390" s="11"/>
      <c r="BM390" s="11"/>
      <c r="BN390" s="11">
        <v>234</v>
      </c>
      <c r="BO390">
        <v>0</v>
      </c>
      <c r="BP390" t="s">
        <v>691</v>
      </c>
      <c r="BQ390" t="s">
        <v>693</v>
      </c>
      <c r="BR390" t="s">
        <v>700</v>
      </c>
      <c r="BS390" t="s">
        <v>704</v>
      </c>
      <c r="BT390" t="s">
        <v>705</v>
      </c>
      <c r="BU390" t="s">
        <v>706</v>
      </c>
      <c r="CT390"/>
      <c r="CU390"/>
      <c r="CV390"/>
    </row>
    <row r="391" spans="1:100" x14ac:dyDescent="0.4">
      <c r="A391" s="2" t="s">
        <v>416</v>
      </c>
      <c r="B391" t="str">
        <f>_xlfn.TEXTAFTER(Table1[[#This Row],[VEHIDCODE]],"_")</f>
        <v>Austria_OBB_1161</v>
      </c>
      <c r="C391" t="s">
        <v>740</v>
      </c>
      <c r="D391" t="s">
        <v>960</v>
      </c>
      <c r="E391">
        <v>6007</v>
      </c>
      <c r="F391" t="b">
        <f>OR(ISNUMBER(SEARCH("wagon_",Table1[[#This Row],[FILENAMES_EXPECTED]])),ISNUMBER(SEARCH("coach_",Table1[[#This Row],[FILENAMES_EXPECTED]])))</f>
        <v>0</v>
      </c>
      <c r="G391" t="str">
        <f>"item_"&amp;Table1[[#This Row],[VEHIDCODE]]</f>
        <v>item_electric_Austria_OBB_1161</v>
      </c>
      <c r="H391" t="str">
        <f>"str_"&amp;Table1[[#This Row],[VEHIDCODE]]</f>
        <v>str_electric_Austria_OBB_1161</v>
      </c>
      <c r="K391" t="b">
        <v>1</v>
      </c>
      <c r="AL391" s="2"/>
      <c r="AM391" s="2" t="b">
        <f>LEN(_xlfn.CONCAT(Table1[[#This Row],[TRACK_TYPE_STANDARD_GAUGE_RAILTYPE_OHLE]:[TRACK_TYPE_MTRO]]))&gt;0</f>
        <v>1</v>
      </c>
      <c r="AN391">
        <v>5</v>
      </c>
      <c r="AO391" t="s">
        <v>20</v>
      </c>
      <c r="AP391">
        <v>0</v>
      </c>
      <c r="AQ391" t="s">
        <v>74</v>
      </c>
      <c r="AR391">
        <v>0</v>
      </c>
      <c r="AS391">
        <v>1928</v>
      </c>
      <c r="AT391">
        <v>5</v>
      </c>
      <c r="AU391" s="2" t="s">
        <v>20</v>
      </c>
      <c r="AV391" t="b">
        <v>1</v>
      </c>
      <c r="AX391" s="2"/>
      <c r="AY391">
        <v>45</v>
      </c>
      <c r="AZ391">
        <v>1</v>
      </c>
      <c r="BA391">
        <v>1000</v>
      </c>
      <c r="BB391" t="s">
        <v>708</v>
      </c>
      <c r="BC391">
        <v>40</v>
      </c>
      <c r="BD391" s="2">
        <v>0.25</v>
      </c>
      <c r="BE391" t="s">
        <v>922</v>
      </c>
      <c r="BF391" t="s">
        <v>921</v>
      </c>
      <c r="BG391" t="s">
        <v>939</v>
      </c>
      <c r="BH391" s="7">
        <v>40</v>
      </c>
      <c r="BI39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391">
        <v>-3</v>
      </c>
      <c r="BK391" t="s">
        <v>733</v>
      </c>
      <c r="BL391" s="11"/>
      <c r="BM391" s="11"/>
      <c r="BN391" s="11">
        <v>55</v>
      </c>
      <c r="BO391">
        <v>0</v>
      </c>
      <c r="BP391" t="s">
        <v>691</v>
      </c>
      <c r="BQ391" t="s">
        <v>693</v>
      </c>
      <c r="BR391" t="s">
        <v>700</v>
      </c>
      <c r="BS391" t="s">
        <v>704</v>
      </c>
      <c r="BT391" t="s">
        <v>705</v>
      </c>
      <c r="BU391" t="s">
        <v>706</v>
      </c>
      <c r="CT391"/>
      <c r="CU391"/>
      <c r="CV391"/>
    </row>
    <row r="392" spans="1:100" x14ac:dyDescent="0.4">
      <c r="A392" s="2" t="s">
        <v>417</v>
      </c>
      <c r="B392" t="str">
        <f>_xlfn.TEXTAFTER(Table1[[#This Row],[VEHIDCODE]],"_")</f>
        <v>Germany_DB_169</v>
      </c>
      <c r="C392" t="s">
        <v>740</v>
      </c>
      <c r="D392" t="s">
        <v>960</v>
      </c>
      <c r="E392">
        <v>6009</v>
      </c>
      <c r="F392" t="b">
        <f>OR(ISNUMBER(SEARCH("wagon_",Table1[[#This Row],[FILENAMES_EXPECTED]])),ISNUMBER(SEARCH("coach_",Table1[[#This Row],[FILENAMES_EXPECTED]])))</f>
        <v>0</v>
      </c>
      <c r="G392" t="str">
        <f>"item_"&amp;Table1[[#This Row],[VEHIDCODE]]</f>
        <v>item_electric_Germany_DB_169</v>
      </c>
      <c r="H392" t="str">
        <f>"str_"&amp;Table1[[#This Row],[VEHIDCODE]]</f>
        <v>str_electric_Germany_DB_169</v>
      </c>
      <c r="K392" t="b">
        <v>1</v>
      </c>
      <c r="AL392" s="2"/>
      <c r="AM392" s="2" t="b">
        <f>LEN(_xlfn.CONCAT(Table1[[#This Row],[TRACK_TYPE_STANDARD_GAUGE_RAILTYPE_OHLE]:[TRACK_TYPE_MTRO]]))&gt;0</f>
        <v>1</v>
      </c>
      <c r="AN392">
        <v>6</v>
      </c>
      <c r="AO392" t="s">
        <v>20</v>
      </c>
      <c r="AP392">
        <v>0</v>
      </c>
      <c r="AQ392" t="s">
        <v>74</v>
      </c>
      <c r="AR392">
        <v>0</v>
      </c>
      <c r="AS392">
        <v>1930</v>
      </c>
      <c r="AT392">
        <v>6</v>
      </c>
      <c r="AU392" s="2" t="s">
        <v>20</v>
      </c>
      <c r="AV392" t="b">
        <v>1</v>
      </c>
      <c r="AX392" s="2"/>
      <c r="AY392">
        <v>45</v>
      </c>
      <c r="AZ392">
        <v>1</v>
      </c>
      <c r="BA392">
        <v>810</v>
      </c>
      <c r="BB392" t="s">
        <v>708</v>
      </c>
      <c r="BC392">
        <v>50</v>
      </c>
      <c r="BD392" s="2">
        <v>0.28999999999999998</v>
      </c>
      <c r="BE392" t="s">
        <v>922</v>
      </c>
      <c r="BF392" t="s">
        <v>921</v>
      </c>
      <c r="BG392" t="s">
        <v>939</v>
      </c>
      <c r="BH392" s="7">
        <v>40</v>
      </c>
      <c r="BI39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392">
        <v>-3</v>
      </c>
      <c r="BK392" t="s">
        <v>733</v>
      </c>
      <c r="BL392" s="11"/>
      <c r="BM392" s="11"/>
      <c r="BN392" s="11">
        <v>32</v>
      </c>
      <c r="BO392">
        <v>0</v>
      </c>
      <c r="BP392" t="s">
        <v>691</v>
      </c>
      <c r="BQ392" t="s">
        <v>693</v>
      </c>
      <c r="BR392" t="s">
        <v>700</v>
      </c>
      <c r="BS392" t="s">
        <v>704</v>
      </c>
      <c r="BT392" t="s">
        <v>705</v>
      </c>
      <c r="BU392" t="s">
        <v>706</v>
      </c>
      <c r="CT392"/>
      <c r="CU392"/>
      <c r="CV392"/>
    </row>
    <row r="393" spans="1:100" x14ac:dyDescent="0.4">
      <c r="A393" s="2" t="s">
        <v>418</v>
      </c>
      <c r="B393" t="str">
        <f>_xlfn.TEXTAFTER(Table1[[#This Row],[VEHIDCODE]],"_")</f>
        <v>Norway_NSB_EL10</v>
      </c>
      <c r="C393" t="s">
        <v>740</v>
      </c>
      <c r="D393" t="s">
        <v>960</v>
      </c>
      <c r="E393">
        <v>6011</v>
      </c>
      <c r="F393" t="b">
        <f>OR(ISNUMBER(SEARCH("wagon_",Table1[[#This Row],[FILENAMES_EXPECTED]])),ISNUMBER(SEARCH("coach_",Table1[[#This Row],[FILENAMES_EXPECTED]])))</f>
        <v>0</v>
      </c>
      <c r="G393" t="str">
        <f>"item_"&amp;Table1[[#This Row],[VEHIDCODE]]</f>
        <v>item_electric_Norway_NSB_EL10</v>
      </c>
      <c r="H393" t="str">
        <f>"str_"&amp;Table1[[#This Row],[VEHIDCODE]]</f>
        <v>str_electric_Norway_NSB_EL10</v>
      </c>
      <c r="K393" t="b">
        <v>1</v>
      </c>
      <c r="AL393" s="2"/>
      <c r="AM393" s="2" t="b">
        <f>LEN(_xlfn.CONCAT(Table1[[#This Row],[TRACK_TYPE_STANDARD_GAUGE_RAILTYPE_OHLE]:[TRACK_TYPE_MTRO]]))&gt;0</f>
        <v>1</v>
      </c>
      <c r="AN393">
        <v>6</v>
      </c>
      <c r="AO393" t="s">
        <v>20</v>
      </c>
      <c r="AP393">
        <v>0</v>
      </c>
      <c r="AQ393" t="s">
        <v>74</v>
      </c>
      <c r="AR393">
        <v>0</v>
      </c>
      <c r="AS393">
        <v>1931</v>
      </c>
      <c r="AT393">
        <v>6</v>
      </c>
      <c r="AU393" s="2" t="s">
        <v>20</v>
      </c>
      <c r="AV393" t="b">
        <v>1</v>
      </c>
      <c r="AX393" s="2"/>
      <c r="AY393">
        <v>45</v>
      </c>
      <c r="AZ393">
        <v>0</v>
      </c>
      <c r="BA393">
        <v>690</v>
      </c>
      <c r="BB393" t="s">
        <v>708</v>
      </c>
      <c r="BC393">
        <v>45</v>
      </c>
      <c r="BD393" s="2">
        <v>0.3</v>
      </c>
      <c r="BE393" t="s">
        <v>926</v>
      </c>
      <c r="BF393" t="s">
        <v>921</v>
      </c>
      <c r="BG393" t="s">
        <v>939</v>
      </c>
      <c r="BH393" s="7">
        <v>40</v>
      </c>
      <c r="BI39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393">
        <v>-3</v>
      </c>
      <c r="BK393" t="s">
        <v>733</v>
      </c>
      <c r="BL393" s="11"/>
      <c r="BM393" s="11"/>
      <c r="BN393" s="11">
        <v>47</v>
      </c>
      <c r="BO393">
        <v>0</v>
      </c>
      <c r="BP393" t="s">
        <v>691</v>
      </c>
      <c r="BQ393" t="s">
        <v>693</v>
      </c>
      <c r="BR393" t="s">
        <v>700</v>
      </c>
      <c r="BS393" t="s">
        <v>704</v>
      </c>
      <c r="BT393" t="s">
        <v>705</v>
      </c>
      <c r="BU393" t="s">
        <v>706</v>
      </c>
      <c r="CT393"/>
      <c r="CU393"/>
      <c r="CV393"/>
    </row>
    <row r="394" spans="1:100" x14ac:dyDescent="0.4">
      <c r="A394" s="2" t="s">
        <v>419</v>
      </c>
      <c r="B394" t="str">
        <f>_xlfn.TEXTAFTER(Table1[[#This Row],[VEHIDCODE]],"_")</f>
        <v>Germany_DB_104</v>
      </c>
      <c r="C394" t="s">
        <v>740</v>
      </c>
      <c r="D394" t="s">
        <v>960</v>
      </c>
      <c r="E394">
        <v>6012</v>
      </c>
      <c r="F394" t="b">
        <f>OR(ISNUMBER(SEARCH("wagon_",Table1[[#This Row],[FILENAMES_EXPECTED]])),ISNUMBER(SEARCH("coach_",Table1[[#This Row],[FILENAMES_EXPECTED]])))</f>
        <v>0</v>
      </c>
      <c r="G394" t="str">
        <f>"item_"&amp;Table1[[#This Row],[VEHIDCODE]]</f>
        <v>item_electric_Germany_DB_104</v>
      </c>
      <c r="H394" t="str">
        <f>"str_"&amp;Table1[[#This Row],[VEHIDCODE]]</f>
        <v>str_electric_Germany_DB_104</v>
      </c>
      <c r="K394" t="b">
        <v>1</v>
      </c>
      <c r="AL394" s="2"/>
      <c r="AM394" s="2" t="b">
        <f>LEN(_xlfn.CONCAT(Table1[[#This Row],[TRACK_TYPE_STANDARD_GAUGE_RAILTYPE_OHLE]:[TRACK_TYPE_MTRO]]))&gt;0</f>
        <v>1</v>
      </c>
      <c r="AN394">
        <v>8</v>
      </c>
      <c r="AO394" t="s">
        <v>20</v>
      </c>
      <c r="AP394">
        <v>0</v>
      </c>
      <c r="AQ394" t="s">
        <v>74</v>
      </c>
      <c r="AR394">
        <v>0</v>
      </c>
      <c r="AS394">
        <v>1933</v>
      </c>
      <c r="AT394">
        <v>8</v>
      </c>
      <c r="AU394" s="2" t="s">
        <v>20</v>
      </c>
      <c r="AV394" t="b">
        <v>1</v>
      </c>
      <c r="AX394" s="2"/>
      <c r="AY394">
        <v>45</v>
      </c>
      <c r="AZ394">
        <v>1</v>
      </c>
      <c r="BA394">
        <v>2935</v>
      </c>
      <c r="BB394" t="s">
        <v>708</v>
      </c>
      <c r="BC394">
        <v>110</v>
      </c>
      <c r="BD394" s="2">
        <v>0.3</v>
      </c>
      <c r="BE394" t="s">
        <v>922</v>
      </c>
      <c r="BF394" t="s">
        <v>921</v>
      </c>
      <c r="BG394" t="s">
        <v>939</v>
      </c>
      <c r="BH394" s="7">
        <v>40</v>
      </c>
      <c r="BI39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394">
        <v>-3</v>
      </c>
      <c r="BK394" t="s">
        <v>733</v>
      </c>
      <c r="BL394" s="11"/>
      <c r="BM394" s="11"/>
      <c r="BN394" s="11">
        <v>92</v>
      </c>
      <c r="BO394">
        <v>0</v>
      </c>
      <c r="BP394" t="s">
        <v>691</v>
      </c>
      <c r="BQ394" t="s">
        <v>693</v>
      </c>
      <c r="BR394" t="s">
        <v>700</v>
      </c>
      <c r="BS394" t="s">
        <v>704</v>
      </c>
      <c r="BT394" t="s">
        <v>705</v>
      </c>
      <c r="BU394" t="s">
        <v>706</v>
      </c>
      <c r="CT394"/>
      <c r="CU394"/>
      <c r="CV394"/>
    </row>
    <row r="395" spans="1:100" x14ac:dyDescent="0.4">
      <c r="A395" s="2" t="s">
        <v>420</v>
      </c>
      <c r="B395" t="str">
        <f>_xlfn.TEXTAFTER(Table1[[#This Row],[VEHIDCODE]],"_")</f>
        <v>USA_Pennsylvania_Railroad_GG_1</v>
      </c>
      <c r="C395" t="s">
        <v>740</v>
      </c>
      <c r="D395" t="s">
        <v>960</v>
      </c>
      <c r="E395">
        <v>6065</v>
      </c>
      <c r="F395" t="b">
        <f>OR(ISNUMBER(SEARCH("wagon_",Table1[[#This Row],[FILENAMES_EXPECTED]])),ISNUMBER(SEARCH("coach_",Table1[[#This Row],[FILENAMES_EXPECTED]])))</f>
        <v>0</v>
      </c>
      <c r="G395" t="str">
        <f>"item_"&amp;Table1[[#This Row],[VEHIDCODE]]</f>
        <v>item_electric_USA_Pennsylvania_Railroad_GG_1</v>
      </c>
      <c r="H395" t="str">
        <f>"str_"&amp;Table1[[#This Row],[VEHIDCODE]]</f>
        <v>str_electric_USA_Pennsylvania_Railroad_GG_1</v>
      </c>
      <c r="K395" t="b">
        <v>1</v>
      </c>
      <c r="AL395" s="2"/>
      <c r="AM395" s="2" t="b">
        <f>LEN(_xlfn.CONCAT(Table1[[#This Row],[TRACK_TYPE_STANDARD_GAUGE_RAILTYPE_OHLE]:[TRACK_TYPE_MTRO]]))&gt;0</f>
        <v>1</v>
      </c>
      <c r="AN395">
        <v>4</v>
      </c>
      <c r="AO395" t="s">
        <v>20</v>
      </c>
      <c r="AP395">
        <v>0</v>
      </c>
      <c r="AQ395" t="s">
        <v>74</v>
      </c>
      <c r="AR395">
        <v>0</v>
      </c>
      <c r="AS395">
        <v>1935</v>
      </c>
      <c r="AT395">
        <v>8</v>
      </c>
      <c r="AU395" s="2" t="s">
        <v>20</v>
      </c>
      <c r="AV395" t="b">
        <v>1</v>
      </c>
      <c r="AX395" s="2"/>
      <c r="AY395">
        <v>45</v>
      </c>
      <c r="AZ395">
        <v>1</v>
      </c>
      <c r="BA395">
        <v>4620</v>
      </c>
      <c r="BB395" t="s">
        <v>708</v>
      </c>
      <c r="BC395">
        <v>160</v>
      </c>
      <c r="BD395" s="2">
        <v>0.15</v>
      </c>
      <c r="BE395" t="s">
        <v>927</v>
      </c>
      <c r="BF395" t="s">
        <v>921</v>
      </c>
      <c r="BG395" t="s">
        <v>939</v>
      </c>
      <c r="BH395" s="7">
        <v>40</v>
      </c>
      <c r="BI39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395">
        <v>0</v>
      </c>
      <c r="BK395" t="s">
        <v>733</v>
      </c>
      <c r="BL395" s="11"/>
      <c r="BM395" s="11"/>
      <c r="BN395" s="11">
        <v>215</v>
      </c>
      <c r="BO395">
        <v>0</v>
      </c>
      <c r="BP395" t="s">
        <v>691</v>
      </c>
      <c r="BQ395" t="s">
        <v>693</v>
      </c>
      <c r="BR395" t="s">
        <v>700</v>
      </c>
      <c r="BS395" t="s">
        <v>704</v>
      </c>
      <c r="BT395" t="s">
        <v>705</v>
      </c>
      <c r="BU395" t="s">
        <v>706</v>
      </c>
      <c r="CT395"/>
      <c r="CU395"/>
      <c r="CV395"/>
    </row>
    <row r="396" spans="1:100" x14ac:dyDescent="0.4">
      <c r="A396" s="2" t="s">
        <v>421</v>
      </c>
      <c r="B396" t="str">
        <f>_xlfn.TEXTAFTER(Table1[[#This Row],[VEHIDCODE]],"_")</f>
        <v>Austria_OBB_1020_Crocodile</v>
      </c>
      <c r="C396" t="s">
        <v>740</v>
      </c>
      <c r="D396" t="s">
        <v>960</v>
      </c>
      <c r="E396">
        <v>6017</v>
      </c>
      <c r="F396" t="b">
        <f>OR(ISNUMBER(SEARCH("wagon_",Table1[[#This Row],[FILENAMES_EXPECTED]])),ISNUMBER(SEARCH("coach_",Table1[[#This Row],[FILENAMES_EXPECTED]])))</f>
        <v>0</v>
      </c>
      <c r="G396" t="str">
        <f>"item_"&amp;Table1[[#This Row],[VEHIDCODE]]</f>
        <v>item_electric_Austria_OBB_1020_Crocodile</v>
      </c>
      <c r="H396" t="str">
        <f>"str_"&amp;Table1[[#This Row],[VEHIDCODE]]</f>
        <v>str_electric_Austria_OBB_1020_Crocodile</v>
      </c>
      <c r="K396" t="b">
        <v>1</v>
      </c>
      <c r="AL396" s="2"/>
      <c r="AM396" s="2" t="b">
        <f>LEN(_xlfn.CONCAT(Table1[[#This Row],[TRACK_TYPE_STANDARD_GAUGE_RAILTYPE_OHLE]:[TRACK_TYPE_MTRO]]))&gt;0</f>
        <v>1</v>
      </c>
      <c r="AN396">
        <v>8</v>
      </c>
      <c r="AO396" t="s">
        <v>20</v>
      </c>
      <c r="AP396">
        <v>0</v>
      </c>
      <c r="AQ396" t="s">
        <v>74</v>
      </c>
      <c r="AR396">
        <v>0</v>
      </c>
      <c r="AS396">
        <v>1940</v>
      </c>
      <c r="AT396">
        <v>8</v>
      </c>
      <c r="AU396" s="2" t="s">
        <v>20</v>
      </c>
      <c r="AV396" t="b">
        <v>1</v>
      </c>
      <c r="AX396" s="2"/>
      <c r="AY396">
        <v>45</v>
      </c>
      <c r="AZ396">
        <v>1</v>
      </c>
      <c r="BA396">
        <v>4400</v>
      </c>
      <c r="BB396" t="s">
        <v>708</v>
      </c>
      <c r="BC396">
        <v>100</v>
      </c>
      <c r="BD396" s="2">
        <v>0.31</v>
      </c>
      <c r="BE396" t="s">
        <v>922</v>
      </c>
      <c r="BF396" t="s">
        <v>921</v>
      </c>
      <c r="BG396" t="s">
        <v>939</v>
      </c>
      <c r="BH396" s="7">
        <v>40</v>
      </c>
      <c r="BI39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396">
        <v>-3</v>
      </c>
      <c r="BK396" t="s">
        <v>733</v>
      </c>
      <c r="BL396" s="11"/>
      <c r="BM396" s="11"/>
      <c r="BN396" s="11">
        <v>118</v>
      </c>
      <c r="BO396">
        <v>0</v>
      </c>
      <c r="BP396" t="s">
        <v>691</v>
      </c>
      <c r="BQ396" t="s">
        <v>693</v>
      </c>
      <c r="BR396" t="s">
        <v>700</v>
      </c>
      <c r="BS396" t="s">
        <v>704</v>
      </c>
      <c r="BT396" t="s">
        <v>705</v>
      </c>
      <c r="BU396" t="s">
        <v>706</v>
      </c>
      <c r="CT396"/>
      <c r="CU396"/>
      <c r="CV396"/>
    </row>
    <row r="397" spans="1:100" x14ac:dyDescent="0.4">
      <c r="A397" s="2" t="s">
        <v>422</v>
      </c>
      <c r="B397" t="str">
        <f>_xlfn.TEXTAFTER(Table1[[#This Row],[VEHIDCODE]],"_")</f>
        <v>Germany_DB_1031</v>
      </c>
      <c r="C397" t="s">
        <v>740</v>
      </c>
      <c r="D397" t="s">
        <v>960</v>
      </c>
      <c r="E397">
        <v>6032</v>
      </c>
      <c r="F397" t="b">
        <f>OR(ISNUMBER(SEARCH("wagon_",Table1[[#This Row],[FILENAMES_EXPECTED]])),ISNUMBER(SEARCH("coach_",Table1[[#This Row],[FILENAMES_EXPECTED]])))</f>
        <v>0</v>
      </c>
      <c r="G397" t="str">
        <f>"item_"&amp;Table1[[#This Row],[VEHIDCODE]]</f>
        <v>item_electric_Germany_DB_1031</v>
      </c>
      <c r="H397" t="str">
        <f>"str_"&amp;Table1[[#This Row],[VEHIDCODE]]</f>
        <v>str_electric_Germany_DB_1031</v>
      </c>
      <c r="K397" t="b">
        <v>1</v>
      </c>
      <c r="AL397" s="2"/>
      <c r="AM397" s="2" t="b">
        <f>LEN(_xlfn.CONCAT(Table1[[#This Row],[TRACK_TYPE_STANDARD_GAUGE_RAILTYPE_OHLE]:[TRACK_TYPE_MTRO]]))&gt;0</f>
        <v>1</v>
      </c>
      <c r="AN397">
        <v>8</v>
      </c>
      <c r="AO397" t="s">
        <v>20</v>
      </c>
      <c r="AP397">
        <v>0</v>
      </c>
      <c r="AQ397" t="s">
        <v>74</v>
      </c>
      <c r="AR397">
        <v>0</v>
      </c>
      <c r="AS397">
        <v>1970</v>
      </c>
      <c r="AT397">
        <v>8</v>
      </c>
      <c r="AU397" s="2" t="s">
        <v>20</v>
      </c>
      <c r="AV397" t="b">
        <v>1</v>
      </c>
      <c r="AX397" s="2"/>
      <c r="AY397">
        <v>45</v>
      </c>
      <c r="AZ397">
        <v>1</v>
      </c>
      <c r="BA397">
        <v>9980</v>
      </c>
      <c r="BB397" t="s">
        <v>708</v>
      </c>
      <c r="BC397">
        <v>200</v>
      </c>
      <c r="BD397" s="2">
        <v>0.27</v>
      </c>
      <c r="BE397" t="s">
        <v>922</v>
      </c>
      <c r="BF397" t="s">
        <v>921</v>
      </c>
      <c r="BG397" t="s">
        <v>939</v>
      </c>
      <c r="BH397" s="7">
        <v>40</v>
      </c>
      <c r="BI39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397">
        <v>-3</v>
      </c>
      <c r="BK397" t="s">
        <v>733</v>
      </c>
      <c r="BL397" s="11"/>
      <c r="BM397" s="11"/>
      <c r="BN397" s="11">
        <v>114</v>
      </c>
      <c r="BO397">
        <v>0</v>
      </c>
      <c r="BP397" t="s">
        <v>691</v>
      </c>
      <c r="BQ397" t="s">
        <v>693</v>
      </c>
      <c r="BR397" t="s">
        <v>700</v>
      </c>
      <c r="BS397" t="s">
        <v>704</v>
      </c>
      <c r="BT397" t="s">
        <v>705</v>
      </c>
      <c r="BU397" t="s">
        <v>706</v>
      </c>
      <c r="CT397"/>
      <c r="CU397"/>
      <c r="CV397"/>
    </row>
    <row r="398" spans="1:100" x14ac:dyDescent="0.4">
      <c r="A398" s="2" t="s">
        <v>423</v>
      </c>
      <c r="B398" t="str">
        <f>_xlfn.TEXTAFTER(Table1[[#This Row],[VEHIDCODE]],"_")</f>
        <v>Germany_DB_E_919</v>
      </c>
      <c r="C398" t="s">
        <v>740</v>
      </c>
      <c r="D398" t="s">
        <v>960</v>
      </c>
      <c r="E398">
        <v>6074</v>
      </c>
      <c r="F398" t="b">
        <f>OR(ISNUMBER(SEARCH("wagon_",Table1[[#This Row],[FILENAMES_EXPECTED]])),ISNUMBER(SEARCH("coach_",Table1[[#This Row],[FILENAMES_EXPECTED]])))</f>
        <v>0</v>
      </c>
      <c r="G398" t="str">
        <f>"item_"&amp;Table1[[#This Row],[VEHIDCODE]]</f>
        <v>item_electric_Germany_DB_E_919</v>
      </c>
      <c r="H398" t="str">
        <f>"str_"&amp;Table1[[#This Row],[VEHIDCODE]]</f>
        <v>str_electric_Germany_DB_E_919</v>
      </c>
      <c r="K398" t="b">
        <v>1</v>
      </c>
      <c r="AL398" s="2"/>
      <c r="AM398" s="2" t="b">
        <f>LEN(_xlfn.CONCAT(Table1[[#This Row],[TRACK_TYPE_STANDARD_GAUGE_RAILTYPE_OHLE]:[TRACK_TYPE_MTRO]]))&gt;0</f>
        <v>1</v>
      </c>
      <c r="AN398">
        <v>8</v>
      </c>
      <c r="AO398" t="s">
        <v>20</v>
      </c>
      <c r="AP398">
        <v>0</v>
      </c>
      <c r="AQ398" t="s">
        <v>74</v>
      </c>
      <c r="AR398">
        <v>0</v>
      </c>
      <c r="AS398">
        <v>1925</v>
      </c>
      <c r="AT398">
        <v>8</v>
      </c>
      <c r="AU398" s="2" t="s">
        <v>20</v>
      </c>
      <c r="AV398" t="b">
        <v>1</v>
      </c>
      <c r="AX398" s="2"/>
      <c r="AY398">
        <v>45</v>
      </c>
      <c r="AZ398">
        <v>1</v>
      </c>
      <c r="BA398">
        <v>2230</v>
      </c>
      <c r="BB398" t="s">
        <v>708</v>
      </c>
      <c r="BC398">
        <v>55</v>
      </c>
      <c r="BD398" s="2">
        <v>0.24</v>
      </c>
      <c r="BE398" t="s">
        <v>922</v>
      </c>
      <c r="BF398" t="s">
        <v>921</v>
      </c>
      <c r="BG398" t="s">
        <v>939</v>
      </c>
      <c r="BH398" s="7">
        <v>40</v>
      </c>
      <c r="BI39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398">
        <v>0</v>
      </c>
      <c r="BK398" t="s">
        <v>733</v>
      </c>
      <c r="BL398" s="11"/>
      <c r="BM398" s="11"/>
      <c r="BN398" s="11">
        <v>124</v>
      </c>
      <c r="BO398">
        <v>0</v>
      </c>
      <c r="BP398" t="s">
        <v>691</v>
      </c>
      <c r="BQ398" t="s">
        <v>693</v>
      </c>
      <c r="BR398" t="s">
        <v>700</v>
      </c>
      <c r="BS398" t="s">
        <v>704</v>
      </c>
      <c r="BT398" t="s">
        <v>705</v>
      </c>
      <c r="BU398" t="s">
        <v>706</v>
      </c>
      <c r="CT398"/>
      <c r="CU398"/>
      <c r="CV398"/>
    </row>
    <row r="399" spans="1:100" x14ac:dyDescent="0.4">
      <c r="A399" s="2" t="s">
        <v>424</v>
      </c>
      <c r="B399" t="str">
        <f>_xlfn.TEXTAFTER(Table1[[#This Row],[VEHIDCODE]],"_")</f>
        <v>Switzerland_BLS_Ce_4_4</v>
      </c>
      <c r="C399" t="s">
        <v>740</v>
      </c>
      <c r="D399" t="s">
        <v>960</v>
      </c>
      <c r="E399">
        <v>6023</v>
      </c>
      <c r="F399" t="b">
        <f>OR(ISNUMBER(SEARCH("wagon_",Table1[[#This Row],[FILENAMES_EXPECTED]])),ISNUMBER(SEARCH("coach_",Table1[[#This Row],[FILENAMES_EXPECTED]])))</f>
        <v>0</v>
      </c>
      <c r="G399" t="str">
        <f>"item_"&amp;Table1[[#This Row],[VEHIDCODE]]</f>
        <v>item_electric_Switzerland_BLS_Ce_4_4</v>
      </c>
      <c r="H399" t="str">
        <f>"str_"&amp;Table1[[#This Row],[VEHIDCODE]]</f>
        <v>str_electric_Switzerland_BLS_Ce_4_4</v>
      </c>
      <c r="K399" t="b">
        <v>1</v>
      </c>
      <c r="AL399" s="2"/>
      <c r="AM399" s="2" t="b">
        <f>LEN(_xlfn.CONCAT(Table1[[#This Row],[TRACK_TYPE_STANDARD_GAUGE_RAILTYPE_OHLE]:[TRACK_TYPE_MTRO]]))&gt;0</f>
        <v>1</v>
      </c>
      <c r="AN399">
        <v>5</v>
      </c>
      <c r="AO399" t="s">
        <v>20</v>
      </c>
      <c r="AP399">
        <v>0</v>
      </c>
      <c r="AQ399" t="s">
        <v>74</v>
      </c>
      <c r="AR399">
        <v>0</v>
      </c>
      <c r="AS399">
        <v>1954</v>
      </c>
      <c r="AT399">
        <v>5</v>
      </c>
      <c r="AU399" s="2" t="s">
        <v>20</v>
      </c>
      <c r="AV399" t="b">
        <v>1</v>
      </c>
      <c r="AX399" s="2"/>
      <c r="AY399">
        <v>45</v>
      </c>
      <c r="AZ399">
        <v>1</v>
      </c>
      <c r="BA399">
        <v>1001</v>
      </c>
      <c r="BB399" t="s">
        <v>708</v>
      </c>
      <c r="BC399">
        <v>65</v>
      </c>
      <c r="BD399" s="2">
        <v>0.17</v>
      </c>
      <c r="BE399" t="s">
        <v>922</v>
      </c>
      <c r="BF399" t="s">
        <v>921</v>
      </c>
      <c r="BG399" t="s">
        <v>939</v>
      </c>
      <c r="BH399" s="7">
        <v>40</v>
      </c>
      <c r="BI39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399">
        <v>-3</v>
      </c>
      <c r="BK399" t="s">
        <v>733</v>
      </c>
      <c r="BL399" s="11"/>
      <c r="BM399" s="11"/>
      <c r="BN399" s="11">
        <v>65</v>
      </c>
      <c r="BO399">
        <v>0</v>
      </c>
      <c r="BP399" t="s">
        <v>691</v>
      </c>
      <c r="BQ399" t="s">
        <v>693</v>
      </c>
      <c r="BR399" t="s">
        <v>700</v>
      </c>
      <c r="BS399" t="s">
        <v>704</v>
      </c>
      <c r="BT399" t="s">
        <v>705</v>
      </c>
      <c r="BU399" t="s">
        <v>706</v>
      </c>
      <c r="CT399"/>
      <c r="CU399"/>
      <c r="CV399"/>
    </row>
    <row r="400" spans="1:100" x14ac:dyDescent="0.4">
      <c r="A400" s="2" t="s">
        <v>425</v>
      </c>
      <c r="B400" t="str">
        <f>_xlfn.TEXTAFTER(Table1[[#This Row],[VEHIDCODE]],"_")</f>
        <v>Switzerland_SBB_Ae_6_6</v>
      </c>
      <c r="C400" t="s">
        <v>740</v>
      </c>
      <c r="D400" t="s">
        <v>960</v>
      </c>
      <c r="E400">
        <v>6024</v>
      </c>
      <c r="F400" t="b">
        <f>OR(ISNUMBER(SEARCH("wagon_",Table1[[#This Row],[FILENAMES_EXPECTED]])),ISNUMBER(SEARCH("coach_",Table1[[#This Row],[FILENAMES_EXPECTED]])))</f>
        <v>0</v>
      </c>
      <c r="G400" t="str">
        <f>"item_"&amp;Table1[[#This Row],[VEHIDCODE]]</f>
        <v>item_electric_Switzerland_SBB_Ae_6_6</v>
      </c>
      <c r="H400" t="str">
        <f>"str_"&amp;Table1[[#This Row],[VEHIDCODE]]</f>
        <v>str_electric_Switzerland_SBB_Ae_6_6</v>
      </c>
      <c r="K400" t="b">
        <v>1</v>
      </c>
      <c r="AL400" s="2"/>
      <c r="AM400" s="2" t="b">
        <f>LEN(_xlfn.CONCAT(Table1[[#This Row],[TRACK_TYPE_STANDARD_GAUGE_RAILTYPE_OHLE]:[TRACK_TYPE_MTRO]]))&gt;0</f>
        <v>1</v>
      </c>
      <c r="AN400">
        <v>8</v>
      </c>
      <c r="AO400" t="s">
        <v>20</v>
      </c>
      <c r="AP400">
        <v>0</v>
      </c>
      <c r="AQ400" t="s">
        <v>74</v>
      </c>
      <c r="AR400">
        <v>0</v>
      </c>
      <c r="AS400">
        <v>1955</v>
      </c>
      <c r="AT400">
        <v>8</v>
      </c>
      <c r="AU400" s="2" t="s">
        <v>20</v>
      </c>
      <c r="AV400" t="b">
        <v>1</v>
      </c>
      <c r="AX400" s="2"/>
      <c r="AY400">
        <v>45</v>
      </c>
      <c r="AZ400">
        <v>1</v>
      </c>
      <c r="BA400">
        <v>5842</v>
      </c>
      <c r="BB400" t="s">
        <v>708</v>
      </c>
      <c r="BC400">
        <v>125</v>
      </c>
      <c r="BD400" s="2">
        <v>0.33</v>
      </c>
      <c r="BE400" t="s">
        <v>922</v>
      </c>
      <c r="BF400" t="s">
        <v>921</v>
      </c>
      <c r="BG400" t="s">
        <v>939</v>
      </c>
      <c r="BH400" s="7">
        <v>40</v>
      </c>
      <c r="BI40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400">
        <v>-3</v>
      </c>
      <c r="BK400" t="s">
        <v>733</v>
      </c>
      <c r="BL400" s="11"/>
      <c r="BM400" s="11"/>
      <c r="BN400" s="11">
        <v>120</v>
      </c>
      <c r="BO400">
        <v>0</v>
      </c>
      <c r="BP400" t="s">
        <v>691</v>
      </c>
      <c r="BQ400" t="s">
        <v>693</v>
      </c>
      <c r="BR400" t="s">
        <v>700</v>
      </c>
      <c r="BS400" t="s">
        <v>704</v>
      </c>
      <c r="BT400" t="s">
        <v>705</v>
      </c>
      <c r="BU400" t="s">
        <v>706</v>
      </c>
      <c r="CT400"/>
      <c r="CU400"/>
      <c r="CV400"/>
    </row>
    <row r="401" spans="1:100" x14ac:dyDescent="0.4">
      <c r="A401" s="2" t="s">
        <v>426</v>
      </c>
      <c r="B401" t="str">
        <f>_xlfn.TEXTAFTER(Table1[[#This Row],[VEHIDCODE]],"_")</f>
        <v>Switzerland_SBB_Re460_Lok_2000</v>
      </c>
      <c r="C401" t="s">
        <v>740</v>
      </c>
      <c r="D401" t="s">
        <v>960</v>
      </c>
      <c r="E401">
        <v>6045</v>
      </c>
      <c r="F401" t="b">
        <f>OR(ISNUMBER(SEARCH("wagon_",Table1[[#This Row],[FILENAMES_EXPECTED]])),ISNUMBER(SEARCH("coach_",Table1[[#This Row],[FILENAMES_EXPECTED]])))</f>
        <v>0</v>
      </c>
      <c r="G401" t="str">
        <f>"item_"&amp;Table1[[#This Row],[VEHIDCODE]]</f>
        <v>item_electric_Switzerland_SBB_Re460_Lok_2000</v>
      </c>
      <c r="H401" t="str">
        <f>"str_"&amp;Table1[[#This Row],[VEHIDCODE]]</f>
        <v>str_electric_Switzerland_SBB_Re460_Lok_2000</v>
      </c>
      <c r="K401" t="b">
        <v>1</v>
      </c>
      <c r="AL401" s="2"/>
      <c r="AM401" s="2" t="b">
        <f>LEN(_xlfn.CONCAT(Table1[[#This Row],[TRACK_TYPE_STANDARD_GAUGE_RAILTYPE_OHLE]:[TRACK_TYPE_MTRO]]))&gt;0</f>
        <v>1</v>
      </c>
      <c r="AN401">
        <v>8</v>
      </c>
      <c r="AO401" t="s">
        <v>20</v>
      </c>
      <c r="AP401">
        <v>0</v>
      </c>
      <c r="AQ401" t="s">
        <v>74</v>
      </c>
      <c r="AR401">
        <v>0</v>
      </c>
      <c r="AS401">
        <v>1991</v>
      </c>
      <c r="AT401">
        <v>8</v>
      </c>
      <c r="AU401" s="2" t="s">
        <v>20</v>
      </c>
      <c r="AV401" t="b">
        <v>1</v>
      </c>
      <c r="AX401" s="2"/>
      <c r="AY401" t="s">
        <v>21</v>
      </c>
      <c r="AZ401">
        <v>1</v>
      </c>
      <c r="BA401">
        <v>8174</v>
      </c>
      <c r="BB401" t="s">
        <v>708</v>
      </c>
      <c r="BC401">
        <v>230</v>
      </c>
      <c r="BD401" s="2">
        <v>0.36</v>
      </c>
      <c r="BE401" t="s">
        <v>922</v>
      </c>
      <c r="BF401" t="s">
        <v>921</v>
      </c>
      <c r="BG401" t="s">
        <v>939</v>
      </c>
      <c r="BH401" s="7">
        <v>40</v>
      </c>
      <c r="BI40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401">
        <v>-3</v>
      </c>
      <c r="BK401" t="s">
        <v>733</v>
      </c>
      <c r="BL401" s="11"/>
      <c r="BM401" s="11"/>
      <c r="BN401" s="11">
        <v>84</v>
      </c>
      <c r="BO401">
        <v>0</v>
      </c>
      <c r="BP401" t="s">
        <v>691</v>
      </c>
      <c r="BQ401" t="s">
        <v>693</v>
      </c>
      <c r="BR401" t="s">
        <v>700</v>
      </c>
      <c r="BS401" t="s">
        <v>704</v>
      </c>
      <c r="BT401" t="s">
        <v>705</v>
      </c>
      <c r="BU401" t="s">
        <v>706</v>
      </c>
      <c r="CT401"/>
      <c r="CU401"/>
      <c r="CV401"/>
    </row>
    <row r="402" spans="1:100" x14ac:dyDescent="0.4">
      <c r="A402" s="2" t="s">
        <v>427</v>
      </c>
      <c r="B402" t="str">
        <f>_xlfn.TEXTAFTER(Table1[[#This Row],[VEHIDCODE]],"_")</f>
        <v>Switzerland_SBB_Eem_923</v>
      </c>
      <c r="C402" t="s">
        <v>740</v>
      </c>
      <c r="D402" t="s">
        <v>960</v>
      </c>
      <c r="E402">
        <v>6059</v>
      </c>
      <c r="F402" t="b">
        <f>OR(ISNUMBER(SEARCH("wagon_",Table1[[#This Row],[FILENAMES_EXPECTED]])),ISNUMBER(SEARCH("coach_",Table1[[#This Row],[FILENAMES_EXPECTED]])))</f>
        <v>0</v>
      </c>
      <c r="G402" t="str">
        <f>"item_"&amp;Table1[[#This Row],[VEHIDCODE]]</f>
        <v>item_electric_Switzerland_SBB_Eem_923</v>
      </c>
      <c r="H402" t="str">
        <f>"str_"&amp;Table1[[#This Row],[VEHIDCODE]]</f>
        <v>str_electric_Switzerland_SBB_Eem_923</v>
      </c>
      <c r="K402" t="b">
        <v>1</v>
      </c>
      <c r="AL402" s="2"/>
      <c r="AM402" s="2" t="b">
        <f>LEN(_xlfn.CONCAT(Table1[[#This Row],[TRACK_TYPE_STANDARD_GAUGE_RAILTYPE_OHLE]:[TRACK_TYPE_MTRO]]))&gt;0</f>
        <v>1</v>
      </c>
      <c r="AN402">
        <v>5</v>
      </c>
      <c r="AO402" t="s">
        <v>20</v>
      </c>
      <c r="AP402">
        <v>0</v>
      </c>
      <c r="AQ402" t="s">
        <v>74</v>
      </c>
      <c r="AR402">
        <v>0</v>
      </c>
      <c r="AS402">
        <v>2012</v>
      </c>
      <c r="AT402">
        <v>5</v>
      </c>
      <c r="AU402" s="2" t="s">
        <v>20</v>
      </c>
      <c r="AV402" t="b">
        <v>1</v>
      </c>
      <c r="AX402" s="2"/>
      <c r="AY402" t="s">
        <v>21</v>
      </c>
      <c r="AZ402">
        <v>1</v>
      </c>
      <c r="BA402">
        <v>1000</v>
      </c>
      <c r="BB402" t="s">
        <v>708</v>
      </c>
      <c r="BC402">
        <v>100</v>
      </c>
      <c r="BD402" s="2">
        <v>0.27</v>
      </c>
      <c r="BE402" t="s">
        <v>922</v>
      </c>
      <c r="BF402" t="s">
        <v>921</v>
      </c>
      <c r="BG402" t="s">
        <v>939</v>
      </c>
      <c r="BH402" s="7">
        <v>40</v>
      </c>
      <c r="BI40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402">
        <v>-3</v>
      </c>
      <c r="BK402" t="s">
        <v>733</v>
      </c>
      <c r="BL402" s="11"/>
      <c r="BM402" s="11"/>
      <c r="BN402" s="11">
        <v>45</v>
      </c>
      <c r="BO402">
        <v>0</v>
      </c>
      <c r="BP402" t="s">
        <v>691</v>
      </c>
      <c r="BQ402" t="s">
        <v>693</v>
      </c>
      <c r="BR402" t="s">
        <v>700</v>
      </c>
      <c r="BS402" t="s">
        <v>704</v>
      </c>
      <c r="BT402" t="s">
        <v>705</v>
      </c>
      <c r="BU402" t="s">
        <v>706</v>
      </c>
      <c r="CT402"/>
      <c r="CU402"/>
      <c r="CV402"/>
    </row>
    <row r="403" spans="1:100" x14ac:dyDescent="0.4">
      <c r="A403" s="2" t="s">
        <v>428</v>
      </c>
      <c r="B403" t="str">
        <f>_xlfn.TEXTAFTER(Table1[[#This Row],[VEHIDCODE]],"_")</f>
        <v>Austria_OBB_1044</v>
      </c>
      <c r="C403" t="s">
        <v>740</v>
      </c>
      <c r="D403" t="s">
        <v>960</v>
      </c>
      <c r="E403">
        <v>6035</v>
      </c>
      <c r="F403" t="b">
        <f>OR(ISNUMBER(SEARCH("wagon_",Table1[[#This Row],[FILENAMES_EXPECTED]])),ISNUMBER(SEARCH("coach_",Table1[[#This Row],[FILENAMES_EXPECTED]])))</f>
        <v>0</v>
      </c>
      <c r="G403" t="str">
        <f>"item_"&amp;Table1[[#This Row],[VEHIDCODE]]</f>
        <v>item_electric_Austria_OBB_1044</v>
      </c>
      <c r="H403" t="str">
        <f>"str_"&amp;Table1[[#This Row],[VEHIDCODE]]</f>
        <v>str_electric_Austria_OBB_1044</v>
      </c>
      <c r="K403" t="b">
        <v>1</v>
      </c>
      <c r="AL403" s="2"/>
      <c r="AM403" s="2" t="b">
        <f>LEN(_xlfn.CONCAT(Table1[[#This Row],[TRACK_TYPE_STANDARD_GAUGE_RAILTYPE_OHLE]:[TRACK_TYPE_MTRO]]))&gt;0</f>
        <v>1</v>
      </c>
      <c r="AN403">
        <v>8</v>
      </c>
      <c r="AO403" t="s">
        <v>20</v>
      </c>
      <c r="AP403">
        <v>0</v>
      </c>
      <c r="AQ403" t="s">
        <v>74</v>
      </c>
      <c r="AR403">
        <v>0</v>
      </c>
      <c r="AS403">
        <v>1974</v>
      </c>
      <c r="AT403">
        <v>8</v>
      </c>
      <c r="AU403" s="2" t="s">
        <v>20</v>
      </c>
      <c r="AV403" t="b">
        <v>1</v>
      </c>
      <c r="AX403" s="2"/>
      <c r="AY403">
        <v>45</v>
      </c>
      <c r="AZ403">
        <v>1</v>
      </c>
      <c r="BA403">
        <v>7000</v>
      </c>
      <c r="BB403" t="s">
        <v>708</v>
      </c>
      <c r="BC403">
        <v>160</v>
      </c>
      <c r="BD403" s="2">
        <v>0.39</v>
      </c>
      <c r="BE403" t="s">
        <v>922</v>
      </c>
      <c r="BF403" t="s">
        <v>921</v>
      </c>
      <c r="BG403" t="s">
        <v>939</v>
      </c>
      <c r="BH403" s="7">
        <v>40</v>
      </c>
      <c r="BI40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403">
        <v>-3</v>
      </c>
      <c r="BK403" t="s">
        <v>733</v>
      </c>
      <c r="BL403" s="11"/>
      <c r="BM403" s="11"/>
      <c r="BN403" s="11">
        <v>84</v>
      </c>
      <c r="BO403">
        <v>0</v>
      </c>
      <c r="BP403" t="s">
        <v>691</v>
      </c>
      <c r="BQ403" t="s">
        <v>693</v>
      </c>
      <c r="BR403" t="s">
        <v>700</v>
      </c>
      <c r="BS403" t="s">
        <v>704</v>
      </c>
      <c r="BT403" t="s">
        <v>705</v>
      </c>
      <c r="BU403" t="s">
        <v>706</v>
      </c>
      <c r="CT403"/>
      <c r="CU403"/>
      <c r="CV403"/>
    </row>
    <row r="404" spans="1:100" x14ac:dyDescent="0.4">
      <c r="A404" s="2" t="s">
        <v>429</v>
      </c>
      <c r="B404" t="str">
        <f>_xlfn.TEXTAFTER(Table1[[#This Row],[VEHIDCODE]],"_")</f>
        <v>Austria_OBB_1063</v>
      </c>
      <c r="C404" t="s">
        <v>740</v>
      </c>
      <c r="D404" t="s">
        <v>960</v>
      </c>
      <c r="E404">
        <v>6039</v>
      </c>
      <c r="F404" t="b">
        <f>OR(ISNUMBER(SEARCH("wagon_",Table1[[#This Row],[FILENAMES_EXPECTED]])),ISNUMBER(SEARCH("coach_",Table1[[#This Row],[FILENAMES_EXPECTED]])))</f>
        <v>0</v>
      </c>
      <c r="G404" t="str">
        <f>"item_"&amp;Table1[[#This Row],[VEHIDCODE]]</f>
        <v>item_electric_Austria_OBB_1063</v>
      </c>
      <c r="H404" t="str">
        <f>"str_"&amp;Table1[[#This Row],[VEHIDCODE]]</f>
        <v>str_electric_Austria_OBB_1063</v>
      </c>
      <c r="K404" t="b">
        <v>1</v>
      </c>
      <c r="AL404" s="2"/>
      <c r="AM404" s="2" t="b">
        <f>LEN(_xlfn.CONCAT(Table1[[#This Row],[TRACK_TYPE_STANDARD_GAUGE_RAILTYPE_OHLE]:[TRACK_TYPE_MTRO]]))&gt;0</f>
        <v>1</v>
      </c>
      <c r="AN404">
        <v>8</v>
      </c>
      <c r="AO404" t="s">
        <v>20</v>
      </c>
      <c r="AP404">
        <v>0</v>
      </c>
      <c r="AQ404" t="s">
        <v>74</v>
      </c>
      <c r="AR404">
        <v>0</v>
      </c>
      <c r="AS404">
        <v>1982</v>
      </c>
      <c r="AT404">
        <v>8</v>
      </c>
      <c r="AU404" s="2" t="s">
        <v>20</v>
      </c>
      <c r="AV404" t="b">
        <v>1</v>
      </c>
      <c r="AX404" s="2"/>
      <c r="AY404">
        <v>45</v>
      </c>
      <c r="AZ404">
        <v>1</v>
      </c>
      <c r="BA404">
        <v>2680</v>
      </c>
      <c r="BB404" t="s">
        <v>708</v>
      </c>
      <c r="BC404">
        <v>100</v>
      </c>
      <c r="BD404" s="2">
        <v>0.32</v>
      </c>
      <c r="BE404" t="s">
        <v>922</v>
      </c>
      <c r="BF404" t="s">
        <v>921</v>
      </c>
      <c r="BG404" t="s">
        <v>939</v>
      </c>
      <c r="BH404" s="7">
        <v>40</v>
      </c>
      <c r="BI40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404">
        <v>-3</v>
      </c>
      <c r="BK404" t="s">
        <v>733</v>
      </c>
      <c r="BL404" s="11"/>
      <c r="BM404" s="11"/>
      <c r="BN404" s="11">
        <v>82</v>
      </c>
      <c r="BO404">
        <v>0</v>
      </c>
      <c r="BP404" t="s">
        <v>691</v>
      </c>
      <c r="BQ404" t="s">
        <v>693</v>
      </c>
      <c r="BR404" t="s">
        <v>700</v>
      </c>
      <c r="BS404" t="s">
        <v>704</v>
      </c>
      <c r="BT404" t="s">
        <v>705</v>
      </c>
      <c r="BU404" t="s">
        <v>706</v>
      </c>
      <c r="CT404"/>
      <c r="CU404"/>
      <c r="CV404"/>
    </row>
    <row r="405" spans="1:100" x14ac:dyDescent="0.4">
      <c r="A405" s="2" t="s">
        <v>430</v>
      </c>
      <c r="B405" t="str">
        <f>_xlfn.TEXTAFTER(Table1[[#This Row],[VEHIDCODE]],"_")</f>
        <v>Sweden_MTAB_Dm3</v>
      </c>
      <c r="C405" t="s">
        <v>740</v>
      </c>
      <c r="D405" t="s">
        <v>960</v>
      </c>
      <c r="E405">
        <v>6020</v>
      </c>
      <c r="F405" t="b">
        <f>OR(ISNUMBER(SEARCH("wagon_",Table1[[#This Row],[FILENAMES_EXPECTED]])),ISNUMBER(SEARCH("coach_",Table1[[#This Row],[FILENAMES_EXPECTED]])))</f>
        <v>0</v>
      </c>
      <c r="G405" t="str">
        <f>"item_"&amp;Table1[[#This Row],[VEHIDCODE]]</f>
        <v>item_electric_Sweden_MTAB_Dm3</v>
      </c>
      <c r="H405" t="str">
        <f>"str_"&amp;Table1[[#This Row],[VEHIDCODE]]</f>
        <v>str_electric_Sweden_MTAB_Dm3</v>
      </c>
      <c r="K405" t="b">
        <v>1</v>
      </c>
      <c r="AL405" s="2"/>
      <c r="AM405" s="2" t="b">
        <f>LEN(_xlfn.CONCAT(Table1[[#This Row],[TRACK_TYPE_STANDARD_GAUGE_RAILTYPE_OHLE]:[TRACK_TYPE_MTRO]]))&gt;0</f>
        <v>1</v>
      </c>
      <c r="AN405">
        <v>21</v>
      </c>
      <c r="AO405" t="s">
        <v>20</v>
      </c>
      <c r="AP405">
        <v>0</v>
      </c>
      <c r="AQ405" t="s">
        <v>74</v>
      </c>
      <c r="AR405">
        <v>0</v>
      </c>
      <c r="AS405">
        <v>1953</v>
      </c>
      <c r="AT405">
        <v>7</v>
      </c>
      <c r="AU405" s="2" t="s">
        <v>20</v>
      </c>
      <c r="AV405" t="b">
        <v>1</v>
      </c>
      <c r="AX405" s="2"/>
      <c r="AY405">
        <v>45</v>
      </c>
      <c r="AZ405">
        <v>0</v>
      </c>
      <c r="BA405">
        <v>9648</v>
      </c>
      <c r="BB405" t="s">
        <v>708</v>
      </c>
      <c r="BC405">
        <v>75</v>
      </c>
      <c r="BD405" s="2">
        <v>0.34</v>
      </c>
      <c r="BE405" t="s">
        <v>926</v>
      </c>
      <c r="BF405" t="s">
        <v>921</v>
      </c>
      <c r="BG405" t="s">
        <v>939</v>
      </c>
      <c r="BH405" s="7">
        <v>40</v>
      </c>
      <c r="BI40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405">
        <v>0</v>
      </c>
      <c r="BK405" t="s">
        <v>733</v>
      </c>
      <c r="BL405" s="11"/>
      <c r="BM405" s="11"/>
      <c r="BN405" s="11">
        <v>273</v>
      </c>
      <c r="BO405">
        <v>0</v>
      </c>
      <c r="BP405" t="s">
        <v>691</v>
      </c>
      <c r="BQ405" t="s">
        <v>693</v>
      </c>
      <c r="BR405" t="s">
        <v>700</v>
      </c>
      <c r="BS405" t="s">
        <v>704</v>
      </c>
      <c r="BT405" t="s">
        <v>705</v>
      </c>
      <c r="BU405" t="s">
        <v>706</v>
      </c>
      <c r="CT405"/>
      <c r="CU405"/>
      <c r="CV405"/>
    </row>
    <row r="406" spans="1:100" x14ac:dyDescent="0.4">
      <c r="A406" s="2" t="s">
        <v>431</v>
      </c>
      <c r="B406" t="str">
        <f>_xlfn.TEXTAFTER(Table1[[#This Row],[VEHIDCODE]],"_")</f>
        <v>Sweden_MTAB_IORE</v>
      </c>
      <c r="C406" t="s">
        <v>740</v>
      </c>
      <c r="D406" t="s">
        <v>960</v>
      </c>
      <c r="E406">
        <v>6054</v>
      </c>
      <c r="F406" t="b">
        <f>OR(ISNUMBER(SEARCH("wagon_",Table1[[#This Row],[FILENAMES_EXPECTED]])),ISNUMBER(SEARCH("coach_",Table1[[#This Row],[FILENAMES_EXPECTED]])))</f>
        <v>0</v>
      </c>
      <c r="G406" t="str">
        <f>"item_"&amp;Table1[[#This Row],[VEHIDCODE]]</f>
        <v>item_electric_Sweden_MTAB_IORE</v>
      </c>
      <c r="H406" t="str">
        <f>"str_"&amp;Table1[[#This Row],[VEHIDCODE]]</f>
        <v>str_electric_Sweden_MTAB_IORE</v>
      </c>
      <c r="K406" t="b">
        <v>1</v>
      </c>
      <c r="AL406" s="2"/>
      <c r="AM406" s="2" t="b">
        <f>LEN(_xlfn.CONCAT(Table1[[#This Row],[TRACK_TYPE_STANDARD_GAUGE_RAILTYPE_OHLE]:[TRACK_TYPE_MTRO]]))&gt;0</f>
        <v>1</v>
      </c>
      <c r="AN406">
        <v>16</v>
      </c>
      <c r="AO406" t="s">
        <v>20</v>
      </c>
      <c r="AP406">
        <v>0</v>
      </c>
      <c r="AQ406" t="s">
        <v>74</v>
      </c>
      <c r="AR406">
        <v>0</v>
      </c>
      <c r="AS406">
        <v>2000</v>
      </c>
      <c r="AT406">
        <v>8</v>
      </c>
      <c r="AU406" s="2" t="s">
        <v>20</v>
      </c>
      <c r="AV406" t="b">
        <v>1</v>
      </c>
      <c r="AX406" s="2"/>
      <c r="AY406" t="s">
        <v>21</v>
      </c>
      <c r="AZ406">
        <v>0</v>
      </c>
      <c r="BA406">
        <v>14478</v>
      </c>
      <c r="BB406" t="s">
        <v>708</v>
      </c>
      <c r="BC406">
        <v>80</v>
      </c>
      <c r="BD406" s="2">
        <v>0.39</v>
      </c>
      <c r="BE406" t="s">
        <v>926</v>
      </c>
      <c r="BF406" t="s">
        <v>921</v>
      </c>
      <c r="BG406" t="s">
        <v>939</v>
      </c>
      <c r="BH406" s="7">
        <v>40</v>
      </c>
      <c r="BI40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406">
        <v>0</v>
      </c>
      <c r="BK406" t="s">
        <v>733</v>
      </c>
      <c r="BL406" s="11"/>
      <c r="BM406" s="11"/>
      <c r="BN406" s="11">
        <v>360</v>
      </c>
      <c r="BO406">
        <v>0</v>
      </c>
      <c r="BP406" t="s">
        <v>691</v>
      </c>
      <c r="BQ406" t="s">
        <v>693</v>
      </c>
      <c r="BR406" t="s">
        <v>700</v>
      </c>
      <c r="BS406" t="s">
        <v>704</v>
      </c>
      <c r="BT406" t="s">
        <v>705</v>
      </c>
      <c r="BU406" t="s">
        <v>706</v>
      </c>
      <c r="CT406"/>
      <c r="CU406"/>
      <c r="CV406"/>
    </row>
    <row r="407" spans="1:100" x14ac:dyDescent="0.4">
      <c r="A407" s="2" t="s">
        <v>432</v>
      </c>
      <c r="B407" t="str">
        <f>_xlfn.TEXTAFTER(Table1[[#This Row],[VEHIDCODE]],"_")</f>
        <v>Sweden_SJ_O_Class</v>
      </c>
      <c r="C407" t="s">
        <v>740</v>
      </c>
      <c r="D407" t="s">
        <v>960</v>
      </c>
      <c r="E407">
        <v>6069</v>
      </c>
      <c r="F407" t="b">
        <f>OR(ISNUMBER(SEARCH("wagon_",Table1[[#This Row],[FILENAMES_EXPECTED]])),ISNUMBER(SEARCH("coach_",Table1[[#This Row],[FILENAMES_EXPECTED]])))</f>
        <v>0</v>
      </c>
      <c r="G407" t="str">
        <f>"item_"&amp;Table1[[#This Row],[VEHIDCODE]]</f>
        <v>item_electric_Sweden_SJ_O_Class</v>
      </c>
      <c r="H407" t="str">
        <f>"str_"&amp;Table1[[#This Row],[VEHIDCODE]]</f>
        <v>str_electric_Sweden_SJ_O_Class</v>
      </c>
      <c r="K407" t="b">
        <v>1</v>
      </c>
      <c r="AL407" s="2"/>
      <c r="AM407" s="2" t="b">
        <f>LEN(_xlfn.CONCAT(Table1[[#This Row],[TRACK_TYPE_STANDARD_GAUGE_RAILTYPE_OHLE]:[TRACK_TYPE_MTRO]]))&gt;0</f>
        <v>1</v>
      </c>
      <c r="AN407">
        <v>12</v>
      </c>
      <c r="AO407" t="s">
        <v>20</v>
      </c>
      <c r="AP407">
        <v>0</v>
      </c>
      <c r="AQ407" t="s">
        <v>74</v>
      </c>
      <c r="AR407">
        <v>0</v>
      </c>
      <c r="AS407">
        <v>1914</v>
      </c>
      <c r="AT407">
        <v>6</v>
      </c>
      <c r="AU407" s="2" t="s">
        <v>20</v>
      </c>
      <c r="AV407" t="b">
        <v>1</v>
      </c>
      <c r="AX407" s="2"/>
      <c r="AY407">
        <v>45</v>
      </c>
      <c r="AZ407">
        <v>0</v>
      </c>
      <c r="BA407">
        <v>1600</v>
      </c>
      <c r="BB407" t="s">
        <v>708</v>
      </c>
      <c r="BC407">
        <v>60</v>
      </c>
      <c r="BD407" s="2">
        <v>0.2</v>
      </c>
      <c r="BE407" t="s">
        <v>926</v>
      </c>
      <c r="BF407" t="s">
        <v>921</v>
      </c>
      <c r="BG407" t="s">
        <v>939</v>
      </c>
      <c r="BH407" s="7">
        <v>40</v>
      </c>
      <c r="BI40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407">
        <v>0</v>
      </c>
      <c r="BK407" t="s">
        <v>733</v>
      </c>
      <c r="BL407" s="11"/>
      <c r="BM407" s="11"/>
      <c r="BN407" s="11">
        <v>125</v>
      </c>
      <c r="BO407">
        <v>0</v>
      </c>
      <c r="BP407" t="s">
        <v>691</v>
      </c>
      <c r="BQ407" t="s">
        <v>693</v>
      </c>
      <c r="BR407" t="s">
        <v>700</v>
      </c>
      <c r="BS407" t="s">
        <v>704</v>
      </c>
      <c r="BT407" t="s">
        <v>705</v>
      </c>
      <c r="BU407" t="s">
        <v>706</v>
      </c>
      <c r="CT407"/>
      <c r="CU407"/>
      <c r="CV407"/>
    </row>
    <row r="408" spans="1:100" x14ac:dyDescent="0.4">
      <c r="A408" s="2" t="s">
        <v>433</v>
      </c>
      <c r="B408" t="str">
        <f>_xlfn.TEXTAFTER(Table1[[#This Row],[VEHIDCODE]],"_")</f>
        <v>Sweden_SJ_F_Class</v>
      </c>
      <c r="C408" t="s">
        <v>740</v>
      </c>
      <c r="D408" t="s">
        <v>960</v>
      </c>
      <c r="E408">
        <v>6076</v>
      </c>
      <c r="F408" t="b">
        <f>OR(ISNUMBER(SEARCH("wagon_",Table1[[#This Row],[FILENAMES_EXPECTED]])),ISNUMBER(SEARCH("coach_",Table1[[#This Row],[FILENAMES_EXPECTED]])))</f>
        <v>0</v>
      </c>
      <c r="G408" t="str">
        <f>"item_"&amp;Table1[[#This Row],[VEHIDCODE]]</f>
        <v>item_electric_Sweden_SJ_F_Class</v>
      </c>
      <c r="H408" t="str">
        <f>"str_"&amp;Table1[[#This Row],[VEHIDCODE]]</f>
        <v>str_electric_Sweden_SJ_F_Class</v>
      </c>
      <c r="K408" t="b">
        <v>1</v>
      </c>
      <c r="AL408" s="2"/>
      <c r="AM408" s="2" t="b">
        <f>LEN(_xlfn.CONCAT(Table1[[#This Row],[TRACK_TYPE_STANDARD_GAUGE_RAILTYPE_OHLE]:[TRACK_TYPE_MTRO]]))&gt;0</f>
        <v>1</v>
      </c>
      <c r="AN408">
        <v>8</v>
      </c>
      <c r="AO408" t="s">
        <v>20</v>
      </c>
      <c r="AP408">
        <v>0</v>
      </c>
      <c r="AQ408" t="s">
        <v>74</v>
      </c>
      <c r="AR408">
        <v>0</v>
      </c>
      <c r="AS408">
        <v>1942</v>
      </c>
      <c r="AT408">
        <v>8</v>
      </c>
      <c r="AU408" s="2" t="s">
        <v>20</v>
      </c>
      <c r="AV408" t="b">
        <v>1</v>
      </c>
      <c r="AX408" s="2"/>
      <c r="AY408">
        <v>45</v>
      </c>
      <c r="AZ408">
        <v>1</v>
      </c>
      <c r="BA408">
        <v>3460</v>
      </c>
      <c r="BB408" t="s">
        <v>708</v>
      </c>
      <c r="BC408">
        <v>135</v>
      </c>
      <c r="BD408" s="2">
        <v>0.2</v>
      </c>
      <c r="BE408" t="s">
        <v>926</v>
      </c>
      <c r="BF408" t="s">
        <v>921</v>
      </c>
      <c r="BG408" t="s">
        <v>939</v>
      </c>
      <c r="BH408" s="7">
        <v>40</v>
      </c>
      <c r="BI40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408">
        <v>0</v>
      </c>
      <c r="BK408" t="s">
        <v>733</v>
      </c>
      <c r="BL408" s="11"/>
      <c r="BM408" s="11"/>
      <c r="BN408" s="11">
        <v>102</v>
      </c>
      <c r="BO408">
        <v>0</v>
      </c>
      <c r="BP408" t="s">
        <v>691</v>
      </c>
      <c r="BQ408" t="s">
        <v>693</v>
      </c>
      <c r="BR408" t="s">
        <v>700</v>
      </c>
      <c r="BS408" t="s">
        <v>704</v>
      </c>
      <c r="BT408" t="s">
        <v>705</v>
      </c>
      <c r="BU408" t="s">
        <v>706</v>
      </c>
      <c r="CT408"/>
      <c r="CU408"/>
      <c r="CV408"/>
    </row>
    <row r="409" spans="1:100" x14ac:dyDescent="0.4">
      <c r="A409" s="2" t="s">
        <v>434</v>
      </c>
      <c r="B409" t="str">
        <f>_xlfn.TEXTAFTER(Table1[[#This Row],[VEHIDCODE]],"_")</f>
        <v>Norway_NSB_EL17</v>
      </c>
      <c r="C409" t="s">
        <v>740</v>
      </c>
      <c r="D409" t="s">
        <v>960</v>
      </c>
      <c r="E409">
        <v>6129</v>
      </c>
      <c r="F409" t="b">
        <f>OR(ISNUMBER(SEARCH("wagon_",Table1[[#This Row],[FILENAMES_EXPECTED]])),ISNUMBER(SEARCH("coach_",Table1[[#This Row],[FILENAMES_EXPECTED]])))</f>
        <v>0</v>
      </c>
      <c r="G409" t="str">
        <f>"item_"&amp;Table1[[#This Row],[VEHIDCODE]]</f>
        <v>item_electric_Norway_NSB_EL17</v>
      </c>
      <c r="H409" t="str">
        <f>"str_"&amp;Table1[[#This Row],[VEHIDCODE]]</f>
        <v>str_electric_Norway_NSB_EL17</v>
      </c>
      <c r="K409" t="b">
        <v>1</v>
      </c>
      <c r="AL409" s="2"/>
      <c r="AM409" s="2" t="b">
        <f>LEN(_xlfn.CONCAT(Table1[[#This Row],[TRACK_TYPE_STANDARD_GAUGE_RAILTYPE_OHLE]:[TRACK_TYPE_MTRO]]))&gt;0</f>
        <v>1</v>
      </c>
      <c r="AN409">
        <v>7</v>
      </c>
      <c r="AO409" t="s">
        <v>20</v>
      </c>
      <c r="AP409">
        <v>0</v>
      </c>
      <c r="AQ409" t="s">
        <v>74</v>
      </c>
      <c r="AR409">
        <v>0</v>
      </c>
      <c r="AS409">
        <v>1982</v>
      </c>
      <c r="AT409">
        <v>7</v>
      </c>
      <c r="AU409" s="2" t="s">
        <v>24</v>
      </c>
      <c r="AV409" t="b">
        <v>1</v>
      </c>
      <c r="AX409" s="2"/>
      <c r="AY409">
        <v>45</v>
      </c>
      <c r="AZ409">
        <v>1</v>
      </c>
      <c r="BA409">
        <v>4000</v>
      </c>
      <c r="BB409" t="s">
        <v>708</v>
      </c>
      <c r="BC409">
        <v>150</v>
      </c>
      <c r="BD409" s="2">
        <v>0.38</v>
      </c>
      <c r="BE409" t="s">
        <v>926</v>
      </c>
      <c r="BF409" t="s">
        <v>921</v>
      </c>
      <c r="BG409" t="s">
        <v>939</v>
      </c>
      <c r="BH409" s="7">
        <v>40</v>
      </c>
      <c r="BI40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409">
        <v>0</v>
      </c>
      <c r="BK409" t="s">
        <v>733</v>
      </c>
      <c r="BL409" s="11"/>
      <c r="BM409" s="11"/>
      <c r="BN409" s="11">
        <v>64</v>
      </c>
      <c r="BO409">
        <v>0</v>
      </c>
      <c r="BP409" t="s">
        <v>691</v>
      </c>
      <c r="BQ409" t="s">
        <v>693</v>
      </c>
      <c r="BR409" t="s">
        <v>700</v>
      </c>
      <c r="BS409" t="s">
        <v>704</v>
      </c>
      <c r="BT409" t="s">
        <v>705</v>
      </c>
      <c r="BU409" t="s">
        <v>706</v>
      </c>
      <c r="CT409"/>
      <c r="CU409"/>
      <c r="CV409"/>
    </row>
    <row r="410" spans="1:100" x14ac:dyDescent="0.4">
      <c r="A410" s="2" t="s">
        <v>435</v>
      </c>
      <c r="B410" t="str">
        <f>_xlfn.TEXTAFTER(Table1[[#This Row],[VEHIDCODE]],"_")</f>
        <v>Germany_Prussian_ES_6</v>
      </c>
      <c r="C410" t="s">
        <v>740</v>
      </c>
      <c r="D410" t="s">
        <v>960</v>
      </c>
      <c r="E410">
        <v>6135</v>
      </c>
      <c r="F410" t="b">
        <f>OR(ISNUMBER(SEARCH("wagon_",Table1[[#This Row],[FILENAMES_EXPECTED]])),ISNUMBER(SEARCH("coach_",Table1[[#This Row],[FILENAMES_EXPECTED]])))</f>
        <v>0</v>
      </c>
      <c r="G410" t="str">
        <f>"item_"&amp;Table1[[#This Row],[VEHIDCODE]]</f>
        <v>item_electric_Germany_Prussian_ES_6</v>
      </c>
      <c r="H410" t="str">
        <f>"str_"&amp;Table1[[#This Row],[VEHIDCODE]]</f>
        <v>str_electric_Germany_Prussian_ES_6</v>
      </c>
      <c r="K410" t="b">
        <v>1</v>
      </c>
      <c r="AL410" s="2"/>
      <c r="AM410" s="2" t="b">
        <f>LEN(_xlfn.CONCAT(Table1[[#This Row],[TRACK_TYPE_STANDARD_GAUGE_RAILTYPE_OHLE]:[TRACK_TYPE_MTRO]]))&gt;0</f>
        <v>1</v>
      </c>
      <c r="AN410">
        <v>6</v>
      </c>
      <c r="AO410" t="s">
        <v>20</v>
      </c>
      <c r="AP410">
        <v>0</v>
      </c>
      <c r="AQ410" t="s">
        <v>74</v>
      </c>
      <c r="AR410">
        <v>0</v>
      </c>
      <c r="AS410">
        <v>1914</v>
      </c>
      <c r="AT410">
        <v>6</v>
      </c>
      <c r="AU410" s="2" t="s">
        <v>20</v>
      </c>
      <c r="AV410" t="b">
        <v>1</v>
      </c>
      <c r="AX410" s="2"/>
      <c r="AY410">
        <v>45</v>
      </c>
      <c r="AZ410">
        <v>1</v>
      </c>
      <c r="BA410">
        <v>1186</v>
      </c>
      <c r="BB410" t="s">
        <v>708</v>
      </c>
      <c r="BC410">
        <v>100</v>
      </c>
      <c r="BD410" s="2">
        <v>0.1</v>
      </c>
      <c r="BE410" t="s">
        <v>922</v>
      </c>
      <c r="BF410" t="s">
        <v>921</v>
      </c>
      <c r="BG410" t="s">
        <v>939</v>
      </c>
      <c r="BH410" s="7">
        <v>40</v>
      </c>
      <c r="BI41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410">
        <v>-3</v>
      </c>
      <c r="BK410" t="s">
        <v>733</v>
      </c>
      <c r="BL410" s="11"/>
      <c r="BM410" s="11"/>
      <c r="BN410" s="11">
        <v>81</v>
      </c>
      <c r="BO410">
        <v>0</v>
      </c>
      <c r="BP410" t="s">
        <v>691</v>
      </c>
      <c r="BQ410" t="s">
        <v>693</v>
      </c>
      <c r="BR410" t="s">
        <v>700</v>
      </c>
      <c r="BS410" t="s">
        <v>704</v>
      </c>
      <c r="BT410" t="s">
        <v>705</v>
      </c>
      <c r="BU410" t="s">
        <v>706</v>
      </c>
      <c r="CT410"/>
      <c r="CU410"/>
      <c r="CV410"/>
    </row>
    <row r="411" spans="1:100" x14ac:dyDescent="0.4">
      <c r="A411" s="2" t="s">
        <v>436</v>
      </c>
      <c r="B411" t="str">
        <f>_xlfn.TEXTAFTER(Table1[[#This Row],[VEHIDCODE]],"_")</f>
        <v>USA_Virginian_Railway_EL_2B</v>
      </c>
      <c r="C411" t="s">
        <v>740</v>
      </c>
      <c r="D411" t="s">
        <v>960</v>
      </c>
      <c r="E411">
        <v>6098</v>
      </c>
      <c r="F411" t="b">
        <f>OR(ISNUMBER(SEARCH("wagon_",Table1[[#This Row],[FILENAMES_EXPECTED]])),ISNUMBER(SEARCH("coach_",Table1[[#This Row],[FILENAMES_EXPECTED]])))</f>
        <v>0</v>
      </c>
      <c r="G411" t="str">
        <f>"item_"&amp;Table1[[#This Row],[VEHIDCODE]]</f>
        <v>item_electric_USA_Virginian_Railway_EL_2B</v>
      </c>
      <c r="H411" t="str">
        <f>"str_"&amp;Table1[[#This Row],[VEHIDCODE]]</f>
        <v>str_electric_USA_Virginian_Railway_EL_2B</v>
      </c>
      <c r="K411" t="b">
        <v>1</v>
      </c>
      <c r="AL411" s="2"/>
      <c r="AM411" s="2" t="b">
        <f>LEN(_xlfn.CONCAT(Table1[[#This Row],[TRACK_TYPE_STANDARD_GAUGE_RAILTYPE_OHLE]:[TRACK_TYPE_MTRO]]))&gt;0</f>
        <v>1</v>
      </c>
      <c r="AN411">
        <v>16</v>
      </c>
      <c r="AO411" t="s">
        <v>20</v>
      </c>
      <c r="AP411">
        <v>0</v>
      </c>
      <c r="AQ411" t="s">
        <v>74</v>
      </c>
      <c r="AR411">
        <v>0</v>
      </c>
      <c r="AS411">
        <v>1948</v>
      </c>
      <c r="AT411">
        <v>8</v>
      </c>
      <c r="AU411" s="2" t="s">
        <v>20</v>
      </c>
      <c r="AV411" t="b">
        <v>1</v>
      </c>
      <c r="AX411" s="2"/>
      <c r="AY411">
        <v>45</v>
      </c>
      <c r="AZ411">
        <v>1</v>
      </c>
      <c r="BA411">
        <v>6800</v>
      </c>
      <c r="BB411" t="s">
        <v>708</v>
      </c>
      <c r="BC411">
        <v>80</v>
      </c>
      <c r="BD411" s="2">
        <v>0.16</v>
      </c>
      <c r="BE411" t="s">
        <v>927</v>
      </c>
      <c r="BF411" t="s">
        <v>921</v>
      </c>
      <c r="BG411" t="s">
        <v>939</v>
      </c>
      <c r="BH411" s="7">
        <v>40</v>
      </c>
      <c r="BI41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411">
        <v>0</v>
      </c>
      <c r="BK411" t="s">
        <v>733</v>
      </c>
      <c r="BL411" s="11"/>
      <c r="BM411" s="11"/>
      <c r="BN411" s="11">
        <v>450</v>
      </c>
      <c r="BO411">
        <v>0</v>
      </c>
      <c r="BP411" t="s">
        <v>691</v>
      </c>
      <c r="BQ411" t="s">
        <v>693</v>
      </c>
      <c r="BR411" t="s">
        <v>700</v>
      </c>
      <c r="BS411" t="s">
        <v>704</v>
      </c>
      <c r="BT411" t="s">
        <v>705</v>
      </c>
      <c r="BU411" t="s">
        <v>706</v>
      </c>
      <c r="CT411"/>
      <c r="CU411"/>
      <c r="CV411"/>
    </row>
    <row r="412" spans="1:100" x14ac:dyDescent="0.4">
      <c r="A412" s="2" t="s">
        <v>437</v>
      </c>
      <c r="B412" t="str">
        <f>_xlfn.TEXTAFTER(Table1[[#This Row],[VEHIDCODE]],"_")</f>
        <v>USA_GN_W_1</v>
      </c>
      <c r="C412" t="s">
        <v>740</v>
      </c>
      <c r="D412" t="s">
        <v>960</v>
      </c>
      <c r="E412">
        <v>6097</v>
      </c>
      <c r="F412" t="b">
        <f>OR(ISNUMBER(SEARCH("wagon_",Table1[[#This Row],[FILENAMES_EXPECTED]])),ISNUMBER(SEARCH("coach_",Table1[[#This Row],[FILENAMES_EXPECTED]])))</f>
        <v>0</v>
      </c>
      <c r="G412" t="str">
        <f>"item_"&amp;Table1[[#This Row],[VEHIDCODE]]</f>
        <v>item_electric_USA_GN_W_1</v>
      </c>
      <c r="H412" t="str">
        <f>"str_"&amp;Table1[[#This Row],[VEHIDCODE]]</f>
        <v>str_electric_USA_GN_W_1</v>
      </c>
      <c r="K412" t="b">
        <v>1</v>
      </c>
      <c r="AL412" s="2"/>
      <c r="AM412" s="2" t="b">
        <f>LEN(_xlfn.CONCAT(Table1[[#This Row],[TRACK_TYPE_STANDARD_GAUGE_RAILTYPE_OHLE]:[TRACK_TYPE_MTRO]]))&gt;0</f>
        <v>1</v>
      </c>
      <c r="AN412">
        <v>8</v>
      </c>
      <c r="AO412" t="s">
        <v>20</v>
      </c>
      <c r="AP412">
        <v>0</v>
      </c>
      <c r="AQ412" t="s">
        <v>74</v>
      </c>
      <c r="AR412">
        <v>0</v>
      </c>
      <c r="AS412">
        <v>1947</v>
      </c>
      <c r="AT412">
        <v>8</v>
      </c>
      <c r="AU412" s="2" t="s">
        <v>20</v>
      </c>
      <c r="AV412" t="b">
        <v>1</v>
      </c>
      <c r="AX412" s="2"/>
      <c r="AY412">
        <v>45</v>
      </c>
      <c r="AZ412">
        <v>1</v>
      </c>
      <c r="BA412">
        <v>5000</v>
      </c>
      <c r="BB412" t="s">
        <v>708</v>
      </c>
      <c r="BC412">
        <v>105</v>
      </c>
      <c r="BD412" s="2">
        <v>0.16</v>
      </c>
      <c r="BE412" t="s">
        <v>927</v>
      </c>
      <c r="BF412" t="s">
        <v>921</v>
      </c>
      <c r="BG412" t="s">
        <v>939</v>
      </c>
      <c r="BH412" s="7">
        <v>40</v>
      </c>
      <c r="BI41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412">
        <v>0</v>
      </c>
      <c r="BK412" t="s">
        <v>733</v>
      </c>
      <c r="BL412" s="11"/>
      <c r="BM412" s="11"/>
      <c r="BN412" s="11">
        <v>330</v>
      </c>
      <c r="BO412">
        <v>0</v>
      </c>
      <c r="BP412" t="s">
        <v>691</v>
      </c>
      <c r="BQ412" t="s">
        <v>693</v>
      </c>
      <c r="BR412" t="s">
        <v>700</v>
      </c>
      <c r="BS412" t="s">
        <v>704</v>
      </c>
      <c r="BT412" t="s">
        <v>705</v>
      </c>
      <c r="BU412" t="s">
        <v>706</v>
      </c>
      <c r="CT412"/>
      <c r="CU412"/>
      <c r="CV412"/>
    </row>
    <row r="413" spans="1:100" x14ac:dyDescent="0.4">
      <c r="A413" s="2" t="s">
        <v>438</v>
      </c>
      <c r="B413" t="str">
        <f>_xlfn.TEXTAFTER(Table1[[#This Row],[VEHIDCODE]],"_")</f>
        <v>USA_PRR_B1</v>
      </c>
      <c r="C413" t="s">
        <v>740</v>
      </c>
      <c r="D413" t="s">
        <v>960</v>
      </c>
      <c r="E413">
        <v>6121</v>
      </c>
      <c r="F413" t="b">
        <f>OR(ISNUMBER(SEARCH("wagon_",Table1[[#This Row],[FILENAMES_EXPECTED]])),ISNUMBER(SEARCH("coach_",Table1[[#This Row],[FILENAMES_EXPECTED]])))</f>
        <v>0</v>
      </c>
      <c r="G413" t="str">
        <f>"item_"&amp;Table1[[#This Row],[VEHIDCODE]]</f>
        <v>item_electric_USA_PRR_B1</v>
      </c>
      <c r="H413" t="str">
        <f>"str_"&amp;Table1[[#This Row],[VEHIDCODE]]</f>
        <v>str_electric_USA_PRR_B1</v>
      </c>
      <c r="K413" t="b">
        <v>1</v>
      </c>
      <c r="AL413" s="2"/>
      <c r="AM413" s="2" t="b">
        <f>LEN(_xlfn.CONCAT(Table1[[#This Row],[TRACK_TYPE_STANDARD_GAUGE_RAILTYPE_OHLE]:[TRACK_TYPE_MTRO]]))&gt;0</f>
        <v>1</v>
      </c>
      <c r="AN413">
        <v>4</v>
      </c>
      <c r="AO413" t="s">
        <v>20</v>
      </c>
      <c r="AP413">
        <v>0</v>
      </c>
      <c r="AQ413" t="s">
        <v>74</v>
      </c>
      <c r="AR413">
        <v>0</v>
      </c>
      <c r="AS413">
        <v>1926</v>
      </c>
      <c r="AT413">
        <v>4</v>
      </c>
      <c r="AU413" s="2" t="s">
        <v>24</v>
      </c>
      <c r="AV413" t="b">
        <v>1</v>
      </c>
      <c r="AX413" s="2"/>
      <c r="AY413">
        <v>45</v>
      </c>
      <c r="AZ413">
        <v>1</v>
      </c>
      <c r="BA413">
        <v>700</v>
      </c>
      <c r="BB413" t="s">
        <v>708</v>
      </c>
      <c r="BC413">
        <v>40</v>
      </c>
      <c r="BD413" s="2">
        <v>0.25</v>
      </c>
      <c r="BE413" t="s">
        <v>927</v>
      </c>
      <c r="BF413" t="s">
        <v>921</v>
      </c>
      <c r="BG413" t="s">
        <v>939</v>
      </c>
      <c r="BH413" s="7">
        <v>40</v>
      </c>
      <c r="BI41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413">
        <v>0</v>
      </c>
      <c r="BK413" t="s">
        <v>733</v>
      </c>
      <c r="BL413" s="11"/>
      <c r="BM413" s="11"/>
      <c r="BN413" s="11">
        <v>71</v>
      </c>
      <c r="BO413">
        <v>0</v>
      </c>
      <c r="BP413" t="s">
        <v>691</v>
      </c>
      <c r="BQ413" t="s">
        <v>693</v>
      </c>
      <c r="BR413" t="s">
        <v>700</v>
      </c>
      <c r="BS413" t="s">
        <v>704</v>
      </c>
      <c r="BT413" t="s">
        <v>705</v>
      </c>
      <c r="BU413" t="s">
        <v>706</v>
      </c>
      <c r="CT413"/>
      <c r="CU413"/>
      <c r="CV413"/>
    </row>
    <row r="414" spans="1:100" x14ac:dyDescent="0.4">
      <c r="A414" s="2" t="s">
        <v>439</v>
      </c>
      <c r="B414" t="str">
        <f>_xlfn.TEXTAFTER(Table1[[#This Row],[VEHIDCODE]],"_")</f>
        <v>Australia_Aurizon_E40_AG_V1</v>
      </c>
      <c r="C414" t="s">
        <v>740</v>
      </c>
      <c r="D414" t="s">
        <v>960</v>
      </c>
      <c r="E414">
        <v>6118</v>
      </c>
      <c r="F414" t="b">
        <f>OR(ISNUMBER(SEARCH("wagon_",Table1[[#This Row],[FILENAMES_EXPECTED]])),ISNUMBER(SEARCH("coach_",Table1[[#This Row],[FILENAMES_EXPECTED]])))</f>
        <v>0</v>
      </c>
      <c r="G414" t="str">
        <f>"item_"&amp;Table1[[#This Row],[VEHIDCODE]]</f>
        <v>item_electric_Australia_Aurizon_E40_AG_V1</v>
      </c>
      <c r="H414" t="str">
        <f>"str_"&amp;Table1[[#This Row],[VEHIDCODE]]</f>
        <v>str_electric_Australia_Aurizon_E40_AG_V1</v>
      </c>
      <c r="J414" t="b">
        <v>1</v>
      </c>
      <c r="AL414" s="2"/>
      <c r="AM414" s="2" t="b">
        <f>LEN(_xlfn.CONCAT(Table1[[#This Row],[TRACK_TYPE_STANDARD_GAUGE_RAILTYPE_OHLE]:[TRACK_TYPE_MTRO]]))&gt;0</f>
        <v>1</v>
      </c>
      <c r="AN414">
        <v>8</v>
      </c>
      <c r="AO414" t="s">
        <v>20</v>
      </c>
      <c r="AP414">
        <v>0</v>
      </c>
      <c r="AQ414" t="s">
        <v>74</v>
      </c>
      <c r="AR414">
        <v>0</v>
      </c>
      <c r="AS414">
        <v>2008</v>
      </c>
      <c r="AT414">
        <v>8</v>
      </c>
      <c r="AU414" s="2" t="s">
        <v>20</v>
      </c>
      <c r="AV414" t="b">
        <v>1</v>
      </c>
      <c r="AX414" s="2"/>
      <c r="AY414" t="s">
        <v>21</v>
      </c>
      <c r="AZ414">
        <v>1</v>
      </c>
      <c r="BA414">
        <v>5360</v>
      </c>
      <c r="BB414" t="s">
        <v>708</v>
      </c>
      <c r="BC414">
        <v>80</v>
      </c>
      <c r="BD414" s="2">
        <v>0.41</v>
      </c>
      <c r="BE414" t="s">
        <v>924</v>
      </c>
      <c r="BF414" t="s">
        <v>921</v>
      </c>
      <c r="BG414" t="s">
        <v>939</v>
      </c>
      <c r="BH414" s="7">
        <v>40</v>
      </c>
      <c r="BI41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414">
        <v>0</v>
      </c>
      <c r="BK414" t="s">
        <v>733</v>
      </c>
      <c r="BL414" s="11"/>
      <c r="BM414" s="11"/>
      <c r="BN414" s="11">
        <v>109</v>
      </c>
      <c r="BO414">
        <v>0</v>
      </c>
      <c r="BP414" t="s">
        <v>691</v>
      </c>
      <c r="BQ414" t="s">
        <v>693</v>
      </c>
      <c r="BR414" t="s">
        <v>700</v>
      </c>
      <c r="BS414" t="s">
        <v>704</v>
      </c>
      <c r="BT414" t="s">
        <v>705</v>
      </c>
      <c r="BU414" t="s">
        <v>706</v>
      </c>
      <c r="CT414"/>
      <c r="CU414"/>
      <c r="CV414"/>
    </row>
    <row r="415" spans="1:100" x14ac:dyDescent="0.4">
      <c r="A415" s="2" t="s">
        <v>440</v>
      </c>
      <c r="B415" t="str">
        <f>_xlfn.TEXTAFTER(Table1[[#This Row],[VEHIDCODE]],"_")</f>
        <v>China_China_Railways_SS6</v>
      </c>
      <c r="C415" t="s">
        <v>740</v>
      </c>
      <c r="D415" t="s">
        <v>960</v>
      </c>
      <c r="E415">
        <v>6044</v>
      </c>
      <c r="F415" t="b">
        <f>OR(ISNUMBER(SEARCH("wagon_",Table1[[#This Row],[FILENAMES_EXPECTED]])),ISNUMBER(SEARCH("coach_",Table1[[#This Row],[FILENAMES_EXPECTED]])))</f>
        <v>0</v>
      </c>
      <c r="G415" t="str">
        <f>"item_"&amp;Table1[[#This Row],[VEHIDCODE]]</f>
        <v>item_electric_China_China_Railways_SS6</v>
      </c>
      <c r="H415" t="str">
        <f>"str_"&amp;Table1[[#This Row],[VEHIDCODE]]</f>
        <v>str_electric_China_China_Railways_SS6</v>
      </c>
      <c r="J415" t="b">
        <v>1</v>
      </c>
      <c r="AL415" s="2"/>
      <c r="AM415" s="2" t="b">
        <f>LEN(_xlfn.CONCAT(Table1[[#This Row],[TRACK_TYPE_STANDARD_GAUGE_RAILTYPE_OHLE]:[TRACK_TYPE_MTRO]]))&gt;0</f>
        <v>1</v>
      </c>
      <c r="AN415">
        <v>8</v>
      </c>
      <c r="AO415" t="s">
        <v>20</v>
      </c>
      <c r="AP415">
        <v>0</v>
      </c>
      <c r="AQ415" t="s">
        <v>74</v>
      </c>
      <c r="AR415">
        <v>0</v>
      </c>
      <c r="AS415">
        <v>1991</v>
      </c>
      <c r="AT415">
        <v>8</v>
      </c>
      <c r="AU415" s="2" t="s">
        <v>20</v>
      </c>
      <c r="AV415" t="b">
        <v>1</v>
      </c>
      <c r="AX415" s="2"/>
      <c r="AY415" t="s">
        <v>21</v>
      </c>
      <c r="AZ415">
        <v>1</v>
      </c>
      <c r="BA415">
        <v>6432</v>
      </c>
      <c r="BB415" t="s">
        <v>708</v>
      </c>
      <c r="BC415">
        <v>100</v>
      </c>
      <c r="BD415" s="2">
        <v>0.35</v>
      </c>
      <c r="BE415" t="s">
        <v>930</v>
      </c>
      <c r="BF415" t="s">
        <v>921</v>
      </c>
      <c r="BG415" t="s">
        <v>939</v>
      </c>
      <c r="BH415" s="7">
        <v>40</v>
      </c>
      <c r="BI41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415">
        <v>-3</v>
      </c>
      <c r="BK415" t="s">
        <v>733</v>
      </c>
      <c r="BL415" s="11"/>
      <c r="BM415" s="11"/>
      <c r="BN415" s="11">
        <v>138</v>
      </c>
      <c r="BO415">
        <v>0</v>
      </c>
      <c r="BP415" t="s">
        <v>691</v>
      </c>
      <c r="BQ415" t="s">
        <v>693</v>
      </c>
      <c r="BR415" t="s">
        <v>700</v>
      </c>
      <c r="BS415" t="s">
        <v>704</v>
      </c>
      <c r="BT415" t="s">
        <v>705</v>
      </c>
      <c r="BU415" t="s">
        <v>706</v>
      </c>
      <c r="CT415"/>
      <c r="CU415"/>
      <c r="CV415"/>
    </row>
    <row r="416" spans="1:100" x14ac:dyDescent="0.4">
      <c r="A416" s="2" t="s">
        <v>441</v>
      </c>
      <c r="B416" t="str">
        <f>_xlfn.TEXTAFTER(Table1[[#This Row],[VEHIDCODE]],"_")</f>
        <v>China_China_Railways_SS3</v>
      </c>
      <c r="C416" t="s">
        <v>740</v>
      </c>
      <c r="D416" t="s">
        <v>960</v>
      </c>
      <c r="E416">
        <v>6127</v>
      </c>
      <c r="F416" t="b">
        <f>OR(ISNUMBER(SEARCH("wagon_",Table1[[#This Row],[FILENAMES_EXPECTED]])),ISNUMBER(SEARCH("coach_",Table1[[#This Row],[FILENAMES_EXPECTED]])))</f>
        <v>0</v>
      </c>
      <c r="G416" t="str">
        <f>"item_"&amp;Table1[[#This Row],[VEHIDCODE]]</f>
        <v>item_electric_China_China_Railways_SS3</v>
      </c>
      <c r="H416" t="str">
        <f>"str_"&amp;Table1[[#This Row],[VEHIDCODE]]</f>
        <v>str_electric_China_China_Railways_SS3</v>
      </c>
      <c r="J416" t="b">
        <v>1</v>
      </c>
      <c r="AL416" s="2"/>
      <c r="AM416" s="2" t="b">
        <f>LEN(_xlfn.CONCAT(Table1[[#This Row],[TRACK_TYPE_STANDARD_GAUGE_RAILTYPE_OHLE]:[TRACK_TYPE_MTRO]]))&gt;0</f>
        <v>1</v>
      </c>
      <c r="AN416">
        <v>8</v>
      </c>
      <c r="AO416" t="s">
        <v>20</v>
      </c>
      <c r="AP416">
        <v>0</v>
      </c>
      <c r="AQ416" t="s">
        <v>74</v>
      </c>
      <c r="AR416">
        <v>0</v>
      </c>
      <c r="AS416">
        <v>1978</v>
      </c>
      <c r="AT416">
        <v>8</v>
      </c>
      <c r="AU416" s="2" t="s">
        <v>24</v>
      </c>
      <c r="AV416" t="b">
        <v>1</v>
      </c>
      <c r="AX416" s="2"/>
      <c r="AY416">
        <v>45</v>
      </c>
      <c r="AZ416">
        <v>1</v>
      </c>
      <c r="BA416">
        <v>5793</v>
      </c>
      <c r="BB416" t="s">
        <v>708</v>
      </c>
      <c r="BC416">
        <v>100</v>
      </c>
      <c r="BD416" s="2">
        <v>0.34</v>
      </c>
      <c r="BE416" t="s">
        <v>930</v>
      </c>
      <c r="BF416" t="s">
        <v>921</v>
      </c>
      <c r="BG416" t="s">
        <v>939</v>
      </c>
      <c r="BH416" s="7">
        <v>40</v>
      </c>
      <c r="BI41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416">
        <v>0</v>
      </c>
      <c r="BK416" t="s">
        <v>733</v>
      </c>
      <c r="BL416" s="11"/>
      <c r="BM416" s="11"/>
      <c r="BN416" s="11">
        <v>138</v>
      </c>
      <c r="BO416">
        <v>0</v>
      </c>
      <c r="BP416" t="s">
        <v>691</v>
      </c>
      <c r="BQ416" t="s">
        <v>693</v>
      </c>
      <c r="BR416" t="s">
        <v>700</v>
      </c>
      <c r="BS416" t="s">
        <v>704</v>
      </c>
      <c r="BT416" t="s">
        <v>705</v>
      </c>
      <c r="BU416" t="s">
        <v>706</v>
      </c>
      <c r="CT416"/>
      <c r="CU416"/>
      <c r="CV416"/>
    </row>
    <row r="417" spans="1:100" x14ac:dyDescent="0.4">
      <c r="A417" s="2" t="s">
        <v>442</v>
      </c>
      <c r="B417" t="str">
        <f>_xlfn.TEXTAFTER(Table1[[#This Row],[VEHIDCODE]],"_")</f>
        <v>China_China_Railways_HXD3</v>
      </c>
      <c r="C417" t="s">
        <v>740</v>
      </c>
      <c r="D417" t="s">
        <v>960</v>
      </c>
      <c r="E417">
        <v>6058</v>
      </c>
      <c r="F417" t="b">
        <f>OR(ISNUMBER(SEARCH("wagon_",Table1[[#This Row],[FILENAMES_EXPECTED]])),ISNUMBER(SEARCH("coach_",Table1[[#This Row],[FILENAMES_EXPECTED]])))</f>
        <v>0</v>
      </c>
      <c r="G417" t="str">
        <f>"item_"&amp;Table1[[#This Row],[VEHIDCODE]]</f>
        <v>item_electric_China_China_Railways_HXD3</v>
      </c>
      <c r="H417" t="str">
        <f>"str_"&amp;Table1[[#This Row],[VEHIDCODE]]</f>
        <v>str_electric_China_China_Railways_HXD3</v>
      </c>
      <c r="J417" t="b">
        <v>1</v>
      </c>
      <c r="AL417" s="2"/>
      <c r="AM417" s="2" t="b">
        <f>LEN(_xlfn.CONCAT(Table1[[#This Row],[TRACK_TYPE_STANDARD_GAUGE_RAILTYPE_OHLE]:[TRACK_TYPE_MTRO]]))&gt;0</f>
        <v>1</v>
      </c>
      <c r="AN417">
        <v>8</v>
      </c>
      <c r="AO417" t="s">
        <v>20</v>
      </c>
      <c r="AP417">
        <v>0</v>
      </c>
      <c r="AQ417" t="s">
        <v>74</v>
      </c>
      <c r="AR417">
        <v>0</v>
      </c>
      <c r="AS417">
        <v>2006</v>
      </c>
      <c r="AT417">
        <v>8</v>
      </c>
      <c r="AU417" s="2" t="s">
        <v>20</v>
      </c>
      <c r="AV417" t="b">
        <v>1</v>
      </c>
      <c r="AX417" s="2"/>
      <c r="AY417" t="s">
        <v>21</v>
      </c>
      <c r="AZ417">
        <v>1</v>
      </c>
      <c r="BA417">
        <v>12800</v>
      </c>
      <c r="BB417" t="s">
        <v>708</v>
      </c>
      <c r="BC417">
        <v>120</v>
      </c>
      <c r="BD417" s="2">
        <v>0.27</v>
      </c>
      <c r="BE417" t="s">
        <v>930</v>
      </c>
      <c r="BF417" t="s">
        <v>921</v>
      </c>
      <c r="BG417" t="s">
        <v>939</v>
      </c>
      <c r="BH417" s="7">
        <v>40</v>
      </c>
      <c r="BI41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417">
        <v>-3</v>
      </c>
      <c r="BK417" t="s">
        <v>733</v>
      </c>
      <c r="BL417" s="11"/>
      <c r="BM417" s="11"/>
      <c r="BN417" s="11">
        <v>150</v>
      </c>
      <c r="BO417">
        <v>0</v>
      </c>
      <c r="BP417" t="s">
        <v>691</v>
      </c>
      <c r="BQ417" t="s">
        <v>693</v>
      </c>
      <c r="BR417" t="s">
        <v>700</v>
      </c>
      <c r="BS417" t="s">
        <v>704</v>
      </c>
      <c r="BT417" t="s">
        <v>705</v>
      </c>
      <c r="BU417" t="s">
        <v>706</v>
      </c>
      <c r="CT417"/>
      <c r="CU417"/>
      <c r="CV417"/>
    </row>
    <row r="418" spans="1:100" x14ac:dyDescent="0.4">
      <c r="A418" s="2" t="s">
        <v>443</v>
      </c>
      <c r="B418" t="str">
        <f>_xlfn.TEXTAFTER(Table1[[#This Row],[VEHIDCODE]],"_")</f>
        <v>China_China_Railways_HXD1D</v>
      </c>
      <c r="C418" t="s">
        <v>740</v>
      </c>
      <c r="D418" t="s">
        <v>960</v>
      </c>
      <c r="E418">
        <v>6093</v>
      </c>
      <c r="F418" t="b">
        <f>OR(ISNUMBER(SEARCH("wagon_",Table1[[#This Row],[FILENAMES_EXPECTED]])),ISNUMBER(SEARCH("coach_",Table1[[#This Row],[FILENAMES_EXPECTED]])))</f>
        <v>0</v>
      </c>
      <c r="G418" t="str">
        <f>"item_"&amp;Table1[[#This Row],[VEHIDCODE]]</f>
        <v>item_electric_China_China_Railways_HXD1D</v>
      </c>
      <c r="H418" t="str">
        <f>"str_"&amp;Table1[[#This Row],[VEHIDCODE]]</f>
        <v>str_electric_China_China_Railways_HXD1D</v>
      </c>
      <c r="J418" t="b">
        <v>1</v>
      </c>
      <c r="AL418" s="2"/>
      <c r="AM418" s="2" t="b">
        <f>LEN(_xlfn.CONCAT(Table1[[#This Row],[TRACK_TYPE_STANDARD_GAUGE_RAILTYPE_OHLE]:[TRACK_TYPE_MTRO]]))&gt;0</f>
        <v>1</v>
      </c>
      <c r="AN418">
        <v>8</v>
      </c>
      <c r="AO418" t="s">
        <v>20</v>
      </c>
      <c r="AP418">
        <v>0</v>
      </c>
      <c r="AQ418" t="s">
        <v>74</v>
      </c>
      <c r="AR418">
        <v>0</v>
      </c>
      <c r="AS418">
        <v>2012</v>
      </c>
      <c r="AT418">
        <v>8</v>
      </c>
      <c r="AU418" s="2" t="s">
        <v>20</v>
      </c>
      <c r="AV418" t="b">
        <v>1</v>
      </c>
      <c r="AX418" s="2"/>
      <c r="AY418" t="s">
        <v>21</v>
      </c>
      <c r="AZ418">
        <v>1</v>
      </c>
      <c r="BA418">
        <v>9700</v>
      </c>
      <c r="BB418" t="s">
        <v>708</v>
      </c>
      <c r="BC418">
        <v>160</v>
      </c>
      <c r="BD418" s="2">
        <v>0.33</v>
      </c>
      <c r="BE418" t="s">
        <v>930</v>
      </c>
      <c r="BF418" t="s">
        <v>921</v>
      </c>
      <c r="BG418" t="s">
        <v>939</v>
      </c>
      <c r="BH418" s="7">
        <v>40</v>
      </c>
      <c r="BI41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418">
        <v>0</v>
      </c>
      <c r="BK418" t="s">
        <v>733</v>
      </c>
      <c r="BL418" s="11"/>
      <c r="BM418" s="11"/>
      <c r="BN418" s="11">
        <v>126</v>
      </c>
      <c r="BO418">
        <v>0</v>
      </c>
      <c r="BP418" t="s">
        <v>691</v>
      </c>
      <c r="BQ418" t="s">
        <v>693</v>
      </c>
      <c r="BR418" t="s">
        <v>700</v>
      </c>
      <c r="BS418" t="s">
        <v>704</v>
      </c>
      <c r="BT418" t="s">
        <v>705</v>
      </c>
      <c r="BU418" t="s">
        <v>706</v>
      </c>
      <c r="CT418"/>
      <c r="CU418"/>
      <c r="CV418"/>
    </row>
    <row r="419" spans="1:100" x14ac:dyDescent="0.4">
      <c r="A419" s="2" t="s">
        <v>444</v>
      </c>
      <c r="B419" t="str">
        <f>_xlfn.TEXTAFTER(Table1[[#This Row],[VEHIDCODE]],"_")</f>
        <v>China_China_Railways_6K</v>
      </c>
      <c r="C419" t="s">
        <v>740</v>
      </c>
      <c r="D419" t="s">
        <v>960</v>
      </c>
      <c r="E419">
        <v>6042</v>
      </c>
      <c r="F419" t="b">
        <f>OR(ISNUMBER(SEARCH("wagon_",Table1[[#This Row],[FILENAMES_EXPECTED]])),ISNUMBER(SEARCH("coach_",Table1[[#This Row],[FILENAMES_EXPECTED]])))</f>
        <v>0</v>
      </c>
      <c r="G419" t="str">
        <f>"item_"&amp;Table1[[#This Row],[VEHIDCODE]]</f>
        <v>item_electric_China_China_Railways_6K</v>
      </c>
      <c r="H419" t="str">
        <f>"str_"&amp;Table1[[#This Row],[VEHIDCODE]]</f>
        <v>str_electric_China_China_Railways_6K</v>
      </c>
      <c r="J419" t="b">
        <v>1</v>
      </c>
      <c r="AL419" s="2"/>
      <c r="AM419" s="2" t="b">
        <f>LEN(_xlfn.CONCAT(Table1[[#This Row],[TRACK_TYPE_STANDARD_GAUGE_RAILTYPE_OHLE]:[TRACK_TYPE_MTRO]]))&gt;0</f>
        <v>1</v>
      </c>
      <c r="AN419">
        <v>8</v>
      </c>
      <c r="AO419" t="s">
        <v>20</v>
      </c>
      <c r="AP419">
        <v>0</v>
      </c>
      <c r="AQ419" t="s">
        <v>74</v>
      </c>
      <c r="AR419">
        <v>0</v>
      </c>
      <c r="AS419">
        <v>1986</v>
      </c>
      <c r="AT419">
        <v>8</v>
      </c>
      <c r="AU419" s="2" t="s">
        <v>20</v>
      </c>
      <c r="AV419" t="b">
        <v>1</v>
      </c>
      <c r="AX419" s="2"/>
      <c r="AY419">
        <v>45</v>
      </c>
      <c r="AZ419">
        <v>1</v>
      </c>
      <c r="BA419">
        <v>6450</v>
      </c>
      <c r="BB419" t="s">
        <v>708</v>
      </c>
      <c r="BC419">
        <v>100</v>
      </c>
      <c r="BD419" s="2">
        <v>0.35</v>
      </c>
      <c r="BE419" t="s">
        <v>930</v>
      </c>
      <c r="BF419" t="s">
        <v>921</v>
      </c>
      <c r="BG419" t="s">
        <v>939</v>
      </c>
      <c r="BH419" s="7">
        <v>40</v>
      </c>
      <c r="BI41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419">
        <v>-3</v>
      </c>
      <c r="BK419" t="s">
        <v>733</v>
      </c>
      <c r="BL419" s="11"/>
      <c r="BM419" s="11"/>
      <c r="BN419" s="11">
        <v>138</v>
      </c>
      <c r="BO419">
        <v>0</v>
      </c>
      <c r="BP419" t="s">
        <v>691</v>
      </c>
      <c r="BQ419" t="s">
        <v>693</v>
      </c>
      <c r="BR419" t="s">
        <v>700</v>
      </c>
      <c r="BS419" t="s">
        <v>704</v>
      </c>
      <c r="BT419" t="s">
        <v>705</v>
      </c>
      <c r="BU419" t="s">
        <v>706</v>
      </c>
      <c r="CT419"/>
      <c r="CU419"/>
      <c r="CV419"/>
    </row>
    <row r="420" spans="1:100" x14ac:dyDescent="0.4">
      <c r="A420" s="2" t="s">
        <v>445</v>
      </c>
      <c r="B420" t="str">
        <f>_xlfn.TEXTAFTER(Table1[[#This Row],[VEHIDCODE]],"_")</f>
        <v>USA_PRR_E44</v>
      </c>
      <c r="C420" t="s">
        <v>740</v>
      </c>
      <c r="D420" t="s">
        <v>960</v>
      </c>
      <c r="E420">
        <v>6101</v>
      </c>
      <c r="F420" t="b">
        <f>OR(ISNUMBER(SEARCH("wagon_",Table1[[#This Row],[FILENAMES_EXPECTED]])),ISNUMBER(SEARCH("coach_",Table1[[#This Row],[FILENAMES_EXPECTED]])))</f>
        <v>0</v>
      </c>
      <c r="G420" t="str">
        <f>"item_"&amp;Table1[[#This Row],[VEHIDCODE]]</f>
        <v>item_electric_USA_PRR_E44</v>
      </c>
      <c r="H420" t="str">
        <f>"str_"&amp;Table1[[#This Row],[VEHIDCODE]]</f>
        <v>str_electric_USA_PRR_E44</v>
      </c>
      <c r="J420" t="b">
        <v>1</v>
      </c>
      <c r="AL420" s="2"/>
      <c r="AM420" s="2" t="b">
        <f>LEN(_xlfn.CONCAT(Table1[[#This Row],[TRACK_TYPE_STANDARD_GAUGE_RAILTYPE_OHLE]:[TRACK_TYPE_MTRO]]))&gt;0</f>
        <v>1</v>
      </c>
      <c r="AN420">
        <v>8</v>
      </c>
      <c r="AO420" t="s">
        <v>20</v>
      </c>
      <c r="AP420">
        <v>0</v>
      </c>
      <c r="AQ420" t="s">
        <v>74</v>
      </c>
      <c r="AR420">
        <v>0</v>
      </c>
      <c r="AS420">
        <v>1960</v>
      </c>
      <c r="AT420">
        <v>8</v>
      </c>
      <c r="AU420" s="2" t="s">
        <v>20</v>
      </c>
      <c r="AV420" t="b">
        <v>1</v>
      </c>
      <c r="AX420" s="2"/>
      <c r="AY420">
        <v>45</v>
      </c>
      <c r="AZ420">
        <v>1</v>
      </c>
      <c r="BA420">
        <v>4400</v>
      </c>
      <c r="BB420" t="s">
        <v>708</v>
      </c>
      <c r="BC420">
        <v>113</v>
      </c>
      <c r="BD420" s="2">
        <v>0.24</v>
      </c>
      <c r="BE420" t="s">
        <v>927</v>
      </c>
      <c r="BF420" t="s">
        <v>921</v>
      </c>
      <c r="BG420" t="s">
        <v>939</v>
      </c>
      <c r="BH420" s="7">
        <v>40</v>
      </c>
      <c r="BI42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420">
        <v>0</v>
      </c>
      <c r="BK420" t="s">
        <v>733</v>
      </c>
      <c r="BL420" s="11"/>
      <c r="BM420" s="11"/>
      <c r="BN420" s="11">
        <v>175</v>
      </c>
      <c r="BO420">
        <v>0</v>
      </c>
      <c r="BP420" t="s">
        <v>691</v>
      </c>
      <c r="BQ420" t="s">
        <v>693</v>
      </c>
      <c r="BR420" t="s">
        <v>700</v>
      </c>
      <c r="BS420" t="s">
        <v>704</v>
      </c>
      <c r="BT420" t="s">
        <v>705</v>
      </c>
      <c r="BU420" t="s">
        <v>706</v>
      </c>
      <c r="CT420"/>
      <c r="CU420"/>
      <c r="CV420"/>
    </row>
    <row r="421" spans="1:100" x14ac:dyDescent="0.4">
      <c r="A421" s="2" t="s">
        <v>446</v>
      </c>
      <c r="B421" t="str">
        <f>_xlfn.TEXTAFTER(Table1[[#This Row],[VEHIDCODE]],"_")</f>
        <v>Croatia_HZ_1141</v>
      </c>
      <c r="C421" t="s">
        <v>740</v>
      </c>
      <c r="D421" t="s">
        <v>960</v>
      </c>
      <c r="E421">
        <v>6031</v>
      </c>
      <c r="F421" t="b">
        <f>OR(ISNUMBER(SEARCH("wagon_",Table1[[#This Row],[FILENAMES_EXPECTED]])),ISNUMBER(SEARCH("coach_",Table1[[#This Row],[FILENAMES_EXPECTED]])))</f>
        <v>0</v>
      </c>
      <c r="G421" t="str">
        <f>"item_"&amp;Table1[[#This Row],[VEHIDCODE]]</f>
        <v>item_electric_Croatia_HZ_1141</v>
      </c>
      <c r="H421" t="str">
        <f>"str_"&amp;Table1[[#This Row],[VEHIDCODE]]</f>
        <v>str_electric_Croatia_HZ_1141</v>
      </c>
      <c r="J421" t="b">
        <v>1</v>
      </c>
      <c r="AL421" s="2"/>
      <c r="AM421" s="2" t="b">
        <f>LEN(_xlfn.CONCAT(Table1[[#This Row],[TRACK_TYPE_STANDARD_GAUGE_RAILTYPE_OHLE]:[TRACK_TYPE_MTRO]]))&gt;0</f>
        <v>1</v>
      </c>
      <c r="AN421">
        <v>8</v>
      </c>
      <c r="AO421" t="s">
        <v>20</v>
      </c>
      <c r="AP421">
        <v>0</v>
      </c>
      <c r="AQ421" t="s">
        <v>74</v>
      </c>
      <c r="AR421">
        <v>0</v>
      </c>
      <c r="AS421">
        <v>1967</v>
      </c>
      <c r="AT421">
        <v>8</v>
      </c>
      <c r="AU421" s="2" t="s">
        <v>20</v>
      </c>
      <c r="AV421" t="b">
        <v>1</v>
      </c>
      <c r="AX421" s="2"/>
      <c r="AY421">
        <v>45</v>
      </c>
      <c r="AZ421">
        <v>1</v>
      </c>
      <c r="BA421">
        <v>4624</v>
      </c>
      <c r="BB421" t="s">
        <v>708</v>
      </c>
      <c r="BC421">
        <v>120</v>
      </c>
      <c r="BD421" s="2">
        <v>0.25</v>
      </c>
      <c r="BE421" t="s">
        <v>928</v>
      </c>
      <c r="BF421" t="s">
        <v>921</v>
      </c>
      <c r="BG421" t="s">
        <v>939</v>
      </c>
      <c r="BH421" s="7">
        <v>40</v>
      </c>
      <c r="BI42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421">
        <v>-3</v>
      </c>
      <c r="BK421" t="s">
        <v>733</v>
      </c>
      <c r="BL421" s="11"/>
      <c r="BM421" s="11"/>
      <c r="BN421" s="11">
        <v>78</v>
      </c>
      <c r="BO421">
        <v>0</v>
      </c>
      <c r="BP421" t="s">
        <v>691</v>
      </c>
      <c r="BQ421" t="s">
        <v>693</v>
      </c>
      <c r="BR421" t="s">
        <v>700</v>
      </c>
      <c r="BS421" t="s">
        <v>704</v>
      </c>
      <c r="BT421" t="s">
        <v>705</v>
      </c>
      <c r="BU421" t="s">
        <v>706</v>
      </c>
      <c r="CT421"/>
      <c r="CU421"/>
      <c r="CV421"/>
    </row>
    <row r="422" spans="1:100" x14ac:dyDescent="0.4">
      <c r="A422" s="2" t="s">
        <v>447</v>
      </c>
      <c r="B422" t="str">
        <f>_xlfn.TEXTAFTER(Table1[[#This Row],[VEHIDCODE]],"_")</f>
        <v>Hungary_MAV_Class_V43</v>
      </c>
      <c r="C422" t="s">
        <v>740</v>
      </c>
      <c r="D422" t="s">
        <v>960</v>
      </c>
      <c r="E422">
        <v>6085</v>
      </c>
      <c r="F422" t="b">
        <f>OR(ISNUMBER(SEARCH("wagon_",Table1[[#This Row],[FILENAMES_EXPECTED]])),ISNUMBER(SEARCH("coach_",Table1[[#This Row],[FILENAMES_EXPECTED]])))</f>
        <v>0</v>
      </c>
      <c r="G422" t="str">
        <f>"item_"&amp;Table1[[#This Row],[VEHIDCODE]]</f>
        <v>item_electric_Hungary_MAV_Class_V43</v>
      </c>
      <c r="H422" t="str">
        <f>"str_"&amp;Table1[[#This Row],[VEHIDCODE]]</f>
        <v>str_electric_Hungary_MAV_Class_V43</v>
      </c>
      <c r="J422" t="b">
        <v>1</v>
      </c>
      <c r="AL422" s="2"/>
      <c r="AM422" s="2" t="b">
        <f>LEN(_xlfn.CONCAT(Table1[[#This Row],[TRACK_TYPE_STANDARD_GAUGE_RAILTYPE_OHLE]:[TRACK_TYPE_MTRO]]))&gt;0</f>
        <v>1</v>
      </c>
      <c r="AN422">
        <v>8</v>
      </c>
      <c r="AO422" t="s">
        <v>20</v>
      </c>
      <c r="AP422">
        <v>0</v>
      </c>
      <c r="AQ422" t="s">
        <v>74</v>
      </c>
      <c r="AR422">
        <v>0</v>
      </c>
      <c r="AS422">
        <v>1963</v>
      </c>
      <c r="AT422">
        <v>8</v>
      </c>
      <c r="AU422" s="2" t="s">
        <v>20</v>
      </c>
      <c r="AV422" t="b">
        <v>1</v>
      </c>
      <c r="AX422" s="2"/>
      <c r="AY422">
        <v>45</v>
      </c>
      <c r="AZ422">
        <v>0</v>
      </c>
      <c r="BA422">
        <v>2950</v>
      </c>
      <c r="BB422" t="s">
        <v>708</v>
      </c>
      <c r="BC422">
        <v>120</v>
      </c>
      <c r="BD422" s="2">
        <v>0.34</v>
      </c>
      <c r="BE422" t="s">
        <v>928</v>
      </c>
      <c r="BF422" t="s">
        <v>921</v>
      </c>
      <c r="BG422" t="s">
        <v>939</v>
      </c>
      <c r="BH422" s="7">
        <v>40</v>
      </c>
      <c r="BI42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422">
        <v>0</v>
      </c>
      <c r="BK422" t="s">
        <v>733</v>
      </c>
      <c r="BL422" s="11"/>
      <c r="BM422" s="11"/>
      <c r="BN422" s="11">
        <v>80</v>
      </c>
      <c r="BO422">
        <v>0</v>
      </c>
      <c r="BP422" t="s">
        <v>691</v>
      </c>
      <c r="BQ422" t="s">
        <v>693</v>
      </c>
      <c r="BR422" t="s">
        <v>700</v>
      </c>
      <c r="BS422" t="s">
        <v>704</v>
      </c>
      <c r="BT422" t="s">
        <v>705</v>
      </c>
      <c r="BU422" t="s">
        <v>706</v>
      </c>
      <c r="CT422"/>
      <c r="CU422"/>
      <c r="CV422"/>
    </row>
    <row r="423" spans="1:100" x14ac:dyDescent="0.4">
      <c r="A423" s="2" t="s">
        <v>448</v>
      </c>
      <c r="B423" t="str">
        <f>_xlfn.TEXTAFTER(Table1[[#This Row],[VEHIDCODE]],"_")</f>
        <v>Portugal_CP_2500</v>
      </c>
      <c r="C423" t="s">
        <v>740</v>
      </c>
      <c r="D423" t="s">
        <v>960</v>
      </c>
      <c r="E423">
        <v>6025</v>
      </c>
      <c r="F423" t="b">
        <f>OR(ISNUMBER(SEARCH("wagon_",Table1[[#This Row],[FILENAMES_EXPECTED]])),ISNUMBER(SEARCH("coach_",Table1[[#This Row],[FILENAMES_EXPECTED]])))</f>
        <v>0</v>
      </c>
      <c r="G423" t="str">
        <f>"item_"&amp;Table1[[#This Row],[VEHIDCODE]]</f>
        <v>item_electric_Portugal_CP_2500</v>
      </c>
      <c r="H423" t="str">
        <f>"str_"&amp;Table1[[#This Row],[VEHIDCODE]]</f>
        <v>str_electric_Portugal_CP_2500</v>
      </c>
      <c r="J423" t="b">
        <v>1</v>
      </c>
      <c r="AL423" s="2"/>
      <c r="AM423" s="2" t="b">
        <f>LEN(_xlfn.CONCAT(Table1[[#This Row],[TRACK_TYPE_STANDARD_GAUGE_RAILTYPE_OHLE]:[TRACK_TYPE_MTRO]]))&gt;0</f>
        <v>1</v>
      </c>
      <c r="AN423">
        <v>6</v>
      </c>
      <c r="AO423" t="s">
        <v>20</v>
      </c>
      <c r="AP423">
        <v>0</v>
      </c>
      <c r="AQ423" t="s">
        <v>74</v>
      </c>
      <c r="AR423">
        <v>0</v>
      </c>
      <c r="AS423">
        <v>1956</v>
      </c>
      <c r="AT423">
        <v>6</v>
      </c>
      <c r="AU423" s="2" t="s">
        <v>20</v>
      </c>
      <c r="AV423" t="b">
        <v>1</v>
      </c>
      <c r="AX423" s="2"/>
      <c r="AY423">
        <v>45</v>
      </c>
      <c r="AZ423">
        <v>1</v>
      </c>
      <c r="BA423">
        <v>2790</v>
      </c>
      <c r="BB423" t="s">
        <v>708</v>
      </c>
      <c r="BC423">
        <v>120</v>
      </c>
      <c r="BD423" s="2">
        <v>0.27</v>
      </c>
      <c r="BE423" t="s">
        <v>923</v>
      </c>
      <c r="BF423" t="s">
        <v>921</v>
      </c>
      <c r="BG423" t="s">
        <v>939</v>
      </c>
      <c r="BH423" s="7">
        <v>40</v>
      </c>
      <c r="BI42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423">
        <v>-3</v>
      </c>
      <c r="BK423" t="s">
        <v>733</v>
      </c>
      <c r="BL423" s="11"/>
      <c r="BM423" s="11"/>
      <c r="BN423" s="11">
        <v>72</v>
      </c>
      <c r="BO423">
        <v>0</v>
      </c>
      <c r="BP423" t="s">
        <v>691</v>
      </c>
      <c r="BQ423" t="s">
        <v>693</v>
      </c>
      <c r="BR423" t="s">
        <v>700</v>
      </c>
      <c r="BS423" t="s">
        <v>704</v>
      </c>
      <c r="BT423" t="s">
        <v>705</v>
      </c>
      <c r="BU423" t="s">
        <v>706</v>
      </c>
      <c r="CT423"/>
      <c r="CU423"/>
      <c r="CV423"/>
    </row>
    <row r="424" spans="1:100" x14ac:dyDescent="0.4">
      <c r="A424" s="2" t="s">
        <v>449</v>
      </c>
      <c r="B424" t="str">
        <f>_xlfn.TEXTAFTER(Table1[[#This Row],[VEHIDCODE]],"_")</f>
        <v>Portugal_CP_2600</v>
      </c>
      <c r="C424" t="s">
        <v>740</v>
      </c>
      <c r="D424" t="s">
        <v>960</v>
      </c>
      <c r="E424">
        <v>6103</v>
      </c>
      <c r="F424" t="b">
        <f>OR(ISNUMBER(SEARCH("wagon_",Table1[[#This Row],[FILENAMES_EXPECTED]])),ISNUMBER(SEARCH("coach_",Table1[[#This Row],[FILENAMES_EXPECTED]])))</f>
        <v>0</v>
      </c>
      <c r="G424" t="str">
        <f>"item_"&amp;Table1[[#This Row],[VEHIDCODE]]</f>
        <v>item_electric_Portugal_CP_2600</v>
      </c>
      <c r="H424" t="str">
        <f>"str_"&amp;Table1[[#This Row],[VEHIDCODE]]</f>
        <v>str_electric_Portugal_CP_2600</v>
      </c>
      <c r="J424" t="b">
        <v>1</v>
      </c>
      <c r="AL424" s="2"/>
      <c r="AM424" s="2" t="b">
        <f>LEN(_xlfn.CONCAT(Table1[[#This Row],[TRACK_TYPE_STANDARD_GAUGE_RAILTYPE_OHLE]:[TRACK_TYPE_MTRO]]))&gt;0</f>
        <v>1</v>
      </c>
      <c r="AN424">
        <v>8</v>
      </c>
      <c r="AO424" t="s">
        <v>20</v>
      </c>
      <c r="AP424">
        <v>0</v>
      </c>
      <c r="AQ424" t="s">
        <v>74</v>
      </c>
      <c r="AR424">
        <v>0</v>
      </c>
      <c r="AS424">
        <v>1974</v>
      </c>
      <c r="AT424">
        <v>8</v>
      </c>
      <c r="AU424" s="2" t="s">
        <v>20</v>
      </c>
      <c r="AV424" t="b">
        <v>1</v>
      </c>
      <c r="AX424" s="2"/>
      <c r="AY424">
        <v>45</v>
      </c>
      <c r="AZ424">
        <v>1</v>
      </c>
      <c r="BA424">
        <v>4020</v>
      </c>
      <c r="BB424" t="s">
        <v>708</v>
      </c>
      <c r="BC424">
        <v>100</v>
      </c>
      <c r="BD424" s="2">
        <v>0.32</v>
      </c>
      <c r="BE424" t="s">
        <v>923</v>
      </c>
      <c r="BF424" t="s">
        <v>921</v>
      </c>
      <c r="BG424" t="s">
        <v>939</v>
      </c>
      <c r="BH424" s="7">
        <v>40</v>
      </c>
      <c r="BI42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424">
        <v>0</v>
      </c>
      <c r="BK424" t="s">
        <v>733</v>
      </c>
      <c r="BL424" s="11"/>
      <c r="BM424" s="11"/>
      <c r="BN424" s="11">
        <v>78</v>
      </c>
      <c r="BO424">
        <v>0</v>
      </c>
      <c r="BP424" t="s">
        <v>691</v>
      </c>
      <c r="BQ424" t="s">
        <v>693</v>
      </c>
      <c r="BR424" t="s">
        <v>700</v>
      </c>
      <c r="BS424" t="s">
        <v>704</v>
      </c>
      <c r="BT424" t="s">
        <v>705</v>
      </c>
      <c r="BU424" t="s">
        <v>706</v>
      </c>
      <c r="CT424"/>
      <c r="CU424"/>
      <c r="CV424"/>
    </row>
    <row r="425" spans="1:100" x14ac:dyDescent="0.4">
      <c r="A425" s="2" t="s">
        <v>450</v>
      </c>
      <c r="B425" t="str">
        <f>_xlfn.TEXTAFTER(Table1[[#This Row],[VEHIDCODE]],"_")</f>
        <v>South_Africa_SAR_20E</v>
      </c>
      <c r="C425" t="s">
        <v>740</v>
      </c>
      <c r="D425" t="s">
        <v>960</v>
      </c>
      <c r="E425">
        <v>6094</v>
      </c>
      <c r="F425" t="b">
        <f>OR(ISNUMBER(SEARCH("wagon_",Table1[[#This Row],[FILENAMES_EXPECTED]])),ISNUMBER(SEARCH("coach_",Table1[[#This Row],[FILENAMES_EXPECTED]])))</f>
        <v>0</v>
      </c>
      <c r="G425" t="str">
        <f>"item_"&amp;Table1[[#This Row],[VEHIDCODE]]</f>
        <v>item_electric_South_Africa_SAR_20E</v>
      </c>
      <c r="H425" t="str">
        <f>"str_"&amp;Table1[[#This Row],[VEHIDCODE]]</f>
        <v>str_electric_South_Africa_SAR_20E</v>
      </c>
      <c r="S425" t="b">
        <v>1</v>
      </c>
      <c r="AL425" s="2"/>
      <c r="AM425" s="2" t="b">
        <f>LEN(_xlfn.CONCAT(Table1[[#This Row],[TRACK_TYPE_STANDARD_GAUGE_RAILTYPE_OHLE]:[TRACK_TYPE_MTRO]]))&gt;0</f>
        <v>1</v>
      </c>
      <c r="AN425">
        <v>7</v>
      </c>
      <c r="AO425" t="s">
        <v>20</v>
      </c>
      <c r="AP425">
        <v>0</v>
      </c>
      <c r="AQ425" t="s">
        <v>74</v>
      </c>
      <c r="AR425">
        <v>0</v>
      </c>
      <c r="AS425">
        <v>2013</v>
      </c>
      <c r="AT425">
        <v>7</v>
      </c>
      <c r="AU425" s="2" t="s">
        <v>20</v>
      </c>
      <c r="AV425" t="b">
        <v>1</v>
      </c>
      <c r="AX425" s="2"/>
      <c r="AY425" t="s">
        <v>21</v>
      </c>
      <c r="AZ425">
        <v>1</v>
      </c>
      <c r="BA425">
        <v>4155</v>
      </c>
      <c r="BB425" t="s">
        <v>708</v>
      </c>
      <c r="BC425">
        <v>100</v>
      </c>
      <c r="BD425" s="2">
        <v>0.45</v>
      </c>
      <c r="BE425" t="s">
        <v>925</v>
      </c>
      <c r="BF425" t="s">
        <v>921</v>
      </c>
      <c r="BG425" t="s">
        <v>939</v>
      </c>
      <c r="BH425" s="7">
        <v>40</v>
      </c>
      <c r="BI42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425">
        <v>0</v>
      </c>
      <c r="BK425" t="s">
        <v>733</v>
      </c>
      <c r="BL425" s="11"/>
      <c r="BM425" s="11"/>
      <c r="BN425" s="11">
        <v>86</v>
      </c>
      <c r="BO425">
        <v>0</v>
      </c>
      <c r="BP425" t="s">
        <v>691</v>
      </c>
      <c r="BQ425" t="s">
        <v>693</v>
      </c>
      <c r="BR425" t="s">
        <v>700</v>
      </c>
      <c r="BS425" t="s">
        <v>704</v>
      </c>
      <c r="BT425" t="s">
        <v>705</v>
      </c>
      <c r="BU425" t="s">
        <v>706</v>
      </c>
      <c r="CT425"/>
      <c r="CU425"/>
      <c r="CV425"/>
    </row>
    <row r="426" spans="1:100" x14ac:dyDescent="0.4">
      <c r="A426" s="2" t="s">
        <v>451</v>
      </c>
      <c r="B426" t="str">
        <f>_xlfn.TEXTAFTER(Table1[[#This Row],[VEHIDCODE]],"_")</f>
        <v>South_Korea_Korail_8200</v>
      </c>
      <c r="C426" t="s">
        <v>740</v>
      </c>
      <c r="D426" t="s">
        <v>960</v>
      </c>
      <c r="E426">
        <v>6055</v>
      </c>
      <c r="F426" t="b">
        <f>OR(ISNUMBER(SEARCH("wagon_",Table1[[#This Row],[FILENAMES_EXPECTED]])),ISNUMBER(SEARCH("coach_",Table1[[#This Row],[FILENAMES_EXPECTED]])))</f>
        <v>0</v>
      </c>
      <c r="G426" t="str">
        <f>"item_"&amp;Table1[[#This Row],[VEHIDCODE]]</f>
        <v>item_electric_South_Korea_Korail_8200</v>
      </c>
      <c r="H426" t="str">
        <f>"str_"&amp;Table1[[#This Row],[VEHIDCODE]]</f>
        <v>str_electric_South_Korea_Korail_8200</v>
      </c>
      <c r="J426" t="b">
        <v>1</v>
      </c>
      <c r="AL426" s="2"/>
      <c r="AM426" s="2" t="b">
        <f>LEN(_xlfn.CONCAT(Table1[[#This Row],[TRACK_TYPE_STANDARD_GAUGE_RAILTYPE_OHLE]:[TRACK_TYPE_MTRO]]))&gt;0</f>
        <v>1</v>
      </c>
      <c r="AN426">
        <v>8</v>
      </c>
      <c r="AO426" t="s">
        <v>20</v>
      </c>
      <c r="AP426">
        <v>0</v>
      </c>
      <c r="AQ426" t="s">
        <v>74</v>
      </c>
      <c r="AR426">
        <v>0</v>
      </c>
      <c r="AS426">
        <v>2003</v>
      </c>
      <c r="AT426">
        <v>8</v>
      </c>
      <c r="AU426" s="2" t="s">
        <v>20</v>
      </c>
      <c r="AV426" t="b">
        <v>1</v>
      </c>
      <c r="AX426" s="2"/>
      <c r="AY426" t="s">
        <v>21</v>
      </c>
      <c r="AZ426">
        <v>1</v>
      </c>
      <c r="BA426">
        <v>7000</v>
      </c>
      <c r="BB426" t="s">
        <v>708</v>
      </c>
      <c r="BC426">
        <v>150</v>
      </c>
      <c r="BD426" s="2">
        <v>0.38</v>
      </c>
      <c r="BE426" t="s">
        <v>930</v>
      </c>
      <c r="BF426" t="s">
        <v>921</v>
      </c>
      <c r="BG426" t="s">
        <v>939</v>
      </c>
      <c r="BH426" s="7">
        <v>40</v>
      </c>
      <c r="BI42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426">
        <v>-3</v>
      </c>
      <c r="BK426" t="s">
        <v>733</v>
      </c>
      <c r="BL426" s="11"/>
      <c r="BM426" s="11"/>
      <c r="BN426" s="11">
        <v>80</v>
      </c>
      <c r="BO426">
        <v>0</v>
      </c>
      <c r="BP426" t="s">
        <v>691</v>
      </c>
      <c r="BQ426" t="s">
        <v>693</v>
      </c>
      <c r="BR426" t="s">
        <v>700</v>
      </c>
      <c r="BS426" t="s">
        <v>704</v>
      </c>
      <c r="BT426" t="s">
        <v>705</v>
      </c>
      <c r="BU426" t="s">
        <v>706</v>
      </c>
      <c r="CT426"/>
      <c r="CU426"/>
      <c r="CV426"/>
    </row>
    <row r="427" spans="1:100" x14ac:dyDescent="0.4">
      <c r="A427" s="2" t="s">
        <v>452</v>
      </c>
      <c r="B427" t="str">
        <f>_xlfn.TEXTAFTER(Table1[[#This Row],[VEHIDCODE]],"_")</f>
        <v>Ukraine_UZ_DS3</v>
      </c>
      <c r="C427" t="s">
        <v>740</v>
      </c>
      <c r="D427" t="s">
        <v>960</v>
      </c>
      <c r="E427">
        <v>6056</v>
      </c>
      <c r="F427" t="b">
        <f>OR(ISNUMBER(SEARCH("wagon_",Table1[[#This Row],[FILENAMES_EXPECTED]])),ISNUMBER(SEARCH("coach_",Table1[[#This Row],[FILENAMES_EXPECTED]])))</f>
        <v>0</v>
      </c>
      <c r="G427" t="str">
        <f>"item_"&amp;Table1[[#This Row],[VEHIDCODE]]</f>
        <v>item_electric_Ukraine_UZ_DS3</v>
      </c>
      <c r="H427" t="str">
        <f>"str_"&amp;Table1[[#This Row],[VEHIDCODE]]</f>
        <v>str_electric_Ukraine_UZ_DS3</v>
      </c>
      <c r="J427" t="b">
        <v>1</v>
      </c>
      <c r="AL427" s="2"/>
      <c r="AM427" s="2" t="b">
        <f>LEN(_xlfn.CONCAT(Table1[[#This Row],[TRACK_TYPE_STANDARD_GAUGE_RAILTYPE_OHLE]:[TRACK_TYPE_MTRO]]))&gt;0</f>
        <v>1</v>
      </c>
      <c r="AN427">
        <v>8</v>
      </c>
      <c r="AO427" t="s">
        <v>20</v>
      </c>
      <c r="AP427">
        <v>0</v>
      </c>
      <c r="AQ427" t="s">
        <v>74</v>
      </c>
      <c r="AR427">
        <v>0</v>
      </c>
      <c r="AS427">
        <v>2003</v>
      </c>
      <c r="AT427">
        <v>8</v>
      </c>
      <c r="AU427" s="2" t="s">
        <v>20</v>
      </c>
      <c r="AV427" t="b">
        <v>1</v>
      </c>
      <c r="AX427" s="2"/>
      <c r="AY427" t="s">
        <v>21</v>
      </c>
      <c r="AZ427">
        <v>1</v>
      </c>
      <c r="BA427">
        <v>6450</v>
      </c>
      <c r="BB427" t="s">
        <v>708</v>
      </c>
      <c r="BC427">
        <v>160</v>
      </c>
      <c r="BD427" s="2">
        <v>0.32</v>
      </c>
      <c r="BE427" t="s">
        <v>928</v>
      </c>
      <c r="BF427" t="s">
        <v>921</v>
      </c>
      <c r="BG427" t="s">
        <v>939</v>
      </c>
      <c r="BH427" s="7">
        <v>40</v>
      </c>
      <c r="BI42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427">
        <v>-3</v>
      </c>
      <c r="BK427" t="s">
        <v>733</v>
      </c>
      <c r="BL427" s="11"/>
      <c r="BM427" s="11"/>
      <c r="BN427" s="11">
        <v>90</v>
      </c>
      <c r="BO427">
        <v>0</v>
      </c>
      <c r="BP427" t="s">
        <v>691</v>
      </c>
      <c r="BQ427" t="s">
        <v>693</v>
      </c>
      <c r="BR427" t="s">
        <v>700</v>
      </c>
      <c r="BS427" t="s">
        <v>704</v>
      </c>
      <c r="BT427" t="s">
        <v>705</v>
      </c>
      <c r="BU427" t="s">
        <v>706</v>
      </c>
      <c r="CT427"/>
      <c r="CU427"/>
      <c r="CV427"/>
    </row>
    <row r="428" spans="1:100" x14ac:dyDescent="0.4">
      <c r="A428" s="2" t="s">
        <v>453</v>
      </c>
      <c r="B428" t="str">
        <f>_xlfn.TEXTAFTER(Table1[[#This Row],[VEHIDCODE]],"_")</f>
        <v>Czech_Republic_CD_S499</v>
      </c>
      <c r="C428" t="s">
        <v>740</v>
      </c>
      <c r="D428" t="s">
        <v>960</v>
      </c>
      <c r="E428">
        <v>6089</v>
      </c>
      <c r="F428" t="b">
        <f>OR(ISNUMBER(SEARCH("wagon_",Table1[[#This Row],[FILENAMES_EXPECTED]])),ISNUMBER(SEARCH("coach_",Table1[[#This Row],[FILENAMES_EXPECTED]])))</f>
        <v>0</v>
      </c>
      <c r="G428" t="str">
        <f>"item_"&amp;Table1[[#This Row],[VEHIDCODE]]</f>
        <v>item_electric_Czech_Republic_CD_S499</v>
      </c>
      <c r="H428" t="str">
        <f>"str_"&amp;Table1[[#This Row],[VEHIDCODE]]</f>
        <v>str_electric_Czech_Republic_CD_S499</v>
      </c>
      <c r="J428" t="b">
        <v>1</v>
      </c>
      <c r="AL428" s="2"/>
      <c r="AM428" s="2" t="b">
        <f>LEN(_xlfn.CONCAT(Table1[[#This Row],[TRACK_TYPE_STANDARD_GAUGE_RAILTYPE_OHLE]:[TRACK_TYPE_MTRO]]))&gt;0</f>
        <v>1</v>
      </c>
      <c r="AN428">
        <v>8</v>
      </c>
      <c r="AO428" t="s">
        <v>20</v>
      </c>
      <c r="AP428">
        <v>0</v>
      </c>
      <c r="AQ428" t="s">
        <v>74</v>
      </c>
      <c r="AR428">
        <v>0</v>
      </c>
      <c r="AS428">
        <v>1966</v>
      </c>
      <c r="AT428">
        <v>8</v>
      </c>
      <c r="AU428" s="2" t="s">
        <v>20</v>
      </c>
      <c r="AV428" t="b">
        <v>1</v>
      </c>
      <c r="AX428" s="2"/>
      <c r="AY428">
        <v>45</v>
      </c>
      <c r="AZ428">
        <v>1</v>
      </c>
      <c r="BA428">
        <v>4130</v>
      </c>
      <c r="BB428" t="s">
        <v>708</v>
      </c>
      <c r="BC428">
        <v>120</v>
      </c>
      <c r="BD428" s="2">
        <v>0.28000000000000003</v>
      </c>
      <c r="BE428" t="s">
        <v>928</v>
      </c>
      <c r="BF428" t="s">
        <v>921</v>
      </c>
      <c r="BG428" t="s">
        <v>939</v>
      </c>
      <c r="BH428" s="7">
        <v>40</v>
      </c>
      <c r="BI42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428">
        <v>0</v>
      </c>
      <c r="BK428" t="s">
        <v>733</v>
      </c>
      <c r="BL428" s="11"/>
      <c r="BM428" s="11"/>
      <c r="BN428" s="11">
        <v>85</v>
      </c>
      <c r="BO428">
        <v>0</v>
      </c>
      <c r="BP428" t="s">
        <v>691</v>
      </c>
      <c r="BQ428" t="s">
        <v>693</v>
      </c>
      <c r="BR428" t="s">
        <v>700</v>
      </c>
      <c r="BS428" t="s">
        <v>704</v>
      </c>
      <c r="BT428" t="s">
        <v>705</v>
      </c>
      <c r="BU428" t="s">
        <v>706</v>
      </c>
      <c r="CT428"/>
      <c r="CU428"/>
      <c r="CV428"/>
    </row>
    <row r="429" spans="1:100" x14ac:dyDescent="0.4">
      <c r="A429" s="2" t="s">
        <v>454</v>
      </c>
      <c r="B429" t="str">
        <f>_xlfn.TEXTAFTER(Table1[[#This Row],[VEHIDCODE]],"_")</f>
        <v>Italy_FS_E491</v>
      </c>
      <c r="C429" t="s">
        <v>740</v>
      </c>
      <c r="D429" t="s">
        <v>960</v>
      </c>
      <c r="E429">
        <v>6115</v>
      </c>
      <c r="F429" t="b">
        <f>OR(ISNUMBER(SEARCH("wagon_",Table1[[#This Row],[FILENAMES_EXPECTED]])),ISNUMBER(SEARCH("coach_",Table1[[#This Row],[FILENAMES_EXPECTED]])))</f>
        <v>0</v>
      </c>
      <c r="G429" t="str">
        <f>"item_"&amp;Table1[[#This Row],[VEHIDCODE]]</f>
        <v>item_electric_Italy_FS_E491</v>
      </c>
      <c r="H429" t="str">
        <f>"str_"&amp;Table1[[#This Row],[VEHIDCODE]]</f>
        <v>str_electric_Italy_FS_E491</v>
      </c>
      <c r="J429" t="b">
        <v>1</v>
      </c>
      <c r="AL429" s="2"/>
      <c r="AM429" s="2" t="b">
        <f>LEN(_xlfn.CONCAT(Table1[[#This Row],[TRACK_TYPE_STANDARD_GAUGE_RAILTYPE_OHLE]:[TRACK_TYPE_MTRO]]))&gt;0</f>
        <v>1</v>
      </c>
      <c r="AN429">
        <v>8</v>
      </c>
      <c r="AO429" t="s">
        <v>20</v>
      </c>
      <c r="AP429">
        <v>0</v>
      </c>
      <c r="AQ429" t="s">
        <v>74</v>
      </c>
      <c r="AR429">
        <v>0</v>
      </c>
      <c r="AS429">
        <v>1988</v>
      </c>
      <c r="AT429">
        <v>8</v>
      </c>
      <c r="AU429" s="2" t="s">
        <v>20</v>
      </c>
      <c r="AV429" t="b">
        <v>1</v>
      </c>
      <c r="AX429" s="2"/>
      <c r="AY429">
        <v>45</v>
      </c>
      <c r="AZ429">
        <v>1</v>
      </c>
      <c r="BA429">
        <v>4600</v>
      </c>
      <c r="BB429" t="s">
        <v>708</v>
      </c>
      <c r="BC429">
        <v>140</v>
      </c>
      <c r="BD429" s="2">
        <v>0.3</v>
      </c>
      <c r="BE429" t="s">
        <v>923</v>
      </c>
      <c r="BF429" t="s">
        <v>921</v>
      </c>
      <c r="BG429" t="s">
        <v>939</v>
      </c>
      <c r="BH429" s="7">
        <v>40</v>
      </c>
      <c r="BI42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429">
        <v>0</v>
      </c>
      <c r="BK429" t="s">
        <v>733</v>
      </c>
      <c r="BL429" s="11"/>
      <c r="BM429" s="11"/>
      <c r="BN429" s="11">
        <v>77</v>
      </c>
      <c r="BO429">
        <v>0</v>
      </c>
      <c r="BP429" t="s">
        <v>691</v>
      </c>
      <c r="BQ429" t="s">
        <v>693</v>
      </c>
      <c r="BR429" t="s">
        <v>700</v>
      </c>
      <c r="BS429" t="s">
        <v>704</v>
      </c>
      <c r="BT429" t="s">
        <v>705</v>
      </c>
      <c r="BU429" t="s">
        <v>706</v>
      </c>
      <c r="CT429"/>
      <c r="CU429"/>
      <c r="CV429"/>
    </row>
    <row r="430" spans="1:100" x14ac:dyDescent="0.4">
      <c r="A430" s="2" t="s">
        <v>455</v>
      </c>
      <c r="B430" t="str">
        <f>_xlfn.TEXTAFTER(Table1[[#This Row],[VEHIDCODE]],"_")</f>
        <v>Macedonia_Macedonian_Railways_462</v>
      </c>
      <c r="C430" t="s">
        <v>740</v>
      </c>
      <c r="D430" t="s">
        <v>960</v>
      </c>
      <c r="E430">
        <v>6105</v>
      </c>
      <c r="F430" t="b">
        <f>OR(ISNUMBER(SEARCH("wagon_",Table1[[#This Row],[FILENAMES_EXPECTED]])),ISNUMBER(SEARCH("coach_",Table1[[#This Row],[FILENAMES_EXPECTED]])))</f>
        <v>0</v>
      </c>
      <c r="G430" t="str">
        <f>"item_"&amp;Table1[[#This Row],[VEHIDCODE]]</f>
        <v>item_electric_Macedonia_Macedonian_Railways_462</v>
      </c>
      <c r="H430" t="str">
        <f>"str_"&amp;Table1[[#This Row],[VEHIDCODE]]</f>
        <v>str_electric_Macedonia_Macedonian_Railways_462</v>
      </c>
      <c r="J430" t="b">
        <v>1</v>
      </c>
      <c r="AL430" s="2"/>
      <c r="AM430" s="2" t="b">
        <f>LEN(_xlfn.CONCAT(Table1[[#This Row],[TRACK_TYPE_STANDARD_GAUGE_RAILTYPE_OHLE]:[TRACK_TYPE_MTRO]]))&gt;0</f>
        <v>1</v>
      </c>
      <c r="AN430">
        <v>8</v>
      </c>
      <c r="AO430" t="s">
        <v>20</v>
      </c>
      <c r="AP430">
        <v>0</v>
      </c>
      <c r="AQ430" t="s">
        <v>74</v>
      </c>
      <c r="AR430">
        <v>0</v>
      </c>
      <c r="AS430">
        <v>1978</v>
      </c>
      <c r="AT430">
        <v>8</v>
      </c>
      <c r="AU430" s="2" t="s">
        <v>20</v>
      </c>
      <c r="AV430" t="b">
        <v>1</v>
      </c>
      <c r="AX430" s="2"/>
      <c r="AY430">
        <v>45</v>
      </c>
      <c r="AZ430">
        <v>1</v>
      </c>
      <c r="BA430">
        <v>6834</v>
      </c>
      <c r="BB430" t="s">
        <v>708</v>
      </c>
      <c r="BC430">
        <v>120</v>
      </c>
      <c r="BD430" s="2">
        <v>0.33</v>
      </c>
      <c r="BE430" t="s">
        <v>923</v>
      </c>
      <c r="BF430" t="s">
        <v>921</v>
      </c>
      <c r="BG430" t="s">
        <v>939</v>
      </c>
      <c r="BH430" s="7">
        <v>40</v>
      </c>
      <c r="BI43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430">
        <v>0</v>
      </c>
      <c r="BK430" t="s">
        <v>733</v>
      </c>
      <c r="BL430" s="11"/>
      <c r="BM430" s="11"/>
      <c r="BN430" s="11">
        <v>120</v>
      </c>
      <c r="BO430">
        <v>0</v>
      </c>
      <c r="BP430" t="s">
        <v>691</v>
      </c>
      <c r="BQ430" t="s">
        <v>693</v>
      </c>
      <c r="BR430" t="s">
        <v>700</v>
      </c>
      <c r="BS430" t="s">
        <v>704</v>
      </c>
      <c r="BT430" t="s">
        <v>705</v>
      </c>
      <c r="BU430" t="s">
        <v>706</v>
      </c>
      <c r="CT430"/>
      <c r="CU430"/>
      <c r="CV430"/>
    </row>
    <row r="431" spans="1:100" x14ac:dyDescent="0.4">
      <c r="A431" s="2" t="s">
        <v>456</v>
      </c>
      <c r="B431" t="str">
        <f>_xlfn.TEXTAFTER(Table1[[#This Row],[VEHIDCODE]],"_")</f>
        <v>Morocco_ONCFM_E_500</v>
      </c>
      <c r="C431" t="s">
        <v>740</v>
      </c>
      <c r="D431" t="s">
        <v>960</v>
      </c>
      <c r="E431">
        <v>6122</v>
      </c>
      <c r="F431" t="b">
        <f>OR(ISNUMBER(SEARCH("wagon_",Table1[[#This Row],[FILENAMES_EXPECTED]])),ISNUMBER(SEARCH("coach_",Table1[[#This Row],[FILENAMES_EXPECTED]])))</f>
        <v>0</v>
      </c>
      <c r="G431" t="str">
        <f>"item_"&amp;Table1[[#This Row],[VEHIDCODE]]</f>
        <v>item_electric_Morocco_ONCFM_E_500</v>
      </c>
      <c r="H431" t="str">
        <f>"str_"&amp;Table1[[#This Row],[VEHIDCODE]]</f>
        <v>str_electric_Morocco_ONCFM_E_500</v>
      </c>
      <c r="J431" t="b">
        <v>1</v>
      </c>
      <c r="AL431" s="2"/>
      <c r="AM431" s="2" t="b">
        <f>LEN(_xlfn.CONCAT(Table1[[#This Row],[TRACK_TYPE_STANDARD_GAUGE_RAILTYPE_OHLE]:[TRACK_TYPE_MTRO]]))&gt;0</f>
        <v>1</v>
      </c>
      <c r="AN431">
        <v>5</v>
      </c>
      <c r="AO431" t="s">
        <v>20</v>
      </c>
      <c r="AP431">
        <v>0</v>
      </c>
      <c r="AQ431" t="s">
        <v>74</v>
      </c>
      <c r="AR431">
        <v>0</v>
      </c>
      <c r="AS431">
        <v>1926</v>
      </c>
      <c r="AT431">
        <v>5</v>
      </c>
      <c r="AU431" s="2" t="s">
        <v>24</v>
      </c>
      <c r="AV431" t="b">
        <v>1</v>
      </c>
      <c r="AX431" s="2"/>
      <c r="AY431">
        <v>45</v>
      </c>
      <c r="AZ431">
        <v>1</v>
      </c>
      <c r="BA431">
        <v>986</v>
      </c>
      <c r="BB431" t="s">
        <v>708</v>
      </c>
      <c r="BC431">
        <v>90</v>
      </c>
      <c r="BD431" s="2">
        <v>0.21</v>
      </c>
      <c r="BE431" t="s">
        <v>925</v>
      </c>
      <c r="BF431" t="s">
        <v>921</v>
      </c>
      <c r="BG431" t="s">
        <v>939</v>
      </c>
      <c r="BH431" s="7">
        <v>40</v>
      </c>
      <c r="BI43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431">
        <v>0</v>
      </c>
      <c r="BK431" t="s">
        <v>733</v>
      </c>
      <c r="BL431" s="11"/>
      <c r="BM431" s="11"/>
      <c r="BN431" s="11">
        <v>72</v>
      </c>
      <c r="BO431">
        <v>0</v>
      </c>
      <c r="BP431" t="s">
        <v>691</v>
      </c>
      <c r="BQ431" t="s">
        <v>693</v>
      </c>
      <c r="BR431" t="s">
        <v>700</v>
      </c>
      <c r="BS431" t="s">
        <v>704</v>
      </c>
      <c r="BT431" t="s">
        <v>705</v>
      </c>
      <c r="BU431" t="s">
        <v>706</v>
      </c>
      <c r="CT431"/>
      <c r="CU431"/>
      <c r="CV431"/>
    </row>
    <row r="432" spans="1:100" x14ac:dyDescent="0.4">
      <c r="A432" s="2" t="s">
        <v>457</v>
      </c>
      <c r="B432" t="str">
        <f>_xlfn.TEXTAFTER(Table1[[#This Row],[VEHIDCODE]],"_")</f>
        <v>UK_BR_85</v>
      </c>
      <c r="C432" t="s">
        <v>740</v>
      </c>
      <c r="D432" t="s">
        <v>960</v>
      </c>
      <c r="E432">
        <v>6123</v>
      </c>
      <c r="F432" t="b">
        <f>OR(ISNUMBER(SEARCH("wagon_",Table1[[#This Row],[FILENAMES_EXPECTED]])),ISNUMBER(SEARCH("coach_",Table1[[#This Row],[FILENAMES_EXPECTED]])))</f>
        <v>0</v>
      </c>
      <c r="G432" t="str">
        <f>"item_"&amp;Table1[[#This Row],[VEHIDCODE]]</f>
        <v>item_electric_UK_BR_85</v>
      </c>
      <c r="H432" t="str">
        <f>"str_"&amp;Table1[[#This Row],[VEHIDCODE]]</f>
        <v>str_electric_UK_BR_85</v>
      </c>
      <c r="J432" t="b">
        <v>1</v>
      </c>
      <c r="AL432" s="2"/>
      <c r="AM432" s="2" t="b">
        <f>LEN(_xlfn.CONCAT(Table1[[#This Row],[TRACK_TYPE_STANDARD_GAUGE_RAILTYPE_OHLE]:[TRACK_TYPE_MTRO]]))&gt;0</f>
        <v>1</v>
      </c>
      <c r="AN432">
        <v>7</v>
      </c>
      <c r="AO432" t="s">
        <v>20</v>
      </c>
      <c r="AP432">
        <v>0</v>
      </c>
      <c r="AQ432" t="s">
        <v>74</v>
      </c>
      <c r="AR432">
        <v>0</v>
      </c>
      <c r="AS432">
        <v>1961</v>
      </c>
      <c r="AT432">
        <v>7</v>
      </c>
      <c r="AU432" s="2" t="s">
        <v>24</v>
      </c>
      <c r="AV432" t="b">
        <v>1</v>
      </c>
      <c r="AX432" s="2"/>
      <c r="AY432">
        <v>45</v>
      </c>
      <c r="AZ432">
        <v>1</v>
      </c>
      <c r="BA432">
        <v>3200</v>
      </c>
      <c r="BB432" t="s">
        <v>708</v>
      </c>
      <c r="BC432">
        <v>160</v>
      </c>
      <c r="BD432" s="2">
        <v>0.27</v>
      </c>
      <c r="BE432" t="s">
        <v>926</v>
      </c>
      <c r="BF432" t="s">
        <v>921</v>
      </c>
      <c r="BG432" t="s">
        <v>939</v>
      </c>
      <c r="BH432" s="7">
        <v>40</v>
      </c>
      <c r="BI43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432">
        <v>0</v>
      </c>
      <c r="BK432" t="s">
        <v>733</v>
      </c>
      <c r="BL432" s="11"/>
      <c r="BM432" s="11"/>
      <c r="BN432" s="11">
        <v>81</v>
      </c>
      <c r="BO432">
        <v>0</v>
      </c>
      <c r="BP432" t="s">
        <v>691</v>
      </c>
      <c r="BQ432" t="s">
        <v>693</v>
      </c>
      <c r="BR432" t="s">
        <v>700</v>
      </c>
      <c r="BS432" t="s">
        <v>704</v>
      </c>
      <c r="BT432" t="s">
        <v>705</v>
      </c>
      <c r="BU432" t="s">
        <v>706</v>
      </c>
      <c r="CT432"/>
      <c r="CU432"/>
      <c r="CV432"/>
    </row>
    <row r="433" spans="1:100" x14ac:dyDescent="0.4">
      <c r="A433" s="2" t="s">
        <v>458</v>
      </c>
      <c r="B433" t="str">
        <f>_xlfn.TEXTAFTER(Table1[[#This Row],[VEHIDCODE]],"_")</f>
        <v>Mexico_FNM_GE_E60C_2</v>
      </c>
      <c r="C433" t="s">
        <v>740</v>
      </c>
      <c r="D433" t="s">
        <v>960</v>
      </c>
      <c r="E433">
        <v>6109</v>
      </c>
      <c r="F433" t="b">
        <f>OR(ISNUMBER(SEARCH("wagon_",Table1[[#This Row],[FILENAMES_EXPECTED]])),ISNUMBER(SEARCH("coach_",Table1[[#This Row],[FILENAMES_EXPECTED]])))</f>
        <v>0</v>
      </c>
      <c r="G433" t="str">
        <f>"item_"&amp;Table1[[#This Row],[VEHIDCODE]]</f>
        <v>item_electric_Mexico_FNM_GE_E60C_2</v>
      </c>
      <c r="H433" t="str">
        <f>"str_"&amp;Table1[[#This Row],[VEHIDCODE]]</f>
        <v>str_electric_Mexico_FNM_GE_E60C_2</v>
      </c>
      <c r="J433" t="b">
        <v>1</v>
      </c>
      <c r="AL433" s="2"/>
      <c r="AM433" s="2" t="b">
        <f>LEN(_xlfn.CONCAT(Table1[[#This Row],[TRACK_TYPE_STANDARD_GAUGE_RAILTYPE_OHLE]:[TRACK_TYPE_MTRO]]))&gt;0</f>
        <v>1</v>
      </c>
      <c r="AN433">
        <v>8</v>
      </c>
      <c r="AO433" t="s">
        <v>20</v>
      </c>
      <c r="AP433">
        <v>0</v>
      </c>
      <c r="AQ433" t="s">
        <v>74</v>
      </c>
      <c r="AR433">
        <v>0</v>
      </c>
      <c r="AS433">
        <v>1982</v>
      </c>
      <c r="AT433">
        <v>8</v>
      </c>
      <c r="AU433" s="2" t="s">
        <v>20</v>
      </c>
      <c r="AV433" t="b">
        <v>1</v>
      </c>
      <c r="AX433" s="2"/>
      <c r="AY433">
        <v>45</v>
      </c>
      <c r="AZ433">
        <v>1</v>
      </c>
      <c r="BA433">
        <v>6000</v>
      </c>
      <c r="BB433" t="s">
        <v>708</v>
      </c>
      <c r="BC433">
        <v>145</v>
      </c>
      <c r="BD433" s="2">
        <v>0.19</v>
      </c>
      <c r="BE433" t="s">
        <v>927</v>
      </c>
      <c r="BF433" t="s">
        <v>921</v>
      </c>
      <c r="BG433" t="s">
        <v>939</v>
      </c>
      <c r="BH433" s="7">
        <v>40</v>
      </c>
      <c r="BI43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433">
        <v>0</v>
      </c>
      <c r="BK433" t="s">
        <v>733</v>
      </c>
      <c r="BL433" s="11"/>
      <c r="BM433" s="11"/>
      <c r="BN433" s="11">
        <v>176</v>
      </c>
      <c r="BO433">
        <v>0</v>
      </c>
      <c r="BP433" t="s">
        <v>691</v>
      </c>
      <c r="BQ433" t="s">
        <v>693</v>
      </c>
      <c r="BR433" t="s">
        <v>700</v>
      </c>
      <c r="BS433" t="s">
        <v>704</v>
      </c>
      <c r="BT433" t="s">
        <v>705</v>
      </c>
      <c r="BU433" t="s">
        <v>706</v>
      </c>
      <c r="CT433"/>
      <c r="CU433"/>
      <c r="CV433"/>
    </row>
    <row r="434" spans="1:100" x14ac:dyDescent="0.4">
      <c r="A434" s="2" t="s">
        <v>459</v>
      </c>
      <c r="B434" t="str">
        <f>_xlfn.TEXTAFTER(Table1[[#This Row],[VEHIDCODE]],"_")</f>
        <v>Morocco_ONCF_E_1400_Prima_II</v>
      </c>
      <c r="C434" t="s">
        <v>740</v>
      </c>
      <c r="D434" t="s">
        <v>960</v>
      </c>
      <c r="E434">
        <v>6119</v>
      </c>
      <c r="F434" t="b">
        <f>OR(ISNUMBER(SEARCH("wagon_",Table1[[#This Row],[FILENAMES_EXPECTED]])),ISNUMBER(SEARCH("coach_",Table1[[#This Row],[FILENAMES_EXPECTED]])))</f>
        <v>0</v>
      </c>
      <c r="G434" t="str">
        <f>"item_"&amp;Table1[[#This Row],[VEHIDCODE]]</f>
        <v>item_electric_Morocco_ONCF_E_1400_Prima_II</v>
      </c>
      <c r="H434" t="str">
        <f>"str_"&amp;Table1[[#This Row],[VEHIDCODE]]</f>
        <v>str_electric_Morocco_ONCF_E_1400_Prima_II</v>
      </c>
      <c r="J434" t="b">
        <v>1</v>
      </c>
      <c r="AL434" s="2"/>
      <c r="AM434" s="2" t="b">
        <f>LEN(_xlfn.CONCAT(Table1[[#This Row],[TRACK_TYPE_STANDARD_GAUGE_RAILTYPE_OHLE]:[TRACK_TYPE_MTRO]]))&gt;0</f>
        <v>1</v>
      </c>
      <c r="AN434">
        <v>8</v>
      </c>
      <c r="AO434" t="s">
        <v>20</v>
      </c>
      <c r="AP434">
        <v>0</v>
      </c>
      <c r="AQ434" t="s">
        <v>74</v>
      </c>
      <c r="AR434">
        <v>0</v>
      </c>
      <c r="AS434">
        <v>2010</v>
      </c>
      <c r="AT434">
        <v>8</v>
      </c>
      <c r="AU434" s="2" t="s">
        <v>20</v>
      </c>
      <c r="AV434" t="b">
        <v>1</v>
      </c>
      <c r="AX434" s="2"/>
      <c r="AY434" t="s">
        <v>21</v>
      </c>
      <c r="AZ434">
        <v>1</v>
      </c>
      <c r="BA434">
        <v>7700</v>
      </c>
      <c r="BB434" t="s">
        <v>708</v>
      </c>
      <c r="BC434">
        <v>200</v>
      </c>
      <c r="BD434" s="2">
        <v>0.35</v>
      </c>
      <c r="BE434" t="s">
        <v>925</v>
      </c>
      <c r="BF434" t="s">
        <v>921</v>
      </c>
      <c r="BG434" t="s">
        <v>939</v>
      </c>
      <c r="BH434" s="7">
        <v>40</v>
      </c>
      <c r="BI43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434">
        <v>0</v>
      </c>
      <c r="BK434" t="s">
        <v>733</v>
      </c>
      <c r="BL434" s="11"/>
      <c r="BM434" s="11"/>
      <c r="BN434" s="11">
        <v>91</v>
      </c>
      <c r="BO434">
        <v>0</v>
      </c>
      <c r="BP434" t="s">
        <v>691</v>
      </c>
      <c r="BQ434" t="s">
        <v>693</v>
      </c>
      <c r="BR434" t="s">
        <v>700</v>
      </c>
      <c r="BS434" t="s">
        <v>704</v>
      </c>
      <c r="BT434" t="s">
        <v>705</v>
      </c>
      <c r="BU434" t="s">
        <v>706</v>
      </c>
      <c r="CT434"/>
      <c r="CU434"/>
      <c r="CV434"/>
    </row>
    <row r="435" spans="1:100" x14ac:dyDescent="0.4">
      <c r="A435" s="2" t="s">
        <v>460</v>
      </c>
      <c r="B435" t="str">
        <f>_xlfn.TEXTAFTER(Table1[[#This Row],[VEHIDCODE]],"_")</f>
        <v>New_Zealand_NZR_EA</v>
      </c>
      <c r="C435" t="s">
        <v>740</v>
      </c>
      <c r="D435" t="s">
        <v>960</v>
      </c>
      <c r="E435">
        <v>6102</v>
      </c>
      <c r="F435" t="b">
        <f>OR(ISNUMBER(SEARCH("wagon_",Table1[[#This Row],[FILENAMES_EXPECTED]])),ISNUMBER(SEARCH("coach_",Table1[[#This Row],[FILENAMES_EXPECTED]])))</f>
        <v>0</v>
      </c>
      <c r="G435" t="str">
        <f>"item_"&amp;Table1[[#This Row],[VEHIDCODE]]</f>
        <v>item_electric_New_Zealand_NZR_EA</v>
      </c>
      <c r="H435" t="str">
        <f>"str_"&amp;Table1[[#This Row],[VEHIDCODE]]</f>
        <v>str_electric_New_Zealand_NZR_EA</v>
      </c>
      <c r="J435" t="b">
        <v>1</v>
      </c>
      <c r="AL435" s="2"/>
      <c r="AM435" s="2" t="b">
        <f>LEN(_xlfn.CONCAT(Table1[[#This Row],[TRACK_TYPE_STANDARD_GAUGE_RAILTYPE_OHLE]:[TRACK_TYPE_MTRO]]))&gt;0</f>
        <v>1</v>
      </c>
      <c r="AN435">
        <v>6</v>
      </c>
      <c r="AO435" t="s">
        <v>20</v>
      </c>
      <c r="AP435">
        <v>0</v>
      </c>
      <c r="AQ435" t="s">
        <v>74</v>
      </c>
      <c r="AR435">
        <v>0</v>
      </c>
      <c r="AS435">
        <v>1968</v>
      </c>
      <c r="AT435">
        <v>6</v>
      </c>
      <c r="AU435" s="2" t="s">
        <v>20</v>
      </c>
      <c r="AV435" t="b">
        <v>1</v>
      </c>
      <c r="AX435" s="2"/>
      <c r="AY435">
        <v>45</v>
      </c>
      <c r="AZ435">
        <v>1</v>
      </c>
      <c r="BA435">
        <v>1290</v>
      </c>
      <c r="BB435" t="s">
        <v>708</v>
      </c>
      <c r="BC435">
        <v>72</v>
      </c>
      <c r="BD435" s="2">
        <v>0.32</v>
      </c>
      <c r="BE435" t="s">
        <v>924</v>
      </c>
      <c r="BF435" t="s">
        <v>921</v>
      </c>
      <c r="BG435" t="s">
        <v>939</v>
      </c>
      <c r="BH435" s="7">
        <v>40</v>
      </c>
      <c r="BI43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435">
        <v>0</v>
      </c>
      <c r="BK435" t="s">
        <v>733</v>
      </c>
      <c r="BL435" s="11"/>
      <c r="BM435" s="11"/>
      <c r="BN435" s="11">
        <v>55</v>
      </c>
      <c r="BO435">
        <v>0</v>
      </c>
      <c r="BP435" t="s">
        <v>691</v>
      </c>
      <c r="BQ435" t="s">
        <v>693</v>
      </c>
      <c r="BR435" t="s">
        <v>700</v>
      </c>
      <c r="BS435" t="s">
        <v>704</v>
      </c>
      <c r="BT435" t="s">
        <v>705</v>
      </c>
      <c r="BU435" t="s">
        <v>706</v>
      </c>
      <c r="CT435"/>
      <c r="CU435"/>
      <c r="CV435"/>
    </row>
    <row r="436" spans="1:100" x14ac:dyDescent="0.4">
      <c r="A436" s="2" t="s">
        <v>461</v>
      </c>
      <c r="B436" t="str">
        <f>_xlfn.TEXTAFTER(Table1[[#This Row],[VEHIDCODE]],"_")</f>
        <v>Canada_BC_Rail_GF6C</v>
      </c>
      <c r="C436" t="s">
        <v>740</v>
      </c>
      <c r="D436" t="s">
        <v>960</v>
      </c>
      <c r="E436">
        <v>6111</v>
      </c>
      <c r="F436" t="b">
        <f>OR(ISNUMBER(SEARCH("wagon_",Table1[[#This Row],[FILENAMES_EXPECTED]])),ISNUMBER(SEARCH("coach_",Table1[[#This Row],[FILENAMES_EXPECTED]])))</f>
        <v>0</v>
      </c>
      <c r="G436" t="str">
        <f>"item_"&amp;Table1[[#This Row],[VEHIDCODE]]</f>
        <v>item_electric_Canada_BC_Rail_GF6C</v>
      </c>
      <c r="H436" t="str">
        <f>"str_"&amp;Table1[[#This Row],[VEHIDCODE]]</f>
        <v>str_electric_Canada_BC_Rail_GF6C</v>
      </c>
      <c r="J436" t="b">
        <v>1</v>
      </c>
      <c r="AL436" s="2"/>
      <c r="AM436" s="2" t="b">
        <f>LEN(_xlfn.CONCAT(Table1[[#This Row],[TRACK_TYPE_STANDARD_GAUGE_RAILTYPE_OHLE]:[TRACK_TYPE_MTRO]]))&gt;0</f>
        <v>1</v>
      </c>
      <c r="AN436">
        <v>8</v>
      </c>
      <c r="AO436" t="s">
        <v>20</v>
      </c>
      <c r="AP436">
        <v>0</v>
      </c>
      <c r="AQ436" t="s">
        <v>74</v>
      </c>
      <c r="AR436">
        <v>0</v>
      </c>
      <c r="AS436">
        <v>1983</v>
      </c>
      <c r="AT436">
        <v>8</v>
      </c>
      <c r="AU436" s="2" t="s">
        <v>20</v>
      </c>
      <c r="AV436" t="b">
        <v>1</v>
      </c>
      <c r="AX436" s="2"/>
      <c r="AY436">
        <v>45</v>
      </c>
      <c r="AZ436">
        <v>1</v>
      </c>
      <c r="BA436">
        <v>6000</v>
      </c>
      <c r="BB436" t="s">
        <v>708</v>
      </c>
      <c r="BC436">
        <v>110</v>
      </c>
      <c r="BD436" s="2">
        <v>0.22</v>
      </c>
      <c r="BE436" t="s">
        <v>927</v>
      </c>
      <c r="BF436" t="s">
        <v>921</v>
      </c>
      <c r="BG436" t="s">
        <v>939</v>
      </c>
      <c r="BH436" s="7">
        <v>40</v>
      </c>
      <c r="BI43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436">
        <v>0</v>
      </c>
      <c r="BK436" t="s">
        <v>733</v>
      </c>
      <c r="BL436" s="11"/>
      <c r="BM436" s="11"/>
      <c r="BN436" s="11">
        <v>180</v>
      </c>
      <c r="BO436">
        <v>0</v>
      </c>
      <c r="BP436" t="s">
        <v>691</v>
      </c>
      <c r="BQ436" t="s">
        <v>693</v>
      </c>
      <c r="BR436" t="s">
        <v>700</v>
      </c>
      <c r="BS436" t="s">
        <v>704</v>
      </c>
      <c r="BT436" t="s">
        <v>705</v>
      </c>
      <c r="BU436" t="s">
        <v>706</v>
      </c>
      <c r="CT436"/>
      <c r="CU436"/>
      <c r="CV436"/>
    </row>
    <row r="437" spans="1:100" x14ac:dyDescent="0.4">
      <c r="A437" s="2" t="s">
        <v>462</v>
      </c>
      <c r="B437" t="str">
        <f>_xlfn.TEXTAFTER(Table1[[#This Row],[VEHIDCODE]],"_")</f>
        <v>France_SNCF_BB_22200</v>
      </c>
      <c r="C437" t="s">
        <v>740</v>
      </c>
      <c r="D437" t="s">
        <v>960</v>
      </c>
      <c r="E437">
        <v>6036</v>
      </c>
      <c r="F437" t="b">
        <f>OR(ISNUMBER(SEARCH("wagon_",Table1[[#This Row],[FILENAMES_EXPECTED]])),ISNUMBER(SEARCH("coach_",Table1[[#This Row],[FILENAMES_EXPECTED]])))</f>
        <v>0</v>
      </c>
      <c r="G437" t="str">
        <f>"item_"&amp;Table1[[#This Row],[VEHIDCODE]]</f>
        <v>item_electric_France_SNCF_BB_22200</v>
      </c>
      <c r="H437" t="str">
        <f>"str_"&amp;Table1[[#This Row],[VEHIDCODE]]</f>
        <v>str_electric_France_SNCF_BB_22200</v>
      </c>
      <c r="I437" t="b">
        <v>1</v>
      </c>
      <c r="AL437" s="2"/>
      <c r="AM437" s="2" t="b">
        <f>LEN(_xlfn.CONCAT(Table1[[#This Row],[TRACK_TYPE_STANDARD_GAUGE_RAILTYPE_OHLE]:[TRACK_TYPE_MTRO]]))&gt;0</f>
        <v>1</v>
      </c>
      <c r="AN437">
        <v>8</v>
      </c>
      <c r="AO437" t="s">
        <v>20</v>
      </c>
      <c r="AP437">
        <v>0</v>
      </c>
      <c r="AQ437" t="s">
        <v>74</v>
      </c>
      <c r="AR437">
        <v>0</v>
      </c>
      <c r="AS437">
        <v>1976</v>
      </c>
      <c r="AT437">
        <v>8</v>
      </c>
      <c r="AU437" s="2" t="s">
        <v>20</v>
      </c>
      <c r="AV437" t="b">
        <v>1</v>
      </c>
      <c r="AX437" s="2"/>
      <c r="AY437">
        <v>45</v>
      </c>
      <c r="AZ437">
        <v>1</v>
      </c>
      <c r="BA437">
        <v>5842</v>
      </c>
      <c r="BB437" t="s">
        <v>708</v>
      </c>
      <c r="BC437">
        <v>160</v>
      </c>
      <c r="BD437" s="2">
        <v>0.33</v>
      </c>
      <c r="BE437" t="s">
        <v>922</v>
      </c>
      <c r="BF437" t="s">
        <v>921</v>
      </c>
      <c r="BG437" t="s">
        <v>939</v>
      </c>
      <c r="BH437" s="7">
        <v>40</v>
      </c>
      <c r="BI43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437">
        <v>-3</v>
      </c>
      <c r="BK437" t="s">
        <v>733</v>
      </c>
      <c r="BL437" s="11"/>
      <c r="BM437" s="11"/>
      <c r="BN437" s="11">
        <v>90</v>
      </c>
      <c r="BO437">
        <v>0</v>
      </c>
      <c r="BP437" t="s">
        <v>691</v>
      </c>
      <c r="BQ437" t="s">
        <v>693</v>
      </c>
      <c r="BR437" t="s">
        <v>700</v>
      </c>
      <c r="BS437" t="s">
        <v>704</v>
      </c>
      <c r="BT437" t="s">
        <v>705</v>
      </c>
      <c r="BU437" t="s">
        <v>706</v>
      </c>
      <c r="CT437"/>
      <c r="CU437"/>
      <c r="CV437"/>
    </row>
    <row r="438" spans="1:100" x14ac:dyDescent="0.4">
      <c r="A438" s="2" t="s">
        <v>463</v>
      </c>
      <c r="B438" t="str">
        <f>_xlfn.TEXTAFTER(Table1[[#This Row],[VEHIDCODE]],"_")</f>
        <v>France_SNCF_BB_26000</v>
      </c>
      <c r="C438" t="s">
        <v>740</v>
      </c>
      <c r="D438" t="s">
        <v>960</v>
      </c>
      <c r="E438">
        <v>6043</v>
      </c>
      <c r="F438" t="b">
        <f>OR(ISNUMBER(SEARCH("wagon_",Table1[[#This Row],[FILENAMES_EXPECTED]])),ISNUMBER(SEARCH("coach_",Table1[[#This Row],[FILENAMES_EXPECTED]])))</f>
        <v>0</v>
      </c>
      <c r="G438" t="str">
        <f>"item_"&amp;Table1[[#This Row],[VEHIDCODE]]</f>
        <v>item_electric_France_SNCF_BB_26000</v>
      </c>
      <c r="H438" t="str">
        <f>"str_"&amp;Table1[[#This Row],[VEHIDCODE]]</f>
        <v>str_electric_France_SNCF_BB_26000</v>
      </c>
      <c r="I438" t="b">
        <v>1</v>
      </c>
      <c r="AL438" s="2"/>
      <c r="AM438" s="2" t="b">
        <f>LEN(_xlfn.CONCAT(Table1[[#This Row],[TRACK_TYPE_STANDARD_GAUGE_RAILTYPE_OHLE]:[TRACK_TYPE_MTRO]]))&gt;0</f>
        <v>1</v>
      </c>
      <c r="AN438">
        <v>8</v>
      </c>
      <c r="AO438" t="s">
        <v>20</v>
      </c>
      <c r="AP438">
        <v>0</v>
      </c>
      <c r="AQ438" t="s">
        <v>74</v>
      </c>
      <c r="AR438">
        <v>0</v>
      </c>
      <c r="AS438">
        <v>1989</v>
      </c>
      <c r="AT438">
        <v>8</v>
      </c>
      <c r="AU438" s="2" t="s">
        <v>20</v>
      </c>
      <c r="AV438" t="b">
        <v>1</v>
      </c>
      <c r="AX438" s="2"/>
      <c r="AY438" t="s">
        <v>21</v>
      </c>
      <c r="AZ438">
        <v>1</v>
      </c>
      <c r="BA438">
        <v>7504</v>
      </c>
      <c r="BB438" t="s">
        <v>708</v>
      </c>
      <c r="BC438">
        <v>200</v>
      </c>
      <c r="BD438" s="2">
        <v>0.36</v>
      </c>
      <c r="BE438" t="s">
        <v>922</v>
      </c>
      <c r="BF438" t="s">
        <v>921</v>
      </c>
      <c r="BG438" t="s">
        <v>939</v>
      </c>
      <c r="BH438" s="7">
        <v>40</v>
      </c>
      <c r="BI43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438">
        <v>-3</v>
      </c>
      <c r="BK438" t="s">
        <v>733</v>
      </c>
      <c r="BL438" s="11"/>
      <c r="BM438" s="11"/>
      <c r="BN438" s="11">
        <v>90</v>
      </c>
      <c r="BO438">
        <v>0</v>
      </c>
      <c r="BP438" t="s">
        <v>691</v>
      </c>
      <c r="BQ438" t="s">
        <v>693</v>
      </c>
      <c r="BR438" t="s">
        <v>700</v>
      </c>
      <c r="BS438" t="s">
        <v>704</v>
      </c>
      <c r="BT438" t="s">
        <v>705</v>
      </c>
      <c r="BU438" t="s">
        <v>706</v>
      </c>
      <c r="CT438"/>
      <c r="CU438"/>
      <c r="CV438"/>
    </row>
    <row r="439" spans="1:100" x14ac:dyDescent="0.4">
      <c r="A439" s="2" t="s">
        <v>464</v>
      </c>
      <c r="B439" t="str">
        <f>_xlfn.TEXTAFTER(Table1[[#This Row],[VEHIDCODE]],"_")</f>
        <v>France_SNCF_BB_25500</v>
      </c>
      <c r="C439" t="s">
        <v>740</v>
      </c>
      <c r="D439" t="s">
        <v>960</v>
      </c>
      <c r="E439">
        <v>6087</v>
      </c>
      <c r="F439" t="b">
        <f>OR(ISNUMBER(SEARCH("wagon_",Table1[[#This Row],[FILENAMES_EXPECTED]])),ISNUMBER(SEARCH("coach_",Table1[[#This Row],[FILENAMES_EXPECTED]])))</f>
        <v>0</v>
      </c>
      <c r="G439" t="str">
        <f>"item_"&amp;Table1[[#This Row],[VEHIDCODE]]</f>
        <v>item_electric_France_SNCF_BB_25500</v>
      </c>
      <c r="H439" t="str">
        <f>"str_"&amp;Table1[[#This Row],[VEHIDCODE]]</f>
        <v>str_electric_France_SNCF_BB_25500</v>
      </c>
      <c r="I439" t="b">
        <v>1</v>
      </c>
      <c r="AL439" s="2"/>
      <c r="AM439" s="2" t="b">
        <f>LEN(_xlfn.CONCAT(Table1[[#This Row],[TRACK_TYPE_STANDARD_GAUGE_RAILTYPE_OHLE]:[TRACK_TYPE_MTRO]]))&gt;0</f>
        <v>1</v>
      </c>
      <c r="AN439">
        <v>8</v>
      </c>
      <c r="AO439" t="s">
        <v>20</v>
      </c>
      <c r="AP439">
        <v>0</v>
      </c>
      <c r="AQ439" t="s">
        <v>74</v>
      </c>
      <c r="AR439">
        <v>0</v>
      </c>
      <c r="AS439">
        <v>1964</v>
      </c>
      <c r="AT439">
        <v>8</v>
      </c>
      <c r="AU439" s="2" t="s">
        <v>20</v>
      </c>
      <c r="AV439" t="b">
        <v>1</v>
      </c>
      <c r="AX439" s="2"/>
      <c r="AY439">
        <v>45</v>
      </c>
      <c r="AZ439">
        <v>1</v>
      </c>
      <c r="BA439">
        <v>3940</v>
      </c>
      <c r="BB439" t="s">
        <v>708</v>
      </c>
      <c r="BC439">
        <v>100</v>
      </c>
      <c r="BD439" s="2">
        <v>0.42</v>
      </c>
      <c r="BE439" t="s">
        <v>922</v>
      </c>
      <c r="BF439" t="s">
        <v>921</v>
      </c>
      <c r="BG439" t="s">
        <v>939</v>
      </c>
      <c r="BH439" s="7">
        <v>40</v>
      </c>
      <c r="BI43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439">
        <v>0</v>
      </c>
      <c r="BK439" t="s">
        <v>733</v>
      </c>
      <c r="BL439" s="11"/>
      <c r="BM439" s="11"/>
      <c r="BN439" s="11">
        <v>79</v>
      </c>
      <c r="BO439">
        <v>0</v>
      </c>
      <c r="BP439" t="s">
        <v>691</v>
      </c>
      <c r="BQ439" t="s">
        <v>693</v>
      </c>
      <c r="BR439" t="s">
        <v>700</v>
      </c>
      <c r="BS439" t="s">
        <v>704</v>
      </c>
      <c r="BT439" t="s">
        <v>705</v>
      </c>
      <c r="BU439" t="s">
        <v>706</v>
      </c>
      <c r="CT439"/>
      <c r="CU439"/>
      <c r="CV439"/>
    </row>
    <row r="440" spans="1:100" x14ac:dyDescent="0.4">
      <c r="A440" s="2" t="s">
        <v>465</v>
      </c>
      <c r="B440" t="str">
        <f>_xlfn.TEXTAFTER(Table1[[#This Row],[VEHIDCODE]],"_")</f>
        <v>Germany_DB_182_ES64U_Taurus</v>
      </c>
      <c r="C440" t="s">
        <v>740</v>
      </c>
      <c r="D440" t="s">
        <v>960</v>
      </c>
      <c r="E440">
        <v>6053</v>
      </c>
      <c r="F440" t="b">
        <f>OR(ISNUMBER(SEARCH("wagon_",Table1[[#This Row],[FILENAMES_EXPECTED]])),ISNUMBER(SEARCH("coach_",Table1[[#This Row],[FILENAMES_EXPECTED]])))</f>
        <v>0</v>
      </c>
      <c r="G440" t="str">
        <f>"item_"&amp;Table1[[#This Row],[VEHIDCODE]]</f>
        <v>item_electric_Germany_DB_182_ES64U_Taurus</v>
      </c>
      <c r="H440" t="str">
        <f>"str_"&amp;Table1[[#This Row],[VEHIDCODE]]</f>
        <v>str_electric_Germany_DB_182_ES64U_Taurus</v>
      </c>
      <c r="I440" t="b">
        <v>1</v>
      </c>
      <c r="AL440" s="2"/>
      <c r="AM440" s="2" t="b">
        <f>LEN(_xlfn.CONCAT(Table1[[#This Row],[TRACK_TYPE_STANDARD_GAUGE_RAILTYPE_OHLE]:[TRACK_TYPE_MTRO]]))&gt;0</f>
        <v>1</v>
      </c>
      <c r="AN440">
        <v>8</v>
      </c>
      <c r="AO440" t="s">
        <v>20</v>
      </c>
      <c r="AP440">
        <v>0</v>
      </c>
      <c r="AQ440" t="s">
        <v>74</v>
      </c>
      <c r="AR440">
        <v>0</v>
      </c>
      <c r="AS440">
        <v>2000</v>
      </c>
      <c r="AT440">
        <v>8</v>
      </c>
      <c r="AU440" s="2" t="s">
        <v>20</v>
      </c>
      <c r="AV440" t="b">
        <v>1</v>
      </c>
      <c r="AX440" s="2"/>
      <c r="AY440" t="s">
        <v>21</v>
      </c>
      <c r="AZ440">
        <v>1</v>
      </c>
      <c r="BA440">
        <v>11266</v>
      </c>
      <c r="BB440" t="s">
        <v>708</v>
      </c>
      <c r="BC440">
        <v>230</v>
      </c>
      <c r="BD440" s="2">
        <v>0.35</v>
      </c>
      <c r="BE440" t="s">
        <v>922</v>
      </c>
      <c r="BF440" t="s">
        <v>921</v>
      </c>
      <c r="BG440" t="s">
        <v>939</v>
      </c>
      <c r="BH440" s="7">
        <v>40</v>
      </c>
      <c r="BI44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440">
        <v>-3</v>
      </c>
      <c r="BK440" t="s">
        <v>733</v>
      </c>
      <c r="BL440" s="11"/>
      <c r="BM440" s="11"/>
      <c r="BN440" s="11">
        <v>86</v>
      </c>
      <c r="BO440">
        <v>0</v>
      </c>
      <c r="BP440" t="s">
        <v>691</v>
      </c>
      <c r="BQ440" t="s">
        <v>693</v>
      </c>
      <c r="BR440" t="s">
        <v>700</v>
      </c>
      <c r="BS440" t="s">
        <v>704</v>
      </c>
      <c r="BT440" t="s">
        <v>705</v>
      </c>
      <c r="BU440" t="s">
        <v>706</v>
      </c>
      <c r="CT440"/>
      <c r="CU440"/>
      <c r="CV440"/>
    </row>
    <row r="441" spans="1:100" x14ac:dyDescent="0.4">
      <c r="A441" s="2" t="s">
        <v>466</v>
      </c>
      <c r="B441" t="str">
        <f>_xlfn.TEXTAFTER(Table1[[#This Row],[VEHIDCODE]],"_")</f>
        <v>Japan_JR_EH500</v>
      </c>
      <c r="C441" t="s">
        <v>740</v>
      </c>
      <c r="D441" t="s">
        <v>960</v>
      </c>
      <c r="E441">
        <v>6051</v>
      </c>
      <c r="F441" t="b">
        <f>OR(ISNUMBER(SEARCH("wagon_",Table1[[#This Row],[FILENAMES_EXPECTED]])),ISNUMBER(SEARCH("coach_",Table1[[#This Row],[FILENAMES_EXPECTED]])))</f>
        <v>0</v>
      </c>
      <c r="G441" t="str">
        <f>"item_"&amp;Table1[[#This Row],[VEHIDCODE]]</f>
        <v>item_electric_Japan_JR_EH500</v>
      </c>
      <c r="H441" t="str">
        <f>"str_"&amp;Table1[[#This Row],[VEHIDCODE]]</f>
        <v>str_electric_Japan_JR_EH500</v>
      </c>
      <c r="R441" t="b">
        <v>1</v>
      </c>
      <c r="AL441" s="2"/>
      <c r="AM441" s="2" t="b">
        <f>LEN(_xlfn.CONCAT(Table1[[#This Row],[TRACK_TYPE_STANDARD_GAUGE_RAILTYPE_OHLE]:[TRACK_TYPE_MTRO]]))&gt;0</f>
        <v>1</v>
      </c>
      <c r="AN441">
        <v>16</v>
      </c>
      <c r="AO441" t="s">
        <v>20</v>
      </c>
      <c r="AP441">
        <v>0</v>
      </c>
      <c r="AQ441" t="s">
        <v>74</v>
      </c>
      <c r="AR441">
        <v>0</v>
      </c>
      <c r="AS441">
        <v>1997</v>
      </c>
      <c r="AT441">
        <v>8</v>
      </c>
      <c r="AU441" s="2" t="s">
        <v>20</v>
      </c>
      <c r="AV441" t="b">
        <v>1</v>
      </c>
      <c r="AX441" s="2"/>
      <c r="AY441" t="s">
        <v>21</v>
      </c>
      <c r="AZ441">
        <v>1</v>
      </c>
      <c r="BA441">
        <v>5350</v>
      </c>
      <c r="BB441" t="s">
        <v>708</v>
      </c>
      <c r="BC441">
        <v>110</v>
      </c>
      <c r="BD441" s="2">
        <v>0.18</v>
      </c>
      <c r="BE441" t="s">
        <v>930</v>
      </c>
      <c r="BF441" t="s">
        <v>921</v>
      </c>
      <c r="BG441" t="s">
        <v>939</v>
      </c>
      <c r="BH441" s="7">
        <v>40</v>
      </c>
      <c r="BI44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441">
        <v>0</v>
      </c>
      <c r="BK441" t="s">
        <v>733</v>
      </c>
      <c r="BL441" s="11"/>
      <c r="BM441" s="11"/>
      <c r="BN441" s="11">
        <v>134</v>
      </c>
      <c r="BO441">
        <v>0</v>
      </c>
      <c r="BP441" t="s">
        <v>691</v>
      </c>
      <c r="BQ441" t="s">
        <v>693</v>
      </c>
      <c r="BR441" t="s">
        <v>700</v>
      </c>
      <c r="BS441" t="s">
        <v>704</v>
      </c>
      <c r="BT441" t="s">
        <v>705</v>
      </c>
      <c r="BU441" t="s">
        <v>706</v>
      </c>
      <c r="CT441"/>
      <c r="CU441"/>
      <c r="CV441"/>
    </row>
    <row r="442" spans="1:100" x14ac:dyDescent="0.4">
      <c r="A442" s="2" t="s">
        <v>467</v>
      </c>
      <c r="B442" t="str">
        <f>_xlfn.TEXTAFTER(Table1[[#This Row],[VEHIDCODE]],"_")</f>
        <v>USA_Amtrak_EMD_AEM_7</v>
      </c>
      <c r="C442" t="s">
        <v>740</v>
      </c>
      <c r="D442" t="s">
        <v>960</v>
      </c>
      <c r="E442">
        <v>6104</v>
      </c>
      <c r="F442" t="b">
        <f>OR(ISNUMBER(SEARCH("wagon_",Table1[[#This Row],[FILENAMES_EXPECTED]])),ISNUMBER(SEARCH("coach_",Table1[[#This Row],[FILENAMES_EXPECTED]])))</f>
        <v>0</v>
      </c>
      <c r="G442" t="str">
        <f>"item_"&amp;Table1[[#This Row],[VEHIDCODE]]</f>
        <v>item_electric_USA_Amtrak_EMD_AEM_7</v>
      </c>
      <c r="H442" t="str">
        <f>"str_"&amp;Table1[[#This Row],[VEHIDCODE]]</f>
        <v>str_electric_USA_Amtrak_EMD_AEM_7</v>
      </c>
      <c r="I442" t="b">
        <v>1</v>
      </c>
      <c r="AL442" s="2"/>
      <c r="AM442" s="2" t="b">
        <f>LEN(_xlfn.CONCAT(Table1[[#This Row],[TRACK_TYPE_STANDARD_GAUGE_RAILTYPE_OHLE]:[TRACK_TYPE_MTRO]]))&gt;0</f>
        <v>1</v>
      </c>
      <c r="AN442">
        <v>7</v>
      </c>
      <c r="AO442" t="s">
        <v>20</v>
      </c>
      <c r="AP442">
        <v>0</v>
      </c>
      <c r="AQ442" t="s">
        <v>74</v>
      </c>
      <c r="AR442">
        <v>0</v>
      </c>
      <c r="AS442">
        <v>1978</v>
      </c>
      <c r="AT442">
        <v>7</v>
      </c>
      <c r="AU442" s="2" t="s">
        <v>20</v>
      </c>
      <c r="AV442" t="b">
        <v>1</v>
      </c>
      <c r="AX442" s="2"/>
      <c r="AY442">
        <v>45</v>
      </c>
      <c r="AZ442">
        <v>1</v>
      </c>
      <c r="BA442">
        <v>5790</v>
      </c>
      <c r="BB442" t="s">
        <v>708</v>
      </c>
      <c r="BC442">
        <v>201</v>
      </c>
      <c r="BD442" s="2">
        <v>0.26</v>
      </c>
      <c r="BE442" t="s">
        <v>927</v>
      </c>
      <c r="BF442" t="s">
        <v>921</v>
      </c>
      <c r="BG442" t="s">
        <v>939</v>
      </c>
      <c r="BH442" s="7">
        <v>40</v>
      </c>
      <c r="BI44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442">
        <v>0</v>
      </c>
      <c r="BK442" t="s">
        <v>733</v>
      </c>
      <c r="BL442" s="11"/>
      <c r="BM442" s="11"/>
      <c r="BN442" s="11">
        <v>92</v>
      </c>
      <c r="BO442">
        <v>0</v>
      </c>
      <c r="BP442" t="s">
        <v>691</v>
      </c>
      <c r="BQ442" t="s">
        <v>693</v>
      </c>
      <c r="BR442" t="s">
        <v>700</v>
      </c>
      <c r="BS442" t="s">
        <v>704</v>
      </c>
      <c r="BT442" t="s">
        <v>705</v>
      </c>
      <c r="BU442" t="s">
        <v>706</v>
      </c>
      <c r="CT442"/>
      <c r="CU442"/>
      <c r="CV442"/>
    </row>
    <row r="443" spans="1:100" x14ac:dyDescent="0.4">
      <c r="A443" s="2" t="s">
        <v>468</v>
      </c>
      <c r="B443" t="str">
        <f>_xlfn.TEXTAFTER(Table1[[#This Row],[VEHIDCODE]],"_")</f>
        <v>USA_Amtrak_HHP_8</v>
      </c>
      <c r="C443" t="s">
        <v>740</v>
      </c>
      <c r="D443" t="s">
        <v>960</v>
      </c>
      <c r="E443">
        <v>6132</v>
      </c>
      <c r="F443" t="b">
        <f>OR(ISNUMBER(SEARCH("wagon_",Table1[[#This Row],[FILENAMES_EXPECTED]])),ISNUMBER(SEARCH("coach_",Table1[[#This Row],[FILENAMES_EXPECTED]])))</f>
        <v>0</v>
      </c>
      <c r="G443" t="str">
        <f>"item_"&amp;Table1[[#This Row],[VEHIDCODE]]</f>
        <v>item_electric_USA_Amtrak_HHP_8</v>
      </c>
      <c r="H443" t="str">
        <f>"str_"&amp;Table1[[#This Row],[VEHIDCODE]]</f>
        <v>str_electric_USA_Amtrak_HHP_8</v>
      </c>
      <c r="I443" t="b">
        <v>1</v>
      </c>
      <c r="AL443" s="2"/>
      <c r="AM443" s="2" t="b">
        <f>LEN(_xlfn.CONCAT(Table1[[#This Row],[TRACK_TYPE_STANDARD_GAUGE_RAILTYPE_OHLE]:[TRACK_TYPE_MTRO]]))&gt;0</f>
        <v>1</v>
      </c>
      <c r="AN443">
        <v>8</v>
      </c>
      <c r="AO443" t="s">
        <v>20</v>
      </c>
      <c r="AP443">
        <v>0</v>
      </c>
      <c r="AQ443" t="s">
        <v>74</v>
      </c>
      <c r="AR443">
        <v>0</v>
      </c>
      <c r="AS443">
        <v>1999</v>
      </c>
      <c r="AT443">
        <v>8</v>
      </c>
      <c r="AU443" s="2" t="s">
        <v>24</v>
      </c>
      <c r="AV443" t="b">
        <v>1</v>
      </c>
      <c r="AX443" s="2"/>
      <c r="AY443">
        <v>45</v>
      </c>
      <c r="AZ443">
        <v>1</v>
      </c>
      <c r="BA443">
        <v>8000</v>
      </c>
      <c r="BB443" t="s">
        <v>708</v>
      </c>
      <c r="BC443">
        <v>217</v>
      </c>
      <c r="BD443" s="2">
        <v>0.25</v>
      </c>
      <c r="BE443" t="s">
        <v>927</v>
      </c>
      <c r="BF443" t="s">
        <v>921</v>
      </c>
      <c r="BG443" t="s">
        <v>939</v>
      </c>
      <c r="BH443" s="7">
        <v>40</v>
      </c>
      <c r="BI44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443">
        <v>0</v>
      </c>
      <c r="BK443" t="s">
        <v>733</v>
      </c>
      <c r="BL443" s="11"/>
      <c r="BM443" s="11"/>
      <c r="BN443" s="11">
        <v>99</v>
      </c>
      <c r="BO443">
        <v>0</v>
      </c>
      <c r="BP443" t="s">
        <v>691</v>
      </c>
      <c r="BQ443" t="s">
        <v>693</v>
      </c>
      <c r="BR443" t="s">
        <v>700</v>
      </c>
      <c r="BS443" t="s">
        <v>704</v>
      </c>
      <c r="BT443" t="s">
        <v>705</v>
      </c>
      <c r="BU443" t="s">
        <v>706</v>
      </c>
      <c r="CT443"/>
      <c r="CU443"/>
      <c r="CV443"/>
    </row>
    <row r="444" spans="1:100" x14ac:dyDescent="0.4">
      <c r="A444" s="2" t="s">
        <v>469</v>
      </c>
      <c r="B444" t="str">
        <f>_xlfn.TEXTAFTER(Table1[[#This Row],[VEHIDCODE]],"_")</f>
        <v>Czech_Republic_CD_380</v>
      </c>
      <c r="C444" t="s">
        <v>740</v>
      </c>
      <c r="D444" t="s">
        <v>960</v>
      </c>
      <c r="E444">
        <v>6091</v>
      </c>
      <c r="F444" t="b">
        <f>OR(ISNUMBER(SEARCH("wagon_",Table1[[#This Row],[FILENAMES_EXPECTED]])),ISNUMBER(SEARCH("coach_",Table1[[#This Row],[FILENAMES_EXPECTED]])))</f>
        <v>0</v>
      </c>
      <c r="G444" t="str">
        <f>"item_"&amp;Table1[[#This Row],[VEHIDCODE]]</f>
        <v>item_electric_Czech_Republic_CD_380</v>
      </c>
      <c r="H444" t="str">
        <f>"str_"&amp;Table1[[#This Row],[VEHIDCODE]]</f>
        <v>str_electric_Czech_Republic_CD_380</v>
      </c>
      <c r="I444" t="b">
        <v>1</v>
      </c>
      <c r="AL444" s="2"/>
      <c r="AM444" s="2" t="b">
        <f>LEN(_xlfn.CONCAT(Table1[[#This Row],[TRACK_TYPE_STANDARD_GAUGE_RAILTYPE_OHLE]:[TRACK_TYPE_MTRO]]))&gt;0</f>
        <v>1</v>
      </c>
      <c r="AN444">
        <v>8</v>
      </c>
      <c r="AO444" t="s">
        <v>20</v>
      </c>
      <c r="AP444">
        <v>0</v>
      </c>
      <c r="AQ444" t="s">
        <v>74</v>
      </c>
      <c r="AR444">
        <v>0</v>
      </c>
      <c r="AS444">
        <v>2008</v>
      </c>
      <c r="AT444">
        <v>8</v>
      </c>
      <c r="AU444" s="2" t="s">
        <v>20</v>
      </c>
      <c r="AV444" t="b">
        <v>1</v>
      </c>
      <c r="AX444" s="2"/>
      <c r="AY444" t="s">
        <v>21</v>
      </c>
      <c r="AZ444">
        <v>1</v>
      </c>
      <c r="BA444">
        <v>8583</v>
      </c>
      <c r="BB444" t="s">
        <v>708</v>
      </c>
      <c r="BC444">
        <v>200</v>
      </c>
      <c r="BD444" s="2">
        <v>0.34</v>
      </c>
      <c r="BE444" t="s">
        <v>928</v>
      </c>
      <c r="BF444" t="s">
        <v>921</v>
      </c>
      <c r="BG444" t="s">
        <v>939</v>
      </c>
      <c r="BH444" s="7">
        <v>40</v>
      </c>
      <c r="BI44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444">
        <v>0</v>
      </c>
      <c r="BK444" t="s">
        <v>733</v>
      </c>
      <c r="BL444" s="11"/>
      <c r="BM444" s="11"/>
      <c r="BN444" s="11">
        <v>88</v>
      </c>
      <c r="BO444">
        <v>0</v>
      </c>
      <c r="BP444" t="s">
        <v>691</v>
      </c>
      <c r="BQ444" t="s">
        <v>693</v>
      </c>
      <c r="BR444" t="s">
        <v>700</v>
      </c>
      <c r="BS444" t="s">
        <v>704</v>
      </c>
      <c r="BT444" t="s">
        <v>705</v>
      </c>
      <c r="BU444" t="s">
        <v>706</v>
      </c>
      <c r="CT444"/>
      <c r="CU444"/>
      <c r="CV444"/>
    </row>
    <row r="445" spans="1:100" x14ac:dyDescent="0.4">
      <c r="A445" s="2" t="s">
        <v>470</v>
      </c>
      <c r="B445" t="str">
        <f>_xlfn.TEXTAFTER(Table1[[#This Row],[VEHIDCODE]],"_")</f>
        <v>Spain_RENFE_252</v>
      </c>
      <c r="C445" t="s">
        <v>740</v>
      </c>
      <c r="D445" t="s">
        <v>960</v>
      </c>
      <c r="E445">
        <v>6046</v>
      </c>
      <c r="F445" t="b">
        <f>OR(ISNUMBER(SEARCH("wagon_",Table1[[#This Row],[FILENAMES_EXPECTED]])),ISNUMBER(SEARCH("coach_",Table1[[#This Row],[FILENAMES_EXPECTED]])))</f>
        <v>0</v>
      </c>
      <c r="G445" t="str">
        <f>"item_"&amp;Table1[[#This Row],[VEHIDCODE]]</f>
        <v>item_electric_Spain_RENFE_252</v>
      </c>
      <c r="H445" t="str">
        <f>"str_"&amp;Table1[[#This Row],[VEHIDCODE]]</f>
        <v>str_electric_Spain_RENFE_252</v>
      </c>
      <c r="I445" t="b">
        <v>1</v>
      </c>
      <c r="AL445" s="2"/>
      <c r="AM445" s="2" t="b">
        <f>LEN(_xlfn.CONCAT(Table1[[#This Row],[TRACK_TYPE_STANDARD_GAUGE_RAILTYPE_OHLE]:[TRACK_TYPE_MTRO]]))&gt;0</f>
        <v>1</v>
      </c>
      <c r="AN445">
        <v>8</v>
      </c>
      <c r="AO445" t="s">
        <v>20</v>
      </c>
      <c r="AP445">
        <v>0</v>
      </c>
      <c r="AQ445" t="s">
        <v>74</v>
      </c>
      <c r="AR445">
        <v>0</v>
      </c>
      <c r="AS445">
        <v>1992</v>
      </c>
      <c r="AT445">
        <v>8</v>
      </c>
      <c r="AU445" s="2" t="s">
        <v>20</v>
      </c>
      <c r="AV445" t="b">
        <v>1</v>
      </c>
      <c r="AX445" s="2"/>
      <c r="AY445">
        <v>45</v>
      </c>
      <c r="AZ445">
        <v>1</v>
      </c>
      <c r="BA445">
        <v>7700</v>
      </c>
      <c r="BB445" t="s">
        <v>708</v>
      </c>
      <c r="BC445">
        <v>220</v>
      </c>
      <c r="BD445" s="2">
        <v>0.33</v>
      </c>
      <c r="BE445" t="s">
        <v>923</v>
      </c>
      <c r="BF445" t="s">
        <v>921</v>
      </c>
      <c r="BG445" t="s">
        <v>939</v>
      </c>
      <c r="BH445" s="7">
        <v>40</v>
      </c>
      <c r="BI44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445">
        <v>-3</v>
      </c>
      <c r="BK445" t="s">
        <v>733</v>
      </c>
      <c r="BL445" s="11"/>
      <c r="BM445" s="11"/>
      <c r="BN445" s="11">
        <v>90</v>
      </c>
      <c r="BO445">
        <v>0</v>
      </c>
      <c r="BP445" t="s">
        <v>691</v>
      </c>
      <c r="BQ445" t="s">
        <v>693</v>
      </c>
      <c r="BR445" t="s">
        <v>700</v>
      </c>
      <c r="BS445" t="s">
        <v>704</v>
      </c>
      <c r="BT445" t="s">
        <v>705</v>
      </c>
      <c r="BU445" t="s">
        <v>706</v>
      </c>
      <c r="CT445"/>
      <c r="CU445"/>
      <c r="CV445"/>
    </row>
    <row r="446" spans="1:100" x14ac:dyDescent="0.4">
      <c r="A446" s="2" t="s">
        <v>471</v>
      </c>
      <c r="B446" t="str">
        <f>_xlfn.TEXTAFTER(Table1[[#This Row],[VEHIDCODE]],"_")</f>
        <v>Germany_DB_185_TRAXX_F140</v>
      </c>
      <c r="C446" t="s">
        <v>740</v>
      </c>
      <c r="D446" t="s">
        <v>960</v>
      </c>
      <c r="E446">
        <v>6049</v>
      </c>
      <c r="F446" t="b">
        <f>OR(ISNUMBER(SEARCH("wagon_",Table1[[#This Row],[FILENAMES_EXPECTED]])),ISNUMBER(SEARCH("coach_",Table1[[#This Row],[FILENAMES_EXPECTED]])))</f>
        <v>0</v>
      </c>
      <c r="G446" t="str">
        <f>"item_"&amp;Table1[[#This Row],[VEHIDCODE]]</f>
        <v>item_electric_Germany_DB_185_TRAXX_F140</v>
      </c>
      <c r="H446" t="str">
        <f>"str_"&amp;Table1[[#This Row],[VEHIDCODE]]</f>
        <v>str_electric_Germany_DB_185_TRAXX_F140</v>
      </c>
      <c r="I446" t="b">
        <v>1</v>
      </c>
      <c r="AL446" s="2"/>
      <c r="AM446" s="2" t="b">
        <f>LEN(_xlfn.CONCAT(Table1[[#This Row],[TRACK_TYPE_STANDARD_GAUGE_RAILTYPE_OHLE]:[TRACK_TYPE_MTRO]]))&gt;0</f>
        <v>1</v>
      </c>
      <c r="AN446">
        <v>8</v>
      </c>
      <c r="AO446" t="s">
        <v>20</v>
      </c>
      <c r="AP446">
        <v>0</v>
      </c>
      <c r="AQ446" t="s">
        <v>74</v>
      </c>
      <c r="AR446">
        <v>0</v>
      </c>
      <c r="AS446">
        <v>2000</v>
      </c>
      <c r="AT446">
        <v>8</v>
      </c>
      <c r="AU446" s="2" t="s">
        <v>20</v>
      </c>
      <c r="AV446" t="b">
        <v>1</v>
      </c>
      <c r="AX446" s="2"/>
      <c r="AY446" t="s">
        <v>21</v>
      </c>
      <c r="AZ446">
        <v>1</v>
      </c>
      <c r="BA446">
        <v>5600</v>
      </c>
      <c r="BB446" t="s">
        <v>708</v>
      </c>
      <c r="BC446">
        <v>140</v>
      </c>
      <c r="BD446" s="2">
        <v>0.35</v>
      </c>
      <c r="BE446" t="s">
        <v>922</v>
      </c>
      <c r="BF446" t="s">
        <v>921</v>
      </c>
      <c r="BG446" t="s">
        <v>939</v>
      </c>
      <c r="BH446" s="7">
        <v>40</v>
      </c>
      <c r="BI44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446">
        <v>-3</v>
      </c>
      <c r="BK446" t="s">
        <v>733</v>
      </c>
      <c r="BL446" s="11"/>
      <c r="BM446" s="11"/>
      <c r="BN446" s="11">
        <v>84</v>
      </c>
      <c r="BO446">
        <v>0</v>
      </c>
      <c r="BP446" t="s">
        <v>691</v>
      </c>
      <c r="BQ446" t="s">
        <v>693</v>
      </c>
      <c r="BR446" t="s">
        <v>700</v>
      </c>
      <c r="BS446" t="s">
        <v>704</v>
      </c>
      <c r="BT446" t="s">
        <v>705</v>
      </c>
      <c r="BU446" t="s">
        <v>706</v>
      </c>
      <c r="CT446"/>
      <c r="CU446"/>
      <c r="CV446"/>
    </row>
    <row r="447" spans="1:100" x14ac:dyDescent="0.4">
      <c r="A447" s="2" t="s">
        <v>472</v>
      </c>
      <c r="B447" t="str">
        <f>_xlfn.TEXTAFTER(Table1[[#This Row],[VEHIDCODE]],"_")</f>
        <v>Italy_FS_E550</v>
      </c>
      <c r="C447" t="s">
        <v>740</v>
      </c>
      <c r="D447" t="s">
        <v>960</v>
      </c>
      <c r="E447">
        <v>6068</v>
      </c>
      <c r="F447" t="b">
        <f>OR(ISNUMBER(SEARCH("wagon_",Table1[[#This Row],[FILENAMES_EXPECTED]])),ISNUMBER(SEARCH("coach_",Table1[[#This Row],[FILENAMES_EXPECTED]])))</f>
        <v>0</v>
      </c>
      <c r="G447" t="str">
        <f>"item_"&amp;Table1[[#This Row],[VEHIDCODE]]</f>
        <v>item_electric_Italy_FS_E550</v>
      </c>
      <c r="H447" t="str">
        <f>"str_"&amp;Table1[[#This Row],[VEHIDCODE]]</f>
        <v>str_electric_Italy_FS_E550</v>
      </c>
      <c r="I447" t="b">
        <v>1</v>
      </c>
      <c r="AL447" s="2"/>
      <c r="AM447" s="2" t="b">
        <f>LEN(_xlfn.CONCAT(Table1[[#This Row],[TRACK_TYPE_STANDARD_GAUGE_RAILTYPE_OHLE]:[TRACK_TYPE_MTRO]]))&gt;0</f>
        <v>1</v>
      </c>
      <c r="AN447">
        <v>6</v>
      </c>
      <c r="AO447" t="s">
        <v>20</v>
      </c>
      <c r="AP447">
        <v>0</v>
      </c>
      <c r="AQ447" t="s">
        <v>74</v>
      </c>
      <c r="AR447">
        <v>0</v>
      </c>
      <c r="AS447">
        <v>1908</v>
      </c>
      <c r="AT447">
        <v>6</v>
      </c>
      <c r="AU447" s="2" t="s">
        <v>20</v>
      </c>
      <c r="AV447" t="b">
        <v>1</v>
      </c>
      <c r="AX447" s="2"/>
      <c r="AY447">
        <v>45</v>
      </c>
      <c r="AZ447">
        <v>1</v>
      </c>
      <c r="BA447">
        <v>2000</v>
      </c>
      <c r="BB447" t="s">
        <v>708</v>
      </c>
      <c r="BC447">
        <v>50</v>
      </c>
      <c r="BD447" s="2">
        <v>0.16</v>
      </c>
      <c r="BE447" t="s">
        <v>923</v>
      </c>
      <c r="BF447" t="s">
        <v>921</v>
      </c>
      <c r="BG447" t="s">
        <v>939</v>
      </c>
      <c r="BH447" s="7">
        <v>40</v>
      </c>
      <c r="BI44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447">
        <v>0</v>
      </c>
      <c r="BK447" t="s">
        <v>733</v>
      </c>
      <c r="BL447" s="11"/>
      <c r="BM447" s="11"/>
      <c r="BN447" s="11">
        <v>63</v>
      </c>
      <c r="BO447">
        <v>0</v>
      </c>
      <c r="BP447" t="s">
        <v>691</v>
      </c>
      <c r="BQ447" t="s">
        <v>693</v>
      </c>
      <c r="BR447" t="s">
        <v>700</v>
      </c>
      <c r="BS447" t="s">
        <v>704</v>
      </c>
      <c r="BT447" t="s">
        <v>705</v>
      </c>
      <c r="BU447" t="s">
        <v>706</v>
      </c>
      <c r="CT447"/>
      <c r="CU447"/>
      <c r="CV447"/>
    </row>
    <row r="448" spans="1:100" x14ac:dyDescent="0.4">
      <c r="A448" s="2" t="s">
        <v>473</v>
      </c>
      <c r="B448" t="str">
        <f>_xlfn.TEXTAFTER(Table1[[#This Row],[VEHIDCODE]],"_")</f>
        <v>Japan_JNR_EF81</v>
      </c>
      <c r="C448" t="s">
        <v>740</v>
      </c>
      <c r="D448" t="s">
        <v>960</v>
      </c>
      <c r="E448">
        <v>6125</v>
      </c>
      <c r="F448" t="b">
        <f>OR(ISNUMBER(SEARCH("wagon_",Table1[[#This Row],[FILENAMES_EXPECTED]])),ISNUMBER(SEARCH("coach_",Table1[[#This Row],[FILENAMES_EXPECTED]])))</f>
        <v>0</v>
      </c>
      <c r="G448" t="str">
        <f>"item_"&amp;Table1[[#This Row],[VEHIDCODE]]</f>
        <v>item_electric_Japan_JNR_EF81</v>
      </c>
      <c r="H448" t="str">
        <f>"str_"&amp;Table1[[#This Row],[VEHIDCODE]]</f>
        <v>str_electric_Japan_JNR_EF81</v>
      </c>
      <c r="R448" t="b">
        <v>1</v>
      </c>
      <c r="AL448" s="2"/>
      <c r="AM448" s="2" t="b">
        <f>LEN(_xlfn.CONCAT(Table1[[#This Row],[TRACK_TYPE_STANDARD_GAUGE_RAILTYPE_OHLE]:[TRACK_TYPE_MTRO]]))&gt;0</f>
        <v>1</v>
      </c>
      <c r="AN448">
        <v>7</v>
      </c>
      <c r="AO448" t="s">
        <v>20</v>
      </c>
      <c r="AP448">
        <v>0</v>
      </c>
      <c r="AQ448" t="s">
        <v>74</v>
      </c>
      <c r="AR448">
        <v>0</v>
      </c>
      <c r="AS448">
        <v>1967</v>
      </c>
      <c r="AT448">
        <v>7</v>
      </c>
      <c r="AU448" s="2" t="s">
        <v>24</v>
      </c>
      <c r="AV448" t="b">
        <v>1</v>
      </c>
      <c r="AX448" s="2"/>
      <c r="AY448">
        <v>45</v>
      </c>
      <c r="AZ448">
        <v>1</v>
      </c>
      <c r="BA448">
        <v>3420</v>
      </c>
      <c r="BB448" t="s">
        <v>708</v>
      </c>
      <c r="BC448">
        <v>110</v>
      </c>
      <c r="BD448" s="2">
        <v>0.28999999999999998</v>
      </c>
      <c r="BE448" t="s">
        <v>930</v>
      </c>
      <c r="BF448" t="s">
        <v>921</v>
      </c>
      <c r="BG448" t="s">
        <v>939</v>
      </c>
      <c r="BH448" s="7">
        <v>40</v>
      </c>
      <c r="BI44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448">
        <v>0</v>
      </c>
      <c r="BK448" t="s">
        <v>733</v>
      </c>
      <c r="BL448" s="11"/>
      <c r="BM448" s="11"/>
      <c r="BN448" s="11">
        <v>101</v>
      </c>
      <c r="BO448">
        <v>0</v>
      </c>
      <c r="BP448" t="s">
        <v>691</v>
      </c>
      <c r="BQ448" t="s">
        <v>693</v>
      </c>
      <c r="BR448" t="s">
        <v>700</v>
      </c>
      <c r="BS448" t="s">
        <v>704</v>
      </c>
      <c r="BT448" t="s">
        <v>705</v>
      </c>
      <c r="BU448" t="s">
        <v>706</v>
      </c>
      <c r="CT448"/>
      <c r="CU448"/>
      <c r="CV448"/>
    </row>
    <row r="449" spans="1:100" x14ac:dyDescent="0.4">
      <c r="A449" s="2" t="s">
        <v>474</v>
      </c>
      <c r="B449" t="str">
        <f>_xlfn.TEXTAFTER(Table1[[#This Row],[VEHIDCODE]],"_")</f>
        <v>UK_BR_92</v>
      </c>
      <c r="C449" t="s">
        <v>740</v>
      </c>
      <c r="D449" t="s">
        <v>960</v>
      </c>
      <c r="E449">
        <v>6047</v>
      </c>
      <c r="F449" t="b">
        <f>OR(ISNUMBER(SEARCH("wagon_",Table1[[#This Row],[FILENAMES_EXPECTED]])),ISNUMBER(SEARCH("coach_",Table1[[#This Row],[FILENAMES_EXPECTED]])))</f>
        <v>0</v>
      </c>
      <c r="G449" t="str">
        <f>"item_"&amp;Table1[[#This Row],[VEHIDCODE]]</f>
        <v>item_electric_UK_BR_92</v>
      </c>
      <c r="H449" t="str">
        <f>"str_"&amp;Table1[[#This Row],[VEHIDCODE]]</f>
        <v>str_electric_UK_BR_92</v>
      </c>
      <c r="I449" t="b">
        <v>1</v>
      </c>
      <c r="P449" t="b">
        <v>1</v>
      </c>
      <c r="AL449" s="2"/>
      <c r="AM449" s="2" t="b">
        <f>LEN(_xlfn.CONCAT(Table1[[#This Row],[TRACK_TYPE_STANDARD_GAUGE_RAILTYPE_OHLE]:[TRACK_TYPE_MTRO]]))&gt;0</f>
        <v>1</v>
      </c>
      <c r="AN449">
        <v>8</v>
      </c>
      <c r="AO449" t="s">
        <v>20</v>
      </c>
      <c r="AP449">
        <v>0</v>
      </c>
      <c r="AQ449" t="s">
        <v>74</v>
      </c>
      <c r="AR449">
        <v>0</v>
      </c>
      <c r="AS449">
        <v>1993</v>
      </c>
      <c r="AT449">
        <v>8</v>
      </c>
      <c r="AU449" s="2" t="s">
        <v>20</v>
      </c>
      <c r="AV449" t="b">
        <v>1</v>
      </c>
      <c r="AX449" s="2"/>
      <c r="AY449">
        <v>45</v>
      </c>
      <c r="AZ449">
        <v>0</v>
      </c>
      <c r="BA449">
        <v>6760</v>
      </c>
      <c r="BB449" t="s">
        <v>708</v>
      </c>
      <c r="BC449">
        <v>140</v>
      </c>
      <c r="BD449" s="2">
        <v>0.28999999999999998</v>
      </c>
      <c r="BE449" t="s">
        <v>926</v>
      </c>
      <c r="BF449" t="s">
        <v>921</v>
      </c>
      <c r="BG449" t="s">
        <v>939</v>
      </c>
      <c r="BH449" s="7">
        <v>40</v>
      </c>
      <c r="BI44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449">
        <v>-3</v>
      </c>
      <c r="BK449" t="s">
        <v>733</v>
      </c>
      <c r="BL449" s="11"/>
      <c r="BM449" s="11"/>
      <c r="BN449" s="11">
        <v>126</v>
      </c>
      <c r="BO449">
        <v>0</v>
      </c>
      <c r="BP449" t="s">
        <v>691</v>
      </c>
      <c r="BQ449" t="s">
        <v>693</v>
      </c>
      <c r="BR449" t="s">
        <v>700</v>
      </c>
      <c r="BS449" t="s">
        <v>704</v>
      </c>
      <c r="BT449" t="s">
        <v>705</v>
      </c>
      <c r="BU449" t="s">
        <v>706</v>
      </c>
      <c r="CT449"/>
      <c r="CU449"/>
      <c r="CV449"/>
    </row>
    <row r="450" spans="1:100" x14ac:dyDescent="0.4">
      <c r="A450" s="2" t="s">
        <v>475</v>
      </c>
      <c r="B450" t="str">
        <f>_xlfn.TEXTAFTER(Table1[[#This Row],[VEHIDCODE]],"_")</f>
        <v>USA_Amtrak_ACS_64</v>
      </c>
      <c r="C450" t="s">
        <v>740</v>
      </c>
      <c r="D450" t="s">
        <v>960</v>
      </c>
      <c r="E450">
        <v>6120</v>
      </c>
      <c r="F450" t="b">
        <f>OR(ISNUMBER(SEARCH("wagon_",Table1[[#This Row],[FILENAMES_EXPECTED]])),ISNUMBER(SEARCH("coach_",Table1[[#This Row],[FILENAMES_EXPECTED]])))</f>
        <v>0</v>
      </c>
      <c r="G450" t="str">
        <f>"item_"&amp;Table1[[#This Row],[VEHIDCODE]]</f>
        <v>item_electric_USA_Amtrak_ACS_64</v>
      </c>
      <c r="H450" t="str">
        <f>"str_"&amp;Table1[[#This Row],[VEHIDCODE]]</f>
        <v>str_electric_USA_Amtrak_ACS_64</v>
      </c>
      <c r="I450" t="b">
        <v>1</v>
      </c>
      <c r="P450" t="b">
        <v>1</v>
      </c>
      <c r="AL450" s="2"/>
      <c r="AM450" s="2" t="b">
        <f>LEN(_xlfn.CONCAT(Table1[[#This Row],[TRACK_TYPE_STANDARD_GAUGE_RAILTYPE_OHLE]:[TRACK_TYPE_MTRO]]))&gt;0</f>
        <v>1</v>
      </c>
      <c r="AN450">
        <v>8</v>
      </c>
      <c r="AO450" t="s">
        <v>20</v>
      </c>
      <c r="AP450">
        <v>0</v>
      </c>
      <c r="AQ450" t="s">
        <v>74</v>
      </c>
      <c r="AR450">
        <v>0</v>
      </c>
      <c r="AS450">
        <v>2012</v>
      </c>
      <c r="AT450">
        <v>8</v>
      </c>
      <c r="AU450" s="2" t="s">
        <v>20</v>
      </c>
      <c r="AV450" t="b">
        <v>1</v>
      </c>
      <c r="AX450" s="2"/>
      <c r="AY450" t="s">
        <v>21</v>
      </c>
      <c r="AZ450">
        <v>1</v>
      </c>
      <c r="BA450">
        <v>8600</v>
      </c>
      <c r="BB450" t="s">
        <v>708</v>
      </c>
      <c r="BC450">
        <v>220</v>
      </c>
      <c r="BD450" s="2">
        <v>0.33</v>
      </c>
      <c r="BE450" t="s">
        <v>927</v>
      </c>
      <c r="BF450" t="s">
        <v>921</v>
      </c>
      <c r="BG450" t="s">
        <v>939</v>
      </c>
      <c r="BH450" s="7">
        <v>40</v>
      </c>
      <c r="BI45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450">
        <v>0</v>
      </c>
      <c r="BK450" t="s">
        <v>733</v>
      </c>
      <c r="BL450" s="11"/>
      <c r="BM450" s="11"/>
      <c r="BN450" s="11">
        <v>98</v>
      </c>
      <c r="BO450">
        <v>0</v>
      </c>
      <c r="BP450" t="s">
        <v>691</v>
      </c>
      <c r="BQ450" t="s">
        <v>693</v>
      </c>
      <c r="BR450" t="s">
        <v>700</v>
      </c>
      <c r="BS450" t="s">
        <v>704</v>
      </c>
      <c r="BT450" t="s">
        <v>705</v>
      </c>
      <c r="BU450" t="s">
        <v>706</v>
      </c>
      <c r="CT450"/>
      <c r="CU450"/>
      <c r="CV450"/>
    </row>
    <row r="451" spans="1:100" x14ac:dyDescent="0.4">
      <c r="A451" s="2" t="s">
        <v>476</v>
      </c>
      <c r="B451" t="str">
        <f>_xlfn.TEXTAFTER(Table1[[#This Row],[VEHIDCODE]],"_")</f>
        <v>France_SNCF_CC_40100</v>
      </c>
      <c r="C451" t="s">
        <v>740</v>
      </c>
      <c r="D451" t="s">
        <v>960</v>
      </c>
      <c r="E451">
        <v>6030</v>
      </c>
      <c r="F451" t="b">
        <f>OR(ISNUMBER(SEARCH("wagon_",Table1[[#This Row],[FILENAMES_EXPECTED]])),ISNUMBER(SEARCH("coach_",Table1[[#This Row],[FILENAMES_EXPECTED]])))</f>
        <v>0</v>
      </c>
      <c r="G451" t="str">
        <f>"item_"&amp;Table1[[#This Row],[VEHIDCODE]]</f>
        <v>item_electric_France_SNCF_CC_40100</v>
      </c>
      <c r="H451" t="str">
        <f>"str_"&amp;Table1[[#This Row],[VEHIDCODE]]</f>
        <v>str_electric_France_SNCF_CC_40100</v>
      </c>
      <c r="I451" t="b">
        <v>1</v>
      </c>
      <c r="P451" t="b">
        <v>1</v>
      </c>
      <c r="AL451" s="2"/>
      <c r="AM451" s="2" t="b">
        <f>LEN(_xlfn.CONCAT(Table1[[#This Row],[TRACK_TYPE_STANDARD_GAUGE_RAILTYPE_OHLE]:[TRACK_TYPE_MTRO]]))&gt;0</f>
        <v>1</v>
      </c>
      <c r="AN451">
        <v>8</v>
      </c>
      <c r="AO451" t="s">
        <v>20</v>
      </c>
      <c r="AP451">
        <v>0</v>
      </c>
      <c r="AQ451" t="s">
        <v>74</v>
      </c>
      <c r="AR451">
        <v>0</v>
      </c>
      <c r="AS451">
        <v>1964</v>
      </c>
      <c r="AT451">
        <v>8</v>
      </c>
      <c r="AU451" s="2" t="s">
        <v>20</v>
      </c>
      <c r="AV451" t="b">
        <v>1</v>
      </c>
      <c r="AX451" s="2"/>
      <c r="AY451">
        <v>45</v>
      </c>
      <c r="AZ451">
        <v>1</v>
      </c>
      <c r="BA451">
        <v>6000</v>
      </c>
      <c r="BB451" t="s">
        <v>708</v>
      </c>
      <c r="BC451">
        <v>240</v>
      </c>
      <c r="BD451" s="2">
        <v>0.21</v>
      </c>
      <c r="BE451" t="s">
        <v>922</v>
      </c>
      <c r="BF451" t="s">
        <v>921</v>
      </c>
      <c r="BG451" t="s">
        <v>939</v>
      </c>
      <c r="BH451" s="7">
        <v>40</v>
      </c>
      <c r="BI45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451">
        <v>-3</v>
      </c>
      <c r="BK451" t="s">
        <v>733</v>
      </c>
      <c r="BL451" s="11"/>
      <c r="BM451" s="11"/>
      <c r="BN451" s="11">
        <v>110</v>
      </c>
      <c r="BO451">
        <v>0</v>
      </c>
      <c r="BP451" t="s">
        <v>691</v>
      </c>
      <c r="BQ451" t="s">
        <v>693</v>
      </c>
      <c r="BR451" t="s">
        <v>700</v>
      </c>
      <c r="BS451" t="s">
        <v>704</v>
      </c>
      <c r="BT451" t="s">
        <v>705</v>
      </c>
      <c r="BU451" t="s">
        <v>706</v>
      </c>
      <c r="CT451"/>
      <c r="CU451"/>
      <c r="CV451"/>
    </row>
    <row r="452" spans="1:100" x14ac:dyDescent="0.4">
      <c r="A452" s="2" t="s">
        <v>477</v>
      </c>
      <c r="B452" t="str">
        <f>_xlfn.TEXTAFTER(Table1[[#This Row],[VEHIDCODE]],"_")</f>
        <v>Belgium_NMBS_SNCB_13_HLE</v>
      </c>
      <c r="C452" t="s">
        <v>740</v>
      </c>
      <c r="D452" t="s">
        <v>960</v>
      </c>
      <c r="E452">
        <v>6050</v>
      </c>
      <c r="F452" t="b">
        <f>OR(ISNUMBER(SEARCH("wagon_",Table1[[#This Row],[FILENAMES_EXPECTED]])),ISNUMBER(SEARCH("coach_",Table1[[#This Row],[FILENAMES_EXPECTED]])))</f>
        <v>0</v>
      </c>
      <c r="G452" t="str">
        <f>"item_"&amp;Table1[[#This Row],[VEHIDCODE]]</f>
        <v>item_electric_Belgium_NMBS_SNCB_13_HLE</v>
      </c>
      <c r="H452" t="str">
        <f>"str_"&amp;Table1[[#This Row],[VEHIDCODE]]</f>
        <v>str_electric_Belgium_NMBS_SNCB_13_HLE</v>
      </c>
      <c r="I452" t="b">
        <v>1</v>
      </c>
      <c r="P452" t="b">
        <v>1</v>
      </c>
      <c r="AL452" s="2"/>
      <c r="AM452" s="2" t="b">
        <f>LEN(_xlfn.CONCAT(Table1[[#This Row],[TRACK_TYPE_STANDARD_GAUGE_RAILTYPE_OHLE]:[TRACK_TYPE_MTRO]]))&gt;0</f>
        <v>1</v>
      </c>
      <c r="AN452">
        <v>8</v>
      </c>
      <c r="AO452" t="s">
        <v>20</v>
      </c>
      <c r="AP452">
        <v>0</v>
      </c>
      <c r="AQ452" t="s">
        <v>74</v>
      </c>
      <c r="AR452">
        <v>0</v>
      </c>
      <c r="AS452">
        <v>1997</v>
      </c>
      <c r="AT452">
        <v>8</v>
      </c>
      <c r="AU452" s="2" t="s">
        <v>20</v>
      </c>
      <c r="AV452" t="b">
        <v>1</v>
      </c>
      <c r="AX452" s="2"/>
      <c r="AY452" t="s">
        <v>21</v>
      </c>
      <c r="AZ452">
        <v>1</v>
      </c>
      <c r="BA452">
        <v>6968</v>
      </c>
      <c r="BB452" t="s">
        <v>708</v>
      </c>
      <c r="BC452">
        <v>200</v>
      </c>
      <c r="BD452" s="2">
        <v>0.32</v>
      </c>
      <c r="BE452" t="s">
        <v>922</v>
      </c>
      <c r="BF452" t="s">
        <v>921</v>
      </c>
      <c r="BG452" t="s">
        <v>939</v>
      </c>
      <c r="BH452" s="7">
        <v>40</v>
      </c>
      <c r="BI45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452">
        <v>-3</v>
      </c>
      <c r="BK452" t="s">
        <v>733</v>
      </c>
      <c r="BL452" s="11"/>
      <c r="BM452" s="11"/>
      <c r="BN452" s="11">
        <v>90</v>
      </c>
      <c r="BO452">
        <v>0</v>
      </c>
      <c r="BP452" t="s">
        <v>691</v>
      </c>
      <c r="BQ452" t="s">
        <v>693</v>
      </c>
      <c r="BR452" t="s">
        <v>700</v>
      </c>
      <c r="BS452" t="s">
        <v>704</v>
      </c>
      <c r="BT452" t="s">
        <v>705</v>
      </c>
      <c r="BU452" t="s">
        <v>706</v>
      </c>
      <c r="CT452"/>
      <c r="CU452"/>
      <c r="CV452"/>
    </row>
    <row r="453" spans="1:100" x14ac:dyDescent="0.4">
      <c r="A453" s="2" t="s">
        <v>478</v>
      </c>
      <c r="B453" t="str">
        <f>_xlfn.TEXTAFTER(Table1[[#This Row],[VEHIDCODE]],"_")</f>
        <v>Germany_DB_VT_040_Flying_Hamburger</v>
      </c>
      <c r="C453" t="s">
        <v>741</v>
      </c>
      <c r="D453" t="s">
        <v>962</v>
      </c>
      <c r="E453">
        <v>7002</v>
      </c>
      <c r="F453" t="b">
        <f>OR(ISNUMBER(SEARCH("wagon_",Table1[[#This Row],[FILENAMES_EXPECTED]])),ISNUMBER(SEARCH("coach_",Table1[[#This Row],[FILENAMES_EXPECTED]])))</f>
        <v>0</v>
      </c>
      <c r="G453" t="str">
        <f>"item_"&amp;Table1[[#This Row],[VEHIDCODE]]</f>
        <v>item_dmu_Germany_DB_VT_040_Flying_Hamburger</v>
      </c>
      <c r="H453" t="str">
        <f>"str_"&amp;Table1[[#This Row],[VEHIDCODE]]</f>
        <v>str_dmu_Germany_DB_VT_040_Flying_Hamburger</v>
      </c>
      <c r="Q453" s="2" t="b">
        <v>1</v>
      </c>
      <c r="AL453" s="2"/>
      <c r="AM453" s="2" t="b">
        <f>LEN(_xlfn.CONCAT(Table1[[#This Row],[TRACK_TYPE_STANDARD_GAUGE_RAILTYPE_OHLE]:[TRACK_TYPE_MTRO]]))&gt;0</f>
        <v>1</v>
      </c>
      <c r="AN453">
        <v>8</v>
      </c>
      <c r="AO453" t="s">
        <v>18</v>
      </c>
      <c r="AP453">
        <v>1</v>
      </c>
      <c r="AQ453" t="s">
        <v>35</v>
      </c>
      <c r="AR453">
        <v>50</v>
      </c>
      <c r="AS453">
        <v>1932</v>
      </c>
      <c r="AT453">
        <v>8</v>
      </c>
      <c r="AU453" s="2" t="s">
        <v>479</v>
      </c>
      <c r="AV453" t="b">
        <v>1</v>
      </c>
      <c r="AW453" t="b">
        <v>1</v>
      </c>
      <c r="AX453" s="2"/>
      <c r="AY453">
        <v>45</v>
      </c>
      <c r="AZ453">
        <v>1</v>
      </c>
      <c r="BA453">
        <v>400</v>
      </c>
      <c r="BB453" t="s">
        <v>710</v>
      </c>
      <c r="BC453">
        <v>160</v>
      </c>
      <c r="BD453" s="2">
        <v>0.19</v>
      </c>
      <c r="BE453" t="s">
        <v>922</v>
      </c>
      <c r="BF453" t="s">
        <v>921</v>
      </c>
      <c r="BG453" t="s">
        <v>939</v>
      </c>
      <c r="BH453" s="7">
        <v>25</v>
      </c>
      <c r="BI45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453">
        <v>0</v>
      </c>
      <c r="BK453" t="s">
        <v>733</v>
      </c>
      <c r="BL453" s="11">
        <v>50</v>
      </c>
      <c r="BM453" s="11">
        <v>8</v>
      </c>
      <c r="BN453" s="11">
        <v>39</v>
      </c>
      <c r="BO453">
        <v>0</v>
      </c>
      <c r="BP453" t="s">
        <v>691</v>
      </c>
      <c r="BQ453" t="s">
        <v>693</v>
      </c>
      <c r="BR453" t="s">
        <v>700</v>
      </c>
      <c r="BS453" t="s">
        <v>704</v>
      </c>
      <c r="BT453" t="s">
        <v>705</v>
      </c>
      <c r="BU453" t="s">
        <v>706</v>
      </c>
      <c r="CT453"/>
      <c r="CU453"/>
      <c r="CV453"/>
    </row>
    <row r="454" spans="1:100" x14ac:dyDescent="0.4">
      <c r="A454" s="2" t="s">
        <v>480</v>
      </c>
      <c r="B454" t="str">
        <f>_xlfn.TEXTAFTER(Table1[[#This Row],[VEHIDCODE]],"_")</f>
        <v>Australia_NSWGR_Silver_City_Comet</v>
      </c>
      <c r="C454" t="s">
        <v>741</v>
      </c>
      <c r="D454" t="s">
        <v>962</v>
      </c>
      <c r="E454">
        <v>7003</v>
      </c>
      <c r="F454" t="b">
        <f>OR(ISNUMBER(SEARCH("wagon_",Table1[[#This Row],[FILENAMES_EXPECTED]])),ISNUMBER(SEARCH("coach_",Table1[[#This Row],[FILENAMES_EXPECTED]])))</f>
        <v>0</v>
      </c>
      <c r="G454" t="str">
        <f>"item_"&amp;Table1[[#This Row],[VEHIDCODE]]</f>
        <v>item_dmu_Australia_NSWGR_Silver_City_Comet</v>
      </c>
      <c r="H454" t="str">
        <f>"str_"&amp;Table1[[#This Row],[VEHIDCODE]]</f>
        <v>str_dmu_Australia_NSWGR_Silver_City_Comet</v>
      </c>
      <c r="Q454" s="2" t="b">
        <v>1</v>
      </c>
      <c r="AL454" s="2"/>
      <c r="AM454" s="2" t="b">
        <f>LEN(_xlfn.CONCAT(Table1[[#This Row],[TRACK_TYPE_STANDARD_GAUGE_RAILTYPE_OHLE]:[TRACK_TYPE_MTRO]]))&gt;0</f>
        <v>1</v>
      </c>
      <c r="AN454">
        <v>7</v>
      </c>
      <c r="AO454" t="s">
        <v>18</v>
      </c>
      <c r="AP454">
        <v>1</v>
      </c>
      <c r="AQ454" t="s">
        <v>35</v>
      </c>
      <c r="AR454">
        <v>0</v>
      </c>
      <c r="AS454">
        <v>1937</v>
      </c>
      <c r="AT454">
        <v>7</v>
      </c>
      <c r="AU454" s="2" t="s">
        <v>479</v>
      </c>
      <c r="AV454" t="b">
        <v>1</v>
      </c>
      <c r="AW454" t="b">
        <v>1</v>
      </c>
      <c r="AX454" s="2"/>
      <c r="AY454">
        <v>45</v>
      </c>
      <c r="AZ454">
        <v>1</v>
      </c>
      <c r="BA454">
        <v>660</v>
      </c>
      <c r="BB454" t="s">
        <v>710</v>
      </c>
      <c r="BC454">
        <v>160</v>
      </c>
      <c r="BD454" s="2">
        <v>0.2</v>
      </c>
      <c r="BE454" t="s">
        <v>924</v>
      </c>
      <c r="BF454" t="s">
        <v>921</v>
      </c>
      <c r="BG454" t="s">
        <v>939</v>
      </c>
      <c r="BH454" s="7">
        <v>25</v>
      </c>
      <c r="BI45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454">
        <v>0</v>
      </c>
      <c r="BK454" t="s">
        <v>733</v>
      </c>
      <c r="BL454" s="11">
        <v>45</v>
      </c>
      <c r="BM454" s="11">
        <v>7</v>
      </c>
      <c r="BN454" s="11">
        <v>55</v>
      </c>
      <c r="BO454">
        <v>0</v>
      </c>
      <c r="BP454" t="s">
        <v>691</v>
      </c>
      <c r="BQ454" t="s">
        <v>693</v>
      </c>
      <c r="BR454" t="s">
        <v>700</v>
      </c>
      <c r="BS454" t="s">
        <v>704</v>
      </c>
      <c r="BT454" t="s">
        <v>705</v>
      </c>
      <c r="BU454" t="s">
        <v>706</v>
      </c>
      <c r="CT454"/>
      <c r="CU454"/>
      <c r="CV454"/>
    </row>
    <row r="455" spans="1:100" x14ac:dyDescent="0.4">
      <c r="A455" s="2" t="s">
        <v>481</v>
      </c>
      <c r="B455" t="str">
        <f>_xlfn.TEXTAFTER(Table1[[#This Row],[VEHIDCODE]],"_")</f>
        <v>Czech_Republic_CD_M131</v>
      </c>
      <c r="C455" t="s">
        <v>741</v>
      </c>
      <c r="D455" t="s">
        <v>962</v>
      </c>
      <c r="E455">
        <v>7004</v>
      </c>
      <c r="F455" t="b">
        <f>OR(ISNUMBER(SEARCH("wagon_",Table1[[#This Row],[FILENAMES_EXPECTED]])),ISNUMBER(SEARCH("coach_",Table1[[#This Row],[FILENAMES_EXPECTED]])))</f>
        <v>0</v>
      </c>
      <c r="G455" t="str">
        <f>"item_"&amp;Table1[[#This Row],[VEHIDCODE]]</f>
        <v>item_dmu_Czech_Republic_CD_M131</v>
      </c>
      <c r="H455" t="str">
        <f>"str_"&amp;Table1[[#This Row],[VEHIDCODE]]</f>
        <v>str_dmu_Czech_Republic_CD_M131</v>
      </c>
      <c r="Q455" s="2" t="b">
        <v>1</v>
      </c>
      <c r="AL455" s="2"/>
      <c r="AM455" s="2" t="b">
        <f>LEN(_xlfn.CONCAT(Table1[[#This Row],[TRACK_TYPE_STANDARD_GAUGE_RAILTYPE_OHLE]:[TRACK_TYPE_MTRO]]))&gt;0</f>
        <v>1</v>
      </c>
      <c r="AN455">
        <v>6</v>
      </c>
      <c r="AO455" t="s">
        <v>18</v>
      </c>
      <c r="AP455">
        <v>1</v>
      </c>
      <c r="AQ455" t="s">
        <v>35</v>
      </c>
      <c r="AR455">
        <v>48</v>
      </c>
      <c r="AS455">
        <v>1948</v>
      </c>
      <c r="AT455">
        <v>6</v>
      </c>
      <c r="AU455" s="2" t="s">
        <v>479</v>
      </c>
      <c r="AV455" t="b">
        <v>1</v>
      </c>
      <c r="AW455" t="b">
        <v>1</v>
      </c>
      <c r="AX455" s="2"/>
      <c r="AY455">
        <v>45</v>
      </c>
      <c r="AZ455">
        <v>1</v>
      </c>
      <c r="BA455">
        <v>152</v>
      </c>
      <c r="BB455" t="s">
        <v>710</v>
      </c>
      <c r="BC455">
        <v>60</v>
      </c>
      <c r="BD455" s="2">
        <v>0.21</v>
      </c>
      <c r="BE455" t="s">
        <v>928</v>
      </c>
      <c r="BF455" t="s">
        <v>921</v>
      </c>
      <c r="BG455" t="s">
        <v>939</v>
      </c>
      <c r="BH455" s="7">
        <v>25</v>
      </c>
      <c r="BI45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455">
        <v>0</v>
      </c>
      <c r="BK455" t="s">
        <v>733</v>
      </c>
      <c r="BL455" s="11">
        <v>48</v>
      </c>
      <c r="BM455" s="11">
        <v>6</v>
      </c>
      <c r="BN455" s="11">
        <v>42</v>
      </c>
      <c r="BO455">
        <v>0</v>
      </c>
      <c r="BP455" t="s">
        <v>691</v>
      </c>
      <c r="BQ455" t="s">
        <v>693</v>
      </c>
      <c r="BR455" t="s">
        <v>700</v>
      </c>
      <c r="BS455" t="s">
        <v>704</v>
      </c>
      <c r="BT455" t="s">
        <v>705</v>
      </c>
      <c r="BU455" t="s">
        <v>706</v>
      </c>
      <c r="CT455"/>
      <c r="CU455"/>
      <c r="CV455"/>
    </row>
    <row r="456" spans="1:100" x14ac:dyDescent="0.4">
      <c r="A456" s="2" t="s">
        <v>482</v>
      </c>
      <c r="B456" t="str">
        <f>_xlfn.TEXTAFTER(Table1[[#This Row],[VEHIDCODE]],"_")</f>
        <v>Germany_DB_VT_085</v>
      </c>
      <c r="C456" t="s">
        <v>741</v>
      </c>
      <c r="D456" t="s">
        <v>962</v>
      </c>
      <c r="E456">
        <v>7005</v>
      </c>
      <c r="F456" t="b">
        <f>OR(ISNUMBER(SEARCH("wagon_",Table1[[#This Row],[FILENAMES_EXPECTED]])),ISNUMBER(SEARCH("coach_",Table1[[#This Row],[FILENAMES_EXPECTED]])))</f>
        <v>0</v>
      </c>
      <c r="G456" t="str">
        <f>"item_"&amp;Table1[[#This Row],[VEHIDCODE]]</f>
        <v>item_dmu_Germany_DB_VT_085</v>
      </c>
      <c r="H456" t="str">
        <f>"str_"&amp;Table1[[#This Row],[VEHIDCODE]]</f>
        <v>str_dmu_Germany_DB_VT_085</v>
      </c>
      <c r="Q456" s="2" t="b">
        <v>1</v>
      </c>
      <c r="AL456" s="2"/>
      <c r="AM456" s="2" t="b">
        <f>LEN(_xlfn.CONCAT(Table1[[#This Row],[TRACK_TYPE_STANDARD_GAUGE_RAILTYPE_OHLE]:[TRACK_TYPE_MTRO]]))&gt;0</f>
        <v>1</v>
      </c>
      <c r="AN456">
        <v>8</v>
      </c>
      <c r="AO456" t="s">
        <v>18</v>
      </c>
      <c r="AP456">
        <v>1</v>
      </c>
      <c r="AQ456" t="s">
        <v>35</v>
      </c>
      <c r="AR456">
        <v>45</v>
      </c>
      <c r="AS456">
        <v>1952</v>
      </c>
      <c r="AT456">
        <v>8</v>
      </c>
      <c r="AU456" s="2" t="s">
        <v>479</v>
      </c>
      <c r="AV456" t="b">
        <v>1</v>
      </c>
      <c r="AW456" t="b">
        <v>1</v>
      </c>
      <c r="AX456" s="2"/>
      <c r="AY456">
        <v>45</v>
      </c>
      <c r="AZ456">
        <v>1</v>
      </c>
      <c r="BA456">
        <v>986</v>
      </c>
      <c r="BB456" t="s">
        <v>710</v>
      </c>
      <c r="BC456">
        <v>140</v>
      </c>
      <c r="BD456" s="2">
        <v>0.43</v>
      </c>
      <c r="BE456" t="s">
        <v>922</v>
      </c>
      <c r="BF456" t="s">
        <v>921</v>
      </c>
      <c r="BG456" t="s">
        <v>939</v>
      </c>
      <c r="BH456" s="7">
        <v>25</v>
      </c>
      <c r="BI45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456">
        <v>0</v>
      </c>
      <c r="BK456" t="s">
        <v>733</v>
      </c>
      <c r="BL456" s="11">
        <v>45</v>
      </c>
      <c r="BM456" s="11">
        <v>8</v>
      </c>
      <c r="BN456" s="11">
        <v>42</v>
      </c>
      <c r="BO456">
        <v>0</v>
      </c>
      <c r="BP456" t="s">
        <v>691</v>
      </c>
      <c r="BQ456" t="s">
        <v>693</v>
      </c>
      <c r="BR456" t="s">
        <v>700</v>
      </c>
      <c r="BS456" t="s">
        <v>704</v>
      </c>
      <c r="BT456" t="s">
        <v>705</v>
      </c>
      <c r="BU456" t="s">
        <v>706</v>
      </c>
      <c r="CT456"/>
      <c r="CU456"/>
      <c r="CV456"/>
    </row>
    <row r="457" spans="1:100" x14ac:dyDescent="0.4">
      <c r="A457" s="2" t="s">
        <v>483</v>
      </c>
      <c r="B457" t="str">
        <f>_xlfn.TEXTAFTER(Table1[[#This Row],[VEHIDCODE]],"_")</f>
        <v>Australia_Queensland_Rail_400</v>
      </c>
      <c r="C457" t="s">
        <v>741</v>
      </c>
      <c r="D457" t="s">
        <v>962</v>
      </c>
      <c r="E457">
        <v>7006</v>
      </c>
      <c r="F457" t="b">
        <f>OR(ISNUMBER(SEARCH("wagon_",Table1[[#This Row],[FILENAMES_EXPECTED]])),ISNUMBER(SEARCH("coach_",Table1[[#This Row],[FILENAMES_EXPECTED]])))</f>
        <v>0</v>
      </c>
      <c r="G457" t="str">
        <f>"item_"&amp;Table1[[#This Row],[VEHIDCODE]]</f>
        <v>item_dmu_Australia_Queensland_Rail_400</v>
      </c>
      <c r="H457" t="str">
        <f>"str_"&amp;Table1[[#This Row],[VEHIDCODE]]</f>
        <v>str_dmu_Australia_Queensland_Rail_400</v>
      </c>
      <c r="Z457" s="2" t="b">
        <v>1</v>
      </c>
      <c r="AL457" s="2"/>
      <c r="AM457" s="2" t="b">
        <f>LEN(_xlfn.CONCAT(Table1[[#This Row],[TRACK_TYPE_STANDARD_GAUGE_RAILTYPE_OHLE]:[TRACK_TYPE_MTRO]]))&gt;0</f>
        <v>1</v>
      </c>
      <c r="AN457">
        <v>8</v>
      </c>
      <c r="AO457" t="s">
        <v>18</v>
      </c>
      <c r="AP457">
        <v>1</v>
      </c>
      <c r="AQ457" t="s">
        <v>35</v>
      </c>
      <c r="AR457">
        <v>80</v>
      </c>
      <c r="AS457">
        <v>1955</v>
      </c>
      <c r="AT457">
        <v>8</v>
      </c>
      <c r="AU457" s="2" t="s">
        <v>479</v>
      </c>
      <c r="AV457" t="b">
        <v>1</v>
      </c>
      <c r="AW457" t="b">
        <v>1</v>
      </c>
      <c r="AX457" s="2"/>
      <c r="AY457">
        <v>45</v>
      </c>
      <c r="AZ457">
        <v>1</v>
      </c>
      <c r="BA457">
        <v>220</v>
      </c>
      <c r="BB457" t="s">
        <v>710</v>
      </c>
      <c r="BC457">
        <v>90</v>
      </c>
      <c r="BD457" s="2">
        <v>0.18</v>
      </c>
      <c r="BE457" t="s">
        <v>924</v>
      </c>
      <c r="BF457" t="s">
        <v>921</v>
      </c>
      <c r="BG457" t="s">
        <v>939</v>
      </c>
      <c r="BH457" s="7">
        <v>25</v>
      </c>
      <c r="BI45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457">
        <v>0</v>
      </c>
      <c r="BK457" t="s">
        <v>733</v>
      </c>
      <c r="BL457" s="11">
        <v>80</v>
      </c>
      <c r="BM457" s="11">
        <v>8</v>
      </c>
      <c r="BN457" s="11">
        <v>43</v>
      </c>
      <c r="BO457">
        <v>0</v>
      </c>
      <c r="BP457" t="s">
        <v>691</v>
      </c>
      <c r="BQ457" t="s">
        <v>693</v>
      </c>
      <c r="BR457" t="s">
        <v>700</v>
      </c>
      <c r="BS457" t="s">
        <v>704</v>
      </c>
      <c r="BT457" t="s">
        <v>705</v>
      </c>
      <c r="BU457" t="s">
        <v>706</v>
      </c>
      <c r="CT457"/>
      <c r="CU457"/>
      <c r="CV457"/>
    </row>
    <row r="458" spans="1:100" x14ac:dyDescent="0.4">
      <c r="A458" s="2" t="s">
        <v>484</v>
      </c>
      <c r="B458" t="str">
        <f>_xlfn.TEXTAFTER(Table1[[#This Row],[VEHIDCODE]],"_")</f>
        <v>Germany_DB_VT_115</v>
      </c>
      <c r="C458" t="s">
        <v>741</v>
      </c>
      <c r="D458" t="s">
        <v>962</v>
      </c>
      <c r="E458">
        <v>7008</v>
      </c>
      <c r="F458" t="b">
        <f>OR(ISNUMBER(SEARCH("wagon_",Table1[[#This Row],[FILENAMES_EXPECTED]])),ISNUMBER(SEARCH("coach_",Table1[[#This Row],[FILENAMES_EXPECTED]])))</f>
        <v>0</v>
      </c>
      <c r="G458" t="str">
        <f>"item_"&amp;Table1[[#This Row],[VEHIDCODE]]</f>
        <v>item_dmu_Germany_DB_VT_115</v>
      </c>
      <c r="H458" t="str">
        <f>"str_"&amp;Table1[[#This Row],[VEHIDCODE]]</f>
        <v>str_dmu_Germany_DB_VT_115</v>
      </c>
      <c r="Q458" s="2" t="b">
        <v>1</v>
      </c>
      <c r="AL458" s="2"/>
      <c r="AM458" s="2" t="b">
        <f>LEN(_xlfn.CONCAT(Table1[[#This Row],[TRACK_TYPE_STANDARD_GAUGE_RAILTYPE_OHLE]:[TRACK_TYPE_MTRO]]))&gt;0</f>
        <v>1</v>
      </c>
      <c r="AN458">
        <v>8</v>
      </c>
      <c r="AO458" t="s">
        <v>18</v>
      </c>
      <c r="AP458">
        <v>1</v>
      </c>
      <c r="AQ458" t="s">
        <v>35</v>
      </c>
      <c r="AR458">
        <v>0</v>
      </c>
      <c r="AS458">
        <v>1957</v>
      </c>
      <c r="AT458">
        <v>8</v>
      </c>
      <c r="AU458" s="2" t="s">
        <v>479</v>
      </c>
      <c r="AV458" t="b">
        <v>1</v>
      </c>
      <c r="AW458" t="b">
        <v>1</v>
      </c>
      <c r="AX458" s="2"/>
      <c r="AY458">
        <v>45</v>
      </c>
      <c r="AZ458">
        <v>1</v>
      </c>
      <c r="BA458">
        <v>1475</v>
      </c>
      <c r="BB458" t="s">
        <v>710</v>
      </c>
      <c r="BC458">
        <v>160</v>
      </c>
      <c r="BD458" s="2">
        <v>0.77</v>
      </c>
      <c r="BE458" t="s">
        <v>922</v>
      </c>
      <c r="BF458" t="s">
        <v>921</v>
      </c>
      <c r="BG458" t="s">
        <v>939</v>
      </c>
      <c r="BH458" s="7">
        <v>25</v>
      </c>
      <c r="BI45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458">
        <v>0</v>
      </c>
      <c r="BK458" t="s">
        <v>733</v>
      </c>
      <c r="BL458" s="11">
        <v>34</v>
      </c>
      <c r="BM458" s="11">
        <v>8</v>
      </c>
      <c r="BN458" s="11">
        <v>33</v>
      </c>
      <c r="BO458">
        <v>0</v>
      </c>
      <c r="BP458" t="s">
        <v>691</v>
      </c>
      <c r="BQ458" t="s">
        <v>693</v>
      </c>
      <c r="BR458" t="s">
        <v>700</v>
      </c>
      <c r="BS458" t="s">
        <v>704</v>
      </c>
      <c r="BT458" t="s">
        <v>705</v>
      </c>
      <c r="BU458" t="s">
        <v>706</v>
      </c>
      <c r="CT458"/>
      <c r="CU458"/>
      <c r="CV458"/>
    </row>
    <row r="459" spans="1:100" x14ac:dyDescent="0.4">
      <c r="A459" s="2" t="s">
        <v>485</v>
      </c>
      <c r="B459" t="str">
        <f>_xlfn.TEXTAFTER(Table1[[#This Row],[VEHIDCODE]],"_")</f>
        <v>Netherlands_NS_Plan_U_DE_III</v>
      </c>
      <c r="C459" t="s">
        <v>741</v>
      </c>
      <c r="D459" t="s">
        <v>962</v>
      </c>
      <c r="E459">
        <v>7009</v>
      </c>
      <c r="F459" t="b">
        <f>OR(ISNUMBER(SEARCH("wagon_",Table1[[#This Row],[FILENAMES_EXPECTED]])),ISNUMBER(SEARCH("coach_",Table1[[#This Row],[FILENAMES_EXPECTED]])))</f>
        <v>0</v>
      </c>
      <c r="G459" t="str">
        <f>"item_"&amp;Table1[[#This Row],[VEHIDCODE]]</f>
        <v>item_dmu_Netherlands_NS_Plan_U_DE_III</v>
      </c>
      <c r="H459" t="str">
        <f>"str_"&amp;Table1[[#This Row],[VEHIDCODE]]</f>
        <v>str_dmu_Netherlands_NS_Plan_U_DE_III</v>
      </c>
      <c r="Q459" s="2" t="b">
        <v>1</v>
      </c>
      <c r="AL459" s="2"/>
      <c r="AM459" s="2" t="b">
        <f>LEN(_xlfn.CONCAT(Table1[[#This Row],[TRACK_TYPE_STANDARD_GAUGE_RAILTYPE_OHLE]:[TRACK_TYPE_MTRO]]))&gt;0</f>
        <v>1</v>
      </c>
      <c r="AN459">
        <v>8</v>
      </c>
      <c r="AO459" t="s">
        <v>18</v>
      </c>
      <c r="AP459">
        <v>1</v>
      </c>
      <c r="AQ459" t="s">
        <v>35</v>
      </c>
      <c r="AR459">
        <v>64</v>
      </c>
      <c r="AS459">
        <v>1960</v>
      </c>
      <c r="AT459">
        <v>8</v>
      </c>
      <c r="AU459" s="2" t="s">
        <v>24</v>
      </c>
      <c r="AV459" t="b">
        <v>1</v>
      </c>
      <c r="AW459" t="b">
        <v>1</v>
      </c>
      <c r="AX459" s="2"/>
      <c r="AY459">
        <v>45</v>
      </c>
      <c r="AZ459">
        <v>1</v>
      </c>
      <c r="BA459">
        <v>987</v>
      </c>
      <c r="BB459" t="s">
        <v>710</v>
      </c>
      <c r="BC459">
        <v>125</v>
      </c>
      <c r="BD459" s="2">
        <v>0.21</v>
      </c>
      <c r="BE459" t="s">
        <v>922</v>
      </c>
      <c r="BF459" t="s">
        <v>921</v>
      </c>
      <c r="BG459" t="s">
        <v>939</v>
      </c>
      <c r="BH459" s="7">
        <v>25</v>
      </c>
      <c r="BI45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459">
        <v>0</v>
      </c>
      <c r="BK459" t="s">
        <v>733</v>
      </c>
      <c r="BL459" s="11">
        <v>64</v>
      </c>
      <c r="BM459" s="11">
        <v>8</v>
      </c>
      <c r="BN459" s="11">
        <v>64</v>
      </c>
      <c r="BO459">
        <v>0</v>
      </c>
      <c r="BP459" t="s">
        <v>691</v>
      </c>
      <c r="BQ459" t="s">
        <v>693</v>
      </c>
      <c r="BR459" t="s">
        <v>700</v>
      </c>
      <c r="BS459" t="s">
        <v>704</v>
      </c>
      <c r="BT459" t="s">
        <v>705</v>
      </c>
      <c r="BU459" t="s">
        <v>706</v>
      </c>
      <c r="CT459"/>
      <c r="CU459"/>
      <c r="CV459"/>
    </row>
    <row r="460" spans="1:100" x14ac:dyDescent="0.4">
      <c r="A460" s="2" t="s">
        <v>486</v>
      </c>
      <c r="B460" t="str">
        <f>_xlfn.TEXTAFTER(Table1[[#This Row],[VEHIDCODE]],"_")</f>
        <v>Canada_CNR_Turbo_Train</v>
      </c>
      <c r="C460" t="s">
        <v>741</v>
      </c>
      <c r="D460" t="s">
        <v>962</v>
      </c>
      <c r="E460">
        <v>7010</v>
      </c>
      <c r="F460" t="b">
        <f>OR(ISNUMBER(SEARCH("wagon_",Table1[[#This Row],[FILENAMES_EXPECTED]])),ISNUMBER(SEARCH("coach_",Table1[[#This Row],[FILENAMES_EXPECTED]])))</f>
        <v>0</v>
      </c>
      <c r="G460" t="str">
        <f>"item_"&amp;Table1[[#This Row],[VEHIDCODE]]</f>
        <v>item_dmu_Canada_CNR_Turbo_Train</v>
      </c>
      <c r="H460" t="str">
        <f>"str_"&amp;Table1[[#This Row],[VEHIDCODE]]</f>
        <v>str_dmu_Canada_CNR_Turbo_Train</v>
      </c>
      <c r="Q460" s="2" t="b">
        <v>1</v>
      </c>
      <c r="AL460" s="2"/>
      <c r="AM460" s="2" t="b">
        <f>LEN(_xlfn.CONCAT(Table1[[#This Row],[TRACK_TYPE_STANDARD_GAUGE_RAILTYPE_OHLE]:[TRACK_TYPE_MTRO]]))&gt;0</f>
        <v>1</v>
      </c>
      <c r="AN460">
        <v>8</v>
      </c>
      <c r="AO460" t="s">
        <v>18</v>
      </c>
      <c r="AP460">
        <v>1</v>
      </c>
      <c r="AQ460" t="s">
        <v>35</v>
      </c>
      <c r="AR460">
        <v>44</v>
      </c>
      <c r="AS460">
        <v>1967</v>
      </c>
      <c r="AT460">
        <v>8</v>
      </c>
      <c r="AU460" s="2" t="s">
        <v>479</v>
      </c>
      <c r="AV460" t="b">
        <v>1</v>
      </c>
      <c r="AW460" t="b">
        <v>1</v>
      </c>
      <c r="AX460" s="2"/>
      <c r="AY460">
        <v>45</v>
      </c>
      <c r="AZ460">
        <v>1</v>
      </c>
      <c r="BA460">
        <v>2400</v>
      </c>
      <c r="BB460" t="s">
        <v>710</v>
      </c>
      <c r="BC460">
        <v>225</v>
      </c>
      <c r="BD460" s="2">
        <v>0.45</v>
      </c>
      <c r="BE460" t="s">
        <v>927</v>
      </c>
      <c r="BF460" t="s">
        <v>921</v>
      </c>
      <c r="BG460" t="s">
        <v>939</v>
      </c>
      <c r="BH460" s="7">
        <v>25</v>
      </c>
      <c r="BI46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460">
        <v>0</v>
      </c>
      <c r="BK460" t="s">
        <v>733</v>
      </c>
      <c r="BL460" s="11">
        <v>44</v>
      </c>
      <c r="BM460" s="11">
        <v>8</v>
      </c>
      <c r="BN460" s="11">
        <v>40</v>
      </c>
      <c r="BO460">
        <v>0</v>
      </c>
      <c r="BP460" t="s">
        <v>691</v>
      </c>
      <c r="BQ460" t="s">
        <v>693</v>
      </c>
      <c r="BR460" t="s">
        <v>700</v>
      </c>
      <c r="BS460" t="s">
        <v>704</v>
      </c>
      <c r="BT460" t="s">
        <v>705</v>
      </c>
      <c r="BU460" t="s">
        <v>706</v>
      </c>
      <c r="CT460"/>
      <c r="CU460"/>
      <c r="CV460"/>
    </row>
    <row r="461" spans="1:100" x14ac:dyDescent="0.4">
      <c r="A461" s="2" t="s">
        <v>487</v>
      </c>
      <c r="B461" t="str">
        <f>_xlfn.TEXTAFTER(Table1[[#This Row],[VEHIDCODE]],"_")</f>
        <v>Serbia_ZS_811</v>
      </c>
      <c r="C461" t="s">
        <v>741</v>
      </c>
      <c r="D461" t="s">
        <v>962</v>
      </c>
      <c r="E461">
        <v>7011</v>
      </c>
      <c r="F461" t="b">
        <f>OR(ISNUMBER(SEARCH("wagon_",Table1[[#This Row],[FILENAMES_EXPECTED]])),ISNUMBER(SEARCH("coach_",Table1[[#This Row],[FILENAMES_EXPECTED]])))</f>
        <v>0</v>
      </c>
      <c r="G461" t="str">
        <f>"item_"&amp;Table1[[#This Row],[VEHIDCODE]]</f>
        <v>item_dmu_Serbia_ZS_811</v>
      </c>
      <c r="H461" t="str">
        <f>"str_"&amp;Table1[[#This Row],[VEHIDCODE]]</f>
        <v>str_dmu_Serbia_ZS_811</v>
      </c>
      <c r="Q461" s="2" t="b">
        <v>1</v>
      </c>
      <c r="AL461" s="2"/>
      <c r="AM461" s="2" t="b">
        <f>LEN(_xlfn.CONCAT(Table1[[#This Row],[TRACK_TYPE_STANDARD_GAUGE_RAILTYPE_OHLE]:[TRACK_TYPE_MTRO]]))&gt;0</f>
        <v>1</v>
      </c>
      <c r="AN461">
        <v>8</v>
      </c>
      <c r="AO461" t="s">
        <v>18</v>
      </c>
      <c r="AP461">
        <v>1</v>
      </c>
      <c r="AQ461" t="s">
        <v>35</v>
      </c>
      <c r="AR461">
        <v>38</v>
      </c>
      <c r="AS461">
        <v>1974</v>
      </c>
      <c r="AT461">
        <v>8</v>
      </c>
      <c r="AU461" s="2" t="s">
        <v>24</v>
      </c>
      <c r="AV461" t="b">
        <v>1</v>
      </c>
      <c r="AW461" t="b">
        <v>1</v>
      </c>
      <c r="AX461" s="2"/>
      <c r="AY461">
        <v>45</v>
      </c>
      <c r="AZ461">
        <v>1</v>
      </c>
      <c r="BA461">
        <v>735</v>
      </c>
      <c r="BB461" t="s">
        <v>710</v>
      </c>
      <c r="BC461">
        <v>118</v>
      </c>
      <c r="BD461" s="2">
        <v>0.2</v>
      </c>
      <c r="BE461" t="s">
        <v>928</v>
      </c>
      <c r="BF461" t="s">
        <v>921</v>
      </c>
      <c r="BG461" t="s">
        <v>939</v>
      </c>
      <c r="BH461" s="7">
        <v>20</v>
      </c>
      <c r="BI46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461">
        <v>0</v>
      </c>
      <c r="BK461" t="s">
        <v>733</v>
      </c>
      <c r="BL461" s="11">
        <v>38</v>
      </c>
      <c r="BM461" s="11">
        <v>8</v>
      </c>
      <c r="BN461" s="11">
        <v>55</v>
      </c>
      <c r="BO461">
        <v>0</v>
      </c>
      <c r="BP461" t="s">
        <v>691</v>
      </c>
      <c r="BQ461" t="s">
        <v>693</v>
      </c>
      <c r="BR461" t="s">
        <v>700</v>
      </c>
      <c r="BS461" t="s">
        <v>704</v>
      </c>
      <c r="BT461" t="s">
        <v>705</v>
      </c>
      <c r="BU461" t="s">
        <v>706</v>
      </c>
      <c r="CT461"/>
      <c r="CU461"/>
      <c r="CV461"/>
    </row>
    <row r="462" spans="1:100" x14ac:dyDescent="0.4">
      <c r="A462" s="2" t="s">
        <v>488</v>
      </c>
      <c r="B462" t="str">
        <f>_xlfn.TEXTAFTER(Table1[[#This Row],[VEHIDCODE]],"_")</f>
        <v>UK_BR_43_IC125</v>
      </c>
      <c r="C462" t="s">
        <v>741</v>
      </c>
      <c r="D462" t="s">
        <v>962</v>
      </c>
      <c r="E462">
        <v>7012</v>
      </c>
      <c r="F462" t="b">
        <f>OR(ISNUMBER(SEARCH("wagon_",Table1[[#This Row],[FILENAMES_EXPECTED]])),ISNUMBER(SEARCH("coach_",Table1[[#This Row],[FILENAMES_EXPECTED]])))</f>
        <v>0</v>
      </c>
      <c r="G462" t="str">
        <f>"item_"&amp;Table1[[#This Row],[VEHIDCODE]]</f>
        <v>item_dmu_UK_BR_43_IC125</v>
      </c>
      <c r="H462" t="str">
        <f>"str_"&amp;Table1[[#This Row],[VEHIDCODE]]</f>
        <v>str_dmu_UK_BR_43_IC125</v>
      </c>
      <c r="Q462" s="2" t="b">
        <v>1</v>
      </c>
      <c r="AL462" s="2"/>
      <c r="AM462" s="2" t="b">
        <f>LEN(_xlfn.CONCAT(Table1[[#This Row],[TRACK_TYPE_STANDARD_GAUGE_RAILTYPE_OHLE]:[TRACK_TYPE_MTRO]]))&gt;0</f>
        <v>1</v>
      </c>
      <c r="AN462">
        <v>8</v>
      </c>
      <c r="AO462" t="s">
        <v>18</v>
      </c>
      <c r="AP462">
        <v>1</v>
      </c>
      <c r="AQ462" t="s">
        <v>35</v>
      </c>
      <c r="AR462">
        <v>52</v>
      </c>
      <c r="AS462">
        <v>1976</v>
      </c>
      <c r="AT462">
        <v>8</v>
      </c>
      <c r="AU462" s="2" t="s">
        <v>479</v>
      </c>
      <c r="AV462" t="b">
        <v>1</v>
      </c>
      <c r="AW462" t="b">
        <v>1</v>
      </c>
      <c r="AX462" s="2"/>
      <c r="AY462">
        <v>45</v>
      </c>
      <c r="AZ462">
        <v>1</v>
      </c>
      <c r="BA462">
        <v>4500</v>
      </c>
      <c r="BB462" t="s">
        <v>710</v>
      </c>
      <c r="BC462">
        <v>201</v>
      </c>
      <c r="BD462" s="2">
        <v>0.57999999999999996</v>
      </c>
      <c r="BE462" t="s">
        <v>926</v>
      </c>
      <c r="BF462" t="s">
        <v>921</v>
      </c>
      <c r="BG462" t="s">
        <v>939</v>
      </c>
      <c r="BH462" s="7">
        <v>25</v>
      </c>
      <c r="BI46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462">
        <v>0</v>
      </c>
      <c r="BK462" t="s">
        <v>733</v>
      </c>
      <c r="BL462" s="11">
        <v>52</v>
      </c>
      <c r="BM462" s="11">
        <v>8</v>
      </c>
      <c r="BN462" s="11">
        <v>70</v>
      </c>
      <c r="BO462">
        <v>0</v>
      </c>
      <c r="BP462" t="s">
        <v>691</v>
      </c>
      <c r="BQ462" t="s">
        <v>693</v>
      </c>
      <c r="BR462" t="s">
        <v>700</v>
      </c>
      <c r="BS462" t="s">
        <v>704</v>
      </c>
      <c r="BT462" t="s">
        <v>705</v>
      </c>
      <c r="BU462" t="s">
        <v>706</v>
      </c>
      <c r="CT462"/>
      <c r="CU462"/>
      <c r="CV462"/>
    </row>
    <row r="463" spans="1:100" x14ac:dyDescent="0.4">
      <c r="A463" s="2" t="s">
        <v>489</v>
      </c>
      <c r="B463" t="str">
        <f>_xlfn.TEXTAFTER(Table1[[#This Row],[VEHIDCODE]],"_")</f>
        <v>Canada_VIA_Rail_LRC</v>
      </c>
      <c r="C463" t="s">
        <v>741</v>
      </c>
      <c r="D463" t="s">
        <v>962</v>
      </c>
      <c r="E463">
        <v>7013</v>
      </c>
      <c r="F463" t="b">
        <f>OR(ISNUMBER(SEARCH("wagon_",Table1[[#This Row],[FILENAMES_EXPECTED]])),ISNUMBER(SEARCH("coach_",Table1[[#This Row],[FILENAMES_EXPECTED]])))</f>
        <v>0</v>
      </c>
      <c r="G463" t="str">
        <f>"item_"&amp;Table1[[#This Row],[VEHIDCODE]]</f>
        <v>item_dmu_Canada_VIA_Rail_LRC</v>
      </c>
      <c r="H463" t="str">
        <f>"str_"&amp;Table1[[#This Row],[VEHIDCODE]]</f>
        <v>str_dmu_Canada_VIA_Rail_LRC</v>
      </c>
      <c r="Q463" s="2" t="b">
        <v>1</v>
      </c>
      <c r="AL463" s="2"/>
      <c r="AM463" s="2" t="b">
        <f>LEN(_xlfn.CONCAT(Table1[[#This Row],[TRACK_TYPE_STANDARD_GAUGE_RAILTYPE_OHLE]:[TRACK_TYPE_MTRO]]))&gt;0</f>
        <v>1</v>
      </c>
      <c r="AN463">
        <v>8</v>
      </c>
      <c r="AO463" t="s">
        <v>18</v>
      </c>
      <c r="AP463">
        <v>1</v>
      </c>
      <c r="AQ463" t="s">
        <v>35</v>
      </c>
      <c r="AR463">
        <v>0</v>
      </c>
      <c r="AS463">
        <v>1980</v>
      </c>
      <c r="AT463">
        <v>8</v>
      </c>
      <c r="AU463" s="2" t="s">
        <v>479</v>
      </c>
      <c r="AV463" t="b">
        <v>1</v>
      </c>
      <c r="AW463" t="b">
        <v>1</v>
      </c>
      <c r="AX463" s="2"/>
      <c r="AY463">
        <v>45</v>
      </c>
      <c r="AZ463">
        <v>1</v>
      </c>
      <c r="BA463">
        <v>5400</v>
      </c>
      <c r="BB463" t="s">
        <v>710</v>
      </c>
      <c r="BC463">
        <v>180</v>
      </c>
      <c r="BD463" s="2">
        <v>0.54</v>
      </c>
      <c r="BE463" t="s">
        <v>927</v>
      </c>
      <c r="BF463" t="s">
        <v>921</v>
      </c>
      <c r="BG463" t="s">
        <v>939</v>
      </c>
      <c r="BH463" s="7">
        <v>25</v>
      </c>
      <c r="BI46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463">
        <v>0</v>
      </c>
      <c r="BK463" t="s">
        <v>733</v>
      </c>
      <c r="BL463" s="11">
        <v>55</v>
      </c>
      <c r="BM463" s="11">
        <v>8</v>
      </c>
      <c r="BN463" s="11">
        <v>65</v>
      </c>
      <c r="BO463">
        <v>0</v>
      </c>
      <c r="BP463" t="s">
        <v>691</v>
      </c>
      <c r="BQ463" t="s">
        <v>693</v>
      </c>
      <c r="BR463" t="s">
        <v>700</v>
      </c>
      <c r="BS463" t="s">
        <v>704</v>
      </c>
      <c r="BT463" t="s">
        <v>705</v>
      </c>
      <c r="BU463" t="s">
        <v>706</v>
      </c>
      <c r="CT463"/>
      <c r="CU463"/>
      <c r="CV463"/>
    </row>
    <row r="464" spans="1:100" x14ac:dyDescent="0.4">
      <c r="A464" s="2" t="s">
        <v>490</v>
      </c>
      <c r="B464" t="str">
        <f>_xlfn.TEXTAFTER(Table1[[#This Row],[VEHIDCODE]],"_")</f>
        <v>Sweden_SJ_Y2</v>
      </c>
      <c r="C464" t="s">
        <v>741</v>
      </c>
      <c r="D464" t="s">
        <v>962</v>
      </c>
      <c r="E464">
        <v>7014</v>
      </c>
      <c r="F464" t="b">
        <f>OR(ISNUMBER(SEARCH("wagon_",Table1[[#This Row],[FILENAMES_EXPECTED]])),ISNUMBER(SEARCH("coach_",Table1[[#This Row],[FILENAMES_EXPECTED]])))</f>
        <v>0</v>
      </c>
      <c r="G464" t="str">
        <f>"item_"&amp;Table1[[#This Row],[VEHIDCODE]]</f>
        <v>item_dmu_Sweden_SJ_Y2</v>
      </c>
      <c r="H464" t="str">
        <f>"str_"&amp;Table1[[#This Row],[VEHIDCODE]]</f>
        <v>str_dmu_Sweden_SJ_Y2</v>
      </c>
      <c r="Q464" s="2" t="b">
        <v>1</v>
      </c>
      <c r="AL464" s="2"/>
      <c r="AM464" s="2" t="b">
        <f>LEN(_xlfn.CONCAT(Table1[[#This Row],[TRACK_TYPE_STANDARD_GAUGE_RAILTYPE_OHLE]:[TRACK_TYPE_MTRO]]))&gt;0</f>
        <v>1</v>
      </c>
      <c r="AN464">
        <v>8</v>
      </c>
      <c r="AO464" t="s">
        <v>18</v>
      </c>
      <c r="AP464">
        <v>1</v>
      </c>
      <c r="AQ464" t="s">
        <v>35</v>
      </c>
      <c r="AR464">
        <v>48</v>
      </c>
      <c r="AS464">
        <v>1990</v>
      </c>
      <c r="AT464">
        <v>8</v>
      </c>
      <c r="AU464" s="2" t="s">
        <v>479</v>
      </c>
      <c r="AV464" t="b">
        <v>1</v>
      </c>
      <c r="AW464" t="b">
        <v>1</v>
      </c>
      <c r="AX464" s="2"/>
      <c r="AY464" t="s">
        <v>21</v>
      </c>
      <c r="AZ464">
        <v>1</v>
      </c>
      <c r="BA464">
        <v>600</v>
      </c>
      <c r="BB464" t="s">
        <v>710</v>
      </c>
      <c r="BC464">
        <v>180</v>
      </c>
      <c r="BD464" s="2">
        <v>0.63</v>
      </c>
      <c r="BE464" t="s">
        <v>926</v>
      </c>
      <c r="BF464" t="s">
        <v>921</v>
      </c>
      <c r="BG464" t="s">
        <v>939</v>
      </c>
      <c r="BH464" s="7">
        <v>25</v>
      </c>
      <c r="BI46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464">
        <v>0</v>
      </c>
      <c r="BK464" t="s">
        <v>733</v>
      </c>
      <c r="BL464" s="11">
        <v>48</v>
      </c>
      <c r="BM464" s="11">
        <v>8</v>
      </c>
      <c r="BN464" s="11">
        <v>32</v>
      </c>
      <c r="BO464">
        <v>0</v>
      </c>
      <c r="BP464" t="s">
        <v>691</v>
      </c>
      <c r="BQ464" t="s">
        <v>693</v>
      </c>
      <c r="BR464" t="s">
        <v>700</v>
      </c>
      <c r="BS464" t="s">
        <v>704</v>
      </c>
      <c r="BT464" t="s">
        <v>705</v>
      </c>
      <c r="BU464" t="s">
        <v>706</v>
      </c>
      <c r="CT464"/>
      <c r="CU464"/>
      <c r="CV464"/>
    </row>
    <row r="465" spans="1:100" x14ac:dyDescent="0.4">
      <c r="A465" s="2" t="s">
        <v>491</v>
      </c>
      <c r="B465" t="str">
        <f>_xlfn.TEXTAFTER(Table1[[#This Row],[VEHIDCODE]],"_")</f>
        <v>Spain_RENFE_594_TRD</v>
      </c>
      <c r="C465" t="s">
        <v>741</v>
      </c>
      <c r="D465" t="s">
        <v>962</v>
      </c>
      <c r="E465">
        <v>7015</v>
      </c>
      <c r="F465" t="b">
        <f>OR(ISNUMBER(SEARCH("wagon_",Table1[[#This Row],[FILENAMES_EXPECTED]])),ISNUMBER(SEARCH("coach_",Table1[[#This Row],[FILENAMES_EXPECTED]])))</f>
        <v>0</v>
      </c>
      <c r="G465" t="str">
        <f>"item_"&amp;Table1[[#This Row],[VEHIDCODE]]</f>
        <v>item_dmu_Spain_RENFE_594_TRD</v>
      </c>
      <c r="H465" t="str">
        <f>"str_"&amp;Table1[[#This Row],[VEHIDCODE]]</f>
        <v>str_dmu_Spain_RENFE_594_TRD</v>
      </c>
      <c r="Q465" s="2" t="b">
        <v>1</v>
      </c>
      <c r="AL465" s="2"/>
      <c r="AM465" s="2" t="b">
        <f>LEN(_xlfn.CONCAT(Table1[[#This Row],[TRACK_TYPE_STANDARD_GAUGE_RAILTYPE_OHLE]:[TRACK_TYPE_MTRO]]))&gt;0</f>
        <v>1</v>
      </c>
      <c r="AN465">
        <v>8</v>
      </c>
      <c r="AO465" t="s">
        <v>18</v>
      </c>
      <c r="AP465">
        <v>1</v>
      </c>
      <c r="AQ465" t="s">
        <v>35</v>
      </c>
      <c r="AR465">
        <v>63</v>
      </c>
      <c r="AS465">
        <v>1997</v>
      </c>
      <c r="AT465">
        <v>8</v>
      </c>
      <c r="AU465" s="2" t="s">
        <v>24</v>
      </c>
      <c r="AV465" t="b">
        <v>1</v>
      </c>
      <c r="AW465" t="b">
        <v>1</v>
      </c>
      <c r="AX465" s="2"/>
      <c r="AY465">
        <v>45</v>
      </c>
      <c r="AZ465">
        <v>1</v>
      </c>
      <c r="BA465">
        <v>804</v>
      </c>
      <c r="BB465" t="s">
        <v>710</v>
      </c>
      <c r="BC465">
        <v>160</v>
      </c>
      <c r="BD465" s="2">
        <v>0.24</v>
      </c>
      <c r="BE465" t="s">
        <v>923</v>
      </c>
      <c r="BF465" t="s">
        <v>921</v>
      </c>
      <c r="BG465" t="s">
        <v>939</v>
      </c>
      <c r="BH465" s="7">
        <v>20</v>
      </c>
      <c r="BI46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465">
        <v>0</v>
      </c>
      <c r="BK465" t="s">
        <v>733</v>
      </c>
      <c r="BL465" s="11">
        <v>63</v>
      </c>
      <c r="BM465" s="11">
        <v>8</v>
      </c>
      <c r="BN465" s="11">
        <v>49</v>
      </c>
      <c r="BO465">
        <v>0</v>
      </c>
      <c r="BP465" t="s">
        <v>691</v>
      </c>
      <c r="BQ465" t="s">
        <v>693</v>
      </c>
      <c r="BR465" t="s">
        <v>700</v>
      </c>
      <c r="BS465" t="s">
        <v>704</v>
      </c>
      <c r="BT465" t="s">
        <v>705</v>
      </c>
      <c r="BU465" t="s">
        <v>706</v>
      </c>
      <c r="CT465"/>
      <c r="CU465"/>
      <c r="CV465"/>
    </row>
    <row r="466" spans="1:100" x14ac:dyDescent="0.4">
      <c r="A466" s="2" t="s">
        <v>492</v>
      </c>
      <c r="B466" t="str">
        <f>_xlfn.TEXTAFTER(Table1[[#This Row],[VEHIDCODE]],"_")</f>
        <v>UK_BR_168</v>
      </c>
      <c r="C466" t="s">
        <v>741</v>
      </c>
      <c r="D466" t="s">
        <v>962</v>
      </c>
      <c r="E466">
        <v>7016</v>
      </c>
      <c r="F466" t="b">
        <f>OR(ISNUMBER(SEARCH("wagon_",Table1[[#This Row],[FILENAMES_EXPECTED]])),ISNUMBER(SEARCH("coach_",Table1[[#This Row],[FILENAMES_EXPECTED]])))</f>
        <v>0</v>
      </c>
      <c r="G466" t="str">
        <f>"item_"&amp;Table1[[#This Row],[VEHIDCODE]]</f>
        <v>item_dmu_UK_BR_168</v>
      </c>
      <c r="H466" t="str">
        <f>"str_"&amp;Table1[[#This Row],[VEHIDCODE]]</f>
        <v>str_dmu_UK_BR_168</v>
      </c>
      <c r="Q466" s="2" t="b">
        <v>1</v>
      </c>
      <c r="AL466" s="2"/>
      <c r="AM466" s="2" t="b">
        <f>LEN(_xlfn.CONCAT(Table1[[#This Row],[TRACK_TYPE_STANDARD_GAUGE_RAILTYPE_OHLE]:[TRACK_TYPE_MTRO]]))&gt;0</f>
        <v>1</v>
      </c>
      <c r="AN466">
        <v>8</v>
      </c>
      <c r="AO466" t="s">
        <v>18</v>
      </c>
      <c r="AP466">
        <v>1</v>
      </c>
      <c r="AQ466" t="s">
        <v>35</v>
      </c>
      <c r="AR466">
        <v>42</v>
      </c>
      <c r="AS466">
        <v>1997</v>
      </c>
      <c r="AT466">
        <v>8</v>
      </c>
      <c r="AU466" s="2" t="s">
        <v>24</v>
      </c>
      <c r="AV466" t="b">
        <v>1</v>
      </c>
      <c r="AW466" t="b">
        <v>1</v>
      </c>
      <c r="AX466" s="2"/>
      <c r="AY466">
        <v>45</v>
      </c>
      <c r="AZ466">
        <v>1</v>
      </c>
      <c r="BA466">
        <v>1300</v>
      </c>
      <c r="BB466" t="s">
        <v>710</v>
      </c>
      <c r="BC466">
        <v>160</v>
      </c>
      <c r="BD466" s="2">
        <v>0.39</v>
      </c>
      <c r="BE466" t="s">
        <v>926</v>
      </c>
      <c r="BF466" t="s">
        <v>921</v>
      </c>
      <c r="BG466" t="s">
        <v>939</v>
      </c>
      <c r="BH466" s="7">
        <v>20</v>
      </c>
      <c r="BI46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466">
        <v>0</v>
      </c>
      <c r="BK466" t="s">
        <v>733</v>
      </c>
      <c r="BL466" s="11">
        <v>42</v>
      </c>
      <c r="BM466" s="11">
        <v>8</v>
      </c>
      <c r="BN466" s="11">
        <v>50</v>
      </c>
      <c r="BO466">
        <v>0</v>
      </c>
      <c r="BP466" t="s">
        <v>691</v>
      </c>
      <c r="BQ466" t="s">
        <v>693</v>
      </c>
      <c r="BR466" t="s">
        <v>700</v>
      </c>
      <c r="BS466" t="s">
        <v>704</v>
      </c>
      <c r="BT466" t="s">
        <v>705</v>
      </c>
      <c r="BU466" t="s">
        <v>706</v>
      </c>
      <c r="CT466"/>
      <c r="CU466"/>
      <c r="CV466"/>
    </row>
    <row r="467" spans="1:100" x14ac:dyDescent="0.4">
      <c r="A467" s="2" t="s">
        <v>493</v>
      </c>
      <c r="B467" t="str">
        <f>_xlfn.TEXTAFTER(Table1[[#This Row],[VEHIDCODE]],"_")</f>
        <v>Germany_DB_612_Regio_Swinger</v>
      </c>
      <c r="C467" t="s">
        <v>741</v>
      </c>
      <c r="D467" t="s">
        <v>962</v>
      </c>
      <c r="E467">
        <v>7017</v>
      </c>
      <c r="F467" t="b">
        <f>OR(ISNUMBER(SEARCH("wagon_",Table1[[#This Row],[FILENAMES_EXPECTED]])),ISNUMBER(SEARCH("coach_",Table1[[#This Row],[FILENAMES_EXPECTED]])))</f>
        <v>0</v>
      </c>
      <c r="G467" t="str">
        <f>"item_"&amp;Table1[[#This Row],[VEHIDCODE]]</f>
        <v>item_dmu_Germany_DB_612_Regio_Swinger</v>
      </c>
      <c r="H467" t="str">
        <f>"str_"&amp;Table1[[#This Row],[VEHIDCODE]]</f>
        <v>str_dmu_Germany_DB_612_Regio_Swinger</v>
      </c>
      <c r="Q467" s="2" t="b">
        <v>1</v>
      </c>
      <c r="AL467" s="2"/>
      <c r="AM467" s="2" t="b">
        <f>LEN(_xlfn.CONCAT(Table1[[#This Row],[TRACK_TYPE_STANDARD_GAUGE_RAILTYPE_OHLE]:[TRACK_TYPE_MTRO]]))&gt;0</f>
        <v>1</v>
      </c>
      <c r="AN467">
        <v>8</v>
      </c>
      <c r="AO467" t="s">
        <v>18</v>
      </c>
      <c r="AP467">
        <v>1</v>
      </c>
      <c r="AQ467" t="s">
        <v>35</v>
      </c>
      <c r="AR467">
        <v>73</v>
      </c>
      <c r="AS467">
        <v>1998</v>
      </c>
      <c r="AT467">
        <v>8</v>
      </c>
      <c r="AU467" s="2" t="s">
        <v>24</v>
      </c>
      <c r="AV467" t="b">
        <v>1</v>
      </c>
      <c r="AW467" t="b">
        <v>1</v>
      </c>
      <c r="AX467" s="2"/>
      <c r="AY467">
        <v>45</v>
      </c>
      <c r="AZ467">
        <v>1</v>
      </c>
      <c r="BA467">
        <v>1520</v>
      </c>
      <c r="BB467" t="s">
        <v>710</v>
      </c>
      <c r="BC467">
        <v>160</v>
      </c>
      <c r="BD467" s="2">
        <v>0.38</v>
      </c>
      <c r="BE467" t="s">
        <v>922</v>
      </c>
      <c r="BF467" t="s">
        <v>921</v>
      </c>
      <c r="BG467" t="s">
        <v>939</v>
      </c>
      <c r="BH467" s="7">
        <v>20</v>
      </c>
      <c r="BI46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467">
        <v>0</v>
      </c>
      <c r="BK467" t="s">
        <v>733</v>
      </c>
      <c r="BL467" s="11">
        <v>73</v>
      </c>
      <c r="BM467" s="11">
        <v>8</v>
      </c>
      <c r="BN467" s="11">
        <v>58</v>
      </c>
      <c r="BO467">
        <v>0</v>
      </c>
      <c r="BP467" t="s">
        <v>691</v>
      </c>
      <c r="BQ467" t="s">
        <v>693</v>
      </c>
      <c r="BR467" t="s">
        <v>700</v>
      </c>
      <c r="BS467" t="s">
        <v>704</v>
      </c>
      <c r="BT467" t="s">
        <v>705</v>
      </c>
      <c r="BU467" t="s">
        <v>706</v>
      </c>
      <c r="CT467"/>
      <c r="CU467"/>
      <c r="CV467"/>
    </row>
    <row r="468" spans="1:100" x14ac:dyDescent="0.4">
      <c r="A468" s="2" t="s">
        <v>494</v>
      </c>
      <c r="B468" t="str">
        <f>_xlfn.TEXTAFTER(Table1[[#This Row],[VEHIDCODE]],"_")</f>
        <v>Germany_DB_642_Desiro</v>
      </c>
      <c r="C468" t="s">
        <v>741</v>
      </c>
      <c r="D468" t="s">
        <v>962</v>
      </c>
      <c r="E468">
        <v>7018</v>
      </c>
      <c r="F468" t="b">
        <f>OR(ISNUMBER(SEARCH("wagon_",Table1[[#This Row],[FILENAMES_EXPECTED]])),ISNUMBER(SEARCH("coach_",Table1[[#This Row],[FILENAMES_EXPECTED]])))</f>
        <v>0</v>
      </c>
      <c r="G468" t="str">
        <f>"item_"&amp;Table1[[#This Row],[VEHIDCODE]]</f>
        <v>item_dmu_Germany_DB_642_Desiro</v>
      </c>
      <c r="H468" t="str">
        <f>"str_"&amp;Table1[[#This Row],[VEHIDCODE]]</f>
        <v>str_dmu_Germany_DB_642_Desiro</v>
      </c>
      <c r="Q468" s="2" t="b">
        <v>1</v>
      </c>
      <c r="AL468" s="2"/>
      <c r="AM468" s="2" t="b">
        <f>LEN(_xlfn.CONCAT(Table1[[#This Row],[TRACK_TYPE_STANDARD_GAUGE_RAILTYPE_OHLE]:[TRACK_TYPE_MTRO]]))&gt;0</f>
        <v>1</v>
      </c>
      <c r="AN468">
        <v>8</v>
      </c>
      <c r="AO468" t="s">
        <v>18</v>
      </c>
      <c r="AP468">
        <v>1</v>
      </c>
      <c r="AQ468" t="s">
        <v>35</v>
      </c>
      <c r="AR468">
        <v>55</v>
      </c>
      <c r="AS468">
        <v>2000</v>
      </c>
      <c r="AT468">
        <v>8</v>
      </c>
      <c r="AU468" s="2" t="s">
        <v>24</v>
      </c>
      <c r="AV468" t="b">
        <v>1</v>
      </c>
      <c r="AW468" t="b">
        <v>1</v>
      </c>
      <c r="AX468" s="2"/>
      <c r="AY468" t="s">
        <v>21</v>
      </c>
      <c r="AZ468">
        <v>1</v>
      </c>
      <c r="BA468">
        <v>368</v>
      </c>
      <c r="BB468" t="s">
        <v>710</v>
      </c>
      <c r="BC468">
        <v>120</v>
      </c>
      <c r="BD468" s="2">
        <v>0.18</v>
      </c>
      <c r="BE468" t="s">
        <v>922</v>
      </c>
      <c r="BF468" t="s">
        <v>921</v>
      </c>
      <c r="BG468" t="s">
        <v>939</v>
      </c>
      <c r="BH468" s="7">
        <v>25</v>
      </c>
      <c r="BI46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468">
        <v>0</v>
      </c>
      <c r="BK468" t="s">
        <v>733</v>
      </c>
      <c r="BL468" s="11">
        <v>55</v>
      </c>
      <c r="BM468" s="11">
        <v>8</v>
      </c>
      <c r="BN468" s="11">
        <v>60</v>
      </c>
      <c r="BO468">
        <v>0</v>
      </c>
      <c r="BP468" t="s">
        <v>691</v>
      </c>
      <c r="BQ468" t="s">
        <v>693</v>
      </c>
      <c r="BR468" t="s">
        <v>700</v>
      </c>
      <c r="BS468" t="s">
        <v>704</v>
      </c>
      <c r="BT468" t="s">
        <v>705</v>
      </c>
      <c r="BU468" t="s">
        <v>706</v>
      </c>
      <c r="CT468"/>
      <c r="CU468"/>
      <c r="CV468"/>
    </row>
    <row r="469" spans="1:100" x14ac:dyDescent="0.4">
      <c r="A469" s="2" t="s">
        <v>495</v>
      </c>
      <c r="B469" t="str">
        <f>_xlfn.TEXTAFTER(Table1[[#This Row],[VEHIDCODE]],"_")</f>
        <v>Denmark_Arriva_Lint_41</v>
      </c>
      <c r="C469" t="s">
        <v>741</v>
      </c>
      <c r="D469" t="s">
        <v>962</v>
      </c>
      <c r="E469">
        <v>7019</v>
      </c>
      <c r="F469" t="b">
        <f>OR(ISNUMBER(SEARCH("wagon_",Table1[[#This Row],[FILENAMES_EXPECTED]])),ISNUMBER(SEARCH("coach_",Table1[[#This Row],[FILENAMES_EXPECTED]])))</f>
        <v>0</v>
      </c>
      <c r="G469" t="str">
        <f>"item_"&amp;Table1[[#This Row],[VEHIDCODE]]</f>
        <v>item_dmu_Denmark_Arriva_Lint_41</v>
      </c>
      <c r="H469" t="str">
        <f>"str_"&amp;Table1[[#This Row],[VEHIDCODE]]</f>
        <v>str_dmu_Denmark_Arriva_Lint_41</v>
      </c>
      <c r="Q469" s="2" t="b">
        <v>1</v>
      </c>
      <c r="AL469" s="2"/>
      <c r="AM469" s="2" t="b">
        <f>LEN(_xlfn.CONCAT(Table1[[#This Row],[TRACK_TYPE_STANDARD_GAUGE_RAILTYPE_OHLE]:[TRACK_TYPE_MTRO]]))&gt;0</f>
        <v>1</v>
      </c>
      <c r="AN469">
        <v>8</v>
      </c>
      <c r="AO469" t="s">
        <v>18</v>
      </c>
      <c r="AP469">
        <v>1</v>
      </c>
      <c r="AQ469" t="s">
        <v>35</v>
      </c>
      <c r="AR469">
        <v>73</v>
      </c>
      <c r="AS469">
        <v>2001</v>
      </c>
      <c r="AT469">
        <v>8</v>
      </c>
      <c r="AU469" s="2" t="s">
        <v>24</v>
      </c>
      <c r="AV469" t="b">
        <v>1</v>
      </c>
      <c r="AW469" t="b">
        <v>1</v>
      </c>
      <c r="AX469" s="2"/>
      <c r="AY469" t="s">
        <v>21</v>
      </c>
      <c r="AZ469">
        <v>1</v>
      </c>
      <c r="BA469">
        <v>422</v>
      </c>
      <c r="BB469" t="s">
        <v>710</v>
      </c>
      <c r="BC469">
        <v>120</v>
      </c>
      <c r="BD469" s="2">
        <v>0.39</v>
      </c>
      <c r="BE469" t="s">
        <v>926</v>
      </c>
      <c r="BF469" t="s">
        <v>921</v>
      </c>
      <c r="BG469" t="s">
        <v>939</v>
      </c>
      <c r="BH469" s="7">
        <v>20</v>
      </c>
      <c r="BI46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469">
        <v>0</v>
      </c>
      <c r="BK469" t="s">
        <v>733</v>
      </c>
      <c r="BL469" s="11">
        <v>73</v>
      </c>
      <c r="BM469" s="11">
        <v>8</v>
      </c>
      <c r="BN469" s="11">
        <v>31</v>
      </c>
      <c r="BO469">
        <v>0</v>
      </c>
      <c r="BP469" t="s">
        <v>691</v>
      </c>
      <c r="BQ469" t="s">
        <v>693</v>
      </c>
      <c r="BR469" t="s">
        <v>700</v>
      </c>
      <c r="BS469" t="s">
        <v>704</v>
      </c>
      <c r="BT469" t="s">
        <v>705</v>
      </c>
      <c r="BU469" t="s">
        <v>706</v>
      </c>
      <c r="CT469"/>
      <c r="CU469"/>
      <c r="CV469"/>
    </row>
    <row r="470" spans="1:100" x14ac:dyDescent="0.4">
      <c r="A470" s="2" t="s">
        <v>496</v>
      </c>
      <c r="B470" t="str">
        <f>_xlfn.TEXTAFTER(Table1[[#This Row],[VEHIDCODE]],"_")</f>
        <v>Norway_NSB_BM_93_Talent</v>
      </c>
      <c r="C470" t="s">
        <v>741</v>
      </c>
      <c r="D470" t="s">
        <v>962</v>
      </c>
      <c r="E470">
        <v>7020</v>
      </c>
      <c r="F470" t="b">
        <f>OR(ISNUMBER(SEARCH("wagon_",Table1[[#This Row],[FILENAMES_EXPECTED]])),ISNUMBER(SEARCH("coach_",Table1[[#This Row],[FILENAMES_EXPECTED]])))</f>
        <v>0</v>
      </c>
      <c r="G470" t="str">
        <f>"item_"&amp;Table1[[#This Row],[VEHIDCODE]]</f>
        <v>item_dmu_Norway_NSB_BM_93_Talent</v>
      </c>
      <c r="H470" t="str">
        <f>"str_"&amp;Table1[[#This Row],[VEHIDCODE]]</f>
        <v>str_dmu_Norway_NSB_BM_93_Talent</v>
      </c>
      <c r="Q470" s="2" t="b">
        <v>1</v>
      </c>
      <c r="AL470" s="2"/>
      <c r="AM470" s="2" t="b">
        <f>LEN(_xlfn.CONCAT(Table1[[#This Row],[TRACK_TYPE_STANDARD_GAUGE_RAILTYPE_OHLE]:[TRACK_TYPE_MTRO]]))&gt;0</f>
        <v>1</v>
      </c>
      <c r="AN470">
        <v>8</v>
      </c>
      <c r="AO470" t="s">
        <v>18</v>
      </c>
      <c r="AP470">
        <v>1</v>
      </c>
      <c r="AQ470" t="s">
        <v>35</v>
      </c>
      <c r="AR470">
        <v>55</v>
      </c>
      <c r="AS470">
        <v>2001</v>
      </c>
      <c r="AT470">
        <v>8</v>
      </c>
      <c r="AU470" s="2" t="s">
        <v>24</v>
      </c>
      <c r="AV470" t="b">
        <v>1</v>
      </c>
      <c r="AW470" t="b">
        <v>1</v>
      </c>
      <c r="AX470" s="2"/>
      <c r="AY470">
        <v>45</v>
      </c>
      <c r="AZ470">
        <v>1</v>
      </c>
      <c r="BA470">
        <v>410</v>
      </c>
      <c r="BB470" t="s">
        <v>710</v>
      </c>
      <c r="BC470">
        <v>140</v>
      </c>
      <c r="BD470" s="2">
        <v>0.21</v>
      </c>
      <c r="BE470" t="s">
        <v>926</v>
      </c>
      <c r="BF470" t="s">
        <v>921</v>
      </c>
      <c r="BG470" t="s">
        <v>939</v>
      </c>
      <c r="BH470" s="7">
        <v>20</v>
      </c>
      <c r="BI47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470">
        <v>0</v>
      </c>
      <c r="BK470" t="s">
        <v>733</v>
      </c>
      <c r="BL470" s="11">
        <v>55</v>
      </c>
      <c r="BM470" s="11">
        <v>8</v>
      </c>
      <c r="BN470" s="11">
        <v>29</v>
      </c>
      <c r="BO470">
        <v>0</v>
      </c>
      <c r="BP470" t="s">
        <v>691</v>
      </c>
      <c r="BQ470" t="s">
        <v>693</v>
      </c>
      <c r="BR470" t="s">
        <v>700</v>
      </c>
      <c r="BS470" t="s">
        <v>704</v>
      </c>
      <c r="BT470" t="s">
        <v>705</v>
      </c>
      <c r="BU470" t="s">
        <v>706</v>
      </c>
      <c r="CT470"/>
      <c r="CU470"/>
      <c r="CV470"/>
    </row>
    <row r="471" spans="1:100" x14ac:dyDescent="0.4">
      <c r="A471" s="2" t="s">
        <v>497</v>
      </c>
      <c r="B471" t="str">
        <f>_xlfn.TEXTAFTER(Table1[[#This Row],[VEHIDCODE]],"_")</f>
        <v>Australia_Transwa_Prospector</v>
      </c>
      <c r="C471" t="s">
        <v>741</v>
      </c>
      <c r="D471" t="s">
        <v>962</v>
      </c>
      <c r="E471">
        <v>7021</v>
      </c>
      <c r="F471" t="b">
        <f>OR(ISNUMBER(SEARCH("wagon_",Table1[[#This Row],[FILENAMES_EXPECTED]])),ISNUMBER(SEARCH("coach_",Table1[[#This Row],[FILENAMES_EXPECTED]])))</f>
        <v>0</v>
      </c>
      <c r="G471" t="str">
        <f>"item_"&amp;Table1[[#This Row],[VEHIDCODE]]</f>
        <v>item_dmu_Australia_Transwa_Prospector</v>
      </c>
      <c r="H471" t="str">
        <f>"str_"&amp;Table1[[#This Row],[VEHIDCODE]]</f>
        <v>str_dmu_Australia_Transwa_Prospector</v>
      </c>
      <c r="Q471" s="2" t="b">
        <v>1</v>
      </c>
      <c r="AL471" s="2"/>
      <c r="AM471" s="2" t="b">
        <f>LEN(_xlfn.CONCAT(Table1[[#This Row],[TRACK_TYPE_STANDARD_GAUGE_RAILTYPE_OHLE]:[TRACK_TYPE_MTRO]]))&gt;0</f>
        <v>1</v>
      </c>
      <c r="AN471">
        <v>8</v>
      </c>
      <c r="AO471" t="s">
        <v>18</v>
      </c>
      <c r="AP471">
        <v>1</v>
      </c>
      <c r="AQ471" t="s">
        <v>35</v>
      </c>
      <c r="AR471">
        <v>68</v>
      </c>
      <c r="AS471">
        <v>2004</v>
      </c>
      <c r="AT471">
        <v>8</v>
      </c>
      <c r="AU471" s="2" t="s">
        <v>479</v>
      </c>
      <c r="AV471" t="b">
        <v>1</v>
      </c>
      <c r="AW471" t="b">
        <v>1</v>
      </c>
      <c r="AX471" s="2"/>
      <c r="AY471" t="s">
        <v>21</v>
      </c>
      <c r="AZ471">
        <v>1</v>
      </c>
      <c r="BA471">
        <v>520</v>
      </c>
      <c r="BB471" t="s">
        <v>710</v>
      </c>
      <c r="BC471">
        <v>200</v>
      </c>
      <c r="BD471" s="2">
        <v>0.33</v>
      </c>
      <c r="BE471" t="s">
        <v>924</v>
      </c>
      <c r="BF471" t="s">
        <v>921</v>
      </c>
      <c r="BG471" t="s">
        <v>939</v>
      </c>
      <c r="BH471" s="7">
        <v>25</v>
      </c>
      <c r="BI47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471">
        <v>0</v>
      </c>
      <c r="BK471" t="s">
        <v>733</v>
      </c>
      <c r="BL471" s="11">
        <v>68</v>
      </c>
      <c r="BM471" s="11">
        <v>8</v>
      </c>
      <c r="BN471" s="11">
        <v>33</v>
      </c>
      <c r="BO471">
        <v>0</v>
      </c>
      <c r="BP471" t="s">
        <v>691</v>
      </c>
      <c r="BQ471" t="s">
        <v>693</v>
      </c>
      <c r="BR471" t="s">
        <v>700</v>
      </c>
      <c r="BS471" t="s">
        <v>704</v>
      </c>
      <c r="BT471" t="s">
        <v>705</v>
      </c>
      <c r="BU471" t="s">
        <v>706</v>
      </c>
      <c r="CT471"/>
      <c r="CU471"/>
      <c r="CV471"/>
    </row>
    <row r="472" spans="1:100" x14ac:dyDescent="0.4">
      <c r="A472" s="2" t="s">
        <v>498</v>
      </c>
      <c r="B472" t="str">
        <f>_xlfn.TEXTAFTER(Table1[[#This Row],[VEHIDCODE]],"_")</f>
        <v>Australia_CityRail_Hunter_Railcar</v>
      </c>
      <c r="C472" t="s">
        <v>741</v>
      </c>
      <c r="D472" t="s">
        <v>962</v>
      </c>
      <c r="E472">
        <v>7022</v>
      </c>
      <c r="F472" t="b">
        <f>OR(ISNUMBER(SEARCH("wagon_",Table1[[#This Row],[FILENAMES_EXPECTED]])),ISNUMBER(SEARCH("coach_",Table1[[#This Row],[FILENAMES_EXPECTED]])))</f>
        <v>0</v>
      </c>
      <c r="G472" t="str">
        <f>"item_"&amp;Table1[[#This Row],[VEHIDCODE]]</f>
        <v>item_dmu_Australia_CityRail_Hunter_Railcar</v>
      </c>
      <c r="H472" t="str">
        <f>"str_"&amp;Table1[[#This Row],[VEHIDCODE]]</f>
        <v>str_dmu_Australia_CityRail_Hunter_Railcar</v>
      </c>
      <c r="Q472" s="2" t="b">
        <v>1</v>
      </c>
      <c r="AL472" s="2"/>
      <c r="AM472" s="2" t="b">
        <f>LEN(_xlfn.CONCAT(Table1[[#This Row],[TRACK_TYPE_STANDARD_GAUGE_RAILTYPE_OHLE]:[TRACK_TYPE_MTRO]]))&gt;0</f>
        <v>1</v>
      </c>
      <c r="AN472">
        <v>8</v>
      </c>
      <c r="AO472" t="s">
        <v>18</v>
      </c>
      <c r="AP472">
        <v>1</v>
      </c>
      <c r="AQ472" t="s">
        <v>35</v>
      </c>
      <c r="AR472">
        <v>70</v>
      </c>
      <c r="AS472">
        <v>2006</v>
      </c>
      <c r="AT472">
        <v>8</v>
      </c>
      <c r="AU472" s="2" t="s">
        <v>24</v>
      </c>
      <c r="AV472" t="b">
        <v>1</v>
      </c>
      <c r="AW472" t="b">
        <v>1</v>
      </c>
      <c r="AX472" s="2"/>
      <c r="AY472" t="s">
        <v>21</v>
      </c>
      <c r="AZ472">
        <v>1</v>
      </c>
      <c r="BA472">
        <v>750</v>
      </c>
      <c r="BB472" t="s">
        <v>710</v>
      </c>
      <c r="BC472">
        <v>160</v>
      </c>
      <c r="BD472" s="2">
        <v>0.33</v>
      </c>
      <c r="BE472" t="s">
        <v>924</v>
      </c>
      <c r="BF472" t="s">
        <v>921</v>
      </c>
      <c r="BG472" t="s">
        <v>939</v>
      </c>
      <c r="BH472" s="7">
        <v>25</v>
      </c>
      <c r="BI47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472">
        <v>0</v>
      </c>
      <c r="BK472" t="s">
        <v>733</v>
      </c>
      <c r="BL472" s="11">
        <v>70</v>
      </c>
      <c r="BM472" s="11">
        <v>8</v>
      </c>
      <c r="BN472" s="11">
        <v>30</v>
      </c>
      <c r="BO472">
        <v>0</v>
      </c>
      <c r="BP472" t="s">
        <v>691</v>
      </c>
      <c r="BQ472" t="s">
        <v>693</v>
      </c>
      <c r="BR472" t="s">
        <v>700</v>
      </c>
      <c r="BS472" t="s">
        <v>704</v>
      </c>
      <c r="BT472" t="s">
        <v>705</v>
      </c>
      <c r="BU472" t="s">
        <v>706</v>
      </c>
      <c r="CT472"/>
      <c r="CU472"/>
      <c r="CV472"/>
    </row>
    <row r="473" spans="1:100" x14ac:dyDescent="0.4">
      <c r="A473" s="2" t="s">
        <v>499</v>
      </c>
      <c r="B473" t="str">
        <f>_xlfn.TEXTAFTER(Table1[[#This Row],[VEHIDCODE]],"_")</f>
        <v>Russia_RZD_RA2</v>
      </c>
      <c r="C473" t="s">
        <v>741</v>
      </c>
      <c r="D473" t="s">
        <v>962</v>
      </c>
      <c r="E473">
        <v>7023</v>
      </c>
      <c r="F473" t="b">
        <f>OR(ISNUMBER(SEARCH("wagon_",Table1[[#This Row],[FILENAMES_EXPECTED]])),ISNUMBER(SEARCH("coach_",Table1[[#This Row],[FILENAMES_EXPECTED]])))</f>
        <v>0</v>
      </c>
      <c r="G473" t="str">
        <f>"item_"&amp;Table1[[#This Row],[VEHIDCODE]]</f>
        <v>item_dmu_Russia_RZD_RA2</v>
      </c>
      <c r="H473" t="str">
        <f>"str_"&amp;Table1[[#This Row],[VEHIDCODE]]</f>
        <v>str_dmu_Russia_RZD_RA2</v>
      </c>
      <c r="AI473" s="2" t="b">
        <v>1</v>
      </c>
      <c r="AL473" s="2"/>
      <c r="AM473" s="2" t="b">
        <f>LEN(_xlfn.CONCAT(Table1[[#This Row],[TRACK_TYPE_STANDARD_GAUGE_RAILTYPE_OHLE]:[TRACK_TYPE_MTRO]]))&gt;0</f>
        <v>1</v>
      </c>
      <c r="AN473">
        <v>8</v>
      </c>
      <c r="AO473" t="s">
        <v>18</v>
      </c>
      <c r="AP473">
        <v>1</v>
      </c>
      <c r="AQ473" t="s">
        <v>35</v>
      </c>
      <c r="AR473">
        <v>74</v>
      </c>
      <c r="AS473">
        <v>2006</v>
      </c>
      <c r="AT473">
        <v>8</v>
      </c>
      <c r="AU473" s="2" t="s">
        <v>24</v>
      </c>
      <c r="AV473" t="b">
        <v>1</v>
      </c>
      <c r="AW473" t="b">
        <v>1</v>
      </c>
      <c r="AX473" s="2"/>
      <c r="AY473" t="s">
        <v>21</v>
      </c>
      <c r="AZ473">
        <v>1</v>
      </c>
      <c r="BA473">
        <v>840</v>
      </c>
      <c r="BB473" t="s">
        <v>710</v>
      </c>
      <c r="BC473">
        <v>100</v>
      </c>
      <c r="BD473" s="2">
        <v>0.28000000000000003</v>
      </c>
      <c r="BE473" t="s">
        <v>930</v>
      </c>
      <c r="BF473" t="s">
        <v>921</v>
      </c>
      <c r="BG473" t="s">
        <v>939</v>
      </c>
      <c r="BH473" s="7">
        <v>25</v>
      </c>
      <c r="BI47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473">
        <v>0</v>
      </c>
      <c r="BK473" t="s">
        <v>733</v>
      </c>
      <c r="BL473" s="11">
        <v>74</v>
      </c>
      <c r="BM473" s="11">
        <v>8</v>
      </c>
      <c r="BN473" s="11">
        <v>44</v>
      </c>
      <c r="BO473">
        <v>0</v>
      </c>
      <c r="BP473" t="s">
        <v>691</v>
      </c>
      <c r="BQ473" t="s">
        <v>693</v>
      </c>
      <c r="BR473" t="s">
        <v>700</v>
      </c>
      <c r="BS473" t="s">
        <v>704</v>
      </c>
      <c r="BT473" t="s">
        <v>705</v>
      </c>
      <c r="BU473" t="s">
        <v>706</v>
      </c>
      <c r="CT473"/>
      <c r="CU473"/>
      <c r="CV473"/>
    </row>
    <row r="474" spans="1:100" x14ac:dyDescent="0.4">
      <c r="A474" s="2" t="s">
        <v>500</v>
      </c>
      <c r="B474" t="str">
        <f>_xlfn.TEXTAFTER(Table1[[#This Row],[VEHIDCODE]],"_")</f>
        <v>Denmark_DSB_IC4</v>
      </c>
      <c r="C474" t="s">
        <v>741</v>
      </c>
      <c r="D474" t="s">
        <v>962</v>
      </c>
      <c r="E474">
        <v>7000</v>
      </c>
      <c r="F474" t="b">
        <f>OR(ISNUMBER(SEARCH("wagon_",Table1[[#This Row],[FILENAMES_EXPECTED]])),ISNUMBER(SEARCH("coach_",Table1[[#This Row],[FILENAMES_EXPECTED]])))</f>
        <v>0</v>
      </c>
      <c r="G474" t="str">
        <f>"item_"&amp;Table1[[#This Row],[VEHIDCODE]]</f>
        <v>item_dmu_Denmark_DSB_IC4</v>
      </c>
      <c r="H474" t="str">
        <f>"str_"&amp;Table1[[#This Row],[VEHIDCODE]]</f>
        <v>str_dmu_Denmark_DSB_IC4</v>
      </c>
      <c r="Q474" s="2" t="b">
        <v>1</v>
      </c>
      <c r="AL474" s="2"/>
      <c r="AM474" s="2" t="b">
        <f>LEN(_xlfn.CONCAT(Table1[[#This Row],[TRACK_TYPE_STANDARD_GAUGE_RAILTYPE_OHLE]:[TRACK_TYPE_MTRO]]))&gt;0</f>
        <v>1</v>
      </c>
      <c r="AN474">
        <v>8</v>
      </c>
      <c r="AO474" t="s">
        <v>18</v>
      </c>
      <c r="AP474">
        <v>1</v>
      </c>
      <c r="AQ474" t="s">
        <v>35</v>
      </c>
      <c r="AR474">
        <v>52</v>
      </c>
      <c r="AS474">
        <v>2007</v>
      </c>
      <c r="AT474">
        <v>8</v>
      </c>
      <c r="AU474" s="2" t="s">
        <v>479</v>
      </c>
      <c r="AV474" t="b">
        <v>1</v>
      </c>
      <c r="AW474" t="b">
        <v>1</v>
      </c>
      <c r="AX474" s="2"/>
      <c r="AY474" t="s">
        <v>21</v>
      </c>
      <c r="AZ474">
        <v>1</v>
      </c>
      <c r="BA474">
        <v>750</v>
      </c>
      <c r="BB474" t="s">
        <v>710</v>
      </c>
      <c r="BC474">
        <v>200</v>
      </c>
      <c r="BD474" s="2">
        <v>0.62</v>
      </c>
      <c r="BE474" t="s">
        <v>926</v>
      </c>
      <c r="BF474" t="s">
        <v>921</v>
      </c>
      <c r="BG474" t="s">
        <v>939</v>
      </c>
      <c r="BH474" s="7">
        <v>25</v>
      </c>
      <c r="BI47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474">
        <v>0</v>
      </c>
      <c r="BK474" t="s">
        <v>733</v>
      </c>
      <c r="BL474" s="11">
        <v>52</v>
      </c>
      <c r="BM474" s="11">
        <v>8</v>
      </c>
      <c r="BN474" s="11">
        <v>36</v>
      </c>
      <c r="BO474">
        <v>0</v>
      </c>
      <c r="BP474" t="s">
        <v>691</v>
      </c>
      <c r="BQ474" t="s">
        <v>693</v>
      </c>
      <c r="BR474" t="s">
        <v>700</v>
      </c>
      <c r="BS474" t="s">
        <v>704</v>
      </c>
      <c r="BT474" t="s">
        <v>705</v>
      </c>
      <c r="BU474" t="s">
        <v>706</v>
      </c>
      <c r="CT474"/>
      <c r="CU474"/>
      <c r="CV474"/>
    </row>
    <row r="475" spans="1:100" x14ac:dyDescent="0.4">
      <c r="A475" s="2" t="s">
        <v>501</v>
      </c>
      <c r="B475" t="str">
        <f>_xlfn.TEXTAFTER(Table1[[#This Row],[VEHIDCODE]],"_")</f>
        <v>Croatia_HZ_7022</v>
      </c>
      <c r="C475" t="s">
        <v>741</v>
      </c>
      <c r="D475" t="s">
        <v>962</v>
      </c>
      <c r="E475">
        <v>7001</v>
      </c>
      <c r="F475" t="b">
        <f>OR(ISNUMBER(SEARCH("wagon_",Table1[[#This Row],[FILENAMES_EXPECTED]])),ISNUMBER(SEARCH("coach_",Table1[[#This Row],[FILENAMES_EXPECTED]])))</f>
        <v>0</v>
      </c>
      <c r="G475" t="str">
        <f>"item_"&amp;Table1[[#This Row],[VEHIDCODE]]</f>
        <v>item_dmu_Croatia_HZ_7022</v>
      </c>
      <c r="H475" t="str">
        <f>"str_"&amp;Table1[[#This Row],[VEHIDCODE]]</f>
        <v>str_dmu_Croatia_HZ_7022</v>
      </c>
      <c r="Q475" s="2" t="b">
        <v>1</v>
      </c>
      <c r="AL475" s="2"/>
      <c r="AM475" s="2" t="b">
        <f>LEN(_xlfn.CONCAT(Table1[[#This Row],[TRACK_TYPE_STANDARD_GAUGE_RAILTYPE_OHLE]:[TRACK_TYPE_MTRO]]))&gt;0</f>
        <v>1</v>
      </c>
      <c r="AN475">
        <v>8</v>
      </c>
      <c r="AO475" t="s">
        <v>18</v>
      </c>
      <c r="AP475">
        <v>1</v>
      </c>
      <c r="AQ475" t="s">
        <v>35</v>
      </c>
      <c r="AR475">
        <v>66</v>
      </c>
      <c r="AS475">
        <v>2011</v>
      </c>
      <c r="AT475">
        <v>8</v>
      </c>
      <c r="AU475" s="2" t="s">
        <v>479</v>
      </c>
      <c r="AV475" t="b">
        <v>1</v>
      </c>
      <c r="AW475" t="b">
        <v>1</v>
      </c>
      <c r="AX475" s="2"/>
      <c r="AY475" t="s">
        <v>21</v>
      </c>
      <c r="AZ475">
        <v>1</v>
      </c>
      <c r="BA475">
        <v>1350</v>
      </c>
      <c r="BB475" t="s">
        <v>710</v>
      </c>
      <c r="BC475">
        <v>160</v>
      </c>
      <c r="BD475" s="2">
        <v>0.53</v>
      </c>
      <c r="BE475" t="s">
        <v>928</v>
      </c>
      <c r="BF475" t="s">
        <v>921</v>
      </c>
      <c r="BG475" t="s">
        <v>939</v>
      </c>
      <c r="BH475" s="7">
        <v>25</v>
      </c>
      <c r="BI47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475">
        <v>0</v>
      </c>
      <c r="BK475" t="s">
        <v>733</v>
      </c>
      <c r="BL475" s="11">
        <v>66</v>
      </c>
      <c r="BM475" s="11">
        <v>8</v>
      </c>
      <c r="BN475" s="11">
        <v>38</v>
      </c>
      <c r="BO475">
        <v>0</v>
      </c>
      <c r="BP475" t="s">
        <v>691</v>
      </c>
      <c r="BQ475" t="s">
        <v>693</v>
      </c>
      <c r="BR475" t="s">
        <v>700</v>
      </c>
      <c r="BS475" t="s">
        <v>704</v>
      </c>
      <c r="BT475" t="s">
        <v>705</v>
      </c>
      <c r="BU475" t="s">
        <v>706</v>
      </c>
      <c r="CT475"/>
      <c r="CU475"/>
      <c r="CV475"/>
    </row>
    <row r="476" spans="1:100" x14ac:dyDescent="0.4">
      <c r="A476" s="2" t="s">
        <v>502</v>
      </c>
      <c r="B476" t="str">
        <f>_xlfn.TEXTAFTER(Table1[[#This Row],[VEHIDCODE]],"_")</f>
        <v>Turkey_TCDD_MT_5500</v>
      </c>
      <c r="C476" t="s">
        <v>741</v>
      </c>
      <c r="D476" t="s">
        <v>962</v>
      </c>
      <c r="E476">
        <v>7024</v>
      </c>
      <c r="F476" t="b">
        <f>OR(ISNUMBER(SEARCH("wagon_",Table1[[#This Row],[FILENAMES_EXPECTED]])),ISNUMBER(SEARCH("coach_",Table1[[#This Row],[FILENAMES_EXPECTED]])))</f>
        <v>0</v>
      </c>
      <c r="G476" t="str">
        <f>"item_"&amp;Table1[[#This Row],[VEHIDCODE]]</f>
        <v>item_dmu_Turkey_TCDD_MT_5500</v>
      </c>
      <c r="H476" t="str">
        <f>"str_"&amp;Table1[[#This Row],[VEHIDCODE]]</f>
        <v>str_dmu_Turkey_TCDD_MT_5500</v>
      </c>
      <c r="Q476" s="2" t="b">
        <v>1</v>
      </c>
      <c r="AL476" s="2"/>
      <c r="AM476" s="2" t="b">
        <f>LEN(_xlfn.CONCAT(Table1[[#This Row],[TRACK_TYPE_STANDARD_GAUGE_RAILTYPE_OHLE]:[TRACK_TYPE_MTRO]]))&gt;0</f>
        <v>1</v>
      </c>
      <c r="AN476">
        <v>8</v>
      </c>
      <c r="AO476" t="s">
        <v>18</v>
      </c>
      <c r="AP476">
        <v>1</v>
      </c>
      <c r="AQ476" t="s">
        <v>35</v>
      </c>
      <c r="AR476">
        <v>76</v>
      </c>
      <c r="AS476">
        <v>1961</v>
      </c>
      <c r="AT476">
        <v>8</v>
      </c>
      <c r="AU476" s="2" t="s">
        <v>24</v>
      </c>
      <c r="AV476" t="b">
        <v>1</v>
      </c>
      <c r="AW476" t="b">
        <v>1</v>
      </c>
      <c r="AX476" s="2"/>
      <c r="AY476">
        <v>45</v>
      </c>
      <c r="AZ476">
        <v>1</v>
      </c>
      <c r="BA476">
        <v>390</v>
      </c>
      <c r="BB476" t="s">
        <v>710</v>
      </c>
      <c r="BC476">
        <v>90</v>
      </c>
      <c r="BD476" s="2">
        <v>0.23</v>
      </c>
      <c r="BE476" t="s">
        <v>930</v>
      </c>
      <c r="BF476" t="s">
        <v>921</v>
      </c>
      <c r="BG476" t="s">
        <v>939</v>
      </c>
      <c r="BH476" s="7">
        <v>20</v>
      </c>
      <c r="BI47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476">
        <v>0</v>
      </c>
      <c r="BK476" t="s">
        <v>733</v>
      </c>
      <c r="BL476" s="11">
        <v>76</v>
      </c>
      <c r="BM476" s="11">
        <v>8</v>
      </c>
      <c r="BN476" s="11">
        <v>35</v>
      </c>
      <c r="BO476">
        <v>0</v>
      </c>
      <c r="BP476" t="s">
        <v>691</v>
      </c>
      <c r="BQ476" t="s">
        <v>693</v>
      </c>
      <c r="BR476" t="s">
        <v>700</v>
      </c>
      <c r="BS476" t="s">
        <v>704</v>
      </c>
      <c r="BT476" t="s">
        <v>705</v>
      </c>
      <c r="BU476" t="s">
        <v>706</v>
      </c>
      <c r="CT476"/>
      <c r="CU476"/>
      <c r="CV476"/>
    </row>
    <row r="477" spans="1:100" x14ac:dyDescent="0.4">
      <c r="A477" s="2" t="s">
        <v>503</v>
      </c>
      <c r="B477" t="str">
        <f>_xlfn.TEXTAFTER(Table1[[#This Row],[VEHIDCODE]],"_")</f>
        <v>Japan_JNR_KiHa_181</v>
      </c>
      <c r="C477" t="s">
        <v>741</v>
      </c>
      <c r="D477" t="s">
        <v>962</v>
      </c>
      <c r="E477">
        <v>7025</v>
      </c>
      <c r="F477" t="b">
        <f>OR(ISNUMBER(SEARCH("wagon_",Table1[[#This Row],[FILENAMES_EXPECTED]])),ISNUMBER(SEARCH("coach_",Table1[[#This Row],[FILENAMES_EXPECTED]])))</f>
        <v>0</v>
      </c>
      <c r="G477" t="str">
        <f>"item_"&amp;Table1[[#This Row],[VEHIDCODE]]</f>
        <v>item_dmu_Japan_JNR_KiHa_181</v>
      </c>
      <c r="H477" t="str">
        <f>"str_"&amp;Table1[[#This Row],[VEHIDCODE]]</f>
        <v>str_dmu_Japan_JNR_KiHa_181</v>
      </c>
      <c r="Z477" s="2" t="b">
        <v>1</v>
      </c>
      <c r="AL477" s="2"/>
      <c r="AM477" s="2" t="b">
        <f>LEN(_xlfn.CONCAT(Table1[[#This Row],[TRACK_TYPE_STANDARD_GAUGE_RAILTYPE_OHLE]:[TRACK_TYPE_MTRO]]))&gt;0</f>
        <v>1</v>
      </c>
      <c r="AN477">
        <v>8</v>
      </c>
      <c r="AO477" t="s">
        <v>18</v>
      </c>
      <c r="AP477">
        <v>1</v>
      </c>
      <c r="AQ477" t="s">
        <v>35</v>
      </c>
      <c r="AR477">
        <v>52</v>
      </c>
      <c r="AS477">
        <v>1968</v>
      </c>
      <c r="AT477">
        <v>8</v>
      </c>
      <c r="AU477" s="2" t="s">
        <v>24</v>
      </c>
      <c r="AV477" t="b">
        <v>1</v>
      </c>
      <c r="AW477" t="b">
        <v>1</v>
      </c>
      <c r="AX477" s="2"/>
      <c r="AY477">
        <v>45</v>
      </c>
      <c r="AZ477">
        <v>1</v>
      </c>
      <c r="BA477">
        <v>500</v>
      </c>
      <c r="BB477" t="s">
        <v>710</v>
      </c>
      <c r="BC477">
        <v>120</v>
      </c>
      <c r="BD477" s="2">
        <v>0.34</v>
      </c>
      <c r="BE477" t="s">
        <v>930</v>
      </c>
      <c r="BF477" t="s">
        <v>921</v>
      </c>
      <c r="BG477" t="s">
        <v>939</v>
      </c>
      <c r="BH477" s="7">
        <v>20</v>
      </c>
      <c r="BI47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477">
        <v>0</v>
      </c>
      <c r="BK477" t="s">
        <v>733</v>
      </c>
      <c r="BL477" s="11">
        <v>52</v>
      </c>
      <c r="BM477" s="11">
        <v>8</v>
      </c>
      <c r="BN477" s="11">
        <v>44</v>
      </c>
      <c r="BO477">
        <v>0</v>
      </c>
      <c r="BP477" t="s">
        <v>691</v>
      </c>
      <c r="BQ477" t="s">
        <v>693</v>
      </c>
      <c r="BR477" t="s">
        <v>700</v>
      </c>
      <c r="BS477" t="s">
        <v>704</v>
      </c>
      <c r="BT477" t="s">
        <v>705</v>
      </c>
      <c r="BU477" t="s">
        <v>706</v>
      </c>
      <c r="CT477"/>
      <c r="CU477"/>
      <c r="CV477"/>
    </row>
    <row r="478" spans="1:100" x14ac:dyDescent="0.4">
      <c r="A478" s="2" t="s">
        <v>504</v>
      </c>
      <c r="B478" t="str">
        <f>_xlfn.TEXTAFTER(Table1[[#This Row],[VEHIDCODE]],"_")</f>
        <v>Czech_Republic_CD_814</v>
      </c>
      <c r="C478" t="s">
        <v>741</v>
      </c>
      <c r="D478" t="s">
        <v>962</v>
      </c>
      <c r="E478">
        <v>7026</v>
      </c>
      <c r="F478" t="b">
        <f>OR(ISNUMBER(SEARCH("wagon_",Table1[[#This Row],[FILENAMES_EXPECTED]])),ISNUMBER(SEARCH("coach_",Table1[[#This Row],[FILENAMES_EXPECTED]])))</f>
        <v>0</v>
      </c>
      <c r="G478" t="str">
        <f>"item_"&amp;Table1[[#This Row],[VEHIDCODE]]</f>
        <v>item_dmu_Czech_Republic_CD_814</v>
      </c>
      <c r="H478" t="str">
        <f>"str_"&amp;Table1[[#This Row],[VEHIDCODE]]</f>
        <v>str_dmu_Czech_Republic_CD_814</v>
      </c>
      <c r="Q478" s="2" t="b">
        <v>1</v>
      </c>
      <c r="AL478" s="2"/>
      <c r="AM478" s="2" t="b">
        <f>LEN(_xlfn.CONCAT(Table1[[#This Row],[TRACK_TYPE_STANDARD_GAUGE_RAILTYPE_OHLE]:[TRACK_TYPE_MTRO]]))&gt;0</f>
        <v>1</v>
      </c>
      <c r="AN478">
        <v>6</v>
      </c>
      <c r="AO478" t="s">
        <v>18</v>
      </c>
      <c r="AP478">
        <v>1</v>
      </c>
      <c r="AQ478" t="s">
        <v>35</v>
      </c>
      <c r="AR478">
        <v>42</v>
      </c>
      <c r="AS478">
        <v>1973</v>
      </c>
      <c r="AT478">
        <v>6</v>
      </c>
      <c r="AU478" s="2" t="s">
        <v>24</v>
      </c>
      <c r="AV478" t="b">
        <v>1</v>
      </c>
      <c r="AW478" t="b">
        <v>1</v>
      </c>
      <c r="AX478" s="2"/>
      <c r="AY478">
        <v>45</v>
      </c>
      <c r="AZ478">
        <v>1</v>
      </c>
      <c r="BA478">
        <v>325</v>
      </c>
      <c r="BB478" t="s">
        <v>710</v>
      </c>
      <c r="BC478">
        <v>80</v>
      </c>
      <c r="BD478" s="2">
        <v>0.25</v>
      </c>
      <c r="BE478" t="s">
        <v>928</v>
      </c>
      <c r="BF478" t="s">
        <v>921</v>
      </c>
      <c r="BG478" t="s">
        <v>939</v>
      </c>
      <c r="BH478" s="7">
        <v>20</v>
      </c>
      <c r="BI47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478">
        <v>0</v>
      </c>
      <c r="BK478" t="s">
        <v>733</v>
      </c>
      <c r="BL478" s="11">
        <v>42</v>
      </c>
      <c r="BM478" s="11">
        <v>6</v>
      </c>
      <c r="BN478" s="11">
        <v>22</v>
      </c>
      <c r="BO478">
        <v>0</v>
      </c>
      <c r="BP478" t="s">
        <v>691</v>
      </c>
      <c r="BQ478" t="s">
        <v>693</v>
      </c>
      <c r="BR478" t="s">
        <v>700</v>
      </c>
      <c r="BS478" t="s">
        <v>704</v>
      </c>
      <c r="BT478" t="s">
        <v>705</v>
      </c>
      <c r="BU478" t="s">
        <v>706</v>
      </c>
      <c r="CT478"/>
      <c r="CU478"/>
      <c r="CV478"/>
    </row>
    <row r="479" spans="1:100" x14ac:dyDescent="0.4">
      <c r="A479" s="2" t="s">
        <v>505</v>
      </c>
      <c r="B479" t="str">
        <f>_xlfn.TEXTAFTER(Table1[[#This Row],[VEHIDCODE]],"_")</f>
        <v>UK_BR_150_0_Sprinter</v>
      </c>
      <c r="C479" t="s">
        <v>741</v>
      </c>
      <c r="D479" t="s">
        <v>962</v>
      </c>
      <c r="E479">
        <v>7027</v>
      </c>
      <c r="F479" t="b">
        <f>OR(ISNUMBER(SEARCH("wagon_",Table1[[#This Row],[FILENAMES_EXPECTED]])),ISNUMBER(SEARCH("coach_",Table1[[#This Row],[FILENAMES_EXPECTED]])))</f>
        <v>0</v>
      </c>
      <c r="G479" t="str">
        <f>"item_"&amp;Table1[[#This Row],[VEHIDCODE]]</f>
        <v>item_dmu_UK_BR_150_0_Sprinter</v>
      </c>
      <c r="H479" t="str">
        <f>"str_"&amp;Table1[[#This Row],[VEHIDCODE]]</f>
        <v>str_dmu_UK_BR_150_0_Sprinter</v>
      </c>
      <c r="Q479" s="2" t="b">
        <v>1</v>
      </c>
      <c r="AL479" s="2"/>
      <c r="AM479" s="2" t="b">
        <f>LEN(_xlfn.CONCAT(Table1[[#This Row],[TRACK_TYPE_STANDARD_GAUGE_RAILTYPE_OHLE]:[TRACK_TYPE_MTRO]]))&gt;0</f>
        <v>1</v>
      </c>
      <c r="AN479">
        <v>7</v>
      </c>
      <c r="AO479" t="s">
        <v>18</v>
      </c>
      <c r="AP479">
        <v>1</v>
      </c>
      <c r="AQ479" t="s">
        <v>35</v>
      </c>
      <c r="AR479">
        <v>80</v>
      </c>
      <c r="AS479">
        <v>1984</v>
      </c>
      <c r="AT479">
        <v>7</v>
      </c>
      <c r="AU479" s="2" t="s">
        <v>24</v>
      </c>
      <c r="AV479" t="b">
        <v>1</v>
      </c>
      <c r="AW479" t="b">
        <v>1</v>
      </c>
      <c r="AX479" s="2"/>
      <c r="AY479">
        <v>45</v>
      </c>
      <c r="AZ479">
        <v>1</v>
      </c>
      <c r="BA479">
        <v>389</v>
      </c>
      <c r="BB479" t="s">
        <v>710</v>
      </c>
      <c r="BC479">
        <v>121</v>
      </c>
      <c r="BD479" s="2">
        <v>0.26</v>
      </c>
      <c r="BE479" t="s">
        <v>926</v>
      </c>
      <c r="BF479" t="s">
        <v>921</v>
      </c>
      <c r="BG479" t="s">
        <v>939</v>
      </c>
      <c r="BH479" s="7">
        <v>20</v>
      </c>
      <c r="BI47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479">
        <v>0</v>
      </c>
      <c r="BK479" t="s">
        <v>733</v>
      </c>
      <c r="BL479" s="11">
        <v>80</v>
      </c>
      <c r="BM479" s="11">
        <v>7</v>
      </c>
      <c r="BN479" s="11">
        <v>36</v>
      </c>
      <c r="BO479">
        <v>0</v>
      </c>
      <c r="BP479" t="s">
        <v>691</v>
      </c>
      <c r="BQ479" t="s">
        <v>693</v>
      </c>
      <c r="BR479" t="s">
        <v>700</v>
      </c>
      <c r="BS479" t="s">
        <v>704</v>
      </c>
      <c r="BT479" t="s">
        <v>705</v>
      </c>
      <c r="BU479" t="s">
        <v>706</v>
      </c>
      <c r="CT479"/>
      <c r="CU479"/>
      <c r="CV479"/>
    </row>
    <row r="480" spans="1:100" x14ac:dyDescent="0.4">
      <c r="A480" s="2" t="s">
        <v>506</v>
      </c>
      <c r="B480" t="str">
        <f>_xlfn.TEXTAFTER(Table1[[#This Row],[VEHIDCODE]],"_")</f>
        <v>Iran_RAI_141_Pacer</v>
      </c>
      <c r="C480" t="s">
        <v>741</v>
      </c>
      <c r="D480" t="s">
        <v>962</v>
      </c>
      <c r="E480">
        <v>7028</v>
      </c>
      <c r="F480" t="b">
        <f>OR(ISNUMBER(SEARCH("wagon_",Table1[[#This Row],[FILENAMES_EXPECTED]])),ISNUMBER(SEARCH("coach_",Table1[[#This Row],[FILENAMES_EXPECTED]])))</f>
        <v>0</v>
      </c>
      <c r="G480" t="str">
        <f>"item_"&amp;Table1[[#This Row],[VEHIDCODE]]</f>
        <v>item_dmu_Iran_RAI_141_Pacer</v>
      </c>
      <c r="H480" t="str">
        <f>"str_"&amp;Table1[[#This Row],[VEHIDCODE]]</f>
        <v>str_dmu_Iran_RAI_141_Pacer</v>
      </c>
      <c r="Q480" s="2" t="b">
        <v>1</v>
      </c>
      <c r="AL480" s="2"/>
      <c r="AM480" s="2" t="b">
        <f>LEN(_xlfn.CONCAT(Table1[[#This Row],[TRACK_TYPE_STANDARD_GAUGE_RAILTYPE_OHLE]:[TRACK_TYPE_MTRO]]))&gt;0</f>
        <v>1</v>
      </c>
      <c r="AN480">
        <v>6</v>
      </c>
      <c r="AO480" t="s">
        <v>18</v>
      </c>
      <c r="AP480">
        <v>1</v>
      </c>
      <c r="AQ480" t="s">
        <v>35</v>
      </c>
      <c r="AR480">
        <v>47</v>
      </c>
      <c r="AS480">
        <v>1984</v>
      </c>
      <c r="AT480">
        <v>6</v>
      </c>
      <c r="AU480" s="2" t="s">
        <v>24</v>
      </c>
      <c r="AV480" t="b">
        <v>1</v>
      </c>
      <c r="AW480" t="b">
        <v>1</v>
      </c>
      <c r="AX480" s="2"/>
      <c r="AY480">
        <v>45</v>
      </c>
      <c r="AZ480">
        <v>1</v>
      </c>
      <c r="BA480">
        <v>204</v>
      </c>
      <c r="BB480" t="s">
        <v>710</v>
      </c>
      <c r="BC480">
        <v>121</v>
      </c>
      <c r="BD480" s="2">
        <v>0.21</v>
      </c>
      <c r="BE480" t="s">
        <v>930</v>
      </c>
      <c r="BF480" t="s">
        <v>921</v>
      </c>
      <c r="BG480" t="s">
        <v>939</v>
      </c>
      <c r="BH480" s="7">
        <v>20</v>
      </c>
      <c r="BI48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480">
        <v>0</v>
      </c>
      <c r="BK480" t="s">
        <v>733</v>
      </c>
      <c r="BL480" s="11">
        <v>47</v>
      </c>
      <c r="BM480" s="11">
        <v>6</v>
      </c>
      <c r="BN480" s="11">
        <v>42</v>
      </c>
      <c r="BO480">
        <v>0</v>
      </c>
      <c r="BP480" t="s">
        <v>691</v>
      </c>
      <c r="BQ480" t="s">
        <v>693</v>
      </c>
      <c r="BR480" t="s">
        <v>700</v>
      </c>
      <c r="BS480" t="s">
        <v>704</v>
      </c>
      <c r="BT480" t="s">
        <v>705</v>
      </c>
      <c r="BU480" t="s">
        <v>706</v>
      </c>
      <c r="CT480"/>
      <c r="CU480"/>
      <c r="CV480"/>
    </row>
    <row r="481" spans="1:100" x14ac:dyDescent="0.4">
      <c r="A481" s="2" t="s">
        <v>507</v>
      </c>
      <c r="B481" t="str">
        <f>_xlfn.TEXTAFTER(Table1[[#This Row],[VEHIDCODE]],"_")</f>
        <v>Israel_Israel_Railways_IC3</v>
      </c>
      <c r="C481" t="s">
        <v>741</v>
      </c>
      <c r="D481" t="s">
        <v>962</v>
      </c>
      <c r="E481">
        <v>7029</v>
      </c>
      <c r="F481" t="b">
        <f>OR(ISNUMBER(SEARCH("wagon_",Table1[[#This Row],[FILENAMES_EXPECTED]])),ISNUMBER(SEARCH("coach_",Table1[[#This Row],[FILENAMES_EXPECTED]])))</f>
        <v>0</v>
      </c>
      <c r="G481" t="str">
        <f>"item_"&amp;Table1[[#This Row],[VEHIDCODE]]</f>
        <v>item_dmu_Israel_Israel_Railways_IC3</v>
      </c>
      <c r="H481" t="str">
        <f>"str_"&amp;Table1[[#This Row],[VEHIDCODE]]</f>
        <v>str_dmu_Israel_Israel_Railways_IC3</v>
      </c>
      <c r="Q481" s="2" t="b">
        <v>1</v>
      </c>
      <c r="AL481" s="2"/>
      <c r="AM481" s="2" t="b">
        <f>LEN(_xlfn.CONCAT(Table1[[#This Row],[TRACK_TYPE_STANDARD_GAUGE_RAILTYPE_OHLE]:[TRACK_TYPE_MTRO]]))&gt;0</f>
        <v>1</v>
      </c>
      <c r="AN481">
        <v>8</v>
      </c>
      <c r="AO481" t="s">
        <v>18</v>
      </c>
      <c r="AP481">
        <v>1</v>
      </c>
      <c r="AQ481" t="s">
        <v>35</v>
      </c>
      <c r="AR481">
        <v>46</v>
      </c>
      <c r="AS481">
        <v>1986</v>
      </c>
      <c r="AT481">
        <v>8</v>
      </c>
      <c r="AU481" s="2" t="s">
        <v>24</v>
      </c>
      <c r="AV481" t="b">
        <v>1</v>
      </c>
      <c r="AW481" t="b">
        <v>1</v>
      </c>
      <c r="AX481" s="2"/>
      <c r="AY481">
        <v>45</v>
      </c>
      <c r="AZ481">
        <v>1</v>
      </c>
      <c r="BA481">
        <v>540</v>
      </c>
      <c r="BB481" t="s">
        <v>710</v>
      </c>
      <c r="BC481">
        <v>180</v>
      </c>
      <c r="BD481" s="2">
        <v>0.31</v>
      </c>
      <c r="BE481" t="s">
        <v>930</v>
      </c>
      <c r="BF481" t="s">
        <v>921</v>
      </c>
      <c r="BG481" t="s">
        <v>939</v>
      </c>
      <c r="BH481" s="7">
        <v>20</v>
      </c>
      <c r="BI48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481">
        <v>0</v>
      </c>
      <c r="BK481" t="s">
        <v>733</v>
      </c>
      <c r="BL481" s="11">
        <v>46</v>
      </c>
      <c r="BM481" s="11">
        <v>8</v>
      </c>
      <c r="BN481" s="11">
        <v>34</v>
      </c>
      <c r="BO481">
        <v>0</v>
      </c>
      <c r="BP481" t="s">
        <v>691</v>
      </c>
      <c r="BQ481" t="s">
        <v>693</v>
      </c>
      <c r="BR481" t="s">
        <v>700</v>
      </c>
      <c r="BS481" t="s">
        <v>704</v>
      </c>
      <c r="BT481" t="s">
        <v>705</v>
      </c>
      <c r="BU481" t="s">
        <v>706</v>
      </c>
      <c r="CT481"/>
      <c r="CU481"/>
      <c r="CV481"/>
    </row>
    <row r="482" spans="1:100" x14ac:dyDescent="0.4">
      <c r="A482" s="2" t="s">
        <v>508</v>
      </c>
      <c r="B482" t="str">
        <f>_xlfn.TEXTAFTER(Table1[[#This Row],[VEHIDCODE]],"_")</f>
        <v>Australia_TransAdelaide_3100</v>
      </c>
      <c r="C482" t="s">
        <v>741</v>
      </c>
      <c r="D482" t="s">
        <v>962</v>
      </c>
      <c r="E482">
        <v>7030</v>
      </c>
      <c r="F482" t="b">
        <f>OR(ISNUMBER(SEARCH("wagon_",Table1[[#This Row],[FILENAMES_EXPECTED]])),ISNUMBER(SEARCH("coach_",Table1[[#This Row],[FILENAMES_EXPECTED]])))</f>
        <v>0</v>
      </c>
      <c r="G482" t="str">
        <f>"item_"&amp;Table1[[#This Row],[VEHIDCODE]]</f>
        <v>item_dmu_Australia_TransAdelaide_3100</v>
      </c>
      <c r="H482" t="str">
        <f>"str_"&amp;Table1[[#This Row],[VEHIDCODE]]</f>
        <v>str_dmu_Australia_TransAdelaide_3100</v>
      </c>
      <c r="Q482" s="2" t="b">
        <v>1</v>
      </c>
      <c r="AL482" s="2"/>
      <c r="AM482" s="2" t="b">
        <f>LEN(_xlfn.CONCAT(Table1[[#This Row],[TRACK_TYPE_STANDARD_GAUGE_RAILTYPE_OHLE]:[TRACK_TYPE_MTRO]]))&gt;0</f>
        <v>1</v>
      </c>
      <c r="AN482">
        <v>7</v>
      </c>
      <c r="AO482" t="s">
        <v>18</v>
      </c>
      <c r="AP482">
        <v>1</v>
      </c>
      <c r="AQ482" t="s">
        <v>35</v>
      </c>
      <c r="AR482">
        <v>53</v>
      </c>
      <c r="AS482">
        <v>1987</v>
      </c>
      <c r="AT482">
        <v>7</v>
      </c>
      <c r="AU482" s="2" t="s">
        <v>24</v>
      </c>
      <c r="AV482" t="b">
        <v>1</v>
      </c>
      <c r="AW482" t="b">
        <v>1</v>
      </c>
      <c r="AX482" s="2"/>
      <c r="AY482">
        <v>45</v>
      </c>
      <c r="AZ482">
        <v>1</v>
      </c>
      <c r="BA482">
        <v>475</v>
      </c>
      <c r="BB482" t="s">
        <v>710</v>
      </c>
      <c r="BC482">
        <v>90</v>
      </c>
      <c r="BD482" s="2">
        <v>0.22</v>
      </c>
      <c r="BE482" t="s">
        <v>924</v>
      </c>
      <c r="BF482" t="s">
        <v>921</v>
      </c>
      <c r="BG482" t="s">
        <v>939</v>
      </c>
      <c r="BH482" s="7">
        <v>20</v>
      </c>
      <c r="BI48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482">
        <v>0</v>
      </c>
      <c r="BK482" t="s">
        <v>733</v>
      </c>
      <c r="BL482" s="11">
        <v>53</v>
      </c>
      <c r="BM482" s="11">
        <v>7</v>
      </c>
      <c r="BN482" s="11">
        <v>48</v>
      </c>
      <c r="BO482">
        <v>0</v>
      </c>
      <c r="BP482" t="s">
        <v>691</v>
      </c>
      <c r="BQ482" t="s">
        <v>693</v>
      </c>
      <c r="BR482" t="s">
        <v>700</v>
      </c>
      <c r="BS482" t="s">
        <v>704</v>
      </c>
      <c r="BT482" t="s">
        <v>705</v>
      </c>
      <c r="BU482" t="s">
        <v>706</v>
      </c>
      <c r="CT482"/>
      <c r="CU482"/>
      <c r="CV482"/>
    </row>
    <row r="483" spans="1:100" x14ac:dyDescent="0.4">
      <c r="A483" s="2" t="s">
        <v>509</v>
      </c>
      <c r="B483" t="str">
        <f>_xlfn.TEXTAFTER(Table1[[#This Row],[VEHIDCODE]],"_")</f>
        <v>Australia_NSWGR_Xplorer</v>
      </c>
      <c r="C483" t="s">
        <v>741</v>
      </c>
      <c r="D483" t="s">
        <v>962</v>
      </c>
      <c r="E483">
        <v>7031</v>
      </c>
      <c r="F483" t="b">
        <f>OR(ISNUMBER(SEARCH("wagon_",Table1[[#This Row],[FILENAMES_EXPECTED]])),ISNUMBER(SEARCH("coach_",Table1[[#This Row],[FILENAMES_EXPECTED]])))</f>
        <v>0</v>
      </c>
      <c r="G483" t="str">
        <f>"item_"&amp;Table1[[#This Row],[VEHIDCODE]]</f>
        <v>item_dmu_Australia_NSWGR_Xplorer</v>
      </c>
      <c r="H483" t="str">
        <f>"str_"&amp;Table1[[#This Row],[VEHIDCODE]]</f>
        <v>str_dmu_Australia_NSWGR_Xplorer</v>
      </c>
      <c r="Q483" s="2" t="b">
        <v>1</v>
      </c>
      <c r="AL483" s="2"/>
      <c r="AM483" s="2" t="b">
        <f>LEN(_xlfn.CONCAT(Table1[[#This Row],[TRACK_TYPE_STANDARD_GAUGE_RAILTYPE_OHLE]:[TRACK_TYPE_MTRO]]))&gt;0</f>
        <v>1</v>
      </c>
      <c r="AN483">
        <v>8</v>
      </c>
      <c r="AO483" t="s">
        <v>18</v>
      </c>
      <c r="AP483">
        <v>1</v>
      </c>
      <c r="AQ483" t="s">
        <v>35</v>
      </c>
      <c r="AR483">
        <v>66</v>
      </c>
      <c r="AS483">
        <v>1993</v>
      </c>
      <c r="AT483">
        <v>8</v>
      </c>
      <c r="AU483" s="2" t="s">
        <v>24</v>
      </c>
      <c r="AV483" t="b">
        <v>1</v>
      </c>
      <c r="AW483" t="b">
        <v>1</v>
      </c>
      <c r="AX483" s="2"/>
      <c r="AY483">
        <v>45</v>
      </c>
      <c r="AZ483">
        <v>1</v>
      </c>
      <c r="BA483">
        <v>514</v>
      </c>
      <c r="BB483" t="s">
        <v>710</v>
      </c>
      <c r="BC483">
        <v>160</v>
      </c>
      <c r="BD483" s="2">
        <v>0.13</v>
      </c>
      <c r="BE483" t="s">
        <v>924</v>
      </c>
      <c r="BF483" t="s">
        <v>921</v>
      </c>
      <c r="BG483" t="s">
        <v>939</v>
      </c>
      <c r="BH483" s="7">
        <v>20</v>
      </c>
      <c r="BI48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483">
        <v>0</v>
      </c>
      <c r="BK483" t="s">
        <v>733</v>
      </c>
      <c r="BL483" s="11">
        <v>66</v>
      </c>
      <c r="BM483" s="11">
        <v>8</v>
      </c>
      <c r="BN483" s="11">
        <v>57</v>
      </c>
      <c r="BO483">
        <v>0</v>
      </c>
      <c r="BP483" t="s">
        <v>691</v>
      </c>
      <c r="BQ483" t="s">
        <v>693</v>
      </c>
      <c r="BR483" t="s">
        <v>700</v>
      </c>
      <c r="BS483" t="s">
        <v>704</v>
      </c>
      <c r="BT483" t="s">
        <v>705</v>
      </c>
      <c r="BU483" t="s">
        <v>706</v>
      </c>
      <c r="CT483"/>
      <c r="CU483"/>
      <c r="CV483"/>
    </row>
    <row r="484" spans="1:100" x14ac:dyDescent="0.4">
      <c r="A484" s="2" t="s">
        <v>510</v>
      </c>
      <c r="B484" t="str">
        <f>_xlfn.TEXTAFTER(Table1[[#This Row],[VEHIDCODE]],"_")</f>
        <v>Japan_JR_KiHa_189</v>
      </c>
      <c r="C484" t="s">
        <v>741</v>
      </c>
      <c r="D484" t="s">
        <v>962</v>
      </c>
      <c r="E484">
        <v>7032</v>
      </c>
      <c r="F484" t="b">
        <f>OR(ISNUMBER(SEARCH("wagon_",Table1[[#This Row],[FILENAMES_EXPECTED]])),ISNUMBER(SEARCH("coach_",Table1[[#This Row],[FILENAMES_EXPECTED]])))</f>
        <v>0</v>
      </c>
      <c r="G484" t="str">
        <f>"item_"&amp;Table1[[#This Row],[VEHIDCODE]]</f>
        <v>item_dmu_Japan_JR_KiHa_189</v>
      </c>
      <c r="H484" t="str">
        <f>"str_"&amp;Table1[[#This Row],[VEHIDCODE]]</f>
        <v>str_dmu_Japan_JR_KiHa_189</v>
      </c>
      <c r="Z484" s="2" t="b">
        <v>1</v>
      </c>
      <c r="AL484" s="2"/>
      <c r="AM484" s="2" t="b">
        <f>LEN(_xlfn.CONCAT(Table1[[#This Row],[TRACK_TYPE_STANDARD_GAUGE_RAILTYPE_OHLE]:[TRACK_TYPE_MTRO]]))&gt;0</f>
        <v>1</v>
      </c>
      <c r="AN484">
        <v>7</v>
      </c>
      <c r="AO484" t="s">
        <v>18</v>
      </c>
      <c r="AP484">
        <v>1</v>
      </c>
      <c r="AQ484" t="s">
        <v>35</v>
      </c>
      <c r="AR484">
        <v>56</v>
      </c>
      <c r="AS484">
        <v>2010</v>
      </c>
      <c r="AT484">
        <v>7</v>
      </c>
      <c r="AU484" s="2" t="s">
        <v>24</v>
      </c>
      <c r="AV484" t="b">
        <v>1</v>
      </c>
      <c r="AW484" t="b">
        <v>1</v>
      </c>
      <c r="AX484" s="2"/>
      <c r="AY484" t="s">
        <v>21</v>
      </c>
      <c r="AZ484">
        <v>1</v>
      </c>
      <c r="BA484">
        <v>900</v>
      </c>
      <c r="BB484" t="s">
        <v>710</v>
      </c>
      <c r="BC484">
        <v>130</v>
      </c>
      <c r="BD484" s="2">
        <v>0.21</v>
      </c>
      <c r="BE484" t="s">
        <v>930</v>
      </c>
      <c r="BF484" t="s">
        <v>921</v>
      </c>
      <c r="BG484" t="s">
        <v>939</v>
      </c>
      <c r="BH484" s="7">
        <v>20</v>
      </c>
      <c r="BI48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484">
        <v>0</v>
      </c>
      <c r="BK484" t="s">
        <v>733</v>
      </c>
      <c r="BL484" s="11">
        <v>56</v>
      </c>
      <c r="BM484" s="11">
        <v>7</v>
      </c>
      <c r="BN484" s="11">
        <v>49</v>
      </c>
      <c r="BO484">
        <v>0</v>
      </c>
      <c r="BP484" t="s">
        <v>691</v>
      </c>
      <c r="BQ484" t="s">
        <v>693</v>
      </c>
      <c r="BR484" t="s">
        <v>700</v>
      </c>
      <c r="BS484" t="s">
        <v>704</v>
      </c>
      <c r="BT484" t="s">
        <v>705</v>
      </c>
      <c r="BU484" t="s">
        <v>706</v>
      </c>
      <c r="CT484"/>
      <c r="CU484"/>
      <c r="CV484"/>
    </row>
    <row r="485" spans="1:100" x14ac:dyDescent="0.4">
      <c r="A485" s="2" t="s">
        <v>511</v>
      </c>
      <c r="B485" t="str">
        <f>_xlfn.TEXTAFTER(Table1[[#This Row],[VEHIDCODE]],"_")</f>
        <v>Sri_Lanka_Sri_Lanka_Railways_S11</v>
      </c>
      <c r="C485" t="s">
        <v>741</v>
      </c>
      <c r="D485" t="s">
        <v>962</v>
      </c>
      <c r="E485">
        <v>7033</v>
      </c>
      <c r="F485" t="b">
        <f>OR(ISNUMBER(SEARCH("wagon_",Table1[[#This Row],[FILENAMES_EXPECTED]])),ISNUMBER(SEARCH("coach_",Table1[[#This Row],[FILENAMES_EXPECTED]])))</f>
        <v>0</v>
      </c>
      <c r="G485" t="str">
        <f>"item_"&amp;Table1[[#This Row],[VEHIDCODE]]</f>
        <v>item_dmu_Sri_Lanka_Sri_Lanka_Railways_S11</v>
      </c>
      <c r="H485" t="str">
        <f>"str_"&amp;Table1[[#This Row],[VEHIDCODE]]</f>
        <v>str_dmu_Sri_Lanka_Sri_Lanka_Railways_S11</v>
      </c>
      <c r="Q485" s="2" t="b">
        <v>1</v>
      </c>
      <c r="AL485" s="2"/>
      <c r="AM485" s="2" t="b">
        <f>LEN(_xlfn.CONCAT(Table1[[#This Row],[TRACK_TYPE_STANDARD_GAUGE_RAILTYPE_OHLE]:[TRACK_TYPE_MTRO]]))&gt;0</f>
        <v>1</v>
      </c>
      <c r="AN485">
        <v>8</v>
      </c>
      <c r="AO485" t="s">
        <v>18</v>
      </c>
      <c r="AP485">
        <v>1</v>
      </c>
      <c r="AQ485" t="s">
        <v>35</v>
      </c>
      <c r="AR485">
        <v>72</v>
      </c>
      <c r="AS485">
        <v>2011</v>
      </c>
      <c r="AT485">
        <v>8</v>
      </c>
      <c r="AU485" s="2" t="s">
        <v>24</v>
      </c>
      <c r="AV485" t="b">
        <v>1</v>
      </c>
      <c r="AW485" t="b">
        <v>1</v>
      </c>
      <c r="AX485" s="2"/>
      <c r="AY485" t="s">
        <v>21</v>
      </c>
      <c r="AZ485">
        <v>1</v>
      </c>
      <c r="BA485">
        <v>680</v>
      </c>
      <c r="BB485" t="s">
        <v>710</v>
      </c>
      <c r="BC485">
        <v>110</v>
      </c>
      <c r="BD485" s="2">
        <v>0.57999999999999996</v>
      </c>
      <c r="BE485" t="s">
        <v>930</v>
      </c>
      <c r="BF485" t="s">
        <v>921</v>
      </c>
      <c r="BG485" t="s">
        <v>939</v>
      </c>
      <c r="BH485" s="7">
        <v>20</v>
      </c>
      <c r="BI48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485">
        <v>0</v>
      </c>
      <c r="BK485" t="s">
        <v>733</v>
      </c>
      <c r="BL485" s="11">
        <v>72</v>
      </c>
      <c r="BM485" s="11">
        <v>8</v>
      </c>
      <c r="BN485" s="11">
        <v>20</v>
      </c>
      <c r="BO485">
        <v>0</v>
      </c>
      <c r="BP485" t="s">
        <v>691</v>
      </c>
      <c r="BQ485" t="s">
        <v>693</v>
      </c>
      <c r="BR485" t="s">
        <v>700</v>
      </c>
      <c r="BS485" t="s">
        <v>704</v>
      </c>
      <c r="BT485" t="s">
        <v>705</v>
      </c>
      <c r="BU485" t="s">
        <v>706</v>
      </c>
      <c r="CT485"/>
      <c r="CU485"/>
      <c r="CV485"/>
    </row>
    <row r="486" spans="1:100" x14ac:dyDescent="0.4">
      <c r="A486" s="2" t="s">
        <v>512</v>
      </c>
      <c r="B486" t="str">
        <f>_xlfn.TEXTAFTER(Table1[[#This Row],[VEHIDCODE]],"_")</f>
        <v>Slovakia_ZSSK_861</v>
      </c>
      <c r="C486" t="s">
        <v>741</v>
      </c>
      <c r="D486" t="s">
        <v>962</v>
      </c>
      <c r="E486">
        <v>7035</v>
      </c>
      <c r="F486" t="b">
        <f>OR(ISNUMBER(SEARCH("wagon_",Table1[[#This Row],[FILENAMES_EXPECTED]])),ISNUMBER(SEARCH("coach_",Table1[[#This Row],[FILENAMES_EXPECTED]])))</f>
        <v>0</v>
      </c>
      <c r="G486" t="str">
        <f>"item_"&amp;Table1[[#This Row],[VEHIDCODE]]</f>
        <v>item_dmu_Slovakia_ZSSK_861</v>
      </c>
      <c r="H486" t="str">
        <f>"str_"&amp;Table1[[#This Row],[VEHIDCODE]]</f>
        <v>str_dmu_Slovakia_ZSSK_861</v>
      </c>
      <c r="Q486" s="2" t="b">
        <v>1</v>
      </c>
      <c r="AL486" s="2"/>
      <c r="AM486" s="2" t="b">
        <f>LEN(_xlfn.CONCAT(Table1[[#This Row],[TRACK_TYPE_STANDARD_GAUGE_RAILTYPE_OHLE]:[TRACK_TYPE_MTRO]]))&gt;0</f>
        <v>1</v>
      </c>
      <c r="AN486">
        <v>8</v>
      </c>
      <c r="AO486" t="s">
        <v>18</v>
      </c>
      <c r="AP486">
        <v>1</v>
      </c>
      <c r="AQ486" t="s">
        <v>35</v>
      </c>
      <c r="AR486">
        <v>60</v>
      </c>
      <c r="AS486">
        <v>2011</v>
      </c>
      <c r="AT486">
        <v>8</v>
      </c>
      <c r="AU486" s="2" t="s">
        <v>24</v>
      </c>
      <c r="AV486" t="b">
        <v>1</v>
      </c>
      <c r="AW486" t="b">
        <v>1</v>
      </c>
      <c r="AX486" s="2"/>
      <c r="AY486" t="s">
        <v>21</v>
      </c>
      <c r="AZ486">
        <v>1</v>
      </c>
      <c r="BA486">
        <v>1580</v>
      </c>
      <c r="BB486" t="s">
        <v>710</v>
      </c>
      <c r="BC486">
        <v>140</v>
      </c>
      <c r="BD486" s="2">
        <v>0.34</v>
      </c>
      <c r="BE486" t="s">
        <v>928</v>
      </c>
      <c r="BF486" t="s">
        <v>921</v>
      </c>
      <c r="BG486" t="s">
        <v>939</v>
      </c>
      <c r="BH486" s="7">
        <v>20</v>
      </c>
      <c r="BI48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486">
        <v>0</v>
      </c>
      <c r="BK486" t="s">
        <v>733</v>
      </c>
      <c r="BL486" s="11">
        <v>60</v>
      </c>
      <c r="BM486" s="11">
        <v>7</v>
      </c>
      <c r="BN486" s="11">
        <v>45</v>
      </c>
      <c r="BO486">
        <v>0</v>
      </c>
      <c r="BP486" t="s">
        <v>691</v>
      </c>
      <c r="BQ486" t="s">
        <v>693</v>
      </c>
      <c r="BR486" t="s">
        <v>700</v>
      </c>
      <c r="BS486" t="s">
        <v>704</v>
      </c>
      <c r="BT486" t="s">
        <v>705</v>
      </c>
      <c r="BU486" t="s">
        <v>706</v>
      </c>
      <c r="CT486"/>
      <c r="CU486"/>
      <c r="CV486"/>
    </row>
    <row r="487" spans="1:100" x14ac:dyDescent="0.4">
      <c r="A487" s="2" t="s">
        <v>513</v>
      </c>
      <c r="B487" t="str">
        <f>_xlfn.TEXTAFTER(Table1[[#This Row],[VEHIDCODE]],"_")</f>
        <v>Chile_EFE_TLD_500</v>
      </c>
      <c r="C487" t="s">
        <v>741</v>
      </c>
      <c r="D487" t="s">
        <v>962</v>
      </c>
      <c r="E487">
        <v>7036</v>
      </c>
      <c r="F487" t="b">
        <f>OR(ISNUMBER(SEARCH("wagon_",Table1[[#This Row],[FILENAMES_EXPECTED]])),ISNUMBER(SEARCH("coach_",Table1[[#This Row],[FILENAMES_EXPECTED]])))</f>
        <v>0</v>
      </c>
      <c r="G487" t="str">
        <f>"item_"&amp;Table1[[#This Row],[VEHIDCODE]]</f>
        <v>item_dmu_Chile_EFE_TLD_500</v>
      </c>
      <c r="H487" t="str">
        <f>"str_"&amp;Table1[[#This Row],[VEHIDCODE]]</f>
        <v>str_dmu_Chile_EFE_TLD_500</v>
      </c>
      <c r="Z487" s="2" t="b">
        <v>1</v>
      </c>
      <c r="AL487" s="2"/>
      <c r="AM487" s="2" t="b">
        <f>LEN(_xlfn.CONCAT(Table1[[#This Row],[TRACK_TYPE_STANDARD_GAUGE_RAILTYPE_OHLE]:[TRACK_TYPE_MTRO]]))&gt;0</f>
        <v>1</v>
      </c>
      <c r="AN487">
        <v>8</v>
      </c>
      <c r="AO487" t="s">
        <v>18</v>
      </c>
      <c r="AP487">
        <v>1</v>
      </c>
      <c r="AQ487" t="s">
        <v>35</v>
      </c>
      <c r="AR487">
        <v>84</v>
      </c>
      <c r="AS487">
        <v>1982</v>
      </c>
      <c r="AT487">
        <v>8</v>
      </c>
      <c r="AU487" s="2" t="s">
        <v>24</v>
      </c>
      <c r="AV487" t="b">
        <v>1</v>
      </c>
      <c r="AW487" t="b">
        <v>1</v>
      </c>
      <c r="AX487" s="2"/>
      <c r="AY487">
        <v>45</v>
      </c>
      <c r="AZ487">
        <v>1</v>
      </c>
      <c r="BA487">
        <v>220</v>
      </c>
      <c r="BB487" t="s">
        <v>710</v>
      </c>
      <c r="BC487">
        <v>120</v>
      </c>
      <c r="BD487" s="2">
        <v>0.13</v>
      </c>
      <c r="BE487" t="s">
        <v>929</v>
      </c>
      <c r="BF487" t="s">
        <v>921</v>
      </c>
      <c r="BG487" t="s">
        <v>939</v>
      </c>
      <c r="BH487" s="7">
        <v>40</v>
      </c>
      <c r="BI48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487">
        <v>0</v>
      </c>
      <c r="BK487" t="s">
        <v>733</v>
      </c>
      <c r="BL487" s="11">
        <v>84</v>
      </c>
      <c r="BM487" s="11">
        <v>8</v>
      </c>
      <c r="BN487" s="11">
        <v>68</v>
      </c>
      <c r="BO487">
        <v>0</v>
      </c>
      <c r="BP487" t="s">
        <v>691</v>
      </c>
      <c r="BQ487" t="s">
        <v>693</v>
      </c>
      <c r="BR487" t="s">
        <v>700</v>
      </c>
      <c r="BS487" t="s">
        <v>704</v>
      </c>
      <c r="BT487" t="s">
        <v>705</v>
      </c>
      <c r="BU487" t="s">
        <v>706</v>
      </c>
      <c r="CT487"/>
      <c r="CU487"/>
      <c r="CV487"/>
    </row>
    <row r="488" spans="1:100" x14ac:dyDescent="0.4">
      <c r="A488" s="2" t="s">
        <v>514</v>
      </c>
      <c r="B488" t="str">
        <f>_xlfn.TEXTAFTER(Table1[[#This Row],[VEHIDCODE]],"_")</f>
        <v>Cameroon_Camrail_ZE_500</v>
      </c>
      <c r="C488" t="s">
        <v>741</v>
      </c>
      <c r="D488" t="s">
        <v>962</v>
      </c>
      <c r="E488">
        <v>7037</v>
      </c>
      <c r="F488" t="b">
        <f>OR(ISNUMBER(SEARCH("wagon_",Table1[[#This Row],[FILENAMES_EXPECTED]])),ISNUMBER(SEARCH("coach_",Table1[[#This Row],[FILENAMES_EXPECTED]])))</f>
        <v>0</v>
      </c>
      <c r="G488" t="str">
        <f>"item_"&amp;Table1[[#This Row],[VEHIDCODE]]</f>
        <v>item_dmu_Cameroon_Camrail_ZE_500</v>
      </c>
      <c r="H488" t="str">
        <f>"str_"&amp;Table1[[#This Row],[VEHIDCODE]]</f>
        <v>str_dmu_Cameroon_Camrail_ZE_500</v>
      </c>
      <c r="Q488" s="2" t="b">
        <v>1</v>
      </c>
      <c r="AL488" s="2"/>
      <c r="AM488" s="2" t="b">
        <f>LEN(_xlfn.CONCAT(Table1[[#This Row],[TRACK_TYPE_STANDARD_GAUGE_RAILTYPE_OHLE]:[TRACK_TYPE_MTRO]]))&gt;0</f>
        <v>1</v>
      </c>
      <c r="AN488">
        <v>8</v>
      </c>
      <c r="AO488" t="s">
        <v>18</v>
      </c>
      <c r="AP488">
        <v>1</v>
      </c>
      <c r="AQ488" t="s">
        <v>35</v>
      </c>
      <c r="AR488">
        <v>62</v>
      </c>
      <c r="AS488">
        <v>1976</v>
      </c>
      <c r="AT488">
        <v>8</v>
      </c>
      <c r="AU488" s="2" t="s">
        <v>24</v>
      </c>
      <c r="AV488" t="b">
        <v>1</v>
      </c>
      <c r="AW488" t="b">
        <v>1</v>
      </c>
      <c r="AX488" s="2"/>
      <c r="AY488">
        <v>45</v>
      </c>
      <c r="AZ488">
        <v>1</v>
      </c>
      <c r="BA488">
        <v>400</v>
      </c>
      <c r="BB488" t="s">
        <v>710</v>
      </c>
      <c r="BC488">
        <v>90</v>
      </c>
      <c r="BD488" s="2">
        <v>0.22</v>
      </c>
      <c r="BE488" t="s">
        <v>925</v>
      </c>
      <c r="BF488" t="s">
        <v>921</v>
      </c>
      <c r="BG488" t="s">
        <v>939</v>
      </c>
      <c r="BH488" s="7">
        <v>40</v>
      </c>
      <c r="BI48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488">
        <v>0</v>
      </c>
      <c r="BK488" t="s">
        <v>733</v>
      </c>
      <c r="BL488" s="11">
        <v>62</v>
      </c>
      <c r="BM488" s="11">
        <v>8</v>
      </c>
      <c r="BN488" s="11">
        <v>38</v>
      </c>
      <c r="BO488">
        <v>0</v>
      </c>
      <c r="BP488" t="s">
        <v>691</v>
      </c>
      <c r="BQ488" t="s">
        <v>693</v>
      </c>
      <c r="BR488" t="s">
        <v>700</v>
      </c>
      <c r="BS488" t="s">
        <v>704</v>
      </c>
      <c r="BT488" t="s">
        <v>705</v>
      </c>
      <c r="BU488" t="s">
        <v>706</v>
      </c>
      <c r="CT488"/>
      <c r="CU488"/>
      <c r="CV488"/>
    </row>
    <row r="489" spans="1:100" x14ac:dyDescent="0.4">
      <c r="A489" s="2" t="s">
        <v>515</v>
      </c>
      <c r="B489" t="str">
        <f>_xlfn.TEXTAFTER(Table1[[#This Row],[VEHIDCODE]],"_")</f>
        <v>UK_BR_251_Blue_Pullman</v>
      </c>
      <c r="C489" t="s">
        <v>741</v>
      </c>
      <c r="D489" t="s">
        <v>962</v>
      </c>
      <c r="E489">
        <v>7039</v>
      </c>
      <c r="F489" t="b">
        <f>OR(ISNUMBER(SEARCH("wagon_",Table1[[#This Row],[FILENAMES_EXPECTED]])),ISNUMBER(SEARCH("coach_",Table1[[#This Row],[FILENAMES_EXPECTED]])))</f>
        <v>0</v>
      </c>
      <c r="G489" t="str">
        <f>"item_"&amp;Table1[[#This Row],[VEHIDCODE]]</f>
        <v>item_dmu_UK_BR_251_Blue_Pullman</v>
      </c>
      <c r="H489" t="str">
        <f>"str_"&amp;Table1[[#This Row],[VEHIDCODE]]</f>
        <v>str_dmu_UK_BR_251_Blue_Pullman</v>
      </c>
      <c r="Q489" s="2" t="b">
        <v>1</v>
      </c>
      <c r="AL489" s="2"/>
      <c r="AM489" s="2" t="b">
        <f>LEN(_xlfn.CONCAT(Table1[[#This Row],[TRACK_TYPE_STANDARD_GAUGE_RAILTYPE_OHLE]:[TRACK_TYPE_MTRO]]))&gt;0</f>
        <v>1</v>
      </c>
      <c r="AN489">
        <v>7</v>
      </c>
      <c r="AO489" t="s">
        <v>18</v>
      </c>
      <c r="AP489">
        <v>1</v>
      </c>
      <c r="AQ489" t="s">
        <v>35</v>
      </c>
      <c r="AR489">
        <v>42</v>
      </c>
      <c r="AS489">
        <v>1960</v>
      </c>
      <c r="AT489">
        <v>7</v>
      </c>
      <c r="AU489" s="2" t="s">
        <v>24</v>
      </c>
      <c r="AV489" t="b">
        <v>1</v>
      </c>
      <c r="AW489" t="b">
        <v>1</v>
      </c>
      <c r="AX489" s="2"/>
      <c r="AY489">
        <v>45</v>
      </c>
      <c r="AZ489">
        <v>1</v>
      </c>
      <c r="BA489">
        <v>398</v>
      </c>
      <c r="BB489" t="s">
        <v>710</v>
      </c>
      <c r="BC489">
        <v>145</v>
      </c>
      <c r="BD489" s="2">
        <v>0.24</v>
      </c>
      <c r="BE489" t="s">
        <v>926</v>
      </c>
      <c r="BF489" t="s">
        <v>921</v>
      </c>
      <c r="BG489" t="s">
        <v>939</v>
      </c>
      <c r="BH489" s="7">
        <v>40</v>
      </c>
      <c r="BI48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489">
        <v>0</v>
      </c>
      <c r="BK489" t="s">
        <v>733</v>
      </c>
      <c r="BL489" s="11">
        <v>42</v>
      </c>
      <c r="BM489" s="11">
        <v>7</v>
      </c>
      <c r="BN489" s="11">
        <v>50</v>
      </c>
      <c r="BO489">
        <v>0</v>
      </c>
      <c r="BP489" t="s">
        <v>691</v>
      </c>
      <c r="BQ489" t="s">
        <v>693</v>
      </c>
      <c r="BR489" t="s">
        <v>700</v>
      </c>
      <c r="BS489" t="s">
        <v>704</v>
      </c>
      <c r="BT489" t="s">
        <v>705</v>
      </c>
      <c r="BU489" t="s">
        <v>706</v>
      </c>
      <c r="CT489"/>
      <c r="CU489"/>
      <c r="CV489"/>
    </row>
    <row r="490" spans="1:100" x14ac:dyDescent="0.4">
      <c r="A490" s="2" t="s">
        <v>516</v>
      </c>
      <c r="B490" t="str">
        <f>_xlfn.TEXTAFTER(Table1[[#This Row],[VEHIDCODE]],"_")</f>
        <v>Australia_WAGR_ADK_ADB</v>
      </c>
      <c r="C490" t="s">
        <v>741</v>
      </c>
      <c r="D490" t="s">
        <v>962</v>
      </c>
      <c r="E490">
        <v>7041</v>
      </c>
      <c r="F490" t="b">
        <f>OR(ISNUMBER(SEARCH("wagon_",Table1[[#This Row],[FILENAMES_EXPECTED]])),ISNUMBER(SEARCH("coach_",Table1[[#This Row],[FILENAMES_EXPECTED]])))</f>
        <v>0</v>
      </c>
      <c r="G490" t="str">
        <f>"item_"&amp;Table1[[#This Row],[VEHIDCODE]]</f>
        <v>item_dmu_Australia_WAGR_ADK_ADB</v>
      </c>
      <c r="H490" t="str">
        <f>"str_"&amp;Table1[[#This Row],[VEHIDCODE]]</f>
        <v>str_dmu_Australia_WAGR_ADK_ADB</v>
      </c>
      <c r="Q490" s="2" t="b">
        <v>1</v>
      </c>
      <c r="AL490" s="2"/>
      <c r="AM490" s="2" t="b">
        <f>LEN(_xlfn.CONCAT(Table1[[#This Row],[TRACK_TYPE_STANDARD_GAUGE_RAILTYPE_OHLE]:[TRACK_TYPE_MTRO]]))&gt;0</f>
        <v>1</v>
      </c>
      <c r="AN490">
        <v>8</v>
      </c>
      <c r="AO490" t="s">
        <v>18</v>
      </c>
      <c r="AP490">
        <v>1</v>
      </c>
      <c r="AQ490" t="s">
        <v>35</v>
      </c>
      <c r="AR490">
        <v>56</v>
      </c>
      <c r="AS490">
        <v>1967</v>
      </c>
      <c r="AT490">
        <v>8</v>
      </c>
      <c r="AU490" s="2" t="s">
        <v>24</v>
      </c>
      <c r="AV490" t="b">
        <v>1</v>
      </c>
      <c r="AW490" t="b">
        <v>1</v>
      </c>
      <c r="AX490" s="2"/>
      <c r="AY490">
        <v>45</v>
      </c>
      <c r="AZ490">
        <v>1</v>
      </c>
      <c r="BA490">
        <v>416</v>
      </c>
      <c r="BB490" t="s">
        <v>710</v>
      </c>
      <c r="BC490">
        <v>90</v>
      </c>
      <c r="BD490" s="2">
        <v>0.44</v>
      </c>
      <c r="BE490" t="s">
        <v>924</v>
      </c>
      <c r="BF490" t="s">
        <v>921</v>
      </c>
      <c r="BG490" t="s">
        <v>939</v>
      </c>
      <c r="BH490" s="7">
        <v>40</v>
      </c>
      <c r="BI49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490">
        <v>0</v>
      </c>
      <c r="BK490" t="s">
        <v>733</v>
      </c>
      <c r="BL490" s="11">
        <v>56</v>
      </c>
      <c r="BM490" s="11">
        <v>7</v>
      </c>
      <c r="BN490" s="11">
        <v>33</v>
      </c>
      <c r="BO490">
        <v>0</v>
      </c>
      <c r="BP490" t="s">
        <v>691</v>
      </c>
      <c r="BQ490" t="s">
        <v>693</v>
      </c>
      <c r="BR490" t="s">
        <v>700</v>
      </c>
      <c r="BS490" t="s">
        <v>704</v>
      </c>
      <c r="BT490" t="s">
        <v>705</v>
      </c>
      <c r="BU490" t="s">
        <v>706</v>
      </c>
      <c r="CT490"/>
      <c r="CU490"/>
      <c r="CV490"/>
    </row>
    <row r="491" spans="1:100" x14ac:dyDescent="0.4">
      <c r="A491" s="2" t="s">
        <v>517</v>
      </c>
      <c r="B491" t="str">
        <f>_xlfn.TEXTAFTER(Table1[[#This Row],[VEHIDCODE]],"_")</f>
        <v>France_SNCF_X_4630</v>
      </c>
      <c r="C491" t="s">
        <v>741</v>
      </c>
      <c r="D491" t="s">
        <v>962</v>
      </c>
      <c r="E491">
        <v>7042</v>
      </c>
      <c r="F491" t="b">
        <f>OR(ISNUMBER(SEARCH("wagon_",Table1[[#This Row],[FILENAMES_EXPECTED]])),ISNUMBER(SEARCH("coach_",Table1[[#This Row],[FILENAMES_EXPECTED]])))</f>
        <v>0</v>
      </c>
      <c r="G491" t="str">
        <f>"item_"&amp;Table1[[#This Row],[VEHIDCODE]]</f>
        <v>item_dmu_France_SNCF_X_4630</v>
      </c>
      <c r="H491" t="str">
        <f>"str_"&amp;Table1[[#This Row],[VEHIDCODE]]</f>
        <v>str_dmu_France_SNCF_X_4630</v>
      </c>
      <c r="Q491" s="2" t="b">
        <v>1</v>
      </c>
      <c r="AL491" s="2"/>
      <c r="AM491" s="2" t="b">
        <f>LEN(_xlfn.CONCAT(Table1[[#This Row],[TRACK_TYPE_STANDARD_GAUGE_RAILTYPE_OHLE]:[TRACK_TYPE_MTRO]]))&gt;0</f>
        <v>1</v>
      </c>
      <c r="AN491">
        <v>8</v>
      </c>
      <c r="AO491" t="s">
        <v>18</v>
      </c>
      <c r="AP491">
        <v>1</v>
      </c>
      <c r="AQ491" t="s">
        <v>35</v>
      </c>
      <c r="AR491">
        <v>72</v>
      </c>
      <c r="AS491">
        <v>1971</v>
      </c>
      <c r="AT491">
        <v>8</v>
      </c>
      <c r="AU491" s="2" t="s">
        <v>24</v>
      </c>
      <c r="AV491" t="b">
        <v>1</v>
      </c>
      <c r="AW491" t="b">
        <v>1</v>
      </c>
      <c r="AX491" s="2"/>
      <c r="AY491">
        <v>45</v>
      </c>
      <c r="AZ491">
        <v>1</v>
      </c>
      <c r="BA491">
        <v>396</v>
      </c>
      <c r="BB491" t="s">
        <v>710</v>
      </c>
      <c r="BC491">
        <v>120</v>
      </c>
      <c r="BD491" s="2">
        <v>0.2</v>
      </c>
      <c r="BE491" t="s">
        <v>922</v>
      </c>
      <c r="BF491" t="s">
        <v>921</v>
      </c>
      <c r="BG491" t="s">
        <v>939</v>
      </c>
      <c r="BH491" s="7">
        <v>40</v>
      </c>
      <c r="BI49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491">
        <v>0</v>
      </c>
      <c r="BK491" t="s">
        <v>733</v>
      </c>
      <c r="BL491" s="11">
        <v>72</v>
      </c>
      <c r="BM491" s="11">
        <v>8</v>
      </c>
      <c r="BN491" s="11">
        <v>62</v>
      </c>
      <c r="BO491">
        <v>0</v>
      </c>
      <c r="BP491" t="s">
        <v>691</v>
      </c>
      <c r="BQ491" t="s">
        <v>693</v>
      </c>
      <c r="BR491" t="s">
        <v>700</v>
      </c>
      <c r="BS491" t="s">
        <v>704</v>
      </c>
      <c r="BT491" t="s">
        <v>705</v>
      </c>
      <c r="BU491" t="s">
        <v>706</v>
      </c>
      <c r="CT491"/>
      <c r="CU491"/>
      <c r="CV491"/>
    </row>
    <row r="492" spans="1:100" x14ac:dyDescent="0.4">
      <c r="A492" s="2" t="s">
        <v>518</v>
      </c>
      <c r="B492" t="str">
        <f>_xlfn.TEXTAFTER(Table1[[#This Row],[VEHIDCODE]],"_")</f>
        <v>France_SNCF_T_2000</v>
      </c>
      <c r="C492" t="s">
        <v>741</v>
      </c>
      <c r="D492" t="s">
        <v>962</v>
      </c>
      <c r="E492">
        <v>7043</v>
      </c>
      <c r="F492" t="b">
        <f>OR(ISNUMBER(SEARCH("wagon_",Table1[[#This Row],[FILENAMES_EXPECTED]])),ISNUMBER(SEARCH("coach_",Table1[[#This Row],[FILENAMES_EXPECTED]])))</f>
        <v>0</v>
      </c>
      <c r="G492" t="str">
        <f>"item_"&amp;Table1[[#This Row],[VEHIDCODE]]</f>
        <v>item_dmu_France_SNCF_T_2000</v>
      </c>
      <c r="H492" t="str">
        <f>"str_"&amp;Table1[[#This Row],[VEHIDCODE]]</f>
        <v>str_dmu_France_SNCF_T_2000</v>
      </c>
      <c r="Q492" s="2" t="b">
        <v>1</v>
      </c>
      <c r="AL492" s="2"/>
      <c r="AM492" s="2" t="b">
        <f>LEN(_xlfn.CONCAT(Table1[[#This Row],[TRACK_TYPE_STANDARD_GAUGE_RAILTYPE_OHLE]:[TRACK_TYPE_MTRO]]))&gt;0</f>
        <v>1</v>
      </c>
      <c r="AN492">
        <v>8</v>
      </c>
      <c r="AO492" t="s">
        <v>18</v>
      </c>
      <c r="AP492">
        <v>1</v>
      </c>
      <c r="AQ492" t="s">
        <v>35</v>
      </c>
      <c r="AR492">
        <v>60</v>
      </c>
      <c r="AS492">
        <v>1972</v>
      </c>
      <c r="AT492">
        <v>8</v>
      </c>
      <c r="AU492" s="2" t="s">
        <v>24</v>
      </c>
      <c r="AV492" t="b">
        <v>1</v>
      </c>
      <c r="AW492" t="b">
        <v>1</v>
      </c>
      <c r="AX492" s="2"/>
      <c r="AY492">
        <v>45</v>
      </c>
      <c r="AZ492">
        <v>1</v>
      </c>
      <c r="BA492">
        <v>1036</v>
      </c>
      <c r="BB492" t="s">
        <v>710</v>
      </c>
      <c r="BC492">
        <v>160</v>
      </c>
      <c r="BD492" s="2">
        <v>0.38</v>
      </c>
      <c r="BE492" t="s">
        <v>922</v>
      </c>
      <c r="BF492" t="s">
        <v>921</v>
      </c>
      <c r="BG492" t="s">
        <v>939</v>
      </c>
      <c r="BH492" s="7">
        <v>40</v>
      </c>
      <c r="BI49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492">
        <v>0</v>
      </c>
      <c r="BK492" t="s">
        <v>733</v>
      </c>
      <c r="BL492" s="11">
        <v>60</v>
      </c>
      <c r="BM492" s="11">
        <v>8</v>
      </c>
      <c r="BN492" s="11">
        <v>49</v>
      </c>
      <c r="BO492">
        <v>0</v>
      </c>
      <c r="BP492" t="s">
        <v>691</v>
      </c>
      <c r="BQ492" t="s">
        <v>693</v>
      </c>
      <c r="BR492" t="s">
        <v>700</v>
      </c>
      <c r="BS492" t="s">
        <v>704</v>
      </c>
      <c r="BT492" t="s">
        <v>705</v>
      </c>
      <c r="BU492" t="s">
        <v>706</v>
      </c>
      <c r="CT492"/>
      <c r="CU492"/>
      <c r="CV492"/>
    </row>
    <row r="493" spans="1:100" x14ac:dyDescent="0.4">
      <c r="A493" s="2" t="s">
        <v>519</v>
      </c>
      <c r="B493" t="str">
        <f>_xlfn.TEXTAFTER(Table1[[#This Row],[VEHIDCODE]],"_")</f>
        <v>Netherlands_NS_DH2</v>
      </c>
      <c r="C493" t="s">
        <v>741</v>
      </c>
      <c r="D493" t="s">
        <v>962</v>
      </c>
      <c r="E493">
        <v>7045</v>
      </c>
      <c r="F493" t="b">
        <f>OR(ISNUMBER(SEARCH("wagon_",Table1[[#This Row],[FILENAMES_EXPECTED]])),ISNUMBER(SEARCH("coach_",Table1[[#This Row],[FILENAMES_EXPECTED]])))</f>
        <v>0</v>
      </c>
      <c r="G493" t="str">
        <f>"item_"&amp;Table1[[#This Row],[VEHIDCODE]]</f>
        <v>item_dmu_Netherlands_NS_DH2</v>
      </c>
      <c r="H493" t="str">
        <f>"str_"&amp;Table1[[#This Row],[VEHIDCODE]]</f>
        <v>str_dmu_Netherlands_NS_DH2</v>
      </c>
      <c r="Q493" s="2" t="b">
        <v>1</v>
      </c>
      <c r="AL493" s="2"/>
      <c r="AM493" s="2" t="b">
        <f>LEN(_xlfn.CONCAT(Table1[[#This Row],[TRACK_TYPE_STANDARD_GAUGE_RAILTYPE_OHLE]:[TRACK_TYPE_MTRO]]))&gt;0</f>
        <v>1</v>
      </c>
      <c r="AN493">
        <v>8</v>
      </c>
      <c r="AO493" t="s">
        <v>18</v>
      </c>
      <c r="AP493">
        <v>1</v>
      </c>
      <c r="AQ493" t="s">
        <v>35</v>
      </c>
      <c r="AR493">
        <v>80</v>
      </c>
      <c r="AS493">
        <v>1981</v>
      </c>
      <c r="AT493">
        <v>8</v>
      </c>
      <c r="AU493" s="2" t="s">
        <v>24</v>
      </c>
      <c r="AV493" t="b">
        <v>1</v>
      </c>
      <c r="AW493" t="b">
        <v>1</v>
      </c>
      <c r="AX493" s="2"/>
      <c r="AY493">
        <v>45</v>
      </c>
      <c r="AZ493">
        <v>1</v>
      </c>
      <c r="BA493">
        <v>562</v>
      </c>
      <c r="BB493" t="s">
        <v>710</v>
      </c>
      <c r="BC493">
        <v>101</v>
      </c>
      <c r="BD493" s="2">
        <v>0.3</v>
      </c>
      <c r="BE493" t="s">
        <v>922</v>
      </c>
      <c r="BF493" t="s">
        <v>921</v>
      </c>
      <c r="BG493" t="s">
        <v>939</v>
      </c>
      <c r="BH493" s="7">
        <v>40</v>
      </c>
      <c r="BI49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493">
        <v>0</v>
      </c>
      <c r="BK493" t="s">
        <v>733</v>
      </c>
      <c r="BL493" s="11">
        <v>80</v>
      </c>
      <c r="BM493" s="11">
        <v>8</v>
      </c>
      <c r="BN493" s="11">
        <v>34</v>
      </c>
      <c r="BO493">
        <v>0</v>
      </c>
      <c r="BP493" t="s">
        <v>691</v>
      </c>
      <c r="BQ493" t="s">
        <v>693</v>
      </c>
      <c r="BR493" t="s">
        <v>700</v>
      </c>
      <c r="BS493" t="s">
        <v>704</v>
      </c>
      <c r="BT493" t="s">
        <v>705</v>
      </c>
      <c r="BU493" t="s">
        <v>706</v>
      </c>
      <c r="CT493"/>
      <c r="CU493"/>
      <c r="CV493"/>
    </row>
    <row r="494" spans="1:100" x14ac:dyDescent="0.4">
      <c r="A494" s="2" t="s">
        <v>520</v>
      </c>
      <c r="B494" t="str">
        <f>_xlfn.TEXTAFTER(Table1[[#This Row],[VEHIDCODE]],"_")</f>
        <v>Germany_DB_6282</v>
      </c>
      <c r="C494" t="s">
        <v>741</v>
      </c>
      <c r="D494" t="s">
        <v>962</v>
      </c>
      <c r="E494">
        <v>7047</v>
      </c>
      <c r="F494" t="b">
        <f>OR(ISNUMBER(SEARCH("wagon_",Table1[[#This Row],[FILENAMES_EXPECTED]])),ISNUMBER(SEARCH("coach_",Table1[[#This Row],[FILENAMES_EXPECTED]])))</f>
        <v>0</v>
      </c>
      <c r="G494" t="str">
        <f>"item_"&amp;Table1[[#This Row],[VEHIDCODE]]</f>
        <v>item_dmu_Germany_DB_6282</v>
      </c>
      <c r="H494" t="str">
        <f>"str_"&amp;Table1[[#This Row],[VEHIDCODE]]</f>
        <v>str_dmu_Germany_DB_6282</v>
      </c>
      <c r="Q494" s="2" t="b">
        <v>1</v>
      </c>
      <c r="AL494" s="2"/>
      <c r="AM494" s="2" t="b">
        <f>LEN(_xlfn.CONCAT(Table1[[#This Row],[TRACK_TYPE_STANDARD_GAUGE_RAILTYPE_OHLE]:[TRACK_TYPE_MTRO]]))&gt;0</f>
        <v>1</v>
      </c>
      <c r="AN494">
        <v>8</v>
      </c>
      <c r="AO494" t="s">
        <v>18</v>
      </c>
      <c r="AP494">
        <v>1</v>
      </c>
      <c r="AQ494" t="s">
        <v>35</v>
      </c>
      <c r="AR494">
        <v>74</v>
      </c>
      <c r="AS494">
        <v>1986</v>
      </c>
      <c r="AT494">
        <v>8</v>
      </c>
      <c r="AU494" s="2" t="s">
        <v>24</v>
      </c>
      <c r="AV494" t="b">
        <v>1</v>
      </c>
      <c r="AW494" t="b">
        <v>1</v>
      </c>
      <c r="AX494" s="2"/>
      <c r="AY494">
        <v>45</v>
      </c>
      <c r="AZ494">
        <v>1</v>
      </c>
      <c r="BA494">
        <v>570</v>
      </c>
      <c r="BB494" t="s">
        <v>710</v>
      </c>
      <c r="BC494">
        <v>120</v>
      </c>
      <c r="BD494" s="2">
        <v>0.27</v>
      </c>
      <c r="BE494" t="s">
        <v>922</v>
      </c>
      <c r="BF494" t="s">
        <v>921</v>
      </c>
      <c r="BG494" t="s">
        <v>939</v>
      </c>
      <c r="BH494" s="7">
        <v>40</v>
      </c>
      <c r="BI49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494">
        <v>0</v>
      </c>
      <c r="BK494" t="s">
        <v>733</v>
      </c>
      <c r="BL494" s="11">
        <v>74</v>
      </c>
      <c r="BM494" s="11">
        <v>8</v>
      </c>
      <c r="BN494" s="11">
        <v>42</v>
      </c>
      <c r="BO494">
        <v>0</v>
      </c>
      <c r="BP494" t="s">
        <v>691</v>
      </c>
      <c r="BQ494" t="s">
        <v>693</v>
      </c>
      <c r="BR494" t="s">
        <v>700</v>
      </c>
      <c r="BS494" t="s">
        <v>704</v>
      </c>
      <c r="BT494" t="s">
        <v>705</v>
      </c>
      <c r="BU494" t="s">
        <v>706</v>
      </c>
      <c r="CT494"/>
      <c r="CU494"/>
      <c r="CV494"/>
    </row>
    <row r="495" spans="1:100" x14ac:dyDescent="0.4">
      <c r="A495" s="2" t="s">
        <v>521</v>
      </c>
      <c r="B495" t="str">
        <f>_xlfn.TEXTAFTER(Table1[[#This Row],[VEHIDCODE]],"_")</f>
        <v>Algeria_SNTF_ZZ_2200_Autorail</v>
      </c>
      <c r="C495" t="s">
        <v>741</v>
      </c>
      <c r="D495" t="s">
        <v>962</v>
      </c>
      <c r="E495">
        <v>7048</v>
      </c>
      <c r="F495" t="b">
        <f>OR(ISNUMBER(SEARCH("wagon_",Table1[[#This Row],[FILENAMES_EXPECTED]])),ISNUMBER(SEARCH("coach_",Table1[[#This Row],[FILENAMES_EXPECTED]])))</f>
        <v>0</v>
      </c>
      <c r="G495" t="str">
        <f>"item_"&amp;Table1[[#This Row],[VEHIDCODE]]</f>
        <v>item_dmu_Algeria_SNTF_ZZ_2200_Autorail</v>
      </c>
      <c r="H495" t="str">
        <f>"str_"&amp;Table1[[#This Row],[VEHIDCODE]]</f>
        <v>str_dmu_Algeria_SNTF_ZZ_2200_Autorail</v>
      </c>
      <c r="Q495" s="2" t="b">
        <v>1</v>
      </c>
      <c r="AL495" s="2"/>
      <c r="AM495" s="2" t="b">
        <f>LEN(_xlfn.CONCAT(Table1[[#This Row],[TRACK_TYPE_STANDARD_GAUGE_RAILTYPE_OHLE]:[TRACK_TYPE_MTRO]]))&gt;0</f>
        <v>1</v>
      </c>
      <c r="AN495">
        <v>8</v>
      </c>
      <c r="AO495" t="s">
        <v>18</v>
      </c>
      <c r="AP495">
        <v>1</v>
      </c>
      <c r="AQ495" t="s">
        <v>35</v>
      </c>
      <c r="AR495">
        <v>66</v>
      </c>
      <c r="AS495">
        <v>2007</v>
      </c>
      <c r="AT495">
        <v>8</v>
      </c>
      <c r="AU495" s="2" t="s">
        <v>24</v>
      </c>
      <c r="AV495" t="b">
        <v>1</v>
      </c>
      <c r="AW495" t="b">
        <v>1</v>
      </c>
      <c r="AX495" s="2"/>
      <c r="AY495" t="s">
        <v>21</v>
      </c>
      <c r="AZ495">
        <v>1</v>
      </c>
      <c r="BA495">
        <v>1810</v>
      </c>
      <c r="BB495" t="s">
        <v>710</v>
      </c>
      <c r="BC495">
        <v>160</v>
      </c>
      <c r="BD495" s="2">
        <v>0.37</v>
      </c>
      <c r="BE495" t="s">
        <v>925</v>
      </c>
      <c r="BF495" t="s">
        <v>921</v>
      </c>
      <c r="BG495" t="s">
        <v>939</v>
      </c>
      <c r="BH495" s="7">
        <v>40</v>
      </c>
      <c r="BI49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495">
        <v>0</v>
      </c>
      <c r="BK495" t="s">
        <v>733</v>
      </c>
      <c r="BL495" s="11">
        <v>66</v>
      </c>
      <c r="BM495" s="11">
        <v>8</v>
      </c>
      <c r="BN495" s="11">
        <v>53</v>
      </c>
      <c r="BO495">
        <v>0</v>
      </c>
      <c r="BP495" t="s">
        <v>691</v>
      </c>
      <c r="BQ495" t="s">
        <v>693</v>
      </c>
      <c r="BR495" t="s">
        <v>700</v>
      </c>
      <c r="BS495" t="s">
        <v>704</v>
      </c>
      <c r="BT495" t="s">
        <v>705</v>
      </c>
      <c r="BU495" t="s">
        <v>706</v>
      </c>
      <c r="CT495"/>
      <c r="CU495"/>
      <c r="CV495"/>
    </row>
    <row r="496" spans="1:100" x14ac:dyDescent="0.4">
      <c r="A496" s="2" t="s">
        <v>522</v>
      </c>
      <c r="B496" t="str">
        <f>_xlfn.TEXTAFTER(Table1[[#This Row],[VEHIDCODE]],"_")</f>
        <v>Tunisia_SNCFT_AMT_800</v>
      </c>
      <c r="C496" t="s">
        <v>741</v>
      </c>
      <c r="D496" t="s">
        <v>962</v>
      </c>
      <c r="E496">
        <v>7049</v>
      </c>
      <c r="F496" t="b">
        <f>OR(ISNUMBER(SEARCH("wagon_",Table1[[#This Row],[FILENAMES_EXPECTED]])),ISNUMBER(SEARCH("coach_",Table1[[#This Row],[FILENAMES_EXPECTED]])))</f>
        <v>0</v>
      </c>
      <c r="G496" t="str">
        <f>"item_"&amp;Table1[[#This Row],[VEHIDCODE]]</f>
        <v>item_dmu_Tunisia_SNCFT_AMT_800</v>
      </c>
      <c r="H496" t="str">
        <f>"str_"&amp;Table1[[#This Row],[VEHIDCODE]]</f>
        <v>str_dmu_Tunisia_SNCFT_AMT_800</v>
      </c>
      <c r="Q496" s="2" t="b">
        <v>1</v>
      </c>
      <c r="AL496" s="2"/>
      <c r="AM496" s="2" t="b">
        <f>LEN(_xlfn.CONCAT(Table1[[#This Row],[TRACK_TYPE_STANDARD_GAUGE_RAILTYPE_OHLE]:[TRACK_TYPE_MTRO]]))&gt;0</f>
        <v>1</v>
      </c>
      <c r="AN496">
        <v>8</v>
      </c>
      <c r="AO496" t="s">
        <v>18</v>
      </c>
      <c r="AP496">
        <v>1</v>
      </c>
      <c r="AQ496" t="s">
        <v>35</v>
      </c>
      <c r="AR496">
        <v>55</v>
      </c>
      <c r="AS496">
        <v>2008</v>
      </c>
      <c r="AT496">
        <v>8</v>
      </c>
      <c r="AU496" s="2" t="s">
        <v>24</v>
      </c>
      <c r="AV496" t="b">
        <v>1</v>
      </c>
      <c r="AW496" t="b">
        <v>1</v>
      </c>
      <c r="AX496" s="2"/>
      <c r="AY496" t="s">
        <v>21</v>
      </c>
      <c r="AZ496">
        <v>1</v>
      </c>
      <c r="BA496">
        <v>1232</v>
      </c>
      <c r="BB496" t="s">
        <v>710</v>
      </c>
      <c r="BC496">
        <v>130</v>
      </c>
      <c r="BD496" s="2">
        <v>0.52</v>
      </c>
      <c r="BE496" t="s">
        <v>925</v>
      </c>
      <c r="BF496" t="s">
        <v>921</v>
      </c>
      <c r="BG496" t="s">
        <v>939</v>
      </c>
      <c r="BH496" s="7">
        <v>40</v>
      </c>
      <c r="BI49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496">
        <v>0</v>
      </c>
      <c r="BK496" t="s">
        <v>733</v>
      </c>
      <c r="BL496" s="11">
        <v>55</v>
      </c>
      <c r="BM496" s="11">
        <v>8</v>
      </c>
      <c r="BN496" s="11">
        <v>35</v>
      </c>
      <c r="BO496">
        <v>0</v>
      </c>
      <c r="BP496" t="s">
        <v>691</v>
      </c>
      <c r="BQ496" t="s">
        <v>693</v>
      </c>
      <c r="BR496" t="s">
        <v>700</v>
      </c>
      <c r="BS496" t="s">
        <v>704</v>
      </c>
      <c r="BT496" t="s">
        <v>705</v>
      </c>
      <c r="BU496" t="s">
        <v>706</v>
      </c>
      <c r="CT496"/>
      <c r="CU496"/>
      <c r="CV496"/>
    </row>
    <row r="497" spans="1:100" x14ac:dyDescent="0.4">
      <c r="A497" s="2" t="s">
        <v>523</v>
      </c>
      <c r="B497" t="str">
        <f>_xlfn.TEXTAFTER(Table1[[#This Row],[VEHIDCODE]],"_")</f>
        <v>Ghana_Ghana_Railways_DEMU</v>
      </c>
      <c r="C497" t="s">
        <v>741</v>
      </c>
      <c r="D497" t="s">
        <v>962</v>
      </c>
      <c r="E497">
        <v>7050</v>
      </c>
      <c r="F497" t="b">
        <f>OR(ISNUMBER(SEARCH("wagon_",Table1[[#This Row],[FILENAMES_EXPECTED]])),ISNUMBER(SEARCH("coach_",Table1[[#This Row],[FILENAMES_EXPECTED]])))</f>
        <v>0</v>
      </c>
      <c r="G497" t="str">
        <f>"item_"&amp;Table1[[#This Row],[VEHIDCODE]]</f>
        <v>item_dmu_Ghana_Ghana_Railways_DEMU</v>
      </c>
      <c r="H497" t="str">
        <f>"str_"&amp;Table1[[#This Row],[VEHIDCODE]]</f>
        <v>str_dmu_Ghana_Ghana_Railways_DEMU</v>
      </c>
      <c r="Z497" s="2" t="b">
        <v>1</v>
      </c>
      <c r="AL497" s="2"/>
      <c r="AM497" s="2" t="b">
        <f>LEN(_xlfn.CONCAT(Table1[[#This Row],[TRACK_TYPE_STANDARD_GAUGE_RAILTYPE_OHLE]:[TRACK_TYPE_MTRO]]))&gt;0</f>
        <v>1</v>
      </c>
      <c r="AN497">
        <v>7</v>
      </c>
      <c r="AO497" t="s">
        <v>18</v>
      </c>
      <c r="AP497">
        <v>1</v>
      </c>
      <c r="AQ497" t="s">
        <v>35</v>
      </c>
      <c r="AR497">
        <v>102</v>
      </c>
      <c r="AS497">
        <v>2009</v>
      </c>
      <c r="AT497">
        <v>7</v>
      </c>
      <c r="AU497" s="2" t="s">
        <v>24</v>
      </c>
      <c r="AV497" t="b">
        <v>1</v>
      </c>
      <c r="AW497" t="b">
        <v>1</v>
      </c>
      <c r="AX497" s="2"/>
      <c r="AY497" t="s">
        <v>21</v>
      </c>
      <c r="AZ497">
        <v>1</v>
      </c>
      <c r="BA497">
        <v>1656</v>
      </c>
      <c r="BB497" t="s">
        <v>710</v>
      </c>
      <c r="BC497">
        <v>90</v>
      </c>
      <c r="BD497" s="2">
        <v>0.3</v>
      </c>
      <c r="BE497" t="s">
        <v>925</v>
      </c>
      <c r="BF497" t="s">
        <v>921</v>
      </c>
      <c r="BG497" t="s">
        <v>939</v>
      </c>
      <c r="BH497" s="7">
        <v>40</v>
      </c>
      <c r="BI49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497">
        <v>0</v>
      </c>
      <c r="BK497" t="s">
        <v>733</v>
      </c>
      <c r="BL497" s="11">
        <v>102</v>
      </c>
      <c r="BM497" s="11">
        <v>7</v>
      </c>
      <c r="BN497" s="11">
        <v>48</v>
      </c>
      <c r="BO497">
        <v>0</v>
      </c>
      <c r="BP497" t="s">
        <v>691</v>
      </c>
      <c r="BQ497" t="s">
        <v>693</v>
      </c>
      <c r="BR497" t="s">
        <v>700</v>
      </c>
      <c r="BS497" t="s">
        <v>704</v>
      </c>
      <c r="BT497" t="s">
        <v>705</v>
      </c>
      <c r="BU497" t="s">
        <v>706</v>
      </c>
      <c r="CT497"/>
      <c r="CU497"/>
      <c r="CV497"/>
    </row>
    <row r="498" spans="1:100" x14ac:dyDescent="0.4">
      <c r="A498" s="2" t="s">
        <v>524</v>
      </c>
      <c r="B498" t="str">
        <f>_xlfn.TEXTAFTER(Table1[[#This Row],[VEHIDCODE]],"_")</f>
        <v>Australia_Queensland_Rail_Diesel_Tilt_Train</v>
      </c>
      <c r="C498" t="s">
        <v>741</v>
      </c>
      <c r="D498" t="s">
        <v>962</v>
      </c>
      <c r="E498">
        <v>7051</v>
      </c>
      <c r="F498" t="b">
        <f>OR(ISNUMBER(SEARCH("wagon_",Table1[[#This Row],[FILENAMES_EXPECTED]])),ISNUMBER(SEARCH("coach_",Table1[[#This Row],[FILENAMES_EXPECTED]])))</f>
        <v>0</v>
      </c>
      <c r="G498" t="str">
        <f>"item_"&amp;Table1[[#This Row],[VEHIDCODE]]</f>
        <v>item_dmu_Australia_Queensland_Rail_Diesel_Tilt_Train</v>
      </c>
      <c r="H498" t="str">
        <f>"str_"&amp;Table1[[#This Row],[VEHIDCODE]]</f>
        <v>str_dmu_Australia_Queensland_Rail_Diesel_Tilt_Train</v>
      </c>
      <c r="Z498" s="2" t="b">
        <v>1</v>
      </c>
      <c r="AL498" s="2"/>
      <c r="AM498" s="2" t="b">
        <f>LEN(_xlfn.CONCAT(Table1[[#This Row],[TRACK_TYPE_STANDARD_GAUGE_RAILTYPE_OHLE]:[TRACK_TYPE_MTRO]]))&gt;0</f>
        <v>1</v>
      </c>
      <c r="AN498">
        <v>8</v>
      </c>
      <c r="AO498" t="s">
        <v>18</v>
      </c>
      <c r="AP498">
        <v>1</v>
      </c>
      <c r="AQ498" t="s">
        <v>35</v>
      </c>
      <c r="AR498">
        <v>0</v>
      </c>
      <c r="AS498">
        <v>2003</v>
      </c>
      <c r="AT498">
        <v>8</v>
      </c>
      <c r="AU498" s="2" t="s">
        <v>24</v>
      </c>
      <c r="AV498" t="b">
        <v>1</v>
      </c>
      <c r="AW498" t="b">
        <v>1</v>
      </c>
      <c r="AX498" s="2"/>
      <c r="AY498" t="s">
        <v>21</v>
      </c>
      <c r="AZ498">
        <v>1</v>
      </c>
      <c r="BA498">
        <v>7240</v>
      </c>
      <c r="BB498" t="s">
        <v>710</v>
      </c>
      <c r="BC498">
        <v>160</v>
      </c>
      <c r="BD498" s="2">
        <v>0.21</v>
      </c>
      <c r="BE498" t="s">
        <v>924</v>
      </c>
      <c r="BF498" t="s">
        <v>921</v>
      </c>
      <c r="BG498" t="s">
        <v>939</v>
      </c>
      <c r="BH498" s="7">
        <v>40</v>
      </c>
      <c r="BI49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498">
        <v>0</v>
      </c>
      <c r="BK498" t="s">
        <v>733</v>
      </c>
      <c r="BL498" s="11">
        <v>56</v>
      </c>
      <c r="BM498" s="11">
        <v>8</v>
      </c>
      <c r="BN498" s="11">
        <v>60</v>
      </c>
      <c r="BO498">
        <v>0</v>
      </c>
      <c r="BP498" t="s">
        <v>691</v>
      </c>
      <c r="BQ498" t="s">
        <v>693</v>
      </c>
      <c r="BR498" t="s">
        <v>700</v>
      </c>
      <c r="BS498" t="s">
        <v>704</v>
      </c>
      <c r="BT498" t="s">
        <v>705</v>
      </c>
      <c r="BU498" t="s">
        <v>706</v>
      </c>
      <c r="CT498"/>
      <c r="CU498"/>
      <c r="CV498"/>
    </row>
    <row r="499" spans="1:100" x14ac:dyDescent="0.4">
      <c r="A499" s="2" t="s">
        <v>525</v>
      </c>
      <c r="B499" t="str">
        <f>_xlfn.TEXTAFTER(Table1[[#This Row],[VEHIDCODE]],"_")</f>
        <v>Canada_UP_Express_Nippon_Sharyo_DMU</v>
      </c>
      <c r="C499" t="s">
        <v>741</v>
      </c>
      <c r="D499" t="s">
        <v>962</v>
      </c>
      <c r="E499">
        <v>7052</v>
      </c>
      <c r="F499" t="b">
        <f>OR(ISNUMBER(SEARCH("wagon_",Table1[[#This Row],[FILENAMES_EXPECTED]])),ISNUMBER(SEARCH("coach_",Table1[[#This Row],[FILENAMES_EXPECTED]])))</f>
        <v>0</v>
      </c>
      <c r="G499" t="str">
        <f>"item_"&amp;Table1[[#This Row],[VEHIDCODE]]</f>
        <v>item_dmu_Canada_UP_Express_Nippon_Sharyo_DMU</v>
      </c>
      <c r="H499" t="str">
        <f>"str_"&amp;Table1[[#This Row],[VEHIDCODE]]</f>
        <v>str_dmu_Canada_UP_Express_Nippon_Sharyo_DMU</v>
      </c>
      <c r="Q499" s="2" t="b">
        <v>1</v>
      </c>
      <c r="AL499" s="2"/>
      <c r="AM499" s="2" t="b">
        <f>LEN(_xlfn.CONCAT(Table1[[#This Row],[TRACK_TYPE_STANDARD_GAUGE_RAILTYPE_OHLE]:[TRACK_TYPE_MTRO]]))&gt;0</f>
        <v>1</v>
      </c>
      <c r="AN499">
        <v>8</v>
      </c>
      <c r="AO499" t="s">
        <v>18</v>
      </c>
      <c r="AP499">
        <v>1</v>
      </c>
      <c r="AQ499" t="s">
        <v>35</v>
      </c>
      <c r="AR499">
        <v>80</v>
      </c>
      <c r="AS499">
        <v>2013</v>
      </c>
      <c r="AT499">
        <v>8</v>
      </c>
      <c r="AU499" s="2" t="s">
        <v>24</v>
      </c>
      <c r="AV499" t="b">
        <v>1</v>
      </c>
      <c r="AW499" t="b">
        <v>1</v>
      </c>
      <c r="AX499" s="2"/>
      <c r="AY499" t="s">
        <v>21</v>
      </c>
      <c r="AZ499">
        <v>1</v>
      </c>
      <c r="BA499">
        <v>1520</v>
      </c>
      <c r="BB499" t="s">
        <v>710</v>
      </c>
      <c r="BC499">
        <v>128</v>
      </c>
      <c r="BD499" s="2">
        <v>0.28999999999999998</v>
      </c>
      <c r="BE499" t="s">
        <v>927</v>
      </c>
      <c r="BF499" t="s">
        <v>921</v>
      </c>
      <c r="BG499" t="s">
        <v>939</v>
      </c>
      <c r="BH499" s="7">
        <v>40</v>
      </c>
      <c r="BI49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499">
        <v>0</v>
      </c>
      <c r="BK499" t="s">
        <v>733</v>
      </c>
      <c r="BL499" s="11">
        <v>80</v>
      </c>
      <c r="BM499" s="11">
        <v>8</v>
      </c>
      <c r="BN499" s="11">
        <v>74</v>
      </c>
      <c r="BO499">
        <v>0</v>
      </c>
      <c r="BP499" t="s">
        <v>691</v>
      </c>
      <c r="BQ499" t="s">
        <v>693</v>
      </c>
      <c r="BR499" t="s">
        <v>700</v>
      </c>
      <c r="BS499" t="s">
        <v>704</v>
      </c>
      <c r="BT499" t="s">
        <v>705</v>
      </c>
      <c r="BU499" t="s">
        <v>706</v>
      </c>
      <c r="CT499"/>
      <c r="CU499"/>
      <c r="CV499"/>
    </row>
    <row r="500" spans="1:100" x14ac:dyDescent="0.4">
      <c r="A500" s="2" t="s">
        <v>526</v>
      </c>
      <c r="B500" t="str">
        <f>_xlfn.TEXTAFTER(Table1[[#This Row],[VEHIDCODE]],"_")</f>
        <v>Argentina_FCGU_CMM_400_2</v>
      </c>
      <c r="C500" t="s">
        <v>741</v>
      </c>
      <c r="D500" t="s">
        <v>962</v>
      </c>
      <c r="E500">
        <v>7053</v>
      </c>
      <c r="F500" t="b">
        <f>OR(ISNUMBER(SEARCH("wagon_",Table1[[#This Row],[FILENAMES_EXPECTED]])),ISNUMBER(SEARCH("coach_",Table1[[#This Row],[FILENAMES_EXPECTED]])))</f>
        <v>0</v>
      </c>
      <c r="G500" t="str">
        <f>"item_"&amp;Table1[[#This Row],[VEHIDCODE]]</f>
        <v>item_dmu_Argentina_FCGU_CMM_400_2</v>
      </c>
      <c r="H500" t="str">
        <f>"str_"&amp;Table1[[#This Row],[VEHIDCODE]]</f>
        <v>str_dmu_Argentina_FCGU_CMM_400_2</v>
      </c>
      <c r="Q500" s="2" t="b">
        <v>1</v>
      </c>
      <c r="AL500" s="2"/>
      <c r="AM500" s="2" t="b">
        <f>LEN(_xlfn.CONCAT(Table1[[#This Row],[TRACK_TYPE_STANDARD_GAUGE_RAILTYPE_OHLE]:[TRACK_TYPE_MTRO]]))&gt;0</f>
        <v>1</v>
      </c>
      <c r="AN500">
        <v>8</v>
      </c>
      <c r="AO500" t="s">
        <v>18</v>
      </c>
      <c r="AP500">
        <v>1</v>
      </c>
      <c r="AQ500" t="s">
        <v>35</v>
      </c>
      <c r="AR500">
        <v>88</v>
      </c>
      <c r="AS500">
        <v>2015</v>
      </c>
      <c r="AT500">
        <v>8</v>
      </c>
      <c r="AU500" s="2" t="s">
        <v>24</v>
      </c>
      <c r="AV500" t="b">
        <v>1</v>
      </c>
      <c r="AW500" t="b">
        <v>1</v>
      </c>
      <c r="AX500" s="2"/>
      <c r="AY500" t="s">
        <v>21</v>
      </c>
      <c r="AZ500">
        <v>1</v>
      </c>
      <c r="BA500">
        <v>800</v>
      </c>
      <c r="BB500" t="s">
        <v>710</v>
      </c>
      <c r="BC500">
        <v>160</v>
      </c>
      <c r="BD500" s="2">
        <v>0.39</v>
      </c>
      <c r="BE500" t="s">
        <v>929</v>
      </c>
      <c r="BF500" t="s">
        <v>921</v>
      </c>
      <c r="BG500" t="s">
        <v>939</v>
      </c>
      <c r="BH500" s="7">
        <v>40</v>
      </c>
      <c r="BI50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500">
        <v>0</v>
      </c>
      <c r="BK500" t="s">
        <v>733</v>
      </c>
      <c r="BL500" s="11">
        <v>88</v>
      </c>
      <c r="BM500" s="11">
        <v>8</v>
      </c>
      <c r="BN500" s="11">
        <v>48</v>
      </c>
      <c r="BO500">
        <v>0</v>
      </c>
      <c r="BP500" t="s">
        <v>691</v>
      </c>
      <c r="BQ500" t="s">
        <v>693</v>
      </c>
      <c r="BR500" t="s">
        <v>700</v>
      </c>
      <c r="BS500" t="s">
        <v>704</v>
      </c>
      <c r="BT500" t="s">
        <v>705</v>
      </c>
      <c r="BU500" t="s">
        <v>706</v>
      </c>
      <c r="CT500"/>
      <c r="CU500"/>
      <c r="CV500"/>
    </row>
    <row r="501" spans="1:100" x14ac:dyDescent="0.4">
      <c r="A501" s="2" t="s">
        <v>527</v>
      </c>
      <c r="B501" t="str">
        <f>_xlfn.TEXTAFTER(Table1[[#This Row],[VEHIDCODE]],"_")</f>
        <v>Italy_FS_ALn_442_448</v>
      </c>
      <c r="C501" t="s">
        <v>741</v>
      </c>
      <c r="D501" t="s">
        <v>962</v>
      </c>
      <c r="E501">
        <v>7038</v>
      </c>
      <c r="F501" t="b">
        <f>OR(ISNUMBER(SEARCH("wagon_",Table1[[#This Row],[FILENAMES_EXPECTED]])),ISNUMBER(SEARCH("coach_",Table1[[#This Row],[FILENAMES_EXPECTED]])))</f>
        <v>0</v>
      </c>
      <c r="G501" t="str">
        <f>"item_"&amp;Table1[[#This Row],[VEHIDCODE]]</f>
        <v>item_dmu_Italy_FS_ALn_442_448</v>
      </c>
      <c r="H501" t="str">
        <f>"str_"&amp;Table1[[#This Row],[VEHIDCODE]]</f>
        <v>str_dmu_Italy_FS_ALn_442_448</v>
      </c>
      <c r="Q501" s="2" t="b">
        <v>1</v>
      </c>
      <c r="AL501" s="2"/>
      <c r="AM501" s="2" t="b">
        <f>LEN(_xlfn.CONCAT(Table1[[#This Row],[TRACK_TYPE_STANDARD_GAUGE_RAILTYPE_OHLE]:[TRACK_TYPE_MTRO]]))&gt;0</f>
        <v>1</v>
      </c>
      <c r="AN501">
        <v>8</v>
      </c>
      <c r="AO501" t="s">
        <v>18</v>
      </c>
      <c r="AP501">
        <v>1</v>
      </c>
      <c r="AQ501" t="s">
        <v>35</v>
      </c>
      <c r="AR501">
        <v>48</v>
      </c>
      <c r="AS501">
        <v>1955</v>
      </c>
      <c r="AT501">
        <v>8</v>
      </c>
      <c r="AU501" s="2" t="s">
        <v>24</v>
      </c>
      <c r="AV501" t="b">
        <v>1</v>
      </c>
      <c r="AW501" t="b">
        <v>1</v>
      </c>
      <c r="AX501" s="2"/>
      <c r="AY501">
        <v>45</v>
      </c>
      <c r="AZ501">
        <v>1</v>
      </c>
      <c r="BA501">
        <v>980</v>
      </c>
      <c r="BB501" t="s">
        <v>710</v>
      </c>
      <c r="BC501">
        <v>140</v>
      </c>
      <c r="BD501" s="2">
        <v>0.13</v>
      </c>
      <c r="BE501" t="s">
        <v>923</v>
      </c>
      <c r="BF501" t="s">
        <v>921</v>
      </c>
      <c r="BG501" t="s">
        <v>939</v>
      </c>
      <c r="BH501" s="7">
        <v>40</v>
      </c>
      <c r="BI50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501">
        <v>0</v>
      </c>
      <c r="BK501" t="s">
        <v>733</v>
      </c>
      <c r="BL501" s="11">
        <v>48</v>
      </c>
      <c r="BM501" s="11">
        <v>8</v>
      </c>
      <c r="BN501" s="11">
        <v>52</v>
      </c>
      <c r="BO501">
        <v>0</v>
      </c>
      <c r="BP501" t="s">
        <v>691</v>
      </c>
      <c r="BQ501" t="s">
        <v>693</v>
      </c>
      <c r="BR501" t="s">
        <v>700</v>
      </c>
      <c r="BS501" t="s">
        <v>704</v>
      </c>
      <c r="BT501" t="s">
        <v>705</v>
      </c>
      <c r="BU501" t="s">
        <v>706</v>
      </c>
      <c r="CT501"/>
      <c r="CU501"/>
      <c r="CV501"/>
    </row>
    <row r="502" spans="1:100" x14ac:dyDescent="0.4">
      <c r="A502" s="2" t="s">
        <v>528</v>
      </c>
      <c r="B502" t="str">
        <f>_xlfn.TEXTAFTER(Table1[[#This Row],[VEHIDCODE]],"_")</f>
        <v>Portugal_CP_0400</v>
      </c>
      <c r="C502" t="s">
        <v>741</v>
      </c>
      <c r="D502" t="s">
        <v>962</v>
      </c>
      <c r="E502">
        <v>7040</v>
      </c>
      <c r="F502" t="b">
        <f>OR(ISNUMBER(SEARCH("wagon_",Table1[[#This Row],[FILENAMES_EXPECTED]])),ISNUMBER(SEARCH("coach_",Table1[[#This Row],[FILENAMES_EXPECTED]])))</f>
        <v>0</v>
      </c>
      <c r="G502" t="str">
        <f>"item_"&amp;Table1[[#This Row],[VEHIDCODE]]</f>
        <v>item_dmu_Portugal_CP_0400</v>
      </c>
      <c r="H502" t="str">
        <f>"str_"&amp;Table1[[#This Row],[VEHIDCODE]]</f>
        <v>str_dmu_Portugal_CP_0400</v>
      </c>
      <c r="Q502" s="2" t="b">
        <v>1</v>
      </c>
      <c r="AL502" s="2"/>
      <c r="AM502" s="2" t="b">
        <f>LEN(_xlfn.CONCAT(Table1[[#This Row],[TRACK_TYPE_STANDARD_GAUGE_RAILTYPE_OHLE]:[TRACK_TYPE_MTRO]]))&gt;0</f>
        <v>1</v>
      </c>
      <c r="AN502">
        <v>8</v>
      </c>
      <c r="AO502" t="s">
        <v>18</v>
      </c>
      <c r="AP502">
        <v>1</v>
      </c>
      <c r="AQ502" t="s">
        <v>35</v>
      </c>
      <c r="AR502">
        <v>82</v>
      </c>
      <c r="AS502">
        <v>1965</v>
      </c>
      <c r="AT502">
        <v>8</v>
      </c>
      <c r="AU502" s="2" t="s">
        <v>24</v>
      </c>
      <c r="AV502" t="b">
        <v>1</v>
      </c>
      <c r="AW502" t="b">
        <v>1</v>
      </c>
      <c r="AX502" s="2"/>
      <c r="AY502">
        <v>45</v>
      </c>
      <c r="AZ502">
        <v>1</v>
      </c>
      <c r="BA502">
        <v>1320</v>
      </c>
      <c r="BB502" t="s">
        <v>710</v>
      </c>
      <c r="BC502">
        <v>120</v>
      </c>
      <c r="BD502" s="2">
        <v>0.13</v>
      </c>
      <c r="BE502" t="s">
        <v>923</v>
      </c>
      <c r="BF502" t="s">
        <v>921</v>
      </c>
      <c r="BG502" t="s">
        <v>939</v>
      </c>
      <c r="BH502" s="7">
        <v>40</v>
      </c>
      <c r="BI50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502">
        <v>0</v>
      </c>
      <c r="BK502" t="s">
        <v>733</v>
      </c>
      <c r="BL502" s="11">
        <v>82</v>
      </c>
      <c r="BM502" s="11">
        <v>8</v>
      </c>
      <c r="BN502" s="11">
        <v>49</v>
      </c>
      <c r="BO502">
        <v>0</v>
      </c>
      <c r="BP502" t="s">
        <v>691</v>
      </c>
      <c r="BQ502" t="s">
        <v>693</v>
      </c>
      <c r="BR502" t="s">
        <v>700</v>
      </c>
      <c r="BS502" t="s">
        <v>704</v>
      </c>
      <c r="BT502" t="s">
        <v>705</v>
      </c>
      <c r="BU502" t="s">
        <v>706</v>
      </c>
      <c r="CT502"/>
      <c r="CU502"/>
      <c r="CV502"/>
    </row>
    <row r="503" spans="1:100" x14ac:dyDescent="0.4">
      <c r="A503" s="2" t="s">
        <v>529</v>
      </c>
      <c r="B503" t="str">
        <f>_xlfn.TEXTAFTER(Table1[[#This Row],[VEHIDCODE]],"_")</f>
        <v>Portugal_CP_0600</v>
      </c>
      <c r="C503" t="s">
        <v>741</v>
      </c>
      <c r="D503" t="s">
        <v>962</v>
      </c>
      <c r="E503">
        <v>7044</v>
      </c>
      <c r="F503" t="b">
        <f>OR(ISNUMBER(SEARCH("wagon_",Table1[[#This Row],[FILENAMES_EXPECTED]])),ISNUMBER(SEARCH("coach_",Table1[[#This Row],[FILENAMES_EXPECTED]])))</f>
        <v>0</v>
      </c>
      <c r="G503" t="str">
        <f>"item_"&amp;Table1[[#This Row],[VEHIDCODE]]</f>
        <v>item_dmu_Portugal_CP_0600</v>
      </c>
      <c r="H503" t="str">
        <f>"str_"&amp;Table1[[#This Row],[VEHIDCODE]]</f>
        <v>str_dmu_Portugal_CP_0600</v>
      </c>
      <c r="Q503" s="2" t="b">
        <v>1</v>
      </c>
      <c r="AL503" s="2"/>
      <c r="AM503" s="2" t="b">
        <f>LEN(_xlfn.CONCAT(Table1[[#This Row],[TRACK_TYPE_STANDARD_GAUGE_RAILTYPE_OHLE]:[TRACK_TYPE_MTRO]]))&gt;0</f>
        <v>1</v>
      </c>
      <c r="AN503">
        <v>8</v>
      </c>
      <c r="AO503" t="s">
        <v>18</v>
      </c>
      <c r="AP503">
        <v>1</v>
      </c>
      <c r="AQ503" t="s">
        <v>35</v>
      </c>
      <c r="AR503">
        <v>116</v>
      </c>
      <c r="AS503">
        <v>1979</v>
      </c>
      <c r="AT503">
        <v>8</v>
      </c>
      <c r="AU503" s="2" t="s">
        <v>24</v>
      </c>
      <c r="AV503" t="b">
        <v>1</v>
      </c>
      <c r="AW503" t="b">
        <v>1</v>
      </c>
      <c r="AX503" s="2"/>
      <c r="AY503">
        <v>45</v>
      </c>
      <c r="AZ503">
        <v>1</v>
      </c>
      <c r="BA503">
        <v>1650</v>
      </c>
      <c r="BB503" t="s">
        <v>710</v>
      </c>
      <c r="BC503">
        <v>120</v>
      </c>
      <c r="BD503" s="2">
        <v>0.21</v>
      </c>
      <c r="BE503" t="s">
        <v>923</v>
      </c>
      <c r="BF503" t="s">
        <v>921</v>
      </c>
      <c r="BG503" t="s">
        <v>939</v>
      </c>
      <c r="BH503" s="7">
        <v>40</v>
      </c>
      <c r="BI50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503">
        <v>0</v>
      </c>
      <c r="BK503" t="s">
        <v>733</v>
      </c>
      <c r="BL503" s="11">
        <v>116</v>
      </c>
      <c r="BM503" s="11">
        <v>8</v>
      </c>
      <c r="BN503" s="11">
        <v>53</v>
      </c>
      <c r="BO503">
        <v>0</v>
      </c>
      <c r="BP503" t="s">
        <v>691</v>
      </c>
      <c r="BQ503" t="s">
        <v>693</v>
      </c>
      <c r="BR503" t="s">
        <v>700</v>
      </c>
      <c r="BS503" t="s">
        <v>704</v>
      </c>
      <c r="BT503" t="s">
        <v>705</v>
      </c>
      <c r="BU503" t="s">
        <v>706</v>
      </c>
      <c r="CT503"/>
      <c r="CU503"/>
      <c r="CV503"/>
    </row>
    <row r="504" spans="1:100" x14ac:dyDescent="0.4">
      <c r="A504" s="2" t="s">
        <v>530</v>
      </c>
      <c r="B504" t="str">
        <f>_xlfn.TEXTAFTER(Table1[[#This Row],[VEHIDCODE]],"_")</f>
        <v>Spain_FEVE_2400_Apollos</v>
      </c>
      <c r="C504" t="s">
        <v>741</v>
      </c>
      <c r="D504" t="s">
        <v>962</v>
      </c>
      <c r="E504">
        <v>7046</v>
      </c>
      <c r="F504" t="b">
        <f>OR(ISNUMBER(SEARCH("wagon_",Table1[[#This Row],[FILENAMES_EXPECTED]])),ISNUMBER(SEARCH("coach_",Table1[[#This Row],[FILENAMES_EXPECTED]])))</f>
        <v>0</v>
      </c>
      <c r="G504" t="str">
        <f>"item_"&amp;Table1[[#This Row],[VEHIDCODE]]</f>
        <v>item_dmu_Spain_FEVE_2400_Apollos</v>
      </c>
      <c r="H504" t="str">
        <f>"str_"&amp;Table1[[#This Row],[VEHIDCODE]]</f>
        <v>str_dmu_Spain_FEVE_2400_Apollos</v>
      </c>
      <c r="Q504" s="2" t="b">
        <v>1</v>
      </c>
      <c r="AL504" s="2"/>
      <c r="AM504" s="2" t="b">
        <f>LEN(_xlfn.CONCAT(Table1[[#This Row],[TRACK_TYPE_STANDARD_GAUGE_RAILTYPE_OHLE]:[TRACK_TYPE_MTRO]]))&gt;0</f>
        <v>1</v>
      </c>
      <c r="AN504">
        <v>7</v>
      </c>
      <c r="AO504" t="s">
        <v>18</v>
      </c>
      <c r="AP504">
        <v>1</v>
      </c>
      <c r="AQ504" t="s">
        <v>35</v>
      </c>
      <c r="AR504">
        <v>50</v>
      </c>
      <c r="AS504">
        <v>1983</v>
      </c>
      <c r="AT504">
        <v>7</v>
      </c>
      <c r="AU504" s="2" t="s">
        <v>24</v>
      </c>
      <c r="AV504" t="b">
        <v>1</v>
      </c>
      <c r="AW504" t="b">
        <v>1</v>
      </c>
      <c r="AX504" s="2"/>
      <c r="AY504">
        <v>45</v>
      </c>
      <c r="AZ504">
        <v>1</v>
      </c>
      <c r="BA504">
        <v>720</v>
      </c>
      <c r="BB504" t="s">
        <v>710</v>
      </c>
      <c r="BC504">
        <v>100</v>
      </c>
      <c r="BD504" s="2">
        <v>0.2</v>
      </c>
      <c r="BE504" t="s">
        <v>923</v>
      </c>
      <c r="BF504" t="s">
        <v>921</v>
      </c>
      <c r="BG504" t="s">
        <v>939</v>
      </c>
      <c r="BH504" s="7">
        <v>40</v>
      </c>
      <c r="BI50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504">
        <v>0</v>
      </c>
      <c r="BK504" t="s">
        <v>733</v>
      </c>
      <c r="BL504" s="11">
        <v>50</v>
      </c>
      <c r="BM504" s="11">
        <v>7</v>
      </c>
      <c r="BN504" s="11">
        <v>44</v>
      </c>
      <c r="BO504">
        <v>0</v>
      </c>
      <c r="BP504" t="s">
        <v>691</v>
      </c>
      <c r="BQ504" t="s">
        <v>693</v>
      </c>
      <c r="BR504" t="s">
        <v>700</v>
      </c>
      <c r="BS504" t="s">
        <v>704</v>
      </c>
      <c r="BT504" t="s">
        <v>705</v>
      </c>
      <c r="BU504" t="s">
        <v>706</v>
      </c>
      <c r="CT504"/>
      <c r="CU504"/>
      <c r="CV504"/>
    </row>
    <row r="505" spans="1:100" x14ac:dyDescent="0.4">
      <c r="A505" s="2" t="s">
        <v>531</v>
      </c>
      <c r="B505" t="str">
        <f>_xlfn.TEXTAFTER(Table1[[#This Row],[VEHIDCODE]],"_")</f>
        <v>Germany_DB_691_CargoSprinter</v>
      </c>
      <c r="C505" t="s">
        <v>742</v>
      </c>
      <c r="D505" t="s">
        <v>983</v>
      </c>
      <c r="E505">
        <v>15501</v>
      </c>
      <c r="F505" t="b">
        <f>OR(ISNUMBER(SEARCH("wagon_",Table1[[#This Row],[FILENAMES_EXPECTED]])),ISNUMBER(SEARCH("coach_",Table1[[#This Row],[FILENAMES_EXPECTED]])))</f>
        <v>0</v>
      </c>
      <c r="G505" t="str">
        <f>"item_"&amp;Table1[[#This Row],[VEHIDCODE]]</f>
        <v>item_cargodmu_Germany_DB_691_CargoSprinter</v>
      </c>
      <c r="H505" t="str">
        <f>"str_"&amp;Table1[[#This Row],[VEHIDCODE]]</f>
        <v>str_cargodmu_Germany_DB_691_CargoSprinter</v>
      </c>
      <c r="Q505" s="2" t="b">
        <v>1</v>
      </c>
      <c r="AL505" s="2"/>
      <c r="AM505" s="2" t="b">
        <f>LEN(_xlfn.CONCAT(Table1[[#This Row],[TRACK_TYPE_STANDARD_GAUGE_RAILTYPE_OHLE]:[TRACK_TYPE_MTRO]]))&gt;0</f>
        <v>1</v>
      </c>
      <c r="AN505">
        <v>8</v>
      </c>
      <c r="AO505" t="s">
        <v>532</v>
      </c>
      <c r="AP505">
        <v>1</v>
      </c>
      <c r="AQ505" t="s">
        <v>35</v>
      </c>
      <c r="AR505">
        <v>40</v>
      </c>
      <c r="AS505">
        <v>1996</v>
      </c>
      <c r="AT505">
        <v>8</v>
      </c>
      <c r="AU505" s="2" t="s">
        <v>33</v>
      </c>
      <c r="AV505" t="b">
        <v>1</v>
      </c>
      <c r="AW505" t="b">
        <v>1</v>
      </c>
      <c r="AX505" s="2"/>
      <c r="AY505" t="s">
        <v>21</v>
      </c>
      <c r="AZ505">
        <v>0</v>
      </c>
      <c r="BA505">
        <v>710</v>
      </c>
      <c r="BB505" t="s">
        <v>710</v>
      </c>
      <c r="BC505">
        <v>140</v>
      </c>
      <c r="BD505" s="2">
        <v>0.17</v>
      </c>
      <c r="BE505" t="s">
        <v>922</v>
      </c>
      <c r="BF505" t="s">
        <v>921</v>
      </c>
      <c r="BG505" t="s">
        <v>939</v>
      </c>
      <c r="BH505" s="7">
        <v>25</v>
      </c>
      <c r="BI50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505">
        <v>0</v>
      </c>
      <c r="BK505" t="s">
        <v>733</v>
      </c>
      <c r="BL505" s="11">
        <v>40</v>
      </c>
      <c r="BM505" s="11">
        <v>7</v>
      </c>
      <c r="BN505" s="11">
        <v>56</v>
      </c>
      <c r="BO505">
        <v>0</v>
      </c>
      <c r="BP505" t="s">
        <v>691</v>
      </c>
      <c r="BQ505" t="s">
        <v>693</v>
      </c>
      <c r="BR505" t="s">
        <v>700</v>
      </c>
      <c r="BS505" t="s">
        <v>704</v>
      </c>
      <c r="BT505" t="s">
        <v>705</v>
      </c>
      <c r="BU505" t="s">
        <v>706</v>
      </c>
      <c r="CT505"/>
      <c r="CU505"/>
      <c r="CV505"/>
    </row>
    <row r="506" spans="1:100" x14ac:dyDescent="0.4">
      <c r="A506" s="2" t="s">
        <v>533</v>
      </c>
      <c r="B506" t="str">
        <f>_xlfn.TEXTAFTER(Table1[[#This Row],[VEHIDCODE]],"_")</f>
        <v>Australia_Sydney_Trains_A_Set_Waratah</v>
      </c>
      <c r="C506" t="s">
        <v>743</v>
      </c>
      <c r="D506" t="s">
        <v>964</v>
      </c>
      <c r="E506">
        <v>8054</v>
      </c>
      <c r="F506" t="b">
        <f>OR(ISNUMBER(SEARCH("wagon_",Table1[[#This Row],[FILENAMES_EXPECTED]])),ISNUMBER(SEARCH("coach_",Table1[[#This Row],[FILENAMES_EXPECTED]])))</f>
        <v>0</v>
      </c>
      <c r="G506" t="str">
        <f>"item_"&amp;Table1[[#This Row],[VEHIDCODE]]</f>
        <v>item_emu_Australia_Sydney_Trains_A_Set_Waratah</v>
      </c>
      <c r="H506" t="str">
        <f>"str_"&amp;Table1[[#This Row],[VEHIDCODE]]</f>
        <v>str_emu_Australia_Sydney_Trains_A_Set_Waratah</v>
      </c>
      <c r="M506" t="b">
        <v>1</v>
      </c>
      <c r="AL506" s="2"/>
      <c r="AM506" s="2" t="b">
        <f>LEN(_xlfn.CONCAT(Table1[[#This Row],[TRACK_TYPE_STANDARD_GAUGE_RAILTYPE_OHLE]:[TRACK_TYPE_MTRO]]))&gt;0</f>
        <v>1</v>
      </c>
      <c r="AN506">
        <v>8</v>
      </c>
      <c r="AO506" t="s">
        <v>18</v>
      </c>
      <c r="AP506">
        <v>1</v>
      </c>
      <c r="AQ506" t="s">
        <v>74</v>
      </c>
      <c r="AR506">
        <v>110</v>
      </c>
      <c r="AS506">
        <v>2011</v>
      </c>
      <c r="AT506">
        <v>8</v>
      </c>
      <c r="AU506" s="2" t="s">
        <v>24</v>
      </c>
      <c r="AV506" t="b">
        <v>1</v>
      </c>
      <c r="AW506" t="b">
        <v>1</v>
      </c>
      <c r="AX506" s="2"/>
      <c r="AY506" t="s">
        <v>21</v>
      </c>
      <c r="AZ506">
        <v>1</v>
      </c>
      <c r="BA506">
        <v>1120</v>
      </c>
      <c r="BB506" t="s">
        <v>708</v>
      </c>
      <c r="BC506">
        <v>130</v>
      </c>
      <c r="BD506" s="2">
        <v>0.25</v>
      </c>
      <c r="BE506" t="s">
        <v>924</v>
      </c>
      <c r="BF506" t="s">
        <v>921</v>
      </c>
      <c r="BG506" t="s">
        <v>939</v>
      </c>
      <c r="BH506" s="7">
        <v>25</v>
      </c>
      <c r="BI50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506">
        <v>0</v>
      </c>
      <c r="BK506" t="s">
        <v>733</v>
      </c>
      <c r="BL506" s="11">
        <v>110</v>
      </c>
      <c r="BM506" s="11">
        <v>8</v>
      </c>
      <c r="BN506" s="11">
        <v>51</v>
      </c>
      <c r="BO506">
        <v>0</v>
      </c>
      <c r="BP506" t="s">
        <v>691</v>
      </c>
      <c r="BQ506" t="s">
        <v>693</v>
      </c>
      <c r="BR506" t="s">
        <v>700</v>
      </c>
      <c r="BS506" t="s">
        <v>704</v>
      </c>
      <c r="BT506" t="s">
        <v>705</v>
      </c>
      <c r="BU506" t="s">
        <v>706</v>
      </c>
      <c r="CT506"/>
      <c r="CU506"/>
      <c r="CV506"/>
    </row>
    <row r="507" spans="1:100" x14ac:dyDescent="0.4">
      <c r="A507" s="2" t="s">
        <v>534</v>
      </c>
      <c r="B507" t="str">
        <f>_xlfn.TEXTAFTER(Table1[[#This Row],[VEHIDCODE]],"_")</f>
        <v>Denmark_DSB_S_Tog_II</v>
      </c>
      <c r="C507" t="s">
        <v>743</v>
      </c>
      <c r="D507" t="s">
        <v>964</v>
      </c>
      <c r="E507">
        <v>8013</v>
      </c>
      <c r="F507" t="b">
        <f>OR(ISNUMBER(SEARCH("wagon_",Table1[[#This Row],[FILENAMES_EXPECTED]])),ISNUMBER(SEARCH("coach_",Table1[[#This Row],[FILENAMES_EXPECTED]])))</f>
        <v>0</v>
      </c>
      <c r="G507" t="str">
        <f>"item_"&amp;Table1[[#This Row],[VEHIDCODE]]</f>
        <v>item_emu_Denmark_DSB_S_Tog_II</v>
      </c>
      <c r="H507" t="str">
        <f>"str_"&amp;Table1[[#This Row],[VEHIDCODE]]</f>
        <v>str_emu_Denmark_DSB_S_Tog_II</v>
      </c>
      <c r="M507" t="b">
        <v>1</v>
      </c>
      <c r="AL507" s="2"/>
      <c r="AM507" s="2" t="b">
        <f>LEN(_xlfn.CONCAT(Table1[[#This Row],[TRACK_TYPE_STANDARD_GAUGE_RAILTYPE_OHLE]:[TRACK_TYPE_MTRO]]))&gt;0</f>
        <v>1</v>
      </c>
      <c r="AN507">
        <v>8</v>
      </c>
      <c r="AO507" t="s">
        <v>18</v>
      </c>
      <c r="AP507">
        <v>1</v>
      </c>
      <c r="AQ507" t="s">
        <v>74</v>
      </c>
      <c r="AR507">
        <v>56</v>
      </c>
      <c r="AS507">
        <v>1966</v>
      </c>
      <c r="AT507">
        <v>8</v>
      </c>
      <c r="AU507" s="2" t="s">
        <v>24</v>
      </c>
      <c r="AV507" t="b">
        <v>1</v>
      </c>
      <c r="AW507" t="b">
        <v>1</v>
      </c>
      <c r="AX507" s="2"/>
      <c r="AY507">
        <v>45</v>
      </c>
      <c r="AZ507">
        <v>1</v>
      </c>
      <c r="BA507">
        <v>200</v>
      </c>
      <c r="BB507" t="s">
        <v>708</v>
      </c>
      <c r="BC507">
        <v>100</v>
      </c>
      <c r="BD507" s="2">
        <v>0.14000000000000001</v>
      </c>
      <c r="BE507" t="s">
        <v>926</v>
      </c>
      <c r="BF507" t="s">
        <v>921</v>
      </c>
      <c r="BG507" t="s">
        <v>939</v>
      </c>
      <c r="BH507" s="7">
        <v>25</v>
      </c>
      <c r="BI50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507">
        <v>0</v>
      </c>
      <c r="BK507" t="s">
        <v>733</v>
      </c>
      <c r="BL507" s="11">
        <v>42</v>
      </c>
      <c r="BM507" s="11">
        <v>8</v>
      </c>
      <c r="BN507" s="11">
        <v>45</v>
      </c>
      <c r="BO507">
        <v>0</v>
      </c>
      <c r="BP507" t="s">
        <v>691</v>
      </c>
      <c r="BQ507" t="s">
        <v>693</v>
      </c>
      <c r="BR507" t="s">
        <v>700</v>
      </c>
      <c r="BS507" t="s">
        <v>704</v>
      </c>
      <c r="BT507" t="s">
        <v>705</v>
      </c>
      <c r="BU507" t="s">
        <v>706</v>
      </c>
      <c r="CT507"/>
      <c r="CU507"/>
      <c r="CV507"/>
    </row>
    <row r="508" spans="1:100" x14ac:dyDescent="0.4">
      <c r="A508" s="2" t="s">
        <v>535</v>
      </c>
      <c r="B508" t="str">
        <f>_xlfn.TEXTAFTER(Table1[[#This Row],[VEHIDCODE]],"_")</f>
        <v>Denmark_DSB_S_Tog_IV</v>
      </c>
      <c r="C508" t="s">
        <v>743</v>
      </c>
      <c r="D508" t="s">
        <v>964</v>
      </c>
      <c r="E508">
        <v>8028</v>
      </c>
      <c r="F508" t="b">
        <f>OR(ISNUMBER(SEARCH("wagon_",Table1[[#This Row],[FILENAMES_EXPECTED]])),ISNUMBER(SEARCH("coach_",Table1[[#This Row],[FILENAMES_EXPECTED]])))</f>
        <v>0</v>
      </c>
      <c r="G508" t="str">
        <f>"item_"&amp;Table1[[#This Row],[VEHIDCODE]]</f>
        <v>item_emu_Denmark_DSB_S_Tog_IV</v>
      </c>
      <c r="H508" t="str">
        <f>"str_"&amp;Table1[[#This Row],[VEHIDCODE]]</f>
        <v>str_emu_Denmark_DSB_S_Tog_IV</v>
      </c>
      <c r="M508" t="b">
        <v>1</v>
      </c>
      <c r="AL508" s="2"/>
      <c r="AM508" s="2" t="b">
        <f>LEN(_xlfn.CONCAT(Table1[[#This Row],[TRACK_TYPE_STANDARD_GAUGE_RAILTYPE_OHLE]:[TRACK_TYPE_MTRO]]))&gt;0</f>
        <v>1</v>
      </c>
      <c r="AN508">
        <v>5</v>
      </c>
      <c r="AO508" t="s">
        <v>18</v>
      </c>
      <c r="AP508">
        <v>1</v>
      </c>
      <c r="AQ508" t="s">
        <v>74</v>
      </c>
      <c r="AR508">
        <v>42</v>
      </c>
      <c r="AS508">
        <v>1996</v>
      </c>
      <c r="AT508">
        <v>5</v>
      </c>
      <c r="AU508" s="2" t="s">
        <v>24</v>
      </c>
      <c r="AV508" t="b">
        <v>1</v>
      </c>
      <c r="AW508" t="b">
        <v>1</v>
      </c>
      <c r="AX508" s="2"/>
      <c r="AY508" t="s">
        <v>21</v>
      </c>
      <c r="AZ508">
        <v>1</v>
      </c>
      <c r="BA508">
        <v>290</v>
      </c>
      <c r="BB508" t="s">
        <v>708</v>
      </c>
      <c r="BC508">
        <v>120</v>
      </c>
      <c r="BD508" s="2">
        <v>0.47</v>
      </c>
      <c r="BE508" t="s">
        <v>926</v>
      </c>
      <c r="BF508" t="s">
        <v>921</v>
      </c>
      <c r="BG508" t="s">
        <v>939</v>
      </c>
      <c r="BH508" s="7">
        <v>25</v>
      </c>
      <c r="BI50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508">
        <v>0</v>
      </c>
      <c r="BK508" t="s">
        <v>733</v>
      </c>
      <c r="BL508" s="11">
        <v>42</v>
      </c>
      <c r="BM508" s="11">
        <v>5</v>
      </c>
      <c r="BN508" s="11">
        <v>16</v>
      </c>
      <c r="BO508">
        <v>0</v>
      </c>
      <c r="BP508" t="s">
        <v>691</v>
      </c>
      <c r="BQ508" t="s">
        <v>693</v>
      </c>
      <c r="BR508" t="s">
        <v>700</v>
      </c>
      <c r="BS508" t="s">
        <v>704</v>
      </c>
      <c r="BT508" t="s">
        <v>705</v>
      </c>
      <c r="BU508" t="s">
        <v>706</v>
      </c>
      <c r="CT508"/>
      <c r="CU508"/>
      <c r="CV508"/>
    </row>
    <row r="509" spans="1:100" x14ac:dyDescent="0.4">
      <c r="A509" s="2" t="s">
        <v>536</v>
      </c>
      <c r="B509" t="str">
        <f>_xlfn.TEXTAFTER(Table1[[#This Row],[VEHIDCODE]],"_")</f>
        <v>Italy_ATAC_ECD_21_30</v>
      </c>
      <c r="C509" t="s">
        <v>743</v>
      </c>
      <c r="D509" t="s">
        <v>964</v>
      </c>
      <c r="E509">
        <v>8002</v>
      </c>
      <c r="F509" t="b">
        <f>OR(ISNUMBER(SEARCH("wagon_",Table1[[#This Row],[FILENAMES_EXPECTED]])),ISNUMBER(SEARCH("coach_",Table1[[#This Row],[FILENAMES_EXPECTED]])))</f>
        <v>0</v>
      </c>
      <c r="G509" t="str">
        <f>"item_"&amp;Table1[[#This Row],[VEHIDCODE]]</f>
        <v>item_emu_Italy_ATAC_ECD_21_30</v>
      </c>
      <c r="H509" t="str">
        <f>"str_"&amp;Table1[[#This Row],[VEHIDCODE]]</f>
        <v>str_emu_Italy_ATAC_ECD_21_30</v>
      </c>
      <c r="M509" t="b">
        <v>1</v>
      </c>
      <c r="AL509" s="2"/>
      <c r="AM509" s="2" t="b">
        <f>LEN(_xlfn.CONCAT(Table1[[#This Row],[TRACK_TYPE_STANDARD_GAUGE_RAILTYPE_OHLE]:[TRACK_TYPE_MTRO]]))&gt;0</f>
        <v>1</v>
      </c>
      <c r="AN509">
        <v>8</v>
      </c>
      <c r="AO509" t="s">
        <v>18</v>
      </c>
      <c r="AP509">
        <v>1</v>
      </c>
      <c r="AQ509" t="s">
        <v>74</v>
      </c>
      <c r="AR509">
        <v>34</v>
      </c>
      <c r="AS509">
        <v>1932</v>
      </c>
      <c r="AT509">
        <v>8</v>
      </c>
      <c r="AU509" s="2" t="s">
        <v>24</v>
      </c>
      <c r="AV509" t="b">
        <v>1</v>
      </c>
      <c r="AW509" t="b">
        <v>1</v>
      </c>
      <c r="AX509" s="2"/>
      <c r="AY509">
        <v>45</v>
      </c>
      <c r="AZ509">
        <v>1</v>
      </c>
      <c r="BA509">
        <v>650</v>
      </c>
      <c r="BB509" t="s">
        <v>708</v>
      </c>
      <c r="BC509">
        <v>72</v>
      </c>
      <c r="BD509" s="2">
        <v>0.34</v>
      </c>
      <c r="BE509" t="s">
        <v>923</v>
      </c>
      <c r="BF509" t="s">
        <v>921</v>
      </c>
      <c r="BG509" t="s">
        <v>939</v>
      </c>
      <c r="BH509" s="7">
        <v>25</v>
      </c>
      <c r="BI50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509">
        <v>0</v>
      </c>
      <c r="BK509" t="s">
        <v>733</v>
      </c>
      <c r="BL509" s="11">
        <v>34</v>
      </c>
      <c r="BM509" s="11">
        <v>8</v>
      </c>
      <c r="BN509" s="11">
        <v>31</v>
      </c>
      <c r="BO509">
        <v>0</v>
      </c>
      <c r="BP509" t="s">
        <v>691</v>
      </c>
      <c r="BQ509" t="s">
        <v>693</v>
      </c>
      <c r="BR509" t="s">
        <v>700</v>
      </c>
      <c r="BS509" t="s">
        <v>704</v>
      </c>
      <c r="BT509" t="s">
        <v>705</v>
      </c>
      <c r="BU509" t="s">
        <v>706</v>
      </c>
      <c r="CT509"/>
      <c r="CU509"/>
      <c r="CV509"/>
    </row>
    <row r="510" spans="1:100" x14ac:dyDescent="0.4">
      <c r="A510" s="2" t="s">
        <v>537</v>
      </c>
      <c r="B510" t="str">
        <f>_xlfn.TEXTAFTER(Table1[[#This Row],[VEHIDCODE]],"_")</f>
        <v>Netherlands_NS_Mat24</v>
      </c>
      <c r="C510" t="s">
        <v>743</v>
      </c>
      <c r="D510" t="s">
        <v>964</v>
      </c>
      <c r="E510">
        <v>8000</v>
      </c>
      <c r="F510" t="b">
        <f>OR(ISNUMBER(SEARCH("wagon_",Table1[[#This Row],[FILENAMES_EXPECTED]])),ISNUMBER(SEARCH("coach_",Table1[[#This Row],[FILENAMES_EXPECTED]])))</f>
        <v>0</v>
      </c>
      <c r="G510" t="str">
        <f>"item_"&amp;Table1[[#This Row],[VEHIDCODE]]</f>
        <v>item_emu_Netherlands_NS_Mat24</v>
      </c>
      <c r="H510" t="str">
        <f>"str_"&amp;Table1[[#This Row],[VEHIDCODE]]</f>
        <v>str_emu_Netherlands_NS_Mat24</v>
      </c>
      <c r="M510" t="b">
        <v>1</v>
      </c>
      <c r="AL510" s="2"/>
      <c r="AM510" s="2" t="b">
        <f>LEN(_xlfn.CONCAT(Table1[[#This Row],[TRACK_TYPE_STANDARD_GAUGE_RAILTYPE_OHLE]:[TRACK_TYPE_MTRO]]))&gt;0</f>
        <v>1</v>
      </c>
      <c r="AN510">
        <v>8</v>
      </c>
      <c r="AO510" t="s">
        <v>18</v>
      </c>
      <c r="AP510">
        <v>1</v>
      </c>
      <c r="AQ510" t="s">
        <v>74</v>
      </c>
      <c r="AR510">
        <v>30</v>
      </c>
      <c r="AS510">
        <v>1924</v>
      </c>
      <c r="AT510">
        <v>8</v>
      </c>
      <c r="AU510" s="2" t="s">
        <v>24</v>
      </c>
      <c r="AV510" t="b">
        <v>1</v>
      </c>
      <c r="AW510" t="b">
        <v>1</v>
      </c>
      <c r="AX510" s="2"/>
      <c r="AY510">
        <v>45</v>
      </c>
      <c r="AZ510">
        <v>1</v>
      </c>
      <c r="BA510">
        <v>709</v>
      </c>
      <c r="BB510" t="s">
        <v>708</v>
      </c>
      <c r="BC510">
        <v>100</v>
      </c>
      <c r="BD510" s="2">
        <v>0.41</v>
      </c>
      <c r="BE510" t="s">
        <v>922</v>
      </c>
      <c r="BF510" t="s">
        <v>921</v>
      </c>
      <c r="BG510" t="s">
        <v>939</v>
      </c>
      <c r="BH510" s="7">
        <v>25</v>
      </c>
      <c r="BI51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510">
        <v>0</v>
      </c>
      <c r="BK510" t="s">
        <v>733</v>
      </c>
      <c r="BL510" s="11">
        <v>30</v>
      </c>
      <c r="BM510" s="11">
        <v>8</v>
      </c>
      <c r="BN510" s="11">
        <v>30</v>
      </c>
      <c r="BO510">
        <v>0</v>
      </c>
      <c r="BP510" t="s">
        <v>691</v>
      </c>
      <c r="BQ510" t="s">
        <v>693</v>
      </c>
      <c r="BR510" t="s">
        <v>700</v>
      </c>
      <c r="BS510" t="s">
        <v>704</v>
      </c>
      <c r="BT510" t="s">
        <v>705</v>
      </c>
      <c r="BU510" t="s">
        <v>706</v>
      </c>
      <c r="CT510"/>
      <c r="CU510"/>
      <c r="CV510"/>
    </row>
    <row r="511" spans="1:100" x14ac:dyDescent="0.4">
      <c r="A511" s="2" t="s">
        <v>538</v>
      </c>
      <c r="B511" t="str">
        <f>_xlfn.TEXTAFTER(Table1[[#This Row],[VEHIDCODE]],"_")</f>
        <v>Netherlands_NS_Mat36</v>
      </c>
      <c r="C511" t="s">
        <v>743</v>
      </c>
      <c r="D511" t="s">
        <v>964</v>
      </c>
      <c r="E511">
        <v>8003</v>
      </c>
      <c r="F511" t="b">
        <f>OR(ISNUMBER(SEARCH("wagon_",Table1[[#This Row],[FILENAMES_EXPECTED]])),ISNUMBER(SEARCH("coach_",Table1[[#This Row],[FILENAMES_EXPECTED]])))</f>
        <v>0</v>
      </c>
      <c r="G511" t="str">
        <f>"item_"&amp;Table1[[#This Row],[VEHIDCODE]]</f>
        <v>item_emu_Netherlands_NS_Mat36</v>
      </c>
      <c r="H511" t="str">
        <f>"str_"&amp;Table1[[#This Row],[VEHIDCODE]]</f>
        <v>str_emu_Netherlands_NS_Mat36</v>
      </c>
      <c r="M511" t="b">
        <v>1</v>
      </c>
      <c r="AL511" s="2"/>
      <c r="AM511" s="2" t="b">
        <f>LEN(_xlfn.CONCAT(Table1[[#This Row],[TRACK_TYPE_STANDARD_GAUGE_RAILTYPE_OHLE]:[TRACK_TYPE_MTRO]]))&gt;0</f>
        <v>1</v>
      </c>
      <c r="AN511">
        <v>8</v>
      </c>
      <c r="AO511" t="s">
        <v>18</v>
      </c>
      <c r="AP511">
        <v>1</v>
      </c>
      <c r="AQ511" t="s">
        <v>74</v>
      </c>
      <c r="AR511">
        <v>52</v>
      </c>
      <c r="AS511">
        <v>1936</v>
      </c>
      <c r="AT511">
        <v>8</v>
      </c>
      <c r="AU511" s="2" t="s">
        <v>24</v>
      </c>
      <c r="AV511" t="b">
        <v>1</v>
      </c>
      <c r="AW511" t="b">
        <v>1</v>
      </c>
      <c r="AX511" s="2"/>
      <c r="AY511">
        <v>45</v>
      </c>
      <c r="AZ511">
        <v>1</v>
      </c>
      <c r="BA511">
        <v>533</v>
      </c>
      <c r="BB511" t="s">
        <v>708</v>
      </c>
      <c r="BC511">
        <v>125</v>
      </c>
      <c r="BD511" s="2">
        <v>0.38</v>
      </c>
      <c r="BE511" t="s">
        <v>922</v>
      </c>
      <c r="BF511" t="s">
        <v>921</v>
      </c>
      <c r="BG511" t="s">
        <v>939</v>
      </c>
      <c r="BH511" s="7">
        <v>25</v>
      </c>
      <c r="BI51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511">
        <v>0</v>
      </c>
      <c r="BK511" t="s">
        <v>733</v>
      </c>
      <c r="BL511" s="11">
        <v>52</v>
      </c>
      <c r="BM511" s="11">
        <v>8</v>
      </c>
      <c r="BN511" s="11">
        <v>45</v>
      </c>
      <c r="BO511">
        <v>0</v>
      </c>
      <c r="BP511" t="s">
        <v>691</v>
      </c>
      <c r="BQ511" t="s">
        <v>693</v>
      </c>
      <c r="BR511" t="s">
        <v>700</v>
      </c>
      <c r="BS511" t="s">
        <v>704</v>
      </c>
      <c r="BT511" t="s">
        <v>705</v>
      </c>
      <c r="BU511" t="s">
        <v>706</v>
      </c>
      <c r="CT511"/>
      <c r="CU511"/>
      <c r="CV511"/>
    </row>
    <row r="512" spans="1:100" x14ac:dyDescent="0.4">
      <c r="A512" s="2" t="s">
        <v>539</v>
      </c>
      <c r="B512" t="str">
        <f>_xlfn.TEXTAFTER(Table1[[#This Row],[VEHIDCODE]],"_")</f>
        <v>Netherlands_NS_Mat54</v>
      </c>
      <c r="C512" t="s">
        <v>743</v>
      </c>
      <c r="D512" t="s">
        <v>964</v>
      </c>
      <c r="E512">
        <v>8007</v>
      </c>
      <c r="F512" t="b">
        <f>OR(ISNUMBER(SEARCH("wagon_",Table1[[#This Row],[FILENAMES_EXPECTED]])),ISNUMBER(SEARCH("coach_",Table1[[#This Row],[FILENAMES_EXPECTED]])))</f>
        <v>0</v>
      </c>
      <c r="G512" t="str">
        <f>"item_"&amp;Table1[[#This Row],[VEHIDCODE]]</f>
        <v>item_emu_Netherlands_NS_Mat54</v>
      </c>
      <c r="H512" t="str">
        <f>"str_"&amp;Table1[[#This Row],[VEHIDCODE]]</f>
        <v>str_emu_Netherlands_NS_Mat54</v>
      </c>
      <c r="M512" t="b">
        <v>1</v>
      </c>
      <c r="AL512" s="2"/>
      <c r="AM512" s="2" t="b">
        <f>LEN(_xlfn.CONCAT(Table1[[#This Row],[TRACK_TYPE_STANDARD_GAUGE_RAILTYPE_OHLE]:[TRACK_TYPE_MTRO]]))&gt;0</f>
        <v>1</v>
      </c>
      <c r="AN512">
        <v>8</v>
      </c>
      <c r="AO512" t="s">
        <v>18</v>
      </c>
      <c r="AP512">
        <v>1</v>
      </c>
      <c r="AQ512" t="s">
        <v>74</v>
      </c>
      <c r="AR512">
        <v>60</v>
      </c>
      <c r="AS512">
        <v>1954</v>
      </c>
      <c r="AT512">
        <v>8</v>
      </c>
      <c r="AU512" s="2" t="s">
        <v>24</v>
      </c>
      <c r="AV512" t="b">
        <v>1</v>
      </c>
      <c r="AW512" t="b">
        <v>1</v>
      </c>
      <c r="AX512" s="2"/>
      <c r="AY512">
        <v>45</v>
      </c>
      <c r="AZ512">
        <v>1</v>
      </c>
      <c r="BA512">
        <v>910</v>
      </c>
      <c r="BB512" t="s">
        <v>708</v>
      </c>
      <c r="BC512">
        <v>140</v>
      </c>
      <c r="BD512" s="2">
        <v>0.28000000000000003</v>
      </c>
      <c r="BE512" t="s">
        <v>922</v>
      </c>
      <c r="BF512" t="s">
        <v>921</v>
      </c>
      <c r="BG512" t="s">
        <v>939</v>
      </c>
      <c r="BH512" s="7">
        <v>25</v>
      </c>
      <c r="BI51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512">
        <v>0</v>
      </c>
      <c r="BK512" t="s">
        <v>733</v>
      </c>
      <c r="BL512" s="11">
        <v>60</v>
      </c>
      <c r="BM512" s="11">
        <v>8</v>
      </c>
      <c r="BN512" s="11">
        <v>55</v>
      </c>
      <c r="BO512">
        <v>0</v>
      </c>
      <c r="BP512" t="s">
        <v>691</v>
      </c>
      <c r="BQ512" t="s">
        <v>693</v>
      </c>
      <c r="BR512" t="s">
        <v>700</v>
      </c>
      <c r="BS512" t="s">
        <v>704</v>
      </c>
      <c r="BT512" t="s">
        <v>705</v>
      </c>
      <c r="BU512" t="s">
        <v>706</v>
      </c>
      <c r="CT512"/>
      <c r="CU512"/>
      <c r="CV512"/>
    </row>
    <row r="513" spans="1:100" x14ac:dyDescent="0.4">
      <c r="A513" s="2" t="s">
        <v>540</v>
      </c>
      <c r="B513" t="str">
        <f>_xlfn.TEXTAFTER(Table1[[#This Row],[VEHIDCODE]],"_")</f>
        <v>Netherlands_NS_Plan_Y</v>
      </c>
      <c r="C513" t="s">
        <v>743</v>
      </c>
      <c r="D513" t="s">
        <v>964</v>
      </c>
      <c r="E513">
        <v>8017</v>
      </c>
      <c r="F513" t="b">
        <f>OR(ISNUMBER(SEARCH("wagon_",Table1[[#This Row],[FILENAMES_EXPECTED]])),ISNUMBER(SEARCH("coach_",Table1[[#This Row],[FILENAMES_EXPECTED]])))</f>
        <v>0</v>
      </c>
      <c r="G513" t="str">
        <f>"item_"&amp;Table1[[#This Row],[VEHIDCODE]]</f>
        <v>item_emu_Netherlands_NS_Plan_Y</v>
      </c>
      <c r="H513" t="str">
        <f>"str_"&amp;Table1[[#This Row],[VEHIDCODE]]</f>
        <v>str_emu_Netherlands_NS_Plan_Y</v>
      </c>
      <c r="M513" t="b">
        <v>1</v>
      </c>
      <c r="AL513" s="2"/>
      <c r="AM513" s="2" t="b">
        <f>LEN(_xlfn.CONCAT(Table1[[#This Row],[TRACK_TYPE_STANDARD_GAUGE_RAILTYPE_OHLE]:[TRACK_TYPE_MTRO]]))&gt;0</f>
        <v>1</v>
      </c>
      <c r="AN513">
        <v>8</v>
      </c>
      <c r="AO513" t="s">
        <v>18</v>
      </c>
      <c r="AP513">
        <v>1</v>
      </c>
      <c r="AQ513" t="s">
        <v>74</v>
      </c>
      <c r="AR513">
        <v>66</v>
      </c>
      <c r="AS513">
        <v>1975</v>
      </c>
      <c r="AT513">
        <v>8</v>
      </c>
      <c r="AU513" s="2" t="s">
        <v>24</v>
      </c>
      <c r="AV513" t="b">
        <v>1</v>
      </c>
      <c r="AW513" t="b">
        <v>1</v>
      </c>
      <c r="AX513" s="2"/>
      <c r="AY513">
        <v>45</v>
      </c>
      <c r="AZ513">
        <v>1</v>
      </c>
      <c r="BA513">
        <v>572</v>
      </c>
      <c r="BB513" t="s">
        <v>708</v>
      </c>
      <c r="BC513">
        <v>125</v>
      </c>
      <c r="BD513" s="2">
        <v>0.19</v>
      </c>
      <c r="BE513" t="s">
        <v>922</v>
      </c>
      <c r="BF513" t="s">
        <v>921</v>
      </c>
      <c r="BG513" t="s">
        <v>939</v>
      </c>
      <c r="BH513" s="7">
        <v>25</v>
      </c>
      <c r="BI51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513">
        <v>0</v>
      </c>
      <c r="BK513" t="s">
        <v>733</v>
      </c>
      <c r="BL513" s="11">
        <v>66</v>
      </c>
      <c r="BM513" s="11">
        <v>8</v>
      </c>
      <c r="BN513" s="11">
        <v>53</v>
      </c>
      <c r="BO513">
        <v>0</v>
      </c>
      <c r="BP513" t="s">
        <v>691</v>
      </c>
      <c r="BQ513" t="s">
        <v>693</v>
      </c>
      <c r="BR513" t="s">
        <v>700</v>
      </c>
      <c r="BS513" t="s">
        <v>704</v>
      </c>
      <c r="BT513" t="s">
        <v>705</v>
      </c>
      <c r="BU513" t="s">
        <v>706</v>
      </c>
      <c r="CT513"/>
      <c r="CU513"/>
      <c r="CV513"/>
    </row>
    <row r="514" spans="1:100" x14ac:dyDescent="0.4">
      <c r="A514" s="2" t="s">
        <v>541</v>
      </c>
      <c r="B514" t="str">
        <f>_xlfn.TEXTAFTER(Table1[[#This Row],[VEHIDCODE]],"_")</f>
        <v>Netherlands_NS_ICM_4000</v>
      </c>
      <c r="C514" t="s">
        <v>743</v>
      </c>
      <c r="D514" t="s">
        <v>964</v>
      </c>
      <c r="E514">
        <v>8018</v>
      </c>
      <c r="F514" t="b">
        <f>OR(ISNUMBER(SEARCH("wagon_",Table1[[#This Row],[FILENAMES_EXPECTED]])),ISNUMBER(SEARCH("coach_",Table1[[#This Row],[FILENAMES_EXPECTED]])))</f>
        <v>0</v>
      </c>
      <c r="G514" t="str">
        <f>"item_"&amp;Table1[[#This Row],[VEHIDCODE]]</f>
        <v>item_emu_Netherlands_NS_ICM_4000</v>
      </c>
      <c r="H514" t="str">
        <f>"str_"&amp;Table1[[#This Row],[VEHIDCODE]]</f>
        <v>str_emu_Netherlands_NS_ICM_4000</v>
      </c>
      <c r="M514" t="b">
        <v>1</v>
      </c>
      <c r="AL514" s="2"/>
      <c r="AM514" s="2" t="b">
        <f>LEN(_xlfn.CONCAT(Table1[[#This Row],[TRACK_TYPE_STANDARD_GAUGE_RAILTYPE_OHLE]:[TRACK_TYPE_MTRO]]))&gt;0</f>
        <v>1</v>
      </c>
      <c r="AN514">
        <v>8</v>
      </c>
      <c r="AO514" t="s">
        <v>18</v>
      </c>
      <c r="AP514">
        <v>1</v>
      </c>
      <c r="AQ514" t="s">
        <v>74</v>
      </c>
      <c r="AR514">
        <v>61</v>
      </c>
      <c r="AS514">
        <v>1979</v>
      </c>
      <c r="AT514">
        <v>8</v>
      </c>
      <c r="AU514" s="2" t="s">
        <v>24</v>
      </c>
      <c r="AV514" t="b">
        <v>1</v>
      </c>
      <c r="AW514" t="b">
        <v>1</v>
      </c>
      <c r="AX514" s="2"/>
      <c r="AY514">
        <v>45</v>
      </c>
      <c r="AZ514">
        <v>1</v>
      </c>
      <c r="BA514">
        <v>600</v>
      </c>
      <c r="BB514" t="s">
        <v>708</v>
      </c>
      <c r="BC514">
        <v>160</v>
      </c>
      <c r="BD514" s="2">
        <v>0.48</v>
      </c>
      <c r="BE514" t="s">
        <v>922</v>
      </c>
      <c r="BF514" t="s">
        <v>921</v>
      </c>
      <c r="BG514" t="s">
        <v>939</v>
      </c>
      <c r="BH514" s="7">
        <v>25</v>
      </c>
      <c r="BI51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514">
        <v>0</v>
      </c>
      <c r="BK514" t="s">
        <v>733</v>
      </c>
      <c r="BL514" s="11">
        <v>61</v>
      </c>
      <c r="BM514" s="11">
        <v>8</v>
      </c>
      <c r="BN514" s="11">
        <v>49</v>
      </c>
      <c r="BO514">
        <v>0</v>
      </c>
      <c r="BP514" t="s">
        <v>691</v>
      </c>
      <c r="BQ514" t="s">
        <v>693</v>
      </c>
      <c r="BR514" t="s">
        <v>700</v>
      </c>
      <c r="BS514" t="s">
        <v>704</v>
      </c>
      <c r="BT514" t="s">
        <v>705</v>
      </c>
      <c r="BU514" t="s">
        <v>706</v>
      </c>
      <c r="CT514"/>
      <c r="CU514"/>
      <c r="CV514"/>
    </row>
    <row r="515" spans="1:100" x14ac:dyDescent="0.4">
      <c r="A515" s="2" t="s">
        <v>542</v>
      </c>
      <c r="B515" t="str">
        <f>_xlfn.TEXTAFTER(Table1[[#This Row],[VEHIDCODE]],"_")</f>
        <v>Netherlands_NS_DD_IRM_VIRM</v>
      </c>
      <c r="C515" t="s">
        <v>743</v>
      </c>
      <c r="D515" t="s">
        <v>964</v>
      </c>
      <c r="E515">
        <v>8025</v>
      </c>
      <c r="F515" t="b">
        <f>OR(ISNUMBER(SEARCH("wagon_",Table1[[#This Row],[FILENAMES_EXPECTED]])),ISNUMBER(SEARCH("coach_",Table1[[#This Row],[FILENAMES_EXPECTED]])))</f>
        <v>0</v>
      </c>
      <c r="G515" t="str">
        <f>"item_"&amp;Table1[[#This Row],[VEHIDCODE]]</f>
        <v>item_emu_Netherlands_NS_DD_IRM_VIRM</v>
      </c>
      <c r="H515" t="str">
        <f>"str_"&amp;Table1[[#This Row],[VEHIDCODE]]</f>
        <v>str_emu_Netherlands_NS_DD_IRM_VIRM</v>
      </c>
      <c r="M515" t="b">
        <v>1</v>
      </c>
      <c r="AL515" s="2"/>
      <c r="AM515" s="2" t="b">
        <f>LEN(_xlfn.CONCAT(Table1[[#This Row],[TRACK_TYPE_STANDARD_GAUGE_RAILTYPE_OHLE]:[TRACK_TYPE_MTRO]]))&gt;0</f>
        <v>1</v>
      </c>
      <c r="AN515">
        <v>8</v>
      </c>
      <c r="AO515" t="s">
        <v>18</v>
      </c>
      <c r="AP515">
        <v>1</v>
      </c>
      <c r="AQ515" t="s">
        <v>74</v>
      </c>
      <c r="AR515">
        <v>91</v>
      </c>
      <c r="AS515">
        <v>1994</v>
      </c>
      <c r="AT515">
        <v>8</v>
      </c>
      <c r="AU515" s="2" t="s">
        <v>24</v>
      </c>
      <c r="AV515" t="b">
        <v>1</v>
      </c>
      <c r="AW515" t="b">
        <v>1</v>
      </c>
      <c r="AX515" s="2"/>
      <c r="AY515" t="s">
        <v>21</v>
      </c>
      <c r="AZ515">
        <v>1</v>
      </c>
      <c r="BA515">
        <v>718</v>
      </c>
      <c r="BB515" t="s">
        <v>708</v>
      </c>
      <c r="BC515">
        <v>160</v>
      </c>
      <c r="BD515" s="2">
        <v>0.26</v>
      </c>
      <c r="BE515" t="s">
        <v>922</v>
      </c>
      <c r="BF515" t="s">
        <v>921</v>
      </c>
      <c r="BG515" t="s">
        <v>939</v>
      </c>
      <c r="BH515" s="7">
        <v>25</v>
      </c>
      <c r="BI51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515">
        <v>0</v>
      </c>
      <c r="BK515" t="s">
        <v>733</v>
      </c>
      <c r="BL515" s="11">
        <v>91</v>
      </c>
      <c r="BM515" s="11">
        <v>8</v>
      </c>
      <c r="BN515" s="11">
        <v>59</v>
      </c>
      <c r="BO515">
        <v>0</v>
      </c>
      <c r="BP515" t="s">
        <v>691</v>
      </c>
      <c r="BQ515" t="s">
        <v>693</v>
      </c>
      <c r="BR515" t="s">
        <v>700</v>
      </c>
      <c r="BS515" t="s">
        <v>704</v>
      </c>
      <c r="BT515" t="s">
        <v>705</v>
      </c>
      <c r="BU515" t="s">
        <v>706</v>
      </c>
      <c r="CT515"/>
      <c r="CU515"/>
      <c r="CV515"/>
    </row>
    <row r="516" spans="1:100" x14ac:dyDescent="0.4">
      <c r="A516" s="2" t="s">
        <v>543</v>
      </c>
      <c r="B516" t="str">
        <f>_xlfn.TEXTAFTER(Table1[[#This Row],[VEHIDCODE]],"_")</f>
        <v>Netherlands_NS_mDDm_390</v>
      </c>
      <c r="C516" t="s">
        <v>743</v>
      </c>
      <c r="D516" t="s">
        <v>964</v>
      </c>
      <c r="E516">
        <v>8031</v>
      </c>
      <c r="F516" t="b">
        <f>OR(ISNUMBER(SEARCH("wagon_",Table1[[#This Row],[FILENAMES_EXPECTED]])),ISNUMBER(SEARCH("coach_",Table1[[#This Row],[FILENAMES_EXPECTED]])))</f>
        <v>0</v>
      </c>
      <c r="G516" t="str">
        <f>"item_"&amp;Table1[[#This Row],[VEHIDCODE]]</f>
        <v>item_emu_Netherlands_NS_mDDm_390</v>
      </c>
      <c r="H516" t="str">
        <f>"str_"&amp;Table1[[#This Row],[VEHIDCODE]]</f>
        <v>str_emu_Netherlands_NS_mDDm_390</v>
      </c>
      <c r="M516" t="b">
        <v>1</v>
      </c>
      <c r="AL516" s="2"/>
      <c r="AM516" s="2" t="b">
        <f>LEN(_xlfn.CONCAT(Table1[[#This Row],[TRACK_TYPE_STANDARD_GAUGE_RAILTYPE_OHLE]:[TRACK_TYPE_MTRO]]))&gt;0</f>
        <v>1</v>
      </c>
      <c r="AN516">
        <v>8</v>
      </c>
      <c r="AO516" t="s">
        <v>18</v>
      </c>
      <c r="AP516">
        <v>1</v>
      </c>
      <c r="AQ516" t="s">
        <v>74</v>
      </c>
      <c r="AR516">
        <v>48</v>
      </c>
      <c r="AS516">
        <v>1997</v>
      </c>
      <c r="AT516">
        <v>8</v>
      </c>
      <c r="AU516" s="2" t="s">
        <v>24</v>
      </c>
      <c r="AV516" t="b">
        <v>1</v>
      </c>
      <c r="AW516" t="b">
        <v>1</v>
      </c>
      <c r="AX516" s="2"/>
      <c r="AY516" t="s">
        <v>21</v>
      </c>
      <c r="AZ516">
        <v>1</v>
      </c>
      <c r="BA516">
        <v>3219</v>
      </c>
      <c r="BB516" t="s">
        <v>708</v>
      </c>
      <c r="BC516">
        <v>160</v>
      </c>
      <c r="BD516" s="2">
        <v>0.31</v>
      </c>
      <c r="BE516" t="s">
        <v>922</v>
      </c>
      <c r="BF516" t="s">
        <v>921</v>
      </c>
      <c r="BG516" t="s">
        <v>939</v>
      </c>
      <c r="BH516" s="7">
        <v>25</v>
      </c>
      <c r="BI51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516">
        <v>0</v>
      </c>
      <c r="BK516" t="s">
        <v>733</v>
      </c>
      <c r="BL516" s="11">
        <v>95</v>
      </c>
      <c r="BM516" s="11">
        <v>8</v>
      </c>
      <c r="BN516" s="11">
        <v>76</v>
      </c>
      <c r="BO516">
        <v>0</v>
      </c>
      <c r="BP516" t="s">
        <v>691</v>
      </c>
      <c r="BQ516" t="s">
        <v>693</v>
      </c>
      <c r="BR516" t="s">
        <v>700</v>
      </c>
      <c r="BS516" t="s">
        <v>704</v>
      </c>
      <c r="BT516" t="s">
        <v>705</v>
      </c>
      <c r="BU516" t="s">
        <v>706</v>
      </c>
      <c r="CT516"/>
      <c r="CU516"/>
      <c r="CV516"/>
    </row>
    <row r="517" spans="1:100" x14ac:dyDescent="0.4">
      <c r="A517" s="2" t="s">
        <v>544</v>
      </c>
      <c r="B517" t="str">
        <f>_xlfn.TEXTAFTER(Table1[[#This Row],[VEHIDCODE]],"_")</f>
        <v>Poland_PKP_EW90</v>
      </c>
      <c r="C517" t="s">
        <v>743</v>
      </c>
      <c r="D517" t="s">
        <v>964</v>
      </c>
      <c r="E517">
        <v>8047</v>
      </c>
      <c r="F517" t="b">
        <f>OR(ISNUMBER(SEARCH("wagon_",Table1[[#This Row],[FILENAMES_EXPECTED]])),ISNUMBER(SEARCH("coach_",Table1[[#This Row],[FILENAMES_EXPECTED]])))</f>
        <v>0</v>
      </c>
      <c r="G517" t="str">
        <f>"item_"&amp;Table1[[#This Row],[VEHIDCODE]]</f>
        <v>item_emu_Poland_PKP_EW90</v>
      </c>
      <c r="H517" t="str">
        <f>"str_"&amp;Table1[[#This Row],[VEHIDCODE]]</f>
        <v>str_emu_Poland_PKP_EW90</v>
      </c>
      <c r="M517" t="b">
        <v>1</v>
      </c>
      <c r="AL517" s="2"/>
      <c r="AM517" s="2" t="b">
        <f>LEN(_xlfn.CONCAT(Table1[[#This Row],[TRACK_TYPE_STANDARD_GAUGE_RAILTYPE_OHLE]:[TRACK_TYPE_MTRO]]))&gt;0</f>
        <v>1</v>
      </c>
      <c r="AN517">
        <v>8</v>
      </c>
      <c r="AO517" t="s">
        <v>18</v>
      </c>
      <c r="AP517">
        <v>1</v>
      </c>
      <c r="AQ517" t="s">
        <v>74</v>
      </c>
      <c r="AR517">
        <v>65</v>
      </c>
      <c r="AS517">
        <v>1924</v>
      </c>
      <c r="AT517">
        <v>8</v>
      </c>
      <c r="AU517" s="2" t="s">
        <v>24</v>
      </c>
      <c r="AV517" t="b">
        <v>1</v>
      </c>
      <c r="AW517" t="b">
        <v>1</v>
      </c>
      <c r="AX517" s="2"/>
      <c r="AY517">
        <v>45</v>
      </c>
      <c r="AZ517">
        <v>1</v>
      </c>
      <c r="BA517">
        <v>413</v>
      </c>
      <c r="BB517" t="s">
        <v>708</v>
      </c>
      <c r="BC517">
        <v>80</v>
      </c>
      <c r="BD517" s="2">
        <v>0.11</v>
      </c>
      <c r="BE517" t="s">
        <v>928</v>
      </c>
      <c r="BF517" t="s">
        <v>921</v>
      </c>
      <c r="BG517" t="s">
        <v>939</v>
      </c>
      <c r="BH517" s="7">
        <v>25</v>
      </c>
      <c r="BI51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517">
        <v>0</v>
      </c>
      <c r="BK517" t="s">
        <v>733</v>
      </c>
      <c r="BL517" s="11">
        <v>65</v>
      </c>
      <c r="BM517" s="11">
        <v>8</v>
      </c>
      <c r="BN517" s="11">
        <v>38</v>
      </c>
      <c r="BO517">
        <v>0</v>
      </c>
      <c r="BP517" t="s">
        <v>691</v>
      </c>
      <c r="BQ517" t="s">
        <v>693</v>
      </c>
      <c r="BR517" t="s">
        <v>700</v>
      </c>
      <c r="BS517" t="s">
        <v>704</v>
      </c>
      <c r="BT517" t="s">
        <v>705</v>
      </c>
      <c r="BU517" t="s">
        <v>706</v>
      </c>
      <c r="CT517"/>
      <c r="CU517"/>
      <c r="CV517"/>
    </row>
    <row r="518" spans="1:100" x14ac:dyDescent="0.4">
      <c r="A518" s="2" t="s">
        <v>545</v>
      </c>
      <c r="B518" t="str">
        <f>_xlfn.TEXTAFTER(Table1[[#This Row],[VEHIDCODE]],"_")</f>
        <v>Italy_FS_ETR200</v>
      </c>
      <c r="C518" t="s">
        <v>743</v>
      </c>
      <c r="D518" t="s">
        <v>964</v>
      </c>
      <c r="E518">
        <v>8004</v>
      </c>
      <c r="F518" t="b">
        <f>OR(ISNUMBER(SEARCH("wagon_",Table1[[#This Row],[FILENAMES_EXPECTED]])),ISNUMBER(SEARCH("coach_",Table1[[#This Row],[FILENAMES_EXPECTED]])))</f>
        <v>0</v>
      </c>
      <c r="G518" t="str">
        <f>"item_"&amp;Table1[[#This Row],[VEHIDCODE]]</f>
        <v>item_emu_Italy_FS_ETR200</v>
      </c>
      <c r="H518" t="str">
        <f>"str_"&amp;Table1[[#This Row],[VEHIDCODE]]</f>
        <v>str_emu_Italy_FS_ETR200</v>
      </c>
      <c r="L518" t="b">
        <v>1</v>
      </c>
      <c r="AL518" s="2"/>
      <c r="AM518" s="2" t="b">
        <f>LEN(_xlfn.CONCAT(Table1[[#This Row],[TRACK_TYPE_STANDARD_GAUGE_RAILTYPE_OHLE]:[TRACK_TYPE_MTRO]]))&gt;0</f>
        <v>1</v>
      </c>
      <c r="AN518">
        <v>8</v>
      </c>
      <c r="AO518" t="s">
        <v>18</v>
      </c>
      <c r="AP518">
        <v>1</v>
      </c>
      <c r="AQ518" t="s">
        <v>74</v>
      </c>
      <c r="AR518">
        <v>35</v>
      </c>
      <c r="AS518">
        <v>1937</v>
      </c>
      <c r="AT518">
        <v>8</v>
      </c>
      <c r="AU518" s="2" t="s">
        <v>479</v>
      </c>
      <c r="AV518" t="b">
        <v>1</v>
      </c>
      <c r="AW518" t="b">
        <v>1</v>
      </c>
      <c r="AX518" s="2"/>
      <c r="AY518">
        <v>45</v>
      </c>
      <c r="AZ518">
        <v>1</v>
      </c>
      <c r="BA518">
        <v>482</v>
      </c>
      <c r="BB518" t="s">
        <v>708</v>
      </c>
      <c r="BC518">
        <v>160</v>
      </c>
      <c r="BD518" s="2">
        <v>0.18</v>
      </c>
      <c r="BE518" t="s">
        <v>923</v>
      </c>
      <c r="BF518" t="s">
        <v>921</v>
      </c>
      <c r="BG518" t="s">
        <v>939</v>
      </c>
      <c r="BH518" s="7">
        <v>25</v>
      </c>
      <c r="BI51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518">
        <v>0</v>
      </c>
      <c r="BK518" t="s">
        <v>733</v>
      </c>
      <c r="BL518" s="11">
        <v>35</v>
      </c>
      <c r="BM518" s="11">
        <v>8</v>
      </c>
      <c r="BN518" s="11">
        <v>41</v>
      </c>
      <c r="BO518">
        <v>0</v>
      </c>
      <c r="BP518" t="s">
        <v>691</v>
      </c>
      <c r="BQ518" t="s">
        <v>693</v>
      </c>
      <c r="BR518" t="s">
        <v>700</v>
      </c>
      <c r="BS518" t="s">
        <v>704</v>
      </c>
      <c r="BT518" t="s">
        <v>705</v>
      </c>
      <c r="BU518" t="s">
        <v>706</v>
      </c>
      <c r="CT518"/>
      <c r="CU518"/>
      <c r="CV518"/>
    </row>
    <row r="519" spans="1:100" x14ac:dyDescent="0.4">
      <c r="A519" s="2" t="s">
        <v>546</v>
      </c>
      <c r="B519" t="str">
        <f>_xlfn.TEXTAFTER(Table1[[#This Row],[VEHIDCODE]],"_")</f>
        <v>Italy_FS_ETR300_Settebello</v>
      </c>
      <c r="C519" t="s">
        <v>743</v>
      </c>
      <c r="D519" t="s">
        <v>964</v>
      </c>
      <c r="E519">
        <v>8006</v>
      </c>
      <c r="F519" t="b">
        <f>OR(ISNUMBER(SEARCH("wagon_",Table1[[#This Row],[FILENAMES_EXPECTED]])),ISNUMBER(SEARCH("coach_",Table1[[#This Row],[FILENAMES_EXPECTED]])))</f>
        <v>0</v>
      </c>
      <c r="G519" t="str">
        <f>"item_"&amp;Table1[[#This Row],[VEHIDCODE]]</f>
        <v>item_emu_Italy_FS_ETR300_Settebello</v>
      </c>
      <c r="H519" t="str">
        <f>"str_"&amp;Table1[[#This Row],[VEHIDCODE]]</f>
        <v>str_emu_Italy_FS_ETR300_Settebello</v>
      </c>
      <c r="L519" t="b">
        <v>1</v>
      </c>
      <c r="AL519" s="2"/>
      <c r="AM519" s="2" t="b">
        <f>LEN(_xlfn.CONCAT(Table1[[#This Row],[TRACK_TYPE_STANDARD_GAUGE_RAILTYPE_OHLE]:[TRACK_TYPE_MTRO]]))&gt;0</f>
        <v>1</v>
      </c>
      <c r="AN519">
        <v>8</v>
      </c>
      <c r="AO519" t="s">
        <v>18</v>
      </c>
      <c r="AP519">
        <v>1</v>
      </c>
      <c r="AQ519" t="s">
        <v>74</v>
      </c>
      <c r="AR519">
        <v>28</v>
      </c>
      <c r="AS519">
        <v>1952</v>
      </c>
      <c r="AT519">
        <v>8</v>
      </c>
      <c r="AU519" s="2" t="s">
        <v>479</v>
      </c>
      <c r="AV519" t="b">
        <v>1</v>
      </c>
      <c r="AW519" t="b">
        <v>1</v>
      </c>
      <c r="AX519" s="2"/>
      <c r="AY519">
        <v>45</v>
      </c>
      <c r="AZ519">
        <v>1</v>
      </c>
      <c r="BA519">
        <v>500</v>
      </c>
      <c r="BB519" t="s">
        <v>708</v>
      </c>
      <c r="BC519">
        <v>200</v>
      </c>
      <c r="BD519" s="2">
        <v>0.36</v>
      </c>
      <c r="BE519" t="s">
        <v>923</v>
      </c>
      <c r="BF519" t="s">
        <v>921</v>
      </c>
      <c r="BG519" t="s">
        <v>939</v>
      </c>
      <c r="BH519" s="7">
        <v>25</v>
      </c>
      <c r="BI51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519">
        <v>0</v>
      </c>
      <c r="BK519" t="s">
        <v>733</v>
      </c>
      <c r="BL519" s="11">
        <v>28</v>
      </c>
      <c r="BM519" s="11">
        <v>8</v>
      </c>
      <c r="BN519" s="11">
        <v>52</v>
      </c>
      <c r="BO519">
        <v>0</v>
      </c>
      <c r="BP519" t="s">
        <v>691</v>
      </c>
      <c r="BQ519" t="s">
        <v>693</v>
      </c>
      <c r="BR519" t="s">
        <v>700</v>
      </c>
      <c r="BS519" t="s">
        <v>704</v>
      </c>
      <c r="BT519" t="s">
        <v>705</v>
      </c>
      <c r="BU519" t="s">
        <v>706</v>
      </c>
      <c r="CT519"/>
      <c r="CU519"/>
      <c r="CV519"/>
    </row>
    <row r="520" spans="1:100" x14ac:dyDescent="0.4">
      <c r="A520" s="2" t="s">
        <v>547</v>
      </c>
      <c r="B520" t="str">
        <f>_xlfn.TEXTAFTER(Table1[[#This Row],[VEHIDCODE]],"_")</f>
        <v>Italy_FS_ETR500</v>
      </c>
      <c r="C520" t="s">
        <v>743</v>
      </c>
      <c r="D520" t="s">
        <v>964</v>
      </c>
      <c r="E520">
        <v>8024</v>
      </c>
      <c r="F520" t="b">
        <f>OR(ISNUMBER(SEARCH("wagon_",Table1[[#This Row],[FILENAMES_EXPECTED]])),ISNUMBER(SEARCH("coach_",Table1[[#This Row],[FILENAMES_EXPECTED]])))</f>
        <v>0</v>
      </c>
      <c r="G520" t="str">
        <f>"item_"&amp;Table1[[#This Row],[VEHIDCODE]]</f>
        <v>item_emu_Italy_FS_ETR500</v>
      </c>
      <c r="H520" t="str">
        <f>"str_"&amp;Table1[[#This Row],[VEHIDCODE]]</f>
        <v>str_emu_Italy_FS_ETR500</v>
      </c>
      <c r="L520" t="b">
        <v>1</v>
      </c>
      <c r="AL520" s="2"/>
      <c r="AM520" s="2" t="b">
        <f>LEN(_xlfn.CONCAT(Table1[[#This Row],[TRACK_TYPE_STANDARD_GAUGE_RAILTYPE_OHLE]:[TRACK_TYPE_MTRO]]))&gt;0</f>
        <v>1</v>
      </c>
      <c r="AN520">
        <v>8</v>
      </c>
      <c r="AO520" t="s">
        <v>18</v>
      </c>
      <c r="AP520">
        <v>1</v>
      </c>
      <c r="AQ520" t="s">
        <v>74</v>
      </c>
      <c r="AR520">
        <v>0</v>
      </c>
      <c r="AS520">
        <v>1993</v>
      </c>
      <c r="AT520">
        <v>8</v>
      </c>
      <c r="AU520" s="2" t="s">
        <v>479</v>
      </c>
      <c r="AV520" t="b">
        <v>1</v>
      </c>
      <c r="AW520" t="b">
        <v>1</v>
      </c>
      <c r="AX520" s="2"/>
      <c r="AY520" t="s">
        <v>21</v>
      </c>
      <c r="AZ520">
        <v>1</v>
      </c>
      <c r="BA520">
        <v>11800</v>
      </c>
      <c r="BB520" t="s">
        <v>708</v>
      </c>
      <c r="BC520">
        <v>250</v>
      </c>
      <c r="BD520" s="2">
        <v>0.46</v>
      </c>
      <c r="BE520" t="s">
        <v>923</v>
      </c>
      <c r="BF520" t="s">
        <v>921</v>
      </c>
      <c r="BG520" t="s">
        <v>939</v>
      </c>
      <c r="BH520" s="7">
        <v>25</v>
      </c>
      <c r="BI52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520">
        <v>0</v>
      </c>
      <c r="BK520" t="s">
        <v>733</v>
      </c>
      <c r="BL520" s="11">
        <v>60</v>
      </c>
      <c r="BM520" s="11">
        <v>8</v>
      </c>
      <c r="BN520" s="11">
        <v>54</v>
      </c>
      <c r="BO520">
        <v>0</v>
      </c>
      <c r="BP520" t="s">
        <v>691</v>
      </c>
      <c r="BQ520" t="s">
        <v>693</v>
      </c>
      <c r="BR520" t="s">
        <v>700</v>
      </c>
      <c r="BS520" t="s">
        <v>704</v>
      </c>
      <c r="BT520" t="s">
        <v>705</v>
      </c>
      <c r="BU520" t="s">
        <v>706</v>
      </c>
      <c r="CT520"/>
      <c r="CU520"/>
      <c r="CV520"/>
    </row>
    <row r="521" spans="1:100" x14ac:dyDescent="0.4">
      <c r="A521" s="2" t="s">
        <v>548</v>
      </c>
      <c r="B521" t="str">
        <f>_xlfn.TEXTAFTER(Table1[[#This Row],[VEHIDCODE]],"_")</f>
        <v>Italy_FS_ALe426</v>
      </c>
      <c r="C521" t="s">
        <v>743</v>
      </c>
      <c r="D521" t="s">
        <v>964</v>
      </c>
      <c r="E521">
        <v>8029</v>
      </c>
      <c r="F521" t="b">
        <f>OR(ISNUMBER(SEARCH("wagon_",Table1[[#This Row],[FILENAMES_EXPECTED]])),ISNUMBER(SEARCH("coach_",Table1[[#This Row],[FILENAMES_EXPECTED]])))</f>
        <v>0</v>
      </c>
      <c r="G521" t="str">
        <f>"item_"&amp;Table1[[#This Row],[VEHIDCODE]]</f>
        <v>item_emu_Italy_FS_ALe426</v>
      </c>
      <c r="H521" t="str">
        <f>"str_"&amp;Table1[[#This Row],[VEHIDCODE]]</f>
        <v>str_emu_Italy_FS_ALe426</v>
      </c>
      <c r="L521" t="b">
        <v>1</v>
      </c>
      <c r="AL521" s="2"/>
      <c r="AM521" s="2" t="b">
        <f>LEN(_xlfn.CONCAT(Table1[[#This Row],[TRACK_TYPE_STANDARD_GAUGE_RAILTYPE_OHLE]:[TRACK_TYPE_MTRO]]))&gt;0</f>
        <v>1</v>
      </c>
      <c r="AN521">
        <v>8</v>
      </c>
      <c r="AO521" t="s">
        <v>18</v>
      </c>
      <c r="AP521">
        <v>1</v>
      </c>
      <c r="AQ521" t="s">
        <v>74</v>
      </c>
      <c r="AR521">
        <v>115</v>
      </c>
      <c r="AS521">
        <v>1996</v>
      </c>
      <c r="AT521">
        <v>8</v>
      </c>
      <c r="AU521" s="2" t="s">
        <v>24</v>
      </c>
      <c r="AV521" t="b">
        <v>1</v>
      </c>
      <c r="AW521" t="b">
        <v>1</v>
      </c>
      <c r="AX521" s="2"/>
      <c r="AY521">
        <v>45</v>
      </c>
      <c r="AZ521">
        <v>1</v>
      </c>
      <c r="BA521">
        <v>1219</v>
      </c>
      <c r="BB521" t="s">
        <v>708</v>
      </c>
      <c r="BC521">
        <v>140</v>
      </c>
      <c r="BD521" s="2">
        <v>0.31</v>
      </c>
      <c r="BE521" t="s">
        <v>923</v>
      </c>
      <c r="BF521" t="s">
        <v>921</v>
      </c>
      <c r="BG521" t="s">
        <v>939</v>
      </c>
      <c r="BH521" s="7">
        <v>25</v>
      </c>
      <c r="BI52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521">
        <v>0</v>
      </c>
      <c r="BK521" t="s">
        <v>733</v>
      </c>
      <c r="BL521" s="11">
        <v>115</v>
      </c>
      <c r="BM521" s="11">
        <v>8</v>
      </c>
      <c r="BN521" s="11">
        <v>68</v>
      </c>
      <c r="BO521">
        <v>0</v>
      </c>
      <c r="BP521" t="s">
        <v>691</v>
      </c>
      <c r="BQ521" t="s">
        <v>693</v>
      </c>
      <c r="BR521" t="s">
        <v>700</v>
      </c>
      <c r="BS521" t="s">
        <v>704</v>
      </c>
      <c r="BT521" t="s">
        <v>705</v>
      </c>
      <c r="BU521" t="s">
        <v>706</v>
      </c>
      <c r="CT521"/>
      <c r="CU521"/>
      <c r="CV521"/>
    </row>
    <row r="522" spans="1:100" x14ac:dyDescent="0.4">
      <c r="A522" s="2" t="s">
        <v>549</v>
      </c>
      <c r="B522" t="str">
        <f>_xlfn.TEXTAFTER(Table1[[#This Row],[VEHIDCODE]],"_")</f>
        <v>Morocco_ONCF_ZMC</v>
      </c>
      <c r="C522" t="s">
        <v>743</v>
      </c>
      <c r="D522" t="s">
        <v>964</v>
      </c>
      <c r="E522">
        <v>8064</v>
      </c>
      <c r="F522" t="b">
        <f>OR(ISNUMBER(SEARCH("wagon_",Table1[[#This Row],[FILENAMES_EXPECTED]])),ISNUMBER(SEARCH("coach_",Table1[[#This Row],[FILENAMES_EXPECTED]])))</f>
        <v>0</v>
      </c>
      <c r="G522" t="str">
        <f>"item_"&amp;Table1[[#This Row],[VEHIDCODE]]</f>
        <v>item_emu_Morocco_ONCF_ZMC</v>
      </c>
      <c r="H522" t="str">
        <f>"str_"&amp;Table1[[#This Row],[VEHIDCODE]]</f>
        <v>str_emu_Morocco_ONCF_ZMC</v>
      </c>
      <c r="L522" t="b">
        <v>1</v>
      </c>
      <c r="AL522" s="2"/>
      <c r="AM522" s="2" t="b">
        <f>LEN(_xlfn.CONCAT(Table1[[#This Row],[TRACK_TYPE_STANDARD_GAUGE_RAILTYPE_OHLE]:[TRACK_TYPE_MTRO]]))&gt;0</f>
        <v>1</v>
      </c>
      <c r="AN522">
        <v>8</v>
      </c>
      <c r="AO522" t="s">
        <v>18</v>
      </c>
      <c r="AP522">
        <v>1</v>
      </c>
      <c r="AQ522" t="s">
        <v>74</v>
      </c>
      <c r="AR522">
        <v>90</v>
      </c>
      <c r="AS522">
        <v>1984</v>
      </c>
      <c r="AT522">
        <v>8</v>
      </c>
      <c r="AU522" s="2" t="s">
        <v>24</v>
      </c>
      <c r="AV522" t="b">
        <v>1</v>
      </c>
      <c r="AW522" t="b">
        <v>1</v>
      </c>
      <c r="AX522" s="2"/>
      <c r="AY522">
        <v>45</v>
      </c>
      <c r="AZ522">
        <v>1</v>
      </c>
      <c r="BA522">
        <v>1900</v>
      </c>
      <c r="BB522" t="s">
        <v>708</v>
      </c>
      <c r="BC522">
        <v>160</v>
      </c>
      <c r="BD522" s="2">
        <v>0.21</v>
      </c>
      <c r="BE522" t="s">
        <v>925</v>
      </c>
      <c r="BF522" t="s">
        <v>921</v>
      </c>
      <c r="BG522" t="s">
        <v>939</v>
      </c>
      <c r="BH522" s="7">
        <v>40</v>
      </c>
      <c r="BI52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522">
        <v>0</v>
      </c>
      <c r="BK522" t="s">
        <v>733</v>
      </c>
      <c r="BL522" s="11">
        <v>90</v>
      </c>
      <c r="BM522" s="11">
        <v>8</v>
      </c>
      <c r="BN522" s="11">
        <v>48</v>
      </c>
      <c r="BO522">
        <v>0</v>
      </c>
      <c r="BP522" t="s">
        <v>691</v>
      </c>
      <c r="BQ522" t="s">
        <v>693</v>
      </c>
      <c r="BR522" t="s">
        <v>700</v>
      </c>
      <c r="BS522" t="s">
        <v>704</v>
      </c>
      <c r="BT522" t="s">
        <v>705</v>
      </c>
      <c r="BU522" t="s">
        <v>706</v>
      </c>
      <c r="CT522"/>
      <c r="CU522"/>
      <c r="CV522"/>
    </row>
    <row r="523" spans="1:100" x14ac:dyDescent="0.4">
      <c r="A523" s="2" t="s">
        <v>550</v>
      </c>
      <c r="B523" t="str">
        <f>_xlfn.TEXTAFTER(Table1[[#This Row],[VEHIDCODE]],"_")</f>
        <v>Poland_PKP_EW54</v>
      </c>
      <c r="C523" t="s">
        <v>743</v>
      </c>
      <c r="D523" t="s">
        <v>964</v>
      </c>
      <c r="E523">
        <v>8060</v>
      </c>
      <c r="F523" t="b">
        <f>OR(ISNUMBER(SEARCH("wagon_",Table1[[#This Row],[FILENAMES_EXPECTED]])),ISNUMBER(SEARCH("coach_",Table1[[#This Row],[FILENAMES_EXPECTED]])))</f>
        <v>0</v>
      </c>
      <c r="G523" t="str">
        <f>"item_"&amp;Table1[[#This Row],[VEHIDCODE]]</f>
        <v>item_emu_Poland_PKP_EW54</v>
      </c>
      <c r="H523" t="str">
        <f>"str_"&amp;Table1[[#This Row],[VEHIDCODE]]</f>
        <v>str_emu_Poland_PKP_EW54</v>
      </c>
      <c r="L523" t="b">
        <v>1</v>
      </c>
      <c r="AL523" s="2"/>
      <c r="AM523" s="2" t="b">
        <f>LEN(_xlfn.CONCAT(Table1[[#This Row],[TRACK_TYPE_STANDARD_GAUGE_RAILTYPE_OHLE]:[TRACK_TYPE_MTRO]]))&gt;0</f>
        <v>1</v>
      </c>
      <c r="AN523">
        <v>8</v>
      </c>
      <c r="AO523" t="s">
        <v>18</v>
      </c>
      <c r="AP523">
        <v>1</v>
      </c>
      <c r="AQ523" t="s">
        <v>74</v>
      </c>
      <c r="AR523">
        <v>80</v>
      </c>
      <c r="AS523">
        <v>1950</v>
      </c>
      <c r="AT523">
        <v>8</v>
      </c>
      <c r="AU523" s="2" t="s">
        <v>24</v>
      </c>
      <c r="AV523" t="b">
        <v>1</v>
      </c>
      <c r="AW523" t="b">
        <v>1</v>
      </c>
      <c r="AX523" s="2"/>
      <c r="AY523">
        <v>45</v>
      </c>
      <c r="AZ523">
        <v>1</v>
      </c>
      <c r="BA523">
        <v>642</v>
      </c>
      <c r="BB523" t="s">
        <v>708</v>
      </c>
      <c r="BC523">
        <v>100</v>
      </c>
      <c r="BD523" s="2">
        <v>0.25</v>
      </c>
      <c r="BE523" t="s">
        <v>928</v>
      </c>
      <c r="BF523" t="s">
        <v>921</v>
      </c>
      <c r="BG523" t="s">
        <v>939</v>
      </c>
      <c r="BH523" s="7">
        <v>40</v>
      </c>
      <c r="BI52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523">
        <v>0</v>
      </c>
      <c r="BK523" t="s">
        <v>733</v>
      </c>
      <c r="BL523" s="11">
        <v>80</v>
      </c>
      <c r="BM523" s="11">
        <v>8</v>
      </c>
      <c r="BN523" s="11">
        <v>40</v>
      </c>
      <c r="BO523">
        <v>0</v>
      </c>
      <c r="BP523" t="s">
        <v>691</v>
      </c>
      <c r="BQ523" t="s">
        <v>693</v>
      </c>
      <c r="BR523" t="s">
        <v>700</v>
      </c>
      <c r="BS523" t="s">
        <v>704</v>
      </c>
      <c r="BT523" t="s">
        <v>705</v>
      </c>
      <c r="BU523" t="s">
        <v>706</v>
      </c>
      <c r="CT523"/>
      <c r="CU523"/>
      <c r="CV523"/>
    </row>
    <row r="524" spans="1:100" x14ac:dyDescent="0.4">
      <c r="A524" s="2" t="s">
        <v>551</v>
      </c>
      <c r="B524" t="str">
        <f>_xlfn.TEXTAFTER(Table1[[#This Row],[VEHIDCODE]],"_")</f>
        <v>Italy_FS_ALe_801</v>
      </c>
      <c r="C524" t="s">
        <v>743</v>
      </c>
      <c r="D524" t="s">
        <v>964</v>
      </c>
      <c r="E524">
        <v>8051</v>
      </c>
      <c r="F524" t="b">
        <f>OR(ISNUMBER(SEARCH("wagon_",Table1[[#This Row],[FILENAMES_EXPECTED]])),ISNUMBER(SEARCH("coach_",Table1[[#This Row],[FILENAMES_EXPECTED]])))</f>
        <v>0</v>
      </c>
      <c r="G524" t="str">
        <f>"item_"&amp;Table1[[#This Row],[VEHIDCODE]]</f>
        <v>item_emu_Italy_FS_ALe_801</v>
      </c>
      <c r="H524" t="str">
        <f>"str_"&amp;Table1[[#This Row],[VEHIDCODE]]</f>
        <v>str_emu_Italy_FS_ALe_801</v>
      </c>
      <c r="L524" t="b">
        <v>1</v>
      </c>
      <c r="AL524" s="2"/>
      <c r="AM524" s="2" t="b">
        <f>LEN(_xlfn.CONCAT(Table1[[#This Row],[TRACK_TYPE_STANDARD_GAUGE_RAILTYPE_OHLE]:[TRACK_TYPE_MTRO]]))&gt;0</f>
        <v>1</v>
      </c>
      <c r="AN524">
        <v>7</v>
      </c>
      <c r="AO524" t="s">
        <v>18</v>
      </c>
      <c r="AP524">
        <v>1</v>
      </c>
      <c r="AQ524" t="s">
        <v>74</v>
      </c>
      <c r="AR524">
        <v>108</v>
      </c>
      <c r="AS524">
        <v>1975</v>
      </c>
      <c r="AT524">
        <v>7</v>
      </c>
      <c r="AU524" s="2" t="s">
        <v>24</v>
      </c>
      <c r="AV524" t="b">
        <v>1</v>
      </c>
      <c r="AW524" t="b">
        <v>1</v>
      </c>
      <c r="AX524" s="2"/>
      <c r="AY524">
        <v>45</v>
      </c>
      <c r="AZ524">
        <v>1</v>
      </c>
      <c r="BA524">
        <v>702</v>
      </c>
      <c r="BB524" t="s">
        <v>708</v>
      </c>
      <c r="BC524">
        <v>150</v>
      </c>
      <c r="BD524" s="2">
        <v>0.15</v>
      </c>
      <c r="BE524" t="s">
        <v>923</v>
      </c>
      <c r="BF524" t="s">
        <v>921</v>
      </c>
      <c r="BG524" t="s">
        <v>939</v>
      </c>
      <c r="BH524" s="7">
        <v>25</v>
      </c>
      <c r="BI52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524">
        <v>0</v>
      </c>
      <c r="BK524" t="s">
        <v>733</v>
      </c>
      <c r="BL524" s="11">
        <v>108</v>
      </c>
      <c r="BM524" s="11">
        <v>7</v>
      </c>
      <c r="BN524" s="11">
        <v>70</v>
      </c>
      <c r="BO524">
        <v>0</v>
      </c>
      <c r="BP524" t="s">
        <v>691</v>
      </c>
      <c r="BQ524" t="s">
        <v>693</v>
      </c>
      <c r="BR524" t="s">
        <v>700</v>
      </c>
      <c r="BS524" t="s">
        <v>704</v>
      </c>
      <c r="BT524" t="s">
        <v>705</v>
      </c>
      <c r="BU524" t="s">
        <v>706</v>
      </c>
      <c r="CT524"/>
      <c r="CU524"/>
      <c r="CV524"/>
    </row>
    <row r="525" spans="1:100" x14ac:dyDescent="0.4">
      <c r="A525" s="2" t="s">
        <v>552</v>
      </c>
      <c r="B525" t="str">
        <f>_xlfn.TEXTAFTER(Table1[[#This Row],[VEHIDCODE]],"_")</f>
        <v>Austria_OBB_4030</v>
      </c>
      <c r="C525" t="s">
        <v>743</v>
      </c>
      <c r="D525" t="s">
        <v>964</v>
      </c>
      <c r="E525">
        <v>8050</v>
      </c>
      <c r="F525" t="b">
        <f>OR(ISNUMBER(SEARCH("wagon_",Table1[[#This Row],[FILENAMES_EXPECTED]])),ISNUMBER(SEARCH("coach_",Table1[[#This Row],[FILENAMES_EXPECTED]])))</f>
        <v>0</v>
      </c>
      <c r="G525" t="str">
        <f>"item_"&amp;Table1[[#This Row],[VEHIDCODE]]</f>
        <v>item_emu_Austria_OBB_4030</v>
      </c>
      <c r="H525" t="str">
        <f>"str_"&amp;Table1[[#This Row],[VEHIDCODE]]</f>
        <v>str_emu_Austria_OBB_4030</v>
      </c>
      <c r="K525" t="b">
        <v>1</v>
      </c>
      <c r="AL525" s="2"/>
      <c r="AM525" s="2" t="b">
        <f>LEN(_xlfn.CONCAT(Table1[[#This Row],[TRACK_TYPE_STANDARD_GAUGE_RAILTYPE_OHLE]:[TRACK_TYPE_MTRO]]))&gt;0</f>
        <v>1</v>
      </c>
      <c r="AN525">
        <v>7</v>
      </c>
      <c r="AO525" t="s">
        <v>18</v>
      </c>
      <c r="AP525">
        <v>1</v>
      </c>
      <c r="AQ525" t="s">
        <v>74</v>
      </c>
      <c r="AR525">
        <v>54</v>
      </c>
      <c r="AS525">
        <v>1956</v>
      </c>
      <c r="AT525">
        <v>7</v>
      </c>
      <c r="AU525" s="2" t="s">
        <v>24</v>
      </c>
      <c r="AV525" t="b">
        <v>1</v>
      </c>
      <c r="AW525" t="b">
        <v>1</v>
      </c>
      <c r="AX525" s="2"/>
      <c r="AY525">
        <v>45</v>
      </c>
      <c r="AZ525">
        <v>1</v>
      </c>
      <c r="BA525">
        <v>1340</v>
      </c>
      <c r="BB525" t="s">
        <v>708</v>
      </c>
      <c r="BC525">
        <v>130</v>
      </c>
      <c r="BD525" s="2">
        <v>0.27</v>
      </c>
      <c r="BE525" t="s">
        <v>922</v>
      </c>
      <c r="BF525" t="s">
        <v>921</v>
      </c>
      <c r="BG525" t="s">
        <v>939</v>
      </c>
      <c r="BH525" s="7">
        <v>25</v>
      </c>
      <c r="BI52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525">
        <v>0</v>
      </c>
      <c r="BK525" t="s">
        <v>733</v>
      </c>
      <c r="BL525" s="11">
        <v>54</v>
      </c>
      <c r="BM525" s="11">
        <v>7</v>
      </c>
      <c r="BN525" s="11">
        <v>48</v>
      </c>
      <c r="BO525">
        <v>0</v>
      </c>
      <c r="BP525" t="s">
        <v>691</v>
      </c>
      <c r="BQ525" t="s">
        <v>693</v>
      </c>
      <c r="BR525" t="s">
        <v>700</v>
      </c>
      <c r="BS525" t="s">
        <v>704</v>
      </c>
      <c r="BT525" t="s">
        <v>705</v>
      </c>
      <c r="BU525" t="s">
        <v>706</v>
      </c>
      <c r="CT525"/>
      <c r="CU525"/>
      <c r="CV525"/>
    </row>
    <row r="526" spans="1:100" x14ac:dyDescent="0.4">
      <c r="A526" s="2" t="s">
        <v>553</v>
      </c>
      <c r="B526" t="str">
        <f>_xlfn.TEXTAFTER(Table1[[#This Row],[VEHIDCODE]],"_")</f>
        <v>Austria_OBB_4041</v>
      </c>
      <c r="C526" t="s">
        <v>743</v>
      </c>
      <c r="D526" t="s">
        <v>964</v>
      </c>
      <c r="E526">
        <v>8001</v>
      </c>
      <c r="F526" t="b">
        <f>OR(ISNUMBER(SEARCH("wagon_",Table1[[#This Row],[FILENAMES_EXPECTED]])),ISNUMBER(SEARCH("coach_",Table1[[#This Row],[FILENAMES_EXPECTED]])))</f>
        <v>0</v>
      </c>
      <c r="G526" t="str">
        <f>"item_"&amp;Table1[[#This Row],[VEHIDCODE]]</f>
        <v>item_emu_Austria_OBB_4041</v>
      </c>
      <c r="H526" t="str">
        <f>"str_"&amp;Table1[[#This Row],[VEHIDCODE]]</f>
        <v>str_emu_Austria_OBB_4041</v>
      </c>
      <c r="K526" t="b">
        <v>1</v>
      </c>
      <c r="AL526" s="2"/>
      <c r="AM526" s="2" t="b">
        <f>LEN(_xlfn.CONCAT(Table1[[#This Row],[TRACK_TYPE_STANDARD_GAUGE_RAILTYPE_OHLE]:[TRACK_TYPE_MTRO]]))&gt;0</f>
        <v>1</v>
      </c>
      <c r="AN526">
        <v>8</v>
      </c>
      <c r="AO526" t="s">
        <v>18</v>
      </c>
      <c r="AP526">
        <v>1</v>
      </c>
      <c r="AQ526" t="s">
        <v>74</v>
      </c>
      <c r="AR526">
        <v>40</v>
      </c>
      <c r="AS526">
        <v>1929</v>
      </c>
      <c r="AT526">
        <v>8</v>
      </c>
      <c r="AU526" s="2" t="s">
        <v>24</v>
      </c>
      <c r="AV526" t="b">
        <v>1</v>
      </c>
      <c r="AW526" t="b">
        <v>1</v>
      </c>
      <c r="AX526" s="2"/>
      <c r="AY526">
        <v>45</v>
      </c>
      <c r="AZ526">
        <v>1</v>
      </c>
      <c r="BA526">
        <v>555</v>
      </c>
      <c r="BB526" t="s">
        <v>708</v>
      </c>
      <c r="BC526">
        <v>80</v>
      </c>
      <c r="BD526" s="2">
        <v>0.08</v>
      </c>
      <c r="BE526" t="s">
        <v>922</v>
      </c>
      <c r="BF526" t="s">
        <v>921</v>
      </c>
      <c r="BG526" t="s">
        <v>939</v>
      </c>
      <c r="BH526" s="7">
        <v>25</v>
      </c>
      <c r="BI52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526">
        <v>0</v>
      </c>
      <c r="BK526" t="s">
        <v>733</v>
      </c>
      <c r="BL526" s="11">
        <v>40</v>
      </c>
      <c r="BM526" s="11">
        <v>8</v>
      </c>
      <c r="BN526" s="11">
        <v>73</v>
      </c>
      <c r="BO526">
        <v>0</v>
      </c>
      <c r="BP526" t="s">
        <v>691</v>
      </c>
      <c r="BQ526" t="s">
        <v>693</v>
      </c>
      <c r="BR526" t="s">
        <v>700</v>
      </c>
      <c r="BS526" t="s">
        <v>704</v>
      </c>
      <c r="BT526" t="s">
        <v>705</v>
      </c>
      <c r="BU526" t="s">
        <v>706</v>
      </c>
      <c r="CT526"/>
      <c r="CU526"/>
      <c r="CV526"/>
    </row>
    <row r="527" spans="1:100" x14ac:dyDescent="0.4">
      <c r="A527" s="2" t="s">
        <v>554</v>
      </c>
      <c r="B527" t="str">
        <f>_xlfn.TEXTAFTER(Table1[[#This Row],[VEHIDCODE]],"_")</f>
        <v>Austria_WESTbahn_4010_KISS</v>
      </c>
      <c r="C527" t="s">
        <v>743</v>
      </c>
      <c r="D527" t="s">
        <v>964</v>
      </c>
      <c r="E527">
        <v>8069</v>
      </c>
      <c r="F527" t="b">
        <f>OR(ISNUMBER(SEARCH("wagon_",Table1[[#This Row],[FILENAMES_EXPECTED]])),ISNUMBER(SEARCH("coach_",Table1[[#This Row],[FILENAMES_EXPECTED]])))</f>
        <v>0</v>
      </c>
      <c r="G527" t="str">
        <f>"item_"&amp;Table1[[#This Row],[VEHIDCODE]]</f>
        <v>item_emu_Austria_WESTbahn_4010_KISS</v>
      </c>
      <c r="H527" t="str">
        <f>"str_"&amp;Table1[[#This Row],[VEHIDCODE]]</f>
        <v>str_emu_Austria_WESTbahn_4010_KISS</v>
      </c>
      <c r="K527" t="b">
        <v>1</v>
      </c>
      <c r="AL527" s="2"/>
      <c r="AM527" s="2" t="b">
        <f>LEN(_xlfn.CONCAT(Table1[[#This Row],[TRACK_TYPE_STANDARD_GAUGE_RAILTYPE_OHLE]:[TRACK_TYPE_MTRO]]))&gt;0</f>
        <v>1</v>
      </c>
      <c r="AN527">
        <v>8</v>
      </c>
      <c r="AO527" t="s">
        <v>18</v>
      </c>
      <c r="AP527">
        <v>1</v>
      </c>
      <c r="AQ527" t="s">
        <v>74</v>
      </c>
      <c r="AR527">
        <v>84</v>
      </c>
      <c r="AS527">
        <v>2011</v>
      </c>
      <c r="AT527">
        <v>8</v>
      </c>
      <c r="AU527" s="2" t="s">
        <v>24</v>
      </c>
      <c r="AV527" t="b">
        <v>1</v>
      </c>
      <c r="AW527" t="b">
        <v>1</v>
      </c>
      <c r="AX527" s="2"/>
      <c r="AY527" t="s">
        <v>21</v>
      </c>
      <c r="AZ527">
        <v>1</v>
      </c>
      <c r="BA527">
        <v>5340</v>
      </c>
      <c r="BB527" t="s">
        <v>708</v>
      </c>
      <c r="BC527">
        <v>200</v>
      </c>
      <c r="BD527" s="2">
        <v>0.62</v>
      </c>
      <c r="BE527" t="s">
        <v>922</v>
      </c>
      <c r="BF527" t="s">
        <v>921</v>
      </c>
      <c r="BG527" t="s">
        <v>939</v>
      </c>
      <c r="BH527" s="7">
        <v>40</v>
      </c>
      <c r="BI52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527">
        <v>0</v>
      </c>
      <c r="BK527" t="s">
        <v>733</v>
      </c>
      <c r="BL527" s="11">
        <v>84</v>
      </c>
      <c r="BM527" s="11">
        <v>8</v>
      </c>
      <c r="BN527" s="11">
        <v>52</v>
      </c>
      <c r="BO527">
        <v>0</v>
      </c>
      <c r="BP527" t="s">
        <v>691</v>
      </c>
      <c r="BQ527" t="s">
        <v>693</v>
      </c>
      <c r="BR527" t="s">
        <v>700</v>
      </c>
      <c r="BS527" t="s">
        <v>704</v>
      </c>
      <c r="BT527" t="s">
        <v>705</v>
      </c>
      <c r="BU527" t="s">
        <v>706</v>
      </c>
      <c r="CT527"/>
      <c r="CU527"/>
      <c r="CV527"/>
    </row>
    <row r="528" spans="1:100" x14ac:dyDescent="0.4">
      <c r="A528" s="2" t="s">
        <v>555</v>
      </c>
      <c r="B528" t="str">
        <f>_xlfn.TEXTAFTER(Table1[[#This Row],[VEHIDCODE]],"_")</f>
        <v>Germany_DB_ET420</v>
      </c>
      <c r="C528" t="s">
        <v>743</v>
      </c>
      <c r="D528" t="s">
        <v>964</v>
      </c>
      <c r="E528">
        <v>8014</v>
      </c>
      <c r="F528" t="b">
        <f>OR(ISNUMBER(SEARCH("wagon_",Table1[[#This Row],[FILENAMES_EXPECTED]])),ISNUMBER(SEARCH("coach_",Table1[[#This Row],[FILENAMES_EXPECTED]])))</f>
        <v>0</v>
      </c>
      <c r="G528" t="str">
        <f>"item_"&amp;Table1[[#This Row],[VEHIDCODE]]</f>
        <v>item_emu_Germany_DB_ET420</v>
      </c>
      <c r="H528" t="str">
        <f>"str_"&amp;Table1[[#This Row],[VEHIDCODE]]</f>
        <v>str_emu_Germany_DB_ET420</v>
      </c>
      <c r="K528" t="b">
        <v>1</v>
      </c>
      <c r="AL528" s="2"/>
      <c r="AM528" s="2" t="b">
        <f>LEN(_xlfn.CONCAT(Table1[[#This Row],[TRACK_TYPE_STANDARD_GAUGE_RAILTYPE_OHLE]:[TRACK_TYPE_MTRO]]))&gt;0</f>
        <v>1</v>
      </c>
      <c r="AN528">
        <v>8</v>
      </c>
      <c r="AO528" t="s">
        <v>18</v>
      </c>
      <c r="AP528">
        <v>1</v>
      </c>
      <c r="AQ528" t="s">
        <v>74</v>
      </c>
      <c r="AR528">
        <v>76</v>
      </c>
      <c r="AS528">
        <v>1969</v>
      </c>
      <c r="AT528">
        <v>8</v>
      </c>
      <c r="AU528" s="2" t="s">
        <v>24</v>
      </c>
      <c r="AV528" t="b">
        <v>1</v>
      </c>
      <c r="AW528" t="b">
        <v>1</v>
      </c>
      <c r="AX528" s="2"/>
      <c r="AY528">
        <v>45</v>
      </c>
      <c r="AZ528">
        <v>1</v>
      </c>
      <c r="BA528">
        <v>1000</v>
      </c>
      <c r="BB528" t="s">
        <v>708</v>
      </c>
      <c r="BC528">
        <v>125</v>
      </c>
      <c r="BD528" s="2">
        <v>0.31</v>
      </c>
      <c r="BE528" t="s">
        <v>922</v>
      </c>
      <c r="BF528" t="s">
        <v>921</v>
      </c>
      <c r="BG528" t="s">
        <v>939</v>
      </c>
      <c r="BH528" s="7">
        <v>25</v>
      </c>
      <c r="BI52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528">
        <v>0</v>
      </c>
      <c r="BK528" t="s">
        <v>733</v>
      </c>
      <c r="BL528" s="11">
        <v>76</v>
      </c>
      <c r="BM528" s="11">
        <v>8</v>
      </c>
      <c r="BN528" s="11">
        <v>46</v>
      </c>
      <c r="BO528">
        <v>0</v>
      </c>
      <c r="BP528" t="s">
        <v>691</v>
      </c>
      <c r="BQ528" t="s">
        <v>693</v>
      </c>
      <c r="BR528" t="s">
        <v>700</v>
      </c>
      <c r="BS528" t="s">
        <v>704</v>
      </c>
      <c r="BT528" t="s">
        <v>705</v>
      </c>
      <c r="BU528" t="s">
        <v>706</v>
      </c>
      <c r="CT528"/>
      <c r="CU528"/>
      <c r="CV528"/>
    </row>
    <row r="529" spans="1:100" x14ac:dyDescent="0.4">
      <c r="A529" s="2" t="s">
        <v>556</v>
      </c>
      <c r="B529" t="str">
        <f>_xlfn.TEXTAFTER(Table1[[#This Row],[VEHIDCODE]],"_")</f>
        <v>Norway_NSB_BM73</v>
      </c>
      <c r="C529" t="s">
        <v>743</v>
      </c>
      <c r="D529" t="s">
        <v>964</v>
      </c>
      <c r="E529">
        <v>8032</v>
      </c>
      <c r="F529" t="b">
        <f>OR(ISNUMBER(SEARCH("wagon_",Table1[[#This Row],[FILENAMES_EXPECTED]])),ISNUMBER(SEARCH("coach_",Table1[[#This Row],[FILENAMES_EXPECTED]])))</f>
        <v>0</v>
      </c>
      <c r="G529" t="str">
        <f>"item_"&amp;Table1[[#This Row],[VEHIDCODE]]</f>
        <v>item_emu_Norway_NSB_BM73</v>
      </c>
      <c r="H529" t="str">
        <f>"str_"&amp;Table1[[#This Row],[VEHIDCODE]]</f>
        <v>str_emu_Norway_NSB_BM73</v>
      </c>
      <c r="K529" t="b">
        <v>1</v>
      </c>
      <c r="AL529" s="2"/>
      <c r="AM529" s="2" t="b">
        <f>LEN(_xlfn.CONCAT(Table1[[#This Row],[TRACK_TYPE_STANDARD_GAUGE_RAILTYPE_OHLE]:[TRACK_TYPE_MTRO]]))&gt;0</f>
        <v>1</v>
      </c>
      <c r="AN529">
        <v>8</v>
      </c>
      <c r="AO529" t="s">
        <v>18</v>
      </c>
      <c r="AP529">
        <v>1</v>
      </c>
      <c r="AQ529" t="s">
        <v>74</v>
      </c>
      <c r="AR529">
        <v>40</v>
      </c>
      <c r="AS529">
        <v>1998</v>
      </c>
      <c r="AT529">
        <v>8</v>
      </c>
      <c r="AU529" s="2" t="s">
        <v>479</v>
      </c>
      <c r="AV529" t="b">
        <v>1</v>
      </c>
      <c r="AW529" t="b">
        <v>1</v>
      </c>
      <c r="AX529" s="2"/>
      <c r="AY529" t="s">
        <v>21</v>
      </c>
      <c r="AZ529">
        <v>1</v>
      </c>
      <c r="BA529">
        <v>1200</v>
      </c>
      <c r="BB529" t="s">
        <v>708</v>
      </c>
      <c r="BC529">
        <v>220</v>
      </c>
      <c r="BD529" s="2">
        <v>0.69</v>
      </c>
      <c r="BE529" t="s">
        <v>926</v>
      </c>
      <c r="BF529" t="s">
        <v>921</v>
      </c>
      <c r="BG529" t="s">
        <v>939</v>
      </c>
      <c r="BH529" s="7">
        <v>25</v>
      </c>
      <c r="BI52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529">
        <v>0</v>
      </c>
      <c r="BK529" t="s">
        <v>733</v>
      </c>
      <c r="BL529" s="11">
        <v>40</v>
      </c>
      <c r="BM529" s="11">
        <v>8</v>
      </c>
      <c r="BN529" s="11">
        <v>54</v>
      </c>
      <c r="BO529">
        <v>0</v>
      </c>
      <c r="BP529" t="s">
        <v>691</v>
      </c>
      <c r="BQ529" t="s">
        <v>693</v>
      </c>
      <c r="BR529" t="s">
        <v>700</v>
      </c>
      <c r="BS529" t="s">
        <v>704</v>
      </c>
      <c r="BT529" t="s">
        <v>705</v>
      </c>
      <c r="BU529" t="s">
        <v>706</v>
      </c>
      <c r="CT529"/>
      <c r="CU529"/>
      <c r="CV529"/>
    </row>
    <row r="530" spans="1:100" x14ac:dyDescent="0.4">
      <c r="A530" s="2" t="s">
        <v>557</v>
      </c>
      <c r="B530" t="str">
        <f>_xlfn.TEXTAFTER(Table1[[#This Row],[VEHIDCODE]],"_")</f>
        <v>Norway_NSB_BM65</v>
      </c>
      <c r="C530" t="s">
        <v>743</v>
      </c>
      <c r="D530" t="s">
        <v>964</v>
      </c>
      <c r="E530">
        <v>8005</v>
      </c>
      <c r="F530" t="b">
        <f>OR(ISNUMBER(SEARCH("wagon_",Table1[[#This Row],[FILENAMES_EXPECTED]])),ISNUMBER(SEARCH("coach_",Table1[[#This Row],[FILENAMES_EXPECTED]])))</f>
        <v>0</v>
      </c>
      <c r="G530" t="str">
        <f>"item_"&amp;Table1[[#This Row],[VEHIDCODE]]</f>
        <v>item_emu_Norway_NSB_BM65</v>
      </c>
      <c r="H530" t="str">
        <f>"str_"&amp;Table1[[#This Row],[VEHIDCODE]]</f>
        <v>str_emu_Norway_NSB_BM65</v>
      </c>
      <c r="K530" t="b">
        <v>1</v>
      </c>
      <c r="AL530" s="2"/>
      <c r="AM530" s="2" t="b">
        <f>LEN(_xlfn.CONCAT(Table1[[#This Row],[TRACK_TYPE_STANDARD_GAUGE_RAILTYPE_OHLE]:[TRACK_TYPE_MTRO]]))&gt;0</f>
        <v>1</v>
      </c>
      <c r="AN530">
        <v>8</v>
      </c>
      <c r="AO530" t="s">
        <v>18</v>
      </c>
      <c r="AP530">
        <v>1</v>
      </c>
      <c r="AQ530" t="s">
        <v>74</v>
      </c>
      <c r="AR530">
        <v>50</v>
      </c>
      <c r="AS530">
        <v>1942</v>
      </c>
      <c r="AT530">
        <v>8</v>
      </c>
      <c r="AU530" s="2" t="s">
        <v>24</v>
      </c>
      <c r="AV530" t="b">
        <v>1</v>
      </c>
      <c r="AW530" t="b">
        <v>1</v>
      </c>
      <c r="AX530" s="2"/>
      <c r="AY530">
        <v>45</v>
      </c>
      <c r="AZ530">
        <v>1</v>
      </c>
      <c r="BA530">
        <v>632</v>
      </c>
      <c r="BB530" t="s">
        <v>708</v>
      </c>
      <c r="BC530">
        <v>70</v>
      </c>
      <c r="BD530" s="2">
        <v>0.23</v>
      </c>
      <c r="BE530" t="s">
        <v>926</v>
      </c>
      <c r="BF530" t="s">
        <v>921</v>
      </c>
      <c r="BG530" t="s">
        <v>939</v>
      </c>
      <c r="BH530" s="7">
        <v>25</v>
      </c>
      <c r="BI53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530">
        <v>0</v>
      </c>
      <c r="BK530" t="s">
        <v>733</v>
      </c>
      <c r="BL530" s="11">
        <v>50</v>
      </c>
      <c r="BM530" s="11">
        <v>7</v>
      </c>
      <c r="BN530" s="11">
        <v>38</v>
      </c>
      <c r="BO530">
        <v>0</v>
      </c>
      <c r="BP530" t="s">
        <v>691</v>
      </c>
      <c r="BQ530" t="s">
        <v>693</v>
      </c>
      <c r="BR530" t="s">
        <v>700</v>
      </c>
      <c r="BS530" t="s">
        <v>704</v>
      </c>
      <c r="BT530" t="s">
        <v>705</v>
      </c>
      <c r="BU530" t="s">
        <v>706</v>
      </c>
      <c r="CT530"/>
      <c r="CU530"/>
      <c r="CV530"/>
    </row>
    <row r="531" spans="1:100" x14ac:dyDescent="0.4">
      <c r="A531" s="2" t="s">
        <v>558</v>
      </c>
      <c r="B531" t="str">
        <f>_xlfn.TEXTAFTER(Table1[[#This Row],[VEHIDCODE]],"_")</f>
        <v>Sweden_SJ_X2000</v>
      </c>
      <c r="C531" t="s">
        <v>743</v>
      </c>
      <c r="D531" t="s">
        <v>964</v>
      </c>
      <c r="E531">
        <v>8023</v>
      </c>
      <c r="F531" t="b">
        <f>OR(ISNUMBER(SEARCH("wagon_",Table1[[#This Row],[FILENAMES_EXPECTED]])),ISNUMBER(SEARCH("coach_",Table1[[#This Row],[FILENAMES_EXPECTED]])))</f>
        <v>0</v>
      </c>
      <c r="G531" t="str">
        <f>"item_"&amp;Table1[[#This Row],[VEHIDCODE]]</f>
        <v>item_emu_Sweden_SJ_X2000</v>
      </c>
      <c r="H531" t="str">
        <f>"str_"&amp;Table1[[#This Row],[VEHIDCODE]]</f>
        <v>str_emu_Sweden_SJ_X2000</v>
      </c>
      <c r="K531" t="b">
        <v>1</v>
      </c>
      <c r="AL531" s="2"/>
      <c r="AM531" s="2" t="b">
        <f>LEN(_xlfn.CONCAT(Table1[[#This Row],[TRACK_TYPE_STANDARD_GAUGE_RAILTYPE_OHLE]:[TRACK_TYPE_MTRO]]))&gt;0</f>
        <v>1</v>
      </c>
      <c r="AN531">
        <v>8</v>
      </c>
      <c r="AO531" t="s">
        <v>18</v>
      </c>
      <c r="AP531">
        <v>1</v>
      </c>
      <c r="AQ531" t="s">
        <v>74</v>
      </c>
      <c r="AR531">
        <v>0</v>
      </c>
      <c r="AS531">
        <v>1990</v>
      </c>
      <c r="AT531">
        <v>8</v>
      </c>
      <c r="AU531" s="2" t="s">
        <v>479</v>
      </c>
      <c r="AV531" t="b">
        <v>1</v>
      </c>
      <c r="AW531" t="b">
        <v>1</v>
      </c>
      <c r="AX531" s="2"/>
      <c r="AY531">
        <v>45</v>
      </c>
      <c r="AZ531">
        <v>1</v>
      </c>
      <c r="BA531">
        <v>4400</v>
      </c>
      <c r="BB531" t="s">
        <v>708</v>
      </c>
      <c r="BC531">
        <v>210</v>
      </c>
      <c r="BD531" s="2">
        <v>0.49</v>
      </c>
      <c r="BE531" t="s">
        <v>926</v>
      </c>
      <c r="BF531" t="s">
        <v>921</v>
      </c>
      <c r="BG531" t="s">
        <v>939</v>
      </c>
      <c r="BH531" s="7">
        <v>25</v>
      </c>
      <c r="BI53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531">
        <v>0</v>
      </c>
      <c r="BK531" t="s">
        <v>733</v>
      </c>
      <c r="BL531" s="11">
        <v>42</v>
      </c>
      <c r="BM531" s="11">
        <v>8</v>
      </c>
      <c r="BN531" s="11">
        <v>50</v>
      </c>
      <c r="BO531">
        <v>0</v>
      </c>
      <c r="BP531" t="s">
        <v>691</v>
      </c>
      <c r="BQ531" t="s">
        <v>693</v>
      </c>
      <c r="BR531" t="s">
        <v>700</v>
      </c>
      <c r="BS531" t="s">
        <v>704</v>
      </c>
      <c r="BT531" t="s">
        <v>705</v>
      </c>
      <c r="BU531" t="s">
        <v>706</v>
      </c>
      <c r="CT531"/>
      <c r="CU531"/>
      <c r="CV531"/>
    </row>
    <row r="532" spans="1:100" x14ac:dyDescent="0.4">
      <c r="A532" s="2" t="s">
        <v>559</v>
      </c>
      <c r="B532" t="str">
        <f>_xlfn.TEXTAFTER(Table1[[#This Row],[VEHIDCODE]],"_")</f>
        <v>Switzerland_SBB_RABDe_510</v>
      </c>
      <c r="C532" t="s">
        <v>743</v>
      </c>
      <c r="D532" t="s">
        <v>964</v>
      </c>
      <c r="E532">
        <v>8012</v>
      </c>
      <c r="F532" t="b">
        <f>OR(ISNUMBER(SEARCH("wagon_",Table1[[#This Row],[FILENAMES_EXPECTED]])),ISNUMBER(SEARCH("coach_",Table1[[#This Row],[FILENAMES_EXPECTED]])))</f>
        <v>0</v>
      </c>
      <c r="G532" t="str">
        <f>"item_"&amp;Table1[[#This Row],[VEHIDCODE]]</f>
        <v>item_emu_Switzerland_SBB_RABDe_510</v>
      </c>
      <c r="H532" t="str">
        <f>"str_"&amp;Table1[[#This Row],[VEHIDCODE]]</f>
        <v>str_emu_Switzerland_SBB_RABDe_510</v>
      </c>
      <c r="K532" t="b">
        <v>1</v>
      </c>
      <c r="AL532" s="2"/>
      <c r="AM532" s="2" t="b">
        <f>LEN(_xlfn.CONCAT(Table1[[#This Row],[TRACK_TYPE_STANDARD_GAUGE_RAILTYPE_OHLE]:[TRACK_TYPE_MTRO]]))&gt;0</f>
        <v>1</v>
      </c>
      <c r="AN532">
        <v>8</v>
      </c>
      <c r="AO532" t="s">
        <v>18</v>
      </c>
      <c r="AP532">
        <v>1</v>
      </c>
      <c r="AQ532" t="s">
        <v>74</v>
      </c>
      <c r="AR532">
        <v>56</v>
      </c>
      <c r="AS532">
        <v>1965</v>
      </c>
      <c r="AT532">
        <v>8</v>
      </c>
      <c r="AU532" s="2" t="s">
        <v>24</v>
      </c>
      <c r="AV532" t="b">
        <v>1</v>
      </c>
      <c r="AW532" t="b">
        <v>1</v>
      </c>
      <c r="AX532" s="2"/>
      <c r="AY532">
        <v>45</v>
      </c>
      <c r="AZ532">
        <v>1</v>
      </c>
      <c r="BA532">
        <v>1090</v>
      </c>
      <c r="BB532" t="s">
        <v>708</v>
      </c>
      <c r="BC532">
        <v>125</v>
      </c>
      <c r="BD532" s="2">
        <v>0.43</v>
      </c>
      <c r="BE532" t="s">
        <v>922</v>
      </c>
      <c r="BF532" t="s">
        <v>921</v>
      </c>
      <c r="BG532" t="s">
        <v>939</v>
      </c>
      <c r="BH532" s="7">
        <v>25</v>
      </c>
      <c r="BI53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532">
        <v>0</v>
      </c>
      <c r="BK532" t="s">
        <v>733</v>
      </c>
      <c r="BL532" s="11">
        <v>56</v>
      </c>
      <c r="BM532" s="11">
        <v>8</v>
      </c>
      <c r="BN532" s="11">
        <v>56</v>
      </c>
      <c r="BO532">
        <v>0</v>
      </c>
      <c r="BP532" t="s">
        <v>691</v>
      </c>
      <c r="BQ532" t="s">
        <v>693</v>
      </c>
      <c r="BR532" t="s">
        <v>700</v>
      </c>
      <c r="BS532" t="s">
        <v>704</v>
      </c>
      <c r="BT532" t="s">
        <v>705</v>
      </c>
      <c r="BU532" t="s">
        <v>706</v>
      </c>
      <c r="CT532"/>
      <c r="CU532"/>
      <c r="CV532"/>
    </row>
    <row r="533" spans="1:100" x14ac:dyDescent="0.4">
      <c r="A533" s="2" t="s">
        <v>560</v>
      </c>
      <c r="B533" t="str">
        <f>_xlfn.TEXTAFTER(Table1[[#This Row],[VEHIDCODE]],"_")</f>
        <v>Switzerland_SBB_RBDe_560</v>
      </c>
      <c r="C533" t="s">
        <v>743</v>
      </c>
      <c r="D533" t="s">
        <v>964</v>
      </c>
      <c r="E533">
        <v>8020</v>
      </c>
      <c r="F533" t="b">
        <f>OR(ISNUMBER(SEARCH("wagon_",Table1[[#This Row],[FILENAMES_EXPECTED]])),ISNUMBER(SEARCH("coach_",Table1[[#This Row],[FILENAMES_EXPECTED]])))</f>
        <v>0</v>
      </c>
      <c r="G533" t="str">
        <f>"item_"&amp;Table1[[#This Row],[VEHIDCODE]]</f>
        <v>item_emu_Switzerland_SBB_RBDe_560</v>
      </c>
      <c r="H533" t="str">
        <f>"str_"&amp;Table1[[#This Row],[VEHIDCODE]]</f>
        <v>str_emu_Switzerland_SBB_RBDe_560</v>
      </c>
      <c r="K533" t="b">
        <v>1</v>
      </c>
      <c r="AL533" s="2"/>
      <c r="AM533" s="2" t="b">
        <f>LEN(_xlfn.CONCAT(Table1[[#This Row],[TRACK_TYPE_STANDARD_GAUGE_RAILTYPE_OHLE]:[TRACK_TYPE_MTRO]]))&gt;0</f>
        <v>1</v>
      </c>
      <c r="AN533">
        <v>8</v>
      </c>
      <c r="AO533" t="s">
        <v>18</v>
      </c>
      <c r="AP533">
        <v>1</v>
      </c>
      <c r="AQ533" t="s">
        <v>74</v>
      </c>
      <c r="AR533">
        <v>56</v>
      </c>
      <c r="AS533">
        <v>1984</v>
      </c>
      <c r="AT533">
        <v>8</v>
      </c>
      <c r="AU533" s="2" t="s">
        <v>24</v>
      </c>
      <c r="AV533" t="b">
        <v>1</v>
      </c>
      <c r="AW533" t="b">
        <v>1</v>
      </c>
      <c r="AX533" s="2"/>
      <c r="AY533">
        <v>45</v>
      </c>
      <c r="AZ533">
        <v>1</v>
      </c>
      <c r="BA533">
        <v>1100</v>
      </c>
      <c r="BB533" t="s">
        <v>708</v>
      </c>
      <c r="BC533">
        <v>140</v>
      </c>
      <c r="BD533" s="2">
        <v>0.52</v>
      </c>
      <c r="BE533" t="s">
        <v>922</v>
      </c>
      <c r="BF533" t="s">
        <v>921</v>
      </c>
      <c r="BG533" t="s">
        <v>939</v>
      </c>
      <c r="BH533" s="7">
        <v>25</v>
      </c>
      <c r="BI53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533">
        <v>0</v>
      </c>
      <c r="BK533" t="s">
        <v>733</v>
      </c>
      <c r="BL533" s="11">
        <v>56</v>
      </c>
      <c r="BM533" s="11">
        <v>8</v>
      </c>
      <c r="BN533" s="11">
        <v>35</v>
      </c>
      <c r="BO533">
        <v>0</v>
      </c>
      <c r="BP533" t="s">
        <v>691</v>
      </c>
      <c r="BQ533" t="s">
        <v>693</v>
      </c>
      <c r="BR533" t="s">
        <v>700</v>
      </c>
      <c r="BS533" t="s">
        <v>704</v>
      </c>
      <c r="BT533" t="s">
        <v>705</v>
      </c>
      <c r="BU533" t="s">
        <v>706</v>
      </c>
      <c r="CT533"/>
      <c r="CU533"/>
      <c r="CV533"/>
    </row>
    <row r="534" spans="1:100" x14ac:dyDescent="0.4">
      <c r="A534" s="2" t="s">
        <v>561</v>
      </c>
      <c r="B534" t="str">
        <f>_xlfn.TEXTAFTER(Table1[[#This Row],[VEHIDCODE]],"_")</f>
        <v>Switzerland_SBB_RABe_523_Flirt</v>
      </c>
      <c r="C534" t="s">
        <v>743</v>
      </c>
      <c r="D534" t="s">
        <v>964</v>
      </c>
      <c r="E534">
        <v>8038</v>
      </c>
      <c r="F534" t="b">
        <f>OR(ISNUMBER(SEARCH("wagon_",Table1[[#This Row],[FILENAMES_EXPECTED]])),ISNUMBER(SEARCH("coach_",Table1[[#This Row],[FILENAMES_EXPECTED]])))</f>
        <v>0</v>
      </c>
      <c r="G534" t="str">
        <f>"item_"&amp;Table1[[#This Row],[VEHIDCODE]]</f>
        <v>item_emu_Switzerland_SBB_RABe_523_Flirt</v>
      </c>
      <c r="H534" t="str">
        <f>"str_"&amp;Table1[[#This Row],[VEHIDCODE]]</f>
        <v>str_emu_Switzerland_SBB_RABe_523_Flirt</v>
      </c>
      <c r="K534" t="b">
        <v>1</v>
      </c>
      <c r="AL534" s="2"/>
      <c r="AM534" s="2" t="b">
        <f>LEN(_xlfn.CONCAT(Table1[[#This Row],[TRACK_TYPE_STANDARD_GAUGE_RAILTYPE_OHLE]:[TRACK_TYPE_MTRO]]))&gt;0</f>
        <v>1</v>
      </c>
      <c r="AN534">
        <v>8</v>
      </c>
      <c r="AO534" t="s">
        <v>18</v>
      </c>
      <c r="AP534">
        <v>1</v>
      </c>
      <c r="AQ534" t="s">
        <v>74</v>
      </c>
      <c r="AR534">
        <v>50</v>
      </c>
      <c r="AS534">
        <v>2004</v>
      </c>
      <c r="AT534">
        <v>8</v>
      </c>
      <c r="AU534" s="2" t="s">
        <v>24</v>
      </c>
      <c r="AV534" t="b">
        <v>1</v>
      </c>
      <c r="AW534" t="b">
        <v>1</v>
      </c>
      <c r="AX534" s="2"/>
      <c r="AY534" t="s">
        <v>21</v>
      </c>
      <c r="AZ534">
        <v>1</v>
      </c>
      <c r="BA534">
        <v>670</v>
      </c>
      <c r="BB534" t="s">
        <v>708</v>
      </c>
      <c r="BC534">
        <v>160</v>
      </c>
      <c r="BD534" s="2">
        <v>0.65</v>
      </c>
      <c r="BE534" t="s">
        <v>922</v>
      </c>
      <c r="BF534" t="s">
        <v>921</v>
      </c>
      <c r="BG534" t="s">
        <v>939</v>
      </c>
      <c r="BH534" s="7">
        <v>25</v>
      </c>
      <c r="BI53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534">
        <v>0</v>
      </c>
      <c r="BK534" t="s">
        <v>733</v>
      </c>
      <c r="BL534" s="11">
        <v>50</v>
      </c>
      <c r="BM534" s="11">
        <v>7</v>
      </c>
      <c r="BN534" s="11">
        <v>31</v>
      </c>
      <c r="BO534">
        <v>0</v>
      </c>
      <c r="BP534" t="s">
        <v>691</v>
      </c>
      <c r="BQ534" t="s">
        <v>693</v>
      </c>
      <c r="BR534" t="s">
        <v>700</v>
      </c>
      <c r="BS534" t="s">
        <v>704</v>
      </c>
      <c r="BT534" t="s">
        <v>705</v>
      </c>
      <c r="BU534" t="s">
        <v>706</v>
      </c>
      <c r="CT534"/>
      <c r="CU534"/>
      <c r="CV534"/>
    </row>
    <row r="535" spans="1:100" x14ac:dyDescent="0.4">
      <c r="A535" s="2" t="s">
        <v>562</v>
      </c>
      <c r="B535" t="str">
        <f>_xlfn.TEXTAFTER(Table1[[#This Row],[VEHIDCODE]],"_")</f>
        <v>USA_Amtrak_Budd_Metroliner</v>
      </c>
      <c r="C535" t="s">
        <v>743</v>
      </c>
      <c r="D535" t="s">
        <v>964</v>
      </c>
      <c r="E535">
        <v>8062</v>
      </c>
      <c r="F535" t="b">
        <f>OR(ISNUMBER(SEARCH("wagon_",Table1[[#This Row],[FILENAMES_EXPECTED]])),ISNUMBER(SEARCH("coach_",Table1[[#This Row],[FILENAMES_EXPECTED]])))</f>
        <v>0</v>
      </c>
      <c r="G535" t="str">
        <f>"item_"&amp;Table1[[#This Row],[VEHIDCODE]]</f>
        <v>item_emu_USA_Amtrak_Budd_Metroliner</v>
      </c>
      <c r="H535" t="str">
        <f>"str_"&amp;Table1[[#This Row],[VEHIDCODE]]</f>
        <v>str_emu_USA_Amtrak_Budd_Metroliner</v>
      </c>
      <c r="K535" t="b">
        <v>1</v>
      </c>
      <c r="AL535" s="2"/>
      <c r="AM535" s="2" t="b">
        <f>LEN(_xlfn.CONCAT(Table1[[#This Row],[TRACK_TYPE_STANDARD_GAUGE_RAILTYPE_OHLE]:[TRACK_TYPE_MTRO]]))&gt;0</f>
        <v>1</v>
      </c>
      <c r="AN535">
        <v>8</v>
      </c>
      <c r="AO535" t="s">
        <v>18</v>
      </c>
      <c r="AP535">
        <v>1</v>
      </c>
      <c r="AQ535" t="s">
        <v>74</v>
      </c>
      <c r="AR535">
        <v>40</v>
      </c>
      <c r="AS535">
        <v>1969</v>
      </c>
      <c r="AT535">
        <v>8</v>
      </c>
      <c r="AU535" s="2" t="s">
        <v>24</v>
      </c>
      <c r="AV535" t="b">
        <v>1</v>
      </c>
      <c r="AW535" t="b">
        <v>1</v>
      </c>
      <c r="AX535" s="2"/>
      <c r="AY535">
        <v>45</v>
      </c>
      <c r="AZ535">
        <v>1</v>
      </c>
      <c r="BA535">
        <v>2400</v>
      </c>
      <c r="BB535" t="s">
        <v>708</v>
      </c>
      <c r="BC535">
        <v>201</v>
      </c>
      <c r="BD535" s="2">
        <v>0.15</v>
      </c>
      <c r="BE535" t="s">
        <v>927</v>
      </c>
      <c r="BF535" t="s">
        <v>921</v>
      </c>
      <c r="BG535" t="s">
        <v>939</v>
      </c>
      <c r="BH535" s="7">
        <v>40</v>
      </c>
      <c r="BI53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535">
        <v>0</v>
      </c>
      <c r="BK535" t="s">
        <v>733</v>
      </c>
      <c r="BL535" s="11">
        <v>40</v>
      </c>
      <c r="BM535" s="11">
        <v>8</v>
      </c>
      <c r="BN535" s="11">
        <v>75</v>
      </c>
      <c r="BO535">
        <v>0</v>
      </c>
      <c r="BP535" t="s">
        <v>691</v>
      </c>
      <c r="BQ535" t="s">
        <v>693</v>
      </c>
      <c r="BR535" t="s">
        <v>700</v>
      </c>
      <c r="BS535" t="s">
        <v>704</v>
      </c>
      <c r="BT535" t="s">
        <v>705</v>
      </c>
      <c r="BU535" t="s">
        <v>706</v>
      </c>
      <c r="CT535"/>
      <c r="CU535"/>
      <c r="CV535"/>
    </row>
    <row r="536" spans="1:100" x14ac:dyDescent="0.4">
      <c r="A536" s="2" t="s">
        <v>563</v>
      </c>
      <c r="B536" t="str">
        <f>_xlfn.TEXTAFTER(Table1[[#This Row],[VEHIDCODE]],"_")</f>
        <v>Germany_DB_403_ICE_3</v>
      </c>
      <c r="C536" t="s">
        <v>743</v>
      </c>
      <c r="D536" t="s">
        <v>964</v>
      </c>
      <c r="E536">
        <v>8036</v>
      </c>
      <c r="F536" t="b">
        <f>OR(ISNUMBER(SEARCH("wagon_",Table1[[#This Row],[FILENAMES_EXPECTED]])),ISNUMBER(SEARCH("coach_",Table1[[#This Row],[FILENAMES_EXPECTED]])))</f>
        <v>0</v>
      </c>
      <c r="G536" t="str">
        <f>"item_"&amp;Table1[[#This Row],[VEHIDCODE]]</f>
        <v>item_emu_Germany_DB_403_ICE_3</v>
      </c>
      <c r="H536" t="str">
        <f>"str_"&amp;Table1[[#This Row],[VEHIDCODE]]</f>
        <v>str_emu_Germany_DB_403_ICE_3</v>
      </c>
      <c r="K536" t="b">
        <v>1</v>
      </c>
      <c r="AL536" s="2"/>
      <c r="AM536" s="2" t="b">
        <f>LEN(_xlfn.CONCAT(Table1[[#This Row],[TRACK_TYPE_STANDARD_GAUGE_RAILTYPE_OHLE]:[TRACK_TYPE_MTRO]]))&gt;0</f>
        <v>1</v>
      </c>
      <c r="AN536">
        <v>7</v>
      </c>
      <c r="AO536" t="s">
        <v>18</v>
      </c>
      <c r="AP536">
        <v>1</v>
      </c>
      <c r="AQ536" t="s">
        <v>74</v>
      </c>
      <c r="AR536">
        <v>45</v>
      </c>
      <c r="AS536">
        <v>2000</v>
      </c>
      <c r="AT536">
        <v>7</v>
      </c>
      <c r="AU536" s="2" t="s">
        <v>479</v>
      </c>
      <c r="AV536" t="b">
        <v>1</v>
      </c>
      <c r="AW536" t="b">
        <v>1</v>
      </c>
      <c r="AX536" s="2"/>
      <c r="AY536" t="s">
        <v>21</v>
      </c>
      <c r="AZ536">
        <v>1</v>
      </c>
      <c r="BA536">
        <v>1400</v>
      </c>
      <c r="BB536" t="s">
        <v>708</v>
      </c>
      <c r="BC536">
        <v>328</v>
      </c>
      <c r="BD536" s="2">
        <v>0.98</v>
      </c>
      <c r="BE536" t="s">
        <v>922</v>
      </c>
      <c r="BF536" t="s">
        <v>921</v>
      </c>
      <c r="BG536" t="s">
        <v>939</v>
      </c>
      <c r="BH536" s="7">
        <v>25</v>
      </c>
      <c r="BI53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536">
        <v>0</v>
      </c>
      <c r="BK536" t="s">
        <v>733</v>
      </c>
      <c r="BL536" s="11">
        <v>45</v>
      </c>
      <c r="BM536" s="11">
        <v>8</v>
      </c>
      <c r="BN536" s="11">
        <v>51</v>
      </c>
      <c r="BO536">
        <v>0</v>
      </c>
      <c r="BP536" t="s">
        <v>691</v>
      </c>
      <c r="BQ536" t="s">
        <v>693</v>
      </c>
      <c r="BR536" t="s">
        <v>700</v>
      </c>
      <c r="BS536" t="s">
        <v>704</v>
      </c>
      <c r="BT536" t="s">
        <v>705</v>
      </c>
      <c r="BU536" t="s">
        <v>706</v>
      </c>
      <c r="CT536"/>
      <c r="CU536"/>
      <c r="CV536"/>
    </row>
    <row r="537" spans="1:100" x14ac:dyDescent="0.4">
      <c r="A537" s="2" t="s">
        <v>564</v>
      </c>
      <c r="B537" t="str">
        <f>_xlfn.TEXTAFTER(Table1[[#This Row],[VEHIDCODE]],"_")</f>
        <v>Bulgaria_BDZ_10_Desiro</v>
      </c>
      <c r="C537" t="s">
        <v>743</v>
      </c>
      <c r="D537" t="s">
        <v>964</v>
      </c>
      <c r="E537">
        <v>8039</v>
      </c>
      <c r="F537" t="b">
        <f>OR(ISNUMBER(SEARCH("wagon_",Table1[[#This Row],[FILENAMES_EXPECTED]])),ISNUMBER(SEARCH("coach_",Table1[[#This Row],[FILENAMES_EXPECTED]])))</f>
        <v>0</v>
      </c>
      <c r="G537" t="str">
        <f>"item_"&amp;Table1[[#This Row],[VEHIDCODE]]</f>
        <v>item_emu_Bulgaria_BDZ_10_Desiro</v>
      </c>
      <c r="H537" t="str">
        <f>"str_"&amp;Table1[[#This Row],[VEHIDCODE]]</f>
        <v>str_emu_Bulgaria_BDZ_10_Desiro</v>
      </c>
      <c r="J537" t="b">
        <v>1</v>
      </c>
      <c r="AL537" s="2"/>
      <c r="AM537" s="2" t="b">
        <f>LEN(_xlfn.CONCAT(Table1[[#This Row],[TRACK_TYPE_STANDARD_GAUGE_RAILTYPE_OHLE]:[TRACK_TYPE_MTRO]]))&gt;0</f>
        <v>1</v>
      </c>
      <c r="AN537">
        <v>8</v>
      </c>
      <c r="AO537" t="s">
        <v>18</v>
      </c>
      <c r="AP537">
        <v>1</v>
      </c>
      <c r="AQ537" t="s">
        <v>74</v>
      </c>
      <c r="AR537">
        <v>62</v>
      </c>
      <c r="AS537">
        <v>2005</v>
      </c>
      <c r="AT537">
        <v>8</v>
      </c>
      <c r="AU537" s="2" t="s">
        <v>24</v>
      </c>
      <c r="AV537" t="b">
        <v>1</v>
      </c>
      <c r="AW537" t="b">
        <v>1</v>
      </c>
      <c r="AX537" s="2"/>
      <c r="AY537" t="s">
        <v>21</v>
      </c>
      <c r="AZ537">
        <v>1</v>
      </c>
      <c r="BA537">
        <v>550</v>
      </c>
      <c r="BB537" t="s">
        <v>708</v>
      </c>
      <c r="BC537">
        <v>140</v>
      </c>
      <c r="BD537" s="2">
        <v>0.21</v>
      </c>
      <c r="BE537" t="s">
        <v>928</v>
      </c>
      <c r="BF537" t="s">
        <v>921</v>
      </c>
      <c r="BG537" t="s">
        <v>939</v>
      </c>
      <c r="BH537" s="7">
        <v>25</v>
      </c>
      <c r="BI53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537">
        <v>0</v>
      </c>
      <c r="BK537" t="s">
        <v>733</v>
      </c>
      <c r="BL537" s="11">
        <v>62</v>
      </c>
      <c r="BM537" s="11">
        <v>8</v>
      </c>
      <c r="BN537" s="11">
        <v>57</v>
      </c>
      <c r="BO537">
        <v>0</v>
      </c>
      <c r="BP537" t="s">
        <v>691</v>
      </c>
      <c r="BQ537" t="s">
        <v>693</v>
      </c>
      <c r="BR537" t="s">
        <v>700</v>
      </c>
      <c r="BS537" t="s">
        <v>704</v>
      </c>
      <c r="BT537" t="s">
        <v>705</v>
      </c>
      <c r="BU537" t="s">
        <v>706</v>
      </c>
      <c r="CT537"/>
      <c r="CU537"/>
      <c r="CV537"/>
    </row>
    <row r="538" spans="1:100" x14ac:dyDescent="0.4">
      <c r="A538" s="2" t="s">
        <v>565</v>
      </c>
      <c r="B538" t="str">
        <f>_xlfn.TEXTAFTER(Table1[[#This Row],[VEHIDCODE]],"_")</f>
        <v>Finland_VR_Sm2</v>
      </c>
      <c r="C538" t="s">
        <v>743</v>
      </c>
      <c r="D538" t="s">
        <v>964</v>
      </c>
      <c r="E538">
        <v>8016</v>
      </c>
      <c r="F538" t="b">
        <f>OR(ISNUMBER(SEARCH("wagon_",Table1[[#This Row],[FILENAMES_EXPECTED]])),ISNUMBER(SEARCH("coach_",Table1[[#This Row],[FILENAMES_EXPECTED]])))</f>
        <v>0</v>
      </c>
      <c r="G538" t="str">
        <f>"item_"&amp;Table1[[#This Row],[VEHIDCODE]]</f>
        <v>item_emu_Finland_VR_Sm2</v>
      </c>
      <c r="H538" t="str">
        <f>"str_"&amp;Table1[[#This Row],[VEHIDCODE]]</f>
        <v>str_emu_Finland_VR_Sm2</v>
      </c>
      <c r="S538" t="b">
        <v>1</v>
      </c>
      <c r="AL538" s="2"/>
      <c r="AM538" s="2" t="b">
        <f>LEN(_xlfn.CONCAT(Table1[[#This Row],[TRACK_TYPE_STANDARD_GAUGE_RAILTYPE_OHLE]:[TRACK_TYPE_MTRO]]))&gt;0</f>
        <v>1</v>
      </c>
      <c r="AN538">
        <v>8</v>
      </c>
      <c r="AO538" t="s">
        <v>18</v>
      </c>
      <c r="AP538">
        <v>1</v>
      </c>
      <c r="AQ538" t="s">
        <v>74</v>
      </c>
      <c r="AR538">
        <v>70</v>
      </c>
      <c r="AS538">
        <v>1975</v>
      </c>
      <c r="AT538">
        <v>8</v>
      </c>
      <c r="AU538" s="2" t="s">
        <v>24</v>
      </c>
      <c r="AV538" t="b">
        <v>1</v>
      </c>
      <c r="AW538" t="b">
        <v>1</v>
      </c>
      <c r="AX538" s="2"/>
      <c r="AY538">
        <v>45</v>
      </c>
      <c r="AZ538">
        <v>1</v>
      </c>
      <c r="BA538">
        <v>831</v>
      </c>
      <c r="BB538" t="s">
        <v>708</v>
      </c>
      <c r="BC538">
        <v>120</v>
      </c>
      <c r="BD538" s="2">
        <v>0.22</v>
      </c>
      <c r="BE538" t="s">
        <v>926</v>
      </c>
      <c r="BF538" t="s">
        <v>921</v>
      </c>
      <c r="BG538" t="s">
        <v>939</v>
      </c>
      <c r="BH538" s="7">
        <v>25</v>
      </c>
      <c r="BI53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538">
        <v>0</v>
      </c>
      <c r="BK538" t="s">
        <v>733</v>
      </c>
      <c r="BL538" s="11">
        <v>70</v>
      </c>
      <c r="BM538" s="11">
        <v>8</v>
      </c>
      <c r="BN538" s="11">
        <v>38</v>
      </c>
      <c r="BO538">
        <v>0</v>
      </c>
      <c r="BP538" t="s">
        <v>691</v>
      </c>
      <c r="BQ538" t="s">
        <v>693</v>
      </c>
      <c r="BR538" t="s">
        <v>700</v>
      </c>
      <c r="BS538" t="s">
        <v>704</v>
      </c>
      <c r="BT538" t="s">
        <v>705</v>
      </c>
      <c r="BU538" t="s">
        <v>706</v>
      </c>
      <c r="CT538"/>
      <c r="CU538"/>
      <c r="CV538"/>
    </row>
    <row r="539" spans="1:100" x14ac:dyDescent="0.4">
      <c r="A539" s="2" t="s">
        <v>566</v>
      </c>
      <c r="B539" t="str">
        <f>_xlfn.TEXTAFTER(Table1[[#This Row],[VEHIDCODE]],"_")</f>
        <v>Finland_VR_Sm4</v>
      </c>
      <c r="C539" t="s">
        <v>743</v>
      </c>
      <c r="D539" t="s">
        <v>964</v>
      </c>
      <c r="E539">
        <v>8034</v>
      </c>
      <c r="F539" t="b">
        <f>OR(ISNUMBER(SEARCH("wagon_",Table1[[#This Row],[FILENAMES_EXPECTED]])),ISNUMBER(SEARCH("coach_",Table1[[#This Row],[FILENAMES_EXPECTED]])))</f>
        <v>0</v>
      </c>
      <c r="G539" t="str">
        <f>"item_"&amp;Table1[[#This Row],[VEHIDCODE]]</f>
        <v>item_emu_Finland_VR_Sm4</v>
      </c>
      <c r="H539" t="str">
        <f>"str_"&amp;Table1[[#This Row],[VEHIDCODE]]</f>
        <v>str_emu_Finland_VR_Sm4</v>
      </c>
      <c r="S539" t="b">
        <v>1</v>
      </c>
      <c r="AL539" s="2"/>
      <c r="AM539" s="2" t="b">
        <f>LEN(_xlfn.CONCAT(Table1[[#This Row],[TRACK_TYPE_STANDARD_GAUGE_RAILTYPE_OHLE]:[TRACK_TYPE_MTRO]]))&gt;0</f>
        <v>1</v>
      </c>
      <c r="AN539">
        <v>8</v>
      </c>
      <c r="AO539" t="s">
        <v>18</v>
      </c>
      <c r="AP539">
        <v>1</v>
      </c>
      <c r="AQ539" t="s">
        <v>74</v>
      </c>
      <c r="AR539">
        <v>100</v>
      </c>
      <c r="AS539">
        <v>1999</v>
      </c>
      <c r="AT539">
        <v>8</v>
      </c>
      <c r="AU539" s="2" t="s">
        <v>24</v>
      </c>
      <c r="AV539" t="b">
        <v>1</v>
      </c>
      <c r="AW539" t="b">
        <v>1</v>
      </c>
      <c r="AX539" s="2"/>
      <c r="AY539" t="s">
        <v>21</v>
      </c>
      <c r="AZ539">
        <v>1</v>
      </c>
      <c r="BA539">
        <v>800</v>
      </c>
      <c r="BB539" t="s">
        <v>708</v>
      </c>
      <c r="BC539">
        <v>160</v>
      </c>
      <c r="BD539" s="2">
        <v>0.18</v>
      </c>
      <c r="BE539" t="s">
        <v>926</v>
      </c>
      <c r="BF539" t="s">
        <v>921</v>
      </c>
      <c r="BG539" t="s">
        <v>939</v>
      </c>
      <c r="BH539" s="7">
        <v>25</v>
      </c>
      <c r="BI53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539">
        <v>0</v>
      </c>
      <c r="BK539" t="s">
        <v>733</v>
      </c>
      <c r="BL539" s="11">
        <v>100</v>
      </c>
      <c r="BM539" s="11">
        <v>8</v>
      </c>
      <c r="BN539" s="11">
        <v>57</v>
      </c>
      <c r="BO539">
        <v>0</v>
      </c>
      <c r="BP539" t="s">
        <v>691</v>
      </c>
      <c r="BQ539" t="s">
        <v>693</v>
      </c>
      <c r="BR539" t="s">
        <v>700</v>
      </c>
      <c r="BS539" t="s">
        <v>704</v>
      </c>
      <c r="BT539" t="s">
        <v>705</v>
      </c>
      <c r="BU539" t="s">
        <v>706</v>
      </c>
      <c r="CT539"/>
      <c r="CU539"/>
      <c r="CV539"/>
    </row>
    <row r="540" spans="1:100" x14ac:dyDescent="0.4">
      <c r="A540" s="2" t="s">
        <v>567</v>
      </c>
      <c r="B540" t="str">
        <f>_xlfn.TEXTAFTER(Table1[[#This Row],[VEHIDCODE]],"_")</f>
        <v>Hungary_MAV_BDVmot</v>
      </c>
      <c r="C540" t="s">
        <v>743</v>
      </c>
      <c r="D540" t="s">
        <v>964</v>
      </c>
      <c r="E540">
        <v>8022</v>
      </c>
      <c r="F540" t="b">
        <f>OR(ISNUMBER(SEARCH("wagon_",Table1[[#This Row],[FILENAMES_EXPECTED]])),ISNUMBER(SEARCH("coach_",Table1[[#This Row],[FILENAMES_EXPECTED]])))</f>
        <v>0</v>
      </c>
      <c r="G540" t="str">
        <f>"item_"&amp;Table1[[#This Row],[VEHIDCODE]]</f>
        <v>item_emu_Hungary_MAV_BDVmot</v>
      </c>
      <c r="H540" t="str">
        <f>"str_"&amp;Table1[[#This Row],[VEHIDCODE]]</f>
        <v>str_emu_Hungary_MAV_BDVmot</v>
      </c>
      <c r="J540" t="b">
        <v>1</v>
      </c>
      <c r="AL540" s="2"/>
      <c r="AM540" s="2" t="b">
        <f>LEN(_xlfn.CONCAT(Table1[[#This Row],[TRACK_TYPE_STANDARD_GAUGE_RAILTYPE_OHLE]:[TRACK_TYPE_MTRO]]))&gt;0</f>
        <v>1</v>
      </c>
      <c r="AN540">
        <v>8</v>
      </c>
      <c r="AO540" t="s">
        <v>18</v>
      </c>
      <c r="AP540">
        <v>1</v>
      </c>
      <c r="AQ540" t="s">
        <v>74</v>
      </c>
      <c r="AR540">
        <v>75</v>
      </c>
      <c r="AS540">
        <v>1988</v>
      </c>
      <c r="AT540">
        <v>8</v>
      </c>
      <c r="AU540" s="2" t="s">
        <v>24</v>
      </c>
      <c r="AV540" t="b">
        <v>1</v>
      </c>
      <c r="AW540" t="b">
        <v>1</v>
      </c>
      <c r="AX540" s="2"/>
      <c r="AY540" t="s">
        <v>21</v>
      </c>
      <c r="AZ540">
        <v>1</v>
      </c>
      <c r="BA540">
        <v>2040</v>
      </c>
      <c r="BB540" t="s">
        <v>708</v>
      </c>
      <c r="BC540">
        <v>120</v>
      </c>
      <c r="BD540" s="2">
        <v>0.11</v>
      </c>
      <c r="BE540" t="s">
        <v>928</v>
      </c>
      <c r="BF540" t="s">
        <v>921</v>
      </c>
      <c r="BG540" t="s">
        <v>939</v>
      </c>
      <c r="BH540" s="7">
        <v>25</v>
      </c>
      <c r="BI54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540">
        <v>0</v>
      </c>
      <c r="BK540" t="s">
        <v>733</v>
      </c>
      <c r="BL540" s="11">
        <v>75</v>
      </c>
      <c r="BM540" s="11">
        <v>8</v>
      </c>
      <c r="BN540" s="11">
        <v>66</v>
      </c>
      <c r="BO540">
        <v>0</v>
      </c>
      <c r="BP540" t="s">
        <v>691</v>
      </c>
      <c r="BQ540" t="s">
        <v>693</v>
      </c>
      <c r="BR540" t="s">
        <v>700</v>
      </c>
      <c r="BS540" t="s">
        <v>704</v>
      </c>
      <c r="BT540" t="s">
        <v>705</v>
      </c>
      <c r="BU540" t="s">
        <v>706</v>
      </c>
      <c r="CT540"/>
      <c r="CU540"/>
      <c r="CV540"/>
    </row>
    <row r="541" spans="1:100" x14ac:dyDescent="0.4">
      <c r="A541" s="2" t="s">
        <v>568</v>
      </c>
      <c r="B541" t="str">
        <f>_xlfn.TEXTAFTER(Table1[[#This Row],[VEHIDCODE]],"_")</f>
        <v>Europe_Sureot</v>
      </c>
      <c r="C541" t="s">
        <v>743</v>
      </c>
      <c r="D541" t="s">
        <v>964</v>
      </c>
      <c r="E541">
        <v>8072</v>
      </c>
      <c r="F541" t="b">
        <f>OR(ISNUMBER(SEARCH("wagon_",Table1[[#This Row],[FILENAMES_EXPECTED]])),ISNUMBER(SEARCH("coach_",Table1[[#This Row],[FILENAMES_EXPECTED]])))</f>
        <v>0</v>
      </c>
      <c r="G541" t="str">
        <f>"item_"&amp;Table1[[#This Row],[VEHIDCODE]]</f>
        <v>item_emu_Europe_Sureot</v>
      </c>
      <c r="H541" t="str">
        <f>"str_"&amp;Table1[[#This Row],[VEHIDCODE]]</f>
        <v>str_emu_Europe_Sureot</v>
      </c>
      <c r="J541" t="b">
        <v>1</v>
      </c>
      <c r="AL541" s="2"/>
      <c r="AM541" s="2" t="b">
        <f>LEN(_xlfn.CONCAT(Table1[[#This Row],[TRACK_TYPE_STANDARD_GAUGE_RAILTYPE_OHLE]:[TRACK_TYPE_MTRO]]))&gt;0</f>
        <v>1</v>
      </c>
      <c r="AN541">
        <v>8</v>
      </c>
      <c r="AO541" t="s">
        <v>18</v>
      </c>
      <c r="AP541">
        <v>1</v>
      </c>
      <c r="AQ541" t="s">
        <v>74</v>
      </c>
      <c r="AR541">
        <v>85</v>
      </c>
      <c r="AS541">
        <v>2030</v>
      </c>
      <c r="AT541">
        <v>8</v>
      </c>
      <c r="AU541" s="2" t="s">
        <v>479</v>
      </c>
      <c r="AV541" t="b">
        <v>1</v>
      </c>
      <c r="AW541" t="b">
        <v>1</v>
      </c>
      <c r="AX541" s="2"/>
      <c r="AY541" t="s">
        <v>21</v>
      </c>
      <c r="AZ541">
        <v>1</v>
      </c>
      <c r="BA541">
        <v>16000</v>
      </c>
      <c r="BB541" t="s">
        <v>708</v>
      </c>
      <c r="BC541">
        <v>300</v>
      </c>
      <c r="BD541" s="2">
        <v>0.22</v>
      </c>
      <c r="BE541" t="s">
        <v>931</v>
      </c>
      <c r="BF541" t="s">
        <v>921</v>
      </c>
      <c r="BG541" t="s">
        <v>940</v>
      </c>
      <c r="BH541" s="7">
        <v>25</v>
      </c>
      <c r="BI54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541">
        <v>0</v>
      </c>
      <c r="BK541" t="s">
        <v>733</v>
      </c>
      <c r="BL541" s="11">
        <v>85</v>
      </c>
      <c r="BM541" s="11">
        <v>8</v>
      </c>
      <c r="BN541" s="11">
        <v>50</v>
      </c>
      <c r="BO541">
        <v>0</v>
      </c>
      <c r="BP541" t="s">
        <v>691</v>
      </c>
      <c r="BQ541" t="s">
        <v>693</v>
      </c>
      <c r="BR541" t="s">
        <v>700</v>
      </c>
      <c r="BS541" t="s">
        <v>704</v>
      </c>
      <c r="BT541" t="s">
        <v>705</v>
      </c>
      <c r="BU541" t="s">
        <v>706</v>
      </c>
      <c r="CT541"/>
      <c r="CU541"/>
      <c r="CV541"/>
    </row>
    <row r="542" spans="1:100" x14ac:dyDescent="0.4">
      <c r="A542" s="2" t="s">
        <v>569</v>
      </c>
      <c r="B542" t="str">
        <f>_xlfn.TEXTAFTER(Table1[[#This Row],[VEHIDCODE]],"_")</f>
        <v>Japan_JNR_Shinkansen_Series_0</v>
      </c>
      <c r="C542" t="s">
        <v>743</v>
      </c>
      <c r="D542" t="s">
        <v>964</v>
      </c>
      <c r="E542">
        <v>8011</v>
      </c>
      <c r="F542" t="b">
        <f>OR(ISNUMBER(SEARCH("wagon_",Table1[[#This Row],[FILENAMES_EXPECTED]])),ISNUMBER(SEARCH("coach_",Table1[[#This Row],[FILENAMES_EXPECTED]])))</f>
        <v>0</v>
      </c>
      <c r="G542" t="str">
        <f>"item_"&amp;Table1[[#This Row],[VEHIDCODE]]</f>
        <v>item_emu_Japan_JNR_Shinkansen_Series_0</v>
      </c>
      <c r="H542" t="str">
        <f>"str_"&amp;Table1[[#This Row],[VEHIDCODE]]</f>
        <v>str_emu_Japan_JNR_Shinkansen_Series_0</v>
      </c>
      <c r="J542" t="b">
        <v>1</v>
      </c>
      <c r="AL542" s="2"/>
      <c r="AM542" s="2" t="b">
        <f>LEN(_xlfn.CONCAT(Table1[[#This Row],[TRACK_TYPE_STANDARD_GAUGE_RAILTYPE_OHLE]:[TRACK_TYPE_MTRO]]))&gt;0</f>
        <v>1</v>
      </c>
      <c r="AN542">
        <v>8</v>
      </c>
      <c r="AO542" t="s">
        <v>18</v>
      </c>
      <c r="AP542">
        <v>1</v>
      </c>
      <c r="AQ542" t="s">
        <v>74</v>
      </c>
      <c r="AR542">
        <v>50</v>
      </c>
      <c r="AS542">
        <v>1964</v>
      </c>
      <c r="AT542">
        <v>8</v>
      </c>
      <c r="AU542" s="2" t="s">
        <v>479</v>
      </c>
      <c r="AV542" t="b">
        <v>1</v>
      </c>
      <c r="AW542" t="b">
        <v>1</v>
      </c>
      <c r="AX542" s="2"/>
      <c r="AY542">
        <v>45</v>
      </c>
      <c r="AZ542">
        <v>1</v>
      </c>
      <c r="BA542">
        <v>1000</v>
      </c>
      <c r="BB542" t="s">
        <v>708</v>
      </c>
      <c r="BC542">
        <v>210</v>
      </c>
      <c r="BD542" s="2">
        <v>0.3</v>
      </c>
      <c r="BE542" t="s">
        <v>930</v>
      </c>
      <c r="BF542" t="s">
        <v>921</v>
      </c>
      <c r="BG542" t="s">
        <v>939</v>
      </c>
      <c r="BH542" s="7">
        <v>44</v>
      </c>
      <c r="BI54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542">
        <v>-3</v>
      </c>
      <c r="BK542" t="s">
        <v>733</v>
      </c>
      <c r="BL542" s="11">
        <v>50</v>
      </c>
      <c r="BM542" s="11">
        <v>8</v>
      </c>
      <c r="BN542" s="11">
        <v>54</v>
      </c>
      <c r="BO542">
        <v>0</v>
      </c>
      <c r="BP542" t="s">
        <v>691</v>
      </c>
      <c r="BQ542" t="s">
        <v>693</v>
      </c>
      <c r="BR542" t="s">
        <v>700</v>
      </c>
      <c r="BS542" t="s">
        <v>704</v>
      </c>
      <c r="BT542" t="s">
        <v>705</v>
      </c>
      <c r="BU542" t="s">
        <v>706</v>
      </c>
      <c r="CT542"/>
      <c r="CU542"/>
      <c r="CV542"/>
    </row>
    <row r="543" spans="1:100" x14ac:dyDescent="0.4">
      <c r="A543" s="2" t="s">
        <v>570</v>
      </c>
      <c r="B543" t="str">
        <f>_xlfn.TEXTAFTER(Table1[[#This Row],[VEHIDCODE]],"_")</f>
        <v>Japan_JR_Shinkansen_Series_700</v>
      </c>
      <c r="C543" t="s">
        <v>743</v>
      </c>
      <c r="D543" t="s">
        <v>964</v>
      </c>
      <c r="E543">
        <v>8030</v>
      </c>
      <c r="F543" t="b">
        <f>OR(ISNUMBER(SEARCH("wagon_",Table1[[#This Row],[FILENAMES_EXPECTED]])),ISNUMBER(SEARCH("coach_",Table1[[#This Row],[FILENAMES_EXPECTED]])))</f>
        <v>0</v>
      </c>
      <c r="G543" t="str">
        <f>"item_"&amp;Table1[[#This Row],[VEHIDCODE]]</f>
        <v>item_emu_Japan_JR_Shinkansen_Series_700</v>
      </c>
      <c r="H543" t="str">
        <f>"str_"&amp;Table1[[#This Row],[VEHIDCODE]]</f>
        <v>str_emu_Japan_JR_Shinkansen_Series_700</v>
      </c>
      <c r="J543" t="b">
        <v>1</v>
      </c>
      <c r="AL543" s="2"/>
      <c r="AM543" s="2" t="b">
        <f>LEN(_xlfn.CONCAT(Table1[[#This Row],[TRACK_TYPE_STANDARD_GAUGE_RAILTYPE_OHLE]:[TRACK_TYPE_MTRO]]))&gt;0</f>
        <v>1</v>
      </c>
      <c r="AN543">
        <v>8</v>
      </c>
      <c r="AO543" t="s">
        <v>18</v>
      </c>
      <c r="AP543">
        <v>1</v>
      </c>
      <c r="AQ543" t="s">
        <v>74</v>
      </c>
      <c r="AR543">
        <v>83</v>
      </c>
      <c r="AS543">
        <v>1997</v>
      </c>
      <c r="AT543">
        <v>8</v>
      </c>
      <c r="AU543" s="2" t="s">
        <v>479</v>
      </c>
      <c r="AV543" t="b">
        <v>1</v>
      </c>
      <c r="AW543" t="b">
        <v>1</v>
      </c>
      <c r="AX543" s="2"/>
      <c r="AY543" t="s">
        <v>21</v>
      </c>
      <c r="AZ543">
        <v>1</v>
      </c>
      <c r="BA543">
        <v>1441</v>
      </c>
      <c r="BB543" t="s">
        <v>708</v>
      </c>
      <c r="BC543">
        <v>270</v>
      </c>
      <c r="BD543" s="2">
        <v>0.56000000000000005</v>
      </c>
      <c r="BE543" t="s">
        <v>930</v>
      </c>
      <c r="BF543" t="s">
        <v>921</v>
      </c>
      <c r="BG543" t="s">
        <v>939</v>
      </c>
      <c r="BH543" s="7">
        <v>25</v>
      </c>
      <c r="BI54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543">
        <v>0</v>
      </c>
      <c r="BK543" t="s">
        <v>733</v>
      </c>
      <c r="BL543" s="11">
        <v>83</v>
      </c>
      <c r="BM543" s="11">
        <v>8</v>
      </c>
      <c r="BN543" s="11">
        <v>45</v>
      </c>
      <c r="BO543">
        <v>0</v>
      </c>
      <c r="BP543" t="s">
        <v>691</v>
      </c>
      <c r="BQ543" t="s">
        <v>693</v>
      </c>
      <c r="BR543" t="s">
        <v>700</v>
      </c>
      <c r="BS543" t="s">
        <v>704</v>
      </c>
      <c r="BT543" t="s">
        <v>705</v>
      </c>
      <c r="BU543" t="s">
        <v>706</v>
      </c>
      <c r="CT543"/>
      <c r="CU543"/>
      <c r="CV543"/>
    </row>
    <row r="544" spans="1:100" x14ac:dyDescent="0.4">
      <c r="A544" s="2" t="s">
        <v>571</v>
      </c>
      <c r="B544" t="str">
        <f>_xlfn.TEXTAFTER(Table1[[#This Row],[VEHIDCODE]],"_")</f>
        <v>Japan_JR_Shinkansen_Series_E1_Max</v>
      </c>
      <c r="C544" t="s">
        <v>743</v>
      </c>
      <c r="D544" t="s">
        <v>964</v>
      </c>
      <c r="E544">
        <v>8065</v>
      </c>
      <c r="F544" t="b">
        <f>OR(ISNUMBER(SEARCH("wagon_",Table1[[#This Row],[FILENAMES_EXPECTED]])),ISNUMBER(SEARCH("coach_",Table1[[#This Row],[FILENAMES_EXPECTED]])))</f>
        <v>0</v>
      </c>
      <c r="G544" t="str">
        <f>"item_"&amp;Table1[[#This Row],[VEHIDCODE]]</f>
        <v>item_emu_Japan_JR_Shinkansen_Series_E1_Max</v>
      </c>
      <c r="H544" t="str">
        <f>"str_"&amp;Table1[[#This Row],[VEHIDCODE]]</f>
        <v>str_emu_Japan_JR_Shinkansen_Series_E1_Max</v>
      </c>
      <c r="J544" t="b">
        <v>1</v>
      </c>
      <c r="AL544" s="2"/>
      <c r="AM544" s="2" t="b">
        <f>LEN(_xlfn.CONCAT(Table1[[#This Row],[TRACK_TYPE_STANDARD_GAUGE_RAILTYPE_OHLE]:[TRACK_TYPE_MTRO]]))&gt;0</f>
        <v>1</v>
      </c>
      <c r="AN544">
        <v>8</v>
      </c>
      <c r="AO544" t="s">
        <v>18</v>
      </c>
      <c r="AP544">
        <v>1</v>
      </c>
      <c r="AQ544" t="s">
        <v>74</v>
      </c>
      <c r="AR544">
        <v>100</v>
      </c>
      <c r="AS544">
        <v>1994</v>
      </c>
      <c r="AT544">
        <v>8</v>
      </c>
      <c r="AU544" s="2" t="s">
        <v>24</v>
      </c>
      <c r="AV544" t="b">
        <v>1</v>
      </c>
      <c r="AW544" t="b">
        <v>1</v>
      </c>
      <c r="AX544" s="2"/>
      <c r="AY544">
        <v>45</v>
      </c>
      <c r="AZ544">
        <v>1</v>
      </c>
      <c r="BA544">
        <v>1704</v>
      </c>
      <c r="BB544" t="s">
        <v>708</v>
      </c>
      <c r="BC544">
        <v>240</v>
      </c>
      <c r="BD544" s="2">
        <v>0.3</v>
      </c>
      <c r="BE544" t="s">
        <v>930</v>
      </c>
      <c r="BF544" t="s">
        <v>921</v>
      </c>
      <c r="BG544" t="s">
        <v>939</v>
      </c>
      <c r="BH544" s="7">
        <v>40</v>
      </c>
      <c r="BI54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544">
        <v>0</v>
      </c>
      <c r="BK544" t="s">
        <v>733</v>
      </c>
      <c r="BL544" s="11">
        <v>100</v>
      </c>
      <c r="BM544" s="11">
        <v>8</v>
      </c>
      <c r="BN544" s="11">
        <v>58</v>
      </c>
      <c r="BO544">
        <v>0</v>
      </c>
      <c r="BP544" t="s">
        <v>691</v>
      </c>
      <c r="BQ544" t="s">
        <v>693</v>
      </c>
      <c r="BR544" t="s">
        <v>700</v>
      </c>
      <c r="BS544" t="s">
        <v>704</v>
      </c>
      <c r="BT544" t="s">
        <v>705</v>
      </c>
      <c r="BU544" t="s">
        <v>706</v>
      </c>
      <c r="CT544"/>
      <c r="CU544"/>
      <c r="CV544"/>
    </row>
    <row r="545" spans="1:100" x14ac:dyDescent="0.4">
      <c r="A545" s="2" t="s">
        <v>572</v>
      </c>
      <c r="B545" t="str">
        <f>_xlfn.TEXTAFTER(Table1[[#This Row],[VEHIDCODE]],"_")</f>
        <v>Luxembourg_CFL_2200_Coradia_Duplex</v>
      </c>
      <c r="C545" t="s">
        <v>743</v>
      </c>
      <c r="D545" t="s">
        <v>964</v>
      </c>
      <c r="E545">
        <v>8035</v>
      </c>
      <c r="F545" t="b">
        <f>OR(ISNUMBER(SEARCH("wagon_",Table1[[#This Row],[FILENAMES_EXPECTED]])),ISNUMBER(SEARCH("coach_",Table1[[#This Row],[FILENAMES_EXPECTED]])))</f>
        <v>0</v>
      </c>
      <c r="G545" t="str">
        <f>"item_"&amp;Table1[[#This Row],[VEHIDCODE]]</f>
        <v>item_emu_Luxembourg_CFL_2200_Coradia_Duplex</v>
      </c>
      <c r="H545" t="str">
        <f>"str_"&amp;Table1[[#This Row],[VEHIDCODE]]</f>
        <v>str_emu_Luxembourg_CFL_2200_Coradia_Duplex</v>
      </c>
      <c r="J545" t="b">
        <v>1</v>
      </c>
      <c r="AL545" s="2"/>
      <c r="AM545" s="2" t="b">
        <f>LEN(_xlfn.CONCAT(Table1[[#This Row],[TRACK_TYPE_STANDARD_GAUGE_RAILTYPE_OHLE]:[TRACK_TYPE_MTRO]]))&gt;0</f>
        <v>1</v>
      </c>
      <c r="AN545">
        <v>8</v>
      </c>
      <c r="AO545" t="s">
        <v>18</v>
      </c>
      <c r="AP545">
        <v>1</v>
      </c>
      <c r="AQ545" t="s">
        <v>74</v>
      </c>
      <c r="AR545">
        <v>111</v>
      </c>
      <c r="AS545">
        <v>1999</v>
      </c>
      <c r="AT545">
        <v>8</v>
      </c>
      <c r="AU545" s="2" t="s">
        <v>24</v>
      </c>
      <c r="AV545" t="b">
        <v>1</v>
      </c>
      <c r="AW545" t="b">
        <v>1</v>
      </c>
      <c r="AX545" s="2"/>
      <c r="AY545" t="s">
        <v>21</v>
      </c>
      <c r="AZ545">
        <v>1</v>
      </c>
      <c r="BA545">
        <v>1050</v>
      </c>
      <c r="BB545" t="s">
        <v>708</v>
      </c>
      <c r="BC545">
        <v>160</v>
      </c>
      <c r="BD545" s="2">
        <v>0.26</v>
      </c>
      <c r="BE545" t="s">
        <v>922</v>
      </c>
      <c r="BF545" t="s">
        <v>921</v>
      </c>
      <c r="BG545" t="s">
        <v>939</v>
      </c>
      <c r="BH545" s="7">
        <v>25</v>
      </c>
      <c r="BI54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545">
        <v>0</v>
      </c>
      <c r="BK545" t="s">
        <v>733</v>
      </c>
      <c r="BL545" s="11">
        <v>111</v>
      </c>
      <c r="BM545" s="11">
        <v>8</v>
      </c>
      <c r="BN545" s="11">
        <v>53</v>
      </c>
      <c r="BO545">
        <v>0</v>
      </c>
      <c r="BP545" t="s">
        <v>691</v>
      </c>
      <c r="BQ545" t="s">
        <v>693</v>
      </c>
      <c r="BR545" t="s">
        <v>700</v>
      </c>
      <c r="BS545" t="s">
        <v>704</v>
      </c>
      <c r="BT545" t="s">
        <v>705</v>
      </c>
      <c r="BU545" t="s">
        <v>706</v>
      </c>
      <c r="CT545"/>
      <c r="CU545"/>
      <c r="CV545"/>
    </row>
    <row r="546" spans="1:100" x14ac:dyDescent="0.4">
      <c r="A546" s="2" t="s">
        <v>573</v>
      </c>
      <c r="B546" t="str">
        <f>_xlfn.TEXTAFTER(Table1[[#This Row],[VEHIDCODE]],"_")</f>
        <v>Macedonia_Macedonian_Railways_412</v>
      </c>
      <c r="C546" t="s">
        <v>743</v>
      </c>
      <c r="D546" t="s">
        <v>964</v>
      </c>
      <c r="E546">
        <v>8053</v>
      </c>
      <c r="F546" t="b">
        <f>OR(ISNUMBER(SEARCH("wagon_",Table1[[#This Row],[FILENAMES_EXPECTED]])),ISNUMBER(SEARCH("coach_",Table1[[#This Row],[FILENAMES_EXPECTED]])))</f>
        <v>0</v>
      </c>
      <c r="G546" t="str">
        <f>"item_"&amp;Table1[[#This Row],[VEHIDCODE]]</f>
        <v>item_emu_Macedonia_Macedonian_Railways_412</v>
      </c>
      <c r="H546" t="str">
        <f>"str_"&amp;Table1[[#This Row],[VEHIDCODE]]</f>
        <v>str_emu_Macedonia_Macedonian_Railways_412</v>
      </c>
      <c r="J546" t="b">
        <v>1</v>
      </c>
      <c r="AL546" s="2"/>
      <c r="AM546" s="2" t="b">
        <f>LEN(_xlfn.CONCAT(Table1[[#This Row],[TRACK_TYPE_STANDARD_GAUGE_RAILTYPE_OHLE]:[TRACK_TYPE_MTRO]]))&gt;0</f>
        <v>1</v>
      </c>
      <c r="AN546">
        <v>8</v>
      </c>
      <c r="AO546" t="s">
        <v>18</v>
      </c>
      <c r="AP546">
        <v>1</v>
      </c>
      <c r="AQ546" t="s">
        <v>74</v>
      </c>
      <c r="AR546">
        <v>68</v>
      </c>
      <c r="AS546">
        <v>1980</v>
      </c>
      <c r="AT546">
        <v>8</v>
      </c>
      <c r="AU546" s="2" t="s">
        <v>24</v>
      </c>
      <c r="AV546" t="b">
        <v>1</v>
      </c>
      <c r="AW546" t="b">
        <v>1</v>
      </c>
      <c r="AX546" s="2"/>
      <c r="AY546">
        <v>45</v>
      </c>
      <c r="AZ546">
        <v>1</v>
      </c>
      <c r="BA546">
        <v>340</v>
      </c>
      <c r="BB546" t="s">
        <v>708</v>
      </c>
      <c r="BC546">
        <v>120</v>
      </c>
      <c r="BD546" s="2">
        <v>0.15</v>
      </c>
      <c r="BE546" t="s">
        <v>923</v>
      </c>
      <c r="BF546" t="s">
        <v>921</v>
      </c>
      <c r="BG546" t="s">
        <v>939</v>
      </c>
      <c r="BH546" s="7">
        <v>25</v>
      </c>
      <c r="BI54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546">
        <v>0</v>
      </c>
      <c r="BK546" t="s">
        <v>733</v>
      </c>
      <c r="BL546" s="11">
        <v>68</v>
      </c>
      <c r="BM546" s="11">
        <v>8</v>
      </c>
      <c r="BN546" s="11">
        <v>60</v>
      </c>
      <c r="BO546">
        <v>0</v>
      </c>
      <c r="BP546" t="s">
        <v>691</v>
      </c>
      <c r="BQ546" t="s">
        <v>693</v>
      </c>
      <c r="BR546" t="s">
        <v>700</v>
      </c>
      <c r="BS546" t="s">
        <v>704</v>
      </c>
      <c r="BT546" t="s">
        <v>705</v>
      </c>
      <c r="BU546" t="s">
        <v>706</v>
      </c>
      <c r="CT546"/>
      <c r="CU546"/>
      <c r="CV546"/>
    </row>
    <row r="547" spans="1:100" x14ac:dyDescent="0.4">
      <c r="A547" s="2" t="s">
        <v>574</v>
      </c>
      <c r="B547" t="str">
        <f>_xlfn.TEXTAFTER(Table1[[#This Row],[VEHIDCODE]],"_")</f>
        <v>Romania_CFR_58</v>
      </c>
      <c r="C547" t="s">
        <v>743</v>
      </c>
      <c r="D547" t="s">
        <v>964</v>
      </c>
      <c r="E547">
        <v>8061</v>
      </c>
      <c r="F547" t="b">
        <f>OR(ISNUMBER(SEARCH("wagon_",Table1[[#This Row],[FILENAMES_EXPECTED]])),ISNUMBER(SEARCH("coach_",Table1[[#This Row],[FILENAMES_EXPECTED]])))</f>
        <v>0</v>
      </c>
      <c r="G547" t="str">
        <f>"item_"&amp;Table1[[#This Row],[VEHIDCODE]]</f>
        <v>item_emu_Romania_CFR_58</v>
      </c>
      <c r="H547" t="str">
        <f>"str_"&amp;Table1[[#This Row],[VEHIDCODE]]</f>
        <v>str_emu_Romania_CFR_58</v>
      </c>
      <c r="J547" t="b">
        <v>1</v>
      </c>
      <c r="AL547" s="2"/>
      <c r="AM547" s="2" t="b">
        <f>LEN(_xlfn.CONCAT(Table1[[#This Row],[TRACK_TYPE_STANDARD_GAUGE_RAILTYPE_OHLE]:[TRACK_TYPE_MTRO]]))&gt;0</f>
        <v>1</v>
      </c>
      <c r="AN547">
        <v>8</v>
      </c>
      <c r="AO547" t="s">
        <v>18</v>
      </c>
      <c r="AP547">
        <v>1</v>
      </c>
      <c r="AQ547" t="s">
        <v>74</v>
      </c>
      <c r="AR547">
        <v>100</v>
      </c>
      <c r="AS547">
        <v>1965</v>
      </c>
      <c r="AT547">
        <v>8</v>
      </c>
      <c r="AU547" s="2" t="s">
        <v>24</v>
      </c>
      <c r="AV547" t="b">
        <v>1</v>
      </c>
      <c r="AW547" t="b">
        <v>1</v>
      </c>
      <c r="AX547" s="2"/>
      <c r="AY547">
        <v>45</v>
      </c>
      <c r="AZ547">
        <v>1</v>
      </c>
      <c r="BA547">
        <v>824</v>
      </c>
      <c r="BB547" t="s">
        <v>708</v>
      </c>
      <c r="BC547">
        <v>120</v>
      </c>
      <c r="BD547" s="2">
        <v>0.42</v>
      </c>
      <c r="BE547" t="s">
        <v>928</v>
      </c>
      <c r="BF547" t="s">
        <v>921</v>
      </c>
      <c r="BG547" t="s">
        <v>939</v>
      </c>
      <c r="BH547" s="7">
        <v>40</v>
      </c>
      <c r="BI54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547">
        <v>0</v>
      </c>
      <c r="BK547" t="s">
        <v>733</v>
      </c>
      <c r="BL547" s="11">
        <v>100</v>
      </c>
      <c r="BM547" s="11">
        <v>8</v>
      </c>
      <c r="BN547" s="11">
        <v>35</v>
      </c>
      <c r="BO547">
        <v>0</v>
      </c>
      <c r="BP547" t="s">
        <v>691</v>
      </c>
      <c r="BQ547" t="s">
        <v>693</v>
      </c>
      <c r="BR547" t="s">
        <v>700</v>
      </c>
      <c r="BS547" t="s">
        <v>704</v>
      </c>
      <c r="BT547" t="s">
        <v>705</v>
      </c>
      <c r="BU547" t="s">
        <v>706</v>
      </c>
      <c r="CT547"/>
      <c r="CU547"/>
      <c r="CV547"/>
    </row>
    <row r="548" spans="1:100" x14ac:dyDescent="0.4">
      <c r="A548" s="2" t="s">
        <v>575</v>
      </c>
      <c r="B548" t="str">
        <f>_xlfn.TEXTAFTER(Table1[[#This Row],[VEHIDCODE]],"_")</f>
        <v>South_Africa_Gautrain_Electrostar</v>
      </c>
      <c r="C548" t="s">
        <v>743</v>
      </c>
      <c r="D548" t="s">
        <v>964</v>
      </c>
      <c r="E548">
        <v>8041</v>
      </c>
      <c r="F548" t="b">
        <f>OR(ISNUMBER(SEARCH("wagon_",Table1[[#This Row],[FILENAMES_EXPECTED]])),ISNUMBER(SEARCH("coach_",Table1[[#This Row],[FILENAMES_EXPECTED]])))</f>
        <v>0</v>
      </c>
      <c r="G548" t="str">
        <f>"item_"&amp;Table1[[#This Row],[VEHIDCODE]]</f>
        <v>item_emu_South_Africa_Gautrain_Electrostar</v>
      </c>
      <c r="H548" t="str">
        <f>"str_"&amp;Table1[[#This Row],[VEHIDCODE]]</f>
        <v>str_emu_South_Africa_Gautrain_Electrostar</v>
      </c>
      <c r="J548" t="b">
        <v>1</v>
      </c>
      <c r="AL548" s="2"/>
      <c r="AM548" s="2" t="b">
        <f>LEN(_xlfn.CONCAT(Table1[[#This Row],[TRACK_TYPE_STANDARD_GAUGE_RAILTYPE_OHLE]:[TRACK_TYPE_MTRO]]))&gt;0</f>
        <v>1</v>
      </c>
      <c r="AN548">
        <v>8</v>
      </c>
      <c r="AO548" t="s">
        <v>18</v>
      </c>
      <c r="AP548">
        <v>1</v>
      </c>
      <c r="AQ548" t="s">
        <v>74</v>
      </c>
      <c r="AR548">
        <v>52</v>
      </c>
      <c r="AS548">
        <v>2010</v>
      </c>
      <c r="AT548">
        <v>8</v>
      </c>
      <c r="AU548" s="2" t="s">
        <v>479</v>
      </c>
      <c r="AV548" t="b">
        <v>1</v>
      </c>
      <c r="AW548" t="b">
        <v>1</v>
      </c>
      <c r="AX548" s="2"/>
      <c r="AY548" t="s">
        <v>21</v>
      </c>
      <c r="AZ548">
        <v>1</v>
      </c>
      <c r="BA548">
        <v>553</v>
      </c>
      <c r="BB548" t="s">
        <v>708</v>
      </c>
      <c r="BC548">
        <v>160</v>
      </c>
      <c r="BD548" s="2">
        <v>0.3</v>
      </c>
      <c r="BE548" t="s">
        <v>925</v>
      </c>
      <c r="BF548" t="s">
        <v>921</v>
      </c>
      <c r="BG548" t="s">
        <v>939</v>
      </c>
      <c r="BH548" s="7">
        <v>25</v>
      </c>
      <c r="BI54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548">
        <v>0</v>
      </c>
      <c r="BK548" t="s">
        <v>733</v>
      </c>
      <c r="BL548" s="11">
        <v>52</v>
      </c>
      <c r="BM548" s="11">
        <v>8</v>
      </c>
      <c r="BN548" s="11">
        <v>42</v>
      </c>
      <c r="BO548">
        <v>0</v>
      </c>
      <c r="BP548" t="s">
        <v>691</v>
      </c>
      <c r="BQ548" t="s">
        <v>693</v>
      </c>
      <c r="BR548" t="s">
        <v>700</v>
      </c>
      <c r="BS548" t="s">
        <v>704</v>
      </c>
      <c r="BT548" t="s">
        <v>705</v>
      </c>
      <c r="BU548" t="s">
        <v>706</v>
      </c>
      <c r="CT548"/>
      <c r="CU548"/>
      <c r="CV548"/>
    </row>
    <row r="549" spans="1:100" x14ac:dyDescent="0.4">
      <c r="A549" s="2" t="s">
        <v>576</v>
      </c>
      <c r="B549" t="str">
        <f>_xlfn.TEXTAFTER(Table1[[#This Row],[VEHIDCODE]],"_")</f>
        <v>Turkey_TCDD_E8000</v>
      </c>
      <c r="C549" t="s">
        <v>743</v>
      </c>
      <c r="D549" t="s">
        <v>964</v>
      </c>
      <c r="E549">
        <v>8008</v>
      </c>
      <c r="F549" t="b">
        <f>OR(ISNUMBER(SEARCH("wagon_",Table1[[#This Row],[FILENAMES_EXPECTED]])),ISNUMBER(SEARCH("coach_",Table1[[#This Row],[FILENAMES_EXPECTED]])))</f>
        <v>0</v>
      </c>
      <c r="G549" t="str">
        <f>"item_"&amp;Table1[[#This Row],[VEHIDCODE]]</f>
        <v>item_emu_Turkey_TCDD_E8000</v>
      </c>
      <c r="H549" t="str">
        <f>"str_"&amp;Table1[[#This Row],[VEHIDCODE]]</f>
        <v>str_emu_Turkey_TCDD_E8000</v>
      </c>
      <c r="J549" t="b">
        <v>1</v>
      </c>
      <c r="AL549" s="2"/>
      <c r="AM549" s="2" t="b">
        <f>LEN(_xlfn.CONCAT(Table1[[#This Row],[TRACK_TYPE_STANDARD_GAUGE_RAILTYPE_OHLE]:[TRACK_TYPE_MTRO]]))&gt;0</f>
        <v>1</v>
      </c>
      <c r="AN549">
        <v>8</v>
      </c>
      <c r="AO549" t="s">
        <v>18</v>
      </c>
      <c r="AP549">
        <v>1</v>
      </c>
      <c r="AQ549" t="s">
        <v>74</v>
      </c>
      <c r="AR549">
        <v>81</v>
      </c>
      <c r="AS549">
        <v>1955</v>
      </c>
      <c r="AT549">
        <v>8</v>
      </c>
      <c r="AU549" s="2" t="s">
        <v>24</v>
      </c>
      <c r="AV549" t="b">
        <v>1</v>
      </c>
      <c r="AW549" t="b">
        <v>1</v>
      </c>
      <c r="AX549" s="2"/>
      <c r="AY549">
        <v>45</v>
      </c>
      <c r="AZ549">
        <v>1</v>
      </c>
      <c r="BA549">
        <v>550</v>
      </c>
      <c r="BB549" t="s">
        <v>708</v>
      </c>
      <c r="BC549">
        <v>110</v>
      </c>
      <c r="BD549" s="2">
        <v>0.2</v>
      </c>
      <c r="BE549" t="s">
        <v>930</v>
      </c>
      <c r="BF549" t="s">
        <v>921</v>
      </c>
      <c r="BG549" t="s">
        <v>939</v>
      </c>
      <c r="BH549" s="7">
        <v>25</v>
      </c>
      <c r="BI54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549">
        <v>0</v>
      </c>
      <c r="BK549" t="s">
        <v>733</v>
      </c>
      <c r="BL549" s="11">
        <v>81</v>
      </c>
      <c r="BM549" s="11">
        <v>8</v>
      </c>
      <c r="BN549" s="11">
        <v>40</v>
      </c>
      <c r="BO549">
        <v>0</v>
      </c>
      <c r="BP549" t="s">
        <v>691</v>
      </c>
      <c r="BQ549" t="s">
        <v>693</v>
      </c>
      <c r="BR549" t="s">
        <v>700</v>
      </c>
      <c r="BS549" t="s">
        <v>704</v>
      </c>
      <c r="BT549" t="s">
        <v>705</v>
      </c>
      <c r="BU549" t="s">
        <v>706</v>
      </c>
      <c r="CT549"/>
      <c r="CU549"/>
      <c r="CV549"/>
    </row>
    <row r="550" spans="1:100" x14ac:dyDescent="0.4">
      <c r="A550" s="2" t="s">
        <v>577</v>
      </c>
      <c r="B550" t="str">
        <f>_xlfn.TEXTAFTER(Table1[[#This Row],[VEHIDCODE]],"_")</f>
        <v>China_Railways_CHR380A</v>
      </c>
      <c r="C550" t="s">
        <v>743</v>
      </c>
      <c r="D550" t="s">
        <v>964</v>
      </c>
      <c r="E550">
        <v>8071</v>
      </c>
      <c r="F550" t="b">
        <f>OR(ISNUMBER(SEARCH("wagon_",Table1[[#This Row],[FILENAMES_EXPECTED]])),ISNUMBER(SEARCH("coach_",Table1[[#This Row],[FILENAMES_EXPECTED]])))</f>
        <v>0</v>
      </c>
      <c r="G550" t="str">
        <f>"item_"&amp;Table1[[#This Row],[VEHIDCODE]]</f>
        <v>item_emu_China_Railways_CHR380A</v>
      </c>
      <c r="H550" t="str">
        <f>"str_"&amp;Table1[[#This Row],[VEHIDCODE]]</f>
        <v>str_emu_China_Railways_CHR380A</v>
      </c>
      <c r="J550" t="b">
        <v>1</v>
      </c>
      <c r="AL550" s="2"/>
      <c r="AM550" s="2" t="b">
        <f>LEN(_xlfn.CONCAT(Table1[[#This Row],[TRACK_TYPE_STANDARD_GAUGE_RAILTYPE_OHLE]:[TRACK_TYPE_MTRO]]))&gt;0</f>
        <v>1</v>
      </c>
      <c r="AN550">
        <v>8</v>
      </c>
      <c r="AO550" t="s">
        <v>18</v>
      </c>
      <c r="AP550">
        <v>1</v>
      </c>
      <c r="AQ550" t="s">
        <v>74</v>
      </c>
      <c r="AR550">
        <v>70</v>
      </c>
      <c r="AS550">
        <v>2010</v>
      </c>
      <c r="AT550">
        <v>8</v>
      </c>
      <c r="AU550" s="2" t="s">
        <v>24</v>
      </c>
      <c r="AV550" t="b">
        <v>1</v>
      </c>
      <c r="AW550" t="b">
        <v>1</v>
      </c>
      <c r="AX550" s="2"/>
      <c r="AY550" t="s">
        <v>21</v>
      </c>
      <c r="AZ550">
        <v>1</v>
      </c>
      <c r="BA550">
        <v>6450</v>
      </c>
      <c r="BB550" t="s">
        <v>708</v>
      </c>
      <c r="BC550">
        <v>380</v>
      </c>
      <c r="BD550" s="2">
        <v>0.14000000000000001</v>
      </c>
      <c r="BE550" t="s">
        <v>930</v>
      </c>
      <c r="BF550" t="s">
        <v>921</v>
      </c>
      <c r="BG550" t="s">
        <v>939</v>
      </c>
      <c r="BH550" s="7">
        <v>25</v>
      </c>
      <c r="BI55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550">
        <v>0</v>
      </c>
      <c r="BK550" t="s">
        <v>733</v>
      </c>
      <c r="BL550" s="11">
        <v>70</v>
      </c>
      <c r="BM550" s="11">
        <v>8</v>
      </c>
      <c r="BN550" s="11">
        <v>48</v>
      </c>
      <c r="BO550">
        <v>0</v>
      </c>
      <c r="BP550" t="s">
        <v>691</v>
      </c>
      <c r="BQ550" t="s">
        <v>693</v>
      </c>
      <c r="BR550" t="s">
        <v>700</v>
      </c>
      <c r="BS550" t="s">
        <v>704</v>
      </c>
      <c r="BT550" t="s">
        <v>705</v>
      </c>
      <c r="BU550" t="s">
        <v>706</v>
      </c>
      <c r="CT550"/>
      <c r="CU550"/>
      <c r="CV550"/>
    </row>
    <row r="551" spans="1:100" x14ac:dyDescent="0.4">
      <c r="A551" s="2" t="s">
        <v>578</v>
      </c>
      <c r="B551" t="str">
        <f>_xlfn.TEXTAFTER(Table1[[#This Row],[VEHIDCODE]],"_")</f>
        <v>USA_PRR_MP54</v>
      </c>
      <c r="C551" t="s">
        <v>743</v>
      </c>
      <c r="D551" t="s">
        <v>964</v>
      </c>
      <c r="E551">
        <v>8045</v>
      </c>
      <c r="F551" t="b">
        <f>OR(ISNUMBER(SEARCH("wagon_",Table1[[#This Row],[FILENAMES_EXPECTED]])),ISNUMBER(SEARCH("coach_",Table1[[#This Row],[FILENAMES_EXPECTED]])))</f>
        <v>0</v>
      </c>
      <c r="G551" t="str">
        <f>"item_"&amp;Table1[[#This Row],[VEHIDCODE]]</f>
        <v>item_emu_USA_PRR_MP54</v>
      </c>
      <c r="H551" t="str">
        <f>"str_"&amp;Table1[[#This Row],[VEHIDCODE]]</f>
        <v>str_emu_USA_PRR_MP54</v>
      </c>
      <c r="I551" t="b">
        <v>1</v>
      </c>
      <c r="P551" t="b">
        <v>1</v>
      </c>
      <c r="AL551" s="2"/>
      <c r="AM551" s="2" t="b">
        <f>LEN(_xlfn.CONCAT(Table1[[#This Row],[TRACK_TYPE_STANDARD_GAUGE_RAILTYPE_OHLE]:[TRACK_TYPE_MTRO]]))&gt;0</f>
        <v>1</v>
      </c>
      <c r="AN551">
        <v>8</v>
      </c>
      <c r="AO551" t="s">
        <v>18</v>
      </c>
      <c r="AP551">
        <v>1</v>
      </c>
      <c r="AQ551" t="s">
        <v>74</v>
      </c>
      <c r="AR551">
        <v>72</v>
      </c>
      <c r="AS551">
        <v>1908</v>
      </c>
      <c r="AT551">
        <v>8</v>
      </c>
      <c r="AU551" s="2" t="s">
        <v>24</v>
      </c>
      <c r="AV551" t="b">
        <v>1</v>
      </c>
      <c r="AW551" t="b">
        <v>1</v>
      </c>
      <c r="AX551" s="2"/>
      <c r="AY551">
        <v>45</v>
      </c>
      <c r="AZ551">
        <v>1</v>
      </c>
      <c r="BA551">
        <v>450</v>
      </c>
      <c r="BB551" t="s">
        <v>708</v>
      </c>
      <c r="BC551">
        <v>105</v>
      </c>
      <c r="BD551" s="2">
        <v>0.22</v>
      </c>
      <c r="BE551" t="s">
        <v>927</v>
      </c>
      <c r="BF551" t="s">
        <v>921</v>
      </c>
      <c r="BG551" t="s">
        <v>939</v>
      </c>
      <c r="BH551" s="7">
        <v>25</v>
      </c>
      <c r="BI55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551">
        <v>0</v>
      </c>
      <c r="BK551" t="s">
        <v>733</v>
      </c>
      <c r="BL551" s="11">
        <v>72</v>
      </c>
      <c r="BM551" s="11">
        <v>8</v>
      </c>
      <c r="BN551" s="11">
        <v>68</v>
      </c>
      <c r="BO551">
        <v>0</v>
      </c>
      <c r="BP551" t="s">
        <v>691</v>
      </c>
      <c r="BQ551" t="s">
        <v>693</v>
      </c>
      <c r="BR551" t="s">
        <v>700</v>
      </c>
      <c r="BS551" t="s">
        <v>704</v>
      </c>
      <c r="BT551" t="s">
        <v>705</v>
      </c>
      <c r="BU551" t="s">
        <v>706</v>
      </c>
      <c r="CT551"/>
      <c r="CU551"/>
      <c r="CV551"/>
    </row>
    <row r="552" spans="1:100" x14ac:dyDescent="0.4">
      <c r="A552" s="2" t="s">
        <v>579</v>
      </c>
      <c r="B552" t="str">
        <f>_xlfn.TEXTAFTER(Table1[[#This Row],[VEHIDCODE]],"_")</f>
        <v>Italy_NTV_AGV</v>
      </c>
      <c r="C552" t="s">
        <v>743</v>
      </c>
      <c r="D552" t="s">
        <v>964</v>
      </c>
      <c r="E552">
        <v>8042</v>
      </c>
      <c r="F552" t="b">
        <f>OR(ISNUMBER(SEARCH("wagon_",Table1[[#This Row],[FILENAMES_EXPECTED]])),ISNUMBER(SEARCH("coach_",Table1[[#This Row],[FILENAMES_EXPECTED]])))</f>
        <v>0</v>
      </c>
      <c r="G552" t="str">
        <f>"item_"&amp;Table1[[#This Row],[VEHIDCODE]]</f>
        <v>item_emu_Italy_NTV_AGV</v>
      </c>
      <c r="H552" t="str">
        <f>"str_"&amp;Table1[[#This Row],[VEHIDCODE]]</f>
        <v>str_emu_Italy_NTV_AGV</v>
      </c>
      <c r="I552" t="b">
        <v>1</v>
      </c>
      <c r="AL552" s="2"/>
      <c r="AM552" s="2" t="b">
        <f>LEN(_xlfn.CONCAT(Table1[[#This Row],[TRACK_TYPE_STANDARD_GAUGE_RAILTYPE_OHLE]:[TRACK_TYPE_MTRO]]))&gt;0</f>
        <v>1</v>
      </c>
      <c r="AN552">
        <v>8</v>
      </c>
      <c r="AO552" t="s">
        <v>18</v>
      </c>
      <c r="AP552">
        <v>1</v>
      </c>
      <c r="AQ552" t="s">
        <v>74</v>
      </c>
      <c r="AR552">
        <v>42</v>
      </c>
      <c r="AS552">
        <v>2011</v>
      </c>
      <c r="AT552">
        <v>8</v>
      </c>
      <c r="AU552" s="2" t="s">
        <v>479</v>
      </c>
      <c r="AV552" t="b">
        <v>1</v>
      </c>
      <c r="AW552" t="b">
        <v>1</v>
      </c>
      <c r="AX552" s="2"/>
      <c r="AY552" t="s">
        <v>21</v>
      </c>
      <c r="AZ552">
        <v>1</v>
      </c>
      <c r="BA552">
        <v>1150</v>
      </c>
      <c r="BB552" t="s">
        <v>708</v>
      </c>
      <c r="BC552">
        <v>360</v>
      </c>
      <c r="BD552" s="2">
        <v>0.9</v>
      </c>
      <c r="BE552" t="s">
        <v>923</v>
      </c>
      <c r="BF552" t="s">
        <v>921</v>
      </c>
      <c r="BG552" t="s">
        <v>939</v>
      </c>
      <c r="BH552" s="7">
        <v>25</v>
      </c>
      <c r="BI55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552">
        <v>0</v>
      </c>
      <c r="BK552" t="s">
        <v>733</v>
      </c>
      <c r="BL552" s="11">
        <v>42</v>
      </c>
      <c r="BM552" s="11">
        <v>7</v>
      </c>
      <c r="BN552" s="11">
        <v>30</v>
      </c>
      <c r="BO552">
        <v>0</v>
      </c>
      <c r="BP552" t="s">
        <v>691</v>
      </c>
      <c r="BQ552" t="s">
        <v>693</v>
      </c>
      <c r="BR552" t="s">
        <v>700</v>
      </c>
      <c r="BS552" t="s">
        <v>704</v>
      </c>
      <c r="BT552" t="s">
        <v>705</v>
      </c>
      <c r="BU552" t="s">
        <v>706</v>
      </c>
      <c r="CT552"/>
      <c r="CU552"/>
      <c r="CV552"/>
    </row>
    <row r="553" spans="1:100" x14ac:dyDescent="0.4">
      <c r="A553" s="2" t="s">
        <v>580</v>
      </c>
      <c r="B553" t="str">
        <f>_xlfn.TEXTAFTER(Table1[[#This Row],[VEHIDCODE]],"_")</f>
        <v>Italy_NTV_AGV_Duplex</v>
      </c>
      <c r="C553" t="s">
        <v>743</v>
      </c>
      <c r="D553" t="s">
        <v>964</v>
      </c>
      <c r="E553">
        <v>8044</v>
      </c>
      <c r="F553" t="b">
        <f>OR(ISNUMBER(SEARCH("wagon_",Table1[[#This Row],[FILENAMES_EXPECTED]])),ISNUMBER(SEARCH("coach_",Table1[[#This Row],[FILENAMES_EXPECTED]])))</f>
        <v>0</v>
      </c>
      <c r="G553" t="str">
        <f>"item_"&amp;Table1[[#This Row],[VEHIDCODE]]</f>
        <v>item_emu_Italy_NTV_AGV_Duplex</v>
      </c>
      <c r="H553" t="str">
        <f>"str_"&amp;Table1[[#This Row],[VEHIDCODE]]</f>
        <v>str_emu_Italy_NTV_AGV_Duplex</v>
      </c>
      <c r="I553" t="b">
        <v>1</v>
      </c>
      <c r="AL553" s="2"/>
      <c r="AM553" s="2" t="b">
        <f>LEN(_xlfn.CONCAT(Table1[[#This Row],[TRACK_TYPE_STANDARD_GAUGE_RAILTYPE_OHLE]:[TRACK_TYPE_MTRO]]))&gt;0</f>
        <v>1</v>
      </c>
      <c r="AN553">
        <v>8</v>
      </c>
      <c r="AO553" t="s">
        <v>18</v>
      </c>
      <c r="AP553">
        <v>1</v>
      </c>
      <c r="AQ553" t="s">
        <v>74</v>
      </c>
      <c r="AR553">
        <v>67</v>
      </c>
      <c r="AS553">
        <v>2015</v>
      </c>
      <c r="AT553">
        <v>8</v>
      </c>
      <c r="AU553" s="2" t="s">
        <v>479</v>
      </c>
      <c r="AV553" t="b">
        <v>1</v>
      </c>
      <c r="AW553" t="b">
        <v>1</v>
      </c>
      <c r="AX553" s="2"/>
      <c r="AY553" t="s">
        <v>21</v>
      </c>
      <c r="AZ553">
        <v>1</v>
      </c>
      <c r="BA553">
        <v>1750</v>
      </c>
      <c r="BB553" t="s">
        <v>708</v>
      </c>
      <c r="BC553">
        <v>360</v>
      </c>
      <c r="BD553" s="2">
        <v>0.83</v>
      </c>
      <c r="BE553" t="s">
        <v>923</v>
      </c>
      <c r="BF553" t="s">
        <v>921</v>
      </c>
      <c r="BG553" t="s">
        <v>939</v>
      </c>
      <c r="BH553" s="7">
        <v>25</v>
      </c>
      <c r="BI55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553">
        <v>0</v>
      </c>
      <c r="BK553" t="s">
        <v>733</v>
      </c>
      <c r="BL553" s="11">
        <v>67</v>
      </c>
      <c r="BM553" s="11">
        <v>7</v>
      </c>
      <c r="BN553" s="11">
        <v>44</v>
      </c>
      <c r="BO553">
        <v>0</v>
      </c>
      <c r="BP553" t="s">
        <v>691</v>
      </c>
      <c r="BQ553" t="s">
        <v>693</v>
      </c>
      <c r="BR553" t="s">
        <v>700</v>
      </c>
      <c r="BS553" t="s">
        <v>704</v>
      </c>
      <c r="BT553" t="s">
        <v>705</v>
      </c>
      <c r="BU553" t="s">
        <v>706</v>
      </c>
      <c r="CT553"/>
      <c r="CU553"/>
      <c r="CV553"/>
    </row>
    <row r="554" spans="1:100" x14ac:dyDescent="0.4">
      <c r="A554" s="2" t="s">
        <v>581</v>
      </c>
      <c r="B554" t="str">
        <f>_xlfn.TEXTAFTER(Table1[[#This Row],[VEHIDCODE]],"_")</f>
        <v>Netherlands_NS_Hispeed_V250_Albatros</v>
      </c>
      <c r="C554" t="s">
        <v>743</v>
      </c>
      <c r="D554" t="s">
        <v>964</v>
      </c>
      <c r="E554">
        <v>8055</v>
      </c>
      <c r="F554" t="b">
        <f>OR(ISNUMBER(SEARCH("wagon_",Table1[[#This Row],[FILENAMES_EXPECTED]])),ISNUMBER(SEARCH("coach_",Table1[[#This Row],[FILENAMES_EXPECTED]])))</f>
        <v>0</v>
      </c>
      <c r="G554" t="str">
        <f>"item_"&amp;Table1[[#This Row],[VEHIDCODE]]</f>
        <v>item_emu_Netherlands_NS_Hispeed_V250_Albatros</v>
      </c>
      <c r="H554" t="str">
        <f>"str_"&amp;Table1[[#This Row],[VEHIDCODE]]</f>
        <v>str_emu_Netherlands_NS_Hispeed_V250_Albatros</v>
      </c>
      <c r="I554" t="b">
        <v>1</v>
      </c>
      <c r="AL554" s="2"/>
      <c r="AM554" s="2" t="b">
        <f>LEN(_xlfn.CONCAT(Table1[[#This Row],[TRACK_TYPE_STANDARD_GAUGE_RAILTYPE_OHLE]:[TRACK_TYPE_MTRO]]))&gt;0</f>
        <v>1</v>
      </c>
      <c r="AN554">
        <v>8</v>
      </c>
      <c r="AO554" t="s">
        <v>18</v>
      </c>
      <c r="AP554">
        <v>1</v>
      </c>
      <c r="AQ554" t="s">
        <v>74</v>
      </c>
      <c r="AR554">
        <v>71</v>
      </c>
      <c r="AS554">
        <v>2012</v>
      </c>
      <c r="AT554">
        <v>8</v>
      </c>
      <c r="AU554" s="2" t="s">
        <v>24</v>
      </c>
      <c r="AV554" t="b">
        <v>1</v>
      </c>
      <c r="AW554" t="b">
        <v>1</v>
      </c>
      <c r="AX554" s="2"/>
      <c r="AY554" t="s">
        <v>21</v>
      </c>
      <c r="AZ554">
        <v>1</v>
      </c>
      <c r="BA554">
        <v>1850</v>
      </c>
      <c r="BB554" t="s">
        <v>708</v>
      </c>
      <c r="BC554">
        <v>251</v>
      </c>
      <c r="BD554" s="2">
        <v>0.52</v>
      </c>
      <c r="BE554" t="s">
        <v>922</v>
      </c>
      <c r="BF554" t="s">
        <v>921</v>
      </c>
      <c r="BG554" t="s">
        <v>939</v>
      </c>
      <c r="BH554" s="7">
        <v>25</v>
      </c>
      <c r="BI55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554">
        <v>0</v>
      </c>
      <c r="BK554" t="s">
        <v>733</v>
      </c>
      <c r="BL554" s="11">
        <v>71</v>
      </c>
      <c r="BM554" s="11">
        <v>8</v>
      </c>
      <c r="BN554" s="11">
        <v>58</v>
      </c>
      <c r="BO554">
        <v>0</v>
      </c>
      <c r="BP554" t="s">
        <v>691</v>
      </c>
      <c r="BQ554" t="s">
        <v>693</v>
      </c>
      <c r="BR554" t="s">
        <v>700</v>
      </c>
      <c r="BS554" t="s">
        <v>704</v>
      </c>
      <c r="BT554" t="s">
        <v>705</v>
      </c>
      <c r="BU554" t="s">
        <v>706</v>
      </c>
      <c r="CT554"/>
      <c r="CU554"/>
      <c r="CV554"/>
    </row>
    <row r="555" spans="1:100" x14ac:dyDescent="0.4">
      <c r="A555" s="2" t="s">
        <v>582</v>
      </c>
      <c r="B555" t="str">
        <f>_xlfn.TEXTAFTER(Table1[[#This Row],[VEHIDCODE]],"_")</f>
        <v>Netherlands_NS_4800_HSA</v>
      </c>
      <c r="C555" t="s">
        <v>743</v>
      </c>
      <c r="D555" t="s">
        <v>964</v>
      </c>
      <c r="E555">
        <v>8043</v>
      </c>
      <c r="F555" t="b">
        <f>OR(ISNUMBER(SEARCH("wagon_",Table1[[#This Row],[FILENAMES_EXPECTED]])),ISNUMBER(SEARCH("coach_",Table1[[#This Row],[FILENAMES_EXPECTED]])))</f>
        <v>0</v>
      </c>
      <c r="G555" t="str">
        <f>"item_"&amp;Table1[[#This Row],[VEHIDCODE]]</f>
        <v>item_emu_Netherlands_NS_4800_HSA</v>
      </c>
      <c r="H555" t="str">
        <f>"str_"&amp;Table1[[#This Row],[VEHIDCODE]]</f>
        <v>str_emu_Netherlands_NS_4800_HSA</v>
      </c>
      <c r="I555" t="b">
        <v>1</v>
      </c>
      <c r="AL555" s="2"/>
      <c r="AM555" s="2" t="b">
        <f>LEN(_xlfn.CONCAT(Table1[[#This Row],[TRACK_TYPE_STANDARD_GAUGE_RAILTYPE_OHLE]:[TRACK_TYPE_MTRO]]))&gt;0</f>
        <v>1</v>
      </c>
      <c r="AN555">
        <v>8</v>
      </c>
      <c r="AO555" t="s">
        <v>18</v>
      </c>
      <c r="AP555">
        <v>1</v>
      </c>
      <c r="AQ555" t="s">
        <v>74</v>
      </c>
      <c r="AR555">
        <v>42</v>
      </c>
      <c r="AS555">
        <v>2012</v>
      </c>
      <c r="AT555">
        <v>8</v>
      </c>
      <c r="AU555" s="2" t="s">
        <v>479</v>
      </c>
      <c r="AV555" t="b">
        <v>1</v>
      </c>
      <c r="AW555" t="b">
        <v>1</v>
      </c>
      <c r="AX555" s="2"/>
      <c r="AY555" t="s">
        <v>21</v>
      </c>
      <c r="AZ555">
        <v>1</v>
      </c>
      <c r="BA555">
        <v>1000</v>
      </c>
      <c r="BB555" t="s">
        <v>708</v>
      </c>
      <c r="BC555">
        <v>300</v>
      </c>
      <c r="BD555" s="2">
        <v>0.8</v>
      </c>
      <c r="BE555" t="s">
        <v>922</v>
      </c>
      <c r="BF555" t="s">
        <v>921</v>
      </c>
      <c r="BG555" t="s">
        <v>940</v>
      </c>
      <c r="BH555" s="7">
        <v>25</v>
      </c>
      <c r="BI55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555">
        <v>0</v>
      </c>
      <c r="BK555" t="s">
        <v>733</v>
      </c>
      <c r="BL555" s="11">
        <v>42</v>
      </c>
      <c r="BM555" s="11">
        <v>8</v>
      </c>
      <c r="BN555" s="11">
        <v>35</v>
      </c>
      <c r="BO555">
        <v>0</v>
      </c>
      <c r="BP555" t="s">
        <v>691</v>
      </c>
      <c r="BQ555" t="s">
        <v>693</v>
      </c>
      <c r="BR555" t="s">
        <v>700</v>
      </c>
      <c r="BS555" t="s">
        <v>704</v>
      </c>
      <c r="BT555" t="s">
        <v>705</v>
      </c>
      <c r="BU555" t="s">
        <v>706</v>
      </c>
      <c r="CT555"/>
      <c r="CU555"/>
      <c r="CV555"/>
    </row>
    <row r="556" spans="1:100" x14ac:dyDescent="0.4">
      <c r="A556" s="2" t="s">
        <v>583</v>
      </c>
      <c r="B556" t="str">
        <f>_xlfn.TEXTAFTER(Table1[[#This Row],[VEHIDCODE]],"_")</f>
        <v>Switzerland_SBB_Rae_TEE_II</v>
      </c>
      <c r="C556" t="s">
        <v>743</v>
      </c>
      <c r="D556" t="s">
        <v>964</v>
      </c>
      <c r="E556">
        <v>8009</v>
      </c>
      <c r="F556" t="b">
        <f>OR(ISNUMBER(SEARCH("wagon_",Table1[[#This Row],[FILENAMES_EXPECTED]])),ISNUMBER(SEARCH("coach_",Table1[[#This Row],[FILENAMES_EXPECTED]])))</f>
        <v>0</v>
      </c>
      <c r="G556" t="str">
        <f>"item_"&amp;Table1[[#This Row],[VEHIDCODE]]</f>
        <v>item_emu_Switzerland_SBB_Rae_TEE_II</v>
      </c>
      <c r="H556" t="str">
        <f>"str_"&amp;Table1[[#This Row],[VEHIDCODE]]</f>
        <v>str_emu_Switzerland_SBB_Rae_TEE_II</v>
      </c>
      <c r="I556" t="b">
        <v>1</v>
      </c>
      <c r="AL556" s="2"/>
      <c r="AM556" s="2" t="b">
        <f>LEN(_xlfn.CONCAT(Table1[[#This Row],[TRACK_TYPE_STANDARD_GAUGE_RAILTYPE_OHLE]:[TRACK_TYPE_MTRO]]))&gt;0</f>
        <v>1</v>
      </c>
      <c r="AN556">
        <v>8</v>
      </c>
      <c r="AO556" t="s">
        <v>18</v>
      </c>
      <c r="AP556">
        <v>1</v>
      </c>
      <c r="AQ556" t="s">
        <v>74</v>
      </c>
      <c r="AR556">
        <v>60</v>
      </c>
      <c r="AS556">
        <v>1961</v>
      </c>
      <c r="AT556">
        <v>8</v>
      </c>
      <c r="AU556" s="2" t="s">
        <v>479</v>
      </c>
      <c r="AV556" t="b">
        <v>1</v>
      </c>
      <c r="AW556" t="b">
        <v>1</v>
      </c>
      <c r="AX556" s="2"/>
      <c r="AY556">
        <v>45</v>
      </c>
      <c r="AZ556">
        <v>1</v>
      </c>
      <c r="BA556">
        <v>425</v>
      </c>
      <c r="BB556" t="s">
        <v>708</v>
      </c>
      <c r="BC556">
        <v>160</v>
      </c>
      <c r="BD556" s="2">
        <v>0.26</v>
      </c>
      <c r="BE556" t="s">
        <v>922</v>
      </c>
      <c r="BF556" t="s">
        <v>921</v>
      </c>
      <c r="BG556" t="s">
        <v>939</v>
      </c>
      <c r="BH556" s="7">
        <v>25</v>
      </c>
      <c r="BI55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556">
        <v>0</v>
      </c>
      <c r="BK556" t="s">
        <v>733</v>
      </c>
      <c r="BL556" s="11">
        <v>60</v>
      </c>
      <c r="BM556" s="11">
        <v>8</v>
      </c>
      <c r="BN556" s="11">
        <v>47</v>
      </c>
      <c r="BO556">
        <v>0</v>
      </c>
      <c r="BP556" t="s">
        <v>691</v>
      </c>
      <c r="BQ556" t="s">
        <v>693</v>
      </c>
      <c r="BR556" t="s">
        <v>700</v>
      </c>
      <c r="BS556" t="s">
        <v>704</v>
      </c>
      <c r="BT556" t="s">
        <v>705</v>
      </c>
      <c r="BU556" t="s">
        <v>706</v>
      </c>
      <c r="CT556"/>
      <c r="CU556"/>
      <c r="CV556"/>
    </row>
    <row r="557" spans="1:100" x14ac:dyDescent="0.4">
      <c r="A557" s="2" t="s">
        <v>584</v>
      </c>
      <c r="B557" t="str">
        <f>_xlfn.TEXTAFTER(Table1[[#This Row],[VEHIDCODE]],"_")</f>
        <v>USA_Erie_Lackawanna_MU_Cars</v>
      </c>
      <c r="C557" t="s">
        <v>743</v>
      </c>
      <c r="D557" t="s">
        <v>964</v>
      </c>
      <c r="E557">
        <v>8048</v>
      </c>
      <c r="F557" t="b">
        <f>OR(ISNUMBER(SEARCH("wagon_",Table1[[#This Row],[FILENAMES_EXPECTED]])),ISNUMBER(SEARCH("coach_",Table1[[#This Row],[FILENAMES_EXPECTED]])))</f>
        <v>0</v>
      </c>
      <c r="G557" t="str">
        <f>"item_"&amp;Table1[[#This Row],[VEHIDCODE]]</f>
        <v>item_emu_USA_Erie_Lackawanna_MU_Cars</v>
      </c>
      <c r="H557" t="str">
        <f>"str_"&amp;Table1[[#This Row],[VEHIDCODE]]</f>
        <v>str_emu_USA_Erie_Lackawanna_MU_Cars</v>
      </c>
      <c r="I557" t="b">
        <v>1</v>
      </c>
      <c r="AL557" s="2"/>
      <c r="AM557" s="2" t="b">
        <f>LEN(_xlfn.CONCAT(Table1[[#This Row],[TRACK_TYPE_STANDARD_GAUGE_RAILTYPE_OHLE]:[TRACK_TYPE_MTRO]]))&gt;0</f>
        <v>1</v>
      </c>
      <c r="AN557">
        <v>8</v>
      </c>
      <c r="AO557" t="s">
        <v>18</v>
      </c>
      <c r="AP557">
        <v>1</v>
      </c>
      <c r="AQ557" t="s">
        <v>74</v>
      </c>
      <c r="AR557">
        <v>58</v>
      </c>
      <c r="AS557">
        <v>1930</v>
      </c>
      <c r="AT557">
        <v>8</v>
      </c>
      <c r="AU557" s="2" t="s">
        <v>24</v>
      </c>
      <c r="AV557" t="b">
        <v>1</v>
      </c>
      <c r="AW557" t="b">
        <v>1</v>
      </c>
      <c r="AX557" s="2"/>
      <c r="AY557">
        <v>45</v>
      </c>
      <c r="AZ557">
        <v>1</v>
      </c>
      <c r="BA557">
        <v>510</v>
      </c>
      <c r="BB557" t="s">
        <v>708</v>
      </c>
      <c r="BC557">
        <v>101</v>
      </c>
      <c r="BD557" s="2">
        <v>0.25</v>
      </c>
      <c r="BE557" t="s">
        <v>927</v>
      </c>
      <c r="BF557" t="s">
        <v>921</v>
      </c>
      <c r="BG557" t="s">
        <v>939</v>
      </c>
      <c r="BH557" s="7">
        <v>25</v>
      </c>
      <c r="BI55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557">
        <v>0</v>
      </c>
      <c r="BK557" t="s">
        <v>733</v>
      </c>
      <c r="BL557" s="11">
        <v>58</v>
      </c>
      <c r="BM557" s="11">
        <v>8</v>
      </c>
      <c r="BN557" s="11">
        <v>51</v>
      </c>
      <c r="BO557">
        <v>0</v>
      </c>
      <c r="BP557" t="s">
        <v>691</v>
      </c>
      <c r="BQ557" t="s">
        <v>693</v>
      </c>
      <c r="BR557" t="s">
        <v>700</v>
      </c>
      <c r="BS557" t="s">
        <v>704</v>
      </c>
      <c r="BT557" t="s">
        <v>705</v>
      </c>
      <c r="BU557" t="s">
        <v>706</v>
      </c>
      <c r="CT557"/>
      <c r="CU557"/>
      <c r="CV557"/>
    </row>
    <row r="558" spans="1:100" x14ac:dyDescent="0.4">
      <c r="A558" s="2" t="s">
        <v>585</v>
      </c>
      <c r="B558" t="str">
        <f>_xlfn.TEXTAFTER(Table1[[#This Row],[VEHIDCODE]],"_")</f>
        <v>France_SNCF_TGV_Sud_Est</v>
      </c>
      <c r="C558" t="s">
        <v>743</v>
      </c>
      <c r="D558" t="s">
        <v>964</v>
      </c>
      <c r="E558">
        <v>8019</v>
      </c>
      <c r="F558" t="b">
        <f>OR(ISNUMBER(SEARCH("wagon_",Table1[[#This Row],[FILENAMES_EXPECTED]])),ISNUMBER(SEARCH("coach_",Table1[[#This Row],[FILENAMES_EXPECTED]])))</f>
        <v>0</v>
      </c>
      <c r="G558" t="str">
        <f>"item_"&amp;Table1[[#This Row],[VEHIDCODE]]</f>
        <v>item_emu_France_SNCF_TGV_Sud_Est</v>
      </c>
      <c r="H558" t="str">
        <f>"str_"&amp;Table1[[#This Row],[VEHIDCODE]]</f>
        <v>str_emu_France_SNCF_TGV_Sud_Est</v>
      </c>
      <c r="I558" t="b">
        <v>1</v>
      </c>
      <c r="AL558" s="2"/>
      <c r="AM558" s="2" t="b">
        <f>LEN(_xlfn.CONCAT(Table1[[#This Row],[TRACK_TYPE_STANDARD_GAUGE_RAILTYPE_OHLE]:[TRACK_TYPE_MTRO]]))&gt;0</f>
        <v>1</v>
      </c>
      <c r="AN558">
        <v>8</v>
      </c>
      <c r="AO558" t="s">
        <v>18</v>
      </c>
      <c r="AP558">
        <v>1</v>
      </c>
      <c r="AQ558" t="s">
        <v>74</v>
      </c>
      <c r="AR558">
        <v>0</v>
      </c>
      <c r="AS558">
        <v>1981</v>
      </c>
      <c r="AT558">
        <v>8</v>
      </c>
      <c r="AU558" s="2" t="s">
        <v>479</v>
      </c>
      <c r="AV558" t="b">
        <v>1</v>
      </c>
      <c r="AW558" t="b">
        <v>1</v>
      </c>
      <c r="AX558" s="2"/>
      <c r="AY558">
        <v>45</v>
      </c>
      <c r="AZ558">
        <v>1</v>
      </c>
      <c r="BA558">
        <v>9000</v>
      </c>
      <c r="BB558" t="s">
        <v>708</v>
      </c>
      <c r="BC558">
        <v>240</v>
      </c>
      <c r="BD558" s="2">
        <v>0.92</v>
      </c>
      <c r="BE558" t="s">
        <v>922</v>
      </c>
      <c r="BF558" t="s">
        <v>921</v>
      </c>
      <c r="BG558" t="s">
        <v>939</v>
      </c>
      <c r="BH558" s="7">
        <v>25</v>
      </c>
      <c r="BI55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558">
        <v>0</v>
      </c>
      <c r="BK558" t="s">
        <v>733</v>
      </c>
      <c r="BL558" s="11">
        <v>43</v>
      </c>
      <c r="BM558" s="11">
        <v>6</v>
      </c>
      <c r="BN558" s="11">
        <v>38</v>
      </c>
      <c r="BO558">
        <v>0</v>
      </c>
      <c r="BP558" t="s">
        <v>691</v>
      </c>
      <c r="BQ558" t="s">
        <v>693</v>
      </c>
      <c r="BR558" t="s">
        <v>700</v>
      </c>
      <c r="BS558" t="s">
        <v>704</v>
      </c>
      <c r="BT558" t="s">
        <v>705</v>
      </c>
      <c r="BU558" t="s">
        <v>706</v>
      </c>
      <c r="CT558"/>
      <c r="CU558"/>
      <c r="CV558"/>
    </row>
    <row r="559" spans="1:100" x14ac:dyDescent="0.4">
      <c r="A559" s="2" t="s">
        <v>586</v>
      </c>
      <c r="B559" t="str">
        <f>_xlfn.TEXTAFTER(Table1[[#This Row],[VEHIDCODE]],"_")</f>
        <v>France_SNCF_TGV_Duplex</v>
      </c>
      <c r="C559" t="s">
        <v>743</v>
      </c>
      <c r="D559" t="s">
        <v>964</v>
      </c>
      <c r="E559">
        <v>8026</v>
      </c>
      <c r="F559" t="b">
        <f>OR(ISNUMBER(SEARCH("wagon_",Table1[[#This Row],[FILENAMES_EXPECTED]])),ISNUMBER(SEARCH("coach_",Table1[[#This Row],[FILENAMES_EXPECTED]])))</f>
        <v>0</v>
      </c>
      <c r="G559" t="str">
        <f>"item_"&amp;Table1[[#This Row],[VEHIDCODE]]</f>
        <v>item_emu_France_SNCF_TGV_Duplex</v>
      </c>
      <c r="H559" t="str">
        <f>"str_"&amp;Table1[[#This Row],[VEHIDCODE]]</f>
        <v>str_emu_France_SNCF_TGV_Duplex</v>
      </c>
      <c r="I559" t="b">
        <v>1</v>
      </c>
      <c r="AL559" s="2"/>
      <c r="AM559" s="2" t="b">
        <f>LEN(_xlfn.CONCAT(Table1[[#This Row],[TRACK_TYPE_STANDARD_GAUGE_RAILTYPE_OHLE]:[TRACK_TYPE_MTRO]]))&gt;0</f>
        <v>1</v>
      </c>
      <c r="AN559">
        <v>8</v>
      </c>
      <c r="AO559" t="s">
        <v>18</v>
      </c>
      <c r="AP559">
        <v>1</v>
      </c>
      <c r="AQ559" t="s">
        <v>74</v>
      </c>
      <c r="AR559">
        <v>0</v>
      </c>
      <c r="AS559">
        <v>1995</v>
      </c>
      <c r="AT559">
        <v>8</v>
      </c>
      <c r="AU559" s="2" t="s">
        <v>479</v>
      </c>
      <c r="AV559" t="b">
        <v>1</v>
      </c>
      <c r="AW559" t="b">
        <v>1</v>
      </c>
      <c r="AX559" s="2"/>
      <c r="AY559" t="s">
        <v>21</v>
      </c>
      <c r="AZ559">
        <v>1</v>
      </c>
      <c r="BA559">
        <v>12800</v>
      </c>
      <c r="BB559" t="s">
        <v>708</v>
      </c>
      <c r="BC559">
        <v>320</v>
      </c>
      <c r="BD559" s="2">
        <v>0.81</v>
      </c>
      <c r="BE559" t="s">
        <v>922</v>
      </c>
      <c r="BF559" t="s">
        <v>921</v>
      </c>
      <c r="BG559" t="s">
        <v>939</v>
      </c>
      <c r="BH559" s="7">
        <v>25</v>
      </c>
      <c r="BI55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559">
        <v>-3</v>
      </c>
      <c r="BK559" t="s">
        <v>733</v>
      </c>
      <c r="BL559" s="11">
        <v>72</v>
      </c>
      <c r="BM559" s="11">
        <v>6</v>
      </c>
      <c r="BN559" s="11">
        <v>43</v>
      </c>
      <c r="BO559">
        <v>0</v>
      </c>
      <c r="BP559" t="s">
        <v>691</v>
      </c>
      <c r="BQ559" t="s">
        <v>693</v>
      </c>
      <c r="BR559" t="s">
        <v>700</v>
      </c>
      <c r="BS559" t="s">
        <v>704</v>
      </c>
      <c r="BT559" t="s">
        <v>705</v>
      </c>
      <c r="BU559" t="s">
        <v>706</v>
      </c>
      <c r="CT559"/>
      <c r="CU559"/>
      <c r="CV559"/>
    </row>
    <row r="560" spans="1:100" x14ac:dyDescent="0.4">
      <c r="A560" s="2" t="s">
        <v>587</v>
      </c>
      <c r="B560" t="str">
        <f>_xlfn.TEXTAFTER(Table1[[#This Row],[VEHIDCODE]],"_")</f>
        <v>France_Thalys_PBKA</v>
      </c>
      <c r="C560" t="s">
        <v>743</v>
      </c>
      <c r="D560" t="s">
        <v>964</v>
      </c>
      <c r="E560">
        <v>8027</v>
      </c>
      <c r="F560" t="b">
        <f>OR(ISNUMBER(SEARCH("wagon_",Table1[[#This Row],[FILENAMES_EXPECTED]])),ISNUMBER(SEARCH("coach_",Table1[[#This Row],[FILENAMES_EXPECTED]])))</f>
        <v>0</v>
      </c>
      <c r="G560" t="str">
        <f>"item_"&amp;Table1[[#This Row],[VEHIDCODE]]</f>
        <v>item_emu_France_Thalys_PBKA</v>
      </c>
      <c r="H560" t="str">
        <f>"str_"&amp;Table1[[#This Row],[VEHIDCODE]]</f>
        <v>str_emu_France_Thalys_PBKA</v>
      </c>
      <c r="I560" t="b">
        <v>1</v>
      </c>
      <c r="AL560" s="2"/>
      <c r="AM560" s="2" t="b">
        <f>LEN(_xlfn.CONCAT(Table1[[#This Row],[TRACK_TYPE_STANDARD_GAUGE_RAILTYPE_OHLE]:[TRACK_TYPE_MTRO]]))&gt;0</f>
        <v>1</v>
      </c>
      <c r="AN560">
        <v>8</v>
      </c>
      <c r="AO560" t="s">
        <v>18</v>
      </c>
      <c r="AP560">
        <v>1</v>
      </c>
      <c r="AQ560" t="s">
        <v>74</v>
      </c>
      <c r="AR560">
        <v>0</v>
      </c>
      <c r="AS560">
        <v>1995</v>
      </c>
      <c r="AT560">
        <v>8</v>
      </c>
      <c r="AU560" s="2" t="s">
        <v>479</v>
      </c>
      <c r="AV560" t="b">
        <v>1</v>
      </c>
      <c r="AW560" t="b">
        <v>1</v>
      </c>
      <c r="AX560" s="2"/>
      <c r="AY560" t="s">
        <v>21</v>
      </c>
      <c r="AZ560">
        <v>1</v>
      </c>
      <c r="BA560">
        <v>12000</v>
      </c>
      <c r="BB560" t="s">
        <v>708</v>
      </c>
      <c r="BC560">
        <v>300</v>
      </c>
      <c r="BD560" s="2">
        <v>0.85</v>
      </c>
      <c r="BE560" t="s">
        <v>922</v>
      </c>
      <c r="BF560" t="s">
        <v>921</v>
      </c>
      <c r="BG560" t="s">
        <v>939</v>
      </c>
      <c r="BH560" s="7">
        <v>25</v>
      </c>
      <c r="BI56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560">
        <v>0</v>
      </c>
      <c r="BK560" t="s">
        <v>733</v>
      </c>
      <c r="BL560" s="11">
        <v>47</v>
      </c>
      <c r="BM560" s="11">
        <v>6</v>
      </c>
      <c r="BN560" s="11">
        <v>41</v>
      </c>
      <c r="BO560">
        <v>0</v>
      </c>
      <c r="BP560" t="s">
        <v>691</v>
      </c>
      <c r="BQ560" t="s">
        <v>693</v>
      </c>
      <c r="BR560" t="s">
        <v>700</v>
      </c>
      <c r="BS560" t="s">
        <v>704</v>
      </c>
      <c r="BT560" t="s">
        <v>705</v>
      </c>
      <c r="BU560" t="s">
        <v>706</v>
      </c>
      <c r="CT560"/>
      <c r="CU560"/>
      <c r="CV560"/>
    </row>
    <row r="561" spans="1:100" x14ac:dyDescent="0.4">
      <c r="A561" s="2" t="s">
        <v>588</v>
      </c>
      <c r="B561" t="str">
        <f>_xlfn.TEXTAFTER(Table1[[#This Row],[VEHIDCODE]],"_")</f>
        <v>Czech_Republic_CD_680_Pendolino</v>
      </c>
      <c r="C561" t="s">
        <v>743</v>
      </c>
      <c r="D561" t="s">
        <v>964</v>
      </c>
      <c r="E561">
        <v>8033</v>
      </c>
      <c r="F561" t="b">
        <f>OR(ISNUMBER(SEARCH("wagon_",Table1[[#This Row],[FILENAMES_EXPECTED]])),ISNUMBER(SEARCH("coach_",Table1[[#This Row],[FILENAMES_EXPECTED]])))</f>
        <v>0</v>
      </c>
      <c r="G561" t="str">
        <f>"item_"&amp;Table1[[#This Row],[VEHIDCODE]]</f>
        <v>item_emu_Czech_Republic_CD_680_Pendolino</v>
      </c>
      <c r="H561" t="str">
        <f>"str_"&amp;Table1[[#This Row],[VEHIDCODE]]</f>
        <v>str_emu_Czech_Republic_CD_680_Pendolino</v>
      </c>
      <c r="I561" t="b">
        <v>1</v>
      </c>
      <c r="AL561" s="2"/>
      <c r="AM561" s="2" t="b">
        <f>LEN(_xlfn.CONCAT(Table1[[#This Row],[TRACK_TYPE_STANDARD_GAUGE_RAILTYPE_OHLE]:[TRACK_TYPE_MTRO]]))&gt;0</f>
        <v>1</v>
      </c>
      <c r="AN561">
        <v>8</v>
      </c>
      <c r="AO561" t="s">
        <v>18</v>
      </c>
      <c r="AP561">
        <v>1</v>
      </c>
      <c r="AQ561" t="s">
        <v>74</v>
      </c>
      <c r="AR561">
        <v>47</v>
      </c>
      <c r="AS561">
        <v>1999</v>
      </c>
      <c r="AT561">
        <v>8</v>
      </c>
      <c r="AU561" s="2" t="s">
        <v>479</v>
      </c>
      <c r="AV561" t="b">
        <v>1</v>
      </c>
      <c r="AW561" t="b">
        <v>1</v>
      </c>
      <c r="AX561" s="2"/>
      <c r="AY561" t="s">
        <v>21</v>
      </c>
      <c r="AZ561">
        <v>1</v>
      </c>
      <c r="BA561">
        <v>750</v>
      </c>
      <c r="BB561" t="s">
        <v>708</v>
      </c>
      <c r="BC561">
        <v>230</v>
      </c>
      <c r="BD561" s="2">
        <v>0.67</v>
      </c>
      <c r="BE561" t="s">
        <v>928</v>
      </c>
      <c r="BF561" t="s">
        <v>921</v>
      </c>
      <c r="BG561" t="s">
        <v>939</v>
      </c>
      <c r="BH561" s="7">
        <v>25</v>
      </c>
      <c r="BI56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561">
        <v>0</v>
      </c>
      <c r="BK561" t="s">
        <v>733</v>
      </c>
      <c r="BL561" s="11">
        <v>47</v>
      </c>
      <c r="BM561" s="11">
        <v>8</v>
      </c>
      <c r="BN561" s="11">
        <v>55</v>
      </c>
      <c r="BO561">
        <v>0</v>
      </c>
      <c r="BP561" t="s">
        <v>691</v>
      </c>
      <c r="BQ561" t="s">
        <v>693</v>
      </c>
      <c r="BR561" t="s">
        <v>700</v>
      </c>
      <c r="BS561" t="s">
        <v>704</v>
      </c>
      <c r="BT561" t="s">
        <v>705</v>
      </c>
      <c r="BU561" t="s">
        <v>706</v>
      </c>
      <c r="CT561"/>
      <c r="CU561"/>
      <c r="CV561"/>
    </row>
    <row r="562" spans="1:100" x14ac:dyDescent="0.4">
      <c r="A562" s="2" t="s">
        <v>589</v>
      </c>
      <c r="B562" t="str">
        <f>_xlfn.TEXTAFTER(Table1[[#This Row],[VEHIDCODE]],"_")</f>
        <v>Spain_RENFE_120</v>
      </c>
      <c r="C562" t="s">
        <v>743</v>
      </c>
      <c r="D562" t="s">
        <v>964</v>
      </c>
      <c r="E562">
        <v>8037</v>
      </c>
      <c r="F562" t="b">
        <f>OR(ISNUMBER(SEARCH("wagon_",Table1[[#This Row],[FILENAMES_EXPECTED]])),ISNUMBER(SEARCH("coach_",Table1[[#This Row],[FILENAMES_EXPECTED]])))</f>
        <v>0</v>
      </c>
      <c r="G562" t="str">
        <f>"item_"&amp;Table1[[#This Row],[VEHIDCODE]]</f>
        <v>item_emu_Spain_RENFE_120</v>
      </c>
      <c r="H562" t="str">
        <f>"str_"&amp;Table1[[#This Row],[VEHIDCODE]]</f>
        <v>str_emu_Spain_RENFE_120</v>
      </c>
      <c r="I562" t="b">
        <v>1</v>
      </c>
      <c r="AL562" s="2"/>
      <c r="AM562" s="2" t="b">
        <f>LEN(_xlfn.CONCAT(Table1[[#This Row],[TRACK_TYPE_STANDARD_GAUGE_RAILTYPE_OHLE]:[TRACK_TYPE_MTRO]]))&gt;0</f>
        <v>1</v>
      </c>
      <c r="AN562">
        <v>8</v>
      </c>
      <c r="AO562" t="s">
        <v>18</v>
      </c>
      <c r="AP562">
        <v>1</v>
      </c>
      <c r="AQ562" t="s">
        <v>74</v>
      </c>
      <c r="AR562">
        <v>60</v>
      </c>
      <c r="AS562">
        <v>2001</v>
      </c>
      <c r="AT562">
        <v>8</v>
      </c>
      <c r="AU562" s="2" t="s">
        <v>24</v>
      </c>
      <c r="AV562" t="b">
        <v>1</v>
      </c>
      <c r="AW562" t="b">
        <v>1</v>
      </c>
      <c r="AX562" s="2"/>
      <c r="AY562" t="s">
        <v>21</v>
      </c>
      <c r="AZ562">
        <v>1</v>
      </c>
      <c r="BA562">
        <v>1340</v>
      </c>
      <c r="BB562" t="s">
        <v>708</v>
      </c>
      <c r="BC562">
        <v>250</v>
      </c>
      <c r="BD562" s="2">
        <v>0.36</v>
      </c>
      <c r="BE562" t="s">
        <v>923</v>
      </c>
      <c r="BF562" t="s">
        <v>921</v>
      </c>
      <c r="BG562" t="s">
        <v>939</v>
      </c>
      <c r="BH562" s="7">
        <v>25</v>
      </c>
      <c r="BI56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562">
        <v>0</v>
      </c>
      <c r="BK562" t="s">
        <v>733</v>
      </c>
      <c r="BL562" s="11">
        <v>60</v>
      </c>
      <c r="BM562" s="11">
        <v>8</v>
      </c>
      <c r="BN562" s="11">
        <v>56</v>
      </c>
      <c r="BO562">
        <v>0</v>
      </c>
      <c r="BP562" t="s">
        <v>691</v>
      </c>
      <c r="BQ562" t="s">
        <v>693</v>
      </c>
      <c r="BR562" t="s">
        <v>700</v>
      </c>
      <c r="BS562" t="s">
        <v>704</v>
      </c>
      <c r="BT562" t="s">
        <v>705</v>
      </c>
      <c r="BU562" t="s">
        <v>706</v>
      </c>
      <c r="CT562"/>
      <c r="CU562"/>
      <c r="CV562"/>
    </row>
    <row r="563" spans="1:100" x14ac:dyDescent="0.4">
      <c r="A563" s="2" t="s">
        <v>590</v>
      </c>
      <c r="B563" t="str">
        <f>_xlfn.TEXTAFTER(Table1[[#This Row],[VEHIDCODE]],"_")</f>
        <v>USA_Amtrak_Acela_Express</v>
      </c>
      <c r="C563" t="s">
        <v>743</v>
      </c>
      <c r="D563" t="s">
        <v>964</v>
      </c>
      <c r="E563">
        <v>8067</v>
      </c>
      <c r="F563" t="b">
        <f>OR(ISNUMBER(SEARCH("wagon_",Table1[[#This Row],[FILENAMES_EXPECTED]])),ISNUMBER(SEARCH("coach_",Table1[[#This Row],[FILENAMES_EXPECTED]])))</f>
        <v>0</v>
      </c>
      <c r="G563" t="str">
        <f>"item_"&amp;Table1[[#This Row],[VEHIDCODE]]</f>
        <v>item_emu_USA_Amtrak_Acela_Express</v>
      </c>
      <c r="H563" t="str">
        <f>"str_"&amp;Table1[[#This Row],[VEHIDCODE]]</f>
        <v>str_emu_USA_Amtrak_Acela_Express</v>
      </c>
      <c r="I563" t="b">
        <v>1</v>
      </c>
      <c r="AL563" s="2"/>
      <c r="AM563" s="2" t="b">
        <f>LEN(_xlfn.CONCAT(Table1[[#This Row],[TRACK_TYPE_STANDARD_GAUGE_RAILTYPE_OHLE]:[TRACK_TYPE_MTRO]]))&gt;0</f>
        <v>1</v>
      </c>
      <c r="AN563">
        <v>8</v>
      </c>
      <c r="AO563" t="s">
        <v>18</v>
      </c>
      <c r="AP563">
        <v>1</v>
      </c>
      <c r="AQ563" t="s">
        <v>74</v>
      </c>
      <c r="AR563">
        <v>0</v>
      </c>
      <c r="AS563">
        <v>1999</v>
      </c>
      <c r="AT563">
        <v>8</v>
      </c>
      <c r="AU563" s="2" t="s">
        <v>24</v>
      </c>
      <c r="AV563" t="b">
        <v>1</v>
      </c>
      <c r="AW563" t="b">
        <v>1</v>
      </c>
      <c r="AX563" s="2"/>
      <c r="AY563">
        <v>45</v>
      </c>
      <c r="AZ563">
        <v>1</v>
      </c>
      <c r="BA563">
        <v>12400</v>
      </c>
      <c r="BB563" t="s">
        <v>708</v>
      </c>
      <c r="BC563">
        <v>266</v>
      </c>
      <c r="BD563" s="2">
        <v>0.24</v>
      </c>
      <c r="BE563" t="s">
        <v>927</v>
      </c>
      <c r="BF563" t="s">
        <v>921</v>
      </c>
      <c r="BG563" t="s">
        <v>939</v>
      </c>
      <c r="BH563" s="7">
        <v>40</v>
      </c>
      <c r="BI56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563">
        <v>0</v>
      </c>
      <c r="BK563" t="s">
        <v>733</v>
      </c>
      <c r="BL563" s="11">
        <v>50</v>
      </c>
      <c r="BM563" s="11">
        <v>8</v>
      </c>
      <c r="BN563" s="11">
        <v>93</v>
      </c>
      <c r="BO563">
        <v>0</v>
      </c>
      <c r="BP563" t="s">
        <v>691</v>
      </c>
      <c r="BQ563" t="s">
        <v>693</v>
      </c>
      <c r="BR563" t="s">
        <v>700</v>
      </c>
      <c r="BS563" t="s">
        <v>704</v>
      </c>
      <c r="BT563" t="s">
        <v>705</v>
      </c>
      <c r="BU563" t="s">
        <v>706</v>
      </c>
      <c r="CT563"/>
      <c r="CU563"/>
      <c r="CV563"/>
    </row>
    <row r="564" spans="1:100" x14ac:dyDescent="0.4">
      <c r="A564" s="2" t="s">
        <v>591</v>
      </c>
      <c r="B564" t="str">
        <f>_xlfn.TEXTAFTER(Table1[[#This Row],[VEHIDCODE]],"_")</f>
        <v>USA_Brooklyn_Union_Gate_Car</v>
      </c>
      <c r="C564" t="s">
        <v>744</v>
      </c>
      <c r="D564" t="s">
        <v>979</v>
      </c>
      <c r="E564">
        <v>14000</v>
      </c>
      <c r="F564" t="b">
        <f>OR(ISNUMBER(SEARCH("wagon_",Table1[[#This Row],[FILENAMES_EXPECTED]])),ISNUMBER(SEARCH("coach_",Table1[[#This Row],[FILENAMES_EXPECTED]])))</f>
        <v>0</v>
      </c>
      <c r="G564" t="str">
        <f>"item_"&amp;Table1[[#This Row],[VEHIDCODE]]</f>
        <v>item_singlemtro_USA_Brooklyn_Union_Gate_Car</v>
      </c>
      <c r="H564" t="str">
        <f>"str_"&amp;Table1[[#This Row],[VEHIDCODE]]</f>
        <v>str_singlemtro_USA_Brooklyn_Union_Gate_Car</v>
      </c>
      <c r="N564" t="b">
        <v>1</v>
      </c>
      <c r="AL564" s="2"/>
      <c r="AM564" s="2" t="b">
        <f>LEN(_xlfn.CONCAT(Table1[[#This Row],[TRACK_TYPE_STANDARD_GAUGE_RAILTYPE_OHLE]:[TRACK_TYPE_MTRO]]))&gt;0</f>
        <v>1</v>
      </c>
      <c r="AN564">
        <v>7</v>
      </c>
      <c r="AO564" t="s">
        <v>325</v>
      </c>
      <c r="AP564">
        <v>0</v>
      </c>
      <c r="AQ564" t="s">
        <v>19</v>
      </c>
      <c r="AR564">
        <v>60</v>
      </c>
      <c r="AS564">
        <v>1880</v>
      </c>
      <c r="AT564">
        <v>7</v>
      </c>
      <c r="AU564" s="2" t="s">
        <v>326</v>
      </c>
      <c r="AV564" t="b">
        <v>1</v>
      </c>
      <c r="AX564" s="2"/>
      <c r="AY564">
        <v>45</v>
      </c>
      <c r="AZ564">
        <v>1</v>
      </c>
      <c r="BA564">
        <v>200</v>
      </c>
      <c r="BB564" t="s">
        <v>708</v>
      </c>
      <c r="BC564">
        <v>60</v>
      </c>
      <c r="BD564" s="2">
        <v>0.5</v>
      </c>
      <c r="BE564" t="s">
        <v>927</v>
      </c>
      <c r="BF564" t="s">
        <v>921</v>
      </c>
      <c r="BG564" t="s">
        <v>939</v>
      </c>
      <c r="BH564" s="7">
        <v>60</v>
      </c>
      <c r="BI56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564">
        <v>0</v>
      </c>
      <c r="BK564" t="s">
        <v>733</v>
      </c>
      <c r="BL564" s="11"/>
      <c r="BM564" s="11"/>
      <c r="BN564" s="11">
        <v>20</v>
      </c>
      <c r="BO564">
        <v>0</v>
      </c>
      <c r="BP564" t="s">
        <v>691</v>
      </c>
      <c r="BQ564" t="s">
        <v>693</v>
      </c>
      <c r="BR564" t="s">
        <v>700</v>
      </c>
      <c r="BS564" t="s">
        <v>704</v>
      </c>
      <c r="BT564" t="s">
        <v>705</v>
      </c>
      <c r="BU564" t="s">
        <v>706</v>
      </c>
      <c r="CT564"/>
      <c r="CU564"/>
      <c r="CV564"/>
    </row>
    <row r="565" spans="1:100" x14ac:dyDescent="0.4">
      <c r="A565" s="2" t="s">
        <v>592</v>
      </c>
      <c r="B565" t="str">
        <f>_xlfn.TEXTAFTER(Table1[[#This Row],[VEHIDCODE]],"_")</f>
        <v>Hungary_Budapest_1894_Stock</v>
      </c>
      <c r="C565" t="s">
        <v>744</v>
      </c>
      <c r="D565" t="s">
        <v>979</v>
      </c>
      <c r="E565">
        <v>14001</v>
      </c>
      <c r="F565" t="b">
        <f>OR(ISNUMBER(SEARCH("wagon_",Table1[[#This Row],[FILENAMES_EXPECTED]])),ISNUMBER(SEARCH("coach_",Table1[[#This Row],[FILENAMES_EXPECTED]])))</f>
        <v>0</v>
      </c>
      <c r="G565" t="str">
        <f>"item_"&amp;Table1[[#This Row],[VEHIDCODE]]</f>
        <v>item_singlemtro_Hungary_Budapest_1894_Stock</v>
      </c>
      <c r="H565" t="str">
        <f>"str_"&amp;Table1[[#This Row],[VEHIDCODE]]</f>
        <v>str_singlemtro_Hungary_Budapest_1894_Stock</v>
      </c>
      <c r="N565" t="b">
        <v>1</v>
      </c>
      <c r="AL565" s="2"/>
      <c r="AM565" s="2" t="b">
        <f>LEN(_xlfn.CONCAT(Table1[[#This Row],[TRACK_TYPE_STANDARD_GAUGE_RAILTYPE_OHLE]:[TRACK_TYPE_MTRO]]))&gt;0</f>
        <v>1</v>
      </c>
      <c r="AN565">
        <v>8</v>
      </c>
      <c r="AO565" t="s">
        <v>325</v>
      </c>
      <c r="AP565">
        <v>0</v>
      </c>
      <c r="AQ565" t="s">
        <v>19</v>
      </c>
      <c r="AR565">
        <v>100</v>
      </c>
      <c r="AS565">
        <v>1894</v>
      </c>
      <c r="AT565">
        <v>8</v>
      </c>
      <c r="AU565" s="2" t="s">
        <v>326</v>
      </c>
      <c r="AV565" t="b">
        <v>1</v>
      </c>
      <c r="AX565" s="2"/>
      <c r="AY565">
        <v>45</v>
      </c>
      <c r="AZ565">
        <v>1</v>
      </c>
      <c r="BA565">
        <v>200</v>
      </c>
      <c r="BB565" t="s">
        <v>708</v>
      </c>
      <c r="BC565">
        <v>60</v>
      </c>
      <c r="BD565" s="2">
        <v>0.32</v>
      </c>
      <c r="BE565" t="s">
        <v>928</v>
      </c>
      <c r="BF565" t="s">
        <v>921</v>
      </c>
      <c r="BG565" t="s">
        <v>939</v>
      </c>
      <c r="BH565" s="7">
        <v>60</v>
      </c>
      <c r="BI56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565">
        <v>0</v>
      </c>
      <c r="BK565" t="s">
        <v>733</v>
      </c>
      <c r="BL565" s="11"/>
      <c r="BM565" s="11"/>
      <c r="BN565" s="11">
        <v>25</v>
      </c>
      <c r="BO565">
        <v>0</v>
      </c>
      <c r="BP565" t="s">
        <v>691</v>
      </c>
      <c r="BQ565" t="s">
        <v>693</v>
      </c>
      <c r="BR565" t="s">
        <v>700</v>
      </c>
      <c r="BS565" t="s">
        <v>704</v>
      </c>
      <c r="BT565" t="s">
        <v>705</v>
      </c>
      <c r="BU565" t="s">
        <v>706</v>
      </c>
      <c r="CT565"/>
      <c r="CU565"/>
      <c r="CV565"/>
    </row>
    <row r="566" spans="1:100" x14ac:dyDescent="0.4">
      <c r="A566" s="2" t="s">
        <v>593</v>
      </c>
      <c r="B566" t="str">
        <f>_xlfn.TEXTAFTER(Table1[[#This Row],[VEHIDCODE]],"_")</f>
        <v>USA_Chicago_L_Northwest_Elevated_1907_Stock</v>
      </c>
      <c r="C566" t="s">
        <v>744</v>
      </c>
      <c r="D566" t="s">
        <v>979</v>
      </c>
      <c r="E566">
        <v>14002</v>
      </c>
      <c r="F566" t="b">
        <f>OR(ISNUMBER(SEARCH("wagon_",Table1[[#This Row],[FILENAMES_EXPECTED]])),ISNUMBER(SEARCH("coach_",Table1[[#This Row],[FILENAMES_EXPECTED]])))</f>
        <v>0</v>
      </c>
      <c r="G566" t="str">
        <f>"item_"&amp;Table1[[#This Row],[VEHIDCODE]]</f>
        <v>item_singlemtro_USA_Chicago_L_Northwest_Elevated_1907_Stock</v>
      </c>
      <c r="H566" t="str">
        <f>"str_"&amp;Table1[[#This Row],[VEHIDCODE]]</f>
        <v>str_singlemtro_USA_Chicago_L_Northwest_Elevated_1907_Stock</v>
      </c>
      <c r="N566" t="b">
        <v>1</v>
      </c>
      <c r="AL566" s="2"/>
      <c r="AM566" s="2" t="b">
        <f>LEN(_xlfn.CONCAT(Table1[[#This Row],[TRACK_TYPE_STANDARD_GAUGE_RAILTYPE_OHLE]:[TRACK_TYPE_MTRO]]))&gt;0</f>
        <v>1</v>
      </c>
      <c r="AN566">
        <v>8</v>
      </c>
      <c r="AO566" t="s">
        <v>325</v>
      </c>
      <c r="AP566">
        <v>0</v>
      </c>
      <c r="AQ566" t="s">
        <v>19</v>
      </c>
      <c r="AR566">
        <v>130</v>
      </c>
      <c r="AS566">
        <v>1907</v>
      </c>
      <c r="AT566">
        <v>8</v>
      </c>
      <c r="AU566" s="2" t="s">
        <v>326</v>
      </c>
      <c r="AV566" t="b">
        <v>1</v>
      </c>
      <c r="AX566" s="2"/>
      <c r="AY566">
        <v>45</v>
      </c>
      <c r="AZ566">
        <v>1</v>
      </c>
      <c r="BA566">
        <v>250</v>
      </c>
      <c r="BB566" t="s">
        <v>708</v>
      </c>
      <c r="BC566">
        <v>70</v>
      </c>
      <c r="BD566" s="2">
        <v>0.1</v>
      </c>
      <c r="BE566" t="s">
        <v>927</v>
      </c>
      <c r="BF566" t="s">
        <v>921</v>
      </c>
      <c r="BG566" t="s">
        <v>939</v>
      </c>
      <c r="BH566" s="7">
        <v>60</v>
      </c>
      <c r="BI56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566">
        <v>0</v>
      </c>
      <c r="BK566" t="s">
        <v>733</v>
      </c>
      <c r="BL566" s="11"/>
      <c r="BM566" s="11"/>
      <c r="BN566" s="11">
        <v>50</v>
      </c>
      <c r="BO566">
        <v>0</v>
      </c>
      <c r="BP566" t="s">
        <v>691</v>
      </c>
      <c r="BQ566" t="s">
        <v>693</v>
      </c>
      <c r="BR566" t="s">
        <v>700</v>
      </c>
      <c r="BS566" t="s">
        <v>704</v>
      </c>
      <c r="BT566" t="s">
        <v>705</v>
      </c>
      <c r="BU566" t="s">
        <v>706</v>
      </c>
      <c r="CT566"/>
      <c r="CU566"/>
      <c r="CV566"/>
    </row>
    <row r="567" spans="1:100" x14ac:dyDescent="0.4">
      <c r="A567" s="2" t="s">
        <v>594</v>
      </c>
      <c r="B567" t="str">
        <f>_xlfn.TEXTAFTER(Table1[[#This Row],[VEHIDCODE]],"_")</f>
        <v>Germany_Berlin_U_Bahn_C_II</v>
      </c>
      <c r="C567" t="s">
        <v>744</v>
      </c>
      <c r="D567" t="s">
        <v>979</v>
      </c>
      <c r="E567">
        <v>14003</v>
      </c>
      <c r="F567" t="b">
        <f>OR(ISNUMBER(SEARCH("wagon_",Table1[[#This Row],[FILENAMES_EXPECTED]])),ISNUMBER(SEARCH("coach_",Table1[[#This Row],[FILENAMES_EXPECTED]])))</f>
        <v>0</v>
      </c>
      <c r="G567" t="str">
        <f>"item_"&amp;Table1[[#This Row],[VEHIDCODE]]</f>
        <v>item_singlemtro_Germany_Berlin_U_Bahn_C_II</v>
      </c>
      <c r="H567" t="str">
        <f>"str_"&amp;Table1[[#This Row],[VEHIDCODE]]</f>
        <v>str_singlemtro_Germany_Berlin_U_Bahn_C_II</v>
      </c>
      <c r="N567" t="b">
        <v>1</v>
      </c>
      <c r="AL567" s="2"/>
      <c r="AM567" s="2" t="b">
        <f>LEN(_xlfn.CONCAT(Table1[[#This Row],[TRACK_TYPE_STANDARD_GAUGE_RAILTYPE_OHLE]:[TRACK_TYPE_MTRO]]))&gt;0</f>
        <v>1</v>
      </c>
      <c r="AN567">
        <v>8</v>
      </c>
      <c r="AO567" t="s">
        <v>325</v>
      </c>
      <c r="AP567">
        <v>0</v>
      </c>
      <c r="AQ567" t="s">
        <v>19</v>
      </c>
      <c r="AR567">
        <v>157</v>
      </c>
      <c r="AS567">
        <v>1929</v>
      </c>
      <c r="AT567">
        <v>8</v>
      </c>
      <c r="AU567" s="2" t="s">
        <v>326</v>
      </c>
      <c r="AV567" t="b">
        <v>1</v>
      </c>
      <c r="AX567" s="2"/>
      <c r="AY567">
        <v>45</v>
      </c>
      <c r="AZ567">
        <v>1</v>
      </c>
      <c r="BA567">
        <v>375</v>
      </c>
      <c r="BB567" t="s">
        <v>708</v>
      </c>
      <c r="BC567">
        <v>60</v>
      </c>
      <c r="BD567" s="2">
        <v>7.0000000000000007E-2</v>
      </c>
      <c r="BE567" t="s">
        <v>922</v>
      </c>
      <c r="BF567" t="s">
        <v>921</v>
      </c>
      <c r="BG567" t="s">
        <v>939</v>
      </c>
      <c r="BH567" s="7">
        <v>60</v>
      </c>
      <c r="BI56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567">
        <v>0</v>
      </c>
      <c r="BK567" t="s">
        <v>733</v>
      </c>
      <c r="BL567" s="11"/>
      <c r="BM567" s="11"/>
      <c r="BN567" s="11">
        <v>50</v>
      </c>
      <c r="BO567">
        <v>0</v>
      </c>
      <c r="BP567" t="s">
        <v>691</v>
      </c>
      <c r="BQ567" t="s">
        <v>693</v>
      </c>
      <c r="BR567" t="s">
        <v>700</v>
      </c>
      <c r="BS567" t="s">
        <v>704</v>
      </c>
      <c r="BT567" t="s">
        <v>705</v>
      </c>
      <c r="BU567" t="s">
        <v>706</v>
      </c>
      <c r="CT567"/>
      <c r="CU567"/>
      <c r="CV567"/>
    </row>
    <row r="568" spans="1:100" x14ac:dyDescent="0.4">
      <c r="A568" s="2" t="s">
        <v>595</v>
      </c>
      <c r="B568" t="str">
        <f>_xlfn.TEXTAFTER(Table1[[#This Row],[VEHIDCODE]],"_")</f>
        <v>World_Turbobus</v>
      </c>
      <c r="C568" t="s">
        <v>745</v>
      </c>
      <c r="D568" t="s">
        <v>985</v>
      </c>
      <c r="E568">
        <v>16000</v>
      </c>
      <c r="F568" t="b">
        <f>OR(ISNUMBER(SEARCH("wagon_",Table1[[#This Row],[FILENAMES_EXPECTED]])),ISNUMBER(SEARCH("coach_",Table1[[#This Row],[FILENAMES_EXPECTED]])))</f>
        <v>0</v>
      </c>
      <c r="G568" t="str">
        <f>"item_"&amp;Table1[[#This Row],[VEHIDCODE]]</f>
        <v>item_rbm_World_Turbobus</v>
      </c>
      <c r="H568" t="str">
        <f>"str_"&amp;Table1[[#This Row],[VEHIDCODE]]</f>
        <v>str_rbm_World_Turbobus</v>
      </c>
      <c r="AK568" t="b">
        <v>1</v>
      </c>
      <c r="AL568" s="2"/>
      <c r="AM568" s="2" t="b">
        <f>LEN(_xlfn.CONCAT(Table1[[#This Row],[TRACK_TYPE_STANDARD_GAUGE_RAILTYPE_OHLE]:[TRACK_TYPE_MTRO]]))&gt;0</f>
        <v>1</v>
      </c>
      <c r="AN568">
        <v>4</v>
      </c>
      <c r="AO568" t="s">
        <v>18</v>
      </c>
      <c r="AP568">
        <v>0</v>
      </c>
      <c r="AQ568" t="s">
        <v>19</v>
      </c>
      <c r="AR568">
        <v>45</v>
      </c>
      <c r="AS568">
        <v>2040</v>
      </c>
      <c r="AT568">
        <v>8</v>
      </c>
      <c r="AU568" s="2" t="s">
        <v>24</v>
      </c>
      <c r="AV568" t="b">
        <v>1</v>
      </c>
      <c r="AX568" s="2"/>
      <c r="AY568" t="s">
        <v>21</v>
      </c>
      <c r="AZ568">
        <v>1</v>
      </c>
      <c r="BA568">
        <v>5070</v>
      </c>
      <c r="BB568" t="s">
        <v>708</v>
      </c>
      <c r="BC568">
        <v>753</v>
      </c>
      <c r="BD568" s="2">
        <v>0.28999999999999998</v>
      </c>
      <c r="BE568" t="s">
        <v>935</v>
      </c>
      <c r="BF568" t="s">
        <v>921</v>
      </c>
      <c r="BG568" t="s">
        <v>940</v>
      </c>
      <c r="BH568" s="7">
        <v>15</v>
      </c>
      <c r="BI56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568">
        <v>0</v>
      </c>
      <c r="BK568" t="s">
        <v>733</v>
      </c>
      <c r="BL568" s="11"/>
      <c r="BM568" s="11"/>
      <c r="BN568" s="11">
        <v>30</v>
      </c>
      <c r="BO568">
        <v>0</v>
      </c>
      <c r="BP568" t="s">
        <v>691</v>
      </c>
      <c r="BQ568" t="s">
        <v>693</v>
      </c>
      <c r="BR568" t="s">
        <v>700</v>
      </c>
      <c r="BS568" t="s">
        <v>704</v>
      </c>
      <c r="BT568" t="s">
        <v>705</v>
      </c>
      <c r="BU568" t="s">
        <v>706</v>
      </c>
      <c r="CT568"/>
      <c r="CU568"/>
      <c r="CV568"/>
    </row>
    <row r="569" spans="1:100" x14ac:dyDescent="0.4">
      <c r="A569" s="2" t="s">
        <v>596</v>
      </c>
      <c r="B569" t="str">
        <f>_xlfn.TEXTAFTER(Table1[[#This Row],[VEHIDCODE]],"_")</f>
        <v>Germany_DB_182_ES64UM_Mutus</v>
      </c>
      <c r="C569" t="s">
        <v>746</v>
      </c>
      <c r="D569" t="s">
        <v>987</v>
      </c>
      <c r="E569">
        <v>15001</v>
      </c>
      <c r="F569" t="b">
        <f>OR(ISNUMBER(SEARCH("wagon_",Table1[[#This Row],[FILENAMES_EXPECTED]])),ISNUMBER(SEARCH("coach_",Table1[[#This Row],[FILENAMES_EXPECTED]])))</f>
        <v>0</v>
      </c>
      <c r="G569" t="str">
        <f>"item_"&amp;Table1[[#This Row],[VEHIDCODE]]</f>
        <v>item_mglv_Germany_DB_182_ES64UM_Mutus</v>
      </c>
      <c r="H569" t="str">
        <f>"str_"&amp;Table1[[#This Row],[VEHIDCODE]]</f>
        <v>str_mglv_Germany_DB_182_ES64UM_Mutus</v>
      </c>
      <c r="AK569" t="b">
        <v>1</v>
      </c>
      <c r="AL569" s="2"/>
      <c r="AM569" s="2" t="b">
        <f>LEN(_xlfn.CONCAT(Table1[[#This Row],[TRACK_TYPE_STANDARD_GAUGE_RAILTYPE_OHLE]:[TRACK_TYPE_MTRO]]))&gt;0</f>
        <v>1</v>
      </c>
      <c r="AN569">
        <v>8</v>
      </c>
      <c r="AO569" t="s">
        <v>20</v>
      </c>
      <c r="AP569">
        <v>0</v>
      </c>
      <c r="AQ569" t="s">
        <v>19</v>
      </c>
      <c r="AR569">
        <v>0</v>
      </c>
      <c r="AS569">
        <v>2005</v>
      </c>
      <c r="AT569">
        <v>8</v>
      </c>
      <c r="AU569" s="2" t="s">
        <v>20</v>
      </c>
      <c r="AV569" t="b">
        <v>1</v>
      </c>
      <c r="AX569" s="2"/>
      <c r="AY569" t="s">
        <v>21</v>
      </c>
      <c r="AZ569">
        <v>1</v>
      </c>
      <c r="BA569">
        <v>11266</v>
      </c>
      <c r="BB569" t="s">
        <v>708</v>
      </c>
      <c r="BC569">
        <v>230</v>
      </c>
      <c r="BD569" s="2">
        <v>0.35</v>
      </c>
      <c r="BE569" t="s">
        <v>922</v>
      </c>
      <c r="BF569" t="s">
        <v>921</v>
      </c>
      <c r="BG569" t="s">
        <v>940</v>
      </c>
      <c r="BH569" s="7">
        <v>40</v>
      </c>
      <c r="BI56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569">
        <v>0</v>
      </c>
      <c r="BK569" t="s">
        <v>733</v>
      </c>
      <c r="BL569" s="11"/>
      <c r="BM569" s="11"/>
      <c r="BN569" s="11">
        <v>86</v>
      </c>
      <c r="BO569">
        <v>0</v>
      </c>
      <c r="BP569" t="s">
        <v>691</v>
      </c>
      <c r="BQ569" t="s">
        <v>693</v>
      </c>
      <c r="BR569" t="s">
        <v>700</v>
      </c>
      <c r="BS569" t="s">
        <v>704</v>
      </c>
      <c r="BT569" t="s">
        <v>705</v>
      </c>
      <c r="BU569" t="s">
        <v>706</v>
      </c>
      <c r="CT569"/>
      <c r="CU569"/>
      <c r="CV569"/>
    </row>
    <row r="570" spans="1:100" x14ac:dyDescent="0.4">
      <c r="A570" s="2" t="s">
        <v>597</v>
      </c>
      <c r="B570" t="str">
        <f>_xlfn.TEXTAFTER(Table1[[#This Row],[VEHIDCODE]],"_")</f>
        <v>China_Transrapid</v>
      </c>
      <c r="C570" t="s">
        <v>746</v>
      </c>
      <c r="D570" t="s">
        <v>968</v>
      </c>
      <c r="E570">
        <v>10000</v>
      </c>
      <c r="F570" t="b">
        <f>OR(ISNUMBER(SEARCH("wagon_",Table1[[#This Row],[FILENAMES_EXPECTED]])),ISNUMBER(SEARCH("coach_",Table1[[#This Row],[FILENAMES_EXPECTED]])))</f>
        <v>0</v>
      </c>
      <c r="G570" t="str">
        <f>"item_"&amp;Table1[[#This Row],[VEHIDCODE]]</f>
        <v>item_mglv_China_Transrapid</v>
      </c>
      <c r="H570" t="str">
        <f>"str_"&amp;Table1[[#This Row],[VEHIDCODE]]</f>
        <v>str_mglv_China_Transrapid</v>
      </c>
      <c r="AK570" t="b">
        <v>1</v>
      </c>
      <c r="AL570" s="2"/>
      <c r="AM570" s="2" t="b">
        <f>LEN(_xlfn.CONCAT(Table1[[#This Row],[TRACK_TYPE_STANDARD_GAUGE_RAILTYPE_OHLE]:[TRACK_TYPE_MTRO]]))&gt;0</f>
        <v>1</v>
      </c>
      <c r="AN570">
        <v>8</v>
      </c>
      <c r="AO570" t="s">
        <v>18</v>
      </c>
      <c r="AP570">
        <v>1</v>
      </c>
      <c r="AQ570" t="s">
        <v>19</v>
      </c>
      <c r="AR570">
        <v>50</v>
      </c>
      <c r="AS570">
        <v>2004</v>
      </c>
      <c r="AT570">
        <v>8</v>
      </c>
      <c r="AU570" s="2" t="s">
        <v>479</v>
      </c>
      <c r="AV570" t="b">
        <v>1</v>
      </c>
      <c r="AW570" t="b">
        <v>1</v>
      </c>
      <c r="AX570" s="2"/>
      <c r="AY570" t="s">
        <v>21</v>
      </c>
      <c r="AZ570">
        <v>1</v>
      </c>
      <c r="BA570">
        <v>2028</v>
      </c>
      <c r="BB570" t="s">
        <v>708</v>
      </c>
      <c r="BC570">
        <v>433</v>
      </c>
      <c r="BD570" s="2">
        <v>0.3</v>
      </c>
      <c r="BE570" t="s">
        <v>930</v>
      </c>
      <c r="BF570" t="s">
        <v>921</v>
      </c>
      <c r="BG570" t="s">
        <v>939</v>
      </c>
      <c r="BH570" s="7">
        <v>25</v>
      </c>
      <c r="BI57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570">
        <v>0</v>
      </c>
      <c r="BK570" t="s">
        <v>733</v>
      </c>
      <c r="BL570" s="11">
        <v>55</v>
      </c>
      <c r="BM570" s="11">
        <v>8</v>
      </c>
      <c r="BN570" s="11">
        <v>30</v>
      </c>
      <c r="BO570">
        <v>0</v>
      </c>
      <c r="BP570" t="s">
        <v>691</v>
      </c>
      <c r="BQ570" t="s">
        <v>693</v>
      </c>
      <c r="BR570" t="s">
        <v>700</v>
      </c>
      <c r="BS570" t="s">
        <v>704</v>
      </c>
      <c r="BT570" t="s">
        <v>705</v>
      </c>
      <c r="BU570" t="s">
        <v>706</v>
      </c>
      <c r="CT570"/>
      <c r="CU570"/>
      <c r="CV570"/>
    </row>
    <row r="571" spans="1:100" x14ac:dyDescent="0.4">
      <c r="A571" s="2" t="s">
        <v>598</v>
      </c>
      <c r="B571" t="str">
        <f>_xlfn.TEXTAFTER(Table1[[#This Row],[VEHIDCODE]],"_")</f>
        <v>Japan_MLX01_901</v>
      </c>
      <c r="C571" t="s">
        <v>746</v>
      </c>
      <c r="D571" t="s">
        <v>968</v>
      </c>
      <c r="E571">
        <v>10001</v>
      </c>
      <c r="F571" t="b">
        <f>OR(ISNUMBER(SEARCH("wagon_",Table1[[#This Row],[FILENAMES_EXPECTED]])),ISNUMBER(SEARCH("coach_",Table1[[#This Row],[FILENAMES_EXPECTED]])))</f>
        <v>0</v>
      </c>
      <c r="G571" t="str">
        <f>"item_"&amp;Table1[[#This Row],[VEHIDCODE]]</f>
        <v>item_mglv_Japan_MLX01_901</v>
      </c>
      <c r="H571" t="str">
        <f>"str_"&amp;Table1[[#This Row],[VEHIDCODE]]</f>
        <v>str_mglv_Japan_MLX01_901</v>
      </c>
      <c r="AK571" t="b">
        <v>1</v>
      </c>
      <c r="AL571" s="2"/>
      <c r="AM571" s="2" t="b">
        <f>LEN(_xlfn.CONCAT(Table1[[#This Row],[TRACK_TYPE_STANDARD_GAUGE_RAILTYPE_OHLE]:[TRACK_TYPE_MTRO]]))&gt;0</f>
        <v>1</v>
      </c>
      <c r="AN571">
        <v>8</v>
      </c>
      <c r="AO571" t="s">
        <v>18</v>
      </c>
      <c r="AP571">
        <v>1</v>
      </c>
      <c r="AQ571" t="s">
        <v>19</v>
      </c>
      <c r="AR571">
        <v>55</v>
      </c>
      <c r="AS571">
        <v>2025</v>
      </c>
      <c r="AT571">
        <v>8</v>
      </c>
      <c r="AU571" s="2" t="s">
        <v>479</v>
      </c>
      <c r="AV571" t="b">
        <v>1</v>
      </c>
      <c r="AW571" t="b">
        <v>1</v>
      </c>
      <c r="AX571" s="2"/>
      <c r="AY571" t="s">
        <v>21</v>
      </c>
      <c r="AZ571">
        <v>1</v>
      </c>
      <c r="BA571">
        <v>3042</v>
      </c>
      <c r="BB571" t="s">
        <v>708</v>
      </c>
      <c r="BC571">
        <v>603</v>
      </c>
      <c r="BD571" s="2">
        <v>0.3</v>
      </c>
      <c r="BE571" t="s">
        <v>930</v>
      </c>
      <c r="BF571" t="s">
        <v>921</v>
      </c>
      <c r="BG571" t="s">
        <v>940</v>
      </c>
      <c r="BH571" s="7">
        <v>25</v>
      </c>
      <c r="BI57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571">
        <v>0</v>
      </c>
      <c r="BK571" t="s">
        <v>733</v>
      </c>
      <c r="BL571" s="11">
        <v>55</v>
      </c>
      <c r="BM571" s="11">
        <v>8</v>
      </c>
      <c r="BN571" s="11">
        <v>72</v>
      </c>
      <c r="BO571">
        <v>0</v>
      </c>
      <c r="BP571" t="s">
        <v>691</v>
      </c>
      <c r="BQ571" t="s">
        <v>693</v>
      </c>
      <c r="BR571" t="s">
        <v>700</v>
      </c>
      <c r="BS571" t="s">
        <v>704</v>
      </c>
      <c r="BT571" t="s">
        <v>705</v>
      </c>
      <c r="BU571" t="s">
        <v>706</v>
      </c>
      <c r="CT571"/>
      <c r="CU571"/>
      <c r="CV571"/>
    </row>
    <row r="572" spans="1:100" x14ac:dyDescent="0.4">
      <c r="A572" s="2" t="s">
        <v>919</v>
      </c>
      <c r="B572" t="str">
        <f>_xlfn.TEXTAFTER(Table1[[#This Row],[VEHIDCODE]],"_")</f>
        <v>Wagon_Gen7M_Boxcar_Type1</v>
      </c>
      <c r="C572" t="s">
        <v>768</v>
      </c>
      <c r="D572" t="s">
        <v>974</v>
      </c>
      <c r="E572">
        <v>18003</v>
      </c>
      <c r="F572" t="b">
        <f>OR(ISNUMBER(SEARCH("wagon_",Table1[[#This Row],[FILENAMES_EXPECTED]])),ISNUMBER(SEARCH("coach_",Table1[[#This Row],[FILENAMES_EXPECTED]])))</f>
        <v>1</v>
      </c>
      <c r="G572" t="str">
        <f>"item_"&amp;Table1[[#This Row],[VEHIDCODE]]</f>
        <v>item_mglv_Wagon_Gen7M_Boxcar_Type1</v>
      </c>
      <c r="H572" t="str">
        <f>"str_"&amp;Table1[[#This Row],[VEHIDCODE]]</f>
        <v>str_mglv_Wagon_Gen7M_Boxcar_Type1</v>
      </c>
      <c r="AK572" t="b">
        <v>1</v>
      </c>
      <c r="AL572" s="2"/>
      <c r="AM572" s="2" t="b">
        <f>LEN(_xlfn.CONCAT(Table1[[#This Row],[TRACK_TYPE_STANDARD_GAUGE_RAILTYPE_OHLE]:[TRACK_TYPE_MTRO]]))&gt;0</f>
        <v>1</v>
      </c>
      <c r="AN572">
        <v>8</v>
      </c>
      <c r="AO572" t="s">
        <v>599</v>
      </c>
      <c r="AP572">
        <v>0</v>
      </c>
      <c r="AQ572" t="s">
        <v>19</v>
      </c>
      <c r="AR572">
        <v>74</v>
      </c>
      <c r="AS572">
        <v>2010</v>
      </c>
      <c r="AT572">
        <v>8</v>
      </c>
      <c r="AU572" s="2" t="s">
        <v>33</v>
      </c>
      <c r="AV572" t="b">
        <v>1</v>
      </c>
      <c r="AX572" s="2" t="b">
        <v>1</v>
      </c>
      <c r="AY572" t="s">
        <v>21</v>
      </c>
      <c r="AZ572">
        <v>0</v>
      </c>
      <c r="BA572">
        <v>0</v>
      </c>
      <c r="BB572" t="s">
        <v>708</v>
      </c>
      <c r="BC572">
        <v>160</v>
      </c>
      <c r="BD572" s="2">
        <v>0.3</v>
      </c>
      <c r="BE572" t="s">
        <v>932</v>
      </c>
      <c r="BF572" t="s">
        <v>921</v>
      </c>
      <c r="BG572" t="s">
        <v>940</v>
      </c>
      <c r="BH572" s="7">
        <v>25</v>
      </c>
      <c r="BI57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572">
        <v>0</v>
      </c>
      <c r="BK572" t="s">
        <v>733</v>
      </c>
      <c r="BL572" s="11"/>
      <c r="BM572" s="11"/>
      <c r="BN572" s="11">
        <v>27</v>
      </c>
      <c r="BO572">
        <v>0</v>
      </c>
      <c r="BP572" t="s">
        <v>691</v>
      </c>
      <c r="BQ572" t="s">
        <v>693</v>
      </c>
      <c r="BR572" t="s">
        <v>700</v>
      </c>
      <c r="BS572" t="s">
        <v>704</v>
      </c>
      <c r="BT572" t="s">
        <v>705</v>
      </c>
      <c r="BU572" t="s">
        <v>706</v>
      </c>
      <c r="CT572"/>
      <c r="CU572"/>
      <c r="CV572"/>
    </row>
    <row r="573" spans="1:100" x14ac:dyDescent="0.4">
      <c r="A573" s="2" t="s">
        <v>902</v>
      </c>
      <c r="B573" t="str">
        <f>_xlfn.TEXTAFTER(Table1[[#This Row],[VEHIDCODE]],"_")</f>
        <v>Wagon_Gen7M_Boxcar_Type2</v>
      </c>
      <c r="C573" t="s">
        <v>768</v>
      </c>
      <c r="D573" t="s">
        <v>974</v>
      </c>
      <c r="E573">
        <v>18013</v>
      </c>
      <c r="F573" t="b">
        <f>OR(ISNUMBER(SEARCH("wagon_",Table1[[#This Row],[FILENAMES_EXPECTED]])),ISNUMBER(SEARCH("coach_",Table1[[#This Row],[FILENAMES_EXPECTED]])))</f>
        <v>1</v>
      </c>
      <c r="G573" t="str">
        <f>"item_"&amp;Table1[[#This Row],[VEHIDCODE]]</f>
        <v>item_mglv_Wagon_Gen7M_Boxcar_Type2</v>
      </c>
      <c r="H573" t="str">
        <f>"str_"&amp;Table1[[#This Row],[VEHIDCODE]]</f>
        <v>str_mglv_Wagon_Gen7M_Boxcar_Type2</v>
      </c>
      <c r="AK573" t="b">
        <v>1</v>
      </c>
      <c r="AL573" s="2"/>
      <c r="AM573" s="2" t="b">
        <f>LEN(_xlfn.CONCAT(Table1[[#This Row],[TRACK_TYPE_STANDARD_GAUGE_RAILTYPE_OHLE]:[TRACK_TYPE_MTRO]]))&gt;0</f>
        <v>1</v>
      </c>
      <c r="AN573">
        <v>8</v>
      </c>
      <c r="AO573" t="s">
        <v>599</v>
      </c>
      <c r="AP573">
        <v>0</v>
      </c>
      <c r="AQ573" t="s">
        <v>19</v>
      </c>
      <c r="AR573">
        <v>74</v>
      </c>
      <c r="AS573">
        <v>2010</v>
      </c>
      <c r="AT573">
        <v>8</v>
      </c>
      <c r="AU573" s="2" t="s">
        <v>33</v>
      </c>
      <c r="AV573" t="b">
        <v>1</v>
      </c>
      <c r="AX573" s="2" t="b">
        <v>1</v>
      </c>
      <c r="AY573" t="s">
        <v>21</v>
      </c>
      <c r="AZ573">
        <v>0</v>
      </c>
      <c r="BA573">
        <v>0</v>
      </c>
      <c r="BB573" t="s">
        <v>708</v>
      </c>
      <c r="BC573">
        <v>160</v>
      </c>
      <c r="BD573" s="2">
        <v>0.3</v>
      </c>
      <c r="BE573" t="s">
        <v>933</v>
      </c>
      <c r="BF573" t="s">
        <v>921</v>
      </c>
      <c r="BG573" t="s">
        <v>940</v>
      </c>
      <c r="BH573" s="7">
        <v>25</v>
      </c>
      <c r="BI57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573">
        <v>0</v>
      </c>
      <c r="BK573" t="s">
        <v>733</v>
      </c>
      <c r="BL573" s="11"/>
      <c r="BM573" s="11"/>
      <c r="BN573" s="11">
        <v>27</v>
      </c>
      <c r="BO573">
        <v>0</v>
      </c>
      <c r="BP573" t="s">
        <v>691</v>
      </c>
      <c r="BQ573" t="s">
        <v>693</v>
      </c>
      <c r="BR573" t="s">
        <v>700</v>
      </c>
      <c r="BS573" t="s">
        <v>704</v>
      </c>
      <c r="BT573" t="s">
        <v>705</v>
      </c>
      <c r="BU573" t="s">
        <v>706</v>
      </c>
      <c r="CT573"/>
      <c r="CU573"/>
      <c r="CV573"/>
    </row>
    <row r="574" spans="1:100" x14ac:dyDescent="0.4">
      <c r="A574" s="2" t="s">
        <v>903</v>
      </c>
      <c r="B574" t="str">
        <f>_xlfn.TEXTAFTER(Table1[[#This Row],[VEHIDCODE]],"_")</f>
        <v>Wagon_Gen7M_Car_Transporter</v>
      </c>
      <c r="C574" t="s">
        <v>768</v>
      </c>
      <c r="D574" t="s">
        <v>974</v>
      </c>
      <c r="E574">
        <v>18008</v>
      </c>
      <c r="F574" t="b">
        <f>OR(ISNUMBER(SEARCH("wagon_",Table1[[#This Row],[FILENAMES_EXPECTED]])),ISNUMBER(SEARCH("coach_",Table1[[#This Row],[FILENAMES_EXPECTED]])))</f>
        <v>1</v>
      </c>
      <c r="G574" t="str">
        <f>"item_"&amp;Table1[[#This Row],[VEHIDCODE]]</f>
        <v>item_mglv_Wagon_Gen7M_Car_Transporter</v>
      </c>
      <c r="H574" t="str">
        <f>"str_"&amp;Table1[[#This Row],[VEHIDCODE]]</f>
        <v>str_mglv_Wagon_Gen7M_Car_Transporter</v>
      </c>
      <c r="AK574" t="b">
        <v>1</v>
      </c>
      <c r="AL574" s="2"/>
      <c r="AM574" s="2" t="b">
        <f>LEN(_xlfn.CONCAT(Table1[[#This Row],[TRACK_TYPE_STANDARD_GAUGE_RAILTYPE_OHLE]:[TRACK_TYPE_MTRO]]))&gt;0</f>
        <v>1</v>
      </c>
      <c r="AN574">
        <v>8</v>
      </c>
      <c r="AO574" t="s">
        <v>600</v>
      </c>
      <c r="AP574">
        <v>0</v>
      </c>
      <c r="AQ574" t="s">
        <v>19</v>
      </c>
      <c r="AR574">
        <v>20</v>
      </c>
      <c r="AS574">
        <v>2020</v>
      </c>
      <c r="AT574">
        <v>8</v>
      </c>
      <c r="AU574" s="2" t="s">
        <v>33</v>
      </c>
      <c r="AV574" t="b">
        <v>1</v>
      </c>
      <c r="AX574" s="2" t="b">
        <v>1</v>
      </c>
      <c r="AY574" t="s">
        <v>21</v>
      </c>
      <c r="AZ574">
        <v>0</v>
      </c>
      <c r="BA574">
        <v>0</v>
      </c>
      <c r="BB574" t="s">
        <v>708</v>
      </c>
      <c r="BC574">
        <v>160</v>
      </c>
      <c r="BD574" s="2">
        <v>0.3</v>
      </c>
      <c r="BE574" t="s">
        <v>935</v>
      </c>
      <c r="BF574" t="s">
        <v>921</v>
      </c>
      <c r="BG574" t="s">
        <v>940</v>
      </c>
      <c r="BH574" s="7">
        <v>25</v>
      </c>
      <c r="BI57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574">
        <v>0</v>
      </c>
      <c r="BK574" t="s">
        <v>733</v>
      </c>
      <c r="BL574" s="11"/>
      <c r="BM574" s="11"/>
      <c r="BN574" s="11">
        <v>28</v>
      </c>
      <c r="BO574">
        <v>0</v>
      </c>
      <c r="BP574" t="s">
        <v>691</v>
      </c>
      <c r="BQ574" t="s">
        <v>693</v>
      </c>
      <c r="BR574" t="s">
        <v>700</v>
      </c>
      <c r="BS574" t="s">
        <v>704</v>
      </c>
      <c r="BT574" t="s">
        <v>705</v>
      </c>
      <c r="BU574" t="s">
        <v>706</v>
      </c>
      <c r="CT574"/>
      <c r="CU574"/>
      <c r="CV574"/>
    </row>
    <row r="575" spans="1:100" x14ac:dyDescent="0.4">
      <c r="A575" s="2" t="s">
        <v>904</v>
      </c>
      <c r="B575" t="str">
        <f>_xlfn.TEXTAFTER(Table1[[#This Row],[VEHIDCODE]],"_")</f>
        <v>Wagon_Gen7M_Centerbeam</v>
      </c>
      <c r="C575" t="s">
        <v>768</v>
      </c>
      <c r="D575" t="s">
        <v>974</v>
      </c>
      <c r="E575">
        <v>18010</v>
      </c>
      <c r="F575" t="b">
        <f>OR(ISNUMBER(SEARCH("wagon_",Table1[[#This Row],[FILENAMES_EXPECTED]])),ISNUMBER(SEARCH("coach_",Table1[[#This Row],[FILENAMES_EXPECTED]])))</f>
        <v>1</v>
      </c>
      <c r="G575" t="str">
        <f>"item_"&amp;Table1[[#This Row],[VEHIDCODE]]</f>
        <v>item_mglv_Wagon_Gen7M_Centerbeam</v>
      </c>
      <c r="H575" t="str">
        <f>"str_"&amp;Table1[[#This Row],[VEHIDCODE]]</f>
        <v>str_mglv_Wagon_Gen7M_Centerbeam</v>
      </c>
      <c r="AK575" t="b">
        <v>1</v>
      </c>
      <c r="AL575" s="2"/>
      <c r="AM575" s="2" t="b">
        <f>LEN(_xlfn.CONCAT(Table1[[#This Row],[TRACK_TYPE_STANDARD_GAUGE_RAILTYPE_OHLE]:[TRACK_TYPE_MTRO]]))&gt;0</f>
        <v>1</v>
      </c>
      <c r="AN575">
        <v>8</v>
      </c>
      <c r="AO575" t="s">
        <v>601</v>
      </c>
      <c r="AP575">
        <v>0</v>
      </c>
      <c r="AQ575" t="s">
        <v>19</v>
      </c>
      <c r="AR575">
        <v>65</v>
      </c>
      <c r="AS575">
        <v>2010</v>
      </c>
      <c r="AT575">
        <v>8</v>
      </c>
      <c r="AU575" s="2" t="s">
        <v>33</v>
      </c>
      <c r="AV575" t="b">
        <v>1</v>
      </c>
      <c r="AX575" s="2" t="b">
        <v>1</v>
      </c>
      <c r="AY575" t="s">
        <v>21</v>
      </c>
      <c r="AZ575">
        <v>0</v>
      </c>
      <c r="BA575">
        <v>0</v>
      </c>
      <c r="BB575" t="s">
        <v>708</v>
      </c>
      <c r="BC575">
        <v>160</v>
      </c>
      <c r="BD575" s="2">
        <v>0.3</v>
      </c>
      <c r="BE575" t="s">
        <v>935</v>
      </c>
      <c r="BF575" t="s">
        <v>921</v>
      </c>
      <c r="BG575" t="s">
        <v>940</v>
      </c>
      <c r="BH575" s="7">
        <v>25</v>
      </c>
      <c r="BI57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575">
        <v>0</v>
      </c>
      <c r="BK575" t="s">
        <v>733</v>
      </c>
      <c r="BL575" s="11"/>
      <c r="BM575" s="11"/>
      <c r="BN575" s="11">
        <v>40</v>
      </c>
      <c r="BO575">
        <v>0</v>
      </c>
      <c r="BP575" t="s">
        <v>691</v>
      </c>
      <c r="BQ575" t="s">
        <v>693</v>
      </c>
      <c r="BR575" t="s">
        <v>700</v>
      </c>
      <c r="BS575" t="s">
        <v>704</v>
      </c>
      <c r="BT575" t="s">
        <v>705</v>
      </c>
      <c r="BU575" t="s">
        <v>706</v>
      </c>
      <c r="CT575"/>
      <c r="CU575"/>
      <c r="CV575"/>
    </row>
    <row r="576" spans="1:100" x14ac:dyDescent="0.4">
      <c r="A576" s="2" t="s">
        <v>905</v>
      </c>
      <c r="B576" t="str">
        <f>_xlfn.TEXTAFTER(Table1[[#This Row],[VEHIDCODE]],"_")</f>
        <v>Wagon_Gen7M_Container_Carrier</v>
      </c>
      <c r="C576" t="s">
        <v>768</v>
      </c>
      <c r="D576" t="s">
        <v>974</v>
      </c>
      <c r="E576">
        <v>18009</v>
      </c>
      <c r="F576" t="b">
        <f>OR(ISNUMBER(SEARCH("wagon_",Table1[[#This Row],[FILENAMES_EXPECTED]])),ISNUMBER(SEARCH("coach_",Table1[[#This Row],[FILENAMES_EXPECTED]])))</f>
        <v>1</v>
      </c>
      <c r="G576" t="str">
        <f>"item_"&amp;Table1[[#This Row],[VEHIDCODE]]</f>
        <v>item_mglv_Wagon_Gen7M_Container_Carrier</v>
      </c>
      <c r="H576" t="str">
        <f>"str_"&amp;Table1[[#This Row],[VEHIDCODE]]</f>
        <v>str_mglv_Wagon_Gen7M_Container_Carrier</v>
      </c>
      <c r="AK576" t="b">
        <v>1</v>
      </c>
      <c r="AL576" s="2"/>
      <c r="AM576" s="2" t="b">
        <f>LEN(_xlfn.CONCAT(Table1[[#This Row],[TRACK_TYPE_STANDARD_GAUGE_RAILTYPE_OHLE]:[TRACK_TYPE_MTRO]]))&gt;0</f>
        <v>1</v>
      </c>
      <c r="AN576">
        <v>8</v>
      </c>
      <c r="AO576" t="s">
        <v>532</v>
      </c>
      <c r="AP576">
        <v>0</v>
      </c>
      <c r="AQ576" t="s">
        <v>19</v>
      </c>
      <c r="AR576">
        <v>60</v>
      </c>
      <c r="AS576">
        <v>2010</v>
      </c>
      <c r="AT576">
        <v>8</v>
      </c>
      <c r="AU576" s="2" t="s">
        <v>33</v>
      </c>
      <c r="AV576" t="b">
        <v>1</v>
      </c>
      <c r="AX576" s="2" t="b">
        <v>1</v>
      </c>
      <c r="AY576" t="s">
        <v>21</v>
      </c>
      <c r="AZ576">
        <v>0</v>
      </c>
      <c r="BA576">
        <v>0</v>
      </c>
      <c r="BB576" t="s">
        <v>708</v>
      </c>
      <c r="BC576">
        <v>160</v>
      </c>
      <c r="BD576" s="2">
        <v>0.3</v>
      </c>
      <c r="BE576" t="s">
        <v>935</v>
      </c>
      <c r="BF576" t="s">
        <v>921</v>
      </c>
      <c r="BG576" t="s">
        <v>940</v>
      </c>
      <c r="BH576" s="7">
        <v>25</v>
      </c>
      <c r="BI57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576">
        <v>0</v>
      </c>
      <c r="BK576" t="s">
        <v>733</v>
      </c>
      <c r="BL576" s="11"/>
      <c r="BM576" s="11"/>
      <c r="BN576" s="11">
        <v>22</v>
      </c>
      <c r="BO576">
        <v>0</v>
      </c>
      <c r="BP576" t="s">
        <v>691</v>
      </c>
      <c r="BQ576" t="s">
        <v>693</v>
      </c>
      <c r="BR576" t="s">
        <v>700</v>
      </c>
      <c r="BS576" t="s">
        <v>704</v>
      </c>
      <c r="BT576" t="s">
        <v>705</v>
      </c>
      <c r="BU576" t="s">
        <v>706</v>
      </c>
      <c r="CT576"/>
      <c r="CU576"/>
      <c r="CV576"/>
    </row>
    <row r="577" spans="1:100" x14ac:dyDescent="0.4">
      <c r="A577" s="2" t="s">
        <v>906</v>
      </c>
      <c r="B577" t="str">
        <f>_xlfn.TEXTAFTER(Table1[[#This Row],[VEHIDCODE]],"_")</f>
        <v>Wagon_Gen7M_Container_Doublestack</v>
      </c>
      <c r="C577" t="s">
        <v>768</v>
      </c>
      <c r="D577" t="s">
        <v>974</v>
      </c>
      <c r="E577">
        <v>18011</v>
      </c>
      <c r="F577" t="b">
        <f>OR(ISNUMBER(SEARCH("wagon_",Table1[[#This Row],[FILENAMES_EXPECTED]])),ISNUMBER(SEARCH("coach_",Table1[[#This Row],[FILENAMES_EXPECTED]])))</f>
        <v>1</v>
      </c>
      <c r="G577" t="str">
        <f>"item_"&amp;Table1[[#This Row],[VEHIDCODE]]</f>
        <v>item_mglv_Wagon_Gen7M_Container_Doublestack</v>
      </c>
      <c r="H577" t="str">
        <f>"str_"&amp;Table1[[#This Row],[VEHIDCODE]]</f>
        <v>str_mglv_Wagon_Gen7M_Container_Doublestack</v>
      </c>
      <c r="AK577" t="b">
        <v>1</v>
      </c>
      <c r="AL577" s="2"/>
      <c r="AM577" s="2" t="b">
        <f>LEN(_xlfn.CONCAT(Table1[[#This Row],[TRACK_TYPE_STANDARD_GAUGE_RAILTYPE_OHLE]:[TRACK_TYPE_MTRO]]))&gt;0</f>
        <v>1</v>
      </c>
      <c r="AN577">
        <v>8</v>
      </c>
      <c r="AO577" t="s">
        <v>602</v>
      </c>
      <c r="AP577">
        <v>0</v>
      </c>
      <c r="AQ577" t="s">
        <v>19</v>
      </c>
      <c r="AR577">
        <v>75</v>
      </c>
      <c r="AS577">
        <v>2000</v>
      </c>
      <c r="AT577">
        <v>8</v>
      </c>
      <c r="AU577" s="2" t="s">
        <v>33</v>
      </c>
      <c r="AV577" t="b">
        <v>1</v>
      </c>
      <c r="AX577" s="2" t="b">
        <v>1</v>
      </c>
      <c r="AY577" t="s">
        <v>21</v>
      </c>
      <c r="AZ577">
        <v>0</v>
      </c>
      <c r="BA577">
        <v>0</v>
      </c>
      <c r="BB577" t="s">
        <v>708</v>
      </c>
      <c r="BC577">
        <v>160</v>
      </c>
      <c r="BD577" s="2">
        <v>0.3</v>
      </c>
      <c r="BE577" t="s">
        <v>935</v>
      </c>
      <c r="BF577" t="s">
        <v>921</v>
      </c>
      <c r="BG577" t="s">
        <v>940</v>
      </c>
      <c r="BH577" s="7">
        <v>25</v>
      </c>
      <c r="BI57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577">
        <v>0</v>
      </c>
      <c r="BK577" t="s">
        <v>733</v>
      </c>
      <c r="BL577" s="11"/>
      <c r="BM577" s="11"/>
      <c r="BN577" s="11">
        <v>25</v>
      </c>
      <c r="BO577">
        <v>0</v>
      </c>
      <c r="BP577" t="s">
        <v>691</v>
      </c>
      <c r="BQ577" t="s">
        <v>693</v>
      </c>
      <c r="BR577" t="s">
        <v>700</v>
      </c>
      <c r="BS577" t="s">
        <v>704</v>
      </c>
      <c r="BT577" t="s">
        <v>705</v>
      </c>
      <c r="BU577" t="s">
        <v>706</v>
      </c>
      <c r="CT577"/>
      <c r="CU577"/>
      <c r="CV577"/>
    </row>
    <row r="578" spans="1:100" x14ac:dyDescent="0.4">
      <c r="A578" s="2" t="s">
        <v>907</v>
      </c>
      <c r="B578" t="str">
        <f>_xlfn.TEXTAFTER(Table1[[#This Row],[VEHIDCODE]],"_")</f>
        <v>Wagon_Gen7M_Flatcar</v>
      </c>
      <c r="C578" t="s">
        <v>768</v>
      </c>
      <c r="D578" t="s">
        <v>974</v>
      </c>
      <c r="E578">
        <v>18001</v>
      </c>
      <c r="F578" t="b">
        <f>OR(ISNUMBER(SEARCH("wagon_",Table1[[#This Row],[FILENAMES_EXPECTED]])),ISNUMBER(SEARCH("coach_",Table1[[#This Row],[FILENAMES_EXPECTED]])))</f>
        <v>1</v>
      </c>
      <c r="G578" t="str">
        <f>"item_"&amp;Table1[[#This Row],[VEHIDCODE]]</f>
        <v>item_mglv_Wagon_Gen7M_Flatcar</v>
      </c>
      <c r="H578" t="str">
        <f>"str_"&amp;Table1[[#This Row],[VEHIDCODE]]</f>
        <v>str_mglv_Wagon_Gen7M_Flatcar</v>
      </c>
      <c r="AK578" t="b">
        <v>1</v>
      </c>
      <c r="AL578" s="2"/>
      <c r="AM578" s="2" t="b">
        <f>LEN(_xlfn.CONCAT(Table1[[#This Row],[TRACK_TYPE_STANDARD_GAUGE_RAILTYPE_OHLE]:[TRACK_TYPE_MTRO]]))&gt;0</f>
        <v>1</v>
      </c>
      <c r="AN578">
        <v>8</v>
      </c>
      <c r="AO578" t="s">
        <v>603</v>
      </c>
      <c r="AP578">
        <v>0</v>
      </c>
      <c r="AQ578" t="s">
        <v>19</v>
      </c>
      <c r="AR578">
        <v>72</v>
      </c>
      <c r="AS578">
        <v>2010</v>
      </c>
      <c r="AT578">
        <v>8</v>
      </c>
      <c r="AU578" s="2" t="s">
        <v>33</v>
      </c>
      <c r="AV578" t="b">
        <v>1</v>
      </c>
      <c r="AX578" s="2" t="b">
        <v>1</v>
      </c>
      <c r="AY578" t="s">
        <v>21</v>
      </c>
      <c r="AZ578">
        <v>0</v>
      </c>
      <c r="BA578">
        <v>0</v>
      </c>
      <c r="BB578" t="s">
        <v>708</v>
      </c>
      <c r="BC578">
        <v>160</v>
      </c>
      <c r="BD578" s="2">
        <v>0.3</v>
      </c>
      <c r="BE578" t="s">
        <v>935</v>
      </c>
      <c r="BF578" t="s">
        <v>921</v>
      </c>
      <c r="BG578" t="s">
        <v>940</v>
      </c>
      <c r="BH578" s="7">
        <v>25</v>
      </c>
      <c r="BI57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578">
        <v>0</v>
      </c>
      <c r="BK578" t="s">
        <v>733</v>
      </c>
      <c r="BL578" s="11"/>
      <c r="BM578" s="11"/>
      <c r="BN578" s="11">
        <v>23</v>
      </c>
      <c r="BO578">
        <v>0</v>
      </c>
      <c r="BP578" t="s">
        <v>691</v>
      </c>
      <c r="BQ578" t="s">
        <v>693</v>
      </c>
      <c r="BR578" t="s">
        <v>700</v>
      </c>
      <c r="BS578" t="s">
        <v>704</v>
      </c>
      <c r="BT578" t="s">
        <v>705</v>
      </c>
      <c r="BU578" t="s">
        <v>706</v>
      </c>
      <c r="CT578"/>
      <c r="CU578"/>
      <c r="CV578"/>
    </row>
    <row r="579" spans="1:100" x14ac:dyDescent="0.4">
      <c r="A579" s="2" t="s">
        <v>908</v>
      </c>
      <c r="B579" t="str">
        <f>_xlfn.TEXTAFTER(Table1[[#This Row],[VEHIDCODE]],"_")</f>
        <v>Wagon_Gen7M_Gondola</v>
      </c>
      <c r="C579" t="s">
        <v>768</v>
      </c>
      <c r="D579" t="s">
        <v>974</v>
      </c>
      <c r="E579">
        <v>18005</v>
      </c>
      <c r="F579" t="b">
        <f>OR(ISNUMBER(SEARCH("wagon_",Table1[[#This Row],[FILENAMES_EXPECTED]])),ISNUMBER(SEARCH("coach_",Table1[[#This Row],[FILENAMES_EXPECTED]])))</f>
        <v>1</v>
      </c>
      <c r="G579" t="str">
        <f>"item_"&amp;Table1[[#This Row],[VEHIDCODE]]</f>
        <v>item_mglv_Wagon_Gen7M_Gondola</v>
      </c>
      <c r="H579" t="str">
        <f>"str_"&amp;Table1[[#This Row],[VEHIDCODE]]</f>
        <v>str_mglv_Wagon_Gen7M_Gondola</v>
      </c>
      <c r="AK579" t="b">
        <v>1</v>
      </c>
      <c r="AL579" s="2"/>
      <c r="AM579" s="2" t="b">
        <f>LEN(_xlfn.CONCAT(Table1[[#This Row],[TRACK_TYPE_STANDARD_GAUGE_RAILTYPE_OHLE]:[TRACK_TYPE_MTRO]]))&gt;0</f>
        <v>1</v>
      </c>
      <c r="AN579">
        <v>8</v>
      </c>
      <c r="AO579" t="s">
        <v>604</v>
      </c>
      <c r="AP579">
        <v>0</v>
      </c>
      <c r="AQ579" t="s">
        <v>19</v>
      </c>
      <c r="AR579">
        <v>75</v>
      </c>
      <c r="AS579">
        <v>2010</v>
      </c>
      <c r="AT579">
        <v>8</v>
      </c>
      <c r="AU579" s="2" t="s">
        <v>33</v>
      </c>
      <c r="AV579" t="b">
        <v>1</v>
      </c>
      <c r="AX579" s="2" t="b">
        <v>1</v>
      </c>
      <c r="AY579" t="s">
        <v>21</v>
      </c>
      <c r="AZ579">
        <v>0</v>
      </c>
      <c r="BA579">
        <v>0</v>
      </c>
      <c r="BB579" t="s">
        <v>708</v>
      </c>
      <c r="BC579">
        <v>160</v>
      </c>
      <c r="BD579" s="2">
        <v>0.3</v>
      </c>
      <c r="BE579" t="s">
        <v>935</v>
      </c>
      <c r="BF579" t="s">
        <v>921</v>
      </c>
      <c r="BG579" t="s">
        <v>940</v>
      </c>
      <c r="BH579" s="7">
        <v>25</v>
      </c>
      <c r="BI57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579">
        <v>0</v>
      </c>
      <c r="BK579" t="s">
        <v>733</v>
      </c>
      <c r="BL579" s="11"/>
      <c r="BM579" s="11"/>
      <c r="BN579" s="11">
        <v>22</v>
      </c>
      <c r="BO579">
        <v>0</v>
      </c>
      <c r="BP579" t="s">
        <v>691</v>
      </c>
      <c r="BQ579" t="s">
        <v>693</v>
      </c>
      <c r="BR579" t="s">
        <v>700</v>
      </c>
      <c r="BS579" t="s">
        <v>704</v>
      </c>
      <c r="BT579" t="s">
        <v>705</v>
      </c>
      <c r="BU579" t="s">
        <v>706</v>
      </c>
      <c r="CT579"/>
      <c r="CU579"/>
      <c r="CV579"/>
    </row>
    <row r="580" spans="1:100" x14ac:dyDescent="0.4">
      <c r="A580" s="2" t="s">
        <v>909</v>
      </c>
      <c r="B580" t="str">
        <f>_xlfn.TEXTAFTER(Table1[[#This Row],[VEHIDCODE]],"_")</f>
        <v>Wagon_Gen7M_Heavy_Flatcar</v>
      </c>
      <c r="C580" t="s">
        <v>768</v>
      </c>
      <c r="D580" t="s">
        <v>974</v>
      </c>
      <c r="E580">
        <v>18002</v>
      </c>
      <c r="F580" t="b">
        <f>OR(ISNUMBER(SEARCH("wagon_",Table1[[#This Row],[FILENAMES_EXPECTED]])),ISNUMBER(SEARCH("coach_",Table1[[#This Row],[FILENAMES_EXPECTED]])))</f>
        <v>1</v>
      </c>
      <c r="G580" t="str">
        <f>"item_"&amp;Table1[[#This Row],[VEHIDCODE]]</f>
        <v>item_mglv_Wagon_Gen7M_Heavy_Flatcar</v>
      </c>
      <c r="H580" t="str">
        <f>"str_"&amp;Table1[[#This Row],[VEHIDCODE]]</f>
        <v>str_mglv_Wagon_Gen7M_Heavy_Flatcar</v>
      </c>
      <c r="AK580" t="b">
        <v>1</v>
      </c>
      <c r="AL580" s="2"/>
      <c r="AM580" s="2" t="b">
        <f>LEN(_xlfn.CONCAT(Table1[[#This Row],[TRACK_TYPE_STANDARD_GAUGE_RAILTYPE_OHLE]:[TRACK_TYPE_MTRO]]))&gt;0</f>
        <v>1</v>
      </c>
      <c r="AN580">
        <v>8</v>
      </c>
      <c r="AO580" t="s">
        <v>605</v>
      </c>
      <c r="AP580">
        <v>0</v>
      </c>
      <c r="AQ580" t="s">
        <v>19</v>
      </c>
      <c r="AR580">
        <v>96</v>
      </c>
      <c r="AS580">
        <v>2020</v>
      </c>
      <c r="AT580">
        <v>8</v>
      </c>
      <c r="AU580" s="2" t="s">
        <v>33</v>
      </c>
      <c r="AV580" t="b">
        <v>1</v>
      </c>
      <c r="AX580" s="2" t="b">
        <v>1</v>
      </c>
      <c r="AY580" t="s">
        <v>21</v>
      </c>
      <c r="AZ580">
        <v>0</v>
      </c>
      <c r="BA580">
        <v>0</v>
      </c>
      <c r="BB580" t="s">
        <v>708</v>
      </c>
      <c r="BC580">
        <v>140</v>
      </c>
      <c r="BD580" s="2">
        <v>0.3</v>
      </c>
      <c r="BE580" t="s">
        <v>935</v>
      </c>
      <c r="BF580" t="s">
        <v>921</v>
      </c>
      <c r="BG580" t="s">
        <v>940</v>
      </c>
      <c r="BH580" s="7">
        <v>25</v>
      </c>
      <c r="BI58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580">
        <v>0</v>
      </c>
      <c r="BK580" t="s">
        <v>733</v>
      </c>
      <c r="BL580" s="11"/>
      <c r="BM580" s="11"/>
      <c r="BN580" s="11">
        <v>42</v>
      </c>
      <c r="BO580">
        <v>0</v>
      </c>
      <c r="BP580" t="s">
        <v>691</v>
      </c>
      <c r="BQ580" t="s">
        <v>693</v>
      </c>
      <c r="BR580" t="s">
        <v>700</v>
      </c>
      <c r="BS580" t="s">
        <v>704</v>
      </c>
      <c r="BT580" t="s">
        <v>705</v>
      </c>
      <c r="BU580" t="s">
        <v>706</v>
      </c>
      <c r="CT580"/>
      <c r="CU580"/>
      <c r="CV580"/>
    </row>
    <row r="581" spans="1:100" x14ac:dyDescent="0.4">
      <c r="A581" s="2" t="s">
        <v>910</v>
      </c>
      <c r="B581" t="str">
        <f>_xlfn.TEXTAFTER(Table1[[#This Row],[VEHIDCODE]],"_")</f>
        <v>Wagon_Gen7M_Hopper_Type1</v>
      </c>
      <c r="C581" t="s">
        <v>768</v>
      </c>
      <c r="D581" t="s">
        <v>974</v>
      </c>
      <c r="E581">
        <v>18007</v>
      </c>
      <c r="F581" t="b">
        <f>OR(ISNUMBER(SEARCH("wagon_",Table1[[#This Row],[FILENAMES_EXPECTED]])),ISNUMBER(SEARCH("coach_",Table1[[#This Row],[FILENAMES_EXPECTED]])))</f>
        <v>1</v>
      </c>
      <c r="G581" t="str">
        <f>"item_"&amp;Table1[[#This Row],[VEHIDCODE]]</f>
        <v>item_mglv_Wagon_Gen7M_Hopper_Type1</v>
      </c>
      <c r="H581" t="str">
        <f>"str_"&amp;Table1[[#This Row],[VEHIDCODE]]</f>
        <v>str_mglv_Wagon_Gen7M_Hopper_Type1</v>
      </c>
      <c r="AK581" t="b">
        <v>1</v>
      </c>
      <c r="AL581" s="2"/>
      <c r="AM581" s="2" t="b">
        <f>LEN(_xlfn.CONCAT(Table1[[#This Row],[TRACK_TYPE_STANDARD_GAUGE_RAILTYPE_OHLE]:[TRACK_TYPE_MTRO]]))&gt;0</f>
        <v>1</v>
      </c>
      <c r="AN581">
        <v>8</v>
      </c>
      <c r="AO581" t="s">
        <v>606</v>
      </c>
      <c r="AP581">
        <v>0</v>
      </c>
      <c r="AQ581" t="s">
        <v>19</v>
      </c>
      <c r="AR581">
        <v>75</v>
      </c>
      <c r="AS581">
        <v>2020</v>
      </c>
      <c r="AT581">
        <v>8</v>
      </c>
      <c r="AU581" s="2" t="s">
        <v>33</v>
      </c>
      <c r="AV581" t="b">
        <v>1</v>
      </c>
      <c r="AX581" s="2" t="b">
        <v>1</v>
      </c>
      <c r="AY581" t="s">
        <v>21</v>
      </c>
      <c r="AZ581">
        <v>0</v>
      </c>
      <c r="BA581">
        <v>0</v>
      </c>
      <c r="BB581" t="s">
        <v>708</v>
      </c>
      <c r="BC581">
        <v>160</v>
      </c>
      <c r="BD581" s="2">
        <v>0.3</v>
      </c>
      <c r="BE581" t="s">
        <v>932</v>
      </c>
      <c r="BF581" t="s">
        <v>921</v>
      </c>
      <c r="BG581" t="s">
        <v>940</v>
      </c>
      <c r="BH581" s="7">
        <v>25</v>
      </c>
      <c r="BI58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581">
        <v>0</v>
      </c>
      <c r="BK581" t="s">
        <v>733</v>
      </c>
      <c r="BL581" s="11"/>
      <c r="BM581" s="11"/>
      <c r="BN581" s="11">
        <v>26</v>
      </c>
      <c r="BO581">
        <v>0</v>
      </c>
      <c r="BP581" t="s">
        <v>691</v>
      </c>
      <c r="BQ581" t="s">
        <v>693</v>
      </c>
      <c r="BR581" t="s">
        <v>700</v>
      </c>
      <c r="BS581" t="s">
        <v>704</v>
      </c>
      <c r="BT581" t="s">
        <v>705</v>
      </c>
      <c r="BU581" t="s">
        <v>706</v>
      </c>
      <c r="CT581"/>
      <c r="CU581"/>
      <c r="CV581"/>
    </row>
    <row r="582" spans="1:100" x14ac:dyDescent="0.4">
      <c r="A582" s="2" t="s">
        <v>911</v>
      </c>
      <c r="B582" t="str">
        <f>_xlfn.TEXTAFTER(Table1[[#This Row],[VEHIDCODE]],"_")</f>
        <v>Wagon_Gen7M_Hopper_Type2</v>
      </c>
      <c r="C582" t="s">
        <v>768</v>
      </c>
      <c r="D582" t="s">
        <v>974</v>
      </c>
      <c r="E582">
        <v>18015</v>
      </c>
      <c r="F582" t="b">
        <f>OR(ISNUMBER(SEARCH("wagon_",Table1[[#This Row],[FILENAMES_EXPECTED]])),ISNUMBER(SEARCH("coach_",Table1[[#This Row],[FILENAMES_EXPECTED]])))</f>
        <v>1</v>
      </c>
      <c r="G582" t="str">
        <f>"item_"&amp;Table1[[#This Row],[VEHIDCODE]]</f>
        <v>item_mglv_Wagon_Gen7M_Hopper_Type2</v>
      </c>
      <c r="H582" t="str">
        <f>"str_"&amp;Table1[[#This Row],[VEHIDCODE]]</f>
        <v>str_mglv_Wagon_Gen7M_Hopper_Type2</v>
      </c>
      <c r="AK582" t="b">
        <v>1</v>
      </c>
      <c r="AL582" s="2"/>
      <c r="AM582" s="2" t="b">
        <f>LEN(_xlfn.CONCAT(Table1[[#This Row],[TRACK_TYPE_STANDARD_GAUGE_RAILTYPE_OHLE]:[TRACK_TYPE_MTRO]]))&gt;0</f>
        <v>1</v>
      </c>
      <c r="AN582">
        <v>8</v>
      </c>
      <c r="AO582" t="s">
        <v>606</v>
      </c>
      <c r="AP582">
        <v>0</v>
      </c>
      <c r="AQ582" t="s">
        <v>19</v>
      </c>
      <c r="AR582">
        <v>75</v>
      </c>
      <c r="AS582">
        <v>2020</v>
      </c>
      <c r="AT582">
        <v>8</v>
      </c>
      <c r="AU582" s="2" t="s">
        <v>33</v>
      </c>
      <c r="AV582" t="b">
        <v>1</v>
      </c>
      <c r="AX582" s="2" t="b">
        <v>1</v>
      </c>
      <c r="AY582" t="s">
        <v>21</v>
      </c>
      <c r="AZ582">
        <v>0</v>
      </c>
      <c r="BA582">
        <v>0</v>
      </c>
      <c r="BB582" t="s">
        <v>708</v>
      </c>
      <c r="BC582">
        <v>160</v>
      </c>
      <c r="BD582" s="2">
        <v>0.3</v>
      </c>
      <c r="BE582" t="s">
        <v>935</v>
      </c>
      <c r="BF582" t="s">
        <v>921</v>
      </c>
      <c r="BG582" t="s">
        <v>940</v>
      </c>
      <c r="BH582" s="7">
        <v>25</v>
      </c>
      <c r="BI58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582">
        <v>0</v>
      </c>
      <c r="BK582" t="s">
        <v>733</v>
      </c>
      <c r="BL582" s="11"/>
      <c r="BM582" s="11"/>
      <c r="BN582" s="11">
        <v>26</v>
      </c>
      <c r="BO582">
        <v>0</v>
      </c>
      <c r="BP582" t="s">
        <v>691</v>
      </c>
      <c r="BQ582" t="s">
        <v>693</v>
      </c>
      <c r="BR582" t="s">
        <v>700</v>
      </c>
      <c r="BS582" t="s">
        <v>704</v>
      </c>
      <c r="BT582" t="s">
        <v>705</v>
      </c>
      <c r="BU582" t="s">
        <v>706</v>
      </c>
      <c r="CT582"/>
      <c r="CU582"/>
      <c r="CV582"/>
    </row>
    <row r="583" spans="1:100" x14ac:dyDescent="0.4">
      <c r="A583" s="2" t="s">
        <v>912</v>
      </c>
      <c r="B583" t="str">
        <f>_xlfn.TEXTAFTER(Table1[[#This Row],[VEHIDCODE]],"_")</f>
        <v>Wagon_Gen7M_Silo_Type1</v>
      </c>
      <c r="C583" t="s">
        <v>768</v>
      </c>
      <c r="D583" t="s">
        <v>974</v>
      </c>
      <c r="E583">
        <v>18006</v>
      </c>
      <c r="F583" t="b">
        <f>OR(ISNUMBER(SEARCH("wagon_",Table1[[#This Row],[FILENAMES_EXPECTED]])),ISNUMBER(SEARCH("coach_",Table1[[#This Row],[FILENAMES_EXPECTED]])))</f>
        <v>1</v>
      </c>
      <c r="G583" t="str">
        <f>"item_"&amp;Table1[[#This Row],[VEHIDCODE]]</f>
        <v>item_mglv_Wagon_Gen7M_Silo_Type1</v>
      </c>
      <c r="H583" t="str">
        <f>"str_"&amp;Table1[[#This Row],[VEHIDCODE]]</f>
        <v>str_mglv_Wagon_Gen7M_Silo_Type1</v>
      </c>
      <c r="AK583" t="b">
        <v>1</v>
      </c>
      <c r="AL583" s="2"/>
      <c r="AM583" s="2" t="b">
        <f>LEN(_xlfn.CONCAT(Table1[[#This Row],[TRACK_TYPE_STANDARD_GAUGE_RAILTYPE_OHLE]:[TRACK_TYPE_MTRO]]))&gt;0</f>
        <v>1</v>
      </c>
      <c r="AN583">
        <v>8</v>
      </c>
      <c r="AO583" t="s">
        <v>607</v>
      </c>
      <c r="AP583">
        <v>0</v>
      </c>
      <c r="AQ583" t="s">
        <v>19</v>
      </c>
      <c r="AR583">
        <v>75</v>
      </c>
      <c r="AS583">
        <v>2020</v>
      </c>
      <c r="AT583">
        <v>8</v>
      </c>
      <c r="AU583" s="2" t="s">
        <v>33</v>
      </c>
      <c r="AV583" t="b">
        <v>1</v>
      </c>
      <c r="AX583" s="2" t="b">
        <v>1</v>
      </c>
      <c r="AY583" t="s">
        <v>21</v>
      </c>
      <c r="AZ583">
        <v>0</v>
      </c>
      <c r="BA583">
        <v>0</v>
      </c>
      <c r="BB583" t="s">
        <v>708</v>
      </c>
      <c r="BC583">
        <v>160</v>
      </c>
      <c r="BD583" s="2">
        <v>0.3</v>
      </c>
      <c r="BE583" t="s">
        <v>932</v>
      </c>
      <c r="BF583" t="s">
        <v>921</v>
      </c>
      <c r="BG583" t="s">
        <v>940</v>
      </c>
      <c r="BH583" s="7">
        <v>25</v>
      </c>
      <c r="BI58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583">
        <v>0</v>
      </c>
      <c r="BK583" t="s">
        <v>733</v>
      </c>
      <c r="BL583" s="11"/>
      <c r="BM583" s="11"/>
      <c r="BN583" s="11">
        <v>27</v>
      </c>
      <c r="BO583">
        <v>0</v>
      </c>
      <c r="BP583" t="s">
        <v>691</v>
      </c>
      <c r="BQ583" t="s">
        <v>693</v>
      </c>
      <c r="BR583" t="s">
        <v>700</v>
      </c>
      <c r="BS583" t="s">
        <v>704</v>
      </c>
      <c r="BT583" t="s">
        <v>705</v>
      </c>
      <c r="BU583" t="s">
        <v>706</v>
      </c>
      <c r="CT583"/>
      <c r="CU583"/>
      <c r="CV583"/>
    </row>
    <row r="584" spans="1:100" x14ac:dyDescent="0.4">
      <c r="A584" s="2" t="s">
        <v>913</v>
      </c>
      <c r="B584" t="str">
        <f>_xlfn.TEXTAFTER(Table1[[#This Row],[VEHIDCODE]],"_")</f>
        <v>Wagon_Gen7M_Silo_Type2</v>
      </c>
      <c r="C584" t="s">
        <v>768</v>
      </c>
      <c r="D584" t="s">
        <v>974</v>
      </c>
      <c r="E584">
        <v>18014</v>
      </c>
      <c r="F584" t="b">
        <f>OR(ISNUMBER(SEARCH("wagon_",Table1[[#This Row],[FILENAMES_EXPECTED]])),ISNUMBER(SEARCH("coach_",Table1[[#This Row],[FILENAMES_EXPECTED]])))</f>
        <v>1</v>
      </c>
      <c r="G584" t="str">
        <f>"item_"&amp;Table1[[#This Row],[VEHIDCODE]]</f>
        <v>item_mglv_Wagon_Gen7M_Silo_Type2</v>
      </c>
      <c r="H584" t="str">
        <f>"str_"&amp;Table1[[#This Row],[VEHIDCODE]]</f>
        <v>str_mglv_Wagon_Gen7M_Silo_Type2</v>
      </c>
      <c r="AK584" t="b">
        <v>1</v>
      </c>
      <c r="AL584" s="2"/>
      <c r="AM584" s="2" t="b">
        <f>LEN(_xlfn.CONCAT(Table1[[#This Row],[TRACK_TYPE_STANDARD_GAUGE_RAILTYPE_OHLE]:[TRACK_TYPE_MTRO]]))&gt;0</f>
        <v>1</v>
      </c>
      <c r="AN584">
        <v>8</v>
      </c>
      <c r="AO584" t="s">
        <v>607</v>
      </c>
      <c r="AP584">
        <v>0</v>
      </c>
      <c r="AQ584" t="s">
        <v>19</v>
      </c>
      <c r="AR584">
        <v>75</v>
      </c>
      <c r="AS584">
        <v>2020</v>
      </c>
      <c r="AT584">
        <v>8</v>
      </c>
      <c r="AU584" s="2" t="s">
        <v>33</v>
      </c>
      <c r="AV584" t="b">
        <v>1</v>
      </c>
      <c r="AX584" s="2" t="b">
        <v>1</v>
      </c>
      <c r="AY584" t="s">
        <v>21</v>
      </c>
      <c r="AZ584">
        <v>0</v>
      </c>
      <c r="BA584">
        <v>0</v>
      </c>
      <c r="BB584" t="s">
        <v>708</v>
      </c>
      <c r="BC584">
        <v>160</v>
      </c>
      <c r="BD584" s="2">
        <v>0.3</v>
      </c>
      <c r="BE584" t="s">
        <v>933</v>
      </c>
      <c r="BF584" t="s">
        <v>921</v>
      </c>
      <c r="BG584" t="s">
        <v>940</v>
      </c>
      <c r="BH584" s="7">
        <v>25</v>
      </c>
      <c r="BI58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584">
        <v>0</v>
      </c>
      <c r="BK584" t="s">
        <v>733</v>
      </c>
      <c r="BL584" s="11"/>
      <c r="BM584" s="11"/>
      <c r="BN584" s="11">
        <v>27</v>
      </c>
      <c r="BO584">
        <v>0</v>
      </c>
      <c r="BP584" t="s">
        <v>691</v>
      </c>
      <c r="BQ584" t="s">
        <v>693</v>
      </c>
      <c r="BR584" t="s">
        <v>700</v>
      </c>
      <c r="BS584" t="s">
        <v>704</v>
      </c>
      <c r="BT584" t="s">
        <v>705</v>
      </c>
      <c r="BU584" t="s">
        <v>706</v>
      </c>
      <c r="CT584"/>
      <c r="CU584"/>
      <c r="CV584"/>
    </row>
    <row r="585" spans="1:100" x14ac:dyDescent="0.4">
      <c r="A585" s="2" t="s">
        <v>914</v>
      </c>
      <c r="B585" t="str">
        <f>_xlfn.TEXTAFTER(Table1[[#This Row],[VEHIDCODE]],"_")</f>
        <v>Wagon_Gen7M_Superheavy_Flatcar</v>
      </c>
      <c r="C585" t="s">
        <v>768</v>
      </c>
      <c r="D585" t="s">
        <v>974</v>
      </c>
      <c r="E585">
        <v>18012</v>
      </c>
      <c r="F585" t="b">
        <f>OR(ISNUMBER(SEARCH("wagon_",Table1[[#This Row],[FILENAMES_EXPECTED]])),ISNUMBER(SEARCH("coach_",Table1[[#This Row],[FILENAMES_EXPECTED]])))</f>
        <v>1</v>
      </c>
      <c r="G585" t="str">
        <f>"item_"&amp;Table1[[#This Row],[VEHIDCODE]]</f>
        <v>item_mglv_Wagon_Gen7M_Superheavy_Flatcar</v>
      </c>
      <c r="H585" t="str">
        <f>"str_"&amp;Table1[[#This Row],[VEHIDCODE]]</f>
        <v>str_mglv_Wagon_Gen7M_Superheavy_Flatcar</v>
      </c>
      <c r="AK585" t="b">
        <v>1</v>
      </c>
      <c r="AL585" s="2"/>
      <c r="AM585" s="2" t="b">
        <f>LEN(_xlfn.CONCAT(Table1[[#This Row],[TRACK_TYPE_STANDARD_GAUGE_RAILTYPE_OHLE]:[TRACK_TYPE_MTRO]]))&gt;0</f>
        <v>1</v>
      </c>
      <c r="AN585">
        <v>12</v>
      </c>
      <c r="AO585" t="s">
        <v>608</v>
      </c>
      <c r="AP585">
        <v>0</v>
      </c>
      <c r="AQ585" t="s">
        <v>19</v>
      </c>
      <c r="AR585">
        <v>65</v>
      </c>
      <c r="AS585">
        <v>2010</v>
      </c>
      <c r="AT585">
        <v>4</v>
      </c>
      <c r="AU585" s="2" t="s">
        <v>33</v>
      </c>
      <c r="AV585" t="b">
        <v>1</v>
      </c>
      <c r="AX585" s="2" t="b">
        <v>1</v>
      </c>
      <c r="AY585" t="s">
        <v>21</v>
      </c>
      <c r="AZ585">
        <v>0</v>
      </c>
      <c r="BA585">
        <v>0</v>
      </c>
      <c r="BB585" t="s">
        <v>708</v>
      </c>
      <c r="BC585">
        <v>140</v>
      </c>
      <c r="BD585" s="2">
        <v>0.3</v>
      </c>
      <c r="BE585" t="s">
        <v>935</v>
      </c>
      <c r="BF585" t="s">
        <v>921</v>
      </c>
      <c r="BG585" t="s">
        <v>940</v>
      </c>
      <c r="BH585" s="7">
        <v>25</v>
      </c>
      <c r="BI58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585">
        <v>0</v>
      </c>
      <c r="BK585" t="s">
        <v>733</v>
      </c>
      <c r="BL585" s="11"/>
      <c r="BM585" s="11"/>
      <c r="BN585" s="11">
        <v>50</v>
      </c>
      <c r="BO585">
        <v>0</v>
      </c>
      <c r="BP585" t="s">
        <v>691</v>
      </c>
      <c r="BQ585" t="s">
        <v>693</v>
      </c>
      <c r="BR585" t="s">
        <v>700</v>
      </c>
      <c r="BS585" t="s">
        <v>704</v>
      </c>
      <c r="BT585" t="s">
        <v>705</v>
      </c>
      <c r="BU585" t="s">
        <v>706</v>
      </c>
      <c r="CT585"/>
      <c r="CU585"/>
      <c r="CV585"/>
    </row>
    <row r="586" spans="1:100" x14ac:dyDescent="0.4">
      <c r="A586" s="2" t="s">
        <v>915</v>
      </c>
      <c r="B586" t="str">
        <f>_xlfn.TEXTAFTER(Table1[[#This Row],[VEHIDCODE]],"_")</f>
        <v>Wagon_Gen7M_Tanker</v>
      </c>
      <c r="C586" t="s">
        <v>768</v>
      </c>
      <c r="D586" t="s">
        <v>974</v>
      </c>
      <c r="E586">
        <v>18004</v>
      </c>
      <c r="F586" t="b">
        <f>OR(ISNUMBER(SEARCH("wagon_",Table1[[#This Row],[FILENAMES_EXPECTED]])),ISNUMBER(SEARCH("coach_",Table1[[#This Row],[FILENAMES_EXPECTED]])))</f>
        <v>1</v>
      </c>
      <c r="G586" t="str">
        <f>"item_"&amp;Table1[[#This Row],[VEHIDCODE]]</f>
        <v>item_mglv_Wagon_Gen7M_Tanker</v>
      </c>
      <c r="H586" t="str">
        <f>"str_"&amp;Table1[[#This Row],[VEHIDCODE]]</f>
        <v>str_mglv_Wagon_Gen7M_Tanker</v>
      </c>
      <c r="AK586" t="b">
        <v>1</v>
      </c>
      <c r="AL586" s="2"/>
      <c r="AM586" s="2" t="b">
        <f>LEN(_xlfn.CONCAT(Table1[[#This Row],[TRACK_TYPE_STANDARD_GAUGE_RAILTYPE_OHLE]:[TRACK_TYPE_MTRO]]))&gt;0</f>
        <v>1</v>
      </c>
      <c r="AN586">
        <v>8</v>
      </c>
      <c r="AO586" t="s">
        <v>609</v>
      </c>
      <c r="AP586">
        <v>0</v>
      </c>
      <c r="AQ586" t="s">
        <v>19</v>
      </c>
      <c r="AR586">
        <v>105</v>
      </c>
      <c r="AS586">
        <v>2020</v>
      </c>
      <c r="AT586">
        <v>8</v>
      </c>
      <c r="AU586" s="2" t="s">
        <v>33</v>
      </c>
      <c r="AV586" t="b">
        <v>1</v>
      </c>
      <c r="AX586" s="2" t="b">
        <v>1</v>
      </c>
      <c r="AY586" t="s">
        <v>21</v>
      </c>
      <c r="AZ586">
        <v>0</v>
      </c>
      <c r="BA586">
        <v>0</v>
      </c>
      <c r="BB586" t="s">
        <v>708</v>
      </c>
      <c r="BC586">
        <v>160</v>
      </c>
      <c r="BD586" s="2">
        <v>0.3</v>
      </c>
      <c r="BE586" t="s">
        <v>935</v>
      </c>
      <c r="BF586" t="s">
        <v>921</v>
      </c>
      <c r="BG586" t="s">
        <v>940</v>
      </c>
      <c r="BH586" s="7">
        <v>25</v>
      </c>
      <c r="BI58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586">
        <v>0</v>
      </c>
      <c r="BK586" t="s">
        <v>733</v>
      </c>
      <c r="BL586" s="11"/>
      <c r="BM586" s="11"/>
      <c r="BN586" s="11">
        <v>24</v>
      </c>
      <c r="BO586">
        <v>0</v>
      </c>
      <c r="BP586" t="s">
        <v>691</v>
      </c>
      <c r="BQ586" t="s">
        <v>693</v>
      </c>
      <c r="BR586" t="s">
        <v>700</v>
      </c>
      <c r="BS586" t="s">
        <v>704</v>
      </c>
      <c r="BT586" t="s">
        <v>705</v>
      </c>
      <c r="BU586" t="s">
        <v>706</v>
      </c>
      <c r="CT586"/>
      <c r="CU586"/>
      <c r="CV586"/>
    </row>
    <row r="587" spans="1:100" x14ac:dyDescent="0.4">
      <c r="A587" s="2" t="s">
        <v>610</v>
      </c>
      <c r="B587" t="str">
        <f>_xlfn.TEXTAFTER(Table1[[#This Row],[VEHIDCODE]],"_")</f>
        <v>Japan_JR_Shikoku_1000</v>
      </c>
      <c r="C587" t="s">
        <v>736</v>
      </c>
      <c r="D587" t="s">
        <v>953</v>
      </c>
      <c r="E587">
        <v>2038</v>
      </c>
      <c r="F587" t="b">
        <f>OR(ISNUMBER(SEARCH("wagon_",Table1[[#This Row],[FILENAMES_EXPECTED]])),ISNUMBER(SEARCH("coach_",Table1[[#This Row],[FILENAMES_EXPECTED]])))</f>
        <v>0</v>
      </c>
      <c r="G587" t="str">
        <f>"item_"&amp;Table1[[#This Row],[VEHIDCODE]]</f>
        <v>item_rbd_Japan_JR_Shikoku_1000</v>
      </c>
      <c r="H587" t="str">
        <f>"str_"&amp;Table1[[#This Row],[VEHIDCODE]]</f>
        <v>str_rbd_Japan_JR_Shikoku_1000</v>
      </c>
      <c r="Z587" s="2" t="b">
        <v>1</v>
      </c>
      <c r="AL587" s="2"/>
      <c r="AM587" s="2" t="b">
        <f>LEN(_xlfn.CONCAT(Table1[[#This Row],[TRACK_TYPE_STANDARD_GAUGE_RAILTYPE_OHLE]:[TRACK_TYPE_MTRO]]))&gt;0</f>
        <v>1</v>
      </c>
      <c r="AN587">
        <v>7</v>
      </c>
      <c r="AO587" t="s">
        <v>18</v>
      </c>
      <c r="AP587">
        <v>0</v>
      </c>
      <c r="AQ587" t="s">
        <v>35</v>
      </c>
      <c r="AR587">
        <v>70</v>
      </c>
      <c r="AS587">
        <v>1990</v>
      </c>
      <c r="AT587">
        <v>7</v>
      </c>
      <c r="AU587" s="2" t="s">
        <v>24</v>
      </c>
      <c r="AV587" t="b">
        <v>1</v>
      </c>
      <c r="AX587" s="2"/>
      <c r="AY587">
        <v>45</v>
      </c>
      <c r="AZ587">
        <v>1</v>
      </c>
      <c r="BA587">
        <v>400</v>
      </c>
      <c r="BB587" t="s">
        <v>710</v>
      </c>
      <c r="BC587">
        <v>110</v>
      </c>
      <c r="BD587" s="2">
        <v>0.34</v>
      </c>
      <c r="BE587" t="s">
        <v>930</v>
      </c>
      <c r="BF587" t="s">
        <v>921</v>
      </c>
      <c r="BG587" t="s">
        <v>939</v>
      </c>
      <c r="BH587" s="7">
        <v>15</v>
      </c>
      <c r="BI58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587">
        <v>0</v>
      </c>
      <c r="BK587" t="s">
        <v>733</v>
      </c>
      <c r="BL587" s="11"/>
      <c r="BM587" s="11"/>
      <c r="BN587" s="11">
        <v>32</v>
      </c>
      <c r="BO587">
        <v>0</v>
      </c>
      <c r="BP587" t="s">
        <v>691</v>
      </c>
      <c r="BQ587" t="s">
        <v>693</v>
      </c>
      <c r="BR587" t="s">
        <v>700</v>
      </c>
      <c r="BS587" t="s">
        <v>704</v>
      </c>
      <c r="BT587" t="s">
        <v>705</v>
      </c>
      <c r="BU587" t="s">
        <v>706</v>
      </c>
      <c r="CT587"/>
      <c r="CU587"/>
      <c r="CV587"/>
    </row>
    <row r="588" spans="1:100" x14ac:dyDescent="0.4">
      <c r="A588" s="2" t="s">
        <v>611</v>
      </c>
      <c r="B588" t="str">
        <f>_xlfn.TEXTAFTER(Table1[[#This Row],[VEHIDCODE]],"_")</f>
        <v>Japan_JR_KiHa_E120</v>
      </c>
      <c r="C588" t="s">
        <v>736</v>
      </c>
      <c r="D588" t="s">
        <v>953</v>
      </c>
      <c r="E588">
        <v>2040</v>
      </c>
      <c r="F588" t="b">
        <f>OR(ISNUMBER(SEARCH("wagon_",Table1[[#This Row],[FILENAMES_EXPECTED]])),ISNUMBER(SEARCH("coach_",Table1[[#This Row],[FILENAMES_EXPECTED]])))</f>
        <v>0</v>
      </c>
      <c r="G588" t="str">
        <f>"item_"&amp;Table1[[#This Row],[VEHIDCODE]]</f>
        <v>item_rbd_Japan_JR_KiHa_E120</v>
      </c>
      <c r="H588" t="str">
        <f>"str_"&amp;Table1[[#This Row],[VEHIDCODE]]</f>
        <v>str_rbd_Japan_JR_KiHa_E120</v>
      </c>
      <c r="Z588" s="2" t="b">
        <v>1</v>
      </c>
      <c r="AL588" s="2"/>
      <c r="AM588" s="2" t="b">
        <f>LEN(_xlfn.CONCAT(Table1[[#This Row],[TRACK_TYPE_STANDARD_GAUGE_RAILTYPE_OHLE]:[TRACK_TYPE_MTRO]]))&gt;0</f>
        <v>1</v>
      </c>
      <c r="AN588">
        <v>8</v>
      </c>
      <c r="AO588" t="s">
        <v>18</v>
      </c>
      <c r="AP588">
        <v>0</v>
      </c>
      <c r="AQ588" t="s">
        <v>35</v>
      </c>
      <c r="AR588">
        <v>39</v>
      </c>
      <c r="AS588">
        <v>2008</v>
      </c>
      <c r="AT588">
        <v>8</v>
      </c>
      <c r="AU588" s="2" t="s">
        <v>24</v>
      </c>
      <c r="AV588" t="b">
        <v>1</v>
      </c>
      <c r="AX588" s="2"/>
      <c r="AY588" t="s">
        <v>21</v>
      </c>
      <c r="AZ588">
        <v>1</v>
      </c>
      <c r="BA588">
        <v>444</v>
      </c>
      <c r="BB588" t="s">
        <v>710</v>
      </c>
      <c r="BC588">
        <v>100</v>
      </c>
      <c r="BD588" s="2">
        <v>0.26</v>
      </c>
      <c r="BE588" t="s">
        <v>930</v>
      </c>
      <c r="BF588" t="s">
        <v>921</v>
      </c>
      <c r="BG588" t="s">
        <v>939</v>
      </c>
      <c r="BH588" s="7">
        <v>15</v>
      </c>
      <c r="BI58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588">
        <v>0</v>
      </c>
      <c r="BK588" t="s">
        <v>733</v>
      </c>
      <c r="BL588" s="11"/>
      <c r="BM588" s="11"/>
      <c r="BN588" s="11">
        <v>39</v>
      </c>
      <c r="BO588">
        <v>0</v>
      </c>
      <c r="BP588" t="s">
        <v>691</v>
      </c>
      <c r="BQ588" t="s">
        <v>693</v>
      </c>
      <c r="BR588" t="s">
        <v>700</v>
      </c>
      <c r="BS588" t="s">
        <v>704</v>
      </c>
      <c r="BT588" t="s">
        <v>705</v>
      </c>
      <c r="BU588" t="s">
        <v>706</v>
      </c>
      <c r="CT588"/>
      <c r="CU588"/>
      <c r="CV588"/>
    </row>
    <row r="589" spans="1:100" x14ac:dyDescent="0.4">
      <c r="A589" s="2" t="s">
        <v>612</v>
      </c>
      <c r="B589" t="str">
        <f>_xlfn.TEXTAFTER(Table1[[#This Row],[VEHIDCODE]],"_")</f>
        <v>Chile_EFE_Buscarril</v>
      </c>
      <c r="C589" t="s">
        <v>736</v>
      </c>
      <c r="D589" t="s">
        <v>953</v>
      </c>
      <c r="E589">
        <v>2042</v>
      </c>
      <c r="F589" t="b">
        <f>OR(ISNUMBER(SEARCH("wagon_",Table1[[#This Row],[FILENAMES_EXPECTED]])),ISNUMBER(SEARCH("coach_",Table1[[#This Row],[FILENAMES_EXPECTED]])))</f>
        <v>0</v>
      </c>
      <c r="G589" t="str">
        <f>"item_"&amp;Table1[[#This Row],[VEHIDCODE]]</f>
        <v>item_rbd_Chile_EFE_Buscarril</v>
      </c>
      <c r="H589" t="str">
        <f>"str_"&amp;Table1[[#This Row],[VEHIDCODE]]</f>
        <v>str_rbd_Chile_EFE_Buscarril</v>
      </c>
      <c r="Z589" s="2" t="b">
        <v>1</v>
      </c>
      <c r="AL589" s="2"/>
      <c r="AM589" s="2" t="b">
        <f>LEN(_xlfn.CONCAT(Table1[[#This Row],[TRACK_TYPE_STANDARD_GAUGE_RAILTYPE_OHLE]:[TRACK_TYPE_MTRO]]))&gt;0</f>
        <v>1</v>
      </c>
      <c r="AN589">
        <v>8</v>
      </c>
      <c r="AO589" t="s">
        <v>18</v>
      </c>
      <c r="AP589">
        <v>0</v>
      </c>
      <c r="AQ589" t="s">
        <v>35</v>
      </c>
      <c r="AR589">
        <v>80</v>
      </c>
      <c r="AS589">
        <v>1961</v>
      </c>
      <c r="AT589">
        <v>8</v>
      </c>
      <c r="AU589" s="2" t="s">
        <v>24</v>
      </c>
      <c r="AV589" t="b">
        <v>1</v>
      </c>
      <c r="AX589" s="2"/>
      <c r="AY589">
        <v>45</v>
      </c>
      <c r="AZ589">
        <v>1</v>
      </c>
      <c r="BA589">
        <v>180</v>
      </c>
      <c r="BB589" t="s">
        <v>710</v>
      </c>
      <c r="BC589">
        <v>60</v>
      </c>
      <c r="BD589" s="2">
        <v>0.22</v>
      </c>
      <c r="BE589" t="s">
        <v>929</v>
      </c>
      <c r="BF589" t="s">
        <v>921</v>
      </c>
      <c r="BG589" t="s">
        <v>939</v>
      </c>
      <c r="BH589" s="7">
        <v>15</v>
      </c>
      <c r="BI58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589">
        <v>0</v>
      </c>
      <c r="BK589" t="s">
        <v>733</v>
      </c>
      <c r="BL589" s="11"/>
      <c r="BM589" s="11"/>
      <c r="BN589" s="11">
        <v>30</v>
      </c>
      <c r="BO589">
        <v>0</v>
      </c>
      <c r="BP589" t="s">
        <v>691</v>
      </c>
      <c r="BQ589" t="s">
        <v>693</v>
      </c>
      <c r="BR589" t="s">
        <v>700</v>
      </c>
      <c r="BS589" t="s">
        <v>704</v>
      </c>
      <c r="BT589" t="s">
        <v>705</v>
      </c>
      <c r="BU589" t="s">
        <v>706</v>
      </c>
      <c r="CT589"/>
      <c r="CU589"/>
      <c r="CV589"/>
    </row>
    <row r="590" spans="1:100" x14ac:dyDescent="0.4">
      <c r="A590" s="2" t="s">
        <v>613</v>
      </c>
      <c r="B590" t="str">
        <f>_xlfn.TEXTAFTER(Table1[[#This Row],[VEHIDCODE]],"_")</f>
        <v>Argentina_FCPBA_M_Railcar</v>
      </c>
      <c r="C590" t="s">
        <v>736</v>
      </c>
      <c r="D590" t="s">
        <v>953</v>
      </c>
      <c r="E590">
        <v>2043</v>
      </c>
      <c r="F590" t="b">
        <f>OR(ISNUMBER(SEARCH("wagon_",Table1[[#This Row],[FILENAMES_EXPECTED]])),ISNUMBER(SEARCH("coach_",Table1[[#This Row],[FILENAMES_EXPECTED]])))</f>
        <v>0</v>
      </c>
      <c r="G590" t="str">
        <f>"item_"&amp;Table1[[#This Row],[VEHIDCODE]]</f>
        <v>item_rbd_Argentina_FCPBA_M_Railcar</v>
      </c>
      <c r="H590" t="str">
        <f>"str_"&amp;Table1[[#This Row],[VEHIDCODE]]</f>
        <v>str_rbd_Argentina_FCPBA_M_Railcar</v>
      </c>
      <c r="Z590" s="2" t="b">
        <v>1</v>
      </c>
      <c r="AL590" s="2"/>
      <c r="AM590" s="2" t="b">
        <f>LEN(_xlfn.CONCAT(Table1[[#This Row],[TRACK_TYPE_STANDARD_GAUGE_RAILTYPE_OHLE]:[TRACK_TYPE_MTRO]]))&gt;0</f>
        <v>1</v>
      </c>
      <c r="AN590">
        <v>7</v>
      </c>
      <c r="AO590" t="s">
        <v>18</v>
      </c>
      <c r="AP590">
        <v>0</v>
      </c>
      <c r="AQ590" t="s">
        <v>35</v>
      </c>
      <c r="AR590">
        <v>62</v>
      </c>
      <c r="AS590">
        <v>1935</v>
      </c>
      <c r="AT590">
        <v>7</v>
      </c>
      <c r="AU590" s="2" t="s">
        <v>24</v>
      </c>
      <c r="AV590" t="b">
        <v>1</v>
      </c>
      <c r="AX590" s="2"/>
      <c r="AY590">
        <v>45</v>
      </c>
      <c r="AZ590">
        <v>1</v>
      </c>
      <c r="BA590">
        <v>290</v>
      </c>
      <c r="BB590" t="s">
        <v>710</v>
      </c>
      <c r="BC590">
        <v>80</v>
      </c>
      <c r="BD590" s="2">
        <v>0.14000000000000001</v>
      </c>
      <c r="BE590" t="s">
        <v>929</v>
      </c>
      <c r="BF590" t="s">
        <v>921</v>
      </c>
      <c r="BG590" t="s">
        <v>939</v>
      </c>
      <c r="BH590" s="7">
        <v>15</v>
      </c>
      <c r="BI59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590">
        <v>0</v>
      </c>
      <c r="BK590" t="s">
        <v>733</v>
      </c>
      <c r="BL590" s="11"/>
      <c r="BM590" s="11"/>
      <c r="BN590" s="11">
        <v>36</v>
      </c>
      <c r="BO590">
        <v>0</v>
      </c>
      <c r="BP590" t="s">
        <v>691</v>
      </c>
      <c r="BQ590" t="s">
        <v>693</v>
      </c>
      <c r="BR590" t="s">
        <v>700</v>
      </c>
      <c r="BS590" t="s">
        <v>704</v>
      </c>
      <c r="BT590" t="s">
        <v>705</v>
      </c>
      <c r="BU590" t="s">
        <v>706</v>
      </c>
      <c r="CT590"/>
      <c r="CU590"/>
      <c r="CV590"/>
    </row>
    <row r="591" spans="1:100" x14ac:dyDescent="0.4">
      <c r="A591" s="2" t="s">
        <v>614</v>
      </c>
      <c r="B591" t="str">
        <f>_xlfn.TEXTAFTER(Table1[[#This Row],[VEHIDCODE]],"_")</f>
        <v>Eritrea_Eritrean_Railway_A62_70_Littorina</v>
      </c>
      <c r="C591" t="s">
        <v>736</v>
      </c>
      <c r="D591" t="s">
        <v>953</v>
      </c>
      <c r="E591">
        <v>2045</v>
      </c>
      <c r="F591" t="b">
        <f>OR(ISNUMBER(SEARCH("wagon_",Table1[[#This Row],[FILENAMES_EXPECTED]])),ISNUMBER(SEARCH("coach_",Table1[[#This Row],[FILENAMES_EXPECTED]])))</f>
        <v>0</v>
      </c>
      <c r="G591" t="str">
        <f>"item_"&amp;Table1[[#This Row],[VEHIDCODE]]</f>
        <v>item_rbd_Eritrea_Eritrean_Railway_A62_70_Littorina</v>
      </c>
      <c r="H591" t="str">
        <f>"str_"&amp;Table1[[#This Row],[VEHIDCODE]]</f>
        <v>str_rbd_Eritrea_Eritrean_Railway_A62_70_Littorina</v>
      </c>
      <c r="Z591" s="2" t="b">
        <v>1</v>
      </c>
      <c r="AL591" s="2"/>
      <c r="AM591" s="2" t="b">
        <f>LEN(_xlfn.CONCAT(Table1[[#This Row],[TRACK_TYPE_STANDARD_GAUGE_RAILTYPE_OHLE]:[TRACK_TYPE_MTRO]]))&gt;0</f>
        <v>1</v>
      </c>
      <c r="AN591">
        <v>5</v>
      </c>
      <c r="AO591" t="s">
        <v>18</v>
      </c>
      <c r="AP591">
        <v>0</v>
      </c>
      <c r="AQ591" t="s">
        <v>35</v>
      </c>
      <c r="AR591">
        <v>32</v>
      </c>
      <c r="AS591">
        <v>1937</v>
      </c>
      <c r="AT591">
        <v>5</v>
      </c>
      <c r="AU591" s="2" t="s">
        <v>24</v>
      </c>
      <c r="AV591" t="b">
        <v>1</v>
      </c>
      <c r="AX591" s="2"/>
      <c r="AY591">
        <v>45</v>
      </c>
      <c r="AZ591">
        <v>1</v>
      </c>
      <c r="BA591">
        <v>227</v>
      </c>
      <c r="BB591" t="s">
        <v>710</v>
      </c>
      <c r="BC591">
        <v>68</v>
      </c>
      <c r="BD591" s="2">
        <v>0.26</v>
      </c>
      <c r="BE591" t="s">
        <v>925</v>
      </c>
      <c r="BF591" t="s">
        <v>921</v>
      </c>
      <c r="BG591" t="s">
        <v>939</v>
      </c>
      <c r="BH591" s="7">
        <v>15</v>
      </c>
      <c r="BI59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591">
        <v>0</v>
      </c>
      <c r="BK591" t="s">
        <v>733</v>
      </c>
      <c r="BL591" s="11"/>
      <c r="BM591" s="11"/>
      <c r="BN591" s="11">
        <v>18</v>
      </c>
      <c r="BO591">
        <v>0</v>
      </c>
      <c r="BP591" t="s">
        <v>691</v>
      </c>
      <c r="BQ591" t="s">
        <v>693</v>
      </c>
      <c r="BR591" t="s">
        <v>700</v>
      </c>
      <c r="BS591" t="s">
        <v>704</v>
      </c>
      <c r="BT591" t="s">
        <v>705</v>
      </c>
      <c r="BU591" t="s">
        <v>706</v>
      </c>
      <c r="CT591"/>
      <c r="CU591"/>
      <c r="CV591"/>
    </row>
    <row r="592" spans="1:100" x14ac:dyDescent="0.4">
      <c r="A592" s="2" t="s">
        <v>615</v>
      </c>
      <c r="B592" t="str">
        <f>_xlfn.TEXTAFTER(Table1[[#This Row],[VEHIDCODE]],"_")</f>
        <v>Switzerland_AB_CFe_3_3</v>
      </c>
      <c r="C592" t="s">
        <v>737</v>
      </c>
      <c r="D592" t="s">
        <v>954</v>
      </c>
      <c r="E592">
        <v>3000</v>
      </c>
      <c r="F592" t="b">
        <f>OR(ISNUMBER(SEARCH("wagon_",Table1[[#This Row],[FILENAMES_EXPECTED]])),ISNUMBER(SEARCH("coach_",Table1[[#This Row],[FILENAMES_EXPECTED]])))</f>
        <v>0</v>
      </c>
      <c r="G592" t="str">
        <f>"item_"&amp;Table1[[#This Row],[VEHIDCODE]]</f>
        <v>item_rbe_Switzerland_AB_CFe_3_3</v>
      </c>
      <c r="H592" t="str">
        <f>"str_"&amp;Table1[[#This Row],[VEHIDCODE]]</f>
        <v>str_rbe_Switzerland_AB_CFe_3_3</v>
      </c>
      <c r="V592" t="b">
        <v>1</v>
      </c>
      <c r="AL592" s="2"/>
      <c r="AM592" s="2" t="b">
        <f>LEN(_xlfn.CONCAT(Table1[[#This Row],[TRACK_TYPE_STANDARD_GAUGE_RAILTYPE_OHLE]:[TRACK_TYPE_MTRO]]))&gt;0</f>
        <v>1</v>
      </c>
      <c r="AN592">
        <v>6</v>
      </c>
      <c r="AO592" t="s">
        <v>18</v>
      </c>
      <c r="AP592">
        <v>0</v>
      </c>
      <c r="AQ592" t="s">
        <v>74</v>
      </c>
      <c r="AR592">
        <v>24</v>
      </c>
      <c r="AS592">
        <v>1911</v>
      </c>
      <c r="AT592">
        <v>6</v>
      </c>
      <c r="AU592" s="2" t="s">
        <v>24</v>
      </c>
      <c r="AV592" t="b">
        <v>1</v>
      </c>
      <c r="AX592" s="2"/>
      <c r="AY592">
        <v>45</v>
      </c>
      <c r="AZ592">
        <v>1</v>
      </c>
      <c r="BA592">
        <v>195</v>
      </c>
      <c r="BB592" t="s">
        <v>708</v>
      </c>
      <c r="BC592">
        <v>35</v>
      </c>
      <c r="BD592" s="2">
        <v>0.15</v>
      </c>
      <c r="BE592" t="s">
        <v>922</v>
      </c>
      <c r="BF592" t="s">
        <v>921</v>
      </c>
      <c r="BG592" t="s">
        <v>939</v>
      </c>
      <c r="BH592" s="7">
        <v>15</v>
      </c>
      <c r="BI59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592">
        <v>-3</v>
      </c>
      <c r="BK592" t="s">
        <v>733</v>
      </c>
      <c r="BL592" s="11"/>
      <c r="BM592" s="11"/>
      <c r="BN592" s="11">
        <v>24</v>
      </c>
      <c r="BO592">
        <v>0</v>
      </c>
      <c r="BP592" t="s">
        <v>691</v>
      </c>
      <c r="BQ592" t="s">
        <v>693</v>
      </c>
      <c r="BR592" t="s">
        <v>700</v>
      </c>
      <c r="BS592" t="s">
        <v>704</v>
      </c>
      <c r="BT592" t="s">
        <v>705</v>
      </c>
      <c r="BU592" t="s">
        <v>706</v>
      </c>
      <c r="CT592"/>
      <c r="CU592"/>
      <c r="CV592"/>
    </row>
    <row r="593" spans="1:100" x14ac:dyDescent="0.4">
      <c r="A593" s="2" t="s">
        <v>616</v>
      </c>
      <c r="B593" t="str">
        <f>_xlfn.TEXTAFTER(Table1[[#This Row],[VEHIDCODE]],"_")</f>
        <v>Switzerland_TPC_BVB_Be_2_2</v>
      </c>
      <c r="C593" t="s">
        <v>737</v>
      </c>
      <c r="D593" t="s">
        <v>954</v>
      </c>
      <c r="E593">
        <v>3006</v>
      </c>
      <c r="F593" t="b">
        <f>OR(ISNUMBER(SEARCH("wagon_",Table1[[#This Row],[FILENAMES_EXPECTED]])),ISNUMBER(SEARCH("coach_",Table1[[#This Row],[FILENAMES_EXPECTED]])))</f>
        <v>0</v>
      </c>
      <c r="G593" t="str">
        <f>"item_"&amp;Table1[[#This Row],[VEHIDCODE]]</f>
        <v>item_rbe_Switzerland_TPC_BVB_Be_2_2</v>
      </c>
      <c r="H593" t="str">
        <f>"str_"&amp;Table1[[#This Row],[VEHIDCODE]]</f>
        <v>str_rbe_Switzerland_TPC_BVB_Be_2_2</v>
      </c>
      <c r="V593" t="b">
        <v>1</v>
      </c>
      <c r="AL593" s="2"/>
      <c r="AM593" s="2" t="b">
        <f>LEN(_xlfn.CONCAT(Table1[[#This Row],[TRACK_TYPE_STANDARD_GAUGE_RAILTYPE_OHLE]:[TRACK_TYPE_MTRO]]))&gt;0</f>
        <v>1</v>
      </c>
      <c r="AN593">
        <v>4</v>
      </c>
      <c r="AO593" t="s">
        <v>18</v>
      </c>
      <c r="AP593">
        <v>0</v>
      </c>
      <c r="AQ593" t="s">
        <v>74</v>
      </c>
      <c r="AR593">
        <v>20</v>
      </c>
      <c r="AS593">
        <v>1907</v>
      </c>
      <c r="AT593">
        <v>4</v>
      </c>
      <c r="AU593" s="2" t="s">
        <v>24</v>
      </c>
      <c r="AV593" t="b">
        <v>1</v>
      </c>
      <c r="AX593" s="2"/>
      <c r="AY593">
        <v>45</v>
      </c>
      <c r="AZ593">
        <v>1</v>
      </c>
      <c r="BA593">
        <v>144</v>
      </c>
      <c r="BB593" t="s">
        <v>708</v>
      </c>
      <c r="BC593">
        <v>37</v>
      </c>
      <c r="BD593" s="2">
        <v>0.33</v>
      </c>
      <c r="BE593" t="s">
        <v>922</v>
      </c>
      <c r="BF593" t="s">
        <v>921</v>
      </c>
      <c r="BG593" t="s">
        <v>939</v>
      </c>
      <c r="BH593" s="7">
        <v>15</v>
      </c>
      <c r="BI59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593">
        <v>0</v>
      </c>
      <c r="BK593" t="s">
        <v>733</v>
      </c>
      <c r="BL593" s="11"/>
      <c r="BM593" s="11"/>
      <c r="BN593" s="11">
        <v>15</v>
      </c>
      <c r="BO593">
        <v>0</v>
      </c>
      <c r="BP593" t="s">
        <v>691</v>
      </c>
      <c r="BQ593" t="s">
        <v>693</v>
      </c>
      <c r="BR593" t="s">
        <v>700</v>
      </c>
      <c r="BS593" t="s">
        <v>704</v>
      </c>
      <c r="BT593" t="s">
        <v>705</v>
      </c>
      <c r="BU593" t="s">
        <v>706</v>
      </c>
      <c r="CT593"/>
      <c r="CU593"/>
      <c r="CV593"/>
    </row>
    <row r="594" spans="1:100" x14ac:dyDescent="0.4">
      <c r="A594" s="2" t="s">
        <v>617</v>
      </c>
      <c r="B594" t="str">
        <f>_xlfn.TEXTAFTER(Table1[[#This Row],[VEHIDCODE]],"_")</f>
        <v>Switzerland_MVR_Beh_2_4</v>
      </c>
      <c r="C594" t="s">
        <v>737</v>
      </c>
      <c r="D594" t="s">
        <v>954</v>
      </c>
      <c r="E594">
        <v>3016</v>
      </c>
      <c r="F594" t="b">
        <f>OR(ISNUMBER(SEARCH("wagon_",Table1[[#This Row],[FILENAMES_EXPECTED]])),ISNUMBER(SEARCH("coach_",Table1[[#This Row],[FILENAMES_EXPECTED]])))</f>
        <v>0</v>
      </c>
      <c r="G594" t="str">
        <f>"item_"&amp;Table1[[#This Row],[VEHIDCODE]]</f>
        <v>item_rbe_Switzerland_MVR_Beh_2_4</v>
      </c>
      <c r="H594" t="str">
        <f>"str_"&amp;Table1[[#This Row],[VEHIDCODE]]</f>
        <v>str_rbe_Switzerland_MVR_Beh_2_4</v>
      </c>
      <c r="V594" t="b">
        <v>1</v>
      </c>
      <c r="AL594" s="2"/>
      <c r="AM594" s="2" t="b">
        <f>LEN(_xlfn.CONCAT(Table1[[#This Row],[TRACK_TYPE_STANDARD_GAUGE_RAILTYPE_OHLE]:[TRACK_TYPE_MTRO]]))&gt;0</f>
        <v>1</v>
      </c>
      <c r="AN594">
        <v>8</v>
      </c>
      <c r="AO594" t="s">
        <v>18</v>
      </c>
      <c r="AP594">
        <v>0</v>
      </c>
      <c r="AQ594" t="s">
        <v>74</v>
      </c>
      <c r="AR594">
        <v>40</v>
      </c>
      <c r="AS594">
        <v>1998</v>
      </c>
      <c r="AT594">
        <v>8</v>
      </c>
      <c r="AU594" s="2" t="s">
        <v>24</v>
      </c>
      <c r="AV594" t="b">
        <v>1</v>
      </c>
      <c r="AX594" s="2"/>
      <c r="AY594">
        <v>45</v>
      </c>
      <c r="AZ594">
        <v>1</v>
      </c>
      <c r="BA594">
        <v>752</v>
      </c>
      <c r="BB594" t="s">
        <v>708</v>
      </c>
      <c r="BC594">
        <v>50</v>
      </c>
      <c r="BD594" s="2">
        <v>0.27</v>
      </c>
      <c r="BE594" t="s">
        <v>922</v>
      </c>
      <c r="BF594" t="s">
        <v>921</v>
      </c>
      <c r="BG594" t="s">
        <v>939</v>
      </c>
      <c r="BH594" s="7">
        <v>15</v>
      </c>
      <c r="BI59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594">
        <v>0</v>
      </c>
      <c r="BK594" t="s">
        <v>733</v>
      </c>
      <c r="BL594" s="11"/>
      <c r="BM594" s="11"/>
      <c r="BN594" s="11">
        <v>32</v>
      </c>
      <c r="BO594">
        <v>0</v>
      </c>
      <c r="BP594" t="s">
        <v>691</v>
      </c>
      <c r="BQ594" t="s">
        <v>693</v>
      </c>
      <c r="BR594" t="s">
        <v>700</v>
      </c>
      <c r="BS594" t="s">
        <v>704</v>
      </c>
      <c r="BT594" t="s">
        <v>705</v>
      </c>
      <c r="BU594" t="s">
        <v>706</v>
      </c>
      <c r="CT594"/>
      <c r="CU594"/>
      <c r="CV594"/>
    </row>
    <row r="595" spans="1:100" x14ac:dyDescent="0.4">
      <c r="A595" s="2" t="s">
        <v>618</v>
      </c>
      <c r="B595" t="str">
        <f>_xlfn.TEXTAFTER(Table1[[#This Row],[VEHIDCODE]],"_")</f>
        <v>Spain_Ferrocarril_de_Soller_1_3</v>
      </c>
      <c r="C595" t="s">
        <v>737</v>
      </c>
      <c r="D595" t="s">
        <v>954</v>
      </c>
      <c r="E595">
        <v>3007</v>
      </c>
      <c r="F595" t="b">
        <f>OR(ISNUMBER(SEARCH("wagon_",Table1[[#This Row],[FILENAMES_EXPECTED]])),ISNUMBER(SEARCH("coach_",Table1[[#This Row],[FILENAMES_EXPECTED]])))</f>
        <v>0</v>
      </c>
      <c r="G595" t="str">
        <f>"item_"&amp;Table1[[#This Row],[VEHIDCODE]]</f>
        <v>item_rbe_Spain_Ferrocarril_de_Soller_1_3</v>
      </c>
      <c r="H595" t="str">
        <f>"str_"&amp;Table1[[#This Row],[VEHIDCODE]]</f>
        <v>str_rbe_Spain_Ferrocarril_de_Soller_1_3</v>
      </c>
      <c r="V595" t="b">
        <v>1</v>
      </c>
      <c r="AL595" s="2"/>
      <c r="AM595" s="2" t="b">
        <f>LEN(_xlfn.CONCAT(Table1[[#This Row],[TRACK_TYPE_STANDARD_GAUGE_RAILTYPE_OHLE]:[TRACK_TYPE_MTRO]]))&gt;0</f>
        <v>1</v>
      </c>
      <c r="AN595">
        <v>6</v>
      </c>
      <c r="AO595" t="s">
        <v>18</v>
      </c>
      <c r="AP595">
        <v>0</v>
      </c>
      <c r="AQ595" t="s">
        <v>74</v>
      </c>
      <c r="AR595">
        <v>44</v>
      </c>
      <c r="AS595">
        <v>1929</v>
      </c>
      <c r="AT595">
        <v>6</v>
      </c>
      <c r="AU595" s="2" t="s">
        <v>24</v>
      </c>
      <c r="AV595" t="b">
        <v>1</v>
      </c>
      <c r="AX595" s="2"/>
      <c r="AY595">
        <v>45</v>
      </c>
      <c r="AZ595">
        <v>1</v>
      </c>
      <c r="BA595">
        <v>350</v>
      </c>
      <c r="BB595" t="s">
        <v>708</v>
      </c>
      <c r="BC595">
        <v>60</v>
      </c>
      <c r="BD595" s="2">
        <v>0.05</v>
      </c>
      <c r="BE595" t="s">
        <v>923</v>
      </c>
      <c r="BF595" t="s">
        <v>921</v>
      </c>
      <c r="BG595" t="s">
        <v>939</v>
      </c>
      <c r="BH595" s="7">
        <v>15</v>
      </c>
      <c r="BI59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595">
        <v>0</v>
      </c>
      <c r="BK595" t="s">
        <v>733</v>
      </c>
      <c r="BL595" s="11"/>
      <c r="BM595" s="11"/>
      <c r="BN595" s="11">
        <v>38</v>
      </c>
      <c r="BO595">
        <v>0</v>
      </c>
      <c r="BP595" t="s">
        <v>691</v>
      </c>
      <c r="BQ595" t="s">
        <v>693</v>
      </c>
      <c r="BR595" t="s">
        <v>700</v>
      </c>
      <c r="BS595" t="s">
        <v>704</v>
      </c>
      <c r="BT595" t="s">
        <v>705</v>
      </c>
      <c r="BU595" t="s">
        <v>706</v>
      </c>
      <c r="CT595"/>
      <c r="CU595"/>
      <c r="CV595"/>
    </row>
    <row r="596" spans="1:100" x14ac:dyDescent="0.4">
      <c r="A596" s="2" t="s">
        <v>619</v>
      </c>
      <c r="B596" t="str">
        <f>_xlfn.TEXTAFTER(Table1[[#This Row],[VEHIDCODE]],"_")</f>
        <v>Japan_Choshi_DeHa_1000</v>
      </c>
      <c r="C596" t="s">
        <v>737</v>
      </c>
      <c r="D596" t="s">
        <v>954</v>
      </c>
      <c r="E596">
        <v>3011</v>
      </c>
      <c r="F596" t="b">
        <f>OR(ISNUMBER(SEARCH("wagon_",Table1[[#This Row],[FILENAMES_EXPECTED]])),ISNUMBER(SEARCH("coach_",Table1[[#This Row],[FILENAMES_EXPECTED]])))</f>
        <v>0</v>
      </c>
      <c r="G596" t="str">
        <f>"item_"&amp;Table1[[#This Row],[VEHIDCODE]]</f>
        <v>item_rbe_Japan_Choshi_DeHa_1000</v>
      </c>
      <c r="H596" t="str">
        <f>"str_"&amp;Table1[[#This Row],[VEHIDCODE]]</f>
        <v>str_rbe_Japan_Choshi_DeHa_1000</v>
      </c>
      <c r="V596" t="b">
        <v>1</v>
      </c>
      <c r="AL596" s="2"/>
      <c r="AM596" s="2" t="b">
        <f>LEN(_xlfn.CONCAT(Table1[[#This Row],[TRACK_TYPE_STANDARD_GAUGE_RAILTYPE_OHLE]:[TRACK_TYPE_MTRO]]))&gt;0</f>
        <v>1</v>
      </c>
      <c r="AN596">
        <v>7</v>
      </c>
      <c r="AO596" t="s">
        <v>18</v>
      </c>
      <c r="AP596">
        <v>0</v>
      </c>
      <c r="AQ596" t="s">
        <v>74</v>
      </c>
      <c r="AR596">
        <v>34</v>
      </c>
      <c r="AS596">
        <v>1960</v>
      </c>
      <c r="AT596">
        <v>7</v>
      </c>
      <c r="AU596" s="2" t="s">
        <v>24</v>
      </c>
      <c r="AV596" t="b">
        <v>1</v>
      </c>
      <c r="AX596" s="2"/>
      <c r="AY596">
        <v>45</v>
      </c>
      <c r="AZ596">
        <v>1</v>
      </c>
      <c r="BA596">
        <v>402</v>
      </c>
      <c r="BB596" t="s">
        <v>708</v>
      </c>
      <c r="BC596">
        <v>40</v>
      </c>
      <c r="BD596" s="2">
        <v>0.18</v>
      </c>
      <c r="BE596" t="s">
        <v>930</v>
      </c>
      <c r="BF596" t="s">
        <v>921</v>
      </c>
      <c r="BG596" t="s">
        <v>939</v>
      </c>
      <c r="BH596" s="7">
        <v>15</v>
      </c>
      <c r="BI59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596">
        <v>0</v>
      </c>
      <c r="BK596" t="s">
        <v>733</v>
      </c>
      <c r="BL596" s="11"/>
      <c r="BM596" s="11"/>
      <c r="BN596" s="11">
        <v>31</v>
      </c>
      <c r="BO596">
        <v>0</v>
      </c>
      <c r="BP596" t="s">
        <v>691</v>
      </c>
      <c r="BQ596" t="s">
        <v>693</v>
      </c>
      <c r="BR596" t="s">
        <v>700</v>
      </c>
      <c r="BS596" t="s">
        <v>704</v>
      </c>
      <c r="BT596" t="s">
        <v>705</v>
      </c>
      <c r="BU596" t="s">
        <v>706</v>
      </c>
      <c r="CT596"/>
      <c r="CU596"/>
      <c r="CV596"/>
    </row>
    <row r="597" spans="1:100" x14ac:dyDescent="0.4">
      <c r="A597" s="2" t="s">
        <v>620</v>
      </c>
      <c r="B597" t="str">
        <f>_xlfn.TEXTAFTER(Table1[[#This Row],[VEHIDCODE]],"_")</f>
        <v>Switzerland_RhB_G_3_4</v>
      </c>
      <c r="C597" t="s">
        <v>738</v>
      </c>
      <c r="D597" t="s">
        <v>956</v>
      </c>
      <c r="E597">
        <v>4049</v>
      </c>
      <c r="F597" t="b">
        <f>OR(ISNUMBER(SEARCH("wagon_",Table1[[#This Row],[FILENAMES_EXPECTED]])),ISNUMBER(SEARCH("coach_",Table1[[#This Row],[FILENAMES_EXPECTED]])))</f>
        <v>0</v>
      </c>
      <c r="G597" t="str">
        <f>"item_"&amp;Table1[[#This Row],[VEHIDCODE]]</f>
        <v>item_steam_Switzerland_RhB_G_3_4</v>
      </c>
      <c r="H597" t="str">
        <f>"str_"&amp;Table1[[#This Row],[VEHIDCODE]]</f>
        <v>str_steam_Switzerland_RhB_G_3_4</v>
      </c>
      <c r="Z597" s="2" t="b">
        <v>1</v>
      </c>
      <c r="AL597" s="2"/>
      <c r="AM597" s="2" t="b">
        <f>LEN(_xlfn.CONCAT(Table1[[#This Row],[TRACK_TYPE_STANDARD_GAUGE_RAILTYPE_OHLE]:[TRACK_TYPE_MTRO]]))&gt;0</f>
        <v>1</v>
      </c>
      <c r="AN597">
        <v>6</v>
      </c>
      <c r="AO597" t="s">
        <v>18</v>
      </c>
      <c r="AP597">
        <v>0</v>
      </c>
      <c r="AQ597" t="s">
        <v>23</v>
      </c>
      <c r="AR597">
        <v>0</v>
      </c>
      <c r="AS597">
        <v>1889</v>
      </c>
      <c r="AT597">
        <v>6</v>
      </c>
      <c r="AU597" s="2" t="s">
        <v>20</v>
      </c>
      <c r="AV597" t="b">
        <v>1</v>
      </c>
      <c r="AX597" s="2"/>
      <c r="AY597">
        <v>45</v>
      </c>
      <c r="AZ597">
        <v>1</v>
      </c>
      <c r="BA597">
        <v>247</v>
      </c>
      <c r="BB597" t="s">
        <v>709</v>
      </c>
      <c r="BC597">
        <v>45</v>
      </c>
      <c r="BD597" s="2">
        <v>0.19</v>
      </c>
      <c r="BE597" t="s">
        <v>922</v>
      </c>
      <c r="BF597" t="s">
        <v>921</v>
      </c>
      <c r="BG597" t="s">
        <v>939</v>
      </c>
      <c r="BH597" s="7">
        <v>40</v>
      </c>
      <c r="BI59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597">
        <v>0</v>
      </c>
      <c r="BK597" t="s">
        <v>733</v>
      </c>
      <c r="BL597" s="11"/>
      <c r="BM597" s="11"/>
      <c r="BN597" s="11">
        <v>30</v>
      </c>
      <c r="BO597">
        <v>0</v>
      </c>
      <c r="BP597" t="s">
        <v>691</v>
      </c>
      <c r="BQ597" t="s">
        <v>693</v>
      </c>
      <c r="BR597" t="s">
        <v>700</v>
      </c>
      <c r="BS597" t="s">
        <v>704</v>
      </c>
      <c r="BT597" t="s">
        <v>705</v>
      </c>
      <c r="BU597" t="s">
        <v>706</v>
      </c>
      <c r="CT597"/>
      <c r="CU597"/>
      <c r="CV597"/>
    </row>
    <row r="598" spans="1:100" x14ac:dyDescent="0.4">
      <c r="A598" s="2" t="s">
        <v>621</v>
      </c>
      <c r="B598" t="str">
        <f>_xlfn.TEXTAFTER(Table1[[#This Row],[VEHIDCODE]],"_")</f>
        <v>Japan_JNR_Class_E10</v>
      </c>
      <c r="C598" t="s">
        <v>738</v>
      </c>
      <c r="D598" t="s">
        <v>956</v>
      </c>
      <c r="E598">
        <v>4067</v>
      </c>
      <c r="F598" t="b">
        <f>OR(ISNUMBER(SEARCH("wagon_",Table1[[#This Row],[FILENAMES_EXPECTED]])),ISNUMBER(SEARCH("coach_",Table1[[#This Row],[FILENAMES_EXPECTED]])))</f>
        <v>0</v>
      </c>
      <c r="G598" t="str">
        <f>"item_"&amp;Table1[[#This Row],[VEHIDCODE]]</f>
        <v>item_steam_Japan_JNR_Class_E10</v>
      </c>
      <c r="H598" t="str">
        <f>"str_"&amp;Table1[[#This Row],[VEHIDCODE]]</f>
        <v>str_steam_Japan_JNR_Class_E10</v>
      </c>
      <c r="Z598" s="2" t="b">
        <v>1</v>
      </c>
      <c r="AL598" s="2"/>
      <c r="AM598" s="2" t="b">
        <f>LEN(_xlfn.CONCAT(Table1[[#This Row],[TRACK_TYPE_STANDARD_GAUGE_RAILTYPE_OHLE]:[TRACK_TYPE_MTRO]]))&gt;0</f>
        <v>1</v>
      </c>
      <c r="AN598">
        <v>7</v>
      </c>
      <c r="AO598" t="s">
        <v>18</v>
      </c>
      <c r="AP598">
        <v>0</v>
      </c>
      <c r="AQ598" t="s">
        <v>23</v>
      </c>
      <c r="AR598">
        <v>0</v>
      </c>
      <c r="AS598">
        <v>1948</v>
      </c>
      <c r="AT598">
        <v>7</v>
      </c>
      <c r="AU598" s="2" t="s">
        <v>20</v>
      </c>
      <c r="AV598" t="b">
        <v>1</v>
      </c>
      <c r="AX598" s="2"/>
      <c r="AY598">
        <v>45</v>
      </c>
      <c r="AZ598">
        <v>1</v>
      </c>
      <c r="BA598">
        <v>1300</v>
      </c>
      <c r="BB598" t="s">
        <v>709</v>
      </c>
      <c r="BC598">
        <v>65</v>
      </c>
      <c r="BD598" s="2">
        <v>0.21</v>
      </c>
      <c r="BE598" t="s">
        <v>930</v>
      </c>
      <c r="BF598" t="s">
        <v>921</v>
      </c>
      <c r="BG598" t="s">
        <v>939</v>
      </c>
      <c r="BH598" s="7">
        <v>40</v>
      </c>
      <c r="BI59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598">
        <v>0</v>
      </c>
      <c r="BK598" t="s">
        <v>733</v>
      </c>
      <c r="BL598" s="11"/>
      <c r="BM598" s="11"/>
      <c r="BN598" s="11">
        <v>102</v>
      </c>
      <c r="BO598">
        <v>0</v>
      </c>
      <c r="BP598" t="s">
        <v>691</v>
      </c>
      <c r="BQ598" t="s">
        <v>693</v>
      </c>
      <c r="BR598" t="s">
        <v>700</v>
      </c>
      <c r="BS598" t="s">
        <v>704</v>
      </c>
      <c r="BT598" t="s">
        <v>705</v>
      </c>
      <c r="BU598" t="s">
        <v>706</v>
      </c>
      <c r="CT598"/>
      <c r="CU598"/>
      <c r="CV598"/>
    </row>
    <row r="599" spans="1:100" x14ac:dyDescent="0.4">
      <c r="A599" s="2" t="s">
        <v>622</v>
      </c>
      <c r="B599" t="str">
        <f>_xlfn.TEXTAFTER(Table1[[#This Row],[VEHIDCODE]],"_")</f>
        <v>Japan_JNR_7100</v>
      </c>
      <c r="C599" t="s">
        <v>738</v>
      </c>
      <c r="D599" t="s">
        <v>956</v>
      </c>
      <c r="E599">
        <v>4075</v>
      </c>
      <c r="F599" t="b">
        <f>OR(ISNUMBER(SEARCH("wagon_",Table1[[#This Row],[FILENAMES_EXPECTED]])),ISNUMBER(SEARCH("coach_",Table1[[#This Row],[FILENAMES_EXPECTED]])))</f>
        <v>0</v>
      </c>
      <c r="G599" t="str">
        <f>"item_"&amp;Table1[[#This Row],[VEHIDCODE]]</f>
        <v>item_steam_Japan_JNR_7100</v>
      </c>
      <c r="H599" t="str">
        <f>"str_"&amp;Table1[[#This Row],[VEHIDCODE]]</f>
        <v>str_steam_Japan_JNR_7100</v>
      </c>
      <c r="Z599" s="2" t="b">
        <v>1</v>
      </c>
      <c r="AL599" s="2"/>
      <c r="AM599" s="2" t="b">
        <f>LEN(_xlfn.CONCAT(Table1[[#This Row],[TRACK_TYPE_STANDARD_GAUGE_RAILTYPE_OHLE]:[TRACK_TYPE_MTRO]]))&gt;0</f>
        <v>1</v>
      </c>
      <c r="AN599">
        <v>6</v>
      </c>
      <c r="AO599" t="s">
        <v>20</v>
      </c>
      <c r="AP599">
        <v>0</v>
      </c>
      <c r="AQ599" t="s">
        <v>23</v>
      </c>
      <c r="AR599">
        <v>0</v>
      </c>
      <c r="AS599">
        <v>1880</v>
      </c>
      <c r="AT599">
        <v>5</v>
      </c>
      <c r="AU599" s="2" t="s">
        <v>24</v>
      </c>
      <c r="AV599" t="b">
        <v>1</v>
      </c>
      <c r="AX599" s="2"/>
      <c r="AY599">
        <v>45</v>
      </c>
      <c r="AZ599">
        <v>1</v>
      </c>
      <c r="BA599">
        <v>200</v>
      </c>
      <c r="BB599" t="s">
        <v>709</v>
      </c>
      <c r="BC599">
        <v>36</v>
      </c>
      <c r="BD599" s="2">
        <v>7.0000000000000007E-2</v>
      </c>
      <c r="BE599" t="s">
        <v>930</v>
      </c>
      <c r="BF599" t="s">
        <v>921</v>
      </c>
      <c r="BG599" t="s">
        <v>939</v>
      </c>
      <c r="BH599" s="7">
        <v>40</v>
      </c>
      <c r="BI59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599">
        <v>0</v>
      </c>
      <c r="BK599" t="s">
        <v>733</v>
      </c>
      <c r="BL599" s="11"/>
      <c r="BM599" s="11"/>
      <c r="BN599" s="11">
        <v>31</v>
      </c>
      <c r="BO599">
        <v>0</v>
      </c>
      <c r="BP599" t="s">
        <v>691</v>
      </c>
      <c r="BQ599" t="s">
        <v>693</v>
      </c>
      <c r="BR599" t="s">
        <v>700</v>
      </c>
      <c r="BS599" t="s">
        <v>704</v>
      </c>
      <c r="BT599" t="s">
        <v>705</v>
      </c>
      <c r="BU599" t="s">
        <v>706</v>
      </c>
      <c r="CT599"/>
      <c r="CU599"/>
      <c r="CV599"/>
    </row>
    <row r="600" spans="1:100" x14ac:dyDescent="0.4">
      <c r="A600" s="2" t="s">
        <v>623</v>
      </c>
      <c r="B600" t="str">
        <f>_xlfn.TEXTAFTER(Table1[[#This Row],[VEHIDCODE]],"_")</f>
        <v>Japan_JNR_860</v>
      </c>
      <c r="C600" t="s">
        <v>738</v>
      </c>
      <c r="D600" t="s">
        <v>956</v>
      </c>
      <c r="E600">
        <v>4077</v>
      </c>
      <c r="F600" t="b">
        <f>OR(ISNUMBER(SEARCH("wagon_",Table1[[#This Row],[FILENAMES_EXPECTED]])),ISNUMBER(SEARCH("coach_",Table1[[#This Row],[FILENAMES_EXPECTED]])))</f>
        <v>0</v>
      </c>
      <c r="G600" t="str">
        <f>"item_"&amp;Table1[[#This Row],[VEHIDCODE]]</f>
        <v>item_steam_Japan_JNR_860</v>
      </c>
      <c r="H600" t="str">
        <f>"str_"&amp;Table1[[#This Row],[VEHIDCODE]]</f>
        <v>str_steam_Japan_JNR_860</v>
      </c>
      <c r="Z600" s="2" t="b">
        <v>1</v>
      </c>
      <c r="AL600" s="2"/>
      <c r="AM600" s="2" t="b">
        <f>LEN(_xlfn.CONCAT(Table1[[#This Row],[TRACK_TYPE_STANDARD_GAUGE_RAILTYPE_OHLE]:[TRACK_TYPE_MTRO]]))&gt;0</f>
        <v>1</v>
      </c>
      <c r="AN600">
        <v>5</v>
      </c>
      <c r="AO600" t="s">
        <v>20</v>
      </c>
      <c r="AP600">
        <v>0</v>
      </c>
      <c r="AQ600" t="s">
        <v>23</v>
      </c>
      <c r="AR600">
        <v>0</v>
      </c>
      <c r="AS600">
        <v>1893</v>
      </c>
      <c r="AT600">
        <v>5</v>
      </c>
      <c r="AU600" s="2" t="s">
        <v>24</v>
      </c>
      <c r="AV600" t="b">
        <v>1</v>
      </c>
      <c r="AX600" s="2"/>
      <c r="AY600">
        <v>45</v>
      </c>
      <c r="AZ600">
        <v>1</v>
      </c>
      <c r="BA600">
        <v>186</v>
      </c>
      <c r="BB600" t="s">
        <v>709</v>
      </c>
      <c r="BC600">
        <v>48</v>
      </c>
      <c r="BD600" s="2">
        <v>0.15</v>
      </c>
      <c r="BE600" t="s">
        <v>930</v>
      </c>
      <c r="BF600" t="s">
        <v>921</v>
      </c>
      <c r="BG600" t="s">
        <v>939</v>
      </c>
      <c r="BH600" s="7">
        <v>40</v>
      </c>
      <c r="BI60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600">
        <v>0</v>
      </c>
      <c r="BK600" t="s">
        <v>733</v>
      </c>
      <c r="BL600" s="11"/>
      <c r="BM600" s="11"/>
      <c r="BN600" s="11">
        <v>32</v>
      </c>
      <c r="BO600">
        <v>0</v>
      </c>
      <c r="BP600" t="s">
        <v>691</v>
      </c>
      <c r="BQ600" t="s">
        <v>693</v>
      </c>
      <c r="BR600" t="s">
        <v>700</v>
      </c>
      <c r="BS600" t="s">
        <v>704</v>
      </c>
      <c r="BT600" t="s">
        <v>705</v>
      </c>
      <c r="BU600" t="s">
        <v>706</v>
      </c>
      <c r="CT600"/>
      <c r="CU600"/>
      <c r="CV600"/>
    </row>
    <row r="601" spans="1:100" x14ac:dyDescent="0.4">
      <c r="A601" s="2" t="s">
        <v>624</v>
      </c>
      <c r="B601" t="str">
        <f>_xlfn.TEXTAFTER(Table1[[#This Row],[VEHIDCODE]],"_")</f>
        <v>Japan_JNR_9600</v>
      </c>
      <c r="C601" t="s">
        <v>738</v>
      </c>
      <c r="D601" t="s">
        <v>956</v>
      </c>
      <c r="E601">
        <v>4086</v>
      </c>
      <c r="F601" t="b">
        <f>OR(ISNUMBER(SEARCH("wagon_",Table1[[#This Row],[FILENAMES_EXPECTED]])),ISNUMBER(SEARCH("coach_",Table1[[#This Row],[FILENAMES_EXPECTED]])))</f>
        <v>0</v>
      </c>
      <c r="G601" t="str">
        <f>"item_"&amp;Table1[[#This Row],[VEHIDCODE]]</f>
        <v>item_steam_Japan_JNR_9600</v>
      </c>
      <c r="H601" t="str">
        <f>"str_"&amp;Table1[[#This Row],[VEHIDCODE]]</f>
        <v>str_steam_Japan_JNR_9600</v>
      </c>
      <c r="Z601" s="2" t="b">
        <v>1</v>
      </c>
      <c r="AL601" s="2"/>
      <c r="AM601" s="2" t="b">
        <f>LEN(_xlfn.CONCAT(Table1[[#This Row],[TRACK_TYPE_STANDARD_GAUGE_RAILTYPE_OHLE]:[TRACK_TYPE_MTRO]]))&gt;0</f>
        <v>1</v>
      </c>
      <c r="AN601">
        <v>8</v>
      </c>
      <c r="AO601" t="s">
        <v>20</v>
      </c>
      <c r="AP601">
        <v>0</v>
      </c>
      <c r="AQ601" t="s">
        <v>23</v>
      </c>
      <c r="AR601">
        <v>0</v>
      </c>
      <c r="AS601">
        <v>1913</v>
      </c>
      <c r="AT601">
        <v>7</v>
      </c>
      <c r="AU601" s="2" t="s">
        <v>24</v>
      </c>
      <c r="AV601" t="b">
        <v>1</v>
      </c>
      <c r="AX601" s="2"/>
      <c r="AY601">
        <v>45</v>
      </c>
      <c r="AZ601">
        <v>1</v>
      </c>
      <c r="BA601">
        <v>870</v>
      </c>
      <c r="BB601" t="s">
        <v>709</v>
      </c>
      <c r="BC601">
        <v>65</v>
      </c>
      <c r="BD601" s="2">
        <v>0.15</v>
      </c>
      <c r="BE601" t="s">
        <v>930</v>
      </c>
      <c r="BF601" t="s">
        <v>921</v>
      </c>
      <c r="BG601" t="s">
        <v>939</v>
      </c>
      <c r="BH601" s="7">
        <v>40</v>
      </c>
      <c r="BI60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601">
        <v>0</v>
      </c>
      <c r="BK601" t="s">
        <v>733</v>
      </c>
      <c r="BL601" s="11"/>
      <c r="BM601" s="11"/>
      <c r="BN601" s="11">
        <v>95</v>
      </c>
      <c r="BO601">
        <v>0</v>
      </c>
      <c r="BP601" t="s">
        <v>691</v>
      </c>
      <c r="BQ601" t="s">
        <v>693</v>
      </c>
      <c r="BR601" t="s">
        <v>700</v>
      </c>
      <c r="BS601" t="s">
        <v>704</v>
      </c>
      <c r="BT601" t="s">
        <v>705</v>
      </c>
      <c r="BU601" t="s">
        <v>706</v>
      </c>
      <c r="CT601"/>
      <c r="CU601"/>
      <c r="CV601"/>
    </row>
    <row r="602" spans="1:100" x14ac:dyDescent="0.4">
      <c r="A602" s="2" t="s">
        <v>625</v>
      </c>
      <c r="B602" t="str">
        <f>_xlfn.TEXTAFTER(Table1[[#This Row],[VEHIDCODE]],"_")</f>
        <v>Japan_JNR_D50</v>
      </c>
      <c r="C602" t="s">
        <v>738</v>
      </c>
      <c r="D602" t="s">
        <v>956</v>
      </c>
      <c r="E602">
        <v>4111</v>
      </c>
      <c r="F602" t="b">
        <f>OR(ISNUMBER(SEARCH("wagon_",Table1[[#This Row],[FILENAMES_EXPECTED]])),ISNUMBER(SEARCH("coach_",Table1[[#This Row],[FILENAMES_EXPECTED]])))</f>
        <v>0</v>
      </c>
      <c r="G602" t="str">
        <f>"item_"&amp;Table1[[#This Row],[VEHIDCODE]]</f>
        <v>item_steam_Japan_JNR_D50</v>
      </c>
      <c r="H602" t="str">
        <f>"str_"&amp;Table1[[#This Row],[VEHIDCODE]]</f>
        <v>str_steam_Japan_JNR_D50</v>
      </c>
      <c r="Z602" s="2" t="b">
        <v>1</v>
      </c>
      <c r="AL602" s="2"/>
      <c r="AM602" s="2" t="b">
        <f>LEN(_xlfn.CONCAT(Table1[[#This Row],[TRACK_TYPE_STANDARD_GAUGE_RAILTYPE_OHLE]:[TRACK_TYPE_MTRO]]))&gt;0</f>
        <v>1</v>
      </c>
      <c r="AN602">
        <v>8</v>
      </c>
      <c r="AO602" t="s">
        <v>20</v>
      </c>
      <c r="AP602">
        <v>0</v>
      </c>
      <c r="AQ602" t="s">
        <v>23</v>
      </c>
      <c r="AR602">
        <v>0</v>
      </c>
      <c r="AS602">
        <v>1923</v>
      </c>
      <c r="AT602">
        <v>6</v>
      </c>
      <c r="AU602" s="2" t="s">
        <v>20</v>
      </c>
      <c r="AV602" t="b">
        <v>1</v>
      </c>
      <c r="AX602" s="2"/>
      <c r="AY602">
        <v>45</v>
      </c>
      <c r="AZ602">
        <v>1</v>
      </c>
      <c r="BA602">
        <v>1520</v>
      </c>
      <c r="BB602" t="s">
        <v>709</v>
      </c>
      <c r="BC602">
        <v>70</v>
      </c>
      <c r="BD602" s="2">
        <v>0.16</v>
      </c>
      <c r="BE602" t="s">
        <v>930</v>
      </c>
      <c r="BF602" t="s">
        <v>921</v>
      </c>
      <c r="BG602" t="s">
        <v>939</v>
      </c>
      <c r="BH602" s="7">
        <v>40</v>
      </c>
      <c r="BI60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602">
        <v>0</v>
      </c>
      <c r="BK602" t="s">
        <v>733</v>
      </c>
      <c r="BL602" s="11"/>
      <c r="BM602" s="11"/>
      <c r="BN602" s="11">
        <v>122</v>
      </c>
      <c r="BO602">
        <v>0</v>
      </c>
      <c r="BP602" t="s">
        <v>691</v>
      </c>
      <c r="BQ602" t="s">
        <v>693</v>
      </c>
      <c r="BR602" t="s">
        <v>700</v>
      </c>
      <c r="BS602" t="s">
        <v>704</v>
      </c>
      <c r="BT602" t="s">
        <v>705</v>
      </c>
      <c r="BU602" t="s">
        <v>706</v>
      </c>
      <c r="CT602"/>
      <c r="CU602"/>
      <c r="CV602"/>
    </row>
    <row r="603" spans="1:100" x14ac:dyDescent="0.4">
      <c r="A603" s="2" t="s">
        <v>626</v>
      </c>
      <c r="B603" t="str">
        <f>_xlfn.TEXTAFTER(Table1[[#This Row],[VEHIDCODE]],"_")</f>
        <v>Japan_JNR_DF50</v>
      </c>
      <c r="C603" t="s">
        <v>739</v>
      </c>
      <c r="D603" t="s">
        <v>958</v>
      </c>
      <c r="E603">
        <v>5082</v>
      </c>
      <c r="F603" t="b">
        <f>OR(ISNUMBER(SEARCH("wagon_",Table1[[#This Row],[FILENAMES_EXPECTED]])),ISNUMBER(SEARCH("coach_",Table1[[#This Row],[FILENAMES_EXPECTED]])))</f>
        <v>0</v>
      </c>
      <c r="G603" t="str">
        <f>"item_"&amp;Table1[[#This Row],[VEHIDCODE]]</f>
        <v>item_diesel_Japan_JNR_DF50</v>
      </c>
      <c r="H603" t="str">
        <f>"str_"&amp;Table1[[#This Row],[VEHIDCODE]]</f>
        <v>str_diesel_Japan_JNR_DF50</v>
      </c>
      <c r="Z603" s="2" t="b">
        <v>1</v>
      </c>
      <c r="AL603" s="2"/>
      <c r="AM603" s="2" t="b">
        <f>LEN(_xlfn.CONCAT(Table1[[#This Row],[TRACK_TYPE_STANDARD_GAUGE_RAILTYPE_OHLE]:[TRACK_TYPE_MTRO]]))&gt;0</f>
        <v>1</v>
      </c>
      <c r="AN603">
        <v>7</v>
      </c>
      <c r="AO603" t="s">
        <v>20</v>
      </c>
      <c r="AP603">
        <v>0</v>
      </c>
      <c r="AQ603" t="s">
        <v>35</v>
      </c>
      <c r="AR603">
        <v>0</v>
      </c>
      <c r="AS603">
        <v>1957</v>
      </c>
      <c r="AT603">
        <v>7</v>
      </c>
      <c r="AU603" s="2" t="s">
        <v>20</v>
      </c>
      <c r="AV603" t="b">
        <v>1</v>
      </c>
      <c r="AX603" s="2"/>
      <c r="AY603">
        <v>45</v>
      </c>
      <c r="AZ603">
        <v>1</v>
      </c>
      <c r="BA603">
        <v>1060</v>
      </c>
      <c r="BB603" t="s">
        <v>710</v>
      </c>
      <c r="BC603">
        <v>90</v>
      </c>
      <c r="BD603" s="2">
        <v>0.28999999999999998</v>
      </c>
      <c r="BE603" t="s">
        <v>930</v>
      </c>
      <c r="BF603" t="s">
        <v>921</v>
      </c>
      <c r="BG603" t="s">
        <v>939</v>
      </c>
      <c r="BH603" s="7">
        <v>40</v>
      </c>
      <c r="BI60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603">
        <v>0</v>
      </c>
      <c r="BK603" t="s">
        <v>733</v>
      </c>
      <c r="BL603" s="11"/>
      <c r="BM603" s="11"/>
      <c r="BN603" s="11">
        <v>85</v>
      </c>
      <c r="BO603">
        <v>0</v>
      </c>
      <c r="BP603" t="s">
        <v>691</v>
      </c>
      <c r="BQ603" t="s">
        <v>693</v>
      </c>
      <c r="BR603" t="s">
        <v>700</v>
      </c>
      <c r="BS603" t="s">
        <v>704</v>
      </c>
      <c r="BT603" t="s">
        <v>705</v>
      </c>
      <c r="BU603" t="s">
        <v>706</v>
      </c>
      <c r="CT603"/>
      <c r="CU603"/>
      <c r="CV603"/>
    </row>
    <row r="604" spans="1:100" x14ac:dyDescent="0.4">
      <c r="A604" s="2" t="s">
        <v>627</v>
      </c>
      <c r="B604" t="str">
        <f>_xlfn.TEXTAFTER(Table1[[#This Row],[VEHIDCODE]],"_")</f>
        <v>Switzerland_RhB_DE_2_2</v>
      </c>
      <c r="C604" t="s">
        <v>740</v>
      </c>
      <c r="D604" t="s">
        <v>960</v>
      </c>
      <c r="E604">
        <v>6000</v>
      </c>
      <c r="F604" t="b">
        <f>OR(ISNUMBER(SEARCH("wagon_",Table1[[#This Row],[FILENAMES_EXPECTED]])),ISNUMBER(SEARCH("coach_",Table1[[#This Row],[FILENAMES_EXPECTED]])))</f>
        <v>0</v>
      </c>
      <c r="G604" t="str">
        <f>"item_"&amp;Table1[[#This Row],[VEHIDCODE]]</f>
        <v>item_electric_Switzerland_RhB_DE_2_2</v>
      </c>
      <c r="H604" t="str">
        <f>"str_"&amp;Table1[[#This Row],[VEHIDCODE]]</f>
        <v>str_electric_Switzerland_RhB_DE_2_2</v>
      </c>
      <c r="V604" t="b">
        <v>1</v>
      </c>
      <c r="AL604" s="2"/>
      <c r="AM604" s="2" t="b">
        <f>LEN(_xlfn.CONCAT(Table1[[#This Row],[TRACK_TYPE_STANDARD_GAUGE_RAILTYPE_OHLE]:[TRACK_TYPE_MTRO]]))&gt;0</f>
        <v>1</v>
      </c>
      <c r="AN604">
        <v>5</v>
      </c>
      <c r="AO604" t="s">
        <v>20</v>
      </c>
      <c r="AP604">
        <v>0</v>
      </c>
      <c r="AQ604" t="s">
        <v>74</v>
      </c>
      <c r="AR604">
        <v>0</v>
      </c>
      <c r="AS604">
        <v>1909</v>
      </c>
      <c r="AT604">
        <v>5</v>
      </c>
      <c r="AU604" s="2" t="s">
        <v>20</v>
      </c>
      <c r="AV604" t="b">
        <v>1</v>
      </c>
      <c r="AX604" s="2"/>
      <c r="AY604">
        <v>45</v>
      </c>
      <c r="AZ604">
        <v>1</v>
      </c>
      <c r="BA604">
        <v>200</v>
      </c>
      <c r="BB604" t="s">
        <v>708</v>
      </c>
      <c r="BC604">
        <v>45</v>
      </c>
      <c r="BD604" s="2">
        <v>0.3</v>
      </c>
      <c r="BE604" t="s">
        <v>922</v>
      </c>
      <c r="BF604" t="s">
        <v>921</v>
      </c>
      <c r="BG604" t="s">
        <v>939</v>
      </c>
      <c r="BH604" s="7">
        <v>40</v>
      </c>
      <c r="BI60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604">
        <v>-3</v>
      </c>
      <c r="BK604" t="s">
        <v>733</v>
      </c>
      <c r="BL604" s="11"/>
      <c r="BM604" s="11"/>
      <c r="BN604" s="11">
        <v>16</v>
      </c>
      <c r="BO604">
        <v>0</v>
      </c>
      <c r="BP604" t="s">
        <v>691</v>
      </c>
      <c r="BQ604" t="s">
        <v>693</v>
      </c>
      <c r="BR604" t="s">
        <v>700</v>
      </c>
      <c r="BS604" t="s">
        <v>704</v>
      </c>
      <c r="BT604" t="s">
        <v>705</v>
      </c>
      <c r="BU604" t="s">
        <v>706</v>
      </c>
      <c r="CT604"/>
      <c r="CU604"/>
      <c r="CV604"/>
    </row>
    <row r="605" spans="1:100" x14ac:dyDescent="0.4">
      <c r="A605" s="2" t="s">
        <v>628</v>
      </c>
      <c r="B605" t="str">
        <f>_xlfn.TEXTAFTER(Table1[[#This Row],[VEHIDCODE]],"_")</f>
        <v>Japan_JNR_EH10</v>
      </c>
      <c r="C605" t="s">
        <v>740</v>
      </c>
      <c r="D605" t="s">
        <v>960</v>
      </c>
      <c r="E605">
        <v>6081</v>
      </c>
      <c r="F605" t="b">
        <f>OR(ISNUMBER(SEARCH("wagon_",Table1[[#This Row],[FILENAMES_EXPECTED]])),ISNUMBER(SEARCH("coach_",Table1[[#This Row],[FILENAMES_EXPECTED]])))</f>
        <v>0</v>
      </c>
      <c r="G605" t="str">
        <f>"item_"&amp;Table1[[#This Row],[VEHIDCODE]]</f>
        <v>item_electric_Japan_JNR_EH10</v>
      </c>
      <c r="H605" t="str">
        <f>"str_"&amp;Table1[[#This Row],[VEHIDCODE]]</f>
        <v>str_electric_Japan_JNR_EH10</v>
      </c>
      <c r="V605" t="b">
        <v>1</v>
      </c>
      <c r="AL605" s="2"/>
      <c r="AM605" s="2" t="b">
        <f>LEN(_xlfn.CONCAT(Table1[[#This Row],[TRACK_TYPE_STANDARD_GAUGE_RAILTYPE_OHLE]:[TRACK_TYPE_MTRO]]))&gt;0</f>
        <v>1</v>
      </c>
      <c r="AN605">
        <v>14</v>
      </c>
      <c r="AO605" t="s">
        <v>20</v>
      </c>
      <c r="AP605">
        <v>0</v>
      </c>
      <c r="AQ605" t="s">
        <v>74</v>
      </c>
      <c r="AR605">
        <v>0</v>
      </c>
      <c r="AS605">
        <v>1954</v>
      </c>
      <c r="AT605">
        <v>7</v>
      </c>
      <c r="AU605" s="2" t="s">
        <v>20</v>
      </c>
      <c r="AV605" t="b">
        <v>1</v>
      </c>
      <c r="AX605" s="2"/>
      <c r="AY605">
        <v>45</v>
      </c>
      <c r="AZ605">
        <v>1</v>
      </c>
      <c r="BA605">
        <v>3390</v>
      </c>
      <c r="BB605" t="s">
        <v>708</v>
      </c>
      <c r="BC605">
        <v>110</v>
      </c>
      <c r="BD605" s="2">
        <v>0.16</v>
      </c>
      <c r="BE605" t="s">
        <v>930</v>
      </c>
      <c r="BF605" t="s">
        <v>921</v>
      </c>
      <c r="BG605" t="s">
        <v>939</v>
      </c>
      <c r="BH605" s="7">
        <v>40</v>
      </c>
      <c r="BI60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605">
        <v>0</v>
      </c>
      <c r="BK605" t="s">
        <v>733</v>
      </c>
      <c r="BL605" s="11"/>
      <c r="BM605" s="11"/>
      <c r="BN605" s="11">
        <v>116</v>
      </c>
      <c r="BO605">
        <v>0</v>
      </c>
      <c r="BP605" t="s">
        <v>691</v>
      </c>
      <c r="BQ605" t="s">
        <v>693</v>
      </c>
      <c r="BR605" t="s">
        <v>700</v>
      </c>
      <c r="BS605" t="s">
        <v>704</v>
      </c>
      <c r="BT605" t="s">
        <v>705</v>
      </c>
      <c r="BU605" t="s">
        <v>706</v>
      </c>
      <c r="CT605"/>
      <c r="CU605"/>
      <c r="CV605"/>
    </row>
    <row r="606" spans="1:100" x14ac:dyDescent="0.4">
      <c r="A606" s="2" t="s">
        <v>629</v>
      </c>
      <c r="B606" t="str">
        <f>_xlfn.TEXTAFTER(Table1[[#This Row],[VEHIDCODE]],"_")</f>
        <v>Japan_JNR_EF64</v>
      </c>
      <c r="C606" t="s">
        <v>740</v>
      </c>
      <c r="D606" t="s">
        <v>960</v>
      </c>
      <c r="E606">
        <v>6029</v>
      </c>
      <c r="F606" t="b">
        <f>OR(ISNUMBER(SEARCH("wagon_",Table1[[#This Row],[FILENAMES_EXPECTED]])),ISNUMBER(SEARCH("coach_",Table1[[#This Row],[FILENAMES_EXPECTED]])))</f>
        <v>0</v>
      </c>
      <c r="G606" t="str">
        <f>"item_"&amp;Table1[[#This Row],[VEHIDCODE]]</f>
        <v>item_electric_Japan_JNR_EF64</v>
      </c>
      <c r="H606" t="str">
        <f>"str_"&amp;Table1[[#This Row],[VEHIDCODE]]</f>
        <v>str_electric_Japan_JNR_EF64</v>
      </c>
      <c r="V606" t="b">
        <v>1</v>
      </c>
      <c r="AL606" s="2"/>
      <c r="AM606" s="2" t="b">
        <f>LEN(_xlfn.CONCAT(Table1[[#This Row],[TRACK_TYPE_STANDARD_GAUGE_RAILTYPE_OHLE]:[TRACK_TYPE_MTRO]]))&gt;0</f>
        <v>1</v>
      </c>
      <c r="AN606">
        <v>8</v>
      </c>
      <c r="AO606" t="s">
        <v>20</v>
      </c>
      <c r="AP606">
        <v>0</v>
      </c>
      <c r="AQ606" t="s">
        <v>74</v>
      </c>
      <c r="AR606">
        <v>0</v>
      </c>
      <c r="AS606">
        <v>1964</v>
      </c>
      <c r="AT606">
        <v>8</v>
      </c>
      <c r="AU606" s="2" t="s">
        <v>20</v>
      </c>
      <c r="AV606" t="b">
        <v>1</v>
      </c>
      <c r="AX606" s="2"/>
      <c r="AY606">
        <v>45</v>
      </c>
      <c r="AZ606">
        <v>1</v>
      </c>
      <c r="BA606">
        <v>3420</v>
      </c>
      <c r="BB606" t="s">
        <v>708</v>
      </c>
      <c r="BC606">
        <v>100</v>
      </c>
      <c r="BD606" s="2">
        <v>0.3</v>
      </c>
      <c r="BE606" t="s">
        <v>930</v>
      </c>
      <c r="BF606" t="s">
        <v>921</v>
      </c>
      <c r="BG606" t="s">
        <v>939</v>
      </c>
      <c r="BH606" s="7">
        <v>40</v>
      </c>
      <c r="BI60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606">
        <v>-3</v>
      </c>
      <c r="BK606" t="s">
        <v>733</v>
      </c>
      <c r="BL606" s="11"/>
      <c r="BM606" s="11"/>
      <c r="BN606" s="11">
        <v>96</v>
      </c>
      <c r="BO606">
        <v>0</v>
      </c>
      <c r="BP606" t="s">
        <v>691</v>
      </c>
      <c r="BQ606" t="s">
        <v>693</v>
      </c>
      <c r="BR606" t="s">
        <v>700</v>
      </c>
      <c r="BS606" t="s">
        <v>704</v>
      </c>
      <c r="BT606" t="s">
        <v>705</v>
      </c>
      <c r="BU606" t="s">
        <v>706</v>
      </c>
      <c r="CT606"/>
      <c r="CU606"/>
      <c r="CV606"/>
    </row>
    <row r="607" spans="1:100" x14ac:dyDescent="0.4">
      <c r="A607" s="2" t="s">
        <v>630</v>
      </c>
      <c r="B607" t="str">
        <f>_xlfn.TEXTAFTER(Table1[[#This Row],[VEHIDCODE]],"_")</f>
        <v>New_Zealand_NZR_EO_Class</v>
      </c>
      <c r="C607" t="s">
        <v>740</v>
      </c>
      <c r="D607" t="s">
        <v>960</v>
      </c>
      <c r="E607">
        <v>6073</v>
      </c>
      <c r="F607" t="b">
        <f>OR(ISNUMBER(SEARCH("wagon_",Table1[[#This Row],[FILENAMES_EXPECTED]])),ISNUMBER(SEARCH("coach_",Table1[[#This Row],[FILENAMES_EXPECTED]])))</f>
        <v>0</v>
      </c>
      <c r="G607" t="str">
        <f>"item_"&amp;Table1[[#This Row],[VEHIDCODE]]</f>
        <v>item_electric_New_Zealand_NZR_EO_Class</v>
      </c>
      <c r="H607" t="str">
        <f>"str_"&amp;Table1[[#This Row],[VEHIDCODE]]</f>
        <v>str_electric_New_Zealand_NZR_EO_Class</v>
      </c>
      <c r="V607" t="b">
        <v>1</v>
      </c>
      <c r="AL607" s="2"/>
      <c r="AM607" s="2" t="b">
        <f>LEN(_xlfn.CONCAT(Table1[[#This Row],[TRACK_TYPE_STANDARD_GAUGE_RAILTYPE_OHLE]:[TRACK_TYPE_MTRO]]))&gt;0</f>
        <v>1</v>
      </c>
      <c r="AN607">
        <v>7</v>
      </c>
      <c r="AO607" t="s">
        <v>20</v>
      </c>
      <c r="AP607">
        <v>0</v>
      </c>
      <c r="AQ607" t="s">
        <v>74</v>
      </c>
      <c r="AR607">
        <v>0</v>
      </c>
      <c r="AS607">
        <v>1923</v>
      </c>
      <c r="AT607">
        <v>7</v>
      </c>
      <c r="AU607" s="2" t="s">
        <v>20</v>
      </c>
      <c r="AV607" t="b">
        <v>1</v>
      </c>
      <c r="AX607" s="2"/>
      <c r="AY607">
        <v>45</v>
      </c>
      <c r="AZ607">
        <v>1</v>
      </c>
      <c r="BA607">
        <v>680</v>
      </c>
      <c r="BB607" t="s">
        <v>708</v>
      </c>
      <c r="BC607">
        <v>64</v>
      </c>
      <c r="BD607" s="2">
        <v>0.13</v>
      </c>
      <c r="BE607" t="s">
        <v>924</v>
      </c>
      <c r="BF607" t="s">
        <v>921</v>
      </c>
      <c r="BG607" t="s">
        <v>939</v>
      </c>
      <c r="BH607" s="7">
        <v>40</v>
      </c>
      <c r="BI60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607">
        <v>0</v>
      </c>
      <c r="BK607" t="s">
        <v>733</v>
      </c>
      <c r="BL607" s="11"/>
      <c r="BM607" s="11"/>
      <c r="BN607" s="11">
        <v>50</v>
      </c>
      <c r="BO607">
        <v>0</v>
      </c>
      <c r="BP607" t="s">
        <v>691</v>
      </c>
      <c r="BQ607" t="s">
        <v>693</v>
      </c>
      <c r="BR607" t="s">
        <v>700</v>
      </c>
      <c r="BS607" t="s">
        <v>704</v>
      </c>
      <c r="BT607" t="s">
        <v>705</v>
      </c>
      <c r="BU607" t="s">
        <v>706</v>
      </c>
      <c r="CT607"/>
      <c r="CU607"/>
      <c r="CV607"/>
    </row>
    <row r="608" spans="1:100" x14ac:dyDescent="0.4">
      <c r="A608" s="2" t="s">
        <v>631</v>
      </c>
      <c r="B608" t="str">
        <f>_xlfn.TEXTAFTER(Table1[[#This Row],[VEHIDCODE]],"_")</f>
        <v>Australia_NSWGR_71</v>
      </c>
      <c r="C608" t="s">
        <v>740</v>
      </c>
      <c r="D608" t="s">
        <v>960</v>
      </c>
      <c r="E608">
        <v>6079</v>
      </c>
      <c r="F608" t="b">
        <f>OR(ISNUMBER(SEARCH("wagon_",Table1[[#This Row],[FILENAMES_EXPECTED]])),ISNUMBER(SEARCH("coach_",Table1[[#This Row],[FILENAMES_EXPECTED]])))</f>
        <v>0</v>
      </c>
      <c r="G608" t="str">
        <f>"item_"&amp;Table1[[#This Row],[VEHIDCODE]]</f>
        <v>item_electric_Australia_NSWGR_71</v>
      </c>
      <c r="H608" t="str">
        <f>"str_"&amp;Table1[[#This Row],[VEHIDCODE]]</f>
        <v>str_electric_Australia_NSWGR_71</v>
      </c>
      <c r="V608" t="b">
        <v>1</v>
      </c>
      <c r="AL608" s="2"/>
      <c r="AM608" s="2" t="b">
        <f>LEN(_xlfn.CONCAT(Table1[[#This Row],[TRACK_TYPE_STANDARD_GAUGE_RAILTYPE_OHLE]:[TRACK_TYPE_MTRO]]))&gt;0</f>
        <v>1</v>
      </c>
      <c r="AN608">
        <v>7</v>
      </c>
      <c r="AO608" t="s">
        <v>20</v>
      </c>
      <c r="AP608">
        <v>0</v>
      </c>
      <c r="AQ608" t="s">
        <v>74</v>
      </c>
      <c r="AR608">
        <v>0</v>
      </c>
      <c r="AS608">
        <v>1952</v>
      </c>
      <c r="AT608">
        <v>7</v>
      </c>
      <c r="AU608" s="2" t="s">
        <v>20</v>
      </c>
      <c r="AV608" t="b">
        <v>1</v>
      </c>
      <c r="AX608" s="2"/>
      <c r="AY608">
        <v>45</v>
      </c>
      <c r="AZ608">
        <v>1</v>
      </c>
      <c r="BA608">
        <v>2700</v>
      </c>
      <c r="BB608" t="s">
        <v>708</v>
      </c>
      <c r="BC608">
        <v>113</v>
      </c>
      <c r="BD608" s="2">
        <v>0.11</v>
      </c>
      <c r="BE608" t="s">
        <v>924</v>
      </c>
      <c r="BF608" t="s">
        <v>921</v>
      </c>
      <c r="BG608" t="s">
        <v>939</v>
      </c>
      <c r="BH608" s="7">
        <v>40</v>
      </c>
      <c r="BI60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608">
        <v>0</v>
      </c>
      <c r="BK608" t="s">
        <v>733</v>
      </c>
      <c r="BL608" s="11"/>
      <c r="BM608" s="11"/>
      <c r="BN608" s="11">
        <v>110</v>
      </c>
      <c r="BO608">
        <v>0</v>
      </c>
      <c r="BP608" t="s">
        <v>691</v>
      </c>
      <c r="BQ608" t="s">
        <v>693</v>
      </c>
      <c r="BR608" t="s">
        <v>700</v>
      </c>
      <c r="BS608" t="s">
        <v>704</v>
      </c>
      <c r="BT608" t="s">
        <v>705</v>
      </c>
      <c r="BU608" t="s">
        <v>706</v>
      </c>
      <c r="CT608"/>
      <c r="CU608"/>
      <c r="CV608"/>
    </row>
    <row r="609" spans="1:100" x14ac:dyDescent="0.4">
      <c r="A609" s="2" t="s">
        <v>632</v>
      </c>
      <c r="B609" t="str">
        <f>_xlfn.TEXTAFTER(Table1[[#This Row],[VEHIDCODE]],"_")</f>
        <v>South_Africa_SAR_4E</v>
      </c>
      <c r="C609" t="s">
        <v>740</v>
      </c>
      <c r="D609" t="s">
        <v>960</v>
      </c>
      <c r="E609">
        <v>6080</v>
      </c>
      <c r="F609" t="b">
        <f>OR(ISNUMBER(SEARCH("wagon_",Table1[[#This Row],[FILENAMES_EXPECTED]])),ISNUMBER(SEARCH("coach_",Table1[[#This Row],[FILENAMES_EXPECTED]])))</f>
        <v>0</v>
      </c>
      <c r="G609" t="str">
        <f>"item_"&amp;Table1[[#This Row],[VEHIDCODE]]</f>
        <v>item_electric_South_Africa_SAR_4E</v>
      </c>
      <c r="H609" t="str">
        <f>"str_"&amp;Table1[[#This Row],[VEHIDCODE]]</f>
        <v>str_electric_South_Africa_SAR_4E</v>
      </c>
      <c r="U609" t="b">
        <v>1</v>
      </c>
      <c r="AL609" s="2"/>
      <c r="AM609" s="2" t="b">
        <f>LEN(_xlfn.CONCAT(Table1[[#This Row],[TRACK_TYPE_STANDARD_GAUGE_RAILTYPE_OHLE]:[TRACK_TYPE_MTRO]]))&gt;0</f>
        <v>1</v>
      </c>
      <c r="AN609">
        <v>8</v>
      </c>
      <c r="AO609" t="s">
        <v>20</v>
      </c>
      <c r="AP609">
        <v>0</v>
      </c>
      <c r="AQ609" t="s">
        <v>74</v>
      </c>
      <c r="AR609">
        <v>0</v>
      </c>
      <c r="AS609">
        <v>1952</v>
      </c>
      <c r="AT609">
        <v>8</v>
      </c>
      <c r="AU609" s="2" t="s">
        <v>20</v>
      </c>
      <c r="AV609" t="b">
        <v>1</v>
      </c>
      <c r="AX609" s="2"/>
      <c r="AY609">
        <v>45</v>
      </c>
      <c r="AZ609">
        <v>1</v>
      </c>
      <c r="BA609">
        <v>2520</v>
      </c>
      <c r="BB609" t="s">
        <v>708</v>
      </c>
      <c r="BC609">
        <v>97</v>
      </c>
      <c r="BD609" s="2">
        <v>0.09</v>
      </c>
      <c r="BE609" t="s">
        <v>925</v>
      </c>
      <c r="BF609" t="s">
        <v>921</v>
      </c>
      <c r="BG609" t="s">
        <v>939</v>
      </c>
      <c r="BH609" s="7">
        <v>40</v>
      </c>
      <c r="BI60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609">
        <v>0</v>
      </c>
      <c r="BK609" t="s">
        <v>733</v>
      </c>
      <c r="BL609" s="11"/>
      <c r="BM609" s="11"/>
      <c r="BN609" s="11">
        <v>155</v>
      </c>
      <c r="BO609">
        <v>0</v>
      </c>
      <c r="BP609" t="s">
        <v>691</v>
      </c>
      <c r="BQ609" t="s">
        <v>693</v>
      </c>
      <c r="BR609" t="s">
        <v>700</v>
      </c>
      <c r="BS609" t="s">
        <v>704</v>
      </c>
      <c r="BT609" t="s">
        <v>705</v>
      </c>
      <c r="BU609" t="s">
        <v>706</v>
      </c>
      <c r="CT609"/>
      <c r="CU609"/>
      <c r="CV609"/>
    </row>
    <row r="610" spans="1:100" x14ac:dyDescent="0.4">
      <c r="A610" s="2" t="s">
        <v>633</v>
      </c>
      <c r="B610" t="str">
        <f>_xlfn.TEXTAFTER(Table1[[#This Row],[VEHIDCODE]],"_")</f>
        <v>South_Africa_SAR_5E1</v>
      </c>
      <c r="C610" t="s">
        <v>740</v>
      </c>
      <c r="D610" t="s">
        <v>960</v>
      </c>
      <c r="E610">
        <v>6088</v>
      </c>
      <c r="F610" t="b">
        <f>OR(ISNUMBER(SEARCH("wagon_",Table1[[#This Row],[FILENAMES_EXPECTED]])),ISNUMBER(SEARCH("coach_",Table1[[#This Row],[FILENAMES_EXPECTED]])))</f>
        <v>0</v>
      </c>
      <c r="G610" t="str">
        <f>"item_"&amp;Table1[[#This Row],[VEHIDCODE]]</f>
        <v>item_electric_South_Africa_SAR_5E1</v>
      </c>
      <c r="H610" t="str">
        <f>"str_"&amp;Table1[[#This Row],[VEHIDCODE]]</f>
        <v>str_electric_South_Africa_SAR_5E1</v>
      </c>
      <c r="U610" t="b">
        <v>1</v>
      </c>
      <c r="AL610" s="2"/>
      <c r="AM610" s="2" t="b">
        <f>LEN(_xlfn.CONCAT(Table1[[#This Row],[TRACK_TYPE_STANDARD_GAUGE_RAILTYPE_OHLE]:[TRACK_TYPE_MTRO]]))&gt;0</f>
        <v>1</v>
      </c>
      <c r="AN610">
        <v>7</v>
      </c>
      <c r="AO610" t="s">
        <v>20</v>
      </c>
      <c r="AP610">
        <v>0</v>
      </c>
      <c r="AQ610" t="s">
        <v>74</v>
      </c>
      <c r="AR610">
        <v>0</v>
      </c>
      <c r="AS610">
        <v>1965</v>
      </c>
      <c r="AT610">
        <v>7</v>
      </c>
      <c r="AU610" s="2" t="s">
        <v>20</v>
      </c>
      <c r="AV610" t="b">
        <v>1</v>
      </c>
      <c r="AX610" s="2"/>
      <c r="AY610">
        <v>45</v>
      </c>
      <c r="AZ610">
        <v>1</v>
      </c>
      <c r="BA610">
        <v>1456</v>
      </c>
      <c r="BB610" t="s">
        <v>708</v>
      </c>
      <c r="BC610">
        <v>97</v>
      </c>
      <c r="BD610" s="2">
        <v>0.28999999999999998</v>
      </c>
      <c r="BE610" t="s">
        <v>925</v>
      </c>
      <c r="BF610" t="s">
        <v>921</v>
      </c>
      <c r="BG610" t="s">
        <v>939</v>
      </c>
      <c r="BH610" s="7">
        <v>40</v>
      </c>
      <c r="BI61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610">
        <v>0</v>
      </c>
      <c r="BK610" t="s">
        <v>733</v>
      </c>
      <c r="BL610" s="11"/>
      <c r="BM610" s="11"/>
      <c r="BN610" s="11">
        <v>86</v>
      </c>
      <c r="BO610">
        <v>0</v>
      </c>
      <c r="BP610" t="s">
        <v>691</v>
      </c>
      <c r="BQ610" t="s">
        <v>693</v>
      </c>
      <c r="BR610" t="s">
        <v>700</v>
      </c>
      <c r="BS610" t="s">
        <v>704</v>
      </c>
      <c r="BT610" t="s">
        <v>705</v>
      </c>
      <c r="BU610" t="s">
        <v>706</v>
      </c>
      <c r="CT610"/>
      <c r="CU610"/>
      <c r="CV610"/>
    </row>
    <row r="611" spans="1:100" x14ac:dyDescent="0.4">
      <c r="A611" s="2" t="s">
        <v>634</v>
      </c>
      <c r="B611" t="str">
        <f>_xlfn.TEXTAFTER(Table1[[#This Row],[VEHIDCODE]],"_")</f>
        <v>South_Africa_SAR_6E</v>
      </c>
      <c r="C611" t="s">
        <v>740</v>
      </c>
      <c r="D611" t="s">
        <v>960</v>
      </c>
      <c r="E611">
        <v>6033</v>
      </c>
      <c r="F611" t="b">
        <f>OR(ISNUMBER(SEARCH("wagon_",Table1[[#This Row],[FILENAMES_EXPECTED]])),ISNUMBER(SEARCH("coach_",Table1[[#This Row],[FILENAMES_EXPECTED]])))</f>
        <v>0</v>
      </c>
      <c r="G611" t="str">
        <f>"item_"&amp;Table1[[#This Row],[VEHIDCODE]]</f>
        <v>item_electric_South_Africa_SAR_6E</v>
      </c>
      <c r="H611" t="str">
        <f>"str_"&amp;Table1[[#This Row],[VEHIDCODE]]</f>
        <v>str_electric_South_Africa_SAR_6E</v>
      </c>
      <c r="U611" t="b">
        <v>1</v>
      </c>
      <c r="AL611" s="2"/>
      <c r="AM611" s="2" t="b">
        <f>LEN(_xlfn.CONCAT(Table1[[#This Row],[TRACK_TYPE_STANDARD_GAUGE_RAILTYPE_OHLE]:[TRACK_TYPE_MTRO]]))&gt;0</f>
        <v>1</v>
      </c>
      <c r="AN611">
        <v>8</v>
      </c>
      <c r="AO611" t="s">
        <v>20</v>
      </c>
      <c r="AP611">
        <v>0</v>
      </c>
      <c r="AQ611" t="s">
        <v>74</v>
      </c>
      <c r="AR611">
        <v>0</v>
      </c>
      <c r="AS611">
        <v>1970</v>
      </c>
      <c r="AT611">
        <v>8</v>
      </c>
      <c r="AU611" s="2" t="s">
        <v>20</v>
      </c>
      <c r="AV611" t="b">
        <v>1</v>
      </c>
      <c r="AX611" s="2"/>
      <c r="AY611">
        <v>45</v>
      </c>
      <c r="AZ611">
        <v>1</v>
      </c>
      <c r="BA611">
        <v>3300</v>
      </c>
      <c r="BB611" t="s">
        <v>708</v>
      </c>
      <c r="BC611">
        <v>115</v>
      </c>
      <c r="BD611" s="2">
        <v>0.36</v>
      </c>
      <c r="BE611" t="s">
        <v>925</v>
      </c>
      <c r="BF611" t="s">
        <v>921</v>
      </c>
      <c r="BG611" t="s">
        <v>939</v>
      </c>
      <c r="BH611" s="7">
        <v>40</v>
      </c>
      <c r="BI61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611">
        <v>-3</v>
      </c>
      <c r="BK611" t="s">
        <v>733</v>
      </c>
      <c r="BL611" s="11"/>
      <c r="BM611" s="11"/>
      <c r="BN611" s="11">
        <v>89</v>
      </c>
      <c r="BO611">
        <v>0</v>
      </c>
      <c r="BP611" t="s">
        <v>691</v>
      </c>
      <c r="BQ611" t="s">
        <v>693</v>
      </c>
      <c r="BR611" t="s">
        <v>700</v>
      </c>
      <c r="BS611" t="s">
        <v>704</v>
      </c>
      <c r="BT611" t="s">
        <v>705</v>
      </c>
      <c r="BU611" t="s">
        <v>706</v>
      </c>
      <c r="CT611"/>
      <c r="CU611"/>
      <c r="CV611"/>
    </row>
    <row r="612" spans="1:100" x14ac:dyDescent="0.4">
      <c r="A612" s="2" t="s">
        <v>635</v>
      </c>
      <c r="B612" t="str">
        <f>_xlfn.TEXTAFTER(Table1[[#This Row],[VEHIDCODE]],"_")</f>
        <v>Switzerland_RhB_Ge_4_4_I</v>
      </c>
      <c r="C612" t="s">
        <v>740</v>
      </c>
      <c r="D612" t="s">
        <v>960</v>
      </c>
      <c r="E612">
        <v>6078</v>
      </c>
      <c r="F612" t="b">
        <f>OR(ISNUMBER(SEARCH("wagon_",Table1[[#This Row],[FILENAMES_EXPECTED]])),ISNUMBER(SEARCH("coach_",Table1[[#This Row],[FILENAMES_EXPECTED]])))</f>
        <v>0</v>
      </c>
      <c r="G612" t="str">
        <f>"item_"&amp;Table1[[#This Row],[VEHIDCODE]]</f>
        <v>item_electric_Switzerland_RhB_Ge_4_4_I</v>
      </c>
      <c r="H612" t="str">
        <f>"str_"&amp;Table1[[#This Row],[VEHIDCODE]]</f>
        <v>str_electric_Switzerland_RhB_Ge_4_4_I</v>
      </c>
      <c r="U612" t="b">
        <v>1</v>
      </c>
      <c r="AL612" s="2"/>
      <c r="AM612" s="2" t="b">
        <f>LEN(_xlfn.CONCAT(Table1[[#This Row],[TRACK_TYPE_STANDARD_GAUGE_RAILTYPE_OHLE]:[TRACK_TYPE_MTRO]]))&gt;0</f>
        <v>1</v>
      </c>
      <c r="AN612">
        <v>8</v>
      </c>
      <c r="AO612" t="s">
        <v>20</v>
      </c>
      <c r="AP612">
        <v>0</v>
      </c>
      <c r="AQ612" t="s">
        <v>74</v>
      </c>
      <c r="AR612">
        <v>0</v>
      </c>
      <c r="AS612">
        <v>1947</v>
      </c>
      <c r="AT612">
        <v>8</v>
      </c>
      <c r="AU612" s="2" t="s">
        <v>20</v>
      </c>
      <c r="AV612" t="b">
        <v>1</v>
      </c>
      <c r="AX612" s="2"/>
      <c r="AY612">
        <v>45</v>
      </c>
      <c r="AZ612">
        <v>1</v>
      </c>
      <c r="BA612">
        <v>1590</v>
      </c>
      <c r="BB612" t="s">
        <v>708</v>
      </c>
      <c r="BC612">
        <v>80</v>
      </c>
      <c r="BD612" s="2">
        <v>0.3</v>
      </c>
      <c r="BE612" t="s">
        <v>922</v>
      </c>
      <c r="BF612" t="s">
        <v>921</v>
      </c>
      <c r="BG612" t="s">
        <v>939</v>
      </c>
      <c r="BH612" s="7">
        <v>40</v>
      </c>
      <c r="BI61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612">
        <v>0</v>
      </c>
      <c r="BK612" t="s">
        <v>733</v>
      </c>
      <c r="BL612" s="11"/>
      <c r="BM612" s="11"/>
      <c r="BN612" s="11">
        <v>47</v>
      </c>
      <c r="BO612">
        <v>0</v>
      </c>
      <c r="BP612" t="s">
        <v>691</v>
      </c>
      <c r="BQ612" t="s">
        <v>693</v>
      </c>
      <c r="BR612" t="s">
        <v>700</v>
      </c>
      <c r="BS612" t="s">
        <v>704</v>
      </c>
      <c r="BT612" t="s">
        <v>705</v>
      </c>
      <c r="BU612" t="s">
        <v>706</v>
      </c>
      <c r="CT612"/>
      <c r="CU612"/>
      <c r="CV612"/>
    </row>
    <row r="613" spans="1:100" x14ac:dyDescent="0.4">
      <c r="A613" s="2" t="s">
        <v>636</v>
      </c>
      <c r="B613" t="str">
        <f>_xlfn.TEXTAFTER(Table1[[#This Row],[VEHIDCODE]],"_")</f>
        <v>Switzerland_RhB_Ge_6_6_Krokodil</v>
      </c>
      <c r="C613" t="s">
        <v>740</v>
      </c>
      <c r="D613" t="s">
        <v>960</v>
      </c>
      <c r="E613">
        <v>6070</v>
      </c>
      <c r="F613" t="b">
        <f>OR(ISNUMBER(SEARCH("wagon_",Table1[[#This Row],[FILENAMES_EXPECTED]])),ISNUMBER(SEARCH("coach_",Table1[[#This Row],[FILENAMES_EXPECTED]])))</f>
        <v>0</v>
      </c>
      <c r="G613" t="str">
        <f>"item_"&amp;Table1[[#This Row],[VEHIDCODE]]</f>
        <v>item_electric_Switzerland_RhB_Ge_6_6_Krokodil</v>
      </c>
      <c r="H613" t="str">
        <f>"str_"&amp;Table1[[#This Row],[VEHIDCODE]]</f>
        <v>str_electric_Switzerland_RhB_Ge_6_6_Krokodil</v>
      </c>
      <c r="U613" t="b">
        <v>1</v>
      </c>
      <c r="AL613" s="2"/>
      <c r="AM613" s="2" t="b">
        <f>LEN(_xlfn.CONCAT(Table1[[#This Row],[TRACK_TYPE_STANDARD_GAUGE_RAILTYPE_OHLE]:[TRACK_TYPE_MTRO]]))&gt;0</f>
        <v>1</v>
      </c>
      <c r="AN613">
        <v>8</v>
      </c>
      <c r="AO613" t="s">
        <v>20</v>
      </c>
      <c r="AP613">
        <v>0</v>
      </c>
      <c r="AQ613" t="s">
        <v>74</v>
      </c>
      <c r="AR613">
        <v>0</v>
      </c>
      <c r="AS613">
        <v>1921</v>
      </c>
      <c r="AT613">
        <v>8</v>
      </c>
      <c r="AU613" s="2" t="s">
        <v>20</v>
      </c>
      <c r="AV613" t="b">
        <v>1</v>
      </c>
      <c r="AX613" s="2"/>
      <c r="AY613">
        <v>45</v>
      </c>
      <c r="AZ613">
        <v>1</v>
      </c>
      <c r="BA613">
        <v>1260</v>
      </c>
      <c r="BB613" t="s">
        <v>708</v>
      </c>
      <c r="BC613">
        <v>55</v>
      </c>
      <c r="BD613" s="2">
        <v>0.26</v>
      </c>
      <c r="BE613" t="s">
        <v>922</v>
      </c>
      <c r="BF613" t="s">
        <v>921</v>
      </c>
      <c r="BG613" t="s">
        <v>939</v>
      </c>
      <c r="BH613" s="7">
        <v>40</v>
      </c>
      <c r="BI61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613">
        <v>0</v>
      </c>
      <c r="BK613" t="s">
        <v>733</v>
      </c>
      <c r="BL613" s="11"/>
      <c r="BM613" s="11"/>
      <c r="BN613" s="11">
        <v>66</v>
      </c>
      <c r="BO613">
        <v>0</v>
      </c>
      <c r="BP613" t="s">
        <v>691</v>
      </c>
      <c r="BQ613" t="s">
        <v>693</v>
      </c>
      <c r="BR613" t="s">
        <v>700</v>
      </c>
      <c r="BS613" t="s">
        <v>704</v>
      </c>
      <c r="BT613" t="s">
        <v>705</v>
      </c>
      <c r="BU613" t="s">
        <v>706</v>
      </c>
      <c r="CT613"/>
      <c r="CU613"/>
      <c r="CV613"/>
    </row>
    <row r="614" spans="1:100" x14ac:dyDescent="0.4">
      <c r="A614" s="2" t="s">
        <v>637</v>
      </c>
      <c r="B614" t="str">
        <f>_xlfn.TEXTAFTER(Table1[[#This Row],[VEHIDCODE]],"_")</f>
        <v>Brasil_MRS_He_4_4</v>
      </c>
      <c r="C614" t="s">
        <v>740</v>
      </c>
      <c r="D614" t="s">
        <v>960</v>
      </c>
      <c r="E614">
        <v>6133</v>
      </c>
      <c r="F614" t="b">
        <f>OR(ISNUMBER(SEARCH("wagon_",Table1[[#This Row],[FILENAMES_EXPECTED]])),ISNUMBER(SEARCH("coach_",Table1[[#This Row],[FILENAMES_EXPECTED]])))</f>
        <v>0</v>
      </c>
      <c r="G614" t="str">
        <f>"item_"&amp;Table1[[#This Row],[VEHIDCODE]]</f>
        <v>item_electric_Brasil_MRS_He_4_4</v>
      </c>
      <c r="H614" t="str">
        <f>"str_"&amp;Table1[[#This Row],[VEHIDCODE]]</f>
        <v>str_electric_Brasil_MRS_He_4_4</v>
      </c>
      <c r="AD614" t="b">
        <v>1</v>
      </c>
      <c r="AL614" s="2"/>
      <c r="AM614" s="2" t="b">
        <f>LEN(_xlfn.CONCAT(Table1[[#This Row],[TRACK_TYPE_STANDARD_GAUGE_RAILTYPE_OHLE]:[TRACK_TYPE_MTRO]]))&gt;0</f>
        <v>1</v>
      </c>
      <c r="AN614">
        <v>7</v>
      </c>
      <c r="AO614" t="s">
        <v>20</v>
      </c>
      <c r="AP614">
        <v>0</v>
      </c>
      <c r="AQ614" t="s">
        <v>74</v>
      </c>
      <c r="AR614">
        <v>0</v>
      </c>
      <c r="AS614">
        <v>2012</v>
      </c>
      <c r="AT614">
        <v>7</v>
      </c>
      <c r="AU614" s="2" t="s">
        <v>24</v>
      </c>
      <c r="AV614" t="b">
        <v>1</v>
      </c>
      <c r="AX614" s="2"/>
      <c r="AY614">
        <v>45</v>
      </c>
      <c r="AZ614">
        <v>1</v>
      </c>
      <c r="BA614">
        <v>6710</v>
      </c>
      <c r="BB614" t="s">
        <v>708</v>
      </c>
      <c r="BC614">
        <v>60</v>
      </c>
      <c r="BD614" s="2">
        <v>0.63</v>
      </c>
      <c r="BE614" t="s">
        <v>929</v>
      </c>
      <c r="BF614" t="s">
        <v>921</v>
      </c>
      <c r="BG614" t="s">
        <v>939</v>
      </c>
      <c r="BH614" s="7">
        <v>40</v>
      </c>
      <c r="BI61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614">
        <v>0</v>
      </c>
      <c r="BK614" t="s">
        <v>733</v>
      </c>
      <c r="BL614" s="11"/>
      <c r="BM614" s="11"/>
      <c r="BN614" s="11">
        <v>121</v>
      </c>
      <c r="BO614">
        <v>0</v>
      </c>
      <c r="BP614" t="s">
        <v>691</v>
      </c>
      <c r="BQ614" t="s">
        <v>693</v>
      </c>
      <c r="BR614" t="s">
        <v>700</v>
      </c>
      <c r="BS614" t="s">
        <v>704</v>
      </c>
      <c r="BT614" t="s">
        <v>705</v>
      </c>
      <c r="BU614" t="s">
        <v>706</v>
      </c>
      <c r="CT614"/>
      <c r="CU614"/>
      <c r="CV614"/>
    </row>
    <row r="615" spans="1:100" x14ac:dyDescent="0.4">
      <c r="A615" s="2" t="s">
        <v>638</v>
      </c>
      <c r="B615" t="str">
        <f>_xlfn.TEXTAFTER(Table1[[#This Row],[VEHIDCODE]],"_")</f>
        <v>South_Africa_SAR_7E</v>
      </c>
      <c r="C615" t="s">
        <v>740</v>
      </c>
      <c r="D615" t="s">
        <v>960</v>
      </c>
      <c r="E615">
        <v>6128</v>
      </c>
      <c r="F615" t="b">
        <f>OR(ISNUMBER(SEARCH("wagon_",Table1[[#This Row],[FILENAMES_EXPECTED]])),ISNUMBER(SEARCH("coach_",Table1[[#This Row],[FILENAMES_EXPECTED]])))</f>
        <v>0</v>
      </c>
      <c r="G615" t="str">
        <f>"item_"&amp;Table1[[#This Row],[VEHIDCODE]]</f>
        <v>item_electric_South_Africa_SAR_7E</v>
      </c>
      <c r="H615" t="str">
        <f>"str_"&amp;Table1[[#This Row],[VEHIDCODE]]</f>
        <v>str_electric_South_Africa_SAR_7E</v>
      </c>
      <c r="S615" t="b">
        <v>1</v>
      </c>
      <c r="AL615" s="2"/>
      <c r="AM615" s="2" t="b">
        <f>LEN(_xlfn.CONCAT(Table1[[#This Row],[TRACK_TYPE_STANDARD_GAUGE_RAILTYPE_OHLE]:[TRACK_TYPE_MTRO]]))&gt;0</f>
        <v>1</v>
      </c>
      <c r="AN615">
        <v>7</v>
      </c>
      <c r="AO615" t="s">
        <v>20</v>
      </c>
      <c r="AP615">
        <v>0</v>
      </c>
      <c r="AQ615" t="s">
        <v>74</v>
      </c>
      <c r="AR615">
        <v>0</v>
      </c>
      <c r="AS615">
        <v>1978</v>
      </c>
      <c r="AT615">
        <v>7</v>
      </c>
      <c r="AU615" s="2" t="s">
        <v>24</v>
      </c>
      <c r="AV615" t="b">
        <v>1</v>
      </c>
      <c r="AX615" s="2"/>
      <c r="AY615">
        <v>45</v>
      </c>
      <c r="AZ615">
        <v>1</v>
      </c>
      <c r="BA615">
        <v>4000</v>
      </c>
      <c r="BB615" t="s">
        <v>708</v>
      </c>
      <c r="BC615">
        <v>100</v>
      </c>
      <c r="BD615" s="2">
        <v>0.24</v>
      </c>
      <c r="BE615" t="s">
        <v>925</v>
      </c>
      <c r="BF615" t="s">
        <v>921</v>
      </c>
      <c r="BG615" t="s">
        <v>939</v>
      </c>
      <c r="BH615" s="7">
        <v>40</v>
      </c>
      <c r="BI61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615">
        <v>0</v>
      </c>
      <c r="BK615" t="s">
        <v>733</v>
      </c>
      <c r="BL615" s="11"/>
      <c r="BM615" s="11"/>
      <c r="BN615" s="11">
        <v>124</v>
      </c>
      <c r="BO615">
        <v>0</v>
      </c>
      <c r="BP615" t="s">
        <v>691</v>
      </c>
      <c r="BQ615" t="s">
        <v>693</v>
      </c>
      <c r="BR615" t="s">
        <v>700</v>
      </c>
      <c r="BS615" t="s">
        <v>704</v>
      </c>
      <c r="BT615" t="s">
        <v>705</v>
      </c>
      <c r="BU615" t="s">
        <v>706</v>
      </c>
      <c r="CT615"/>
      <c r="CU615"/>
      <c r="CV615"/>
    </row>
    <row r="616" spans="1:100" x14ac:dyDescent="0.4">
      <c r="A616" s="2" t="s">
        <v>639</v>
      </c>
      <c r="B616" t="str">
        <f>_xlfn.TEXTAFTER(Table1[[#This Row],[VEHIDCODE]],"_")</f>
        <v>South_Africa_SAR_11E</v>
      </c>
      <c r="C616" t="s">
        <v>740</v>
      </c>
      <c r="D616" t="s">
        <v>960</v>
      </c>
      <c r="E616">
        <v>6130</v>
      </c>
      <c r="F616" t="b">
        <f>OR(ISNUMBER(SEARCH("wagon_",Table1[[#This Row],[FILENAMES_EXPECTED]])),ISNUMBER(SEARCH("coach_",Table1[[#This Row],[FILENAMES_EXPECTED]])))</f>
        <v>0</v>
      </c>
      <c r="G616" t="str">
        <f>"item_"&amp;Table1[[#This Row],[VEHIDCODE]]</f>
        <v>item_electric_South_Africa_SAR_11E</v>
      </c>
      <c r="H616" t="str">
        <f>"str_"&amp;Table1[[#This Row],[VEHIDCODE]]</f>
        <v>str_electric_South_Africa_SAR_11E</v>
      </c>
      <c r="S616" t="b">
        <v>1</v>
      </c>
      <c r="AL616" s="2"/>
      <c r="AM616" s="2" t="b">
        <f>LEN(_xlfn.CONCAT(Table1[[#This Row],[TRACK_TYPE_STANDARD_GAUGE_RAILTYPE_OHLE]:[TRACK_TYPE_MTRO]]))&gt;0</f>
        <v>1</v>
      </c>
      <c r="AN616">
        <v>8</v>
      </c>
      <c r="AO616" t="s">
        <v>20</v>
      </c>
      <c r="AP616">
        <v>0</v>
      </c>
      <c r="AQ616" t="s">
        <v>74</v>
      </c>
      <c r="AR616">
        <v>0</v>
      </c>
      <c r="AS616">
        <v>1985</v>
      </c>
      <c r="AT616">
        <v>8</v>
      </c>
      <c r="AU616" s="2" t="s">
        <v>24</v>
      </c>
      <c r="AV616" t="b">
        <v>1</v>
      </c>
      <c r="AX616" s="2"/>
      <c r="AY616">
        <v>45</v>
      </c>
      <c r="AZ616">
        <v>1</v>
      </c>
      <c r="BA616">
        <v>5200</v>
      </c>
      <c r="BB616" t="s">
        <v>708</v>
      </c>
      <c r="BC616">
        <v>90</v>
      </c>
      <c r="BD616" s="2">
        <v>0.23</v>
      </c>
      <c r="BE616" t="s">
        <v>925</v>
      </c>
      <c r="BF616" t="s">
        <v>921</v>
      </c>
      <c r="BG616" t="s">
        <v>939</v>
      </c>
      <c r="BH616" s="7">
        <v>40</v>
      </c>
      <c r="BI61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616">
        <v>0</v>
      </c>
      <c r="BK616" t="s">
        <v>733</v>
      </c>
      <c r="BL616" s="11"/>
      <c r="BM616" s="11"/>
      <c r="BN616" s="11">
        <v>172</v>
      </c>
      <c r="BO616">
        <v>0</v>
      </c>
      <c r="BP616" t="s">
        <v>691</v>
      </c>
      <c r="BQ616" t="s">
        <v>693</v>
      </c>
      <c r="BR616" t="s">
        <v>700</v>
      </c>
      <c r="BS616" t="s">
        <v>704</v>
      </c>
      <c r="BT616" t="s">
        <v>705</v>
      </c>
      <c r="BU616" t="s">
        <v>706</v>
      </c>
      <c r="CT616"/>
      <c r="CU616"/>
      <c r="CV616"/>
    </row>
    <row r="617" spans="1:100" x14ac:dyDescent="0.4">
      <c r="A617" s="2" t="s">
        <v>640</v>
      </c>
      <c r="B617" t="str">
        <f>_xlfn.TEXTAFTER(Table1[[#This Row],[VEHIDCODE]],"_")</f>
        <v>New_Zealand_TranzRail_EF</v>
      </c>
      <c r="C617" t="s">
        <v>740</v>
      </c>
      <c r="D617" t="s">
        <v>960</v>
      </c>
      <c r="E617">
        <v>6113</v>
      </c>
      <c r="F617" t="b">
        <f>OR(ISNUMBER(SEARCH("wagon_",Table1[[#This Row],[FILENAMES_EXPECTED]])),ISNUMBER(SEARCH("coach_",Table1[[#This Row],[FILENAMES_EXPECTED]])))</f>
        <v>0</v>
      </c>
      <c r="G617" t="str">
        <f>"item_"&amp;Table1[[#This Row],[VEHIDCODE]]</f>
        <v>item_electric_New_Zealand_TranzRail_EF</v>
      </c>
      <c r="H617" t="str">
        <f>"str_"&amp;Table1[[#This Row],[VEHIDCODE]]</f>
        <v>str_electric_New_Zealand_TranzRail_EF</v>
      </c>
      <c r="S617" t="b">
        <v>1</v>
      </c>
      <c r="AL617" s="2"/>
      <c r="AM617" s="2" t="b">
        <f>LEN(_xlfn.CONCAT(Table1[[#This Row],[TRACK_TYPE_STANDARD_GAUGE_RAILTYPE_OHLE]:[TRACK_TYPE_MTRO]]))&gt;0</f>
        <v>1</v>
      </c>
      <c r="AN617">
        <v>8</v>
      </c>
      <c r="AO617" t="s">
        <v>20</v>
      </c>
      <c r="AP617">
        <v>0</v>
      </c>
      <c r="AQ617" t="s">
        <v>74</v>
      </c>
      <c r="AR617">
        <v>0</v>
      </c>
      <c r="AS617">
        <v>1986</v>
      </c>
      <c r="AT617">
        <v>8</v>
      </c>
      <c r="AU617" s="2" t="s">
        <v>20</v>
      </c>
      <c r="AV617" t="b">
        <v>1</v>
      </c>
      <c r="AX617" s="2"/>
      <c r="AY617">
        <v>45</v>
      </c>
      <c r="AZ617">
        <v>1</v>
      </c>
      <c r="BA617">
        <v>4000</v>
      </c>
      <c r="BB617" t="s">
        <v>708</v>
      </c>
      <c r="BC617">
        <v>105</v>
      </c>
      <c r="BD617" s="2">
        <v>0.21</v>
      </c>
      <c r="BE617" t="s">
        <v>924</v>
      </c>
      <c r="BF617" t="s">
        <v>921</v>
      </c>
      <c r="BG617" t="s">
        <v>939</v>
      </c>
      <c r="BH617" s="7">
        <v>40</v>
      </c>
      <c r="BI61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617">
        <v>0</v>
      </c>
      <c r="BK617" t="s">
        <v>733</v>
      </c>
      <c r="BL617" s="11"/>
      <c r="BM617" s="11"/>
      <c r="BN617" s="11">
        <v>107</v>
      </c>
      <c r="BO617">
        <v>0</v>
      </c>
      <c r="BP617" t="s">
        <v>691</v>
      </c>
      <c r="BQ617" t="s">
        <v>693</v>
      </c>
      <c r="BR617" t="s">
        <v>700</v>
      </c>
      <c r="BS617" t="s">
        <v>704</v>
      </c>
      <c r="BT617" t="s">
        <v>705</v>
      </c>
      <c r="BU617" t="s">
        <v>706</v>
      </c>
      <c r="CT617"/>
      <c r="CU617"/>
      <c r="CV617"/>
    </row>
    <row r="618" spans="1:100" x14ac:dyDescent="0.4">
      <c r="A618" s="2" t="s">
        <v>641</v>
      </c>
      <c r="B618" t="str">
        <f>_xlfn.TEXTAFTER(Table1[[#This Row],[VEHIDCODE]],"_")</f>
        <v>Japan_Odakyu_3100_Series_Romance</v>
      </c>
      <c r="C618" t="s">
        <v>743</v>
      </c>
      <c r="D618" t="s">
        <v>964</v>
      </c>
      <c r="E618">
        <v>8010</v>
      </c>
      <c r="F618" t="b">
        <f>OR(ISNUMBER(SEARCH("wagon_",Table1[[#This Row],[FILENAMES_EXPECTED]])),ISNUMBER(SEARCH("coach_",Table1[[#This Row],[FILENAMES_EXPECTED]])))</f>
        <v>0</v>
      </c>
      <c r="G618" t="str">
        <f>"item_"&amp;Table1[[#This Row],[VEHIDCODE]]</f>
        <v>item_emu_Japan_Odakyu_3100_Series_Romance</v>
      </c>
      <c r="H618" t="str">
        <f>"str_"&amp;Table1[[#This Row],[VEHIDCODE]]</f>
        <v>str_emu_Japan_Odakyu_3100_Series_Romance</v>
      </c>
      <c r="V618" t="b">
        <v>1</v>
      </c>
      <c r="AL618" s="2"/>
      <c r="AM618" s="2" t="b">
        <f>LEN(_xlfn.CONCAT(Table1[[#This Row],[TRACK_TYPE_STANDARD_GAUGE_RAILTYPE_OHLE]:[TRACK_TYPE_MTRO]]))&gt;0</f>
        <v>1</v>
      </c>
      <c r="AN618">
        <v>8</v>
      </c>
      <c r="AO618" t="s">
        <v>18</v>
      </c>
      <c r="AP618">
        <v>1</v>
      </c>
      <c r="AQ618" t="s">
        <v>74</v>
      </c>
      <c r="AR618">
        <v>40</v>
      </c>
      <c r="AS618">
        <v>1962</v>
      </c>
      <c r="AT618">
        <v>8</v>
      </c>
      <c r="AU618" s="2" t="s">
        <v>24</v>
      </c>
      <c r="AV618" t="b">
        <v>1</v>
      </c>
      <c r="AW618" t="b">
        <v>1</v>
      </c>
      <c r="AX618" s="2"/>
      <c r="AY618">
        <v>45</v>
      </c>
      <c r="AZ618">
        <v>1</v>
      </c>
      <c r="BA618">
        <v>230</v>
      </c>
      <c r="BB618" t="s">
        <v>708</v>
      </c>
      <c r="BC618">
        <v>110</v>
      </c>
      <c r="BD618" s="2">
        <v>0.27</v>
      </c>
      <c r="BE618" t="s">
        <v>930</v>
      </c>
      <c r="BF618" t="s">
        <v>921</v>
      </c>
      <c r="BG618" t="s">
        <v>939</v>
      </c>
      <c r="BH618" s="7">
        <v>25</v>
      </c>
      <c r="BI61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618">
        <v>0</v>
      </c>
      <c r="BK618" t="s">
        <v>733</v>
      </c>
      <c r="BL618" s="11">
        <v>40</v>
      </c>
      <c r="BM618" s="11">
        <v>8</v>
      </c>
      <c r="BN618" s="11">
        <v>47</v>
      </c>
      <c r="BO618">
        <v>0</v>
      </c>
      <c r="BP618" t="s">
        <v>691</v>
      </c>
      <c r="BQ618" t="s">
        <v>693</v>
      </c>
      <c r="BR618" t="s">
        <v>700</v>
      </c>
      <c r="BS618" t="s">
        <v>704</v>
      </c>
      <c r="BT618" t="s">
        <v>705</v>
      </c>
      <c r="BU618" t="s">
        <v>706</v>
      </c>
      <c r="CT618"/>
      <c r="CU618"/>
      <c r="CV618"/>
    </row>
    <row r="619" spans="1:100" x14ac:dyDescent="0.4">
      <c r="A619" s="2" t="s">
        <v>642</v>
      </c>
      <c r="B619" t="str">
        <f>_xlfn.TEXTAFTER(Table1[[#This Row],[VEHIDCODE]],"_")</f>
        <v>Japan_Odakyu_10000_Series_Romance</v>
      </c>
      <c r="C619" t="s">
        <v>743</v>
      </c>
      <c r="D619" t="s">
        <v>964</v>
      </c>
      <c r="E619">
        <v>8021</v>
      </c>
      <c r="F619" t="b">
        <f>OR(ISNUMBER(SEARCH("wagon_",Table1[[#This Row],[FILENAMES_EXPECTED]])),ISNUMBER(SEARCH("coach_",Table1[[#This Row],[FILENAMES_EXPECTED]])))</f>
        <v>0</v>
      </c>
      <c r="G619" t="str">
        <f>"item_"&amp;Table1[[#This Row],[VEHIDCODE]]</f>
        <v>item_emu_Japan_Odakyu_10000_Series_Romance</v>
      </c>
      <c r="H619" t="str">
        <f>"str_"&amp;Table1[[#This Row],[VEHIDCODE]]</f>
        <v>str_emu_Japan_Odakyu_10000_Series_Romance</v>
      </c>
      <c r="V619" t="b">
        <v>1</v>
      </c>
      <c r="AL619" s="2"/>
      <c r="AM619" s="2" t="b">
        <f>LEN(_xlfn.CONCAT(Table1[[#This Row],[TRACK_TYPE_STANDARD_GAUGE_RAILTYPE_OHLE]:[TRACK_TYPE_MTRO]]))&gt;0</f>
        <v>1</v>
      </c>
      <c r="AN619">
        <v>8</v>
      </c>
      <c r="AO619" t="s">
        <v>18</v>
      </c>
      <c r="AP619">
        <v>1</v>
      </c>
      <c r="AQ619" t="s">
        <v>74</v>
      </c>
      <c r="AR619">
        <v>40</v>
      </c>
      <c r="AS619">
        <v>1986</v>
      </c>
      <c r="AT619">
        <v>8</v>
      </c>
      <c r="AU619" s="2" t="s">
        <v>24</v>
      </c>
      <c r="AV619" t="b">
        <v>1</v>
      </c>
      <c r="AW619" t="b">
        <v>1</v>
      </c>
      <c r="AX619" s="2"/>
      <c r="AY619">
        <v>45</v>
      </c>
      <c r="AZ619">
        <v>1</v>
      </c>
      <c r="BA619">
        <v>1550</v>
      </c>
      <c r="BB619" t="s">
        <v>708</v>
      </c>
      <c r="BC619">
        <v>110</v>
      </c>
      <c r="BD619" s="2">
        <v>0.22</v>
      </c>
      <c r="BE619" t="s">
        <v>930</v>
      </c>
      <c r="BF619" t="s">
        <v>921</v>
      </c>
      <c r="BG619" t="s">
        <v>939</v>
      </c>
      <c r="BH619" s="7">
        <v>25</v>
      </c>
      <c r="BI61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619">
        <v>0</v>
      </c>
      <c r="BK619" t="s">
        <v>733</v>
      </c>
      <c r="BL619" s="11">
        <v>40</v>
      </c>
      <c r="BM619" s="11">
        <v>8</v>
      </c>
      <c r="BN619" s="11">
        <v>35</v>
      </c>
      <c r="BO619">
        <v>0</v>
      </c>
      <c r="BP619" t="s">
        <v>691</v>
      </c>
      <c r="BQ619" t="s">
        <v>693</v>
      </c>
      <c r="BR619" t="s">
        <v>700</v>
      </c>
      <c r="BS619" t="s">
        <v>704</v>
      </c>
      <c r="BT619" t="s">
        <v>705</v>
      </c>
      <c r="BU619" t="s">
        <v>706</v>
      </c>
      <c r="CT619"/>
      <c r="CU619"/>
      <c r="CV619"/>
    </row>
    <row r="620" spans="1:100" x14ac:dyDescent="0.4">
      <c r="A620" s="2" t="s">
        <v>643</v>
      </c>
      <c r="B620" t="str">
        <f>_xlfn.TEXTAFTER(Table1[[#This Row],[VEHIDCODE]],"_")</f>
        <v>Australia_Sydney_Trains_S_Set</v>
      </c>
      <c r="C620" t="s">
        <v>743</v>
      </c>
      <c r="D620" t="s">
        <v>964</v>
      </c>
      <c r="E620">
        <v>8015</v>
      </c>
      <c r="F620" t="b">
        <f>OR(ISNUMBER(SEARCH("wagon_",Table1[[#This Row],[FILENAMES_EXPECTED]])),ISNUMBER(SEARCH("coach_",Table1[[#This Row],[FILENAMES_EXPECTED]])))</f>
        <v>0</v>
      </c>
      <c r="G620" t="str">
        <f>"item_"&amp;Table1[[#This Row],[VEHIDCODE]]</f>
        <v>item_emu_Australia_Sydney_Trains_S_Set</v>
      </c>
      <c r="H620" t="str">
        <f>"str_"&amp;Table1[[#This Row],[VEHIDCODE]]</f>
        <v>str_emu_Australia_Sydney_Trains_S_Set</v>
      </c>
      <c r="M620" t="b">
        <v>1</v>
      </c>
      <c r="AL620" s="2"/>
      <c r="AM620" s="2" t="b">
        <f>LEN(_xlfn.CONCAT(Table1[[#This Row],[TRACK_TYPE_STANDARD_GAUGE_RAILTYPE_OHLE]:[TRACK_TYPE_MTRO]]))&gt;0</f>
        <v>1</v>
      </c>
      <c r="AN620">
        <v>8</v>
      </c>
      <c r="AO620" t="s">
        <v>18</v>
      </c>
      <c r="AP620">
        <v>1</v>
      </c>
      <c r="AQ620" t="s">
        <v>74</v>
      </c>
      <c r="AR620">
        <v>112</v>
      </c>
      <c r="AS620">
        <v>1972</v>
      </c>
      <c r="AT620">
        <v>8</v>
      </c>
      <c r="AU620" s="2" t="s">
        <v>24</v>
      </c>
      <c r="AV620" t="b">
        <v>1</v>
      </c>
      <c r="AW620" t="b">
        <v>1</v>
      </c>
      <c r="AX620" s="2"/>
      <c r="AY620">
        <v>45</v>
      </c>
      <c r="AZ620">
        <v>1</v>
      </c>
      <c r="BA620">
        <v>800</v>
      </c>
      <c r="BB620" t="s">
        <v>708</v>
      </c>
      <c r="BC620">
        <v>115</v>
      </c>
      <c r="BD620" s="2">
        <v>0.31</v>
      </c>
      <c r="BE620" t="s">
        <v>924</v>
      </c>
      <c r="BF620" t="s">
        <v>921</v>
      </c>
      <c r="BG620" t="s">
        <v>939</v>
      </c>
      <c r="BH620" s="7">
        <v>25</v>
      </c>
      <c r="BI62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620">
        <v>-3</v>
      </c>
      <c r="BK620" t="s">
        <v>733</v>
      </c>
      <c r="BL620" s="11">
        <v>112</v>
      </c>
      <c r="BM620" s="11">
        <v>8</v>
      </c>
      <c r="BN620" s="11">
        <v>68</v>
      </c>
      <c r="BO620">
        <v>0</v>
      </c>
      <c r="BP620" t="s">
        <v>691</v>
      </c>
      <c r="BQ620" t="s">
        <v>693</v>
      </c>
      <c r="BR620" t="s">
        <v>700</v>
      </c>
      <c r="BS620" t="s">
        <v>704</v>
      </c>
      <c r="BT620" t="s">
        <v>705</v>
      </c>
      <c r="BU620" t="s">
        <v>706</v>
      </c>
      <c r="CT620"/>
      <c r="CU620"/>
      <c r="CV620"/>
    </row>
    <row r="621" spans="1:100" x14ac:dyDescent="0.4">
      <c r="A621" s="2" t="s">
        <v>644</v>
      </c>
      <c r="B621" t="str">
        <f>_xlfn.TEXTAFTER(Table1[[#This Row],[VEHIDCODE]],"_")</f>
        <v>Australia_Sydney_Trains_OSCars</v>
      </c>
      <c r="C621" t="s">
        <v>743</v>
      </c>
      <c r="D621" t="s">
        <v>964</v>
      </c>
      <c r="E621">
        <v>8040</v>
      </c>
      <c r="F621" t="b">
        <f>OR(ISNUMBER(SEARCH("wagon_",Table1[[#This Row],[FILENAMES_EXPECTED]])),ISNUMBER(SEARCH("coach_",Table1[[#This Row],[FILENAMES_EXPECTED]])))</f>
        <v>0</v>
      </c>
      <c r="G621" t="str">
        <f>"item_"&amp;Table1[[#This Row],[VEHIDCODE]]</f>
        <v>item_emu_Australia_Sydney_Trains_OSCars</v>
      </c>
      <c r="H621" t="str">
        <f>"str_"&amp;Table1[[#This Row],[VEHIDCODE]]</f>
        <v>str_emu_Australia_Sydney_Trains_OSCars</v>
      </c>
      <c r="M621" t="b">
        <v>1</v>
      </c>
      <c r="AL621" s="2"/>
      <c r="AM621" s="2" t="b">
        <f>LEN(_xlfn.CONCAT(Table1[[#This Row],[TRACK_TYPE_STANDARD_GAUGE_RAILTYPE_OHLE]:[TRACK_TYPE_MTRO]]))&gt;0</f>
        <v>1</v>
      </c>
      <c r="AN621">
        <v>8</v>
      </c>
      <c r="AO621" t="s">
        <v>18</v>
      </c>
      <c r="AP621">
        <v>1</v>
      </c>
      <c r="AQ621" t="s">
        <v>74</v>
      </c>
      <c r="AR621">
        <v>120</v>
      </c>
      <c r="AS621">
        <v>2007</v>
      </c>
      <c r="AT621">
        <v>8</v>
      </c>
      <c r="AU621" s="2" t="s">
        <v>24</v>
      </c>
      <c r="AV621" t="b">
        <v>1</v>
      </c>
      <c r="AW621" t="b">
        <v>1</v>
      </c>
      <c r="AX621" s="2"/>
      <c r="AY621" t="s">
        <v>21</v>
      </c>
      <c r="AZ621">
        <v>1</v>
      </c>
      <c r="BA621">
        <v>950</v>
      </c>
      <c r="BB621" t="s">
        <v>708</v>
      </c>
      <c r="BC621">
        <v>130</v>
      </c>
      <c r="BD621" s="2">
        <v>0.41</v>
      </c>
      <c r="BE621" t="s">
        <v>924</v>
      </c>
      <c r="BF621" t="s">
        <v>921</v>
      </c>
      <c r="BG621" t="s">
        <v>939</v>
      </c>
      <c r="BH621" s="7">
        <v>25</v>
      </c>
      <c r="BI62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621">
        <v>0</v>
      </c>
      <c r="BK621" t="s">
        <v>733</v>
      </c>
      <c r="BL621" s="11">
        <v>120</v>
      </c>
      <c r="BM621" s="11">
        <v>8</v>
      </c>
      <c r="BN621" s="11">
        <v>47</v>
      </c>
      <c r="BO621">
        <v>0</v>
      </c>
      <c r="BP621" t="s">
        <v>691</v>
      </c>
      <c r="BQ621" t="s">
        <v>693</v>
      </c>
      <c r="BR621" t="s">
        <v>700</v>
      </c>
      <c r="BS621" t="s">
        <v>704</v>
      </c>
      <c r="BT621" t="s">
        <v>705</v>
      </c>
      <c r="BU621" t="s">
        <v>706</v>
      </c>
      <c r="CT621"/>
      <c r="CU621"/>
      <c r="CV621"/>
    </row>
    <row r="622" spans="1:100" x14ac:dyDescent="0.4">
      <c r="A622" s="2" t="s">
        <v>645</v>
      </c>
      <c r="B622" t="str">
        <f>_xlfn.TEXTAFTER(Table1[[#This Row],[VEHIDCODE]],"_")</f>
        <v>Australia_Victorian_Railways_Swing_Door</v>
      </c>
      <c r="C622" t="s">
        <v>743</v>
      </c>
      <c r="D622" t="s">
        <v>964</v>
      </c>
      <c r="E622">
        <v>8046</v>
      </c>
      <c r="F622" t="b">
        <f>OR(ISNUMBER(SEARCH("wagon_",Table1[[#This Row],[FILENAMES_EXPECTED]])),ISNUMBER(SEARCH("coach_",Table1[[#This Row],[FILENAMES_EXPECTED]])))</f>
        <v>0</v>
      </c>
      <c r="G622" t="str">
        <f>"item_"&amp;Table1[[#This Row],[VEHIDCODE]]</f>
        <v>item_emu_Australia_Victorian_Railways_Swing_Door</v>
      </c>
      <c r="H622" t="str">
        <f>"str_"&amp;Table1[[#This Row],[VEHIDCODE]]</f>
        <v>str_emu_Australia_Victorian_Railways_Swing_Door</v>
      </c>
      <c r="V622" t="b">
        <v>1</v>
      </c>
      <c r="AL622" s="2"/>
      <c r="AM622" s="2" t="b">
        <f>LEN(_xlfn.CONCAT(Table1[[#This Row],[TRACK_TYPE_STANDARD_GAUGE_RAILTYPE_OHLE]:[TRACK_TYPE_MTRO]]))&gt;0</f>
        <v>1</v>
      </c>
      <c r="AN622">
        <v>8</v>
      </c>
      <c r="AO622" t="s">
        <v>18</v>
      </c>
      <c r="AP622">
        <v>1</v>
      </c>
      <c r="AQ622" t="s">
        <v>74</v>
      </c>
      <c r="AR622">
        <v>48</v>
      </c>
      <c r="AS622">
        <v>1917</v>
      </c>
      <c r="AT622">
        <v>8</v>
      </c>
      <c r="AU622" s="2" t="s">
        <v>24</v>
      </c>
      <c r="AV622" t="b">
        <v>1</v>
      </c>
      <c r="AW622" t="b">
        <v>1</v>
      </c>
      <c r="AX622" s="2"/>
      <c r="AY622">
        <v>45</v>
      </c>
      <c r="AZ622">
        <v>1</v>
      </c>
      <c r="BA622">
        <v>280</v>
      </c>
      <c r="BB622" t="s">
        <v>708</v>
      </c>
      <c r="BC622">
        <v>83</v>
      </c>
      <c r="BD622" s="2">
        <v>0.16</v>
      </c>
      <c r="BE622" t="s">
        <v>924</v>
      </c>
      <c r="BF622" t="s">
        <v>921</v>
      </c>
      <c r="BG622" t="s">
        <v>939</v>
      </c>
      <c r="BH622" s="7">
        <v>25</v>
      </c>
      <c r="BI62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622">
        <v>0</v>
      </c>
      <c r="BK622" t="s">
        <v>733</v>
      </c>
      <c r="BL622" s="11">
        <v>48</v>
      </c>
      <c r="BM622" s="11">
        <v>8</v>
      </c>
      <c r="BN622" s="11">
        <v>55</v>
      </c>
      <c r="BO622">
        <v>0</v>
      </c>
      <c r="BP622" t="s">
        <v>691</v>
      </c>
      <c r="BQ622" t="s">
        <v>693</v>
      </c>
      <c r="BR622" t="s">
        <v>700</v>
      </c>
      <c r="BS622" t="s">
        <v>704</v>
      </c>
      <c r="BT622" t="s">
        <v>705</v>
      </c>
      <c r="BU622" t="s">
        <v>706</v>
      </c>
      <c r="CT622"/>
      <c r="CU622"/>
      <c r="CV622"/>
    </row>
    <row r="623" spans="1:100" x14ac:dyDescent="0.4">
      <c r="A623" s="2" t="s">
        <v>646</v>
      </c>
      <c r="B623" t="str">
        <f>_xlfn.TEXTAFTER(Table1[[#This Row],[VEHIDCODE]],"_")</f>
        <v>New_Zealand_NZR_EM_ET_Class</v>
      </c>
      <c r="C623" t="s">
        <v>743</v>
      </c>
      <c r="D623" t="s">
        <v>964</v>
      </c>
      <c r="E623">
        <v>8052</v>
      </c>
      <c r="F623" t="b">
        <f>OR(ISNUMBER(SEARCH("wagon_",Table1[[#This Row],[FILENAMES_EXPECTED]])),ISNUMBER(SEARCH("coach_",Table1[[#This Row],[FILENAMES_EXPECTED]])))</f>
        <v>0</v>
      </c>
      <c r="G623" t="str">
        <f>"item_"&amp;Table1[[#This Row],[VEHIDCODE]]</f>
        <v>item_emu_New_Zealand_NZR_EM_ET_Class</v>
      </c>
      <c r="H623" t="str">
        <f>"str_"&amp;Table1[[#This Row],[VEHIDCODE]]</f>
        <v>str_emu_New_Zealand_NZR_EM_ET_Class</v>
      </c>
      <c r="V623" t="b">
        <v>1</v>
      </c>
      <c r="AL623" s="2"/>
      <c r="AM623" s="2" t="b">
        <f>LEN(_xlfn.CONCAT(Table1[[#This Row],[TRACK_TYPE_STANDARD_GAUGE_RAILTYPE_OHLE]:[TRACK_TYPE_MTRO]]))&gt;0</f>
        <v>1</v>
      </c>
      <c r="AN623">
        <v>8</v>
      </c>
      <c r="AO623" t="s">
        <v>18</v>
      </c>
      <c r="AP623">
        <v>1</v>
      </c>
      <c r="AQ623" t="s">
        <v>74</v>
      </c>
      <c r="AR623">
        <v>74</v>
      </c>
      <c r="AS623">
        <v>1979</v>
      </c>
      <c r="AT623">
        <v>8</v>
      </c>
      <c r="AU623" s="2" t="s">
        <v>24</v>
      </c>
      <c r="AV623" t="b">
        <v>1</v>
      </c>
      <c r="AW623" t="b">
        <v>1</v>
      </c>
      <c r="AX623" s="2"/>
      <c r="AY623">
        <v>45</v>
      </c>
      <c r="AZ623">
        <v>1</v>
      </c>
      <c r="BA623">
        <v>540</v>
      </c>
      <c r="BB623" t="s">
        <v>708</v>
      </c>
      <c r="BC623">
        <v>110</v>
      </c>
      <c r="BD623" s="2">
        <v>0.26</v>
      </c>
      <c r="BE623" t="s">
        <v>924</v>
      </c>
      <c r="BF623" t="s">
        <v>921</v>
      </c>
      <c r="BG623" t="s">
        <v>939</v>
      </c>
      <c r="BH623" s="7">
        <v>25</v>
      </c>
      <c r="BI62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623">
        <v>0</v>
      </c>
      <c r="BK623" t="s">
        <v>733</v>
      </c>
      <c r="BL623" s="11">
        <v>74</v>
      </c>
      <c r="BM623" s="11">
        <v>8</v>
      </c>
      <c r="BN623" s="11">
        <v>37</v>
      </c>
      <c r="BO623">
        <v>0</v>
      </c>
      <c r="BP623" t="s">
        <v>691</v>
      </c>
      <c r="BQ623" t="s">
        <v>693</v>
      </c>
      <c r="BR623" t="s">
        <v>700</v>
      </c>
      <c r="BS623" t="s">
        <v>704</v>
      </c>
      <c r="BT623" t="s">
        <v>705</v>
      </c>
      <c r="BU623" t="s">
        <v>706</v>
      </c>
      <c r="CT623"/>
      <c r="CU623"/>
      <c r="CV623"/>
    </row>
    <row r="624" spans="1:100" x14ac:dyDescent="0.4">
      <c r="A624" s="2" t="s">
        <v>647</v>
      </c>
      <c r="B624" t="str">
        <f>_xlfn.TEXTAFTER(Table1[[#This Row],[VEHIDCODE]],"_")</f>
        <v>South_Africa_SAR_5M2</v>
      </c>
      <c r="C624" t="s">
        <v>743</v>
      </c>
      <c r="D624" t="s">
        <v>964</v>
      </c>
      <c r="E624">
        <v>8049</v>
      </c>
      <c r="F624" t="b">
        <f>OR(ISNUMBER(SEARCH("wagon_",Table1[[#This Row],[FILENAMES_EXPECTED]])),ISNUMBER(SEARCH("coach_",Table1[[#This Row],[FILENAMES_EXPECTED]])))</f>
        <v>0</v>
      </c>
      <c r="G624" t="str">
        <f>"item_"&amp;Table1[[#This Row],[VEHIDCODE]]</f>
        <v>item_emu_South_Africa_SAR_5M2</v>
      </c>
      <c r="H624" t="str">
        <f>"str_"&amp;Table1[[#This Row],[VEHIDCODE]]</f>
        <v>str_emu_South_Africa_SAR_5M2</v>
      </c>
      <c r="U624" t="b">
        <v>1</v>
      </c>
      <c r="AL624" s="2"/>
      <c r="AM624" s="2" t="b">
        <f>LEN(_xlfn.CONCAT(Table1[[#This Row],[TRACK_TYPE_STANDARD_GAUGE_RAILTYPE_OHLE]:[TRACK_TYPE_MTRO]]))&gt;0</f>
        <v>1</v>
      </c>
      <c r="AN624">
        <v>7</v>
      </c>
      <c r="AO624" t="s">
        <v>18</v>
      </c>
      <c r="AP624">
        <v>1</v>
      </c>
      <c r="AQ624" t="s">
        <v>74</v>
      </c>
      <c r="AR624">
        <v>52</v>
      </c>
      <c r="AS624">
        <v>1954</v>
      </c>
      <c r="AT624">
        <v>7</v>
      </c>
      <c r="AU624" s="2" t="s">
        <v>24</v>
      </c>
      <c r="AV624" t="b">
        <v>1</v>
      </c>
      <c r="AW624" t="b">
        <v>1</v>
      </c>
      <c r="AX624" s="2"/>
      <c r="AY624">
        <v>45</v>
      </c>
      <c r="AZ624">
        <v>1</v>
      </c>
      <c r="BA624">
        <v>1240</v>
      </c>
      <c r="BB624" t="s">
        <v>708</v>
      </c>
      <c r="BC624">
        <v>100</v>
      </c>
      <c r="BD624" s="2">
        <v>0.26</v>
      </c>
      <c r="BE624" t="s">
        <v>925</v>
      </c>
      <c r="BF624" t="s">
        <v>921</v>
      </c>
      <c r="BG624" t="s">
        <v>939</v>
      </c>
      <c r="BH624" s="7">
        <v>25</v>
      </c>
      <c r="BI62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624">
        <v>0</v>
      </c>
      <c r="BK624" t="s">
        <v>733</v>
      </c>
      <c r="BL624" s="11">
        <v>52</v>
      </c>
      <c r="BM624" s="11">
        <v>7</v>
      </c>
      <c r="BN624" s="11">
        <v>60</v>
      </c>
      <c r="BO624">
        <v>0</v>
      </c>
      <c r="BP624" t="s">
        <v>691</v>
      </c>
      <c r="BQ624" t="s">
        <v>693</v>
      </c>
      <c r="BR624" t="s">
        <v>700</v>
      </c>
      <c r="BS624" t="s">
        <v>704</v>
      </c>
      <c r="BT624" t="s">
        <v>705</v>
      </c>
      <c r="BU624" t="s">
        <v>706</v>
      </c>
      <c r="CT624"/>
      <c r="CU624"/>
      <c r="CV624"/>
    </row>
    <row r="625" spans="1:100" x14ac:dyDescent="0.4">
      <c r="A625" s="2" t="s">
        <v>648</v>
      </c>
      <c r="B625" t="str">
        <f>_xlfn.TEXTAFTER(Table1[[#This Row],[VEHIDCODE]],"_")</f>
        <v>Chile_EFE_XTrapolis_100</v>
      </c>
      <c r="C625" t="s">
        <v>743</v>
      </c>
      <c r="D625" t="s">
        <v>964</v>
      </c>
      <c r="E625">
        <v>8057</v>
      </c>
      <c r="F625" t="b">
        <f>OR(ISNUMBER(SEARCH("wagon_",Table1[[#This Row],[FILENAMES_EXPECTED]])),ISNUMBER(SEARCH("coach_",Table1[[#This Row],[FILENAMES_EXPECTED]])))</f>
        <v>0</v>
      </c>
      <c r="G625" t="str">
        <f>"item_"&amp;Table1[[#This Row],[VEHIDCODE]]</f>
        <v>item_emu_Chile_EFE_XTrapolis_100</v>
      </c>
      <c r="H625" t="str">
        <f>"str_"&amp;Table1[[#This Row],[VEHIDCODE]]</f>
        <v>str_emu_Chile_EFE_XTrapolis_100</v>
      </c>
      <c r="AI625" s="2" t="b">
        <v>1</v>
      </c>
      <c r="AL625" s="2"/>
      <c r="AM625" s="2" t="b">
        <f>LEN(_xlfn.CONCAT(Table1[[#This Row],[TRACK_TYPE_STANDARD_GAUGE_RAILTYPE_OHLE]:[TRACK_TYPE_MTRO]]))&gt;0</f>
        <v>1</v>
      </c>
      <c r="AN625">
        <v>8</v>
      </c>
      <c r="AO625" t="s">
        <v>18</v>
      </c>
      <c r="AP625">
        <v>1</v>
      </c>
      <c r="AQ625" t="s">
        <v>74</v>
      </c>
      <c r="AR625">
        <v>72</v>
      </c>
      <c r="AS625">
        <v>2005</v>
      </c>
      <c r="AT625">
        <v>8</v>
      </c>
      <c r="AU625" s="2" t="s">
        <v>24</v>
      </c>
      <c r="AV625" t="b">
        <v>1</v>
      </c>
      <c r="AW625" t="b">
        <v>1</v>
      </c>
      <c r="AX625" s="2"/>
      <c r="AY625" t="s">
        <v>21</v>
      </c>
      <c r="AZ625">
        <v>1</v>
      </c>
      <c r="BA625">
        <v>720</v>
      </c>
      <c r="BB625" t="s">
        <v>708</v>
      </c>
      <c r="BC625">
        <v>143</v>
      </c>
      <c r="BD625" s="2">
        <v>0.28999999999999998</v>
      </c>
      <c r="BE625" t="s">
        <v>929</v>
      </c>
      <c r="BF625" t="s">
        <v>921</v>
      </c>
      <c r="BG625" t="s">
        <v>939</v>
      </c>
      <c r="BH625" s="7">
        <v>40</v>
      </c>
      <c r="BI62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625">
        <v>0</v>
      </c>
      <c r="BK625" t="s">
        <v>733</v>
      </c>
      <c r="BL625" s="11">
        <v>96</v>
      </c>
      <c r="BM625" s="11">
        <v>8</v>
      </c>
      <c r="BN625" s="11">
        <v>43</v>
      </c>
      <c r="BO625">
        <v>0</v>
      </c>
      <c r="BP625" t="s">
        <v>691</v>
      </c>
      <c r="BQ625" t="s">
        <v>693</v>
      </c>
      <c r="BR625" t="s">
        <v>700</v>
      </c>
      <c r="BS625" t="s">
        <v>704</v>
      </c>
      <c r="BT625" t="s">
        <v>705</v>
      </c>
      <c r="BU625" t="s">
        <v>706</v>
      </c>
      <c r="CT625"/>
      <c r="CU625"/>
      <c r="CV625"/>
    </row>
    <row r="626" spans="1:100" x14ac:dyDescent="0.4">
      <c r="A626" s="2" t="s">
        <v>649</v>
      </c>
      <c r="B626" t="str">
        <f>_xlfn.TEXTAFTER(Table1[[#This Row],[VEHIDCODE]],"_")</f>
        <v>Chile_EFE_AES_Railcar</v>
      </c>
      <c r="C626" t="s">
        <v>743</v>
      </c>
      <c r="D626" t="s">
        <v>964</v>
      </c>
      <c r="E626">
        <v>8056</v>
      </c>
      <c r="F626" t="b">
        <f>OR(ISNUMBER(SEARCH("wagon_",Table1[[#This Row],[FILENAMES_EXPECTED]])),ISNUMBER(SEARCH("coach_",Table1[[#This Row],[FILENAMES_EXPECTED]])))</f>
        <v>0</v>
      </c>
      <c r="G626" t="str">
        <f>"item_"&amp;Table1[[#This Row],[VEHIDCODE]]</f>
        <v>item_emu_Chile_EFE_AES_Railcar</v>
      </c>
      <c r="H626" t="str">
        <f>"str_"&amp;Table1[[#This Row],[VEHIDCODE]]</f>
        <v>str_emu_Chile_EFE_AES_Railcar</v>
      </c>
      <c r="AD626" t="b">
        <v>1</v>
      </c>
      <c r="AL626" s="2"/>
      <c r="AM626" s="2" t="b">
        <f>LEN(_xlfn.CONCAT(Table1[[#This Row],[TRACK_TYPE_STANDARD_GAUGE_RAILTYPE_OHLE]:[TRACK_TYPE_MTRO]]))&gt;0</f>
        <v>1</v>
      </c>
      <c r="AN626">
        <v>7</v>
      </c>
      <c r="AO626" t="s">
        <v>18</v>
      </c>
      <c r="AP626">
        <v>1</v>
      </c>
      <c r="AQ626" t="s">
        <v>74</v>
      </c>
      <c r="AR626">
        <v>88</v>
      </c>
      <c r="AS626">
        <v>1976</v>
      </c>
      <c r="AT626">
        <v>7</v>
      </c>
      <c r="AU626" s="2" t="s">
        <v>24</v>
      </c>
      <c r="AV626" t="b">
        <v>1</v>
      </c>
      <c r="AW626" t="b">
        <v>1</v>
      </c>
      <c r="AX626" s="2"/>
      <c r="AY626">
        <v>45</v>
      </c>
      <c r="AZ626">
        <v>1</v>
      </c>
      <c r="BA626">
        <v>1500</v>
      </c>
      <c r="BB626" t="s">
        <v>708</v>
      </c>
      <c r="BC626">
        <v>130</v>
      </c>
      <c r="BD626" s="2">
        <v>0.21</v>
      </c>
      <c r="BE626" t="s">
        <v>929</v>
      </c>
      <c r="BF626" t="s">
        <v>921</v>
      </c>
      <c r="BG626" t="s">
        <v>939</v>
      </c>
      <c r="BH626" s="7">
        <v>40</v>
      </c>
      <c r="BI62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626">
        <v>0</v>
      </c>
      <c r="BK626" t="s">
        <v>733</v>
      </c>
      <c r="BL626" s="11">
        <v>92</v>
      </c>
      <c r="BM626" s="11">
        <v>7</v>
      </c>
      <c r="BN626" s="11">
        <v>61</v>
      </c>
      <c r="BO626">
        <v>0</v>
      </c>
      <c r="BP626" t="s">
        <v>691</v>
      </c>
      <c r="BQ626" t="s">
        <v>693</v>
      </c>
      <c r="BR626" t="s">
        <v>700</v>
      </c>
      <c r="BS626" t="s">
        <v>704</v>
      </c>
      <c r="BT626" t="s">
        <v>705</v>
      </c>
      <c r="BU626" t="s">
        <v>706</v>
      </c>
      <c r="CT626"/>
      <c r="CU626"/>
      <c r="CV626"/>
    </row>
    <row r="627" spans="1:100" x14ac:dyDescent="0.4">
      <c r="A627" s="2" t="s">
        <v>650</v>
      </c>
      <c r="B627" t="str">
        <f>_xlfn.TEXTAFTER(Table1[[#This Row],[VEHIDCODE]],"_")</f>
        <v>Tunisia_SNCFT_YZ_E</v>
      </c>
      <c r="C627" t="s">
        <v>743</v>
      </c>
      <c r="D627" t="s">
        <v>964</v>
      </c>
      <c r="E627">
        <v>8058</v>
      </c>
      <c r="F627" t="b">
        <f>OR(ISNUMBER(SEARCH("wagon_",Table1[[#This Row],[FILENAMES_EXPECTED]])),ISNUMBER(SEARCH("coach_",Table1[[#This Row],[FILENAMES_EXPECTED]])))</f>
        <v>0</v>
      </c>
      <c r="G627" t="str">
        <f>"item_"&amp;Table1[[#This Row],[VEHIDCODE]]</f>
        <v>item_emu_Tunisia_SNCFT_YZ_E</v>
      </c>
      <c r="H627" t="str">
        <f>"str_"&amp;Table1[[#This Row],[VEHIDCODE]]</f>
        <v>str_emu_Tunisia_SNCFT_YZ_E</v>
      </c>
      <c r="S627" t="b">
        <v>1</v>
      </c>
      <c r="AL627" s="2"/>
      <c r="AM627" s="2" t="b">
        <f>LEN(_xlfn.CONCAT(Table1[[#This Row],[TRACK_TYPE_STANDARD_GAUGE_RAILTYPE_OHLE]:[TRACK_TYPE_MTRO]]))&gt;0</f>
        <v>1</v>
      </c>
      <c r="AN627">
        <v>8</v>
      </c>
      <c r="AO627" t="s">
        <v>18</v>
      </c>
      <c r="AP627">
        <v>1</v>
      </c>
      <c r="AQ627" t="s">
        <v>74</v>
      </c>
      <c r="AR627">
        <v>48</v>
      </c>
      <c r="AS627">
        <v>1984</v>
      </c>
      <c r="AT627">
        <v>8</v>
      </c>
      <c r="AU627" s="2" t="s">
        <v>24</v>
      </c>
      <c r="AV627" t="b">
        <v>1</v>
      </c>
      <c r="AW627" t="b">
        <v>1</v>
      </c>
      <c r="AX627" s="2"/>
      <c r="AY627">
        <v>45</v>
      </c>
      <c r="AZ627">
        <v>1</v>
      </c>
      <c r="BA627">
        <v>2340</v>
      </c>
      <c r="BB627" t="s">
        <v>708</v>
      </c>
      <c r="BC627">
        <v>110</v>
      </c>
      <c r="BD627" s="2">
        <v>0.2</v>
      </c>
      <c r="BE627" t="s">
        <v>925</v>
      </c>
      <c r="BF627" t="s">
        <v>921</v>
      </c>
      <c r="BG627" t="s">
        <v>939</v>
      </c>
      <c r="BH627" s="7">
        <v>40</v>
      </c>
      <c r="BI62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627">
        <v>0</v>
      </c>
      <c r="BK627" t="s">
        <v>733</v>
      </c>
      <c r="BL627" s="11">
        <v>54</v>
      </c>
      <c r="BM627" s="11">
        <v>8</v>
      </c>
      <c r="BN627" s="11">
        <v>50</v>
      </c>
      <c r="BO627">
        <v>0</v>
      </c>
      <c r="BP627" t="s">
        <v>691</v>
      </c>
      <c r="BQ627" t="s">
        <v>693</v>
      </c>
      <c r="BR627" t="s">
        <v>700</v>
      </c>
      <c r="BS627" t="s">
        <v>704</v>
      </c>
      <c r="BT627" t="s">
        <v>705</v>
      </c>
      <c r="BU627" t="s">
        <v>706</v>
      </c>
      <c r="CT627"/>
      <c r="CU627"/>
      <c r="CV627"/>
    </row>
    <row r="628" spans="1:100" x14ac:dyDescent="0.4">
      <c r="A628" s="2" t="s">
        <v>651</v>
      </c>
      <c r="B628" t="str">
        <f>_xlfn.TEXTAFTER(Table1[[#This Row],[VEHIDCODE]],"_")</f>
        <v>Australia_Queensland_Rail_Tilt_Train</v>
      </c>
      <c r="C628" t="s">
        <v>743</v>
      </c>
      <c r="D628" t="s">
        <v>964</v>
      </c>
      <c r="E628">
        <v>8066</v>
      </c>
      <c r="F628" t="b">
        <f>OR(ISNUMBER(SEARCH("wagon_",Table1[[#This Row],[FILENAMES_EXPECTED]])),ISNUMBER(SEARCH("coach_",Table1[[#This Row],[FILENAMES_EXPECTED]])))</f>
        <v>0</v>
      </c>
      <c r="G628" t="str">
        <f>"item_"&amp;Table1[[#This Row],[VEHIDCODE]]</f>
        <v>item_emu_Australia_Queensland_Rail_Tilt_Train</v>
      </c>
      <c r="H628" t="str">
        <f>"str_"&amp;Table1[[#This Row],[VEHIDCODE]]</f>
        <v>str_emu_Australia_Queensland_Rail_Tilt_Train</v>
      </c>
      <c r="S628" t="b">
        <v>1</v>
      </c>
      <c r="AL628" s="2"/>
      <c r="AM628" s="2" t="b">
        <f>LEN(_xlfn.CONCAT(Table1[[#This Row],[TRACK_TYPE_STANDARD_GAUGE_RAILTYPE_OHLE]:[TRACK_TYPE_MTRO]]))&gt;0</f>
        <v>1</v>
      </c>
      <c r="AN628">
        <v>8</v>
      </c>
      <c r="AO628" t="s">
        <v>18</v>
      </c>
      <c r="AP628">
        <v>1</v>
      </c>
      <c r="AQ628" t="s">
        <v>74</v>
      </c>
      <c r="AR628">
        <v>56</v>
      </c>
      <c r="AS628">
        <v>1997</v>
      </c>
      <c r="AT628">
        <v>8</v>
      </c>
      <c r="AU628" s="2" t="s">
        <v>24</v>
      </c>
      <c r="AV628" t="b">
        <v>1</v>
      </c>
      <c r="AW628" t="b">
        <v>1</v>
      </c>
      <c r="AX628" s="2"/>
      <c r="AY628">
        <v>45</v>
      </c>
      <c r="AZ628">
        <v>1</v>
      </c>
      <c r="BA628">
        <v>910</v>
      </c>
      <c r="BB628" t="s">
        <v>708</v>
      </c>
      <c r="BC628">
        <v>160</v>
      </c>
      <c r="BD628" s="2">
        <v>0.33</v>
      </c>
      <c r="BE628" t="s">
        <v>924</v>
      </c>
      <c r="BF628" t="s">
        <v>921</v>
      </c>
      <c r="BG628" t="s">
        <v>939</v>
      </c>
      <c r="BH628" s="7">
        <v>40</v>
      </c>
      <c r="BI62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628">
        <v>0</v>
      </c>
      <c r="BK628" t="s">
        <v>733</v>
      </c>
      <c r="BL628" s="11">
        <v>56</v>
      </c>
      <c r="BM628" s="11">
        <v>8</v>
      </c>
      <c r="BN628" s="11">
        <v>47</v>
      </c>
      <c r="BO628">
        <v>0</v>
      </c>
      <c r="BP628" t="s">
        <v>691</v>
      </c>
      <c r="BQ628" t="s">
        <v>693</v>
      </c>
      <c r="BR628" t="s">
        <v>700</v>
      </c>
      <c r="BS628" t="s">
        <v>704</v>
      </c>
      <c r="BT628" t="s">
        <v>705</v>
      </c>
      <c r="BU628" t="s">
        <v>706</v>
      </c>
      <c r="CT628"/>
      <c r="CU628"/>
      <c r="CV628"/>
    </row>
    <row r="629" spans="1:100" x14ac:dyDescent="0.4">
      <c r="A629" s="2" t="s">
        <v>652</v>
      </c>
      <c r="B629" t="str">
        <f>_xlfn.TEXTAFTER(Table1[[#This Row],[VEHIDCODE]],"_")</f>
        <v>Russia_RZD_VL15</v>
      </c>
      <c r="C629" t="s">
        <v>740</v>
      </c>
      <c r="D629" t="s">
        <v>960</v>
      </c>
      <c r="E629">
        <v>6041</v>
      </c>
      <c r="F629" t="b">
        <f>OR(ISNUMBER(SEARCH("wagon_",Table1[[#This Row],[FILENAMES_EXPECTED]])),ISNUMBER(SEARCH("coach_",Table1[[#This Row],[FILENAMES_EXPECTED]])))</f>
        <v>0</v>
      </c>
      <c r="G629" t="str">
        <f>"item_"&amp;Table1[[#This Row],[VEHIDCODE]]</f>
        <v>item_electric_Russia_RZD_VL15</v>
      </c>
      <c r="H629" t="str">
        <f>"str_"&amp;Table1[[#This Row],[VEHIDCODE]]</f>
        <v>str_electric_Russia_RZD_VL15</v>
      </c>
      <c r="AD629" t="b">
        <v>1</v>
      </c>
      <c r="AL629" s="2"/>
      <c r="AM629" s="2" t="b">
        <f>LEN(_xlfn.CONCAT(Table1[[#This Row],[TRACK_TYPE_STANDARD_GAUGE_RAILTYPE_OHLE]:[TRACK_TYPE_MTRO]]))&gt;0</f>
        <v>1</v>
      </c>
      <c r="AN629">
        <v>16</v>
      </c>
      <c r="AO629" t="s">
        <v>20</v>
      </c>
      <c r="AP629">
        <v>0</v>
      </c>
      <c r="AQ629" t="s">
        <v>74</v>
      </c>
      <c r="AR629">
        <v>0</v>
      </c>
      <c r="AS629">
        <v>1984</v>
      </c>
      <c r="AT629">
        <v>8</v>
      </c>
      <c r="AU629" s="2" t="s">
        <v>20</v>
      </c>
      <c r="AV629" t="b">
        <v>1</v>
      </c>
      <c r="AX629" s="2"/>
      <c r="AY629">
        <v>45</v>
      </c>
      <c r="AZ629">
        <v>1</v>
      </c>
      <c r="BA629">
        <v>8400</v>
      </c>
      <c r="BB629" t="s">
        <v>708</v>
      </c>
      <c r="BC629">
        <v>100</v>
      </c>
      <c r="BD629" s="2">
        <v>0.23</v>
      </c>
      <c r="BE629" t="s">
        <v>930</v>
      </c>
      <c r="BF629" t="s">
        <v>921</v>
      </c>
      <c r="BG629" t="s">
        <v>939</v>
      </c>
      <c r="BH629" s="7">
        <v>40</v>
      </c>
      <c r="BI62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629">
        <v>0</v>
      </c>
      <c r="BK629" t="s">
        <v>733</v>
      </c>
      <c r="BL629" s="11"/>
      <c r="BM629" s="11"/>
      <c r="BN629" s="11">
        <v>150</v>
      </c>
      <c r="BO629">
        <v>0</v>
      </c>
      <c r="BP629" t="s">
        <v>691</v>
      </c>
      <c r="BQ629" t="s">
        <v>693</v>
      </c>
      <c r="BR629" t="s">
        <v>700</v>
      </c>
      <c r="BS629" t="s">
        <v>704</v>
      </c>
      <c r="BT629" t="s">
        <v>705</v>
      </c>
      <c r="BU629" t="s">
        <v>706</v>
      </c>
      <c r="CT629"/>
      <c r="CU629"/>
      <c r="CV629"/>
    </row>
    <row r="630" spans="1:100" x14ac:dyDescent="0.4">
      <c r="A630" s="2" t="s">
        <v>653</v>
      </c>
      <c r="B630" t="str">
        <f>_xlfn.TEXTAFTER(Table1[[#This Row],[VEHIDCODE]],"_")</f>
        <v>Russia_RZD_VL11</v>
      </c>
      <c r="C630" t="s">
        <v>740</v>
      </c>
      <c r="D630" t="s">
        <v>960</v>
      </c>
      <c r="E630">
        <v>6134</v>
      </c>
      <c r="F630" t="b">
        <f>OR(ISNUMBER(SEARCH("wagon_",Table1[[#This Row],[FILENAMES_EXPECTED]])),ISNUMBER(SEARCH("coach_",Table1[[#This Row],[FILENAMES_EXPECTED]])))</f>
        <v>0</v>
      </c>
      <c r="G630" t="str">
        <f>"item_"&amp;Table1[[#This Row],[VEHIDCODE]]</f>
        <v>item_electric_Russia_RZD_VL11</v>
      </c>
      <c r="H630" t="str">
        <f>"str_"&amp;Table1[[#This Row],[VEHIDCODE]]</f>
        <v>str_electric_Russia_RZD_VL11</v>
      </c>
      <c r="AD630" t="b">
        <v>1</v>
      </c>
      <c r="AL630" s="2"/>
      <c r="AM630" s="2" t="b">
        <f>LEN(_xlfn.CONCAT(Table1[[#This Row],[TRACK_TYPE_STANDARD_GAUGE_RAILTYPE_OHLE]:[TRACK_TYPE_MTRO]]))&gt;0</f>
        <v>1</v>
      </c>
      <c r="AN630">
        <v>16</v>
      </c>
      <c r="AO630" t="s">
        <v>20</v>
      </c>
      <c r="AP630">
        <v>0</v>
      </c>
      <c r="AQ630" t="s">
        <v>74</v>
      </c>
      <c r="AR630">
        <v>0</v>
      </c>
      <c r="AS630">
        <v>1974</v>
      </c>
      <c r="AT630">
        <v>8</v>
      </c>
      <c r="AU630" s="2" t="s">
        <v>20</v>
      </c>
      <c r="AV630" t="b">
        <v>1</v>
      </c>
      <c r="AX630" s="2"/>
      <c r="AY630">
        <v>45</v>
      </c>
      <c r="AZ630">
        <v>1</v>
      </c>
      <c r="BA630">
        <v>7190</v>
      </c>
      <c r="BB630" t="s">
        <v>708</v>
      </c>
      <c r="BC630">
        <v>100</v>
      </c>
      <c r="BD630" s="2">
        <v>0.33</v>
      </c>
      <c r="BE630" t="s">
        <v>930</v>
      </c>
      <c r="BF630" t="s">
        <v>921</v>
      </c>
      <c r="BG630" t="s">
        <v>939</v>
      </c>
      <c r="BH630" s="7">
        <v>40</v>
      </c>
      <c r="BI63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630">
        <v>0</v>
      </c>
      <c r="BK630" t="s">
        <v>733</v>
      </c>
      <c r="BL630" s="11"/>
      <c r="BM630" s="11"/>
      <c r="BN630" s="11">
        <v>184</v>
      </c>
      <c r="BO630">
        <v>0</v>
      </c>
      <c r="BP630" t="s">
        <v>691</v>
      </c>
      <c r="BQ630" t="s">
        <v>693</v>
      </c>
      <c r="BR630" t="s">
        <v>700</v>
      </c>
      <c r="BS630" t="s">
        <v>704</v>
      </c>
      <c r="BT630" t="s">
        <v>705</v>
      </c>
      <c r="BU630" t="s">
        <v>706</v>
      </c>
      <c r="CT630"/>
      <c r="CU630"/>
      <c r="CV630"/>
    </row>
    <row r="631" spans="1:100" x14ac:dyDescent="0.4">
      <c r="A631" s="2" t="s">
        <v>654</v>
      </c>
      <c r="B631" t="str">
        <f>_xlfn.TEXTAFTER(Table1[[#This Row],[VEHIDCODE]],"_")</f>
        <v>Russia_RZD_VL22M</v>
      </c>
      <c r="C631" t="s">
        <v>740</v>
      </c>
      <c r="D631" t="s">
        <v>960</v>
      </c>
      <c r="E631">
        <v>6018</v>
      </c>
      <c r="F631" t="b">
        <f>OR(ISNUMBER(SEARCH("wagon_",Table1[[#This Row],[FILENAMES_EXPECTED]])),ISNUMBER(SEARCH("coach_",Table1[[#This Row],[FILENAMES_EXPECTED]])))</f>
        <v>0</v>
      </c>
      <c r="G631" t="str">
        <f>"item_"&amp;Table1[[#This Row],[VEHIDCODE]]</f>
        <v>item_electric_Russia_RZD_VL22M</v>
      </c>
      <c r="H631" t="str">
        <f>"str_"&amp;Table1[[#This Row],[VEHIDCODE]]</f>
        <v>str_electric_Russia_RZD_VL22M</v>
      </c>
      <c r="AD631" t="b">
        <v>1</v>
      </c>
      <c r="AL631" s="2"/>
      <c r="AM631" s="2" t="b">
        <f>LEN(_xlfn.CONCAT(Table1[[#This Row],[TRACK_TYPE_STANDARD_GAUGE_RAILTYPE_OHLE]:[TRACK_TYPE_MTRO]]))&gt;0</f>
        <v>1</v>
      </c>
      <c r="AN631">
        <v>8</v>
      </c>
      <c r="AO631" t="s">
        <v>20</v>
      </c>
      <c r="AP631">
        <v>0</v>
      </c>
      <c r="AQ631" t="s">
        <v>74</v>
      </c>
      <c r="AR631">
        <v>0</v>
      </c>
      <c r="AS631">
        <v>1945</v>
      </c>
      <c r="AT631">
        <v>8</v>
      </c>
      <c r="AU631" s="2" t="s">
        <v>20</v>
      </c>
      <c r="AV631" t="b">
        <v>1</v>
      </c>
      <c r="AX631" s="2"/>
      <c r="AY631">
        <v>45</v>
      </c>
      <c r="AZ631">
        <v>1</v>
      </c>
      <c r="BA631">
        <v>3220</v>
      </c>
      <c r="BB631" t="s">
        <v>708</v>
      </c>
      <c r="BC631">
        <v>100</v>
      </c>
      <c r="BD631" s="2">
        <v>0.39</v>
      </c>
      <c r="BE631" t="s">
        <v>930</v>
      </c>
      <c r="BF631" t="s">
        <v>921</v>
      </c>
      <c r="BG631" t="s">
        <v>939</v>
      </c>
      <c r="BH631" s="7">
        <v>40</v>
      </c>
      <c r="BI63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631">
        <v>-3</v>
      </c>
      <c r="BK631" t="s">
        <v>733</v>
      </c>
      <c r="BL631" s="11"/>
      <c r="BM631" s="11"/>
      <c r="BN631" s="11">
        <v>98</v>
      </c>
      <c r="BO631">
        <v>0</v>
      </c>
      <c r="BP631" t="s">
        <v>691</v>
      </c>
      <c r="BQ631" t="s">
        <v>693</v>
      </c>
      <c r="BR631" t="s">
        <v>700</v>
      </c>
      <c r="BS631" t="s">
        <v>704</v>
      </c>
      <c r="BT631" t="s">
        <v>705</v>
      </c>
      <c r="BU631" t="s">
        <v>706</v>
      </c>
      <c r="CT631"/>
      <c r="CU631"/>
      <c r="CV631"/>
    </row>
    <row r="632" spans="1:100" x14ac:dyDescent="0.4">
      <c r="A632" s="2" t="s">
        <v>655</v>
      </c>
      <c r="B632" t="str">
        <f>_xlfn.TEXTAFTER(Table1[[#This Row],[VEHIDCODE]],"_")</f>
        <v>Ukraine_UZ_DE1</v>
      </c>
      <c r="C632" t="s">
        <v>740</v>
      </c>
      <c r="D632" t="s">
        <v>960</v>
      </c>
      <c r="E632">
        <v>6117</v>
      </c>
      <c r="F632" t="b">
        <f>OR(ISNUMBER(SEARCH("wagon_",Table1[[#This Row],[FILENAMES_EXPECTED]])),ISNUMBER(SEARCH("coach_",Table1[[#This Row],[FILENAMES_EXPECTED]])))</f>
        <v>0</v>
      </c>
      <c r="G632" t="str">
        <f>"item_"&amp;Table1[[#This Row],[VEHIDCODE]]</f>
        <v>item_electric_Ukraine_UZ_DE1</v>
      </c>
      <c r="H632" t="str">
        <f>"str_"&amp;Table1[[#This Row],[VEHIDCODE]]</f>
        <v>str_electric_Ukraine_UZ_DE1</v>
      </c>
      <c r="AD632" t="b">
        <v>1</v>
      </c>
      <c r="AL632" s="2"/>
      <c r="AM632" s="2" t="b">
        <f>LEN(_xlfn.CONCAT(Table1[[#This Row],[TRACK_TYPE_STANDARD_GAUGE_RAILTYPE_OHLE]:[TRACK_TYPE_MTRO]]))&gt;0</f>
        <v>1</v>
      </c>
      <c r="AN632">
        <v>16</v>
      </c>
      <c r="AO632" t="s">
        <v>20</v>
      </c>
      <c r="AP632">
        <v>0</v>
      </c>
      <c r="AQ632" t="s">
        <v>74</v>
      </c>
      <c r="AR632">
        <v>0</v>
      </c>
      <c r="AS632">
        <v>1995</v>
      </c>
      <c r="AT632">
        <v>8</v>
      </c>
      <c r="AU632" s="2" t="s">
        <v>20</v>
      </c>
      <c r="AV632" t="b">
        <v>1</v>
      </c>
      <c r="AX632" s="2"/>
      <c r="AY632">
        <v>45</v>
      </c>
      <c r="AZ632">
        <v>0</v>
      </c>
      <c r="BA632">
        <v>8750</v>
      </c>
      <c r="BB632" t="s">
        <v>708</v>
      </c>
      <c r="BC632">
        <v>100</v>
      </c>
      <c r="BD632" s="2">
        <v>0.23</v>
      </c>
      <c r="BE632" t="s">
        <v>928</v>
      </c>
      <c r="BF632" t="s">
        <v>921</v>
      </c>
      <c r="BG632" t="s">
        <v>939</v>
      </c>
      <c r="BH632" s="7">
        <v>40</v>
      </c>
      <c r="BI63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632">
        <v>0</v>
      </c>
      <c r="BK632" t="s">
        <v>733</v>
      </c>
      <c r="BL632" s="11"/>
      <c r="BM632" s="11"/>
      <c r="BN632" s="11">
        <v>184</v>
      </c>
      <c r="BO632">
        <v>0</v>
      </c>
      <c r="BP632" t="s">
        <v>691</v>
      </c>
      <c r="BQ632" t="s">
        <v>693</v>
      </c>
      <c r="BR632" t="s">
        <v>700</v>
      </c>
      <c r="BS632" t="s">
        <v>704</v>
      </c>
      <c r="BT632" t="s">
        <v>705</v>
      </c>
      <c r="BU632" t="s">
        <v>706</v>
      </c>
      <c r="CT632"/>
      <c r="CU632"/>
      <c r="CV632"/>
    </row>
    <row r="633" spans="1:100" x14ac:dyDescent="0.4">
      <c r="A633" s="2" t="s">
        <v>656</v>
      </c>
      <c r="B633" t="str">
        <f>_xlfn.TEXTAFTER(Table1[[#This Row],[VEHIDCODE]],"_")</f>
        <v>Russia_RZD_ChS3</v>
      </c>
      <c r="C633" t="s">
        <v>740</v>
      </c>
      <c r="D633" t="s">
        <v>960</v>
      </c>
      <c r="E633">
        <v>6083</v>
      </c>
      <c r="F633" t="b">
        <f>OR(ISNUMBER(SEARCH("wagon_",Table1[[#This Row],[FILENAMES_EXPECTED]])),ISNUMBER(SEARCH("coach_",Table1[[#This Row],[FILENAMES_EXPECTED]])))</f>
        <v>0</v>
      </c>
      <c r="G633" t="str">
        <f>"item_"&amp;Table1[[#This Row],[VEHIDCODE]]</f>
        <v>item_electric_Russia_RZD_ChS3</v>
      </c>
      <c r="H633" t="str">
        <f>"str_"&amp;Table1[[#This Row],[VEHIDCODE]]</f>
        <v>str_electric_Russia_RZD_ChS3</v>
      </c>
      <c r="AD633" t="b">
        <v>1</v>
      </c>
      <c r="AL633" s="2"/>
      <c r="AM633" s="2" t="b">
        <f>LEN(_xlfn.CONCAT(Table1[[#This Row],[TRACK_TYPE_STANDARD_GAUGE_RAILTYPE_OHLE]:[TRACK_TYPE_MTRO]]))&gt;0</f>
        <v>1</v>
      </c>
      <c r="AN633">
        <v>7</v>
      </c>
      <c r="AO633" t="s">
        <v>20</v>
      </c>
      <c r="AP633">
        <v>0</v>
      </c>
      <c r="AQ633" t="s">
        <v>74</v>
      </c>
      <c r="AR633">
        <v>0</v>
      </c>
      <c r="AS633">
        <v>1961</v>
      </c>
      <c r="AT633">
        <v>7</v>
      </c>
      <c r="AU633" s="2" t="s">
        <v>20</v>
      </c>
      <c r="AV633" t="b">
        <v>1</v>
      </c>
      <c r="AX633" s="2"/>
      <c r="AY633">
        <v>45</v>
      </c>
      <c r="AZ633">
        <v>1</v>
      </c>
      <c r="BA633">
        <v>2000</v>
      </c>
      <c r="BB633" t="s">
        <v>708</v>
      </c>
      <c r="BC633">
        <v>120</v>
      </c>
      <c r="BD633" s="2">
        <v>0.27</v>
      </c>
      <c r="BE633" t="s">
        <v>930</v>
      </c>
      <c r="BF633" t="s">
        <v>921</v>
      </c>
      <c r="BG633" t="s">
        <v>939</v>
      </c>
      <c r="BH633" s="7">
        <v>40</v>
      </c>
      <c r="BI63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633">
        <v>0</v>
      </c>
      <c r="BK633" t="s">
        <v>733</v>
      </c>
      <c r="BL633" s="11"/>
      <c r="BM633" s="11"/>
      <c r="BN633" s="11">
        <v>85</v>
      </c>
      <c r="BO633">
        <v>0</v>
      </c>
      <c r="BP633" t="s">
        <v>691</v>
      </c>
      <c r="BQ633" t="s">
        <v>693</v>
      </c>
      <c r="BR633" t="s">
        <v>700</v>
      </c>
      <c r="BS633" t="s">
        <v>704</v>
      </c>
      <c r="BT633" t="s">
        <v>705</v>
      </c>
      <c r="BU633" t="s">
        <v>706</v>
      </c>
      <c r="CT633"/>
      <c r="CU633"/>
      <c r="CV633"/>
    </row>
    <row r="634" spans="1:100" x14ac:dyDescent="0.4">
      <c r="A634" s="2" t="s">
        <v>657</v>
      </c>
      <c r="B634" t="str">
        <f>_xlfn.TEXTAFTER(Table1[[#This Row],[VEHIDCODE]],"_")</f>
        <v>Ukraine_UZ_ChS7</v>
      </c>
      <c r="C634" t="s">
        <v>740</v>
      </c>
      <c r="D634" t="s">
        <v>960</v>
      </c>
      <c r="E634">
        <v>6112</v>
      </c>
      <c r="F634" t="b">
        <f>OR(ISNUMBER(SEARCH("wagon_",Table1[[#This Row],[FILENAMES_EXPECTED]])),ISNUMBER(SEARCH("coach_",Table1[[#This Row],[FILENAMES_EXPECTED]])))</f>
        <v>0</v>
      </c>
      <c r="G634" t="str">
        <f>"item_"&amp;Table1[[#This Row],[VEHIDCODE]]</f>
        <v>item_electric_Ukraine_UZ_ChS7</v>
      </c>
      <c r="H634" t="str">
        <f>"str_"&amp;Table1[[#This Row],[VEHIDCODE]]</f>
        <v>str_electric_Ukraine_UZ_ChS7</v>
      </c>
      <c r="AD634" t="b">
        <v>1</v>
      </c>
      <c r="AL634" s="2"/>
      <c r="AM634" s="2" t="b">
        <f>LEN(_xlfn.CONCAT(Table1[[#This Row],[TRACK_TYPE_STANDARD_GAUGE_RAILTYPE_OHLE]:[TRACK_TYPE_MTRO]]))&gt;0</f>
        <v>1</v>
      </c>
      <c r="AN634">
        <v>14</v>
      </c>
      <c r="AO634" t="s">
        <v>20</v>
      </c>
      <c r="AP634">
        <v>0</v>
      </c>
      <c r="AQ634" t="s">
        <v>74</v>
      </c>
      <c r="AR634">
        <v>0</v>
      </c>
      <c r="AS634">
        <v>1983</v>
      </c>
      <c r="AT634">
        <v>7</v>
      </c>
      <c r="AU634" s="2" t="s">
        <v>20</v>
      </c>
      <c r="AV634" t="b">
        <v>1</v>
      </c>
      <c r="AX634" s="2"/>
      <c r="AY634">
        <v>45</v>
      </c>
      <c r="AZ634">
        <v>1</v>
      </c>
      <c r="BA634">
        <v>8624</v>
      </c>
      <c r="BB634" t="s">
        <v>708</v>
      </c>
      <c r="BC634">
        <v>160</v>
      </c>
      <c r="BD634" s="2">
        <v>0.22</v>
      </c>
      <c r="BE634" t="s">
        <v>928</v>
      </c>
      <c r="BF634" t="s">
        <v>921</v>
      </c>
      <c r="BG634" t="s">
        <v>939</v>
      </c>
      <c r="BH634" s="7">
        <v>40</v>
      </c>
      <c r="BI63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634">
        <v>0</v>
      </c>
      <c r="BK634" t="s">
        <v>733</v>
      </c>
      <c r="BL634" s="11"/>
      <c r="BM634" s="11"/>
      <c r="BN634" s="11">
        <v>172</v>
      </c>
      <c r="BO634">
        <v>0</v>
      </c>
      <c r="BP634" t="s">
        <v>691</v>
      </c>
      <c r="BQ634" t="s">
        <v>693</v>
      </c>
      <c r="BR634" t="s">
        <v>700</v>
      </c>
      <c r="BS634" t="s">
        <v>704</v>
      </c>
      <c r="BT634" t="s">
        <v>705</v>
      </c>
      <c r="BU634" t="s">
        <v>706</v>
      </c>
      <c r="CT634"/>
      <c r="CU634"/>
      <c r="CV634"/>
    </row>
    <row r="635" spans="1:100" x14ac:dyDescent="0.4">
      <c r="A635" s="2" t="s">
        <v>658</v>
      </c>
      <c r="B635" t="str">
        <f>_xlfn.TEXTAFTER(Table1[[#This Row],[VEHIDCODE]],"_")</f>
        <v>Brasil_RFFSA_GE_C_C_4400</v>
      </c>
      <c r="C635" t="s">
        <v>740</v>
      </c>
      <c r="D635" t="s">
        <v>960</v>
      </c>
      <c r="E635">
        <v>6124</v>
      </c>
      <c r="F635" t="b">
        <f>OR(ISNUMBER(SEARCH("wagon_",Table1[[#This Row],[FILENAMES_EXPECTED]])),ISNUMBER(SEARCH("coach_",Table1[[#This Row],[FILENAMES_EXPECTED]])))</f>
        <v>0</v>
      </c>
      <c r="G635" t="str">
        <f>"item_"&amp;Table1[[#This Row],[VEHIDCODE]]</f>
        <v>item_electric_Brasil_RFFSA_GE_C_C_4400</v>
      </c>
      <c r="H635" t="str">
        <f>"str_"&amp;Table1[[#This Row],[VEHIDCODE]]</f>
        <v>str_electric_Brasil_RFFSA_GE_C_C_4400</v>
      </c>
      <c r="AD635" t="b">
        <v>1</v>
      </c>
      <c r="AL635" s="2"/>
      <c r="AM635" s="2" t="b">
        <f>LEN(_xlfn.CONCAT(Table1[[#This Row],[TRACK_TYPE_STANDARD_GAUGE_RAILTYPE_OHLE]:[TRACK_TYPE_MTRO]]))&gt;0</f>
        <v>1</v>
      </c>
      <c r="AN635">
        <v>7</v>
      </c>
      <c r="AO635" t="s">
        <v>20</v>
      </c>
      <c r="AP635">
        <v>0</v>
      </c>
      <c r="AQ635" t="s">
        <v>74</v>
      </c>
      <c r="AR635">
        <v>0</v>
      </c>
      <c r="AS635">
        <v>1962</v>
      </c>
      <c r="AT635">
        <v>7</v>
      </c>
      <c r="AU635" s="2" t="s">
        <v>24</v>
      </c>
      <c r="AV635" t="b">
        <v>1</v>
      </c>
      <c r="AX635" s="2"/>
      <c r="AY635">
        <v>45</v>
      </c>
      <c r="AZ635">
        <v>1</v>
      </c>
      <c r="BA635">
        <v>4400</v>
      </c>
      <c r="BB635" t="s">
        <v>708</v>
      </c>
      <c r="BC635">
        <v>117</v>
      </c>
      <c r="BD635" s="2">
        <v>0.21</v>
      </c>
      <c r="BE635" t="s">
        <v>929</v>
      </c>
      <c r="BF635" t="s">
        <v>921</v>
      </c>
      <c r="BG635" t="s">
        <v>939</v>
      </c>
      <c r="BH635" s="7">
        <v>40</v>
      </c>
      <c r="BI63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635">
        <v>0</v>
      </c>
      <c r="BK635" t="s">
        <v>733</v>
      </c>
      <c r="BL635" s="11"/>
      <c r="BM635" s="11"/>
      <c r="BN635" s="11">
        <v>123</v>
      </c>
      <c r="BO635">
        <v>0</v>
      </c>
      <c r="BP635" t="s">
        <v>691</v>
      </c>
      <c r="BQ635" t="s">
        <v>693</v>
      </c>
      <c r="BR635" t="s">
        <v>700</v>
      </c>
      <c r="BS635" t="s">
        <v>704</v>
      </c>
      <c r="BT635" t="s">
        <v>705</v>
      </c>
      <c r="BU635" t="s">
        <v>706</v>
      </c>
      <c r="CT635"/>
      <c r="CU635"/>
      <c r="CV635"/>
    </row>
    <row r="636" spans="1:100" x14ac:dyDescent="0.4">
      <c r="A636" s="2" t="s">
        <v>659</v>
      </c>
      <c r="B636" t="str">
        <f>_xlfn.TEXTAFTER(Table1[[#This Row],[VEHIDCODE]],"_")</f>
        <v>Russia_RZD_VL85</v>
      </c>
      <c r="C636" t="s">
        <v>740</v>
      </c>
      <c r="D636" t="s">
        <v>960</v>
      </c>
      <c r="E636">
        <v>6040</v>
      </c>
      <c r="F636" t="b">
        <f>OR(ISNUMBER(SEARCH("wagon_",Table1[[#This Row],[FILENAMES_EXPECTED]])),ISNUMBER(SEARCH("coach_",Table1[[#This Row],[FILENAMES_EXPECTED]])))</f>
        <v>0</v>
      </c>
      <c r="G636" t="str">
        <f>"item_"&amp;Table1[[#This Row],[VEHIDCODE]]</f>
        <v>item_electric_Russia_RZD_VL85</v>
      </c>
      <c r="H636" t="str">
        <f>"str_"&amp;Table1[[#This Row],[VEHIDCODE]]</f>
        <v>str_electric_Russia_RZD_VL85</v>
      </c>
      <c r="AB636" t="b">
        <v>1</v>
      </c>
      <c r="AL636" s="2"/>
      <c r="AM636" s="2" t="b">
        <f>LEN(_xlfn.CONCAT(Table1[[#This Row],[TRACK_TYPE_STANDARD_GAUGE_RAILTYPE_OHLE]:[TRACK_TYPE_MTRO]]))&gt;0</f>
        <v>1</v>
      </c>
      <c r="AN636">
        <v>16</v>
      </c>
      <c r="AO636" t="s">
        <v>20</v>
      </c>
      <c r="AP636">
        <v>0</v>
      </c>
      <c r="AQ636" t="s">
        <v>74</v>
      </c>
      <c r="AR636">
        <v>0</v>
      </c>
      <c r="AS636">
        <v>1983</v>
      </c>
      <c r="AT636">
        <v>8</v>
      </c>
      <c r="AU636" s="2" t="s">
        <v>20</v>
      </c>
      <c r="AV636" t="b">
        <v>1</v>
      </c>
      <c r="AX636" s="2"/>
      <c r="AY636">
        <v>45</v>
      </c>
      <c r="AZ636">
        <v>1</v>
      </c>
      <c r="BA636">
        <v>12500</v>
      </c>
      <c r="BB636" t="s">
        <v>708</v>
      </c>
      <c r="BC636">
        <v>110</v>
      </c>
      <c r="BD636" s="2">
        <v>0.25</v>
      </c>
      <c r="BE636" t="s">
        <v>930</v>
      </c>
      <c r="BF636" t="s">
        <v>921</v>
      </c>
      <c r="BG636" t="s">
        <v>939</v>
      </c>
      <c r="BH636" s="7">
        <v>40</v>
      </c>
      <c r="BI63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636">
        <v>0</v>
      </c>
      <c r="BK636" t="s">
        <v>733</v>
      </c>
      <c r="BL636" s="11"/>
      <c r="BM636" s="11"/>
      <c r="BN636" s="11">
        <v>288</v>
      </c>
      <c r="BO636">
        <v>0</v>
      </c>
      <c r="BP636" t="s">
        <v>691</v>
      </c>
      <c r="BQ636" t="s">
        <v>693</v>
      </c>
      <c r="BR636" t="s">
        <v>700</v>
      </c>
      <c r="BS636" t="s">
        <v>704</v>
      </c>
      <c r="BT636" t="s">
        <v>705</v>
      </c>
      <c r="BU636" t="s">
        <v>706</v>
      </c>
      <c r="CT636"/>
      <c r="CU636"/>
      <c r="CV636"/>
    </row>
    <row r="637" spans="1:100" x14ac:dyDescent="0.4">
      <c r="A637" s="2" t="s">
        <v>660</v>
      </c>
      <c r="B637" t="str">
        <f>_xlfn.TEXTAFTER(Table1[[#This Row],[VEHIDCODE]],"_")</f>
        <v>Russia_RZD_VL41</v>
      </c>
      <c r="C637" t="s">
        <v>740</v>
      </c>
      <c r="D637" t="s">
        <v>960</v>
      </c>
      <c r="E637">
        <v>6028</v>
      </c>
      <c r="F637" t="b">
        <f>OR(ISNUMBER(SEARCH("wagon_",Table1[[#This Row],[FILENAMES_EXPECTED]])),ISNUMBER(SEARCH("coach_",Table1[[#This Row],[FILENAMES_EXPECTED]])))</f>
        <v>0</v>
      </c>
      <c r="G637" t="str">
        <f>"item_"&amp;Table1[[#This Row],[VEHIDCODE]]</f>
        <v>item_electric_Russia_RZD_VL41</v>
      </c>
      <c r="H637" t="str">
        <f>"str_"&amp;Table1[[#This Row],[VEHIDCODE]]</f>
        <v>str_electric_Russia_RZD_VL41</v>
      </c>
      <c r="AB637" t="b">
        <v>1</v>
      </c>
      <c r="AL637" s="2"/>
      <c r="AM637" s="2" t="b">
        <f>LEN(_xlfn.CONCAT(Table1[[#This Row],[TRACK_TYPE_STANDARD_GAUGE_RAILTYPE_OHLE]:[TRACK_TYPE_MTRO]]))&gt;0</f>
        <v>1</v>
      </c>
      <c r="AN637">
        <v>8</v>
      </c>
      <c r="AO637" t="s">
        <v>20</v>
      </c>
      <c r="AP637">
        <v>0</v>
      </c>
      <c r="AQ637" t="s">
        <v>74</v>
      </c>
      <c r="AR637">
        <v>0</v>
      </c>
      <c r="AS637">
        <v>1963</v>
      </c>
      <c r="AT637">
        <v>8</v>
      </c>
      <c r="AU637" s="2" t="s">
        <v>20</v>
      </c>
      <c r="AV637" t="b">
        <v>1</v>
      </c>
      <c r="AX637" s="2"/>
      <c r="AY637">
        <v>45</v>
      </c>
      <c r="AZ637">
        <v>1</v>
      </c>
      <c r="BA637">
        <v>2280</v>
      </c>
      <c r="BB637" t="s">
        <v>708</v>
      </c>
      <c r="BC637">
        <v>70</v>
      </c>
      <c r="BD637" s="2">
        <v>0.19</v>
      </c>
      <c r="BE637" t="s">
        <v>930</v>
      </c>
      <c r="BF637" t="s">
        <v>921</v>
      </c>
      <c r="BG637" t="s">
        <v>939</v>
      </c>
      <c r="BH637" s="7">
        <v>40</v>
      </c>
      <c r="BI63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637">
        <v>-3</v>
      </c>
      <c r="BK637" t="s">
        <v>733</v>
      </c>
      <c r="BL637" s="11"/>
      <c r="BM637" s="11"/>
      <c r="BN637" s="11">
        <v>92</v>
      </c>
      <c r="BO637">
        <v>0</v>
      </c>
      <c r="BP637" t="s">
        <v>691</v>
      </c>
      <c r="BQ637" t="s">
        <v>693</v>
      </c>
      <c r="BR637" t="s">
        <v>700</v>
      </c>
      <c r="BS637" t="s">
        <v>704</v>
      </c>
      <c r="BT637" t="s">
        <v>705</v>
      </c>
      <c r="BU637" t="s">
        <v>706</v>
      </c>
      <c r="CT637"/>
      <c r="CU637"/>
      <c r="CV637"/>
    </row>
    <row r="638" spans="1:100" x14ac:dyDescent="0.4">
      <c r="A638" s="2" t="s">
        <v>661</v>
      </c>
      <c r="B638" t="str">
        <f>_xlfn.TEXTAFTER(Table1[[#This Row],[VEHIDCODE]],"_")</f>
        <v>India_Indian_Railways_WAP_4</v>
      </c>
      <c r="C638" t="s">
        <v>740</v>
      </c>
      <c r="D638" t="s">
        <v>960</v>
      </c>
      <c r="E638">
        <v>6048</v>
      </c>
      <c r="F638" t="b">
        <f>OR(ISNUMBER(SEARCH("wagon_",Table1[[#This Row],[FILENAMES_EXPECTED]])),ISNUMBER(SEARCH("coach_",Table1[[#This Row],[FILENAMES_EXPECTED]])))</f>
        <v>0</v>
      </c>
      <c r="G638" t="str">
        <f>"item_"&amp;Table1[[#This Row],[VEHIDCODE]]</f>
        <v>item_electric_India_Indian_Railways_WAP_4</v>
      </c>
      <c r="H638" t="str">
        <f>"str_"&amp;Table1[[#This Row],[VEHIDCODE]]</f>
        <v>str_electric_India_Indian_Railways_WAP_4</v>
      </c>
      <c r="AB638" t="b">
        <v>1</v>
      </c>
      <c r="AL638" s="2"/>
      <c r="AM638" s="2" t="b">
        <f>LEN(_xlfn.CONCAT(Table1[[#This Row],[TRACK_TYPE_STANDARD_GAUGE_RAILTYPE_OHLE]:[TRACK_TYPE_MTRO]]))&gt;0</f>
        <v>1</v>
      </c>
      <c r="AN638">
        <v>8</v>
      </c>
      <c r="AO638" t="s">
        <v>20</v>
      </c>
      <c r="AP638">
        <v>0</v>
      </c>
      <c r="AQ638" t="s">
        <v>74</v>
      </c>
      <c r="AR638">
        <v>0</v>
      </c>
      <c r="AS638">
        <v>1994</v>
      </c>
      <c r="AT638">
        <v>8</v>
      </c>
      <c r="AU638" s="2" t="s">
        <v>20</v>
      </c>
      <c r="AV638" t="b">
        <v>1</v>
      </c>
      <c r="AX638" s="2"/>
      <c r="AY638">
        <v>45</v>
      </c>
      <c r="AZ638">
        <v>1</v>
      </c>
      <c r="BA638">
        <v>5350</v>
      </c>
      <c r="BB638" t="s">
        <v>708</v>
      </c>
      <c r="BC638">
        <v>140</v>
      </c>
      <c r="BD638" s="2">
        <v>0.28000000000000003</v>
      </c>
      <c r="BE638" t="s">
        <v>930</v>
      </c>
      <c r="BF638" t="s">
        <v>921</v>
      </c>
      <c r="BG638" t="s">
        <v>939</v>
      </c>
      <c r="BH638" s="7">
        <v>40</v>
      </c>
      <c r="BI63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638">
        <v>-3</v>
      </c>
      <c r="BK638" t="s">
        <v>733</v>
      </c>
      <c r="BL638" s="11"/>
      <c r="BM638" s="11"/>
      <c r="BN638" s="11">
        <v>113</v>
      </c>
      <c r="BO638">
        <v>0</v>
      </c>
      <c r="BP638" t="s">
        <v>691</v>
      </c>
      <c r="BQ638" t="s">
        <v>693</v>
      </c>
      <c r="BR638" t="s">
        <v>700</v>
      </c>
      <c r="BS638" t="s">
        <v>704</v>
      </c>
      <c r="BT638" t="s">
        <v>705</v>
      </c>
      <c r="BU638" t="s">
        <v>706</v>
      </c>
      <c r="CT638"/>
      <c r="CU638"/>
      <c r="CV638"/>
    </row>
    <row r="639" spans="1:100" x14ac:dyDescent="0.4">
      <c r="A639" s="2" t="s">
        <v>662</v>
      </c>
      <c r="B639" t="str">
        <f>_xlfn.TEXTAFTER(Table1[[#This Row],[VEHIDCODE]],"_")</f>
        <v>Finland_VR_Sr1</v>
      </c>
      <c r="C639" t="s">
        <v>740</v>
      </c>
      <c r="D639" t="s">
        <v>960</v>
      </c>
      <c r="E639">
        <v>6034</v>
      </c>
      <c r="F639" t="b">
        <f>OR(ISNUMBER(SEARCH("wagon_",Table1[[#This Row],[FILENAMES_EXPECTED]])),ISNUMBER(SEARCH("coach_",Table1[[#This Row],[FILENAMES_EXPECTED]])))</f>
        <v>0</v>
      </c>
      <c r="G639" t="str">
        <f>"item_"&amp;Table1[[#This Row],[VEHIDCODE]]</f>
        <v>item_electric_Finland_VR_Sr1</v>
      </c>
      <c r="H639" t="str">
        <f>"str_"&amp;Table1[[#This Row],[VEHIDCODE]]</f>
        <v>str_electric_Finland_VR_Sr1</v>
      </c>
      <c r="AB639" t="b">
        <v>1</v>
      </c>
      <c r="AL639" s="2"/>
      <c r="AM639" s="2" t="b">
        <f>LEN(_xlfn.CONCAT(Table1[[#This Row],[TRACK_TYPE_STANDARD_GAUGE_RAILTYPE_OHLE]:[TRACK_TYPE_MTRO]]))&gt;0</f>
        <v>1</v>
      </c>
      <c r="AN639">
        <v>8</v>
      </c>
      <c r="AO639" t="s">
        <v>20</v>
      </c>
      <c r="AP639">
        <v>0</v>
      </c>
      <c r="AQ639" t="s">
        <v>74</v>
      </c>
      <c r="AR639">
        <v>0</v>
      </c>
      <c r="AS639">
        <v>1973</v>
      </c>
      <c r="AT639">
        <v>8</v>
      </c>
      <c r="AU639" s="2" t="s">
        <v>20</v>
      </c>
      <c r="AV639" t="b">
        <v>1</v>
      </c>
      <c r="AX639" s="2"/>
      <c r="AY639">
        <v>45</v>
      </c>
      <c r="AZ639">
        <v>0</v>
      </c>
      <c r="BA639">
        <v>4428</v>
      </c>
      <c r="BB639" t="s">
        <v>708</v>
      </c>
      <c r="BC639">
        <v>140</v>
      </c>
      <c r="BD639" s="2">
        <v>0.33</v>
      </c>
      <c r="BE639" t="s">
        <v>926</v>
      </c>
      <c r="BF639" t="s">
        <v>921</v>
      </c>
      <c r="BG639" t="s">
        <v>939</v>
      </c>
      <c r="BH639" s="7">
        <v>40</v>
      </c>
      <c r="BI63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639">
        <v>-3</v>
      </c>
      <c r="BK639" t="s">
        <v>733</v>
      </c>
      <c r="BL639" s="11"/>
      <c r="BM639" s="11"/>
      <c r="BN639" s="11">
        <v>84</v>
      </c>
      <c r="BO639">
        <v>0</v>
      </c>
      <c r="BP639" t="s">
        <v>691</v>
      </c>
      <c r="BQ639" t="s">
        <v>693</v>
      </c>
      <c r="BR639" t="s">
        <v>700</v>
      </c>
      <c r="BS639" t="s">
        <v>704</v>
      </c>
      <c r="BT639" t="s">
        <v>705</v>
      </c>
      <c r="BU639" t="s">
        <v>706</v>
      </c>
      <c r="CT639"/>
      <c r="CU639"/>
      <c r="CV639"/>
    </row>
    <row r="640" spans="1:100" x14ac:dyDescent="0.4">
      <c r="A640" s="2" t="s">
        <v>663</v>
      </c>
      <c r="B640" t="str">
        <f>_xlfn.TEXTAFTER(Table1[[#This Row],[VEHIDCODE]],"_")</f>
        <v>Kazakhstan_KTZ_KZ4A</v>
      </c>
      <c r="C640" t="s">
        <v>740</v>
      </c>
      <c r="D640" t="s">
        <v>960</v>
      </c>
      <c r="E640">
        <v>6057</v>
      </c>
      <c r="F640" t="b">
        <f>OR(ISNUMBER(SEARCH("wagon_",Table1[[#This Row],[FILENAMES_EXPECTED]])),ISNUMBER(SEARCH("coach_",Table1[[#This Row],[FILENAMES_EXPECTED]])))</f>
        <v>0</v>
      </c>
      <c r="G640" t="str">
        <f>"item_"&amp;Table1[[#This Row],[VEHIDCODE]]</f>
        <v>item_electric_Kazakhstan_KTZ_KZ4A</v>
      </c>
      <c r="H640" t="str">
        <f>"str_"&amp;Table1[[#This Row],[VEHIDCODE]]</f>
        <v>str_electric_Kazakhstan_KTZ_KZ4A</v>
      </c>
      <c r="AB640" t="b">
        <v>1</v>
      </c>
      <c r="AL640" s="2"/>
      <c r="AM640" s="2" t="b">
        <f>LEN(_xlfn.CONCAT(Table1[[#This Row],[TRACK_TYPE_STANDARD_GAUGE_RAILTYPE_OHLE]:[TRACK_TYPE_MTRO]]))&gt;0</f>
        <v>1</v>
      </c>
      <c r="AN640">
        <v>8</v>
      </c>
      <c r="AO640" t="s">
        <v>20</v>
      </c>
      <c r="AP640">
        <v>0</v>
      </c>
      <c r="AQ640" t="s">
        <v>74</v>
      </c>
      <c r="AR640">
        <v>0</v>
      </c>
      <c r="AS640">
        <v>2004</v>
      </c>
      <c r="AT640">
        <v>8</v>
      </c>
      <c r="AU640" s="2" t="s">
        <v>20</v>
      </c>
      <c r="AV640" t="b">
        <v>1</v>
      </c>
      <c r="AX640" s="2"/>
      <c r="AY640" t="s">
        <v>21</v>
      </c>
      <c r="AZ640">
        <v>1</v>
      </c>
      <c r="BA640">
        <v>6500</v>
      </c>
      <c r="BB640" t="s">
        <v>708</v>
      </c>
      <c r="BC640">
        <v>210</v>
      </c>
      <c r="BD640" s="2">
        <v>0.32</v>
      </c>
      <c r="BE640" t="s">
        <v>930</v>
      </c>
      <c r="BF640" t="s">
        <v>921</v>
      </c>
      <c r="BG640" t="s">
        <v>939</v>
      </c>
      <c r="BH640" s="7">
        <v>40</v>
      </c>
      <c r="BI64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640">
        <v>-3</v>
      </c>
      <c r="BK640" t="s">
        <v>733</v>
      </c>
      <c r="BL640" s="11"/>
      <c r="BM640" s="11"/>
      <c r="BN640" s="11">
        <v>82</v>
      </c>
      <c r="BO640">
        <v>0</v>
      </c>
      <c r="BP640" t="s">
        <v>691</v>
      </c>
      <c r="BQ640" t="s">
        <v>693</v>
      </c>
      <c r="BR640" t="s">
        <v>700</v>
      </c>
      <c r="BS640" t="s">
        <v>704</v>
      </c>
      <c r="BT640" t="s">
        <v>705</v>
      </c>
      <c r="BU640" t="s">
        <v>706</v>
      </c>
      <c r="CT640"/>
      <c r="CU640"/>
      <c r="CV640"/>
    </row>
    <row r="641" spans="1:100" x14ac:dyDescent="0.4">
      <c r="A641" s="2" t="s">
        <v>664</v>
      </c>
      <c r="B641" t="str">
        <f>_xlfn.TEXTAFTER(Table1[[#This Row],[VEHIDCODE]],"_")</f>
        <v>Kazakhstan_KTZ_KZ8A</v>
      </c>
      <c r="C641" t="s">
        <v>740</v>
      </c>
      <c r="D641" t="s">
        <v>960</v>
      </c>
      <c r="E641">
        <v>6095</v>
      </c>
      <c r="F641" t="b">
        <f>OR(ISNUMBER(SEARCH("wagon_",Table1[[#This Row],[FILENAMES_EXPECTED]])),ISNUMBER(SEARCH("coach_",Table1[[#This Row],[FILENAMES_EXPECTED]])))</f>
        <v>0</v>
      </c>
      <c r="G641" t="str">
        <f>"item_"&amp;Table1[[#This Row],[VEHIDCODE]]</f>
        <v>item_electric_Kazakhstan_KTZ_KZ8A</v>
      </c>
      <c r="H641" t="str">
        <f>"str_"&amp;Table1[[#This Row],[VEHIDCODE]]</f>
        <v>str_electric_Kazakhstan_KTZ_KZ8A</v>
      </c>
      <c r="AB641" t="b">
        <v>1</v>
      </c>
      <c r="AL641" s="2"/>
      <c r="AM641" s="2" t="b">
        <f>LEN(_xlfn.CONCAT(Table1[[#This Row],[TRACK_TYPE_STANDARD_GAUGE_RAILTYPE_OHLE]:[TRACK_TYPE_MTRO]]))&gt;0</f>
        <v>1</v>
      </c>
      <c r="AN641">
        <v>16</v>
      </c>
      <c r="AO641" t="s">
        <v>20</v>
      </c>
      <c r="AP641">
        <v>0</v>
      </c>
      <c r="AQ641" t="s">
        <v>74</v>
      </c>
      <c r="AR641">
        <v>0</v>
      </c>
      <c r="AS641">
        <v>2014</v>
      </c>
      <c r="AT641">
        <v>8</v>
      </c>
      <c r="AU641" s="2" t="s">
        <v>20</v>
      </c>
      <c r="AV641" t="b">
        <v>1</v>
      </c>
      <c r="AX641" s="2"/>
      <c r="AY641" t="s">
        <v>21</v>
      </c>
      <c r="AZ641">
        <v>1</v>
      </c>
      <c r="BA641">
        <v>11800</v>
      </c>
      <c r="BB641" t="s">
        <v>708</v>
      </c>
      <c r="BC641">
        <v>120</v>
      </c>
      <c r="BD641" s="2">
        <v>0.42</v>
      </c>
      <c r="BE641" t="s">
        <v>930</v>
      </c>
      <c r="BF641" t="s">
        <v>921</v>
      </c>
      <c r="BG641" t="s">
        <v>939</v>
      </c>
      <c r="BH641" s="7">
        <v>40</v>
      </c>
      <c r="BI64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641">
        <v>0</v>
      </c>
      <c r="BK641" t="s">
        <v>733</v>
      </c>
      <c r="BL641" s="11"/>
      <c r="BM641" s="11"/>
      <c r="BN641" s="11">
        <v>200</v>
      </c>
      <c r="BO641">
        <v>0</v>
      </c>
      <c r="BP641" t="s">
        <v>691</v>
      </c>
      <c r="BQ641" t="s">
        <v>693</v>
      </c>
      <c r="BR641" t="s">
        <v>700</v>
      </c>
      <c r="BS641" t="s">
        <v>704</v>
      </c>
      <c r="BT641" t="s">
        <v>705</v>
      </c>
      <c r="BU641" t="s">
        <v>706</v>
      </c>
      <c r="CT641"/>
      <c r="CU641"/>
      <c r="CV641"/>
    </row>
    <row r="642" spans="1:100" x14ac:dyDescent="0.4">
      <c r="A642" s="2" t="s">
        <v>665</v>
      </c>
      <c r="B642" t="str">
        <f>_xlfn.TEXTAFTER(Table1[[#This Row],[VEHIDCODE]],"_")</f>
        <v>Russia_RZD_EP20</v>
      </c>
      <c r="C642" t="s">
        <v>740</v>
      </c>
      <c r="D642" t="s">
        <v>960</v>
      </c>
      <c r="E642">
        <v>6092</v>
      </c>
      <c r="F642" t="b">
        <f>OR(ISNUMBER(SEARCH("wagon_",Table1[[#This Row],[FILENAMES_EXPECTED]])),ISNUMBER(SEARCH("coach_",Table1[[#This Row],[FILENAMES_EXPECTED]])))</f>
        <v>0</v>
      </c>
      <c r="G642" t="str">
        <f>"item_"&amp;Table1[[#This Row],[VEHIDCODE]]</f>
        <v>item_electric_Russia_RZD_EP20</v>
      </c>
      <c r="H642" t="str">
        <f>"str_"&amp;Table1[[#This Row],[VEHIDCODE]]</f>
        <v>str_electric_Russia_RZD_EP20</v>
      </c>
      <c r="AA642" t="b">
        <v>1</v>
      </c>
      <c r="AL642" s="2"/>
      <c r="AM642" s="2" t="b">
        <f>LEN(_xlfn.CONCAT(Table1[[#This Row],[TRACK_TYPE_STANDARD_GAUGE_RAILTYPE_OHLE]:[TRACK_TYPE_MTRO]]))&gt;0</f>
        <v>1</v>
      </c>
      <c r="AN642">
        <v>8</v>
      </c>
      <c r="AO642" t="s">
        <v>20</v>
      </c>
      <c r="AP642">
        <v>0</v>
      </c>
      <c r="AQ642" t="s">
        <v>74</v>
      </c>
      <c r="AR642">
        <v>0</v>
      </c>
      <c r="AS642">
        <v>2011</v>
      </c>
      <c r="AT642">
        <v>8</v>
      </c>
      <c r="AU642" s="2" t="s">
        <v>20</v>
      </c>
      <c r="AV642" t="b">
        <v>1</v>
      </c>
      <c r="AX642" s="2"/>
      <c r="AY642" t="s">
        <v>21</v>
      </c>
      <c r="AZ642">
        <v>1</v>
      </c>
      <c r="BA642">
        <v>9655</v>
      </c>
      <c r="BB642" t="s">
        <v>708</v>
      </c>
      <c r="BC642">
        <v>200</v>
      </c>
      <c r="BD642" s="2">
        <v>0.26</v>
      </c>
      <c r="BE642" t="s">
        <v>930</v>
      </c>
      <c r="BF642" t="s">
        <v>921</v>
      </c>
      <c r="BG642" t="s">
        <v>939</v>
      </c>
      <c r="BH642" s="7">
        <v>40</v>
      </c>
      <c r="BI64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642">
        <v>0</v>
      </c>
      <c r="BK642" t="s">
        <v>733</v>
      </c>
      <c r="BL642" s="11"/>
      <c r="BM642" s="11"/>
      <c r="BN642" s="11">
        <v>135</v>
      </c>
      <c r="BO642">
        <v>0</v>
      </c>
      <c r="BP642" t="s">
        <v>691</v>
      </c>
      <c r="BQ642" t="s">
        <v>693</v>
      </c>
      <c r="BR642" t="s">
        <v>700</v>
      </c>
      <c r="BS642" t="s">
        <v>704</v>
      </c>
      <c r="BT642" t="s">
        <v>705</v>
      </c>
      <c r="BU642" t="s">
        <v>706</v>
      </c>
      <c r="CT642"/>
      <c r="CU642"/>
      <c r="CV642"/>
    </row>
    <row r="643" spans="1:100" x14ac:dyDescent="0.4">
      <c r="A643" s="2" t="s">
        <v>666</v>
      </c>
      <c r="B643" t="str">
        <f>_xlfn.TEXTAFTER(Table1[[#This Row],[VEHIDCODE]],"_")</f>
        <v>Finland_VR_Dm7</v>
      </c>
      <c r="C643" t="s">
        <v>736</v>
      </c>
      <c r="D643" t="s">
        <v>953</v>
      </c>
      <c r="E643">
        <v>2010</v>
      </c>
      <c r="F643" t="b">
        <f>OR(ISNUMBER(SEARCH("wagon_",Table1[[#This Row],[FILENAMES_EXPECTED]])),ISNUMBER(SEARCH("coach_",Table1[[#This Row],[FILENAMES_EXPECTED]])))</f>
        <v>0</v>
      </c>
      <c r="G643" t="str">
        <f>"item_"&amp;Table1[[#This Row],[VEHIDCODE]]</f>
        <v>item_rbd_Finland_VR_Dm7</v>
      </c>
      <c r="H643" t="str">
        <f>"str_"&amp;Table1[[#This Row],[VEHIDCODE]]</f>
        <v>str_rbd_Finland_VR_Dm7</v>
      </c>
      <c r="AI643" s="2" t="b">
        <v>1</v>
      </c>
      <c r="AL643" s="2"/>
      <c r="AM643" s="2" t="b">
        <f>LEN(_xlfn.CONCAT(Table1[[#This Row],[TRACK_TYPE_STANDARD_GAUGE_RAILTYPE_OHLE]:[TRACK_TYPE_MTRO]]))&gt;0</f>
        <v>1</v>
      </c>
      <c r="AN643">
        <v>7</v>
      </c>
      <c r="AO643" t="s">
        <v>18</v>
      </c>
      <c r="AP643">
        <v>0</v>
      </c>
      <c r="AQ643" t="s">
        <v>35</v>
      </c>
      <c r="AR643">
        <v>64</v>
      </c>
      <c r="AS643">
        <v>1955</v>
      </c>
      <c r="AT643">
        <v>7</v>
      </c>
      <c r="AU643" s="2" t="s">
        <v>24</v>
      </c>
      <c r="AV643" t="b">
        <v>1</v>
      </c>
      <c r="AX643" s="2"/>
      <c r="AY643">
        <v>45</v>
      </c>
      <c r="AZ643">
        <v>1</v>
      </c>
      <c r="BA643">
        <v>180</v>
      </c>
      <c r="BB643" t="s">
        <v>710</v>
      </c>
      <c r="BC643">
        <v>95</v>
      </c>
      <c r="BD643" s="2">
        <v>0.33</v>
      </c>
      <c r="BE643" t="s">
        <v>926</v>
      </c>
      <c r="BF643" t="s">
        <v>921</v>
      </c>
      <c r="BG643" t="s">
        <v>939</v>
      </c>
      <c r="BH643" s="7">
        <v>15</v>
      </c>
      <c r="BI64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643">
        <v>-3</v>
      </c>
      <c r="BK643" t="s">
        <v>733</v>
      </c>
      <c r="BL643" s="11"/>
      <c r="BM643" s="11"/>
      <c r="BN643" s="11">
        <v>18</v>
      </c>
      <c r="BO643">
        <v>0</v>
      </c>
      <c r="BP643" t="s">
        <v>691</v>
      </c>
      <c r="BQ643" t="s">
        <v>693</v>
      </c>
      <c r="BR643" t="s">
        <v>700</v>
      </c>
      <c r="BS643" t="s">
        <v>704</v>
      </c>
      <c r="BT643" t="s">
        <v>705</v>
      </c>
      <c r="BU643" t="s">
        <v>706</v>
      </c>
      <c r="CT643"/>
      <c r="CU643"/>
      <c r="CV643"/>
    </row>
    <row r="644" spans="1:100" x14ac:dyDescent="0.4">
      <c r="A644" s="2" t="s">
        <v>667</v>
      </c>
      <c r="B644" t="str">
        <f>_xlfn.TEXTAFTER(Table1[[#This Row],[VEHIDCODE]],"_")</f>
        <v>Russia_RZD_ACh2</v>
      </c>
      <c r="C644" t="s">
        <v>736</v>
      </c>
      <c r="D644" t="s">
        <v>953</v>
      </c>
      <c r="E644">
        <v>2011</v>
      </c>
      <c r="F644" t="b">
        <f>OR(ISNUMBER(SEARCH("wagon_",Table1[[#This Row],[FILENAMES_EXPECTED]])),ISNUMBER(SEARCH("coach_",Table1[[#This Row],[FILENAMES_EXPECTED]])))</f>
        <v>0</v>
      </c>
      <c r="G644" t="str">
        <f>"item_"&amp;Table1[[#This Row],[VEHIDCODE]]</f>
        <v>item_rbd_Russia_RZD_ACh2</v>
      </c>
      <c r="H644" t="str">
        <f>"str_"&amp;Table1[[#This Row],[VEHIDCODE]]</f>
        <v>str_rbd_Russia_RZD_ACh2</v>
      </c>
      <c r="AI644" s="2" t="b">
        <v>1</v>
      </c>
      <c r="AL644" s="2"/>
      <c r="AM644" s="2" t="b">
        <f>LEN(_xlfn.CONCAT(Table1[[#This Row],[TRACK_TYPE_STANDARD_GAUGE_RAILTYPE_OHLE]:[TRACK_TYPE_MTRO]]))&gt;0</f>
        <v>1</v>
      </c>
      <c r="AN644">
        <v>8</v>
      </c>
      <c r="AO644" t="s">
        <v>18</v>
      </c>
      <c r="AP644">
        <v>0</v>
      </c>
      <c r="AQ644" t="s">
        <v>35</v>
      </c>
      <c r="AR644">
        <v>67</v>
      </c>
      <c r="AS644">
        <v>1984</v>
      </c>
      <c r="AT644">
        <v>8</v>
      </c>
      <c r="AU644" s="2" t="s">
        <v>24</v>
      </c>
      <c r="AV644" t="b">
        <v>1</v>
      </c>
      <c r="AX644" s="2"/>
      <c r="AY644">
        <v>45</v>
      </c>
      <c r="AZ644">
        <v>1</v>
      </c>
      <c r="BA644">
        <v>990</v>
      </c>
      <c r="BB644" t="s">
        <v>710</v>
      </c>
      <c r="BC644">
        <v>120</v>
      </c>
      <c r="BD644" s="2">
        <v>0.24</v>
      </c>
      <c r="BE644" t="s">
        <v>930</v>
      </c>
      <c r="BF644" t="s">
        <v>921</v>
      </c>
      <c r="BG644" t="s">
        <v>939</v>
      </c>
      <c r="BH644" s="7">
        <v>15</v>
      </c>
      <c r="BI64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644">
        <v>-3</v>
      </c>
      <c r="BK644" t="s">
        <v>733</v>
      </c>
      <c r="BL644" s="11"/>
      <c r="BM644" s="11"/>
      <c r="BN644" s="11">
        <v>59</v>
      </c>
      <c r="BO644">
        <v>0</v>
      </c>
      <c r="BP644" t="s">
        <v>691</v>
      </c>
      <c r="BQ644" t="s">
        <v>693</v>
      </c>
      <c r="BR644" t="s">
        <v>700</v>
      </c>
      <c r="BS644" t="s">
        <v>704</v>
      </c>
      <c r="BT644" t="s">
        <v>705</v>
      </c>
      <c r="BU644" t="s">
        <v>706</v>
      </c>
      <c r="CT644"/>
      <c r="CU644"/>
      <c r="CV644"/>
    </row>
    <row r="645" spans="1:100" x14ac:dyDescent="0.4">
      <c r="A645" s="2" t="s">
        <v>668</v>
      </c>
      <c r="B645" t="str">
        <f>_xlfn.TEXTAFTER(Table1[[#This Row],[VEHIDCODE]],"_")</f>
        <v>Russia_RZD_ER200</v>
      </c>
      <c r="C645" t="s">
        <v>743</v>
      </c>
      <c r="D645" t="s">
        <v>964</v>
      </c>
      <c r="E645">
        <v>8063</v>
      </c>
      <c r="F645" t="b">
        <f>OR(ISNUMBER(SEARCH("wagon_",Table1[[#This Row],[FILENAMES_EXPECTED]])),ISNUMBER(SEARCH("coach_",Table1[[#This Row],[FILENAMES_EXPECTED]])))</f>
        <v>0</v>
      </c>
      <c r="G645" t="str">
        <f>"item_"&amp;Table1[[#This Row],[VEHIDCODE]]</f>
        <v>item_emu_Russia_RZD_ER200</v>
      </c>
      <c r="H645" t="str">
        <f>"str_"&amp;Table1[[#This Row],[VEHIDCODE]]</f>
        <v>str_emu_Russia_RZD_ER200</v>
      </c>
      <c r="AD645" t="b">
        <v>1</v>
      </c>
      <c r="AL645" s="2"/>
      <c r="AM645" s="2" t="b">
        <f>LEN(_xlfn.CONCAT(Table1[[#This Row],[TRACK_TYPE_STANDARD_GAUGE_RAILTYPE_OHLE]:[TRACK_TYPE_MTRO]]))&gt;0</f>
        <v>1</v>
      </c>
      <c r="AN645">
        <v>8</v>
      </c>
      <c r="AO645" t="s">
        <v>18</v>
      </c>
      <c r="AP645">
        <v>1</v>
      </c>
      <c r="AQ645" t="s">
        <v>74</v>
      </c>
      <c r="AR645">
        <v>64</v>
      </c>
      <c r="AS645">
        <v>1973</v>
      </c>
      <c r="AT645">
        <v>8</v>
      </c>
      <c r="AU645" s="2" t="s">
        <v>24</v>
      </c>
      <c r="AV645" t="b">
        <v>1</v>
      </c>
      <c r="AW645" t="b">
        <v>1</v>
      </c>
      <c r="AX645" s="2"/>
      <c r="AY645">
        <v>45</v>
      </c>
      <c r="AZ645">
        <v>1</v>
      </c>
      <c r="BA645">
        <v>1280</v>
      </c>
      <c r="BB645" t="s">
        <v>708</v>
      </c>
      <c r="BC645">
        <v>200</v>
      </c>
      <c r="BD645" s="2">
        <v>0.13</v>
      </c>
      <c r="BE645" t="s">
        <v>930</v>
      </c>
      <c r="BF645" t="s">
        <v>921</v>
      </c>
      <c r="BG645" t="s">
        <v>939</v>
      </c>
      <c r="BH645" s="7">
        <v>40</v>
      </c>
      <c r="BI64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645">
        <v>0</v>
      </c>
      <c r="BK645" t="s">
        <v>733</v>
      </c>
      <c r="BL645" s="11">
        <v>64</v>
      </c>
      <c r="BM645" s="11">
        <v>8</v>
      </c>
      <c r="BN645" s="11">
        <v>49</v>
      </c>
      <c r="BO645">
        <v>0</v>
      </c>
      <c r="BP645" t="s">
        <v>691</v>
      </c>
      <c r="BQ645" t="s">
        <v>693</v>
      </c>
      <c r="BR645" t="s">
        <v>700</v>
      </c>
      <c r="BS645" t="s">
        <v>704</v>
      </c>
      <c r="BT645" t="s">
        <v>705</v>
      </c>
      <c r="BU645" t="s">
        <v>706</v>
      </c>
      <c r="CT645"/>
      <c r="CU645"/>
      <c r="CV645"/>
    </row>
    <row r="646" spans="1:100" x14ac:dyDescent="0.4">
      <c r="A646" s="2" t="s">
        <v>669</v>
      </c>
      <c r="B646" t="str">
        <f>_xlfn.TEXTAFTER(Table1[[#This Row],[VEHIDCODE]],"_")</f>
        <v>Russia_RZD_S</v>
      </c>
      <c r="C646" t="s">
        <v>743</v>
      </c>
      <c r="D646" t="s">
        <v>964</v>
      </c>
      <c r="E646">
        <v>8059</v>
      </c>
      <c r="F646" t="b">
        <f>OR(ISNUMBER(SEARCH("wagon_",Table1[[#This Row],[FILENAMES_EXPECTED]])),ISNUMBER(SEARCH("coach_",Table1[[#This Row],[FILENAMES_EXPECTED]])))</f>
        <v>0</v>
      </c>
      <c r="G646" t="str">
        <f>"item_"&amp;Table1[[#This Row],[VEHIDCODE]]</f>
        <v>item_emu_Russia_RZD_S</v>
      </c>
      <c r="H646" t="str">
        <f>"str_"&amp;Table1[[#This Row],[VEHIDCODE]]</f>
        <v>str_emu_Russia_RZD_S</v>
      </c>
      <c r="AD646" t="b">
        <v>1</v>
      </c>
      <c r="AL646" s="2"/>
      <c r="AM646" s="2" t="b">
        <f>LEN(_xlfn.CONCAT(Table1[[#This Row],[TRACK_TYPE_STANDARD_GAUGE_RAILTYPE_OHLE]:[TRACK_TYPE_MTRO]]))&gt;0</f>
        <v>1</v>
      </c>
      <c r="AN646">
        <v>7</v>
      </c>
      <c r="AO646" t="s">
        <v>18</v>
      </c>
      <c r="AP646">
        <v>1</v>
      </c>
      <c r="AQ646" t="s">
        <v>74</v>
      </c>
      <c r="AR646">
        <v>50</v>
      </c>
      <c r="AS646">
        <v>1929</v>
      </c>
      <c r="AT646">
        <v>7</v>
      </c>
      <c r="AU646" s="2" t="s">
        <v>24</v>
      </c>
      <c r="AV646" t="b">
        <v>1</v>
      </c>
      <c r="AW646" t="b">
        <v>1</v>
      </c>
      <c r="AX646" s="2"/>
      <c r="AY646">
        <v>45</v>
      </c>
      <c r="AZ646">
        <v>1</v>
      </c>
      <c r="BA646">
        <v>804</v>
      </c>
      <c r="BB646" t="s">
        <v>708</v>
      </c>
      <c r="BC646">
        <v>85</v>
      </c>
      <c r="BD646" s="2">
        <v>0.08</v>
      </c>
      <c r="BE646" t="s">
        <v>930</v>
      </c>
      <c r="BF646" t="s">
        <v>921</v>
      </c>
      <c r="BG646" t="s">
        <v>939</v>
      </c>
      <c r="BH646" s="7">
        <v>40</v>
      </c>
      <c r="BI64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646">
        <v>0</v>
      </c>
      <c r="BK646" t="s">
        <v>733</v>
      </c>
      <c r="BL646" s="11">
        <v>50</v>
      </c>
      <c r="BM646" s="11">
        <v>7</v>
      </c>
      <c r="BN646" s="11">
        <v>46</v>
      </c>
      <c r="BO646">
        <v>0</v>
      </c>
      <c r="BP646" t="s">
        <v>691</v>
      </c>
      <c r="BQ646" t="s">
        <v>693</v>
      </c>
      <c r="BR646" t="s">
        <v>700</v>
      </c>
      <c r="BS646" t="s">
        <v>704</v>
      </c>
      <c r="BT646" t="s">
        <v>705</v>
      </c>
      <c r="BU646" t="s">
        <v>706</v>
      </c>
      <c r="CT646"/>
      <c r="CU646"/>
      <c r="CV646"/>
    </row>
    <row r="647" spans="1:100" x14ac:dyDescent="0.4">
      <c r="A647" s="2" t="s">
        <v>670</v>
      </c>
      <c r="B647" t="str">
        <f>_xlfn.TEXTAFTER(Table1[[#This Row],[VEHIDCODE]],"_")</f>
        <v>Croatia_HZ_6112</v>
      </c>
      <c r="C647" t="s">
        <v>743</v>
      </c>
      <c r="D647" t="s">
        <v>964</v>
      </c>
      <c r="E647">
        <v>8070</v>
      </c>
      <c r="F647" t="b">
        <f>OR(ISNUMBER(SEARCH("wagon_",Table1[[#This Row],[FILENAMES_EXPECTED]])),ISNUMBER(SEARCH("coach_",Table1[[#This Row],[FILENAMES_EXPECTED]])))</f>
        <v>0</v>
      </c>
      <c r="G647" t="str">
        <f>"item_"&amp;Table1[[#This Row],[VEHIDCODE]]</f>
        <v>item_emu_Croatia_HZ_6112</v>
      </c>
      <c r="H647" t="str">
        <f>"str_"&amp;Table1[[#This Row],[VEHIDCODE]]</f>
        <v>str_emu_Croatia_HZ_6112</v>
      </c>
      <c r="AB647" t="b">
        <v>1</v>
      </c>
      <c r="AL647" s="2"/>
      <c r="AM647" s="2" t="b">
        <f>LEN(_xlfn.CONCAT(Table1[[#This Row],[TRACK_TYPE_STANDARD_GAUGE_RAILTYPE_OHLE]:[TRACK_TYPE_MTRO]]))&gt;0</f>
        <v>1</v>
      </c>
      <c r="AN647">
        <v>8</v>
      </c>
      <c r="AO647" t="s">
        <v>18</v>
      </c>
      <c r="AP647">
        <v>1</v>
      </c>
      <c r="AQ647" t="s">
        <v>74</v>
      </c>
      <c r="AR647">
        <v>60</v>
      </c>
      <c r="AS647">
        <v>2015</v>
      </c>
      <c r="AT647">
        <v>8</v>
      </c>
      <c r="AU647" s="2" t="s">
        <v>24</v>
      </c>
      <c r="AV647" t="b">
        <v>1</v>
      </c>
      <c r="AW647" t="b">
        <v>1</v>
      </c>
      <c r="AX647" s="2"/>
      <c r="AY647" t="s">
        <v>21</v>
      </c>
      <c r="AZ647">
        <v>1</v>
      </c>
      <c r="BA647">
        <v>2700</v>
      </c>
      <c r="BB647" t="s">
        <v>708</v>
      </c>
      <c r="BC647">
        <v>160</v>
      </c>
      <c r="BD647" s="2">
        <v>0.47</v>
      </c>
      <c r="BE647" t="s">
        <v>928</v>
      </c>
      <c r="BF647" t="s">
        <v>921</v>
      </c>
      <c r="BG647" t="s">
        <v>939</v>
      </c>
      <c r="BH647" s="7">
        <v>40</v>
      </c>
      <c r="BI64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647">
        <v>0</v>
      </c>
      <c r="BK647" t="s">
        <v>733</v>
      </c>
      <c r="BL647" s="11">
        <v>60</v>
      </c>
      <c r="BM647" s="11">
        <v>8</v>
      </c>
      <c r="BN647" s="11">
        <v>43</v>
      </c>
      <c r="BO647">
        <v>0</v>
      </c>
      <c r="BP647" t="s">
        <v>691</v>
      </c>
      <c r="BQ647" t="s">
        <v>693</v>
      </c>
      <c r="BR647" t="s">
        <v>700</v>
      </c>
      <c r="BS647" t="s">
        <v>704</v>
      </c>
      <c r="BT647" t="s">
        <v>705</v>
      </c>
      <c r="BU647" t="s">
        <v>706</v>
      </c>
      <c r="CT647"/>
      <c r="CU647"/>
      <c r="CV647"/>
    </row>
    <row r="648" spans="1:100" x14ac:dyDescent="0.4">
      <c r="A648" s="2" t="s">
        <v>671</v>
      </c>
      <c r="B648" t="str">
        <f>_xlfn.TEXTAFTER(Table1[[#This Row],[VEHIDCODE]],"_")</f>
        <v>Russia_RZD_ES1_Lastochka</v>
      </c>
      <c r="C648" t="s">
        <v>743</v>
      </c>
      <c r="D648" t="s">
        <v>964</v>
      </c>
      <c r="E648">
        <v>8068</v>
      </c>
      <c r="F648" t="b">
        <f>OR(ISNUMBER(SEARCH("wagon_",Table1[[#This Row],[FILENAMES_EXPECTED]])),ISNUMBER(SEARCH("coach_",Table1[[#This Row],[FILENAMES_EXPECTED]])))</f>
        <v>0</v>
      </c>
      <c r="G648" t="str">
        <f>"item_"&amp;Table1[[#This Row],[VEHIDCODE]]</f>
        <v>item_emu_Russia_RZD_ES1_Lastochka</v>
      </c>
      <c r="H648" t="str">
        <f>"str_"&amp;Table1[[#This Row],[VEHIDCODE]]</f>
        <v>str_emu_Russia_RZD_ES1_Lastochka</v>
      </c>
      <c r="AA648" t="b">
        <v>1</v>
      </c>
      <c r="AL648" s="2"/>
      <c r="AM648" s="2" t="b">
        <f>LEN(_xlfn.CONCAT(Table1[[#This Row],[TRACK_TYPE_STANDARD_GAUGE_RAILTYPE_OHLE]:[TRACK_TYPE_MTRO]]))&gt;0</f>
        <v>1</v>
      </c>
      <c r="AN648">
        <v>8</v>
      </c>
      <c r="AO648" t="s">
        <v>18</v>
      </c>
      <c r="AP648">
        <v>1</v>
      </c>
      <c r="AQ648" t="s">
        <v>74</v>
      </c>
      <c r="AR648">
        <v>88</v>
      </c>
      <c r="AS648">
        <v>2011</v>
      </c>
      <c r="AT648">
        <v>8</v>
      </c>
      <c r="AU648" s="2" t="s">
        <v>24</v>
      </c>
      <c r="AV648" t="b">
        <v>1</v>
      </c>
      <c r="AW648" t="b">
        <v>1</v>
      </c>
      <c r="AX648" s="2"/>
      <c r="AY648" t="s">
        <v>21</v>
      </c>
      <c r="AZ648">
        <v>1</v>
      </c>
      <c r="BA648">
        <v>3400</v>
      </c>
      <c r="BB648" t="s">
        <v>708</v>
      </c>
      <c r="BC648">
        <v>160</v>
      </c>
      <c r="BD648" s="2">
        <v>0.54</v>
      </c>
      <c r="BE648" t="s">
        <v>930</v>
      </c>
      <c r="BF648" t="s">
        <v>921</v>
      </c>
      <c r="BG648" t="s">
        <v>939</v>
      </c>
      <c r="BH648" s="7">
        <v>40</v>
      </c>
      <c r="BI64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648">
        <v>0</v>
      </c>
      <c r="BK648" t="s">
        <v>733</v>
      </c>
      <c r="BL648" s="11">
        <v>88</v>
      </c>
      <c r="BM648" s="11">
        <v>8</v>
      </c>
      <c r="BN648" s="11">
        <v>56</v>
      </c>
      <c r="BO648">
        <v>0</v>
      </c>
      <c r="BP648" t="s">
        <v>691</v>
      </c>
      <c r="BQ648" t="s">
        <v>693</v>
      </c>
      <c r="BR648" t="s">
        <v>700</v>
      </c>
      <c r="BS648" t="s">
        <v>704</v>
      </c>
      <c r="BT648" t="s">
        <v>705</v>
      </c>
      <c r="BU648" t="s">
        <v>706</v>
      </c>
      <c r="CT648"/>
      <c r="CU648"/>
      <c r="CV648"/>
    </row>
    <row r="649" spans="1:100" x14ac:dyDescent="0.4">
      <c r="A649" s="2" t="s">
        <v>763</v>
      </c>
      <c r="B649" t="str">
        <f>_xlfn.TEXTAFTER(Table1[[#This Row],[VEHIDCODE]],"_")</f>
        <v>Metro_Wagon_Powered</v>
      </c>
      <c r="C649" t="s">
        <v>918</v>
      </c>
      <c r="D649" t="s">
        <v>989</v>
      </c>
      <c r="E649">
        <v>13003</v>
      </c>
      <c r="F649" t="b">
        <f>OR(ISNUMBER(SEARCH("wagon_",Table1[[#This Row],[FILENAMES_EXPECTED]])),ISNUMBER(SEARCH("coach_",Table1[[#This Row],[FILENAMES_EXPECTED]])))</f>
        <v>1</v>
      </c>
      <c r="G649" t="str">
        <f>"item_"&amp;Table1[[#This Row],[VEHIDCODE]]</f>
        <v>item_mtro_Metro_Wagon_Powered</v>
      </c>
      <c r="H649" t="str">
        <f>"str_"&amp;Table1[[#This Row],[VEHIDCODE]]</f>
        <v>str_mtro_Metro_Wagon_Powered</v>
      </c>
      <c r="N649" t="b">
        <v>1</v>
      </c>
      <c r="O649" t="b">
        <v>1</v>
      </c>
      <c r="W649" t="b">
        <v>1</v>
      </c>
      <c r="X649" t="b">
        <v>1</v>
      </c>
      <c r="AF649" t="b">
        <v>1</v>
      </c>
      <c r="AG649" t="b">
        <v>1</v>
      </c>
      <c r="AL649" s="2"/>
      <c r="AM649" s="2" t="b">
        <f>LEN(_xlfn.CONCAT(Table1[[#This Row],[TRACK_TYPE_STANDARD_GAUGE_RAILTYPE_OHLE]:[TRACK_TYPE_MTRO]]))&gt;0</f>
        <v>1</v>
      </c>
      <c r="AN649">
        <v>8</v>
      </c>
      <c r="AO649" t="s">
        <v>325</v>
      </c>
      <c r="AP649">
        <v>0</v>
      </c>
      <c r="AQ649" t="s">
        <v>19</v>
      </c>
      <c r="AR649">
        <v>1</v>
      </c>
      <c r="AS649">
        <v>1900</v>
      </c>
      <c r="AT649">
        <v>8</v>
      </c>
      <c r="AU649" s="2" t="s">
        <v>20</v>
      </c>
      <c r="AV649" t="b">
        <v>1</v>
      </c>
      <c r="AX649" s="2"/>
      <c r="AY649" t="s">
        <v>21</v>
      </c>
      <c r="AZ649">
        <v>1</v>
      </c>
      <c r="BA649">
        <v>0</v>
      </c>
      <c r="BB649" t="s">
        <v>708</v>
      </c>
      <c r="BC649">
        <v>0</v>
      </c>
      <c r="BD649" s="2">
        <v>0.3</v>
      </c>
      <c r="BE649" t="s">
        <v>935</v>
      </c>
      <c r="BF649" t="s">
        <v>921</v>
      </c>
      <c r="BG649" t="s">
        <v>939</v>
      </c>
      <c r="BH649" s="7">
        <v>60</v>
      </c>
      <c r="BI64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649">
        <v>0</v>
      </c>
      <c r="BK649" t="s">
        <v>733</v>
      </c>
      <c r="BL649" s="11"/>
      <c r="BM649" s="11"/>
      <c r="BN649" s="11">
        <v>0</v>
      </c>
      <c r="BO649">
        <v>0</v>
      </c>
      <c r="BP649" t="s">
        <v>691</v>
      </c>
      <c r="BQ649" t="s">
        <v>693</v>
      </c>
      <c r="BR649" t="s">
        <v>700</v>
      </c>
      <c r="BS649" t="s">
        <v>704</v>
      </c>
      <c r="BT649" t="s">
        <v>705</v>
      </c>
      <c r="BU649" t="s">
        <v>706</v>
      </c>
      <c r="CT649"/>
      <c r="CU649"/>
      <c r="CV649"/>
    </row>
    <row r="650" spans="1:100" x14ac:dyDescent="0.4">
      <c r="A650" s="2" t="s">
        <v>762</v>
      </c>
      <c r="B650" t="str">
        <f>_xlfn.TEXTAFTER(Table1[[#This Row],[VEHIDCODE]],"_")</f>
        <v>Metro_Wagon_Unpowered</v>
      </c>
      <c r="C650" t="s">
        <v>918</v>
      </c>
      <c r="D650" t="s">
        <v>989</v>
      </c>
      <c r="E650">
        <v>13002</v>
      </c>
      <c r="F650" t="b">
        <f>OR(ISNUMBER(SEARCH("wagon_",Table1[[#This Row],[FILENAMES_EXPECTED]])),ISNUMBER(SEARCH("coach_",Table1[[#This Row],[FILENAMES_EXPECTED]])))</f>
        <v>1</v>
      </c>
      <c r="G650" t="str">
        <f>"item_"&amp;Table1[[#This Row],[VEHIDCODE]]</f>
        <v>item_mtro_Metro_Wagon_Unpowered</v>
      </c>
      <c r="H650" t="str">
        <f>"str_"&amp;Table1[[#This Row],[VEHIDCODE]]</f>
        <v>str_mtro_Metro_Wagon_Unpowered</v>
      </c>
      <c r="N650" t="b">
        <v>1</v>
      </c>
      <c r="O650" t="b">
        <v>1</v>
      </c>
      <c r="W650" t="b">
        <v>1</v>
      </c>
      <c r="X650" t="b">
        <v>1</v>
      </c>
      <c r="AF650" t="b">
        <v>1</v>
      </c>
      <c r="AG650" t="b">
        <v>1</v>
      </c>
      <c r="AL650" s="2"/>
      <c r="AM650" s="2" t="b">
        <f>LEN(_xlfn.CONCAT(Table1[[#This Row],[TRACK_TYPE_STANDARD_GAUGE_RAILTYPE_OHLE]:[TRACK_TYPE_MTRO]]))&gt;0</f>
        <v>1</v>
      </c>
      <c r="AN650">
        <v>8</v>
      </c>
      <c r="AO650" t="s">
        <v>325</v>
      </c>
      <c r="AP650">
        <v>0</v>
      </c>
      <c r="AQ650" t="s">
        <v>19</v>
      </c>
      <c r="AR650">
        <v>1</v>
      </c>
      <c r="AS650">
        <v>1900</v>
      </c>
      <c r="AT650">
        <v>8</v>
      </c>
      <c r="AU650" s="2" t="s">
        <v>20</v>
      </c>
      <c r="AV650" t="b">
        <v>1</v>
      </c>
      <c r="AX650" s="2"/>
      <c r="AY650" t="s">
        <v>21</v>
      </c>
      <c r="AZ650">
        <v>1</v>
      </c>
      <c r="BA650">
        <v>0</v>
      </c>
      <c r="BB650" t="s">
        <v>708</v>
      </c>
      <c r="BC650">
        <v>0</v>
      </c>
      <c r="BD650" s="2">
        <v>0.3</v>
      </c>
      <c r="BE650" t="s">
        <v>935</v>
      </c>
      <c r="BF650" t="s">
        <v>921</v>
      </c>
      <c r="BG650" t="s">
        <v>939</v>
      </c>
      <c r="BH650" s="7">
        <v>60</v>
      </c>
      <c r="BI65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650">
        <v>0</v>
      </c>
      <c r="BK650" t="s">
        <v>733</v>
      </c>
      <c r="BL650" s="11"/>
      <c r="BM650" s="11"/>
      <c r="BN650" s="11">
        <v>0</v>
      </c>
      <c r="BO650">
        <v>0</v>
      </c>
      <c r="BP650" t="s">
        <v>691</v>
      </c>
      <c r="BQ650" t="s">
        <v>693</v>
      </c>
      <c r="BR650" t="s">
        <v>700</v>
      </c>
      <c r="BS650" t="s">
        <v>704</v>
      </c>
      <c r="BT650" t="s">
        <v>705</v>
      </c>
      <c r="BU650" t="s">
        <v>706</v>
      </c>
      <c r="CT650"/>
      <c r="CU650"/>
      <c r="CV650"/>
    </row>
    <row r="651" spans="1:100" x14ac:dyDescent="0.4">
      <c r="A651" s="2" t="s">
        <v>764</v>
      </c>
      <c r="B651" t="str">
        <f>_xlfn.TEXTAFTER(Table1[[#This Row],[VEHIDCODE]],"_")</f>
        <v>MU_Cargo_Wagon_Powered</v>
      </c>
      <c r="C651" t="s">
        <v>918</v>
      </c>
      <c r="D651" t="s">
        <v>991</v>
      </c>
      <c r="E651">
        <v>13007</v>
      </c>
      <c r="F651" t="b">
        <f>OR(ISNUMBER(SEARCH("wagon_",Table1[[#This Row],[FILENAMES_EXPECTED]])),ISNUMBER(SEARCH("coach_",Table1[[#This Row],[FILENAMES_EXPECTED]])))</f>
        <v>1</v>
      </c>
      <c r="G651" t="str">
        <f>"item_"&amp;Table1[[#This Row],[VEHIDCODE]]</f>
        <v>item_mu_MU_Cargo_Wagon_Powered</v>
      </c>
      <c r="H651" t="str">
        <f>"str_"&amp;Table1[[#This Row],[VEHIDCODE]]</f>
        <v>str_mu_MU_Cargo_Wagon_Powered</v>
      </c>
      <c r="Q651" s="2" t="b">
        <v>1</v>
      </c>
      <c r="Z651" s="2" t="b">
        <v>1</v>
      </c>
      <c r="AI651" s="2" t="b">
        <v>1</v>
      </c>
      <c r="AL651" s="2"/>
      <c r="AM651" s="2" t="b">
        <f>LEN(_xlfn.CONCAT(Table1[[#This Row],[TRACK_TYPE_STANDARD_GAUGE_RAILTYPE_OHLE]:[TRACK_TYPE_MTRO]]))&gt;0</f>
        <v>1</v>
      </c>
      <c r="AN651">
        <v>8</v>
      </c>
      <c r="AO651" t="s">
        <v>532</v>
      </c>
      <c r="AP651">
        <v>0</v>
      </c>
      <c r="AQ651" t="s">
        <v>35</v>
      </c>
      <c r="AR651">
        <v>1</v>
      </c>
      <c r="AS651">
        <v>1992</v>
      </c>
      <c r="AT651">
        <v>8</v>
      </c>
      <c r="AU651" s="2" t="s">
        <v>20</v>
      </c>
      <c r="AV651" t="b">
        <v>1</v>
      </c>
      <c r="AX651" s="2"/>
      <c r="AY651" t="s">
        <v>21</v>
      </c>
      <c r="AZ651">
        <v>0</v>
      </c>
      <c r="BA651">
        <v>0</v>
      </c>
      <c r="BB651" t="s">
        <v>710</v>
      </c>
      <c r="BC651">
        <v>0</v>
      </c>
      <c r="BD651" s="2">
        <v>0.3</v>
      </c>
      <c r="BE651" t="s">
        <v>935</v>
      </c>
      <c r="BF651" t="s">
        <v>921</v>
      </c>
      <c r="BG651" t="s">
        <v>939</v>
      </c>
      <c r="BH651" s="7">
        <v>60</v>
      </c>
      <c r="BI65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651">
        <v>0</v>
      </c>
      <c r="BK651" t="s">
        <v>733</v>
      </c>
      <c r="BL651" s="11"/>
      <c r="BM651" s="11"/>
      <c r="BN651" s="11">
        <v>0</v>
      </c>
      <c r="BO651">
        <v>0</v>
      </c>
      <c r="BP651" t="s">
        <v>691</v>
      </c>
      <c r="BQ651" t="s">
        <v>693</v>
      </c>
      <c r="BR651" t="s">
        <v>700</v>
      </c>
      <c r="BS651" t="s">
        <v>704</v>
      </c>
      <c r="BT651" t="s">
        <v>705</v>
      </c>
      <c r="BU651" t="s">
        <v>706</v>
      </c>
      <c r="CT651"/>
      <c r="CU651"/>
      <c r="CV651"/>
    </row>
    <row r="652" spans="1:100" x14ac:dyDescent="0.4">
      <c r="A652" s="2" t="s">
        <v>765</v>
      </c>
      <c r="B652" t="str">
        <f>_xlfn.TEXTAFTER(Table1[[#This Row],[VEHIDCODE]],"_")</f>
        <v>MU_Cargo_Wagon_Unpowered</v>
      </c>
      <c r="C652" t="s">
        <v>918</v>
      </c>
      <c r="D652" t="s">
        <v>991</v>
      </c>
      <c r="E652">
        <v>13006</v>
      </c>
      <c r="F652" t="b">
        <f>OR(ISNUMBER(SEARCH("wagon_",Table1[[#This Row],[FILENAMES_EXPECTED]])),ISNUMBER(SEARCH("coach_",Table1[[#This Row],[FILENAMES_EXPECTED]])))</f>
        <v>1</v>
      </c>
      <c r="G652" t="str">
        <f>"item_"&amp;Table1[[#This Row],[VEHIDCODE]]</f>
        <v>item_mu_MU_Cargo_Wagon_Unpowered</v>
      </c>
      <c r="H652" t="str">
        <f>"str_"&amp;Table1[[#This Row],[VEHIDCODE]]</f>
        <v>str_mu_MU_Cargo_Wagon_Unpowered</v>
      </c>
      <c r="Q652" s="2" t="b">
        <v>1</v>
      </c>
      <c r="Z652" s="2" t="b">
        <v>1</v>
      </c>
      <c r="AI652" s="2" t="b">
        <v>1</v>
      </c>
      <c r="AL652" s="2"/>
      <c r="AM652" s="2" t="b">
        <f>LEN(_xlfn.CONCAT(Table1[[#This Row],[TRACK_TYPE_STANDARD_GAUGE_RAILTYPE_OHLE]:[TRACK_TYPE_MTRO]]))&gt;0</f>
        <v>1</v>
      </c>
      <c r="AN652">
        <v>8</v>
      </c>
      <c r="AO652" t="s">
        <v>532</v>
      </c>
      <c r="AP652">
        <v>0</v>
      </c>
      <c r="AQ652" t="s">
        <v>35</v>
      </c>
      <c r="AR652">
        <v>1</v>
      </c>
      <c r="AS652">
        <v>1992</v>
      </c>
      <c r="AT652">
        <v>8</v>
      </c>
      <c r="AU652" s="2" t="s">
        <v>20</v>
      </c>
      <c r="AV652" t="b">
        <v>1</v>
      </c>
      <c r="AX652" s="2"/>
      <c r="AY652" t="s">
        <v>21</v>
      </c>
      <c r="AZ652">
        <v>0</v>
      </c>
      <c r="BA652">
        <v>0</v>
      </c>
      <c r="BB652" t="s">
        <v>710</v>
      </c>
      <c r="BC652">
        <v>0</v>
      </c>
      <c r="BD652" s="2">
        <v>0.3</v>
      </c>
      <c r="BE652" t="s">
        <v>935</v>
      </c>
      <c r="BF652" t="s">
        <v>921</v>
      </c>
      <c r="BG652" t="s">
        <v>939</v>
      </c>
      <c r="BH652" s="7">
        <v>60</v>
      </c>
      <c r="BI65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652">
        <v>0</v>
      </c>
      <c r="BK652" t="s">
        <v>733</v>
      </c>
      <c r="BL652" s="11"/>
      <c r="BM652" s="11"/>
      <c r="BN652" s="11">
        <v>0</v>
      </c>
      <c r="BO652">
        <v>0</v>
      </c>
      <c r="BP652" t="s">
        <v>691</v>
      </c>
      <c r="BQ652" t="s">
        <v>693</v>
      </c>
      <c r="BR652" t="s">
        <v>700</v>
      </c>
      <c r="BS652" t="s">
        <v>704</v>
      </c>
      <c r="BT652" t="s">
        <v>705</v>
      </c>
      <c r="BU652" t="s">
        <v>706</v>
      </c>
      <c r="CT652"/>
      <c r="CU652"/>
      <c r="CV652"/>
    </row>
    <row r="653" spans="1:100" x14ac:dyDescent="0.4">
      <c r="A653" s="2" t="s">
        <v>766</v>
      </c>
      <c r="B653" t="str">
        <f>_xlfn.TEXTAFTER(Table1[[#This Row],[VEHIDCODE]],"_")</f>
        <v>MU_Wagon_Powered</v>
      </c>
      <c r="C653" t="s">
        <v>918</v>
      </c>
      <c r="D653" t="s">
        <v>976</v>
      </c>
      <c r="E653">
        <v>13001</v>
      </c>
      <c r="F653" t="b">
        <f>OR(ISNUMBER(SEARCH("wagon_",Table1[[#This Row],[FILENAMES_EXPECTED]])),ISNUMBER(SEARCH("coach_",Table1[[#This Row],[FILENAMES_EXPECTED]])))</f>
        <v>1</v>
      </c>
      <c r="G653" t="str">
        <f>"item_"&amp;Table1[[#This Row],[VEHIDCODE]]</f>
        <v>item_mu_MU_Wagon_Powered</v>
      </c>
      <c r="H653" t="str">
        <f>"str_"&amp;Table1[[#This Row],[VEHIDCODE]]</f>
        <v>str_mu_MU_Wagon_Powered</v>
      </c>
      <c r="Q653" s="2" t="b">
        <v>1</v>
      </c>
      <c r="Z653" s="2" t="b">
        <v>1</v>
      </c>
      <c r="AI653" s="2" t="b">
        <v>1</v>
      </c>
      <c r="AL653" s="2"/>
      <c r="AM653" s="2" t="b">
        <f>LEN(_xlfn.CONCAT(Table1[[#This Row],[TRACK_TYPE_STANDARD_GAUGE_RAILTYPE_OHLE]:[TRACK_TYPE_MTRO]]))&gt;0</f>
        <v>1</v>
      </c>
      <c r="AN653">
        <v>8</v>
      </c>
      <c r="AO653" t="s">
        <v>18</v>
      </c>
      <c r="AP653">
        <v>0</v>
      </c>
      <c r="AQ653" t="s">
        <v>35</v>
      </c>
      <c r="AR653">
        <v>1</v>
      </c>
      <c r="AS653">
        <v>1908</v>
      </c>
      <c r="AT653">
        <v>8</v>
      </c>
      <c r="AU653" s="2" t="s">
        <v>20</v>
      </c>
      <c r="AV653" t="b">
        <v>1</v>
      </c>
      <c r="AX653" s="2"/>
      <c r="AY653" t="s">
        <v>21</v>
      </c>
      <c r="AZ653">
        <v>1</v>
      </c>
      <c r="BA653">
        <v>0</v>
      </c>
      <c r="BB653" t="s">
        <v>710</v>
      </c>
      <c r="BC653">
        <v>0</v>
      </c>
      <c r="BD653" s="2">
        <v>0.3</v>
      </c>
      <c r="BE653" t="s">
        <v>935</v>
      </c>
      <c r="BF653" t="s">
        <v>921</v>
      </c>
      <c r="BG653" t="s">
        <v>939</v>
      </c>
      <c r="BH653" s="7">
        <v>60</v>
      </c>
      <c r="BI65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653">
        <v>0</v>
      </c>
      <c r="BK653" t="s">
        <v>733</v>
      </c>
      <c r="BL653" s="11"/>
      <c r="BM653" s="11"/>
      <c r="BN653" s="11">
        <v>0</v>
      </c>
      <c r="BO653">
        <v>0</v>
      </c>
      <c r="BP653" t="s">
        <v>691</v>
      </c>
      <c r="BQ653" t="s">
        <v>693</v>
      </c>
      <c r="BR653" t="s">
        <v>700</v>
      </c>
      <c r="BS653" t="s">
        <v>704</v>
      </c>
      <c r="BT653" t="s">
        <v>705</v>
      </c>
      <c r="BU653" t="s">
        <v>706</v>
      </c>
      <c r="CT653"/>
      <c r="CU653"/>
      <c r="CV653"/>
    </row>
    <row r="654" spans="1:100" x14ac:dyDescent="0.4">
      <c r="A654" s="2" t="s">
        <v>767</v>
      </c>
      <c r="B654" t="str">
        <f>_xlfn.TEXTAFTER(Table1[[#This Row],[VEHIDCODE]],"_")</f>
        <v>MU_Wagon_Unpowered</v>
      </c>
      <c r="C654" t="s">
        <v>918</v>
      </c>
      <c r="D654" t="s">
        <v>976</v>
      </c>
      <c r="E654">
        <v>13000</v>
      </c>
      <c r="F654" t="b">
        <f>OR(ISNUMBER(SEARCH("wagon_",Table1[[#This Row],[FILENAMES_EXPECTED]])),ISNUMBER(SEARCH("coach_",Table1[[#This Row],[FILENAMES_EXPECTED]])))</f>
        <v>1</v>
      </c>
      <c r="G654" t="str">
        <f>"item_"&amp;Table1[[#This Row],[VEHIDCODE]]</f>
        <v>item_mu_MU_Wagon_Unpowered</v>
      </c>
      <c r="H654" t="str">
        <f>"str_"&amp;Table1[[#This Row],[VEHIDCODE]]</f>
        <v>str_mu_MU_Wagon_Unpowered</v>
      </c>
      <c r="Q654" s="2" t="b">
        <v>1</v>
      </c>
      <c r="Z654" s="2" t="b">
        <v>1</v>
      </c>
      <c r="AI654" s="2" t="b">
        <v>1</v>
      </c>
      <c r="AL654" s="2"/>
      <c r="AM654" s="2" t="b">
        <f>LEN(_xlfn.CONCAT(Table1[[#This Row],[TRACK_TYPE_STANDARD_GAUGE_RAILTYPE_OHLE]:[TRACK_TYPE_MTRO]]))&gt;0</f>
        <v>1</v>
      </c>
      <c r="AN654">
        <v>8</v>
      </c>
      <c r="AO654" t="s">
        <v>18</v>
      </c>
      <c r="AP654">
        <v>0</v>
      </c>
      <c r="AQ654" t="s">
        <v>35</v>
      </c>
      <c r="AR654">
        <v>1</v>
      </c>
      <c r="AS654">
        <v>1908</v>
      </c>
      <c r="AT654">
        <v>8</v>
      </c>
      <c r="AU654" s="2" t="s">
        <v>20</v>
      </c>
      <c r="AV654" t="b">
        <v>1</v>
      </c>
      <c r="AX654" s="2"/>
      <c r="AY654" t="s">
        <v>21</v>
      </c>
      <c r="AZ654">
        <v>1</v>
      </c>
      <c r="BA654">
        <v>0</v>
      </c>
      <c r="BB654" t="s">
        <v>710</v>
      </c>
      <c r="BC654">
        <v>0</v>
      </c>
      <c r="BD654" s="2">
        <v>0.3</v>
      </c>
      <c r="BE654" t="s">
        <v>935</v>
      </c>
      <c r="BF654" t="s">
        <v>921</v>
      </c>
      <c r="BG654" t="s">
        <v>939</v>
      </c>
      <c r="BH654" s="7">
        <v>60</v>
      </c>
      <c r="BI65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654">
        <v>0</v>
      </c>
      <c r="BK654" t="s">
        <v>733</v>
      </c>
      <c r="BL654" s="11"/>
      <c r="BM654" s="11"/>
      <c r="BN654" s="11">
        <v>0</v>
      </c>
      <c r="BO654">
        <v>0</v>
      </c>
      <c r="BP654" t="s">
        <v>691</v>
      </c>
      <c r="BQ654" t="s">
        <v>693</v>
      </c>
      <c r="BR654" t="s">
        <v>700</v>
      </c>
      <c r="BS654" t="s">
        <v>704</v>
      </c>
      <c r="BT654" t="s">
        <v>705</v>
      </c>
      <c r="BU654" t="s">
        <v>706</v>
      </c>
      <c r="CT654"/>
      <c r="CU654"/>
      <c r="CV654"/>
    </row>
    <row r="655" spans="1:100" x14ac:dyDescent="0.4">
      <c r="A655" s="2" t="s">
        <v>769</v>
      </c>
      <c r="B655" t="str">
        <f>_xlfn.TEXTAFTER(Table1[[#This Row],[VEHIDCODE]],"_")</f>
        <v>Wagon_Gen1_Flat_Wagon</v>
      </c>
      <c r="C655" t="s">
        <v>747</v>
      </c>
      <c r="D655" t="s">
        <v>972</v>
      </c>
      <c r="E655">
        <v>12000</v>
      </c>
      <c r="F655" t="b">
        <f>OR(ISNUMBER(SEARCH("wagon_",Table1[[#This Row],[FILENAMES_EXPECTED]])),ISNUMBER(SEARCH("coach_",Table1[[#This Row],[FILENAMES_EXPECTED]])))</f>
        <v>1</v>
      </c>
      <c r="G655" t="str">
        <f>"item_"&amp;Table1[[#This Row],[VEHIDCODE]]</f>
        <v>item_mu_Wagon_Gen1_Flat_Wagon</v>
      </c>
      <c r="H655" t="str">
        <f>"str_"&amp;Table1[[#This Row],[VEHIDCODE]]</f>
        <v>str_mu_Wagon_Gen1_Flat_Wagon</v>
      </c>
      <c r="Q655" s="2" t="b">
        <v>1</v>
      </c>
      <c r="Z655" s="2" t="b">
        <v>1</v>
      </c>
      <c r="AI655" s="2" t="b">
        <v>1</v>
      </c>
      <c r="AL655" s="2"/>
      <c r="AM655" s="2" t="b">
        <f>LEN(_xlfn.CONCAT(Table1[[#This Row],[TRACK_TYPE_STANDARD_GAUGE_RAILTYPE_OHLE]:[TRACK_TYPE_MTRO]]))&gt;0</f>
        <v>1</v>
      </c>
      <c r="AN655">
        <v>4</v>
      </c>
      <c r="AO655" t="s">
        <v>603</v>
      </c>
      <c r="AP655">
        <v>0</v>
      </c>
      <c r="AQ655" t="s">
        <v>35</v>
      </c>
      <c r="AR655">
        <v>20</v>
      </c>
      <c r="AS655">
        <v>1830</v>
      </c>
      <c r="AT655">
        <v>4</v>
      </c>
      <c r="AU655" s="2" t="s">
        <v>33</v>
      </c>
      <c r="AV655" t="b">
        <v>1</v>
      </c>
      <c r="AX655" s="2" t="b">
        <v>1</v>
      </c>
      <c r="AY655">
        <v>90</v>
      </c>
      <c r="AZ655">
        <v>0</v>
      </c>
      <c r="BA655">
        <v>0</v>
      </c>
      <c r="BB655" t="s">
        <v>710</v>
      </c>
      <c r="BC655">
        <v>55</v>
      </c>
      <c r="BD655" s="2">
        <v>0.3</v>
      </c>
      <c r="BE655" t="s">
        <v>935</v>
      </c>
      <c r="BF655" t="s">
        <v>921</v>
      </c>
      <c r="BG655" t="s">
        <v>939</v>
      </c>
      <c r="BH655" s="7">
        <v>25</v>
      </c>
      <c r="BI65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655">
        <v>0</v>
      </c>
      <c r="BK655" t="s">
        <v>733</v>
      </c>
      <c r="BL655" s="11"/>
      <c r="BM655" s="11"/>
      <c r="BN655" s="11">
        <v>5</v>
      </c>
      <c r="BO655">
        <v>0</v>
      </c>
      <c r="BP655" t="s">
        <v>691</v>
      </c>
      <c r="BQ655" t="s">
        <v>693</v>
      </c>
      <c r="BR655" t="s">
        <v>700</v>
      </c>
      <c r="BS655" t="s">
        <v>704</v>
      </c>
      <c r="BT655" t="s">
        <v>705</v>
      </c>
      <c r="BU655" t="s">
        <v>706</v>
      </c>
      <c r="CT655"/>
      <c r="CU655"/>
      <c r="CV655"/>
    </row>
    <row r="656" spans="1:100" x14ac:dyDescent="0.4">
      <c r="A656" s="2" t="s">
        <v>770</v>
      </c>
      <c r="B656" t="str">
        <f>_xlfn.TEXTAFTER(Table1[[#This Row],[VEHIDCODE]],"_")</f>
        <v>Wagon_Gen1_Boxcar</v>
      </c>
      <c r="C656" t="s">
        <v>747</v>
      </c>
      <c r="D656" t="s">
        <v>972</v>
      </c>
      <c r="E656">
        <v>12001</v>
      </c>
      <c r="F656" t="b">
        <f>OR(ISNUMBER(SEARCH("wagon_",Table1[[#This Row],[FILENAMES_EXPECTED]])),ISNUMBER(SEARCH("coach_",Table1[[#This Row],[FILENAMES_EXPECTED]])))</f>
        <v>1</v>
      </c>
      <c r="G656" t="str">
        <f>"item_"&amp;Table1[[#This Row],[VEHIDCODE]]</f>
        <v>item_mu_Wagon_Gen1_Boxcar</v>
      </c>
      <c r="H656" t="str">
        <f>"str_"&amp;Table1[[#This Row],[VEHIDCODE]]</f>
        <v>str_mu_Wagon_Gen1_Boxcar</v>
      </c>
      <c r="Q656" s="2" t="b">
        <v>1</v>
      </c>
      <c r="Z656" s="2" t="b">
        <v>1</v>
      </c>
      <c r="AI656" s="2" t="b">
        <v>1</v>
      </c>
      <c r="AL656" s="2"/>
      <c r="AM656" s="2" t="b">
        <f>LEN(_xlfn.CONCAT(Table1[[#This Row],[TRACK_TYPE_STANDARD_GAUGE_RAILTYPE_OHLE]:[TRACK_TYPE_MTRO]]))&gt;0</f>
        <v>1</v>
      </c>
      <c r="AN656">
        <v>4</v>
      </c>
      <c r="AO656" t="s">
        <v>599</v>
      </c>
      <c r="AP656">
        <v>0</v>
      </c>
      <c r="AQ656" t="s">
        <v>35</v>
      </c>
      <c r="AR656">
        <v>20</v>
      </c>
      <c r="AS656">
        <v>1830</v>
      </c>
      <c r="AT656">
        <v>4</v>
      </c>
      <c r="AU656" s="2" t="s">
        <v>33</v>
      </c>
      <c r="AV656" t="b">
        <v>1</v>
      </c>
      <c r="AX656" s="2" t="b">
        <v>1</v>
      </c>
      <c r="AY656">
        <v>90</v>
      </c>
      <c r="AZ656">
        <v>0</v>
      </c>
      <c r="BA656">
        <v>0</v>
      </c>
      <c r="BB656" t="s">
        <v>710</v>
      </c>
      <c r="BC656">
        <v>55</v>
      </c>
      <c r="BD656" s="2">
        <v>0.3</v>
      </c>
      <c r="BE656" t="s">
        <v>935</v>
      </c>
      <c r="BF656" t="s">
        <v>921</v>
      </c>
      <c r="BG656" t="s">
        <v>939</v>
      </c>
      <c r="BH656" s="7">
        <v>25</v>
      </c>
      <c r="BI65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656">
        <v>0</v>
      </c>
      <c r="BK656" t="s">
        <v>733</v>
      </c>
      <c r="BL656" s="11"/>
      <c r="BM656" s="11"/>
      <c r="BN656" s="11">
        <v>6</v>
      </c>
      <c r="BO656">
        <v>0</v>
      </c>
      <c r="BP656" t="s">
        <v>691</v>
      </c>
      <c r="BQ656" t="s">
        <v>693</v>
      </c>
      <c r="BR656" t="s">
        <v>700</v>
      </c>
      <c r="BS656" t="s">
        <v>704</v>
      </c>
      <c r="BT656" t="s">
        <v>705</v>
      </c>
      <c r="BU656" t="s">
        <v>706</v>
      </c>
      <c r="CT656"/>
      <c r="CU656"/>
      <c r="CV656"/>
    </row>
    <row r="657" spans="1:100" x14ac:dyDescent="0.4">
      <c r="A657" s="2" t="s">
        <v>771</v>
      </c>
      <c r="B657" t="str">
        <f>_xlfn.TEXTAFTER(Table1[[#This Row],[VEHIDCODE]],"_")</f>
        <v>Wagon_Gen1_Tanker</v>
      </c>
      <c r="C657" t="s">
        <v>747</v>
      </c>
      <c r="D657" t="s">
        <v>972</v>
      </c>
      <c r="E657">
        <v>12002</v>
      </c>
      <c r="F657" t="b">
        <f>OR(ISNUMBER(SEARCH("wagon_",Table1[[#This Row],[FILENAMES_EXPECTED]])),ISNUMBER(SEARCH("coach_",Table1[[#This Row],[FILENAMES_EXPECTED]])))</f>
        <v>1</v>
      </c>
      <c r="G657" t="str">
        <f>"item_"&amp;Table1[[#This Row],[VEHIDCODE]]</f>
        <v>item_mu_Wagon_Gen1_Tanker</v>
      </c>
      <c r="H657" t="str">
        <f>"str_"&amp;Table1[[#This Row],[VEHIDCODE]]</f>
        <v>str_mu_Wagon_Gen1_Tanker</v>
      </c>
      <c r="Q657" s="2" t="b">
        <v>1</v>
      </c>
      <c r="Z657" s="2" t="b">
        <v>1</v>
      </c>
      <c r="AI657" s="2" t="b">
        <v>1</v>
      </c>
      <c r="AL657" s="2"/>
      <c r="AM657" s="2" t="b">
        <f>LEN(_xlfn.CONCAT(Table1[[#This Row],[TRACK_TYPE_STANDARD_GAUGE_RAILTYPE_OHLE]:[TRACK_TYPE_MTRO]]))&gt;0</f>
        <v>1</v>
      </c>
      <c r="AN657">
        <v>4</v>
      </c>
      <c r="AO657" t="s">
        <v>609</v>
      </c>
      <c r="AP657">
        <v>0</v>
      </c>
      <c r="AQ657" t="s">
        <v>35</v>
      </c>
      <c r="AR657">
        <v>10</v>
      </c>
      <c r="AS657">
        <v>1830</v>
      </c>
      <c r="AT657">
        <v>4</v>
      </c>
      <c r="AU657" s="2" t="s">
        <v>33</v>
      </c>
      <c r="AV657" t="b">
        <v>1</v>
      </c>
      <c r="AX657" s="2" t="b">
        <v>1</v>
      </c>
      <c r="AY657">
        <v>90</v>
      </c>
      <c r="AZ657">
        <v>0</v>
      </c>
      <c r="BA657">
        <v>0</v>
      </c>
      <c r="BB657" t="s">
        <v>710</v>
      </c>
      <c r="BC657">
        <v>55</v>
      </c>
      <c r="BD657" s="2">
        <v>0.3</v>
      </c>
      <c r="BE657" t="s">
        <v>935</v>
      </c>
      <c r="BF657" t="s">
        <v>921</v>
      </c>
      <c r="BG657" t="s">
        <v>939</v>
      </c>
      <c r="BH657" s="7">
        <v>25</v>
      </c>
      <c r="BI65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657">
        <v>0</v>
      </c>
      <c r="BK657" t="s">
        <v>733</v>
      </c>
      <c r="BL657" s="11"/>
      <c r="BM657" s="11"/>
      <c r="BN657" s="11">
        <v>7</v>
      </c>
      <c r="BO657">
        <v>0</v>
      </c>
      <c r="BP657" t="s">
        <v>691</v>
      </c>
      <c r="BQ657" t="s">
        <v>693</v>
      </c>
      <c r="BR657" t="s">
        <v>700</v>
      </c>
      <c r="BS657" t="s">
        <v>704</v>
      </c>
      <c r="BT657" t="s">
        <v>705</v>
      </c>
      <c r="BU657" t="s">
        <v>706</v>
      </c>
      <c r="CT657"/>
      <c r="CU657"/>
      <c r="CV657"/>
    </row>
    <row r="658" spans="1:100" x14ac:dyDescent="0.4">
      <c r="A658" s="2" t="s">
        <v>772</v>
      </c>
      <c r="B658" t="str">
        <f>_xlfn.TEXTAFTER(Table1[[#This Row],[VEHIDCODE]],"_")</f>
        <v>Wagon_Gen1_Open_Wagon</v>
      </c>
      <c r="C658" t="s">
        <v>747</v>
      </c>
      <c r="D658" t="s">
        <v>972</v>
      </c>
      <c r="E658">
        <v>12003</v>
      </c>
      <c r="F658" t="b">
        <f>OR(ISNUMBER(SEARCH("wagon_",Table1[[#This Row],[FILENAMES_EXPECTED]])),ISNUMBER(SEARCH("coach_",Table1[[#This Row],[FILENAMES_EXPECTED]])))</f>
        <v>1</v>
      </c>
      <c r="G658" t="str">
        <f>"item_"&amp;Table1[[#This Row],[VEHIDCODE]]</f>
        <v>item_mu_Wagon_Gen1_Open_Wagon</v>
      </c>
      <c r="H658" t="str">
        <f>"str_"&amp;Table1[[#This Row],[VEHIDCODE]]</f>
        <v>str_mu_Wagon_Gen1_Open_Wagon</v>
      </c>
      <c r="Q658" s="2" t="b">
        <v>1</v>
      </c>
      <c r="Z658" s="2" t="b">
        <v>1</v>
      </c>
      <c r="AI658" s="2" t="b">
        <v>1</v>
      </c>
      <c r="AL658" s="2"/>
      <c r="AM658" s="2" t="b">
        <f>LEN(_xlfn.CONCAT(Table1[[#This Row],[TRACK_TYPE_STANDARD_GAUGE_RAILTYPE_OHLE]:[TRACK_TYPE_MTRO]]))&gt;0</f>
        <v>1</v>
      </c>
      <c r="AN658">
        <v>4</v>
      </c>
      <c r="AO658" t="s">
        <v>672</v>
      </c>
      <c r="AP658">
        <v>0</v>
      </c>
      <c r="AQ658" t="s">
        <v>35</v>
      </c>
      <c r="AR658">
        <v>18</v>
      </c>
      <c r="AS658">
        <v>1830</v>
      </c>
      <c r="AT658">
        <v>4</v>
      </c>
      <c r="AU658" s="2" t="s">
        <v>33</v>
      </c>
      <c r="AV658" t="b">
        <v>1</v>
      </c>
      <c r="AX658" s="2" t="b">
        <v>1</v>
      </c>
      <c r="AY658">
        <v>90</v>
      </c>
      <c r="AZ658">
        <v>0</v>
      </c>
      <c r="BA658">
        <v>0</v>
      </c>
      <c r="BB658" t="s">
        <v>710</v>
      </c>
      <c r="BC658">
        <v>55</v>
      </c>
      <c r="BD658" s="2">
        <v>0.3</v>
      </c>
      <c r="BE658" t="s">
        <v>935</v>
      </c>
      <c r="BF658" t="s">
        <v>921</v>
      </c>
      <c r="BG658" t="s">
        <v>939</v>
      </c>
      <c r="BH658" s="7">
        <v>25</v>
      </c>
      <c r="BI65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658">
        <v>0</v>
      </c>
      <c r="BK658" t="s">
        <v>733</v>
      </c>
      <c r="BL658" s="11"/>
      <c r="BM658" s="11"/>
      <c r="BN658" s="11">
        <v>6</v>
      </c>
      <c r="BO658">
        <v>0</v>
      </c>
      <c r="BP658" t="s">
        <v>691</v>
      </c>
      <c r="BQ658" t="s">
        <v>693</v>
      </c>
      <c r="BR658" t="s">
        <v>700</v>
      </c>
      <c r="BS658" t="s">
        <v>704</v>
      </c>
      <c r="BT658" t="s">
        <v>705</v>
      </c>
      <c r="BU658" t="s">
        <v>706</v>
      </c>
      <c r="CT658"/>
      <c r="CU658"/>
      <c r="CV658"/>
    </row>
    <row r="659" spans="1:100" x14ac:dyDescent="0.4">
      <c r="A659" s="2" t="s">
        <v>844</v>
      </c>
      <c r="B659" t="str">
        <f>_xlfn.TEXTAFTER(Table1[[#This Row],[VEHIDCODE]],"_")</f>
        <v>Wagon_Gen2_Flat_Wagon</v>
      </c>
      <c r="C659" t="s">
        <v>748</v>
      </c>
      <c r="D659" t="s">
        <v>972</v>
      </c>
      <c r="E659">
        <v>12004</v>
      </c>
      <c r="F659" t="b">
        <f>OR(ISNUMBER(SEARCH("wagon_",Table1[[#This Row],[FILENAMES_EXPECTED]])),ISNUMBER(SEARCH("coach_",Table1[[#This Row],[FILENAMES_EXPECTED]])))</f>
        <v>1</v>
      </c>
      <c r="G659" t="str">
        <f>"item_"&amp;Table1[[#This Row],[VEHIDCODE]]</f>
        <v>item_mu_Wagon_Gen2_Flat_Wagon</v>
      </c>
      <c r="H659" t="str">
        <f>"str_"&amp;Table1[[#This Row],[VEHIDCODE]]</f>
        <v>str_mu_Wagon_Gen2_Flat_Wagon</v>
      </c>
      <c r="Q659" s="2" t="b">
        <v>1</v>
      </c>
      <c r="Z659" s="2" t="b">
        <v>1</v>
      </c>
      <c r="AI659" s="2" t="b">
        <v>1</v>
      </c>
      <c r="AL659" s="2"/>
      <c r="AM659" s="2" t="b">
        <f>LEN(_xlfn.CONCAT(Table1[[#This Row],[TRACK_TYPE_STANDARD_GAUGE_RAILTYPE_OHLE]:[TRACK_TYPE_MTRO]]))&gt;0</f>
        <v>1</v>
      </c>
      <c r="AN659">
        <v>5</v>
      </c>
      <c r="AO659" t="s">
        <v>603</v>
      </c>
      <c r="AP659">
        <v>0</v>
      </c>
      <c r="AQ659" t="s">
        <v>35</v>
      </c>
      <c r="AR659">
        <v>30</v>
      </c>
      <c r="AS659">
        <v>1900</v>
      </c>
      <c r="AT659">
        <v>5</v>
      </c>
      <c r="AU659" s="2" t="s">
        <v>33</v>
      </c>
      <c r="AV659" t="b">
        <v>1</v>
      </c>
      <c r="AX659" s="2" t="b">
        <v>1</v>
      </c>
      <c r="AY659">
        <v>50</v>
      </c>
      <c r="AZ659">
        <v>0</v>
      </c>
      <c r="BA659">
        <v>0</v>
      </c>
      <c r="BB659" t="s">
        <v>710</v>
      </c>
      <c r="BC659">
        <v>70</v>
      </c>
      <c r="BD659" s="2">
        <v>0.3</v>
      </c>
      <c r="BE659" t="s">
        <v>935</v>
      </c>
      <c r="BF659" t="s">
        <v>921</v>
      </c>
      <c r="BG659" t="s">
        <v>939</v>
      </c>
      <c r="BH659" s="7">
        <v>25</v>
      </c>
      <c r="BI65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659">
        <v>0</v>
      </c>
      <c r="BK659" t="s">
        <v>733</v>
      </c>
      <c r="BL659" s="11"/>
      <c r="BM659" s="11"/>
      <c r="BN659" s="11">
        <v>11</v>
      </c>
      <c r="BO659">
        <v>0</v>
      </c>
      <c r="BP659" t="s">
        <v>691</v>
      </c>
      <c r="BQ659" t="s">
        <v>693</v>
      </c>
      <c r="BR659" t="s">
        <v>700</v>
      </c>
      <c r="BS659" t="s">
        <v>704</v>
      </c>
      <c r="BT659" t="s">
        <v>705</v>
      </c>
      <c r="BU659" t="s">
        <v>706</v>
      </c>
      <c r="CT659"/>
      <c r="CU659"/>
      <c r="CV659"/>
    </row>
    <row r="660" spans="1:100" x14ac:dyDescent="0.4">
      <c r="A660" s="2" t="s">
        <v>845</v>
      </c>
      <c r="B660" t="str">
        <f>_xlfn.TEXTAFTER(Table1[[#This Row],[VEHIDCODE]],"_")</f>
        <v>Wagon_Gen2_Boxcar_Type1</v>
      </c>
      <c r="C660" t="s">
        <v>748</v>
      </c>
      <c r="D660" t="s">
        <v>972</v>
      </c>
      <c r="E660">
        <v>12005</v>
      </c>
      <c r="F660" t="b">
        <f>OR(ISNUMBER(SEARCH("wagon_",Table1[[#This Row],[FILENAMES_EXPECTED]])),ISNUMBER(SEARCH("coach_",Table1[[#This Row],[FILENAMES_EXPECTED]])))</f>
        <v>1</v>
      </c>
      <c r="G660" t="str">
        <f>"item_"&amp;Table1[[#This Row],[VEHIDCODE]]</f>
        <v>item_mu_Wagon_Gen2_Boxcar_Type1</v>
      </c>
      <c r="H660" t="str">
        <f>"str_"&amp;Table1[[#This Row],[VEHIDCODE]]</f>
        <v>str_mu_Wagon_Gen2_Boxcar_Type1</v>
      </c>
      <c r="Q660" s="2" t="b">
        <v>1</v>
      </c>
      <c r="Z660" s="2" t="b">
        <v>1</v>
      </c>
      <c r="AI660" s="2" t="b">
        <v>1</v>
      </c>
      <c r="AL660" s="2"/>
      <c r="AM660" s="2" t="b">
        <f>LEN(_xlfn.CONCAT(Table1[[#This Row],[TRACK_TYPE_STANDARD_GAUGE_RAILTYPE_OHLE]:[TRACK_TYPE_MTRO]]))&gt;0</f>
        <v>1</v>
      </c>
      <c r="AN660">
        <v>5</v>
      </c>
      <c r="AO660" t="s">
        <v>599</v>
      </c>
      <c r="AP660">
        <v>0</v>
      </c>
      <c r="AQ660" t="s">
        <v>35</v>
      </c>
      <c r="AR660">
        <v>25</v>
      </c>
      <c r="AS660">
        <v>1890</v>
      </c>
      <c r="AT660">
        <v>5</v>
      </c>
      <c r="AU660" s="2" t="s">
        <v>33</v>
      </c>
      <c r="AV660" t="b">
        <v>1</v>
      </c>
      <c r="AX660" s="2" t="b">
        <v>1</v>
      </c>
      <c r="AY660">
        <v>60</v>
      </c>
      <c r="AZ660">
        <v>0</v>
      </c>
      <c r="BA660">
        <v>0</v>
      </c>
      <c r="BB660" t="s">
        <v>710</v>
      </c>
      <c r="BC660">
        <v>90</v>
      </c>
      <c r="BD660" s="2">
        <v>0.3</v>
      </c>
      <c r="BE660" t="s">
        <v>932</v>
      </c>
      <c r="BF660" t="s">
        <v>921</v>
      </c>
      <c r="BG660" t="s">
        <v>939</v>
      </c>
      <c r="BH660" s="7">
        <v>25</v>
      </c>
      <c r="BI66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660">
        <v>0</v>
      </c>
      <c r="BK660" t="s">
        <v>733</v>
      </c>
      <c r="BL660" s="11"/>
      <c r="BM660" s="11"/>
      <c r="BN660" s="11">
        <v>12</v>
      </c>
      <c r="BO660">
        <v>0</v>
      </c>
      <c r="BP660" t="s">
        <v>691</v>
      </c>
      <c r="BQ660" t="s">
        <v>693</v>
      </c>
      <c r="BR660" t="s">
        <v>700</v>
      </c>
      <c r="BS660" t="s">
        <v>704</v>
      </c>
      <c r="BT660" t="s">
        <v>705</v>
      </c>
      <c r="BU660" t="s">
        <v>706</v>
      </c>
      <c r="CT660"/>
      <c r="CU660"/>
      <c r="CV660"/>
    </row>
    <row r="661" spans="1:100" x14ac:dyDescent="0.4">
      <c r="A661" s="2" t="s">
        <v>846</v>
      </c>
      <c r="B661" t="str">
        <f>_xlfn.TEXTAFTER(Table1[[#This Row],[VEHIDCODE]],"_")</f>
        <v>Wagon_Gen2_Boxcar_Type2</v>
      </c>
      <c r="C661" t="s">
        <v>748</v>
      </c>
      <c r="D661" t="s">
        <v>972</v>
      </c>
      <c r="E661">
        <v>12038</v>
      </c>
      <c r="F661" t="b">
        <f>OR(ISNUMBER(SEARCH("wagon_",Table1[[#This Row],[FILENAMES_EXPECTED]])),ISNUMBER(SEARCH("coach_",Table1[[#This Row],[FILENAMES_EXPECTED]])))</f>
        <v>1</v>
      </c>
      <c r="G661" t="str">
        <f>"item_"&amp;Table1[[#This Row],[VEHIDCODE]]</f>
        <v>item_mu_Wagon_Gen2_Boxcar_Type2</v>
      </c>
      <c r="H661" t="str">
        <f>"str_"&amp;Table1[[#This Row],[VEHIDCODE]]</f>
        <v>str_mu_Wagon_Gen2_Boxcar_Type2</v>
      </c>
      <c r="Q661" s="2" t="b">
        <v>1</v>
      </c>
      <c r="Z661" s="2" t="b">
        <v>1</v>
      </c>
      <c r="AI661" s="2" t="b">
        <v>1</v>
      </c>
      <c r="AL661" s="2"/>
      <c r="AM661" s="2" t="b">
        <f>LEN(_xlfn.CONCAT(Table1[[#This Row],[TRACK_TYPE_STANDARD_GAUGE_RAILTYPE_OHLE]:[TRACK_TYPE_MTRO]]))&gt;0</f>
        <v>1</v>
      </c>
      <c r="AN661">
        <v>5</v>
      </c>
      <c r="AO661" t="s">
        <v>599</v>
      </c>
      <c r="AP661">
        <v>0</v>
      </c>
      <c r="AQ661" t="s">
        <v>35</v>
      </c>
      <c r="AR661">
        <v>25</v>
      </c>
      <c r="AS661">
        <v>1890</v>
      </c>
      <c r="AT661">
        <v>5</v>
      </c>
      <c r="AU661" s="2" t="s">
        <v>33</v>
      </c>
      <c r="AV661" t="b">
        <v>1</v>
      </c>
      <c r="AX661" s="2" t="b">
        <v>1</v>
      </c>
      <c r="AY661">
        <v>60</v>
      </c>
      <c r="AZ661">
        <v>0</v>
      </c>
      <c r="BA661">
        <v>0</v>
      </c>
      <c r="BB661" t="s">
        <v>710</v>
      </c>
      <c r="BC661">
        <v>90</v>
      </c>
      <c r="BD661" s="2">
        <v>0.3</v>
      </c>
      <c r="BE661" t="s">
        <v>933</v>
      </c>
      <c r="BF661" t="s">
        <v>921</v>
      </c>
      <c r="BG661" t="s">
        <v>939</v>
      </c>
      <c r="BH661" s="7">
        <v>25</v>
      </c>
      <c r="BI66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661">
        <v>0</v>
      </c>
      <c r="BK661" t="s">
        <v>733</v>
      </c>
      <c r="BL661" s="11"/>
      <c r="BM661" s="11"/>
      <c r="BN661" s="11">
        <v>12</v>
      </c>
      <c r="BO661">
        <v>0</v>
      </c>
      <c r="BP661" t="s">
        <v>691</v>
      </c>
      <c r="BQ661" t="s">
        <v>693</v>
      </c>
      <c r="BR661" t="s">
        <v>700</v>
      </c>
      <c r="BS661" t="s">
        <v>704</v>
      </c>
      <c r="BT661" t="s">
        <v>705</v>
      </c>
      <c r="BU661" t="s">
        <v>706</v>
      </c>
      <c r="CT661"/>
      <c r="CU661"/>
      <c r="CV661"/>
    </row>
    <row r="662" spans="1:100" x14ac:dyDescent="0.4">
      <c r="A662" s="2" t="s">
        <v>847</v>
      </c>
      <c r="B662" t="str">
        <f>_xlfn.TEXTAFTER(Table1[[#This Row],[VEHIDCODE]],"_")</f>
        <v>Wagon_Gen2_Tanker</v>
      </c>
      <c r="C662" t="s">
        <v>748</v>
      </c>
      <c r="D662" t="s">
        <v>972</v>
      </c>
      <c r="E662">
        <v>12006</v>
      </c>
      <c r="F662" t="b">
        <f>OR(ISNUMBER(SEARCH("wagon_",Table1[[#This Row],[FILENAMES_EXPECTED]])),ISNUMBER(SEARCH("coach_",Table1[[#This Row],[FILENAMES_EXPECTED]])))</f>
        <v>1</v>
      </c>
      <c r="G662" t="str">
        <f>"item_"&amp;Table1[[#This Row],[VEHIDCODE]]</f>
        <v>item_mu_Wagon_Gen2_Tanker</v>
      </c>
      <c r="H662" t="str">
        <f>"str_"&amp;Table1[[#This Row],[VEHIDCODE]]</f>
        <v>str_mu_Wagon_Gen2_Tanker</v>
      </c>
      <c r="Q662" s="2" t="b">
        <v>1</v>
      </c>
      <c r="Z662" s="2" t="b">
        <v>1</v>
      </c>
      <c r="AI662" s="2" t="b">
        <v>1</v>
      </c>
      <c r="AL662" s="2"/>
      <c r="AM662" s="2" t="b">
        <f>LEN(_xlfn.CONCAT(Table1[[#This Row],[TRACK_TYPE_STANDARD_GAUGE_RAILTYPE_OHLE]:[TRACK_TYPE_MTRO]]))&gt;0</f>
        <v>1</v>
      </c>
      <c r="AN662">
        <v>5</v>
      </c>
      <c r="AO662" t="s">
        <v>609</v>
      </c>
      <c r="AP662">
        <v>0</v>
      </c>
      <c r="AQ662" t="s">
        <v>35</v>
      </c>
      <c r="AR662">
        <v>20</v>
      </c>
      <c r="AS662">
        <v>1900</v>
      </c>
      <c r="AT662">
        <v>5</v>
      </c>
      <c r="AU662" s="2" t="s">
        <v>33</v>
      </c>
      <c r="AV662" t="b">
        <v>1</v>
      </c>
      <c r="AX662" s="2" t="b">
        <v>1</v>
      </c>
      <c r="AY662">
        <v>50</v>
      </c>
      <c r="AZ662">
        <v>0</v>
      </c>
      <c r="BA662">
        <v>0</v>
      </c>
      <c r="BB662" t="s">
        <v>710</v>
      </c>
      <c r="BC662">
        <v>70</v>
      </c>
      <c r="BD662" s="2">
        <v>0.3</v>
      </c>
      <c r="BE662" t="s">
        <v>935</v>
      </c>
      <c r="BF662" t="s">
        <v>921</v>
      </c>
      <c r="BG662" t="s">
        <v>939</v>
      </c>
      <c r="BH662" s="7">
        <v>25</v>
      </c>
      <c r="BI66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662">
        <v>0</v>
      </c>
      <c r="BK662" t="s">
        <v>733</v>
      </c>
      <c r="BL662" s="11"/>
      <c r="BM662" s="11"/>
      <c r="BN662" s="11">
        <v>14</v>
      </c>
      <c r="BO662">
        <v>0</v>
      </c>
      <c r="BP662" t="s">
        <v>691</v>
      </c>
      <c r="BQ662" t="s">
        <v>693</v>
      </c>
      <c r="BR662" t="s">
        <v>700</v>
      </c>
      <c r="BS662" t="s">
        <v>704</v>
      </c>
      <c r="BT662" t="s">
        <v>705</v>
      </c>
      <c r="BU662" t="s">
        <v>706</v>
      </c>
      <c r="CT662"/>
      <c r="CU662"/>
      <c r="CV662"/>
    </row>
    <row r="663" spans="1:100" x14ac:dyDescent="0.4">
      <c r="A663" s="2" t="s">
        <v>848</v>
      </c>
      <c r="B663" t="str">
        <f>_xlfn.TEXTAFTER(Table1[[#This Row],[VEHIDCODE]],"_")</f>
        <v>Wagon_Gen2_Open_Wagon</v>
      </c>
      <c r="C663" t="s">
        <v>748</v>
      </c>
      <c r="D663" t="s">
        <v>972</v>
      </c>
      <c r="E663">
        <v>12007</v>
      </c>
      <c r="F663" t="b">
        <f>OR(ISNUMBER(SEARCH("wagon_",Table1[[#This Row],[FILENAMES_EXPECTED]])),ISNUMBER(SEARCH("coach_",Table1[[#This Row],[FILENAMES_EXPECTED]])))</f>
        <v>1</v>
      </c>
      <c r="G663" t="str">
        <f>"item_"&amp;Table1[[#This Row],[VEHIDCODE]]</f>
        <v>item_mu_Wagon_Gen2_Open_Wagon</v>
      </c>
      <c r="H663" t="str">
        <f>"str_"&amp;Table1[[#This Row],[VEHIDCODE]]</f>
        <v>str_mu_Wagon_Gen2_Open_Wagon</v>
      </c>
      <c r="Q663" s="2" t="b">
        <v>1</v>
      </c>
      <c r="Z663" s="2" t="b">
        <v>1</v>
      </c>
      <c r="AI663" s="2" t="b">
        <v>1</v>
      </c>
      <c r="AL663" s="2"/>
      <c r="AM663" s="2" t="b">
        <f>LEN(_xlfn.CONCAT(Table1[[#This Row],[TRACK_TYPE_STANDARD_GAUGE_RAILTYPE_OHLE]:[TRACK_TYPE_MTRO]]))&gt;0</f>
        <v>1</v>
      </c>
      <c r="AN663">
        <v>5</v>
      </c>
      <c r="AO663" t="s">
        <v>672</v>
      </c>
      <c r="AP663">
        <v>0</v>
      </c>
      <c r="AQ663" t="s">
        <v>35</v>
      </c>
      <c r="AR663">
        <v>26</v>
      </c>
      <c r="AS663">
        <v>1890</v>
      </c>
      <c r="AT663">
        <v>5</v>
      </c>
      <c r="AU663" s="2" t="s">
        <v>33</v>
      </c>
      <c r="AV663" t="b">
        <v>1</v>
      </c>
      <c r="AX663" s="2" t="b">
        <v>1</v>
      </c>
      <c r="AY663">
        <v>60</v>
      </c>
      <c r="AZ663">
        <v>0</v>
      </c>
      <c r="BA663">
        <v>0</v>
      </c>
      <c r="BB663" t="s">
        <v>710</v>
      </c>
      <c r="BC663">
        <v>70</v>
      </c>
      <c r="BD663" s="2">
        <v>0.3</v>
      </c>
      <c r="BE663" t="s">
        <v>935</v>
      </c>
      <c r="BF663" t="s">
        <v>921</v>
      </c>
      <c r="BG663" t="s">
        <v>939</v>
      </c>
      <c r="BH663" s="7">
        <v>25</v>
      </c>
      <c r="BI66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663">
        <v>0</v>
      </c>
      <c r="BK663" t="s">
        <v>733</v>
      </c>
      <c r="BL663" s="11"/>
      <c r="BM663" s="11"/>
      <c r="BN663" s="11">
        <v>11</v>
      </c>
      <c r="BO663">
        <v>0</v>
      </c>
      <c r="BP663" t="s">
        <v>691</v>
      </c>
      <c r="BQ663" t="s">
        <v>693</v>
      </c>
      <c r="BR663" t="s">
        <v>700</v>
      </c>
      <c r="BS663" t="s">
        <v>704</v>
      </c>
      <c r="BT663" t="s">
        <v>705</v>
      </c>
      <c r="BU663" t="s">
        <v>706</v>
      </c>
      <c r="CT663"/>
      <c r="CU663"/>
      <c r="CV663"/>
    </row>
    <row r="664" spans="1:100" x14ac:dyDescent="0.4">
      <c r="A664" s="2" t="s">
        <v>849</v>
      </c>
      <c r="B664" t="str">
        <f>_xlfn.TEXTAFTER(Table1[[#This Row],[VEHIDCODE]],"_")</f>
        <v>Wagon_Gen2_Silo</v>
      </c>
      <c r="C664" t="s">
        <v>748</v>
      </c>
      <c r="D664" t="s">
        <v>972</v>
      </c>
      <c r="E664">
        <v>12008</v>
      </c>
      <c r="F664" t="b">
        <f>OR(ISNUMBER(SEARCH("wagon_",Table1[[#This Row],[FILENAMES_EXPECTED]])),ISNUMBER(SEARCH("coach_",Table1[[#This Row],[FILENAMES_EXPECTED]])))</f>
        <v>1</v>
      </c>
      <c r="G664" t="str">
        <f>"item_"&amp;Table1[[#This Row],[VEHIDCODE]]</f>
        <v>item_mu_Wagon_Gen2_Silo</v>
      </c>
      <c r="H664" t="str">
        <f>"str_"&amp;Table1[[#This Row],[VEHIDCODE]]</f>
        <v>str_mu_Wagon_Gen2_Silo</v>
      </c>
      <c r="Q664" s="2" t="b">
        <v>1</v>
      </c>
      <c r="Z664" s="2" t="b">
        <v>1</v>
      </c>
      <c r="AI664" s="2" t="b">
        <v>1</v>
      </c>
      <c r="AL664" s="2"/>
      <c r="AM664" s="2" t="b">
        <f>LEN(_xlfn.CONCAT(Table1[[#This Row],[TRACK_TYPE_STANDARD_GAUGE_RAILTYPE_OHLE]:[TRACK_TYPE_MTRO]]))&gt;0</f>
        <v>1</v>
      </c>
      <c r="AN664">
        <v>5</v>
      </c>
      <c r="AO664" t="s">
        <v>607</v>
      </c>
      <c r="AP664">
        <v>0</v>
      </c>
      <c r="AQ664" t="s">
        <v>35</v>
      </c>
      <c r="AR664">
        <v>25</v>
      </c>
      <c r="AS664">
        <v>1900</v>
      </c>
      <c r="AT664">
        <v>5</v>
      </c>
      <c r="AU664" s="2" t="s">
        <v>33</v>
      </c>
      <c r="AV664" t="b">
        <v>1</v>
      </c>
      <c r="AX664" s="2" t="b">
        <v>1</v>
      </c>
      <c r="AY664">
        <v>50</v>
      </c>
      <c r="AZ664">
        <v>0</v>
      </c>
      <c r="BA664">
        <v>0</v>
      </c>
      <c r="BB664" t="s">
        <v>710</v>
      </c>
      <c r="BC664">
        <v>70</v>
      </c>
      <c r="BD664" s="2">
        <v>0.3</v>
      </c>
      <c r="BE664" t="s">
        <v>935</v>
      </c>
      <c r="BF664" t="s">
        <v>921</v>
      </c>
      <c r="BG664" t="s">
        <v>939</v>
      </c>
      <c r="BH664" s="7">
        <v>25</v>
      </c>
      <c r="BI66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664">
        <v>0</v>
      </c>
      <c r="BK664" t="s">
        <v>733</v>
      </c>
      <c r="BL664" s="11"/>
      <c r="BM664" s="11"/>
      <c r="BN664" s="11">
        <v>14</v>
      </c>
      <c r="BO664">
        <v>0</v>
      </c>
      <c r="BP664" t="s">
        <v>691</v>
      </c>
      <c r="BQ664" t="s">
        <v>693</v>
      </c>
      <c r="BR664" t="s">
        <v>700</v>
      </c>
      <c r="BS664" t="s">
        <v>704</v>
      </c>
      <c r="BT664" t="s">
        <v>705</v>
      </c>
      <c r="BU664" t="s">
        <v>706</v>
      </c>
      <c r="CT664"/>
      <c r="CU664"/>
      <c r="CV664"/>
    </row>
    <row r="665" spans="1:100" x14ac:dyDescent="0.4">
      <c r="A665" s="2" t="s">
        <v>850</v>
      </c>
      <c r="B665" t="str">
        <f>_xlfn.TEXTAFTER(Table1[[#This Row],[VEHIDCODE]],"_")</f>
        <v>Wagon_Gen2_Hopper</v>
      </c>
      <c r="C665" t="s">
        <v>748</v>
      </c>
      <c r="D665" t="s">
        <v>972</v>
      </c>
      <c r="E665">
        <v>12009</v>
      </c>
      <c r="F665" t="b">
        <f>OR(ISNUMBER(SEARCH("wagon_",Table1[[#This Row],[FILENAMES_EXPECTED]])),ISNUMBER(SEARCH("coach_",Table1[[#This Row],[FILENAMES_EXPECTED]])))</f>
        <v>1</v>
      </c>
      <c r="G665" t="str">
        <f>"item_"&amp;Table1[[#This Row],[VEHIDCODE]]</f>
        <v>item_mu_Wagon_Gen2_Hopper</v>
      </c>
      <c r="H665" t="str">
        <f>"str_"&amp;Table1[[#This Row],[VEHIDCODE]]</f>
        <v>str_mu_Wagon_Gen2_Hopper</v>
      </c>
      <c r="Q665" s="2" t="b">
        <v>1</v>
      </c>
      <c r="Z665" s="2" t="b">
        <v>1</v>
      </c>
      <c r="AI665" s="2" t="b">
        <v>1</v>
      </c>
      <c r="AL665" s="2"/>
      <c r="AM665" s="2" t="b">
        <f>LEN(_xlfn.CONCAT(Table1[[#This Row],[TRACK_TYPE_STANDARD_GAUGE_RAILTYPE_OHLE]:[TRACK_TYPE_MTRO]]))&gt;0</f>
        <v>1</v>
      </c>
      <c r="AN665">
        <v>5</v>
      </c>
      <c r="AO665" t="s">
        <v>606</v>
      </c>
      <c r="AP665">
        <v>0</v>
      </c>
      <c r="AQ665" t="s">
        <v>35</v>
      </c>
      <c r="AR665">
        <v>30</v>
      </c>
      <c r="AS665">
        <v>1890</v>
      </c>
      <c r="AT665">
        <v>5</v>
      </c>
      <c r="AU665" s="2" t="s">
        <v>33</v>
      </c>
      <c r="AV665" t="b">
        <v>1</v>
      </c>
      <c r="AX665" s="2" t="b">
        <v>1</v>
      </c>
      <c r="AY665">
        <v>60</v>
      </c>
      <c r="AZ665">
        <v>0</v>
      </c>
      <c r="BA665">
        <v>0</v>
      </c>
      <c r="BB665" t="s">
        <v>710</v>
      </c>
      <c r="BC665">
        <v>70</v>
      </c>
      <c r="BD665" s="2">
        <v>0.3</v>
      </c>
      <c r="BE665" t="s">
        <v>935</v>
      </c>
      <c r="BF665" t="s">
        <v>921</v>
      </c>
      <c r="BG665" t="s">
        <v>939</v>
      </c>
      <c r="BH665" s="7">
        <v>25</v>
      </c>
      <c r="BI66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665">
        <v>0</v>
      </c>
      <c r="BK665" t="s">
        <v>733</v>
      </c>
      <c r="BL665" s="11"/>
      <c r="BM665" s="11"/>
      <c r="BN665" s="11">
        <v>12</v>
      </c>
      <c r="BO665">
        <v>0</v>
      </c>
      <c r="BP665" t="s">
        <v>691</v>
      </c>
      <c r="BQ665" t="s">
        <v>693</v>
      </c>
      <c r="BR665" t="s">
        <v>700</v>
      </c>
      <c r="BS665" t="s">
        <v>704</v>
      </c>
      <c r="BT665" t="s">
        <v>705</v>
      </c>
      <c r="BU665" t="s">
        <v>706</v>
      </c>
      <c r="CT665"/>
      <c r="CU665"/>
      <c r="CV665"/>
    </row>
    <row r="666" spans="1:100" x14ac:dyDescent="0.4">
      <c r="A666" s="2" t="s">
        <v>851</v>
      </c>
      <c r="B666" t="str">
        <f>_xlfn.TEXTAFTER(Table1[[#This Row],[VEHIDCODE]],"_")</f>
        <v>Wagon_Gen3_Flat_Wagon</v>
      </c>
      <c r="C666" t="s">
        <v>749</v>
      </c>
      <c r="D666" t="s">
        <v>972</v>
      </c>
      <c r="E666">
        <v>12010</v>
      </c>
      <c r="F666" t="b">
        <f>OR(ISNUMBER(SEARCH("wagon_",Table1[[#This Row],[FILENAMES_EXPECTED]])),ISNUMBER(SEARCH("coach_",Table1[[#This Row],[FILENAMES_EXPECTED]])))</f>
        <v>1</v>
      </c>
      <c r="G666" t="str">
        <f>"item_"&amp;Table1[[#This Row],[VEHIDCODE]]</f>
        <v>item_mu_Wagon_Gen3_Flat_Wagon</v>
      </c>
      <c r="H666" t="str">
        <f>"str_"&amp;Table1[[#This Row],[VEHIDCODE]]</f>
        <v>str_mu_Wagon_Gen3_Flat_Wagon</v>
      </c>
      <c r="Q666" s="2" t="b">
        <v>1</v>
      </c>
      <c r="Z666" s="2" t="b">
        <v>1</v>
      </c>
      <c r="AI666" s="2" t="b">
        <v>1</v>
      </c>
      <c r="AL666" s="2"/>
      <c r="AM666" s="2" t="b">
        <f>LEN(_xlfn.CONCAT(Table1[[#This Row],[TRACK_TYPE_STANDARD_GAUGE_RAILTYPE_OHLE]:[TRACK_TYPE_MTRO]]))&gt;0</f>
        <v>1</v>
      </c>
      <c r="AN666">
        <v>6</v>
      </c>
      <c r="AO666" t="s">
        <v>603</v>
      </c>
      <c r="AP666">
        <v>0</v>
      </c>
      <c r="AQ666" t="s">
        <v>35</v>
      </c>
      <c r="AR666">
        <v>40</v>
      </c>
      <c r="AS666">
        <v>1930</v>
      </c>
      <c r="AT666">
        <v>6</v>
      </c>
      <c r="AU666" s="2" t="s">
        <v>33</v>
      </c>
      <c r="AV666" t="b">
        <v>1</v>
      </c>
      <c r="AX666" s="2" t="b">
        <v>1</v>
      </c>
      <c r="AY666">
        <v>50</v>
      </c>
      <c r="AZ666">
        <v>0</v>
      </c>
      <c r="BA666">
        <v>0</v>
      </c>
      <c r="BB666" t="s">
        <v>710</v>
      </c>
      <c r="BC666">
        <v>80</v>
      </c>
      <c r="BD666" s="2">
        <v>0.3</v>
      </c>
      <c r="BE666" t="s">
        <v>935</v>
      </c>
      <c r="BF666" t="s">
        <v>921</v>
      </c>
      <c r="BG666" t="s">
        <v>939</v>
      </c>
      <c r="BH666" s="7">
        <v>25</v>
      </c>
      <c r="BI66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666">
        <v>0</v>
      </c>
      <c r="BK666" t="s">
        <v>733</v>
      </c>
      <c r="BL666" s="11"/>
      <c r="BM666" s="11"/>
      <c r="BN666" s="11">
        <v>21</v>
      </c>
      <c r="BO666">
        <v>0</v>
      </c>
      <c r="BP666" t="s">
        <v>691</v>
      </c>
      <c r="BQ666" t="s">
        <v>693</v>
      </c>
      <c r="BR666" t="s">
        <v>700</v>
      </c>
      <c r="BS666" t="s">
        <v>704</v>
      </c>
      <c r="BT666" t="s">
        <v>705</v>
      </c>
      <c r="BU666" t="s">
        <v>706</v>
      </c>
      <c r="CT666"/>
      <c r="CU666"/>
      <c r="CV666"/>
    </row>
    <row r="667" spans="1:100" x14ac:dyDescent="0.4">
      <c r="A667" s="2" t="s">
        <v>852</v>
      </c>
      <c r="B667" t="str">
        <f>_xlfn.TEXTAFTER(Table1[[#This Row],[VEHIDCODE]],"_")</f>
        <v>Wagon_Gen3_Boxcar_Type1</v>
      </c>
      <c r="C667" t="s">
        <v>749</v>
      </c>
      <c r="D667" t="s">
        <v>972</v>
      </c>
      <c r="E667">
        <v>12011</v>
      </c>
      <c r="F667" t="b">
        <f>OR(ISNUMBER(SEARCH("wagon_",Table1[[#This Row],[FILENAMES_EXPECTED]])),ISNUMBER(SEARCH("coach_",Table1[[#This Row],[FILENAMES_EXPECTED]])))</f>
        <v>1</v>
      </c>
      <c r="G667" t="str">
        <f>"item_"&amp;Table1[[#This Row],[VEHIDCODE]]</f>
        <v>item_mu_Wagon_Gen3_Boxcar_Type1</v>
      </c>
      <c r="H667" t="str">
        <f>"str_"&amp;Table1[[#This Row],[VEHIDCODE]]</f>
        <v>str_mu_Wagon_Gen3_Boxcar_Type1</v>
      </c>
      <c r="Q667" s="2" t="b">
        <v>1</v>
      </c>
      <c r="Z667" s="2" t="b">
        <v>1</v>
      </c>
      <c r="AI667" s="2" t="b">
        <v>1</v>
      </c>
      <c r="AL667" s="2"/>
      <c r="AM667" s="2" t="b">
        <f>LEN(_xlfn.CONCAT(Table1[[#This Row],[TRACK_TYPE_STANDARD_GAUGE_RAILTYPE_OHLE]:[TRACK_TYPE_MTRO]]))&gt;0</f>
        <v>1</v>
      </c>
      <c r="AN667">
        <v>6</v>
      </c>
      <c r="AO667" t="s">
        <v>599</v>
      </c>
      <c r="AP667">
        <v>0</v>
      </c>
      <c r="AQ667" t="s">
        <v>35</v>
      </c>
      <c r="AR667">
        <v>40</v>
      </c>
      <c r="AS667">
        <v>1920</v>
      </c>
      <c r="AT667">
        <v>6</v>
      </c>
      <c r="AU667" s="2" t="s">
        <v>33</v>
      </c>
      <c r="AV667" t="b">
        <v>1</v>
      </c>
      <c r="AX667" s="2" t="b">
        <v>1</v>
      </c>
      <c r="AY667">
        <v>60</v>
      </c>
      <c r="AZ667">
        <v>0</v>
      </c>
      <c r="BA667">
        <v>0</v>
      </c>
      <c r="BB667" t="s">
        <v>710</v>
      </c>
      <c r="BC667">
        <v>100</v>
      </c>
      <c r="BD667" s="2">
        <v>0.3</v>
      </c>
      <c r="BE667" t="s">
        <v>932</v>
      </c>
      <c r="BF667" t="s">
        <v>921</v>
      </c>
      <c r="BG667" t="s">
        <v>939</v>
      </c>
      <c r="BH667" s="7">
        <v>25</v>
      </c>
      <c r="BI66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667">
        <v>0</v>
      </c>
      <c r="BK667" t="s">
        <v>733</v>
      </c>
      <c r="BL667" s="11"/>
      <c r="BM667" s="11"/>
      <c r="BN667" s="11">
        <v>23</v>
      </c>
      <c r="BO667">
        <v>0</v>
      </c>
      <c r="BP667" t="s">
        <v>691</v>
      </c>
      <c r="BQ667" t="s">
        <v>693</v>
      </c>
      <c r="BR667" t="s">
        <v>700</v>
      </c>
      <c r="BS667" t="s">
        <v>704</v>
      </c>
      <c r="BT667" t="s">
        <v>705</v>
      </c>
      <c r="BU667" t="s">
        <v>706</v>
      </c>
      <c r="CT667"/>
      <c r="CU667"/>
      <c r="CV667"/>
    </row>
    <row r="668" spans="1:100" x14ac:dyDescent="0.4">
      <c r="A668" s="2" t="s">
        <v>853</v>
      </c>
      <c r="B668" t="str">
        <f>_xlfn.TEXTAFTER(Table1[[#This Row],[VEHIDCODE]],"_")</f>
        <v>Wagon_Gen3_Boxcar_Type2</v>
      </c>
      <c r="C668" t="s">
        <v>749</v>
      </c>
      <c r="D668" t="s">
        <v>972</v>
      </c>
      <c r="E668">
        <v>12047</v>
      </c>
      <c r="F668" t="b">
        <f>OR(ISNUMBER(SEARCH("wagon_",Table1[[#This Row],[FILENAMES_EXPECTED]])),ISNUMBER(SEARCH("coach_",Table1[[#This Row],[FILENAMES_EXPECTED]])))</f>
        <v>1</v>
      </c>
      <c r="G668" t="str">
        <f>"item_"&amp;Table1[[#This Row],[VEHIDCODE]]</f>
        <v>item_mu_Wagon_Gen3_Boxcar_Type2</v>
      </c>
      <c r="H668" t="str">
        <f>"str_"&amp;Table1[[#This Row],[VEHIDCODE]]</f>
        <v>str_mu_Wagon_Gen3_Boxcar_Type2</v>
      </c>
      <c r="Q668" s="2" t="b">
        <v>1</v>
      </c>
      <c r="Z668" s="2" t="b">
        <v>1</v>
      </c>
      <c r="AI668" s="2" t="b">
        <v>1</v>
      </c>
      <c r="AL668" s="2"/>
      <c r="AM668" s="2" t="b">
        <f>LEN(_xlfn.CONCAT(Table1[[#This Row],[TRACK_TYPE_STANDARD_GAUGE_RAILTYPE_OHLE]:[TRACK_TYPE_MTRO]]))&gt;0</f>
        <v>1</v>
      </c>
      <c r="AN668">
        <v>6</v>
      </c>
      <c r="AO668" t="s">
        <v>599</v>
      </c>
      <c r="AP668">
        <v>0</v>
      </c>
      <c r="AQ668" t="s">
        <v>35</v>
      </c>
      <c r="AR668">
        <v>40</v>
      </c>
      <c r="AS668">
        <v>1920</v>
      </c>
      <c r="AT668">
        <v>6</v>
      </c>
      <c r="AU668" s="2" t="s">
        <v>33</v>
      </c>
      <c r="AV668" t="b">
        <v>1</v>
      </c>
      <c r="AX668" s="2" t="b">
        <v>1</v>
      </c>
      <c r="AY668">
        <v>60</v>
      </c>
      <c r="AZ668">
        <v>0</v>
      </c>
      <c r="BA668">
        <v>0</v>
      </c>
      <c r="BB668" t="s">
        <v>710</v>
      </c>
      <c r="BC668">
        <v>100</v>
      </c>
      <c r="BD668" s="2">
        <v>0.3</v>
      </c>
      <c r="BE668" t="s">
        <v>933</v>
      </c>
      <c r="BF668" t="s">
        <v>921</v>
      </c>
      <c r="BG668" t="s">
        <v>939</v>
      </c>
      <c r="BH668" s="7">
        <v>25</v>
      </c>
      <c r="BI66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668">
        <v>0</v>
      </c>
      <c r="BK668" t="s">
        <v>733</v>
      </c>
      <c r="BL668" s="11"/>
      <c r="BM668" s="11"/>
      <c r="BN668" s="11">
        <v>23</v>
      </c>
      <c r="BO668">
        <v>0</v>
      </c>
      <c r="BP668" t="s">
        <v>691</v>
      </c>
      <c r="BQ668" t="s">
        <v>693</v>
      </c>
      <c r="BR668" t="s">
        <v>700</v>
      </c>
      <c r="BS668" t="s">
        <v>704</v>
      </c>
      <c r="BT668" t="s">
        <v>705</v>
      </c>
      <c r="BU668" t="s">
        <v>706</v>
      </c>
      <c r="CT668"/>
      <c r="CU668"/>
      <c r="CV668"/>
    </row>
    <row r="669" spans="1:100" x14ac:dyDescent="0.4">
      <c r="A669" s="2" t="s">
        <v>854</v>
      </c>
      <c r="B669" t="str">
        <f>_xlfn.TEXTAFTER(Table1[[#This Row],[VEHIDCODE]],"_")</f>
        <v>Wagon_Gen3_Tanker</v>
      </c>
      <c r="C669" t="s">
        <v>749</v>
      </c>
      <c r="D669" t="s">
        <v>972</v>
      </c>
      <c r="E669">
        <v>12012</v>
      </c>
      <c r="F669" t="b">
        <f>OR(ISNUMBER(SEARCH("wagon_",Table1[[#This Row],[FILENAMES_EXPECTED]])),ISNUMBER(SEARCH("coach_",Table1[[#This Row],[FILENAMES_EXPECTED]])))</f>
        <v>1</v>
      </c>
      <c r="G669" t="str">
        <f>"item_"&amp;Table1[[#This Row],[VEHIDCODE]]</f>
        <v>item_mu_Wagon_Gen3_Tanker</v>
      </c>
      <c r="H669" t="str">
        <f>"str_"&amp;Table1[[#This Row],[VEHIDCODE]]</f>
        <v>str_mu_Wagon_Gen3_Tanker</v>
      </c>
      <c r="Q669" s="2" t="b">
        <v>1</v>
      </c>
      <c r="Z669" s="2" t="b">
        <v>1</v>
      </c>
      <c r="AI669" s="2" t="b">
        <v>1</v>
      </c>
      <c r="AL669" s="2"/>
      <c r="AM669" s="2" t="b">
        <f>LEN(_xlfn.CONCAT(Table1[[#This Row],[TRACK_TYPE_STANDARD_GAUGE_RAILTYPE_OHLE]:[TRACK_TYPE_MTRO]]))&gt;0</f>
        <v>1</v>
      </c>
      <c r="AN669">
        <v>6</v>
      </c>
      <c r="AO669" t="s">
        <v>609</v>
      </c>
      <c r="AP669">
        <v>0</v>
      </c>
      <c r="AQ669" t="s">
        <v>35</v>
      </c>
      <c r="AR669">
        <v>35</v>
      </c>
      <c r="AS669">
        <v>1930</v>
      </c>
      <c r="AT669">
        <v>6</v>
      </c>
      <c r="AU669" s="2" t="s">
        <v>33</v>
      </c>
      <c r="AV669" t="b">
        <v>1</v>
      </c>
      <c r="AX669" s="2" t="b">
        <v>1</v>
      </c>
      <c r="AY669">
        <v>50</v>
      </c>
      <c r="AZ669">
        <v>0</v>
      </c>
      <c r="BA669">
        <v>0</v>
      </c>
      <c r="BB669" t="s">
        <v>710</v>
      </c>
      <c r="BC669">
        <v>80</v>
      </c>
      <c r="BD669" s="2">
        <v>0.3</v>
      </c>
      <c r="BE669" t="s">
        <v>935</v>
      </c>
      <c r="BF669" t="s">
        <v>921</v>
      </c>
      <c r="BG669" t="s">
        <v>939</v>
      </c>
      <c r="BH669" s="7">
        <v>25</v>
      </c>
      <c r="BI66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669">
        <v>0</v>
      </c>
      <c r="BK669" t="s">
        <v>733</v>
      </c>
      <c r="BL669" s="11"/>
      <c r="BM669" s="11"/>
      <c r="BN669" s="11">
        <v>20</v>
      </c>
      <c r="BO669">
        <v>0</v>
      </c>
      <c r="BP669" t="s">
        <v>691</v>
      </c>
      <c r="BQ669" t="s">
        <v>693</v>
      </c>
      <c r="BR669" t="s">
        <v>700</v>
      </c>
      <c r="BS669" t="s">
        <v>704</v>
      </c>
      <c r="BT669" t="s">
        <v>705</v>
      </c>
      <c r="BU669" t="s">
        <v>706</v>
      </c>
      <c r="CT669"/>
      <c r="CU669"/>
      <c r="CV669"/>
    </row>
    <row r="670" spans="1:100" x14ac:dyDescent="0.4">
      <c r="A670" s="2" t="s">
        <v>855</v>
      </c>
      <c r="B670" t="str">
        <f>_xlfn.TEXTAFTER(Table1[[#This Row],[VEHIDCODE]],"_")</f>
        <v>Wagon_Gen3_Open_Wagon</v>
      </c>
      <c r="C670" t="s">
        <v>749</v>
      </c>
      <c r="D670" t="s">
        <v>972</v>
      </c>
      <c r="E670">
        <v>12013</v>
      </c>
      <c r="F670" t="b">
        <f>OR(ISNUMBER(SEARCH("wagon_",Table1[[#This Row],[FILENAMES_EXPECTED]])),ISNUMBER(SEARCH("coach_",Table1[[#This Row],[FILENAMES_EXPECTED]])))</f>
        <v>1</v>
      </c>
      <c r="G670" t="str">
        <f>"item_"&amp;Table1[[#This Row],[VEHIDCODE]]</f>
        <v>item_mu_Wagon_Gen3_Open_Wagon</v>
      </c>
      <c r="H670" t="str">
        <f>"str_"&amp;Table1[[#This Row],[VEHIDCODE]]</f>
        <v>str_mu_Wagon_Gen3_Open_Wagon</v>
      </c>
      <c r="Q670" s="2" t="b">
        <v>1</v>
      </c>
      <c r="Z670" s="2" t="b">
        <v>1</v>
      </c>
      <c r="AI670" s="2" t="b">
        <v>1</v>
      </c>
      <c r="AL670" s="2"/>
      <c r="AM670" s="2" t="b">
        <f>LEN(_xlfn.CONCAT(Table1[[#This Row],[TRACK_TYPE_STANDARD_GAUGE_RAILTYPE_OHLE]:[TRACK_TYPE_MTRO]]))&gt;0</f>
        <v>1</v>
      </c>
      <c r="AN670">
        <v>6</v>
      </c>
      <c r="AO670" t="s">
        <v>672</v>
      </c>
      <c r="AP670">
        <v>0</v>
      </c>
      <c r="AQ670" t="s">
        <v>35</v>
      </c>
      <c r="AR670">
        <v>35</v>
      </c>
      <c r="AS670">
        <v>1920</v>
      </c>
      <c r="AT670">
        <v>6</v>
      </c>
      <c r="AU670" s="2" t="s">
        <v>33</v>
      </c>
      <c r="AV670" t="b">
        <v>1</v>
      </c>
      <c r="AX670" s="2" t="b">
        <v>1</v>
      </c>
      <c r="AY670">
        <v>60</v>
      </c>
      <c r="AZ670">
        <v>0</v>
      </c>
      <c r="BA670">
        <v>0</v>
      </c>
      <c r="BB670" t="s">
        <v>710</v>
      </c>
      <c r="BC670">
        <v>80</v>
      </c>
      <c r="BD670" s="2">
        <v>0.3</v>
      </c>
      <c r="BE670" t="s">
        <v>935</v>
      </c>
      <c r="BF670" t="s">
        <v>921</v>
      </c>
      <c r="BG670" t="s">
        <v>939</v>
      </c>
      <c r="BH670" s="7">
        <v>25</v>
      </c>
      <c r="BI67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670">
        <v>0</v>
      </c>
      <c r="BK670" t="s">
        <v>733</v>
      </c>
      <c r="BL670" s="11"/>
      <c r="BM670" s="11"/>
      <c r="BN670" s="11">
        <v>22</v>
      </c>
      <c r="BO670">
        <v>0</v>
      </c>
      <c r="BP670" t="s">
        <v>691</v>
      </c>
      <c r="BQ670" t="s">
        <v>693</v>
      </c>
      <c r="BR670" t="s">
        <v>700</v>
      </c>
      <c r="BS670" t="s">
        <v>704</v>
      </c>
      <c r="BT670" t="s">
        <v>705</v>
      </c>
      <c r="BU670" t="s">
        <v>706</v>
      </c>
      <c r="CT670"/>
      <c r="CU670"/>
      <c r="CV670"/>
    </row>
    <row r="671" spans="1:100" x14ac:dyDescent="0.4">
      <c r="A671" s="2" t="s">
        <v>856</v>
      </c>
      <c r="B671" t="str">
        <f>_xlfn.TEXTAFTER(Table1[[#This Row],[VEHIDCODE]],"_")</f>
        <v>Wagon_Gen3_Silo_Type1</v>
      </c>
      <c r="C671" t="s">
        <v>749</v>
      </c>
      <c r="D671" t="s">
        <v>972</v>
      </c>
      <c r="E671">
        <v>12014</v>
      </c>
      <c r="F671" t="b">
        <f>OR(ISNUMBER(SEARCH("wagon_",Table1[[#This Row],[FILENAMES_EXPECTED]])),ISNUMBER(SEARCH("coach_",Table1[[#This Row],[FILENAMES_EXPECTED]])))</f>
        <v>1</v>
      </c>
      <c r="G671" t="str">
        <f>"item_"&amp;Table1[[#This Row],[VEHIDCODE]]</f>
        <v>item_mu_Wagon_Gen3_Silo_Type1</v>
      </c>
      <c r="H671" t="str">
        <f>"str_"&amp;Table1[[#This Row],[VEHIDCODE]]</f>
        <v>str_mu_Wagon_Gen3_Silo_Type1</v>
      </c>
      <c r="Q671" s="2" t="b">
        <v>1</v>
      </c>
      <c r="Z671" s="2" t="b">
        <v>1</v>
      </c>
      <c r="AI671" s="2" t="b">
        <v>1</v>
      </c>
      <c r="AL671" s="2"/>
      <c r="AM671" s="2" t="b">
        <f>LEN(_xlfn.CONCAT(Table1[[#This Row],[TRACK_TYPE_STANDARD_GAUGE_RAILTYPE_OHLE]:[TRACK_TYPE_MTRO]]))&gt;0</f>
        <v>1</v>
      </c>
      <c r="AN671">
        <v>6</v>
      </c>
      <c r="AO671" t="s">
        <v>607</v>
      </c>
      <c r="AP671">
        <v>0</v>
      </c>
      <c r="AQ671" t="s">
        <v>35</v>
      </c>
      <c r="AR671">
        <v>40</v>
      </c>
      <c r="AS671">
        <v>1930</v>
      </c>
      <c r="AT671">
        <v>6</v>
      </c>
      <c r="AU671" s="2" t="s">
        <v>33</v>
      </c>
      <c r="AV671" t="b">
        <v>1</v>
      </c>
      <c r="AX671" s="2" t="b">
        <v>1</v>
      </c>
      <c r="AY671">
        <v>50</v>
      </c>
      <c r="AZ671">
        <v>0</v>
      </c>
      <c r="BA671">
        <v>0</v>
      </c>
      <c r="BB671" t="s">
        <v>710</v>
      </c>
      <c r="BC671">
        <v>80</v>
      </c>
      <c r="BD671" s="2">
        <v>0.3</v>
      </c>
      <c r="BE671" t="s">
        <v>932</v>
      </c>
      <c r="BF671" t="s">
        <v>921</v>
      </c>
      <c r="BG671" t="s">
        <v>939</v>
      </c>
      <c r="BH671" s="7">
        <v>25</v>
      </c>
      <c r="BI67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671">
        <v>0</v>
      </c>
      <c r="BK671" t="s">
        <v>733</v>
      </c>
      <c r="BL671" s="11"/>
      <c r="BM671" s="11"/>
      <c r="BN671" s="11">
        <v>23</v>
      </c>
      <c r="BO671">
        <v>0</v>
      </c>
      <c r="BP671" t="s">
        <v>691</v>
      </c>
      <c r="BQ671" t="s">
        <v>693</v>
      </c>
      <c r="BR671" t="s">
        <v>700</v>
      </c>
      <c r="BS671" t="s">
        <v>704</v>
      </c>
      <c r="BT671" t="s">
        <v>705</v>
      </c>
      <c r="BU671" t="s">
        <v>706</v>
      </c>
      <c r="CT671"/>
      <c r="CU671"/>
      <c r="CV671"/>
    </row>
    <row r="672" spans="1:100" x14ac:dyDescent="0.4">
      <c r="A672" s="2" t="s">
        <v>857</v>
      </c>
      <c r="B672" t="str">
        <f>_xlfn.TEXTAFTER(Table1[[#This Row],[VEHIDCODE]],"_")</f>
        <v>Wagon_Gen3_Silo_Type2</v>
      </c>
      <c r="C672" t="s">
        <v>749</v>
      </c>
      <c r="D672" t="s">
        <v>972</v>
      </c>
      <c r="E672">
        <v>12039</v>
      </c>
      <c r="F672" t="b">
        <f>OR(ISNUMBER(SEARCH("wagon_",Table1[[#This Row],[FILENAMES_EXPECTED]])),ISNUMBER(SEARCH("coach_",Table1[[#This Row],[FILENAMES_EXPECTED]])))</f>
        <v>1</v>
      </c>
      <c r="G672" t="str">
        <f>"item_"&amp;Table1[[#This Row],[VEHIDCODE]]</f>
        <v>item_mu_Wagon_Gen3_Silo_Type2</v>
      </c>
      <c r="H672" t="str">
        <f>"str_"&amp;Table1[[#This Row],[VEHIDCODE]]</f>
        <v>str_mu_Wagon_Gen3_Silo_Type2</v>
      </c>
      <c r="Q672" s="2" t="b">
        <v>1</v>
      </c>
      <c r="Z672" s="2" t="b">
        <v>1</v>
      </c>
      <c r="AI672" s="2" t="b">
        <v>1</v>
      </c>
      <c r="AL672" s="2"/>
      <c r="AM672" s="2" t="b">
        <f>LEN(_xlfn.CONCAT(Table1[[#This Row],[TRACK_TYPE_STANDARD_GAUGE_RAILTYPE_OHLE]:[TRACK_TYPE_MTRO]]))&gt;0</f>
        <v>1</v>
      </c>
      <c r="AN672">
        <v>6</v>
      </c>
      <c r="AO672" t="s">
        <v>607</v>
      </c>
      <c r="AP672">
        <v>0</v>
      </c>
      <c r="AQ672" t="s">
        <v>35</v>
      </c>
      <c r="AR672">
        <v>40</v>
      </c>
      <c r="AS672">
        <v>1930</v>
      </c>
      <c r="AT672">
        <v>6</v>
      </c>
      <c r="AU672" s="2" t="s">
        <v>33</v>
      </c>
      <c r="AV672" t="b">
        <v>1</v>
      </c>
      <c r="AX672" s="2" t="b">
        <v>1</v>
      </c>
      <c r="AY672">
        <v>50</v>
      </c>
      <c r="AZ672">
        <v>0</v>
      </c>
      <c r="BA672">
        <v>0</v>
      </c>
      <c r="BB672" t="s">
        <v>710</v>
      </c>
      <c r="BC672">
        <v>80</v>
      </c>
      <c r="BD672" s="2">
        <v>0.3</v>
      </c>
      <c r="BE672" t="s">
        <v>933</v>
      </c>
      <c r="BF672" t="s">
        <v>921</v>
      </c>
      <c r="BG672" t="s">
        <v>939</v>
      </c>
      <c r="BH672" s="7">
        <v>25</v>
      </c>
      <c r="BI67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672">
        <v>0</v>
      </c>
      <c r="BK672" t="s">
        <v>733</v>
      </c>
      <c r="BL672" s="11"/>
      <c r="BM672" s="11"/>
      <c r="BN672" s="11">
        <v>23</v>
      </c>
      <c r="BO672">
        <v>0</v>
      </c>
      <c r="BP672" t="s">
        <v>691</v>
      </c>
      <c r="BQ672" t="s">
        <v>693</v>
      </c>
      <c r="BR672" t="s">
        <v>700</v>
      </c>
      <c r="BS672" t="s">
        <v>704</v>
      </c>
      <c r="BT672" t="s">
        <v>705</v>
      </c>
      <c r="BU672" t="s">
        <v>706</v>
      </c>
      <c r="CT672"/>
      <c r="CU672"/>
      <c r="CV672"/>
    </row>
    <row r="673" spans="1:100" x14ac:dyDescent="0.4">
      <c r="A673" s="2" t="s">
        <v>858</v>
      </c>
      <c r="B673" t="str">
        <f>_xlfn.TEXTAFTER(Table1[[#This Row],[VEHIDCODE]],"_")</f>
        <v>Wagon_Gen3_Hopper</v>
      </c>
      <c r="C673" t="s">
        <v>749</v>
      </c>
      <c r="D673" t="s">
        <v>972</v>
      </c>
      <c r="E673">
        <v>12015</v>
      </c>
      <c r="F673" t="b">
        <f>OR(ISNUMBER(SEARCH("wagon_",Table1[[#This Row],[FILENAMES_EXPECTED]])),ISNUMBER(SEARCH("coach_",Table1[[#This Row],[FILENAMES_EXPECTED]])))</f>
        <v>1</v>
      </c>
      <c r="G673" t="str">
        <f>"item_"&amp;Table1[[#This Row],[VEHIDCODE]]</f>
        <v>item_mu_Wagon_Gen3_Hopper</v>
      </c>
      <c r="H673" t="str">
        <f>"str_"&amp;Table1[[#This Row],[VEHIDCODE]]</f>
        <v>str_mu_Wagon_Gen3_Hopper</v>
      </c>
      <c r="Q673" s="2" t="b">
        <v>1</v>
      </c>
      <c r="Z673" s="2" t="b">
        <v>1</v>
      </c>
      <c r="AI673" s="2" t="b">
        <v>1</v>
      </c>
      <c r="AL673" s="2"/>
      <c r="AM673" s="2" t="b">
        <f>LEN(_xlfn.CONCAT(Table1[[#This Row],[TRACK_TYPE_STANDARD_GAUGE_RAILTYPE_OHLE]:[TRACK_TYPE_MTRO]]))&gt;0</f>
        <v>1</v>
      </c>
      <c r="AN673">
        <v>6</v>
      </c>
      <c r="AO673" t="s">
        <v>606</v>
      </c>
      <c r="AP673">
        <v>0</v>
      </c>
      <c r="AQ673" t="s">
        <v>35</v>
      </c>
      <c r="AR673">
        <v>40</v>
      </c>
      <c r="AS673">
        <v>1920</v>
      </c>
      <c r="AT673">
        <v>6</v>
      </c>
      <c r="AU673" s="2" t="s">
        <v>33</v>
      </c>
      <c r="AV673" t="b">
        <v>1</v>
      </c>
      <c r="AX673" s="2" t="b">
        <v>1</v>
      </c>
      <c r="AY673">
        <v>60</v>
      </c>
      <c r="AZ673">
        <v>0</v>
      </c>
      <c r="BA673">
        <v>0</v>
      </c>
      <c r="BB673" t="s">
        <v>710</v>
      </c>
      <c r="BC673">
        <v>80</v>
      </c>
      <c r="BD673" s="2">
        <v>0.3</v>
      </c>
      <c r="BE673" t="s">
        <v>935</v>
      </c>
      <c r="BF673" t="s">
        <v>921</v>
      </c>
      <c r="BG673" t="s">
        <v>939</v>
      </c>
      <c r="BH673" s="7">
        <v>25</v>
      </c>
      <c r="BI67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673">
        <v>0</v>
      </c>
      <c r="BK673" t="s">
        <v>733</v>
      </c>
      <c r="BL673" s="11"/>
      <c r="BM673" s="11"/>
      <c r="BN673" s="11">
        <v>26</v>
      </c>
      <c r="BO673">
        <v>0</v>
      </c>
      <c r="BP673" t="s">
        <v>691</v>
      </c>
      <c r="BQ673" t="s">
        <v>693</v>
      </c>
      <c r="BR673" t="s">
        <v>700</v>
      </c>
      <c r="BS673" t="s">
        <v>704</v>
      </c>
      <c r="BT673" t="s">
        <v>705</v>
      </c>
      <c r="BU673" t="s">
        <v>706</v>
      </c>
      <c r="CT673"/>
      <c r="CU673"/>
      <c r="CV673"/>
    </row>
    <row r="674" spans="1:100" x14ac:dyDescent="0.4">
      <c r="A674" s="2" t="s">
        <v>859</v>
      </c>
      <c r="B674" t="str">
        <f>_xlfn.TEXTAFTER(Table1[[#This Row],[VEHIDCODE]],"_")</f>
        <v>Wagon_Gen4_Flatcar</v>
      </c>
      <c r="C674" t="s">
        <v>750</v>
      </c>
      <c r="D674" t="s">
        <v>972</v>
      </c>
      <c r="E674">
        <v>12016</v>
      </c>
      <c r="F674" t="b">
        <f>OR(ISNUMBER(SEARCH("wagon_",Table1[[#This Row],[FILENAMES_EXPECTED]])),ISNUMBER(SEARCH("coach_",Table1[[#This Row],[FILENAMES_EXPECTED]])))</f>
        <v>1</v>
      </c>
      <c r="G674" t="str">
        <f>"item_"&amp;Table1[[#This Row],[VEHIDCODE]]</f>
        <v>item_mu_Wagon_Gen4_Flatcar</v>
      </c>
      <c r="H674" t="str">
        <f>"str_"&amp;Table1[[#This Row],[VEHIDCODE]]</f>
        <v>str_mu_Wagon_Gen4_Flatcar</v>
      </c>
      <c r="Q674" s="2" t="b">
        <v>1</v>
      </c>
      <c r="Z674" s="2" t="b">
        <v>1</v>
      </c>
      <c r="AI674" s="2" t="b">
        <v>1</v>
      </c>
      <c r="AL674" s="2"/>
      <c r="AM674" s="2" t="b">
        <f>LEN(_xlfn.CONCAT(Table1[[#This Row],[TRACK_TYPE_STANDARD_GAUGE_RAILTYPE_OHLE]:[TRACK_TYPE_MTRO]]))&gt;0</f>
        <v>1</v>
      </c>
      <c r="AN674">
        <v>7</v>
      </c>
      <c r="AO674" t="s">
        <v>603</v>
      </c>
      <c r="AP674">
        <v>0</v>
      </c>
      <c r="AQ674" t="s">
        <v>35</v>
      </c>
      <c r="AR674">
        <v>50</v>
      </c>
      <c r="AS674">
        <v>1960</v>
      </c>
      <c r="AT674">
        <v>7</v>
      </c>
      <c r="AU674" s="2" t="s">
        <v>33</v>
      </c>
      <c r="AV674" t="b">
        <v>1</v>
      </c>
      <c r="AX674" s="2" t="b">
        <v>1</v>
      </c>
      <c r="AY674">
        <v>60</v>
      </c>
      <c r="AZ674">
        <v>0</v>
      </c>
      <c r="BA674">
        <v>0</v>
      </c>
      <c r="BB674" t="s">
        <v>710</v>
      </c>
      <c r="BC674">
        <v>100</v>
      </c>
      <c r="BD674" s="2">
        <v>0.3</v>
      </c>
      <c r="BE674" t="s">
        <v>935</v>
      </c>
      <c r="BF674" t="s">
        <v>921</v>
      </c>
      <c r="BG674" t="s">
        <v>939</v>
      </c>
      <c r="BH674" s="7">
        <v>25</v>
      </c>
      <c r="BI67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674">
        <v>0</v>
      </c>
      <c r="BK674" t="s">
        <v>733</v>
      </c>
      <c r="BL674" s="11"/>
      <c r="BM674" s="11"/>
      <c r="BN674" s="11">
        <v>25</v>
      </c>
      <c r="BO674">
        <v>0</v>
      </c>
      <c r="BP674" t="s">
        <v>691</v>
      </c>
      <c r="BQ674" t="s">
        <v>693</v>
      </c>
      <c r="BR674" t="s">
        <v>700</v>
      </c>
      <c r="BS674" t="s">
        <v>704</v>
      </c>
      <c r="BT674" t="s">
        <v>705</v>
      </c>
      <c r="BU674" t="s">
        <v>706</v>
      </c>
      <c r="CT674"/>
      <c r="CU674"/>
      <c r="CV674"/>
    </row>
    <row r="675" spans="1:100" x14ac:dyDescent="0.4">
      <c r="A675" s="2" t="s">
        <v>860</v>
      </c>
      <c r="B675" t="str">
        <f>_xlfn.TEXTAFTER(Table1[[#This Row],[VEHIDCODE]],"_")</f>
        <v>Wagon_Gen4_Heavy_Flatcar</v>
      </c>
      <c r="C675" t="s">
        <v>750</v>
      </c>
      <c r="D675" t="s">
        <v>972</v>
      </c>
      <c r="E675">
        <v>12017</v>
      </c>
      <c r="F675" t="b">
        <f>OR(ISNUMBER(SEARCH("wagon_",Table1[[#This Row],[FILENAMES_EXPECTED]])),ISNUMBER(SEARCH("coach_",Table1[[#This Row],[FILENAMES_EXPECTED]])))</f>
        <v>1</v>
      </c>
      <c r="G675" t="str">
        <f>"item_"&amp;Table1[[#This Row],[VEHIDCODE]]</f>
        <v>item_mu_Wagon_Gen4_Heavy_Flatcar</v>
      </c>
      <c r="H675" t="str">
        <f>"str_"&amp;Table1[[#This Row],[VEHIDCODE]]</f>
        <v>str_mu_Wagon_Gen4_Heavy_Flatcar</v>
      </c>
      <c r="Q675" s="2" t="b">
        <v>1</v>
      </c>
      <c r="Z675" s="2" t="b">
        <v>1</v>
      </c>
      <c r="AI675" s="2" t="b">
        <v>1</v>
      </c>
      <c r="AL675" s="2"/>
      <c r="AM675" s="2" t="b">
        <f>LEN(_xlfn.CONCAT(Table1[[#This Row],[TRACK_TYPE_STANDARD_GAUGE_RAILTYPE_OHLE]:[TRACK_TYPE_MTRO]]))&gt;0</f>
        <v>1</v>
      </c>
      <c r="AN675">
        <v>7</v>
      </c>
      <c r="AO675" t="s">
        <v>605</v>
      </c>
      <c r="AP675">
        <v>0</v>
      </c>
      <c r="AQ675" t="s">
        <v>35</v>
      </c>
      <c r="AR675">
        <v>70</v>
      </c>
      <c r="AS675">
        <v>1960</v>
      </c>
      <c r="AT675">
        <v>7</v>
      </c>
      <c r="AU675" s="2" t="s">
        <v>33</v>
      </c>
      <c r="AV675" t="b">
        <v>1</v>
      </c>
      <c r="AX675" s="2" t="b">
        <v>1</v>
      </c>
      <c r="AY675">
        <v>60</v>
      </c>
      <c r="AZ675">
        <v>0</v>
      </c>
      <c r="BA675">
        <v>0</v>
      </c>
      <c r="BB675" t="s">
        <v>710</v>
      </c>
      <c r="BC675">
        <v>100</v>
      </c>
      <c r="BD675" s="2">
        <v>0.3</v>
      </c>
      <c r="BE675" t="s">
        <v>935</v>
      </c>
      <c r="BF675" t="s">
        <v>921</v>
      </c>
      <c r="BG675" t="s">
        <v>939</v>
      </c>
      <c r="BH675" s="7">
        <v>25</v>
      </c>
      <c r="BI67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675">
        <v>0</v>
      </c>
      <c r="BK675" t="s">
        <v>733</v>
      </c>
      <c r="BL675" s="11"/>
      <c r="BM675" s="11"/>
      <c r="BN675" s="11">
        <v>30</v>
      </c>
      <c r="BO675">
        <v>0</v>
      </c>
      <c r="BP675" t="s">
        <v>691</v>
      </c>
      <c r="BQ675" t="s">
        <v>693</v>
      </c>
      <c r="BR675" t="s">
        <v>700</v>
      </c>
      <c r="BS675" t="s">
        <v>704</v>
      </c>
      <c r="BT675" t="s">
        <v>705</v>
      </c>
      <c r="BU675" t="s">
        <v>706</v>
      </c>
      <c r="CT675"/>
      <c r="CU675"/>
      <c r="CV675"/>
    </row>
    <row r="676" spans="1:100" x14ac:dyDescent="0.4">
      <c r="A676" s="2" t="s">
        <v>861</v>
      </c>
      <c r="B676" t="str">
        <f>_xlfn.TEXTAFTER(Table1[[#This Row],[VEHIDCODE]],"_")</f>
        <v>Wagon_Gen4_Boxcar_Type1</v>
      </c>
      <c r="C676" t="s">
        <v>750</v>
      </c>
      <c r="D676" t="s">
        <v>972</v>
      </c>
      <c r="E676">
        <v>12018</v>
      </c>
      <c r="F676" t="b">
        <f>OR(ISNUMBER(SEARCH("wagon_",Table1[[#This Row],[FILENAMES_EXPECTED]])),ISNUMBER(SEARCH("coach_",Table1[[#This Row],[FILENAMES_EXPECTED]])))</f>
        <v>1</v>
      </c>
      <c r="G676" t="str">
        <f>"item_"&amp;Table1[[#This Row],[VEHIDCODE]]</f>
        <v>item_mu_Wagon_Gen4_Boxcar_Type1</v>
      </c>
      <c r="H676" t="str">
        <f>"str_"&amp;Table1[[#This Row],[VEHIDCODE]]</f>
        <v>str_mu_Wagon_Gen4_Boxcar_Type1</v>
      </c>
      <c r="Q676" s="2" t="b">
        <v>1</v>
      </c>
      <c r="Z676" s="2" t="b">
        <v>1</v>
      </c>
      <c r="AI676" s="2" t="b">
        <v>1</v>
      </c>
      <c r="AL676" s="2"/>
      <c r="AM676" s="2" t="b">
        <f>LEN(_xlfn.CONCAT(Table1[[#This Row],[TRACK_TYPE_STANDARD_GAUGE_RAILTYPE_OHLE]:[TRACK_TYPE_MTRO]]))&gt;0</f>
        <v>1</v>
      </c>
      <c r="AN676">
        <v>7</v>
      </c>
      <c r="AO676" t="s">
        <v>599</v>
      </c>
      <c r="AP676">
        <v>0</v>
      </c>
      <c r="AQ676" t="s">
        <v>35</v>
      </c>
      <c r="AR676">
        <v>42</v>
      </c>
      <c r="AS676">
        <v>1950</v>
      </c>
      <c r="AT676">
        <v>7</v>
      </c>
      <c r="AU676" s="2" t="s">
        <v>33</v>
      </c>
      <c r="AV676" t="b">
        <v>1</v>
      </c>
      <c r="AX676" s="2" t="b">
        <v>1</v>
      </c>
      <c r="AY676">
        <v>70</v>
      </c>
      <c r="AZ676">
        <v>0</v>
      </c>
      <c r="BA676">
        <v>0</v>
      </c>
      <c r="BB676" t="s">
        <v>710</v>
      </c>
      <c r="BC676">
        <v>120</v>
      </c>
      <c r="BD676" s="2">
        <v>0.3</v>
      </c>
      <c r="BE676" t="s">
        <v>932</v>
      </c>
      <c r="BF676" t="s">
        <v>921</v>
      </c>
      <c r="BG676" t="s">
        <v>939</v>
      </c>
      <c r="BH676" s="7">
        <v>25</v>
      </c>
      <c r="BI67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676">
        <v>0</v>
      </c>
      <c r="BK676" t="s">
        <v>733</v>
      </c>
      <c r="BL676" s="11"/>
      <c r="BM676" s="11"/>
      <c r="BN676" s="11">
        <v>30</v>
      </c>
      <c r="BO676">
        <v>0</v>
      </c>
      <c r="BP676" t="s">
        <v>691</v>
      </c>
      <c r="BQ676" t="s">
        <v>693</v>
      </c>
      <c r="BR676" t="s">
        <v>700</v>
      </c>
      <c r="BS676" t="s">
        <v>704</v>
      </c>
      <c r="BT676" t="s">
        <v>705</v>
      </c>
      <c r="BU676" t="s">
        <v>706</v>
      </c>
      <c r="CT676"/>
      <c r="CU676"/>
      <c r="CV676"/>
    </row>
    <row r="677" spans="1:100" x14ac:dyDescent="0.4">
      <c r="A677" s="2" t="s">
        <v>862</v>
      </c>
      <c r="B677" t="str">
        <f>_xlfn.TEXTAFTER(Table1[[#This Row],[VEHIDCODE]],"_")</f>
        <v>Wagon_Gen4_Boxcar_Type2</v>
      </c>
      <c r="C677" t="s">
        <v>750</v>
      </c>
      <c r="D677" t="s">
        <v>972</v>
      </c>
      <c r="E677">
        <v>12048</v>
      </c>
      <c r="F677" t="b">
        <f>OR(ISNUMBER(SEARCH("wagon_",Table1[[#This Row],[FILENAMES_EXPECTED]])),ISNUMBER(SEARCH("coach_",Table1[[#This Row],[FILENAMES_EXPECTED]])))</f>
        <v>1</v>
      </c>
      <c r="G677" t="str">
        <f>"item_"&amp;Table1[[#This Row],[VEHIDCODE]]</f>
        <v>item_mu_Wagon_Gen4_Boxcar_Type2</v>
      </c>
      <c r="H677" t="str">
        <f>"str_"&amp;Table1[[#This Row],[VEHIDCODE]]</f>
        <v>str_mu_Wagon_Gen4_Boxcar_Type2</v>
      </c>
      <c r="Q677" s="2" t="b">
        <v>1</v>
      </c>
      <c r="Z677" s="2" t="b">
        <v>1</v>
      </c>
      <c r="AI677" s="2" t="b">
        <v>1</v>
      </c>
      <c r="AL677" s="2"/>
      <c r="AM677" s="2" t="b">
        <f>LEN(_xlfn.CONCAT(Table1[[#This Row],[TRACK_TYPE_STANDARD_GAUGE_RAILTYPE_OHLE]:[TRACK_TYPE_MTRO]]))&gt;0</f>
        <v>1</v>
      </c>
      <c r="AN677">
        <v>7</v>
      </c>
      <c r="AO677" t="s">
        <v>599</v>
      </c>
      <c r="AP677">
        <v>0</v>
      </c>
      <c r="AQ677" t="s">
        <v>35</v>
      </c>
      <c r="AR677">
        <v>42</v>
      </c>
      <c r="AS677">
        <v>1950</v>
      </c>
      <c r="AT677">
        <v>7</v>
      </c>
      <c r="AU677" s="2" t="s">
        <v>33</v>
      </c>
      <c r="AV677" t="b">
        <v>1</v>
      </c>
      <c r="AX677" s="2" t="b">
        <v>1</v>
      </c>
      <c r="AY677">
        <v>70</v>
      </c>
      <c r="AZ677">
        <v>0</v>
      </c>
      <c r="BA677">
        <v>0</v>
      </c>
      <c r="BB677" t="s">
        <v>710</v>
      </c>
      <c r="BC677">
        <v>120</v>
      </c>
      <c r="BD677" s="2">
        <v>0.3</v>
      </c>
      <c r="BE677" t="s">
        <v>933</v>
      </c>
      <c r="BF677" t="s">
        <v>921</v>
      </c>
      <c r="BG677" t="s">
        <v>939</v>
      </c>
      <c r="BH677" s="7">
        <v>25</v>
      </c>
      <c r="BI67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677">
        <v>0</v>
      </c>
      <c r="BK677" t="s">
        <v>733</v>
      </c>
      <c r="BL677" s="11"/>
      <c r="BM677" s="11"/>
      <c r="BN677" s="11">
        <v>30</v>
      </c>
      <c r="BO677">
        <v>0</v>
      </c>
      <c r="BP677" t="s">
        <v>691</v>
      </c>
      <c r="BQ677" t="s">
        <v>693</v>
      </c>
      <c r="BR677" t="s">
        <v>700</v>
      </c>
      <c r="BS677" t="s">
        <v>704</v>
      </c>
      <c r="BT677" t="s">
        <v>705</v>
      </c>
      <c r="BU677" t="s">
        <v>706</v>
      </c>
      <c r="CT677"/>
      <c r="CU677"/>
      <c r="CV677"/>
    </row>
    <row r="678" spans="1:100" x14ac:dyDescent="0.4">
      <c r="A678" s="2" t="s">
        <v>863</v>
      </c>
      <c r="B678" t="str">
        <f>_xlfn.TEXTAFTER(Table1[[#This Row],[VEHIDCODE]],"_")</f>
        <v>Wagon_Gen4_Tanker</v>
      </c>
      <c r="C678" t="s">
        <v>750</v>
      </c>
      <c r="D678" t="s">
        <v>972</v>
      </c>
      <c r="E678">
        <v>12019</v>
      </c>
      <c r="F678" t="b">
        <f>OR(ISNUMBER(SEARCH("wagon_",Table1[[#This Row],[FILENAMES_EXPECTED]])),ISNUMBER(SEARCH("coach_",Table1[[#This Row],[FILENAMES_EXPECTED]])))</f>
        <v>1</v>
      </c>
      <c r="G678" t="str">
        <f>"item_"&amp;Table1[[#This Row],[VEHIDCODE]]</f>
        <v>item_mu_Wagon_Gen4_Tanker</v>
      </c>
      <c r="H678" t="str">
        <f>"str_"&amp;Table1[[#This Row],[VEHIDCODE]]</f>
        <v>str_mu_Wagon_Gen4_Tanker</v>
      </c>
      <c r="Q678" s="2" t="b">
        <v>1</v>
      </c>
      <c r="Z678" s="2" t="b">
        <v>1</v>
      </c>
      <c r="AI678" s="2" t="b">
        <v>1</v>
      </c>
      <c r="AL678" s="2"/>
      <c r="AM678" s="2" t="b">
        <f>LEN(_xlfn.CONCAT(Table1[[#This Row],[TRACK_TYPE_STANDARD_GAUGE_RAILTYPE_OHLE]:[TRACK_TYPE_MTRO]]))&gt;0</f>
        <v>1</v>
      </c>
      <c r="AN678">
        <v>7</v>
      </c>
      <c r="AO678" t="s">
        <v>609</v>
      </c>
      <c r="AP678">
        <v>0</v>
      </c>
      <c r="AQ678" t="s">
        <v>35</v>
      </c>
      <c r="AR678">
        <v>80</v>
      </c>
      <c r="AS678">
        <v>1950</v>
      </c>
      <c r="AT678">
        <v>7</v>
      </c>
      <c r="AU678" s="2" t="s">
        <v>33</v>
      </c>
      <c r="AV678" t="b">
        <v>1</v>
      </c>
      <c r="AX678" s="2" t="b">
        <v>1</v>
      </c>
      <c r="AY678">
        <v>70</v>
      </c>
      <c r="AZ678">
        <v>0</v>
      </c>
      <c r="BA678">
        <v>0</v>
      </c>
      <c r="BB678" t="s">
        <v>710</v>
      </c>
      <c r="BC678">
        <v>100</v>
      </c>
      <c r="BD678" s="2">
        <v>0.3</v>
      </c>
      <c r="BE678" t="s">
        <v>935</v>
      </c>
      <c r="BF678" t="s">
        <v>921</v>
      </c>
      <c r="BG678" t="s">
        <v>939</v>
      </c>
      <c r="BH678" s="7">
        <v>25</v>
      </c>
      <c r="BI67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678">
        <v>0</v>
      </c>
      <c r="BK678" t="s">
        <v>733</v>
      </c>
      <c r="BL678" s="11"/>
      <c r="BM678" s="11"/>
      <c r="BN678" s="11">
        <v>22</v>
      </c>
      <c r="BO678">
        <v>0</v>
      </c>
      <c r="BP678" t="s">
        <v>691</v>
      </c>
      <c r="BQ678" t="s">
        <v>693</v>
      </c>
      <c r="BR678" t="s">
        <v>700</v>
      </c>
      <c r="BS678" t="s">
        <v>704</v>
      </c>
      <c r="BT678" t="s">
        <v>705</v>
      </c>
      <c r="BU678" t="s">
        <v>706</v>
      </c>
      <c r="CT678"/>
      <c r="CU678"/>
      <c r="CV678"/>
    </row>
    <row r="679" spans="1:100" x14ac:dyDescent="0.4">
      <c r="A679" s="2" t="s">
        <v>864</v>
      </c>
      <c r="B679" t="str">
        <f>_xlfn.TEXTAFTER(Table1[[#This Row],[VEHIDCODE]],"_")</f>
        <v>Wagon_Gen4_Gondola</v>
      </c>
      <c r="C679" t="s">
        <v>750</v>
      </c>
      <c r="D679" t="s">
        <v>972</v>
      </c>
      <c r="E679">
        <v>12020</v>
      </c>
      <c r="F679" t="b">
        <f>OR(ISNUMBER(SEARCH("wagon_",Table1[[#This Row],[FILENAMES_EXPECTED]])),ISNUMBER(SEARCH("coach_",Table1[[#This Row],[FILENAMES_EXPECTED]])))</f>
        <v>1</v>
      </c>
      <c r="G679" t="str">
        <f>"item_"&amp;Table1[[#This Row],[VEHIDCODE]]</f>
        <v>item_mu_Wagon_Gen4_Gondola</v>
      </c>
      <c r="H679" t="str">
        <f>"str_"&amp;Table1[[#This Row],[VEHIDCODE]]</f>
        <v>str_mu_Wagon_Gen4_Gondola</v>
      </c>
      <c r="Q679" s="2" t="b">
        <v>1</v>
      </c>
      <c r="Z679" s="2" t="b">
        <v>1</v>
      </c>
      <c r="AI679" s="2" t="b">
        <v>1</v>
      </c>
      <c r="AL679" s="2"/>
      <c r="AM679" s="2" t="b">
        <f>LEN(_xlfn.CONCAT(Table1[[#This Row],[TRACK_TYPE_STANDARD_GAUGE_RAILTYPE_OHLE]:[TRACK_TYPE_MTRO]]))&gt;0</f>
        <v>1</v>
      </c>
      <c r="AN679">
        <v>7</v>
      </c>
      <c r="AO679" t="s">
        <v>604</v>
      </c>
      <c r="AP679">
        <v>0</v>
      </c>
      <c r="AQ679" t="s">
        <v>35</v>
      </c>
      <c r="AR679">
        <v>55</v>
      </c>
      <c r="AS679">
        <v>1950</v>
      </c>
      <c r="AT679">
        <v>7</v>
      </c>
      <c r="AU679" s="2" t="s">
        <v>33</v>
      </c>
      <c r="AV679" t="b">
        <v>1</v>
      </c>
      <c r="AX679" s="2" t="b">
        <v>1</v>
      </c>
      <c r="AY679">
        <v>70</v>
      </c>
      <c r="AZ679">
        <v>0</v>
      </c>
      <c r="BA679">
        <v>0</v>
      </c>
      <c r="BB679" t="s">
        <v>710</v>
      </c>
      <c r="BC679">
        <v>100</v>
      </c>
      <c r="BD679" s="2">
        <v>0.3</v>
      </c>
      <c r="BE679" t="s">
        <v>935</v>
      </c>
      <c r="BF679" t="s">
        <v>921</v>
      </c>
      <c r="BG679" t="s">
        <v>939</v>
      </c>
      <c r="BH679" s="7">
        <v>25</v>
      </c>
      <c r="BI67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679">
        <v>0</v>
      </c>
      <c r="BK679" t="s">
        <v>733</v>
      </c>
      <c r="BL679" s="11"/>
      <c r="BM679" s="11"/>
      <c r="BN679" s="11">
        <v>22</v>
      </c>
      <c r="BO679">
        <v>0</v>
      </c>
      <c r="BP679" t="s">
        <v>691</v>
      </c>
      <c r="BQ679" t="s">
        <v>693</v>
      </c>
      <c r="BR679" t="s">
        <v>700</v>
      </c>
      <c r="BS679" t="s">
        <v>704</v>
      </c>
      <c r="BT679" t="s">
        <v>705</v>
      </c>
      <c r="BU679" t="s">
        <v>706</v>
      </c>
      <c r="CT679"/>
      <c r="CU679"/>
      <c r="CV679"/>
    </row>
    <row r="680" spans="1:100" x14ac:dyDescent="0.4">
      <c r="A680" s="2" t="s">
        <v>865</v>
      </c>
      <c r="B680" t="str">
        <f>_xlfn.TEXTAFTER(Table1[[#This Row],[VEHIDCODE]],"_")</f>
        <v>Wagon_Gen4_Silo_Type1</v>
      </c>
      <c r="C680" t="s">
        <v>750</v>
      </c>
      <c r="D680" t="s">
        <v>972</v>
      </c>
      <c r="E680">
        <v>12021</v>
      </c>
      <c r="F680" t="b">
        <f>OR(ISNUMBER(SEARCH("wagon_",Table1[[#This Row],[FILENAMES_EXPECTED]])),ISNUMBER(SEARCH("coach_",Table1[[#This Row],[FILENAMES_EXPECTED]])))</f>
        <v>1</v>
      </c>
      <c r="G680" t="str">
        <f>"item_"&amp;Table1[[#This Row],[VEHIDCODE]]</f>
        <v>item_mu_Wagon_Gen4_Silo_Type1</v>
      </c>
      <c r="H680" t="str">
        <f>"str_"&amp;Table1[[#This Row],[VEHIDCODE]]</f>
        <v>str_mu_Wagon_Gen4_Silo_Type1</v>
      </c>
      <c r="Q680" s="2" t="b">
        <v>1</v>
      </c>
      <c r="Z680" s="2" t="b">
        <v>1</v>
      </c>
      <c r="AI680" s="2" t="b">
        <v>1</v>
      </c>
      <c r="AL680" s="2"/>
      <c r="AM680" s="2" t="b">
        <f>LEN(_xlfn.CONCAT(Table1[[#This Row],[TRACK_TYPE_STANDARD_GAUGE_RAILTYPE_OHLE]:[TRACK_TYPE_MTRO]]))&gt;0</f>
        <v>1</v>
      </c>
      <c r="AN680">
        <v>7</v>
      </c>
      <c r="AO680" t="s">
        <v>607</v>
      </c>
      <c r="AP680">
        <v>0</v>
      </c>
      <c r="AQ680" t="s">
        <v>35</v>
      </c>
      <c r="AR680">
        <v>55</v>
      </c>
      <c r="AS680">
        <v>1950</v>
      </c>
      <c r="AT680">
        <v>7</v>
      </c>
      <c r="AU680" s="2" t="s">
        <v>33</v>
      </c>
      <c r="AV680" t="b">
        <v>1</v>
      </c>
      <c r="AX680" s="2" t="b">
        <v>1</v>
      </c>
      <c r="AY680">
        <v>70</v>
      </c>
      <c r="AZ680">
        <v>0</v>
      </c>
      <c r="BA680">
        <v>0</v>
      </c>
      <c r="BB680" t="s">
        <v>710</v>
      </c>
      <c r="BC680">
        <v>100</v>
      </c>
      <c r="BD680" s="2">
        <v>0.3</v>
      </c>
      <c r="BE680" t="s">
        <v>932</v>
      </c>
      <c r="BF680" t="s">
        <v>921</v>
      </c>
      <c r="BG680" t="s">
        <v>939</v>
      </c>
      <c r="BH680" s="7">
        <v>25</v>
      </c>
      <c r="BI68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680">
        <v>0</v>
      </c>
      <c r="BK680" t="s">
        <v>733</v>
      </c>
      <c r="BL680" s="11"/>
      <c r="BM680" s="11"/>
      <c r="BN680" s="11">
        <v>25</v>
      </c>
      <c r="BO680">
        <v>0</v>
      </c>
      <c r="BP680" t="s">
        <v>691</v>
      </c>
      <c r="BQ680" t="s">
        <v>693</v>
      </c>
      <c r="BR680" t="s">
        <v>700</v>
      </c>
      <c r="BS680" t="s">
        <v>704</v>
      </c>
      <c r="BT680" t="s">
        <v>705</v>
      </c>
      <c r="BU680" t="s">
        <v>706</v>
      </c>
      <c r="CT680"/>
      <c r="CU680"/>
      <c r="CV680"/>
    </row>
    <row r="681" spans="1:100" x14ac:dyDescent="0.4">
      <c r="A681" s="2" t="s">
        <v>866</v>
      </c>
      <c r="B681" t="str">
        <f>_xlfn.TEXTAFTER(Table1[[#This Row],[VEHIDCODE]],"_")</f>
        <v>Wagon_Gen4_Silo_Type2</v>
      </c>
      <c r="C681" t="s">
        <v>750</v>
      </c>
      <c r="D681" t="s">
        <v>972</v>
      </c>
      <c r="E681">
        <v>12040</v>
      </c>
      <c r="F681" t="b">
        <f>OR(ISNUMBER(SEARCH("wagon_",Table1[[#This Row],[FILENAMES_EXPECTED]])),ISNUMBER(SEARCH("coach_",Table1[[#This Row],[FILENAMES_EXPECTED]])))</f>
        <v>1</v>
      </c>
      <c r="G681" t="str">
        <f>"item_"&amp;Table1[[#This Row],[VEHIDCODE]]</f>
        <v>item_mu_Wagon_Gen4_Silo_Type2</v>
      </c>
      <c r="H681" t="str">
        <f>"str_"&amp;Table1[[#This Row],[VEHIDCODE]]</f>
        <v>str_mu_Wagon_Gen4_Silo_Type2</v>
      </c>
      <c r="Q681" s="2" t="b">
        <v>1</v>
      </c>
      <c r="Z681" s="2" t="b">
        <v>1</v>
      </c>
      <c r="AI681" s="2" t="b">
        <v>1</v>
      </c>
      <c r="AL681" s="2"/>
      <c r="AM681" s="2" t="b">
        <f>LEN(_xlfn.CONCAT(Table1[[#This Row],[TRACK_TYPE_STANDARD_GAUGE_RAILTYPE_OHLE]:[TRACK_TYPE_MTRO]]))&gt;0</f>
        <v>1</v>
      </c>
      <c r="AN681">
        <v>7</v>
      </c>
      <c r="AO681" t="s">
        <v>607</v>
      </c>
      <c r="AP681">
        <v>0</v>
      </c>
      <c r="AQ681" t="s">
        <v>35</v>
      </c>
      <c r="AR681">
        <v>55</v>
      </c>
      <c r="AS681">
        <v>1950</v>
      </c>
      <c r="AT681">
        <v>7</v>
      </c>
      <c r="AU681" s="2" t="s">
        <v>33</v>
      </c>
      <c r="AV681" t="b">
        <v>1</v>
      </c>
      <c r="AX681" s="2" t="b">
        <v>1</v>
      </c>
      <c r="AY681">
        <v>70</v>
      </c>
      <c r="AZ681">
        <v>0</v>
      </c>
      <c r="BA681">
        <v>0</v>
      </c>
      <c r="BB681" t="s">
        <v>710</v>
      </c>
      <c r="BC681">
        <v>100</v>
      </c>
      <c r="BD681" s="2">
        <v>0.3</v>
      </c>
      <c r="BE681" t="s">
        <v>933</v>
      </c>
      <c r="BF681" t="s">
        <v>921</v>
      </c>
      <c r="BG681" t="s">
        <v>939</v>
      </c>
      <c r="BH681" s="7">
        <v>25</v>
      </c>
      <c r="BI68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681">
        <v>0</v>
      </c>
      <c r="BK681" t="s">
        <v>733</v>
      </c>
      <c r="BL681" s="11"/>
      <c r="BM681" s="11"/>
      <c r="BN681" s="11">
        <v>25</v>
      </c>
      <c r="BO681">
        <v>0</v>
      </c>
      <c r="BP681" t="s">
        <v>691</v>
      </c>
      <c r="BQ681" t="s">
        <v>693</v>
      </c>
      <c r="BR681" t="s">
        <v>700</v>
      </c>
      <c r="BS681" t="s">
        <v>704</v>
      </c>
      <c r="BT681" t="s">
        <v>705</v>
      </c>
      <c r="BU681" t="s">
        <v>706</v>
      </c>
      <c r="CT681"/>
      <c r="CU681"/>
      <c r="CV681"/>
    </row>
    <row r="682" spans="1:100" x14ac:dyDescent="0.4">
      <c r="A682" s="2" t="s">
        <v>867</v>
      </c>
      <c r="B682" t="str">
        <f>_xlfn.TEXTAFTER(Table1[[#This Row],[VEHIDCODE]],"_")</f>
        <v>Wagon_Gen4_Hopper_Type1</v>
      </c>
      <c r="C682" t="s">
        <v>750</v>
      </c>
      <c r="D682" t="s">
        <v>972</v>
      </c>
      <c r="E682">
        <v>12022</v>
      </c>
      <c r="F682" t="b">
        <f>OR(ISNUMBER(SEARCH("wagon_",Table1[[#This Row],[FILENAMES_EXPECTED]])),ISNUMBER(SEARCH("coach_",Table1[[#This Row],[FILENAMES_EXPECTED]])))</f>
        <v>1</v>
      </c>
      <c r="G682" t="str">
        <f>"item_"&amp;Table1[[#This Row],[VEHIDCODE]]</f>
        <v>item_mu_Wagon_Gen4_Hopper_Type1</v>
      </c>
      <c r="H682" t="str">
        <f>"str_"&amp;Table1[[#This Row],[VEHIDCODE]]</f>
        <v>str_mu_Wagon_Gen4_Hopper_Type1</v>
      </c>
      <c r="Q682" s="2" t="b">
        <v>1</v>
      </c>
      <c r="Z682" s="2" t="b">
        <v>1</v>
      </c>
      <c r="AI682" s="2" t="b">
        <v>1</v>
      </c>
      <c r="AL682" s="2"/>
      <c r="AM682" s="2" t="b">
        <f>LEN(_xlfn.CONCAT(Table1[[#This Row],[TRACK_TYPE_STANDARD_GAUGE_RAILTYPE_OHLE]:[TRACK_TYPE_MTRO]]))&gt;0</f>
        <v>1</v>
      </c>
      <c r="AN682">
        <v>7</v>
      </c>
      <c r="AO682" t="s">
        <v>606</v>
      </c>
      <c r="AP682">
        <v>0</v>
      </c>
      <c r="AQ682" t="s">
        <v>35</v>
      </c>
      <c r="AR682">
        <v>55</v>
      </c>
      <c r="AS682">
        <v>1960</v>
      </c>
      <c r="AT682">
        <v>7</v>
      </c>
      <c r="AU682" s="2" t="s">
        <v>33</v>
      </c>
      <c r="AV682" t="b">
        <v>1</v>
      </c>
      <c r="AX682" s="2" t="b">
        <v>1</v>
      </c>
      <c r="AY682">
        <v>60</v>
      </c>
      <c r="AZ682">
        <v>0</v>
      </c>
      <c r="BA682">
        <v>0</v>
      </c>
      <c r="BB682" t="s">
        <v>710</v>
      </c>
      <c r="BC682">
        <v>100</v>
      </c>
      <c r="BD682" s="2">
        <v>0.3</v>
      </c>
      <c r="BE682" t="s">
        <v>932</v>
      </c>
      <c r="BF682" t="s">
        <v>921</v>
      </c>
      <c r="BG682" t="s">
        <v>939</v>
      </c>
      <c r="BH682" s="7">
        <v>25</v>
      </c>
      <c r="BI68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682">
        <v>0</v>
      </c>
      <c r="BK682" t="s">
        <v>733</v>
      </c>
      <c r="BL682" s="11"/>
      <c r="BM682" s="11"/>
      <c r="BN682" s="11">
        <v>25</v>
      </c>
      <c r="BO682">
        <v>0</v>
      </c>
      <c r="BP682" t="s">
        <v>691</v>
      </c>
      <c r="BQ682" t="s">
        <v>693</v>
      </c>
      <c r="BR682" t="s">
        <v>700</v>
      </c>
      <c r="BS682" t="s">
        <v>704</v>
      </c>
      <c r="BT682" t="s">
        <v>705</v>
      </c>
      <c r="BU682" t="s">
        <v>706</v>
      </c>
      <c r="CT682"/>
      <c r="CU682"/>
      <c r="CV682"/>
    </row>
    <row r="683" spans="1:100" x14ac:dyDescent="0.4">
      <c r="A683" s="2" t="s">
        <v>868</v>
      </c>
      <c r="B683" t="str">
        <f>_xlfn.TEXTAFTER(Table1[[#This Row],[VEHIDCODE]],"_")</f>
        <v>Wagon_Gen4_Hopper_Type2</v>
      </c>
      <c r="C683" t="s">
        <v>750</v>
      </c>
      <c r="D683" t="s">
        <v>972</v>
      </c>
      <c r="E683">
        <v>12041</v>
      </c>
      <c r="F683" t="b">
        <f>OR(ISNUMBER(SEARCH("wagon_",Table1[[#This Row],[FILENAMES_EXPECTED]])),ISNUMBER(SEARCH("coach_",Table1[[#This Row],[FILENAMES_EXPECTED]])))</f>
        <v>1</v>
      </c>
      <c r="G683" t="str">
        <f>"item_"&amp;Table1[[#This Row],[VEHIDCODE]]</f>
        <v>item_mu_Wagon_Gen4_Hopper_Type2</v>
      </c>
      <c r="H683" t="str">
        <f>"str_"&amp;Table1[[#This Row],[VEHIDCODE]]</f>
        <v>str_mu_Wagon_Gen4_Hopper_Type2</v>
      </c>
      <c r="Q683" s="2" t="b">
        <v>1</v>
      </c>
      <c r="Z683" s="2" t="b">
        <v>1</v>
      </c>
      <c r="AI683" s="2" t="b">
        <v>1</v>
      </c>
      <c r="AL683" s="2"/>
      <c r="AM683" s="2" t="b">
        <f>LEN(_xlfn.CONCAT(Table1[[#This Row],[TRACK_TYPE_STANDARD_GAUGE_RAILTYPE_OHLE]:[TRACK_TYPE_MTRO]]))&gt;0</f>
        <v>1</v>
      </c>
      <c r="AN683">
        <v>7</v>
      </c>
      <c r="AO683" t="s">
        <v>606</v>
      </c>
      <c r="AP683">
        <v>0</v>
      </c>
      <c r="AQ683" t="s">
        <v>35</v>
      </c>
      <c r="AR683">
        <v>55</v>
      </c>
      <c r="AS683">
        <v>1960</v>
      </c>
      <c r="AT683">
        <v>7</v>
      </c>
      <c r="AU683" s="2" t="s">
        <v>33</v>
      </c>
      <c r="AV683" t="b">
        <v>1</v>
      </c>
      <c r="AX683" s="2" t="b">
        <v>1</v>
      </c>
      <c r="AY683">
        <v>60</v>
      </c>
      <c r="AZ683">
        <v>0</v>
      </c>
      <c r="BA683">
        <v>0</v>
      </c>
      <c r="BB683" t="s">
        <v>710</v>
      </c>
      <c r="BC683">
        <v>100</v>
      </c>
      <c r="BD683" s="2">
        <v>0.3</v>
      </c>
      <c r="BE683" t="s">
        <v>933</v>
      </c>
      <c r="BF683" t="s">
        <v>921</v>
      </c>
      <c r="BG683" t="s">
        <v>939</v>
      </c>
      <c r="BH683" s="7">
        <v>25</v>
      </c>
      <c r="BI68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683">
        <v>0</v>
      </c>
      <c r="BK683" t="s">
        <v>733</v>
      </c>
      <c r="BL683" s="11"/>
      <c r="BM683" s="11"/>
      <c r="BN683" s="11">
        <v>25</v>
      </c>
      <c r="BO683">
        <v>0</v>
      </c>
      <c r="BP683" t="s">
        <v>691</v>
      </c>
      <c r="BQ683" t="s">
        <v>693</v>
      </c>
      <c r="BR683" t="s">
        <v>700</v>
      </c>
      <c r="BS683" t="s">
        <v>704</v>
      </c>
      <c r="BT683" t="s">
        <v>705</v>
      </c>
      <c r="BU683" t="s">
        <v>706</v>
      </c>
      <c r="CT683"/>
      <c r="CU683"/>
      <c r="CV683"/>
    </row>
    <row r="684" spans="1:100" x14ac:dyDescent="0.4">
      <c r="A684" s="2" t="s">
        <v>869</v>
      </c>
      <c r="B684" t="str">
        <f>_xlfn.TEXTAFTER(Table1[[#This Row],[VEHIDCODE]],"_")</f>
        <v>Wagon_Gen4_Car_Transporter</v>
      </c>
      <c r="C684" t="s">
        <v>750</v>
      </c>
      <c r="D684" t="s">
        <v>972</v>
      </c>
      <c r="E684">
        <v>12023</v>
      </c>
      <c r="F684" t="b">
        <f>OR(ISNUMBER(SEARCH("wagon_",Table1[[#This Row],[FILENAMES_EXPECTED]])),ISNUMBER(SEARCH("coach_",Table1[[#This Row],[FILENAMES_EXPECTED]])))</f>
        <v>1</v>
      </c>
      <c r="G684" t="str">
        <f>"item_"&amp;Table1[[#This Row],[VEHIDCODE]]</f>
        <v>item_mu_Wagon_Gen4_Car_Transporter</v>
      </c>
      <c r="H684" t="str">
        <f>"str_"&amp;Table1[[#This Row],[VEHIDCODE]]</f>
        <v>str_mu_Wagon_Gen4_Car_Transporter</v>
      </c>
      <c r="Q684" s="2" t="b">
        <v>1</v>
      </c>
      <c r="Z684" s="2" t="b">
        <v>1</v>
      </c>
      <c r="AI684" s="2" t="b">
        <v>1</v>
      </c>
      <c r="AL684" s="2"/>
      <c r="AM684" s="2" t="b">
        <f>LEN(_xlfn.CONCAT(Table1[[#This Row],[TRACK_TYPE_STANDARD_GAUGE_RAILTYPE_OHLE]:[TRACK_TYPE_MTRO]]))&gt;0</f>
        <v>1</v>
      </c>
      <c r="AN684">
        <v>7</v>
      </c>
      <c r="AO684" t="s">
        <v>600</v>
      </c>
      <c r="AP684">
        <v>0</v>
      </c>
      <c r="AQ684" t="s">
        <v>35</v>
      </c>
      <c r="AR684">
        <v>16</v>
      </c>
      <c r="AS684">
        <v>1960</v>
      </c>
      <c r="AT684">
        <v>7</v>
      </c>
      <c r="AU684" s="2" t="s">
        <v>33</v>
      </c>
      <c r="AV684" t="b">
        <v>1</v>
      </c>
      <c r="AX684" s="2" t="b">
        <v>1</v>
      </c>
      <c r="AY684">
        <v>60</v>
      </c>
      <c r="AZ684">
        <v>0</v>
      </c>
      <c r="BA684">
        <v>0</v>
      </c>
      <c r="BB684" t="s">
        <v>710</v>
      </c>
      <c r="BC684">
        <v>100</v>
      </c>
      <c r="BD684" s="2">
        <v>0.3</v>
      </c>
      <c r="BE684" t="s">
        <v>935</v>
      </c>
      <c r="BF684" t="s">
        <v>921</v>
      </c>
      <c r="BG684" t="s">
        <v>939</v>
      </c>
      <c r="BH684" s="7">
        <v>25</v>
      </c>
      <c r="BI68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684">
        <v>0</v>
      </c>
      <c r="BK684" t="s">
        <v>733</v>
      </c>
      <c r="BL684" s="11"/>
      <c r="BM684" s="11"/>
      <c r="BN684" s="11">
        <v>26</v>
      </c>
      <c r="BO684">
        <v>0</v>
      </c>
      <c r="BP684" t="s">
        <v>691</v>
      </c>
      <c r="BQ684" t="s">
        <v>693</v>
      </c>
      <c r="BR684" t="s">
        <v>700</v>
      </c>
      <c r="BS684" t="s">
        <v>704</v>
      </c>
      <c r="BT684" t="s">
        <v>705</v>
      </c>
      <c r="BU684" t="s">
        <v>706</v>
      </c>
      <c r="CT684"/>
      <c r="CU684"/>
      <c r="CV684"/>
    </row>
    <row r="685" spans="1:100" x14ac:dyDescent="0.4">
      <c r="A685" s="2" t="s">
        <v>870</v>
      </c>
      <c r="B685" t="str">
        <f>_xlfn.TEXTAFTER(Table1[[#This Row],[VEHIDCODE]],"_")</f>
        <v>Wagon_Gen4_Container_Carrier</v>
      </c>
      <c r="C685" t="s">
        <v>750</v>
      </c>
      <c r="D685" t="s">
        <v>972</v>
      </c>
      <c r="E685">
        <v>12024</v>
      </c>
      <c r="F685" t="b">
        <f>OR(ISNUMBER(SEARCH("wagon_",Table1[[#This Row],[FILENAMES_EXPECTED]])),ISNUMBER(SEARCH("coach_",Table1[[#This Row],[FILENAMES_EXPECTED]])))</f>
        <v>1</v>
      </c>
      <c r="G685" t="str">
        <f>"item_"&amp;Table1[[#This Row],[VEHIDCODE]]</f>
        <v>item_mu_Wagon_Gen4_Container_Carrier</v>
      </c>
      <c r="H685" t="str">
        <f>"str_"&amp;Table1[[#This Row],[VEHIDCODE]]</f>
        <v>str_mu_Wagon_Gen4_Container_Carrier</v>
      </c>
      <c r="Q685" s="2" t="b">
        <v>1</v>
      </c>
      <c r="Z685" s="2" t="b">
        <v>1</v>
      </c>
      <c r="AI685" s="2" t="b">
        <v>1</v>
      </c>
      <c r="AL685" s="2"/>
      <c r="AM685" s="2" t="b">
        <f>LEN(_xlfn.CONCAT(Table1[[#This Row],[TRACK_TYPE_STANDARD_GAUGE_RAILTYPE_OHLE]:[TRACK_TYPE_MTRO]]))&gt;0</f>
        <v>1</v>
      </c>
      <c r="AN685">
        <v>7</v>
      </c>
      <c r="AO685" t="s">
        <v>532</v>
      </c>
      <c r="AP685">
        <v>0</v>
      </c>
      <c r="AQ685" t="s">
        <v>35</v>
      </c>
      <c r="AR685">
        <v>37</v>
      </c>
      <c r="AS685">
        <v>1960</v>
      </c>
      <c r="AT685">
        <v>7</v>
      </c>
      <c r="AU685" s="2" t="s">
        <v>33</v>
      </c>
      <c r="AV685" t="b">
        <v>1</v>
      </c>
      <c r="AX685" s="2" t="b">
        <v>1</v>
      </c>
      <c r="AY685">
        <v>60</v>
      </c>
      <c r="AZ685">
        <v>0</v>
      </c>
      <c r="BA685">
        <v>0</v>
      </c>
      <c r="BB685" t="s">
        <v>710</v>
      </c>
      <c r="BC685">
        <v>120</v>
      </c>
      <c r="BD685" s="2">
        <v>0.3</v>
      </c>
      <c r="BE685" t="s">
        <v>935</v>
      </c>
      <c r="BF685" t="s">
        <v>921</v>
      </c>
      <c r="BG685" t="s">
        <v>939</v>
      </c>
      <c r="BH685" s="7">
        <v>25</v>
      </c>
      <c r="BI68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685">
        <v>0</v>
      </c>
      <c r="BK685" t="s">
        <v>733</v>
      </c>
      <c r="BL685" s="11"/>
      <c r="BM685" s="11"/>
      <c r="BN685" s="11">
        <v>19</v>
      </c>
      <c r="BO685">
        <v>0</v>
      </c>
      <c r="BP685" t="s">
        <v>691</v>
      </c>
      <c r="BQ685" t="s">
        <v>693</v>
      </c>
      <c r="BR685" t="s">
        <v>700</v>
      </c>
      <c r="BS685" t="s">
        <v>704</v>
      </c>
      <c r="BT685" t="s">
        <v>705</v>
      </c>
      <c r="BU685" t="s">
        <v>706</v>
      </c>
      <c r="CT685"/>
      <c r="CU685"/>
      <c r="CV685"/>
    </row>
    <row r="686" spans="1:100" x14ac:dyDescent="0.4">
      <c r="A686" s="2" t="s">
        <v>871</v>
      </c>
      <c r="B686" t="str">
        <f>_xlfn.TEXTAFTER(Table1[[#This Row],[VEHIDCODE]],"_")</f>
        <v>Wagon_Gen4_Centerbeam</v>
      </c>
      <c r="C686" t="s">
        <v>750</v>
      </c>
      <c r="D686" t="s">
        <v>972</v>
      </c>
      <c r="E686">
        <v>12025</v>
      </c>
      <c r="F686" t="b">
        <f>OR(ISNUMBER(SEARCH("wagon_",Table1[[#This Row],[FILENAMES_EXPECTED]])),ISNUMBER(SEARCH("coach_",Table1[[#This Row],[FILENAMES_EXPECTED]])))</f>
        <v>1</v>
      </c>
      <c r="G686" t="str">
        <f>"item_"&amp;Table1[[#This Row],[VEHIDCODE]]</f>
        <v>item_mu_Wagon_Gen4_Centerbeam</v>
      </c>
      <c r="H686" t="str">
        <f>"str_"&amp;Table1[[#This Row],[VEHIDCODE]]</f>
        <v>str_mu_Wagon_Gen4_Centerbeam</v>
      </c>
      <c r="Q686" s="2" t="b">
        <v>1</v>
      </c>
      <c r="Z686" s="2" t="b">
        <v>1</v>
      </c>
      <c r="AI686" s="2" t="b">
        <v>1</v>
      </c>
      <c r="AL686" s="2"/>
      <c r="AM686" s="2" t="b">
        <f>LEN(_xlfn.CONCAT(Table1[[#This Row],[TRACK_TYPE_STANDARD_GAUGE_RAILTYPE_OHLE]:[TRACK_TYPE_MTRO]]))&gt;0</f>
        <v>1</v>
      </c>
      <c r="AN686">
        <v>7</v>
      </c>
      <c r="AO686" t="s">
        <v>601</v>
      </c>
      <c r="AP686">
        <v>0</v>
      </c>
      <c r="AQ686" t="s">
        <v>35</v>
      </c>
      <c r="AR686">
        <v>45</v>
      </c>
      <c r="AS686">
        <v>1950</v>
      </c>
      <c r="AT686">
        <v>7</v>
      </c>
      <c r="AU686" s="2" t="s">
        <v>33</v>
      </c>
      <c r="AV686" t="b">
        <v>1</v>
      </c>
      <c r="AX686" s="2" t="b">
        <v>1</v>
      </c>
      <c r="AY686">
        <v>70</v>
      </c>
      <c r="AZ686">
        <v>0</v>
      </c>
      <c r="BA686">
        <v>0</v>
      </c>
      <c r="BB686" t="s">
        <v>710</v>
      </c>
      <c r="BC686">
        <v>100</v>
      </c>
      <c r="BD686" s="2">
        <v>0.3</v>
      </c>
      <c r="BE686" t="s">
        <v>935</v>
      </c>
      <c r="BF686" t="s">
        <v>921</v>
      </c>
      <c r="BG686" t="s">
        <v>939</v>
      </c>
      <c r="BH686" s="7">
        <v>25</v>
      </c>
      <c r="BI68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686">
        <v>0</v>
      </c>
      <c r="BK686" t="s">
        <v>733</v>
      </c>
      <c r="BL686" s="11"/>
      <c r="BM686" s="11"/>
      <c r="BN686" s="11">
        <v>42</v>
      </c>
      <c r="BO686">
        <v>0</v>
      </c>
      <c r="BP686" t="s">
        <v>691</v>
      </c>
      <c r="BQ686" t="s">
        <v>693</v>
      </c>
      <c r="BR686" t="s">
        <v>700</v>
      </c>
      <c r="BS686" t="s">
        <v>704</v>
      </c>
      <c r="BT686" t="s">
        <v>705</v>
      </c>
      <c r="BU686" t="s">
        <v>706</v>
      </c>
      <c r="CT686"/>
      <c r="CU686"/>
      <c r="CV686"/>
    </row>
    <row r="687" spans="1:100" x14ac:dyDescent="0.4">
      <c r="A687" s="2" t="s">
        <v>872</v>
      </c>
      <c r="B687" t="str">
        <f>_xlfn.TEXTAFTER(Table1[[#This Row],[VEHIDCODE]],"_")</f>
        <v>Wagon_Gen5_Flatcar</v>
      </c>
      <c r="C687" t="s">
        <v>751</v>
      </c>
      <c r="D687" t="s">
        <v>972</v>
      </c>
      <c r="E687">
        <v>12026</v>
      </c>
      <c r="F687" t="b">
        <f>OR(ISNUMBER(SEARCH("wagon_",Table1[[#This Row],[FILENAMES_EXPECTED]])),ISNUMBER(SEARCH("coach_",Table1[[#This Row],[FILENAMES_EXPECTED]])))</f>
        <v>1</v>
      </c>
      <c r="G687" t="str">
        <f>"item_"&amp;Table1[[#This Row],[VEHIDCODE]]</f>
        <v>item_mu_Wagon_Gen5_Flatcar</v>
      </c>
      <c r="H687" t="str">
        <f>"str_"&amp;Table1[[#This Row],[VEHIDCODE]]</f>
        <v>str_mu_Wagon_Gen5_Flatcar</v>
      </c>
      <c r="Q687" s="2" t="b">
        <v>1</v>
      </c>
      <c r="Z687" s="2" t="b">
        <v>1</v>
      </c>
      <c r="AI687" s="2" t="b">
        <v>1</v>
      </c>
      <c r="AL687" s="2"/>
      <c r="AM687" s="2" t="b">
        <f>LEN(_xlfn.CONCAT(Table1[[#This Row],[TRACK_TYPE_STANDARD_GAUGE_RAILTYPE_OHLE]:[TRACK_TYPE_MTRO]]))&gt;0</f>
        <v>1</v>
      </c>
      <c r="AN687">
        <v>8</v>
      </c>
      <c r="AO687" t="s">
        <v>603</v>
      </c>
      <c r="AP687">
        <v>0</v>
      </c>
      <c r="AQ687" t="s">
        <v>35</v>
      </c>
      <c r="AR687">
        <v>60</v>
      </c>
      <c r="AS687">
        <v>1990</v>
      </c>
      <c r="AT687">
        <v>8</v>
      </c>
      <c r="AU687" s="2" t="s">
        <v>33</v>
      </c>
      <c r="AV687" t="b">
        <v>1</v>
      </c>
      <c r="AX687" s="2" t="b">
        <v>1</v>
      </c>
      <c r="AY687" t="s">
        <v>21</v>
      </c>
      <c r="AZ687">
        <v>0</v>
      </c>
      <c r="BA687">
        <v>0</v>
      </c>
      <c r="BB687" t="s">
        <v>710</v>
      </c>
      <c r="BC687">
        <v>120</v>
      </c>
      <c r="BD687" s="2">
        <v>0.3</v>
      </c>
      <c r="BE687" t="s">
        <v>935</v>
      </c>
      <c r="BF687" t="s">
        <v>921</v>
      </c>
      <c r="BG687" t="s">
        <v>939</v>
      </c>
      <c r="BH687" s="7">
        <v>25</v>
      </c>
      <c r="BI68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687">
        <v>0</v>
      </c>
      <c r="BK687" t="s">
        <v>733</v>
      </c>
      <c r="BL687" s="11"/>
      <c r="BM687" s="11"/>
      <c r="BN687" s="11">
        <v>23</v>
      </c>
      <c r="BO687">
        <v>0</v>
      </c>
      <c r="BP687" t="s">
        <v>691</v>
      </c>
      <c r="BQ687" t="s">
        <v>693</v>
      </c>
      <c r="BR687" t="s">
        <v>700</v>
      </c>
      <c r="BS687" t="s">
        <v>704</v>
      </c>
      <c r="BT687" t="s">
        <v>705</v>
      </c>
      <c r="BU687" t="s">
        <v>706</v>
      </c>
      <c r="CT687"/>
      <c r="CU687"/>
      <c r="CV687"/>
    </row>
    <row r="688" spans="1:100" x14ac:dyDescent="0.4">
      <c r="A688" s="2" t="s">
        <v>873</v>
      </c>
      <c r="B688" t="str">
        <f>_xlfn.TEXTAFTER(Table1[[#This Row],[VEHIDCODE]],"_")</f>
        <v>Wagon_Gen5_Heavy_Flatcar</v>
      </c>
      <c r="C688" t="s">
        <v>751</v>
      </c>
      <c r="D688" t="s">
        <v>972</v>
      </c>
      <c r="E688">
        <v>12027</v>
      </c>
      <c r="F688" t="b">
        <f>OR(ISNUMBER(SEARCH("wagon_",Table1[[#This Row],[FILENAMES_EXPECTED]])),ISNUMBER(SEARCH("coach_",Table1[[#This Row],[FILENAMES_EXPECTED]])))</f>
        <v>1</v>
      </c>
      <c r="G688" t="str">
        <f>"item_"&amp;Table1[[#This Row],[VEHIDCODE]]</f>
        <v>item_mu_Wagon_Gen5_Heavy_Flatcar</v>
      </c>
      <c r="H688" t="str">
        <f>"str_"&amp;Table1[[#This Row],[VEHIDCODE]]</f>
        <v>str_mu_Wagon_Gen5_Heavy_Flatcar</v>
      </c>
      <c r="Q688" s="2" t="b">
        <v>1</v>
      </c>
      <c r="Z688" s="2" t="b">
        <v>1</v>
      </c>
      <c r="AI688" s="2" t="b">
        <v>1</v>
      </c>
      <c r="AL688" s="2"/>
      <c r="AM688" s="2" t="b">
        <f>LEN(_xlfn.CONCAT(Table1[[#This Row],[TRACK_TYPE_STANDARD_GAUGE_RAILTYPE_OHLE]:[TRACK_TYPE_MTRO]]))&gt;0</f>
        <v>1</v>
      </c>
      <c r="AN688">
        <v>8</v>
      </c>
      <c r="AO688" t="s">
        <v>605</v>
      </c>
      <c r="AP688">
        <v>0</v>
      </c>
      <c r="AQ688" t="s">
        <v>35</v>
      </c>
      <c r="AR688">
        <v>84</v>
      </c>
      <c r="AS688">
        <v>2000</v>
      </c>
      <c r="AT688">
        <v>8</v>
      </c>
      <c r="AU688" s="2" t="s">
        <v>33</v>
      </c>
      <c r="AV688" t="b">
        <v>1</v>
      </c>
      <c r="AX688" s="2" t="b">
        <v>1</v>
      </c>
      <c r="AY688" t="s">
        <v>21</v>
      </c>
      <c r="AZ688">
        <v>0</v>
      </c>
      <c r="BA688">
        <v>0</v>
      </c>
      <c r="BB688" t="s">
        <v>710</v>
      </c>
      <c r="BC688">
        <v>100</v>
      </c>
      <c r="BD688" s="2">
        <v>0.3</v>
      </c>
      <c r="BE688" t="s">
        <v>935</v>
      </c>
      <c r="BF688" t="s">
        <v>921</v>
      </c>
      <c r="BG688" t="s">
        <v>939</v>
      </c>
      <c r="BH688" s="7">
        <v>25</v>
      </c>
      <c r="BI68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688">
        <v>0</v>
      </c>
      <c r="BK688" t="s">
        <v>733</v>
      </c>
      <c r="BL688" s="11"/>
      <c r="BM688" s="11"/>
      <c r="BN688" s="11">
        <v>42</v>
      </c>
      <c r="BO688">
        <v>0</v>
      </c>
      <c r="BP688" t="s">
        <v>691</v>
      </c>
      <c r="BQ688" t="s">
        <v>693</v>
      </c>
      <c r="BR688" t="s">
        <v>700</v>
      </c>
      <c r="BS688" t="s">
        <v>704</v>
      </c>
      <c r="BT688" t="s">
        <v>705</v>
      </c>
      <c r="BU688" t="s">
        <v>706</v>
      </c>
      <c r="CT688"/>
      <c r="CU688"/>
      <c r="CV688"/>
    </row>
    <row r="689" spans="1:100" x14ac:dyDescent="0.4">
      <c r="A689" s="2" t="s">
        <v>874</v>
      </c>
      <c r="B689" t="str">
        <f>_xlfn.TEXTAFTER(Table1[[#This Row],[VEHIDCODE]],"_")</f>
        <v>Wagon_Gen5_Boxcar_Type1</v>
      </c>
      <c r="C689" t="s">
        <v>751</v>
      </c>
      <c r="D689" t="s">
        <v>972</v>
      </c>
      <c r="E689">
        <v>12028</v>
      </c>
      <c r="F689" t="b">
        <f>OR(ISNUMBER(SEARCH("wagon_",Table1[[#This Row],[FILENAMES_EXPECTED]])),ISNUMBER(SEARCH("coach_",Table1[[#This Row],[FILENAMES_EXPECTED]])))</f>
        <v>1</v>
      </c>
      <c r="G689" t="str">
        <f>"item_"&amp;Table1[[#This Row],[VEHIDCODE]]</f>
        <v>item_mu_Wagon_Gen5_Boxcar_Type1</v>
      </c>
      <c r="H689" t="str">
        <f>"str_"&amp;Table1[[#This Row],[VEHIDCODE]]</f>
        <v>str_mu_Wagon_Gen5_Boxcar_Type1</v>
      </c>
      <c r="Q689" s="2" t="b">
        <v>1</v>
      </c>
      <c r="Z689" s="2" t="b">
        <v>1</v>
      </c>
      <c r="AI689" s="2" t="b">
        <v>1</v>
      </c>
      <c r="AL689" s="2"/>
      <c r="AM689" s="2" t="b">
        <f>LEN(_xlfn.CONCAT(Table1[[#This Row],[TRACK_TYPE_STANDARD_GAUGE_RAILTYPE_OHLE]:[TRACK_TYPE_MTRO]]))&gt;0</f>
        <v>1</v>
      </c>
      <c r="AN689">
        <v>8</v>
      </c>
      <c r="AO689" t="s">
        <v>599</v>
      </c>
      <c r="AP689">
        <v>0</v>
      </c>
      <c r="AQ689" t="s">
        <v>35</v>
      </c>
      <c r="AR689">
        <v>63</v>
      </c>
      <c r="AS689">
        <v>1990</v>
      </c>
      <c r="AT689">
        <v>8</v>
      </c>
      <c r="AU689" s="2" t="s">
        <v>33</v>
      </c>
      <c r="AV689" t="b">
        <v>1</v>
      </c>
      <c r="AX689" s="2" t="b">
        <v>1</v>
      </c>
      <c r="AY689" t="s">
        <v>21</v>
      </c>
      <c r="AZ689">
        <v>0</v>
      </c>
      <c r="BA689">
        <v>0</v>
      </c>
      <c r="BB689" t="s">
        <v>710</v>
      </c>
      <c r="BC689">
        <v>120</v>
      </c>
      <c r="BD689" s="2">
        <v>0.3</v>
      </c>
      <c r="BE689" t="s">
        <v>932</v>
      </c>
      <c r="BF689" t="s">
        <v>921</v>
      </c>
      <c r="BG689" t="s">
        <v>939</v>
      </c>
      <c r="BH689" s="7">
        <v>25</v>
      </c>
      <c r="BI68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689">
        <v>0</v>
      </c>
      <c r="BK689" t="s">
        <v>733</v>
      </c>
      <c r="BL689" s="11"/>
      <c r="BM689" s="11"/>
      <c r="BN689" s="11">
        <v>27</v>
      </c>
      <c r="BO689">
        <v>0</v>
      </c>
      <c r="BP689" t="s">
        <v>691</v>
      </c>
      <c r="BQ689" t="s">
        <v>693</v>
      </c>
      <c r="BR689" t="s">
        <v>700</v>
      </c>
      <c r="BS689" t="s">
        <v>704</v>
      </c>
      <c r="BT689" t="s">
        <v>705</v>
      </c>
      <c r="BU689" t="s">
        <v>706</v>
      </c>
      <c r="CT689"/>
      <c r="CU689"/>
      <c r="CV689"/>
    </row>
    <row r="690" spans="1:100" x14ac:dyDescent="0.4">
      <c r="A690" s="2" t="s">
        <v>875</v>
      </c>
      <c r="B690" t="str">
        <f>_xlfn.TEXTAFTER(Table1[[#This Row],[VEHIDCODE]],"_")</f>
        <v>Wagon_Gen5_Boxcar_Type2</v>
      </c>
      <c r="C690" t="s">
        <v>751</v>
      </c>
      <c r="D690" t="s">
        <v>972</v>
      </c>
      <c r="E690">
        <v>12042</v>
      </c>
      <c r="F690" t="b">
        <f>OR(ISNUMBER(SEARCH("wagon_",Table1[[#This Row],[FILENAMES_EXPECTED]])),ISNUMBER(SEARCH("coach_",Table1[[#This Row],[FILENAMES_EXPECTED]])))</f>
        <v>1</v>
      </c>
      <c r="G690" t="str">
        <f>"item_"&amp;Table1[[#This Row],[VEHIDCODE]]</f>
        <v>item_mu_Wagon_Gen5_Boxcar_Type2</v>
      </c>
      <c r="H690" t="str">
        <f>"str_"&amp;Table1[[#This Row],[VEHIDCODE]]</f>
        <v>str_mu_Wagon_Gen5_Boxcar_Type2</v>
      </c>
      <c r="Q690" s="2" t="b">
        <v>1</v>
      </c>
      <c r="Z690" s="2" t="b">
        <v>1</v>
      </c>
      <c r="AI690" s="2" t="b">
        <v>1</v>
      </c>
      <c r="AL690" s="2"/>
      <c r="AM690" s="2" t="b">
        <f>LEN(_xlfn.CONCAT(Table1[[#This Row],[TRACK_TYPE_STANDARD_GAUGE_RAILTYPE_OHLE]:[TRACK_TYPE_MTRO]]))&gt;0</f>
        <v>1</v>
      </c>
      <c r="AN690">
        <v>8</v>
      </c>
      <c r="AO690" t="s">
        <v>599</v>
      </c>
      <c r="AP690">
        <v>0</v>
      </c>
      <c r="AQ690" t="s">
        <v>35</v>
      </c>
      <c r="AR690">
        <v>63</v>
      </c>
      <c r="AS690">
        <v>1990</v>
      </c>
      <c r="AT690">
        <v>8</v>
      </c>
      <c r="AU690" s="2" t="s">
        <v>33</v>
      </c>
      <c r="AV690" t="b">
        <v>1</v>
      </c>
      <c r="AX690" s="2" t="b">
        <v>1</v>
      </c>
      <c r="AY690" t="s">
        <v>21</v>
      </c>
      <c r="AZ690">
        <v>0</v>
      </c>
      <c r="BA690">
        <v>0</v>
      </c>
      <c r="BB690" t="s">
        <v>710</v>
      </c>
      <c r="BC690">
        <v>120</v>
      </c>
      <c r="BD690" s="2">
        <v>0.3</v>
      </c>
      <c r="BE690" t="s">
        <v>933</v>
      </c>
      <c r="BF690" t="s">
        <v>921</v>
      </c>
      <c r="BG690" t="s">
        <v>939</v>
      </c>
      <c r="BH690" s="7">
        <v>25</v>
      </c>
      <c r="BI69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690">
        <v>0</v>
      </c>
      <c r="BK690" t="s">
        <v>733</v>
      </c>
      <c r="BL690" s="11"/>
      <c r="BM690" s="11"/>
      <c r="BN690" s="11">
        <v>27</v>
      </c>
      <c r="BO690">
        <v>0</v>
      </c>
      <c r="BP690" t="s">
        <v>691</v>
      </c>
      <c r="BQ690" t="s">
        <v>693</v>
      </c>
      <c r="BR690" t="s">
        <v>700</v>
      </c>
      <c r="BS690" t="s">
        <v>704</v>
      </c>
      <c r="BT690" t="s">
        <v>705</v>
      </c>
      <c r="BU690" t="s">
        <v>706</v>
      </c>
      <c r="CT690"/>
      <c r="CU690"/>
      <c r="CV690"/>
    </row>
    <row r="691" spans="1:100" x14ac:dyDescent="0.4">
      <c r="A691" s="2" t="s">
        <v>876</v>
      </c>
      <c r="B691" t="str">
        <f>_xlfn.TEXTAFTER(Table1[[#This Row],[VEHIDCODE]],"_")</f>
        <v>Wagon_Gen5_Tanker</v>
      </c>
      <c r="C691" t="s">
        <v>751</v>
      </c>
      <c r="D691" t="s">
        <v>972</v>
      </c>
      <c r="E691">
        <v>12029</v>
      </c>
      <c r="F691" t="b">
        <f>OR(ISNUMBER(SEARCH("wagon_",Table1[[#This Row],[FILENAMES_EXPECTED]])),ISNUMBER(SEARCH("coach_",Table1[[#This Row],[FILENAMES_EXPECTED]])))</f>
        <v>1</v>
      </c>
      <c r="G691" t="str">
        <f>"item_"&amp;Table1[[#This Row],[VEHIDCODE]]</f>
        <v>item_mu_Wagon_Gen5_Tanker</v>
      </c>
      <c r="H691" t="str">
        <f>"str_"&amp;Table1[[#This Row],[VEHIDCODE]]</f>
        <v>str_mu_Wagon_Gen5_Tanker</v>
      </c>
      <c r="Q691" s="2" t="b">
        <v>1</v>
      </c>
      <c r="Z691" s="2" t="b">
        <v>1</v>
      </c>
      <c r="AI691" s="2" t="b">
        <v>1</v>
      </c>
      <c r="AL691" s="2"/>
      <c r="AM691" s="2" t="b">
        <f>LEN(_xlfn.CONCAT(Table1[[#This Row],[TRACK_TYPE_STANDARD_GAUGE_RAILTYPE_OHLE]:[TRACK_TYPE_MTRO]]))&gt;0</f>
        <v>1</v>
      </c>
      <c r="AN691">
        <v>8</v>
      </c>
      <c r="AO691" t="s">
        <v>609</v>
      </c>
      <c r="AP691">
        <v>0</v>
      </c>
      <c r="AQ691" t="s">
        <v>35</v>
      </c>
      <c r="AR691">
        <v>95</v>
      </c>
      <c r="AS691">
        <v>2000</v>
      </c>
      <c r="AT691">
        <v>8</v>
      </c>
      <c r="AU691" s="2" t="s">
        <v>33</v>
      </c>
      <c r="AV691" t="b">
        <v>1</v>
      </c>
      <c r="AX691" s="2" t="b">
        <v>1</v>
      </c>
      <c r="AY691" t="s">
        <v>21</v>
      </c>
      <c r="AZ691">
        <v>0</v>
      </c>
      <c r="BA691">
        <v>0</v>
      </c>
      <c r="BB691" t="s">
        <v>710</v>
      </c>
      <c r="BC691">
        <v>120</v>
      </c>
      <c r="BD691" s="2">
        <v>0.3</v>
      </c>
      <c r="BE691" t="s">
        <v>935</v>
      </c>
      <c r="BF691" t="s">
        <v>921</v>
      </c>
      <c r="BG691" t="s">
        <v>939</v>
      </c>
      <c r="BH691" s="7">
        <v>25</v>
      </c>
      <c r="BI69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691">
        <v>0</v>
      </c>
      <c r="BK691" t="s">
        <v>733</v>
      </c>
      <c r="BL691" s="11"/>
      <c r="BM691" s="11"/>
      <c r="BN691" s="11">
        <v>24</v>
      </c>
      <c r="BO691">
        <v>0</v>
      </c>
      <c r="BP691" t="s">
        <v>691</v>
      </c>
      <c r="BQ691" t="s">
        <v>693</v>
      </c>
      <c r="BR691" t="s">
        <v>700</v>
      </c>
      <c r="BS691" t="s">
        <v>704</v>
      </c>
      <c r="BT691" t="s">
        <v>705</v>
      </c>
      <c r="BU691" t="s">
        <v>706</v>
      </c>
      <c r="CT691"/>
      <c r="CU691"/>
      <c r="CV691"/>
    </row>
    <row r="692" spans="1:100" x14ac:dyDescent="0.4">
      <c r="A692" s="2" t="s">
        <v>877</v>
      </c>
      <c r="B692" t="str">
        <f>_xlfn.TEXTAFTER(Table1[[#This Row],[VEHIDCODE]],"_")</f>
        <v>Wagon_Gen5_Gondola</v>
      </c>
      <c r="C692" t="s">
        <v>751</v>
      </c>
      <c r="D692" t="s">
        <v>972</v>
      </c>
      <c r="E692">
        <v>12030</v>
      </c>
      <c r="F692" t="b">
        <f>OR(ISNUMBER(SEARCH("wagon_",Table1[[#This Row],[FILENAMES_EXPECTED]])),ISNUMBER(SEARCH("coach_",Table1[[#This Row],[FILENAMES_EXPECTED]])))</f>
        <v>1</v>
      </c>
      <c r="G692" t="str">
        <f>"item_"&amp;Table1[[#This Row],[VEHIDCODE]]</f>
        <v>item_mu_Wagon_Gen5_Gondola</v>
      </c>
      <c r="H692" t="str">
        <f>"str_"&amp;Table1[[#This Row],[VEHIDCODE]]</f>
        <v>str_mu_Wagon_Gen5_Gondola</v>
      </c>
      <c r="Q692" s="2" t="b">
        <v>1</v>
      </c>
      <c r="Z692" s="2" t="b">
        <v>1</v>
      </c>
      <c r="AI692" s="2" t="b">
        <v>1</v>
      </c>
      <c r="AL692" s="2"/>
      <c r="AM692" s="2" t="b">
        <f>LEN(_xlfn.CONCAT(Table1[[#This Row],[TRACK_TYPE_STANDARD_GAUGE_RAILTYPE_OHLE]:[TRACK_TYPE_MTRO]]))&gt;0</f>
        <v>1</v>
      </c>
      <c r="AN692">
        <v>8</v>
      </c>
      <c r="AO692" t="s">
        <v>604</v>
      </c>
      <c r="AP692">
        <v>0</v>
      </c>
      <c r="AQ692" t="s">
        <v>35</v>
      </c>
      <c r="AR692">
        <v>65</v>
      </c>
      <c r="AS692">
        <v>1990</v>
      </c>
      <c r="AT692">
        <v>8</v>
      </c>
      <c r="AU692" s="2" t="s">
        <v>33</v>
      </c>
      <c r="AV692" t="b">
        <v>1</v>
      </c>
      <c r="AX692" s="2" t="b">
        <v>1</v>
      </c>
      <c r="AY692" t="s">
        <v>21</v>
      </c>
      <c r="AZ692">
        <v>0</v>
      </c>
      <c r="BA692">
        <v>0</v>
      </c>
      <c r="BB692" t="s">
        <v>710</v>
      </c>
      <c r="BC692">
        <v>120</v>
      </c>
      <c r="BD692" s="2">
        <v>0.3</v>
      </c>
      <c r="BE692" t="s">
        <v>935</v>
      </c>
      <c r="BF692" t="s">
        <v>921</v>
      </c>
      <c r="BG692" t="s">
        <v>939</v>
      </c>
      <c r="BH692" s="7">
        <v>25</v>
      </c>
      <c r="BI69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692">
        <v>0</v>
      </c>
      <c r="BK692" t="s">
        <v>733</v>
      </c>
      <c r="BL692" s="11"/>
      <c r="BM692" s="11"/>
      <c r="BN692" s="11">
        <v>22</v>
      </c>
      <c r="BO692">
        <v>0</v>
      </c>
      <c r="BP692" t="s">
        <v>691</v>
      </c>
      <c r="BQ692" t="s">
        <v>693</v>
      </c>
      <c r="BR692" t="s">
        <v>700</v>
      </c>
      <c r="BS692" t="s">
        <v>704</v>
      </c>
      <c r="BT692" t="s">
        <v>705</v>
      </c>
      <c r="BU692" t="s">
        <v>706</v>
      </c>
      <c r="CT692"/>
      <c r="CU692"/>
      <c r="CV692"/>
    </row>
    <row r="693" spans="1:100" x14ac:dyDescent="0.4">
      <c r="A693" s="2" t="s">
        <v>878</v>
      </c>
      <c r="B693" t="str">
        <f>_xlfn.TEXTAFTER(Table1[[#This Row],[VEHIDCODE]],"_")</f>
        <v>Wagon_Gen5_Silo_Type1</v>
      </c>
      <c r="C693" t="s">
        <v>751</v>
      </c>
      <c r="D693" t="s">
        <v>972</v>
      </c>
      <c r="E693">
        <v>12031</v>
      </c>
      <c r="F693" t="b">
        <f>OR(ISNUMBER(SEARCH("wagon_",Table1[[#This Row],[FILENAMES_EXPECTED]])),ISNUMBER(SEARCH("coach_",Table1[[#This Row],[FILENAMES_EXPECTED]])))</f>
        <v>1</v>
      </c>
      <c r="G693" t="str">
        <f>"item_"&amp;Table1[[#This Row],[VEHIDCODE]]</f>
        <v>item_mu_Wagon_Gen5_Silo_Type1</v>
      </c>
      <c r="H693" t="str">
        <f>"str_"&amp;Table1[[#This Row],[VEHIDCODE]]</f>
        <v>str_mu_Wagon_Gen5_Silo_Type1</v>
      </c>
      <c r="Q693" s="2" t="b">
        <v>1</v>
      </c>
      <c r="Z693" s="2" t="b">
        <v>1</v>
      </c>
      <c r="AI693" s="2" t="b">
        <v>1</v>
      </c>
      <c r="AL693" s="2"/>
      <c r="AM693" s="2" t="b">
        <f>LEN(_xlfn.CONCAT(Table1[[#This Row],[TRACK_TYPE_STANDARD_GAUGE_RAILTYPE_OHLE]:[TRACK_TYPE_MTRO]]))&gt;0</f>
        <v>1</v>
      </c>
      <c r="AN693">
        <v>8</v>
      </c>
      <c r="AO693" t="s">
        <v>607</v>
      </c>
      <c r="AP693">
        <v>0</v>
      </c>
      <c r="AQ693" t="s">
        <v>35</v>
      </c>
      <c r="AR693">
        <v>65</v>
      </c>
      <c r="AS693">
        <v>2000</v>
      </c>
      <c r="AT693">
        <v>8</v>
      </c>
      <c r="AU693" s="2" t="s">
        <v>33</v>
      </c>
      <c r="AV693" t="b">
        <v>1</v>
      </c>
      <c r="AX693" s="2" t="b">
        <v>1</v>
      </c>
      <c r="AY693" t="s">
        <v>21</v>
      </c>
      <c r="AZ693">
        <v>0</v>
      </c>
      <c r="BA693">
        <v>0</v>
      </c>
      <c r="BB693" t="s">
        <v>710</v>
      </c>
      <c r="BC693">
        <v>120</v>
      </c>
      <c r="BD693" s="2">
        <v>0.3</v>
      </c>
      <c r="BE693" t="s">
        <v>932</v>
      </c>
      <c r="BF693" t="s">
        <v>921</v>
      </c>
      <c r="BG693" t="s">
        <v>939</v>
      </c>
      <c r="BH693" s="7">
        <v>25</v>
      </c>
      <c r="BI69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693">
        <v>0</v>
      </c>
      <c r="BK693" t="s">
        <v>733</v>
      </c>
      <c r="BL693" s="11"/>
      <c r="BM693" s="11"/>
      <c r="BN693" s="11">
        <v>27</v>
      </c>
      <c r="BO693">
        <v>0</v>
      </c>
      <c r="BP693" t="s">
        <v>691</v>
      </c>
      <c r="BQ693" t="s">
        <v>693</v>
      </c>
      <c r="BR693" t="s">
        <v>700</v>
      </c>
      <c r="BS693" t="s">
        <v>704</v>
      </c>
      <c r="BT693" t="s">
        <v>705</v>
      </c>
      <c r="BU693" t="s">
        <v>706</v>
      </c>
      <c r="CT693"/>
      <c r="CU693"/>
      <c r="CV693"/>
    </row>
    <row r="694" spans="1:100" x14ac:dyDescent="0.4">
      <c r="A694" s="2" t="s">
        <v>879</v>
      </c>
      <c r="B694" t="str">
        <f>_xlfn.TEXTAFTER(Table1[[#This Row],[VEHIDCODE]],"_")</f>
        <v>Wagon_Gen5_Silo_Type2</v>
      </c>
      <c r="C694" t="s">
        <v>751</v>
      </c>
      <c r="D694" t="s">
        <v>972</v>
      </c>
      <c r="E694">
        <v>12043</v>
      </c>
      <c r="F694" t="b">
        <f>OR(ISNUMBER(SEARCH("wagon_",Table1[[#This Row],[FILENAMES_EXPECTED]])),ISNUMBER(SEARCH("coach_",Table1[[#This Row],[FILENAMES_EXPECTED]])))</f>
        <v>1</v>
      </c>
      <c r="G694" t="str">
        <f>"item_"&amp;Table1[[#This Row],[VEHIDCODE]]</f>
        <v>item_mu_Wagon_Gen5_Silo_Type2</v>
      </c>
      <c r="H694" t="str">
        <f>"str_"&amp;Table1[[#This Row],[VEHIDCODE]]</f>
        <v>str_mu_Wagon_Gen5_Silo_Type2</v>
      </c>
      <c r="Q694" s="2" t="b">
        <v>1</v>
      </c>
      <c r="Z694" s="2" t="b">
        <v>1</v>
      </c>
      <c r="AI694" s="2" t="b">
        <v>1</v>
      </c>
      <c r="AL694" s="2"/>
      <c r="AM694" s="2" t="b">
        <f>LEN(_xlfn.CONCAT(Table1[[#This Row],[TRACK_TYPE_STANDARD_GAUGE_RAILTYPE_OHLE]:[TRACK_TYPE_MTRO]]))&gt;0</f>
        <v>1</v>
      </c>
      <c r="AN694">
        <v>8</v>
      </c>
      <c r="AO694" t="s">
        <v>607</v>
      </c>
      <c r="AP694">
        <v>0</v>
      </c>
      <c r="AQ694" t="s">
        <v>35</v>
      </c>
      <c r="AR694">
        <v>65</v>
      </c>
      <c r="AS694">
        <v>2000</v>
      </c>
      <c r="AT694">
        <v>8</v>
      </c>
      <c r="AU694" s="2" t="s">
        <v>33</v>
      </c>
      <c r="AV694" t="b">
        <v>1</v>
      </c>
      <c r="AX694" s="2" t="b">
        <v>1</v>
      </c>
      <c r="AY694" t="s">
        <v>21</v>
      </c>
      <c r="AZ694">
        <v>0</v>
      </c>
      <c r="BA694">
        <v>0</v>
      </c>
      <c r="BB694" t="s">
        <v>710</v>
      </c>
      <c r="BC694">
        <v>120</v>
      </c>
      <c r="BD694" s="2">
        <v>0.3</v>
      </c>
      <c r="BE694" t="s">
        <v>933</v>
      </c>
      <c r="BF694" t="s">
        <v>921</v>
      </c>
      <c r="BG694" t="s">
        <v>939</v>
      </c>
      <c r="BH694" s="7">
        <v>25</v>
      </c>
      <c r="BI69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694">
        <v>0</v>
      </c>
      <c r="BK694" t="s">
        <v>733</v>
      </c>
      <c r="BL694" s="11"/>
      <c r="BM694" s="11"/>
      <c r="BN694" s="11">
        <v>27</v>
      </c>
      <c r="BO694">
        <v>0</v>
      </c>
      <c r="BP694" t="s">
        <v>691</v>
      </c>
      <c r="BQ694" t="s">
        <v>693</v>
      </c>
      <c r="BR694" t="s">
        <v>700</v>
      </c>
      <c r="BS694" t="s">
        <v>704</v>
      </c>
      <c r="BT694" t="s">
        <v>705</v>
      </c>
      <c r="BU694" t="s">
        <v>706</v>
      </c>
      <c r="CT694"/>
      <c r="CU694"/>
      <c r="CV694"/>
    </row>
    <row r="695" spans="1:100" x14ac:dyDescent="0.4">
      <c r="A695" s="2" t="s">
        <v>880</v>
      </c>
      <c r="B695" t="str">
        <f>_xlfn.TEXTAFTER(Table1[[#This Row],[VEHIDCODE]],"_")</f>
        <v>Wagon_Gen5_Hopper_Type1</v>
      </c>
      <c r="C695" t="s">
        <v>751</v>
      </c>
      <c r="D695" t="s">
        <v>972</v>
      </c>
      <c r="E695">
        <v>12032</v>
      </c>
      <c r="F695" t="b">
        <f>OR(ISNUMBER(SEARCH("wagon_",Table1[[#This Row],[FILENAMES_EXPECTED]])),ISNUMBER(SEARCH("coach_",Table1[[#This Row],[FILENAMES_EXPECTED]])))</f>
        <v>1</v>
      </c>
      <c r="G695" t="str">
        <f>"item_"&amp;Table1[[#This Row],[VEHIDCODE]]</f>
        <v>item_mu_Wagon_Gen5_Hopper_Type1</v>
      </c>
      <c r="H695" t="str">
        <f>"str_"&amp;Table1[[#This Row],[VEHIDCODE]]</f>
        <v>str_mu_Wagon_Gen5_Hopper_Type1</v>
      </c>
      <c r="Q695" s="2" t="b">
        <v>1</v>
      </c>
      <c r="Z695" s="2" t="b">
        <v>1</v>
      </c>
      <c r="AI695" s="2" t="b">
        <v>1</v>
      </c>
      <c r="AL695" s="2"/>
      <c r="AM695" s="2" t="b">
        <f>LEN(_xlfn.CONCAT(Table1[[#This Row],[TRACK_TYPE_STANDARD_GAUGE_RAILTYPE_OHLE]:[TRACK_TYPE_MTRO]]))&gt;0</f>
        <v>1</v>
      </c>
      <c r="AN695">
        <v>8</v>
      </c>
      <c r="AO695" t="s">
        <v>606</v>
      </c>
      <c r="AP695">
        <v>0</v>
      </c>
      <c r="AQ695" t="s">
        <v>35</v>
      </c>
      <c r="AR695">
        <v>65</v>
      </c>
      <c r="AS695">
        <v>2000</v>
      </c>
      <c r="AT695">
        <v>8</v>
      </c>
      <c r="AU695" s="2" t="s">
        <v>33</v>
      </c>
      <c r="AV695" t="b">
        <v>1</v>
      </c>
      <c r="AX695" s="2" t="b">
        <v>1</v>
      </c>
      <c r="AY695" t="s">
        <v>21</v>
      </c>
      <c r="AZ695">
        <v>0</v>
      </c>
      <c r="BA695">
        <v>0</v>
      </c>
      <c r="BB695" t="s">
        <v>710</v>
      </c>
      <c r="BC695">
        <v>120</v>
      </c>
      <c r="BD695" s="2">
        <v>0.3</v>
      </c>
      <c r="BE695" t="s">
        <v>932</v>
      </c>
      <c r="BF695" t="s">
        <v>921</v>
      </c>
      <c r="BG695" t="s">
        <v>939</v>
      </c>
      <c r="BH695" s="7">
        <v>25</v>
      </c>
      <c r="BI69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695">
        <v>0</v>
      </c>
      <c r="BK695" t="s">
        <v>733</v>
      </c>
      <c r="BL695" s="11"/>
      <c r="BM695" s="11"/>
      <c r="BN695" s="11">
        <v>26</v>
      </c>
      <c r="BO695">
        <v>0</v>
      </c>
      <c r="BP695" t="s">
        <v>691</v>
      </c>
      <c r="BQ695" t="s">
        <v>693</v>
      </c>
      <c r="BR695" t="s">
        <v>700</v>
      </c>
      <c r="BS695" t="s">
        <v>704</v>
      </c>
      <c r="BT695" t="s">
        <v>705</v>
      </c>
      <c r="BU695" t="s">
        <v>706</v>
      </c>
      <c r="CT695"/>
      <c r="CU695"/>
      <c r="CV695"/>
    </row>
    <row r="696" spans="1:100" x14ac:dyDescent="0.4">
      <c r="A696" s="2" t="s">
        <v>881</v>
      </c>
      <c r="B696" t="str">
        <f>_xlfn.TEXTAFTER(Table1[[#This Row],[VEHIDCODE]],"_")</f>
        <v>Wagon_Gen5_Hopper_Type2</v>
      </c>
      <c r="C696" t="s">
        <v>751</v>
      </c>
      <c r="D696" t="s">
        <v>972</v>
      </c>
      <c r="E696">
        <v>12044</v>
      </c>
      <c r="F696" t="b">
        <f>OR(ISNUMBER(SEARCH("wagon_",Table1[[#This Row],[FILENAMES_EXPECTED]])),ISNUMBER(SEARCH("coach_",Table1[[#This Row],[FILENAMES_EXPECTED]])))</f>
        <v>1</v>
      </c>
      <c r="G696" t="str">
        <f>"item_"&amp;Table1[[#This Row],[VEHIDCODE]]</f>
        <v>item_mu_Wagon_Gen5_Hopper_Type2</v>
      </c>
      <c r="H696" t="str">
        <f>"str_"&amp;Table1[[#This Row],[VEHIDCODE]]</f>
        <v>str_mu_Wagon_Gen5_Hopper_Type2</v>
      </c>
      <c r="Q696" s="2" t="b">
        <v>1</v>
      </c>
      <c r="Z696" s="2" t="b">
        <v>1</v>
      </c>
      <c r="AI696" s="2" t="b">
        <v>1</v>
      </c>
      <c r="AL696" s="2"/>
      <c r="AM696" s="2" t="b">
        <f>LEN(_xlfn.CONCAT(Table1[[#This Row],[TRACK_TYPE_STANDARD_GAUGE_RAILTYPE_OHLE]:[TRACK_TYPE_MTRO]]))&gt;0</f>
        <v>1</v>
      </c>
      <c r="AN696">
        <v>8</v>
      </c>
      <c r="AO696" t="s">
        <v>606</v>
      </c>
      <c r="AP696">
        <v>0</v>
      </c>
      <c r="AQ696" t="s">
        <v>35</v>
      </c>
      <c r="AR696">
        <v>65</v>
      </c>
      <c r="AS696">
        <v>2000</v>
      </c>
      <c r="AT696">
        <v>8</v>
      </c>
      <c r="AU696" s="2" t="s">
        <v>33</v>
      </c>
      <c r="AV696" t="b">
        <v>1</v>
      </c>
      <c r="AX696" s="2" t="b">
        <v>1</v>
      </c>
      <c r="AY696" t="s">
        <v>21</v>
      </c>
      <c r="AZ696">
        <v>0</v>
      </c>
      <c r="BA696">
        <v>0</v>
      </c>
      <c r="BB696" t="s">
        <v>710</v>
      </c>
      <c r="BC696">
        <v>120</v>
      </c>
      <c r="BD696" s="2">
        <v>0.3</v>
      </c>
      <c r="BE696" t="s">
        <v>935</v>
      </c>
      <c r="BF696" t="s">
        <v>921</v>
      </c>
      <c r="BG696" t="s">
        <v>939</v>
      </c>
      <c r="BH696" s="7">
        <v>25</v>
      </c>
      <c r="BI69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696">
        <v>0</v>
      </c>
      <c r="BK696" t="s">
        <v>733</v>
      </c>
      <c r="BL696" s="11"/>
      <c r="BM696" s="11"/>
      <c r="BN696" s="11">
        <v>26</v>
      </c>
      <c r="BO696">
        <v>0</v>
      </c>
      <c r="BP696" t="s">
        <v>691</v>
      </c>
      <c r="BQ696" t="s">
        <v>693</v>
      </c>
      <c r="BR696" t="s">
        <v>700</v>
      </c>
      <c r="BS696" t="s">
        <v>704</v>
      </c>
      <c r="BT696" t="s">
        <v>705</v>
      </c>
      <c r="BU696" t="s">
        <v>706</v>
      </c>
      <c r="CT696"/>
      <c r="CU696"/>
      <c r="CV696"/>
    </row>
    <row r="697" spans="1:100" x14ac:dyDescent="0.4">
      <c r="A697" s="2" t="s">
        <v>882</v>
      </c>
      <c r="B697" t="str">
        <f>_xlfn.TEXTAFTER(Table1[[#This Row],[VEHIDCODE]],"_")</f>
        <v>Wagon_Gen5_Car_Transporter</v>
      </c>
      <c r="C697" t="s">
        <v>751</v>
      </c>
      <c r="D697" t="s">
        <v>972</v>
      </c>
      <c r="E697">
        <v>12033</v>
      </c>
      <c r="F697" t="b">
        <f>OR(ISNUMBER(SEARCH("wagon_",Table1[[#This Row],[FILENAMES_EXPECTED]])),ISNUMBER(SEARCH("coach_",Table1[[#This Row],[FILENAMES_EXPECTED]])))</f>
        <v>1</v>
      </c>
      <c r="G697" t="str">
        <f>"item_"&amp;Table1[[#This Row],[VEHIDCODE]]</f>
        <v>item_mu_Wagon_Gen5_Car_Transporter</v>
      </c>
      <c r="H697" t="str">
        <f>"str_"&amp;Table1[[#This Row],[VEHIDCODE]]</f>
        <v>str_mu_Wagon_Gen5_Car_Transporter</v>
      </c>
      <c r="Q697" s="2" t="b">
        <v>1</v>
      </c>
      <c r="Z697" s="2" t="b">
        <v>1</v>
      </c>
      <c r="AI697" s="2" t="b">
        <v>1</v>
      </c>
      <c r="AL697" s="2"/>
      <c r="AM697" s="2" t="b">
        <f>LEN(_xlfn.CONCAT(Table1[[#This Row],[TRACK_TYPE_STANDARD_GAUGE_RAILTYPE_OHLE]:[TRACK_TYPE_MTRO]]))&gt;0</f>
        <v>1</v>
      </c>
      <c r="AN697">
        <v>8</v>
      </c>
      <c r="AO697" t="s">
        <v>600</v>
      </c>
      <c r="AP697">
        <v>0</v>
      </c>
      <c r="AQ697" t="s">
        <v>35</v>
      </c>
      <c r="AR697">
        <v>16</v>
      </c>
      <c r="AS697">
        <v>2000</v>
      </c>
      <c r="AT697">
        <v>8</v>
      </c>
      <c r="AU697" s="2" t="s">
        <v>33</v>
      </c>
      <c r="AV697" t="b">
        <v>1</v>
      </c>
      <c r="AX697" s="2" t="b">
        <v>1</v>
      </c>
      <c r="AY697" t="s">
        <v>21</v>
      </c>
      <c r="AZ697">
        <v>0</v>
      </c>
      <c r="BA697">
        <v>0</v>
      </c>
      <c r="BB697" t="s">
        <v>710</v>
      </c>
      <c r="BC697">
        <v>160</v>
      </c>
      <c r="BD697" s="2">
        <v>0.3</v>
      </c>
      <c r="BE697" t="s">
        <v>935</v>
      </c>
      <c r="BF697" t="s">
        <v>921</v>
      </c>
      <c r="BG697" t="s">
        <v>939</v>
      </c>
      <c r="BH697" s="7">
        <v>25</v>
      </c>
      <c r="BI69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697">
        <v>0</v>
      </c>
      <c r="BK697" t="s">
        <v>733</v>
      </c>
      <c r="BL697" s="11"/>
      <c r="BM697" s="11"/>
      <c r="BN697" s="11">
        <v>28</v>
      </c>
      <c r="BO697">
        <v>0</v>
      </c>
      <c r="BP697" t="s">
        <v>691</v>
      </c>
      <c r="BQ697" t="s">
        <v>693</v>
      </c>
      <c r="BR697" t="s">
        <v>700</v>
      </c>
      <c r="BS697" t="s">
        <v>704</v>
      </c>
      <c r="BT697" t="s">
        <v>705</v>
      </c>
      <c r="BU697" t="s">
        <v>706</v>
      </c>
      <c r="CT697"/>
      <c r="CU697"/>
      <c r="CV697"/>
    </row>
    <row r="698" spans="1:100" x14ac:dyDescent="0.4">
      <c r="A698" s="2" t="s">
        <v>883</v>
      </c>
      <c r="B698" t="str">
        <f>_xlfn.TEXTAFTER(Table1[[#This Row],[VEHIDCODE]],"_")</f>
        <v>Wagon_Gen5_Container_Carrier</v>
      </c>
      <c r="C698" t="s">
        <v>751</v>
      </c>
      <c r="D698" t="s">
        <v>972</v>
      </c>
      <c r="E698">
        <v>12034</v>
      </c>
      <c r="F698" t="b">
        <f>OR(ISNUMBER(SEARCH("wagon_",Table1[[#This Row],[FILENAMES_EXPECTED]])),ISNUMBER(SEARCH("coach_",Table1[[#This Row],[FILENAMES_EXPECTED]])))</f>
        <v>1</v>
      </c>
      <c r="G698" t="str">
        <f>"item_"&amp;Table1[[#This Row],[VEHIDCODE]]</f>
        <v>item_mu_Wagon_Gen5_Container_Carrier</v>
      </c>
      <c r="H698" t="str">
        <f>"str_"&amp;Table1[[#This Row],[VEHIDCODE]]</f>
        <v>str_mu_Wagon_Gen5_Container_Carrier</v>
      </c>
      <c r="Q698" s="2" t="b">
        <v>1</v>
      </c>
      <c r="Z698" s="2" t="b">
        <v>1</v>
      </c>
      <c r="AI698" s="2" t="b">
        <v>1</v>
      </c>
      <c r="AL698" s="2"/>
      <c r="AM698" s="2" t="b">
        <f>LEN(_xlfn.CONCAT(Table1[[#This Row],[TRACK_TYPE_STANDARD_GAUGE_RAILTYPE_OHLE]:[TRACK_TYPE_MTRO]]))&gt;0</f>
        <v>1</v>
      </c>
      <c r="AN698">
        <v>8</v>
      </c>
      <c r="AO698" t="s">
        <v>532</v>
      </c>
      <c r="AP698">
        <v>0</v>
      </c>
      <c r="AQ698" t="s">
        <v>35</v>
      </c>
      <c r="AR698">
        <v>50</v>
      </c>
      <c r="AS698">
        <v>1990</v>
      </c>
      <c r="AT698">
        <v>8</v>
      </c>
      <c r="AU698" s="2" t="s">
        <v>33</v>
      </c>
      <c r="AV698" t="b">
        <v>1</v>
      </c>
      <c r="AX698" s="2" t="b">
        <v>1</v>
      </c>
      <c r="AY698" t="s">
        <v>21</v>
      </c>
      <c r="AZ698">
        <v>0</v>
      </c>
      <c r="BA698">
        <v>0</v>
      </c>
      <c r="BB698" t="s">
        <v>710</v>
      </c>
      <c r="BC698">
        <v>160</v>
      </c>
      <c r="BD698" s="2">
        <v>0.3</v>
      </c>
      <c r="BE698" t="s">
        <v>935</v>
      </c>
      <c r="BF698" t="s">
        <v>921</v>
      </c>
      <c r="BG698" t="s">
        <v>939</v>
      </c>
      <c r="BH698" s="7">
        <v>25</v>
      </c>
      <c r="BI69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698">
        <v>0</v>
      </c>
      <c r="BK698" t="s">
        <v>733</v>
      </c>
      <c r="BL698" s="11"/>
      <c r="BM698" s="11"/>
      <c r="BN698" s="11">
        <v>22</v>
      </c>
      <c r="BO698">
        <v>0</v>
      </c>
      <c r="BP698" t="s">
        <v>691</v>
      </c>
      <c r="BQ698" t="s">
        <v>693</v>
      </c>
      <c r="BR698" t="s">
        <v>700</v>
      </c>
      <c r="BS698" t="s">
        <v>704</v>
      </c>
      <c r="BT698" t="s">
        <v>705</v>
      </c>
      <c r="BU698" t="s">
        <v>706</v>
      </c>
      <c r="CT698"/>
      <c r="CU698"/>
      <c r="CV698"/>
    </row>
    <row r="699" spans="1:100" x14ac:dyDescent="0.4">
      <c r="A699" s="2" t="s">
        <v>884</v>
      </c>
      <c r="B699" t="str">
        <f>_xlfn.TEXTAFTER(Table1[[#This Row],[VEHIDCODE]],"_")</f>
        <v>Wagon_Gen5_Centerbeam</v>
      </c>
      <c r="C699" t="s">
        <v>751</v>
      </c>
      <c r="D699" t="s">
        <v>972</v>
      </c>
      <c r="E699">
        <v>12035</v>
      </c>
      <c r="F699" t="b">
        <f>OR(ISNUMBER(SEARCH("wagon_",Table1[[#This Row],[FILENAMES_EXPECTED]])),ISNUMBER(SEARCH("coach_",Table1[[#This Row],[FILENAMES_EXPECTED]])))</f>
        <v>1</v>
      </c>
      <c r="G699" t="str">
        <f>"item_"&amp;Table1[[#This Row],[VEHIDCODE]]</f>
        <v>item_mu_Wagon_Gen5_Centerbeam</v>
      </c>
      <c r="H699" t="str">
        <f>"str_"&amp;Table1[[#This Row],[VEHIDCODE]]</f>
        <v>str_mu_Wagon_Gen5_Centerbeam</v>
      </c>
      <c r="Q699" s="2" t="b">
        <v>1</v>
      </c>
      <c r="Z699" s="2" t="b">
        <v>1</v>
      </c>
      <c r="AI699" s="2" t="b">
        <v>1</v>
      </c>
      <c r="AL699" s="2"/>
      <c r="AM699" s="2" t="b">
        <f>LEN(_xlfn.CONCAT(Table1[[#This Row],[TRACK_TYPE_STANDARD_GAUGE_RAILTYPE_OHLE]:[TRACK_TYPE_MTRO]]))&gt;0</f>
        <v>1</v>
      </c>
      <c r="AN699">
        <v>8</v>
      </c>
      <c r="AO699" t="s">
        <v>601</v>
      </c>
      <c r="AP699">
        <v>0</v>
      </c>
      <c r="AQ699" t="s">
        <v>35</v>
      </c>
      <c r="AR699">
        <v>55</v>
      </c>
      <c r="AS699">
        <v>1990</v>
      </c>
      <c r="AT699">
        <v>8</v>
      </c>
      <c r="AU699" s="2" t="s">
        <v>33</v>
      </c>
      <c r="AV699" t="b">
        <v>1</v>
      </c>
      <c r="AX699" s="2" t="b">
        <v>1</v>
      </c>
      <c r="AY699" t="s">
        <v>21</v>
      </c>
      <c r="AZ699">
        <v>0</v>
      </c>
      <c r="BA699">
        <v>0</v>
      </c>
      <c r="BB699" t="s">
        <v>710</v>
      </c>
      <c r="BC699">
        <v>120</v>
      </c>
      <c r="BD699" s="2">
        <v>0.3</v>
      </c>
      <c r="BE699" t="s">
        <v>935</v>
      </c>
      <c r="BF699" t="s">
        <v>921</v>
      </c>
      <c r="BG699" t="s">
        <v>939</v>
      </c>
      <c r="BH699" s="7">
        <v>25</v>
      </c>
      <c r="BI69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699">
        <v>0</v>
      </c>
      <c r="BK699" t="s">
        <v>733</v>
      </c>
      <c r="BL699" s="11"/>
      <c r="BM699" s="11"/>
      <c r="BN699" s="11">
        <v>40</v>
      </c>
      <c r="BO699">
        <v>0</v>
      </c>
      <c r="BP699" t="s">
        <v>691</v>
      </c>
      <c r="BQ699" t="s">
        <v>693</v>
      </c>
      <c r="BR699" t="s">
        <v>700</v>
      </c>
      <c r="BS699" t="s">
        <v>704</v>
      </c>
      <c r="BT699" t="s">
        <v>705</v>
      </c>
      <c r="BU699" t="s">
        <v>706</v>
      </c>
      <c r="CT699"/>
      <c r="CU699"/>
      <c r="CV699"/>
    </row>
    <row r="700" spans="1:100" x14ac:dyDescent="0.4">
      <c r="A700" s="2" t="s">
        <v>885</v>
      </c>
      <c r="B700" t="str">
        <f>_xlfn.TEXTAFTER(Table1[[#This Row],[VEHIDCODE]],"_")</f>
        <v>Wagon_Gen5_Container_Doublestack</v>
      </c>
      <c r="C700" t="s">
        <v>751</v>
      </c>
      <c r="D700" t="s">
        <v>972</v>
      </c>
      <c r="E700">
        <v>12036</v>
      </c>
      <c r="F700" t="b">
        <f>OR(ISNUMBER(SEARCH("wagon_",Table1[[#This Row],[FILENAMES_EXPECTED]])),ISNUMBER(SEARCH("coach_",Table1[[#This Row],[FILENAMES_EXPECTED]])))</f>
        <v>1</v>
      </c>
      <c r="G700" t="str">
        <f>"item_"&amp;Table1[[#This Row],[VEHIDCODE]]</f>
        <v>item_mu_Wagon_Gen5_Container_Doublestack</v>
      </c>
      <c r="H700" t="str">
        <f>"str_"&amp;Table1[[#This Row],[VEHIDCODE]]</f>
        <v>str_mu_Wagon_Gen5_Container_Doublestack</v>
      </c>
      <c r="Q700" s="2" t="b">
        <v>1</v>
      </c>
      <c r="Z700" s="2" t="b">
        <v>1</v>
      </c>
      <c r="AI700" s="2" t="b">
        <v>1</v>
      </c>
      <c r="AL700" s="2"/>
      <c r="AM700" s="2" t="b">
        <f>LEN(_xlfn.CONCAT(Table1[[#This Row],[TRACK_TYPE_STANDARD_GAUGE_RAILTYPE_OHLE]:[TRACK_TYPE_MTRO]]))&gt;0</f>
        <v>1</v>
      </c>
      <c r="AN700">
        <v>8</v>
      </c>
      <c r="AO700" t="s">
        <v>602</v>
      </c>
      <c r="AP700">
        <v>0</v>
      </c>
      <c r="AQ700" t="s">
        <v>35</v>
      </c>
      <c r="AR700">
        <v>65</v>
      </c>
      <c r="AS700">
        <v>1980</v>
      </c>
      <c r="AT700">
        <v>8</v>
      </c>
      <c r="AU700" s="2" t="s">
        <v>33</v>
      </c>
      <c r="AV700" t="b">
        <v>1</v>
      </c>
      <c r="AX700" s="2" t="b">
        <v>1</v>
      </c>
      <c r="AY700" t="s">
        <v>21</v>
      </c>
      <c r="AZ700">
        <v>0</v>
      </c>
      <c r="BA700">
        <v>0</v>
      </c>
      <c r="BB700" t="s">
        <v>710</v>
      </c>
      <c r="BC700">
        <v>120</v>
      </c>
      <c r="BD700" s="2">
        <v>0.3</v>
      </c>
      <c r="BE700" t="s">
        <v>935</v>
      </c>
      <c r="BF700" t="s">
        <v>921</v>
      </c>
      <c r="BG700" t="s">
        <v>939</v>
      </c>
      <c r="BH700" s="7">
        <v>25</v>
      </c>
      <c r="BI70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00">
        <v>0</v>
      </c>
      <c r="BK700" t="s">
        <v>733</v>
      </c>
      <c r="BL700" s="11"/>
      <c r="BM700" s="11"/>
      <c r="BN700" s="11">
        <v>25</v>
      </c>
      <c r="BO700">
        <v>0</v>
      </c>
      <c r="BP700" t="s">
        <v>691</v>
      </c>
      <c r="BQ700" t="s">
        <v>693</v>
      </c>
      <c r="BR700" t="s">
        <v>700</v>
      </c>
      <c r="BS700" t="s">
        <v>704</v>
      </c>
      <c r="BT700" t="s">
        <v>705</v>
      </c>
      <c r="BU700" t="s">
        <v>706</v>
      </c>
      <c r="CT700"/>
      <c r="CU700"/>
      <c r="CV700"/>
    </row>
    <row r="701" spans="1:100" x14ac:dyDescent="0.4">
      <c r="A701" s="2" t="s">
        <v>886</v>
      </c>
      <c r="B701" t="str">
        <f>_xlfn.TEXTAFTER(Table1[[#This Row],[VEHIDCODE]],"_")</f>
        <v>Wagon_Gen5_Superheavy_Flatcar</v>
      </c>
      <c r="C701" t="s">
        <v>751</v>
      </c>
      <c r="D701" t="s">
        <v>972</v>
      </c>
      <c r="E701">
        <v>12037</v>
      </c>
      <c r="F701" t="b">
        <f>OR(ISNUMBER(SEARCH("wagon_",Table1[[#This Row],[FILENAMES_EXPECTED]])),ISNUMBER(SEARCH("coach_",Table1[[#This Row],[FILENAMES_EXPECTED]])))</f>
        <v>1</v>
      </c>
      <c r="G701" t="str">
        <f>"item_"&amp;Table1[[#This Row],[VEHIDCODE]]</f>
        <v>item_mu_Wagon_Gen5_Superheavy_Flatcar</v>
      </c>
      <c r="H701" t="str">
        <f>"str_"&amp;Table1[[#This Row],[VEHIDCODE]]</f>
        <v>str_mu_Wagon_Gen5_Superheavy_Flatcar</v>
      </c>
      <c r="Q701" s="2" t="b">
        <v>1</v>
      </c>
      <c r="Z701" s="2" t="b">
        <v>1</v>
      </c>
      <c r="AI701" s="2" t="b">
        <v>1</v>
      </c>
      <c r="AL701" s="2"/>
      <c r="AM701" s="2" t="b">
        <f>LEN(_xlfn.CONCAT(Table1[[#This Row],[TRACK_TYPE_STANDARD_GAUGE_RAILTYPE_OHLE]:[TRACK_TYPE_MTRO]]))&gt;0</f>
        <v>1</v>
      </c>
      <c r="AN701">
        <v>12</v>
      </c>
      <c r="AO701" t="s">
        <v>608</v>
      </c>
      <c r="AP701">
        <v>0</v>
      </c>
      <c r="AQ701" t="s">
        <v>35</v>
      </c>
      <c r="AR701">
        <v>50</v>
      </c>
      <c r="AS701">
        <v>1990</v>
      </c>
      <c r="AT701">
        <v>4</v>
      </c>
      <c r="AU701" s="2" t="s">
        <v>33</v>
      </c>
      <c r="AV701" t="b">
        <v>1</v>
      </c>
      <c r="AX701" s="2" t="b">
        <v>1</v>
      </c>
      <c r="AY701" t="s">
        <v>21</v>
      </c>
      <c r="AZ701">
        <v>0</v>
      </c>
      <c r="BA701">
        <v>0</v>
      </c>
      <c r="BB701" t="s">
        <v>710</v>
      </c>
      <c r="BC701">
        <v>100</v>
      </c>
      <c r="BD701" s="2">
        <v>0.3</v>
      </c>
      <c r="BE701" t="s">
        <v>935</v>
      </c>
      <c r="BF701" t="s">
        <v>921</v>
      </c>
      <c r="BG701" t="s">
        <v>939</v>
      </c>
      <c r="BH701" s="7">
        <v>25</v>
      </c>
      <c r="BI70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01">
        <v>0</v>
      </c>
      <c r="BK701" t="s">
        <v>733</v>
      </c>
      <c r="BL701" s="11"/>
      <c r="BM701" s="11"/>
      <c r="BN701" s="11">
        <v>50</v>
      </c>
      <c r="BO701">
        <v>0</v>
      </c>
      <c r="BP701" t="s">
        <v>691</v>
      </c>
      <c r="BQ701" t="s">
        <v>693</v>
      </c>
      <c r="BR701" t="s">
        <v>700</v>
      </c>
      <c r="BS701" t="s">
        <v>704</v>
      </c>
      <c r="BT701" t="s">
        <v>705</v>
      </c>
      <c r="BU701" t="s">
        <v>706</v>
      </c>
      <c r="CT701"/>
      <c r="CU701"/>
      <c r="CV701"/>
    </row>
    <row r="702" spans="1:100" x14ac:dyDescent="0.4">
      <c r="A702" s="2" t="s">
        <v>887</v>
      </c>
      <c r="B702" t="str">
        <f>_xlfn.TEXTAFTER(Table1[[#This Row],[VEHIDCODE]],"_")</f>
        <v>Wagon_Gen6_Flatcar</v>
      </c>
      <c r="C702" t="s">
        <v>752</v>
      </c>
      <c r="D702" t="s">
        <v>972</v>
      </c>
      <c r="E702">
        <v>12049</v>
      </c>
      <c r="F702" t="b">
        <f>OR(ISNUMBER(SEARCH("wagon_",Table1[[#This Row],[FILENAMES_EXPECTED]])),ISNUMBER(SEARCH("coach_",Table1[[#This Row],[FILENAMES_EXPECTED]])))</f>
        <v>1</v>
      </c>
      <c r="G702" t="str">
        <f>"item_"&amp;Table1[[#This Row],[VEHIDCODE]]</f>
        <v>item_mu_Wagon_Gen6_Flatcar</v>
      </c>
      <c r="H702" t="str">
        <f>"str_"&amp;Table1[[#This Row],[VEHIDCODE]]</f>
        <v>str_mu_Wagon_Gen6_Flatcar</v>
      </c>
      <c r="Q702" s="2" t="b">
        <v>1</v>
      </c>
      <c r="Z702" s="2" t="b">
        <v>1</v>
      </c>
      <c r="AI702" s="2" t="b">
        <v>1</v>
      </c>
      <c r="AL702" s="2"/>
      <c r="AM702" s="2" t="b">
        <f>LEN(_xlfn.CONCAT(Table1[[#This Row],[TRACK_TYPE_STANDARD_GAUGE_RAILTYPE_OHLE]:[TRACK_TYPE_MTRO]]))&gt;0</f>
        <v>1</v>
      </c>
      <c r="AN702">
        <v>8</v>
      </c>
      <c r="AO702" t="s">
        <v>603</v>
      </c>
      <c r="AP702">
        <v>0</v>
      </c>
      <c r="AQ702" t="s">
        <v>35</v>
      </c>
      <c r="AR702">
        <v>72</v>
      </c>
      <c r="AS702">
        <v>2010</v>
      </c>
      <c r="AT702">
        <v>8</v>
      </c>
      <c r="AU702" s="2" t="s">
        <v>33</v>
      </c>
      <c r="AV702" t="b">
        <v>1</v>
      </c>
      <c r="AX702" s="2" t="b">
        <v>1</v>
      </c>
      <c r="AY702" t="s">
        <v>21</v>
      </c>
      <c r="AZ702">
        <v>0</v>
      </c>
      <c r="BA702">
        <v>0</v>
      </c>
      <c r="BB702" t="s">
        <v>710</v>
      </c>
      <c r="BC702">
        <v>160</v>
      </c>
      <c r="BD702" s="2">
        <v>0.3</v>
      </c>
      <c r="BE702" t="s">
        <v>935</v>
      </c>
      <c r="BF702" t="s">
        <v>921</v>
      </c>
      <c r="BG702" t="s">
        <v>939</v>
      </c>
      <c r="BH702" s="7">
        <v>25</v>
      </c>
      <c r="BI70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02">
        <v>0</v>
      </c>
      <c r="BK702" t="s">
        <v>733</v>
      </c>
      <c r="BL702" s="11"/>
      <c r="BM702" s="11"/>
      <c r="BN702" s="11">
        <v>23</v>
      </c>
      <c r="BO702">
        <v>0</v>
      </c>
      <c r="BP702" t="s">
        <v>691</v>
      </c>
      <c r="BQ702" t="s">
        <v>693</v>
      </c>
      <c r="BR702" t="s">
        <v>700</v>
      </c>
      <c r="BS702" t="s">
        <v>704</v>
      </c>
      <c r="BT702" t="s">
        <v>705</v>
      </c>
      <c r="BU702" t="s">
        <v>706</v>
      </c>
      <c r="CT702"/>
      <c r="CU702"/>
      <c r="CV702"/>
    </row>
    <row r="703" spans="1:100" x14ac:dyDescent="0.4">
      <c r="A703" s="2" t="s">
        <v>888</v>
      </c>
      <c r="B703" t="str">
        <f>_xlfn.TEXTAFTER(Table1[[#This Row],[VEHIDCODE]],"_")</f>
        <v>Wagon_Gen6_Heavy_Flatcar</v>
      </c>
      <c r="C703" t="s">
        <v>752</v>
      </c>
      <c r="D703" t="s">
        <v>972</v>
      </c>
      <c r="E703">
        <v>12050</v>
      </c>
      <c r="F703" t="b">
        <f>OR(ISNUMBER(SEARCH("wagon_",Table1[[#This Row],[FILENAMES_EXPECTED]])),ISNUMBER(SEARCH("coach_",Table1[[#This Row],[FILENAMES_EXPECTED]])))</f>
        <v>1</v>
      </c>
      <c r="G703" t="str">
        <f>"item_"&amp;Table1[[#This Row],[VEHIDCODE]]</f>
        <v>item_mu_Wagon_Gen6_Heavy_Flatcar</v>
      </c>
      <c r="H703" t="str">
        <f>"str_"&amp;Table1[[#This Row],[VEHIDCODE]]</f>
        <v>str_mu_Wagon_Gen6_Heavy_Flatcar</v>
      </c>
      <c r="Q703" s="2" t="b">
        <v>1</v>
      </c>
      <c r="Z703" s="2" t="b">
        <v>1</v>
      </c>
      <c r="AI703" s="2" t="b">
        <v>1</v>
      </c>
      <c r="AL703" s="2"/>
      <c r="AM703" s="2" t="b">
        <f>LEN(_xlfn.CONCAT(Table1[[#This Row],[TRACK_TYPE_STANDARD_GAUGE_RAILTYPE_OHLE]:[TRACK_TYPE_MTRO]]))&gt;0</f>
        <v>1</v>
      </c>
      <c r="AN703">
        <v>8</v>
      </c>
      <c r="AO703" t="s">
        <v>605</v>
      </c>
      <c r="AP703">
        <v>0</v>
      </c>
      <c r="AQ703" t="s">
        <v>35</v>
      </c>
      <c r="AR703">
        <v>96</v>
      </c>
      <c r="AS703">
        <v>2020</v>
      </c>
      <c r="AT703">
        <v>8</v>
      </c>
      <c r="AU703" s="2" t="s">
        <v>33</v>
      </c>
      <c r="AV703" t="b">
        <v>1</v>
      </c>
      <c r="AX703" s="2" t="b">
        <v>1</v>
      </c>
      <c r="AY703" t="s">
        <v>21</v>
      </c>
      <c r="AZ703">
        <v>0</v>
      </c>
      <c r="BA703">
        <v>0</v>
      </c>
      <c r="BB703" t="s">
        <v>710</v>
      </c>
      <c r="BC703">
        <v>140</v>
      </c>
      <c r="BD703" s="2">
        <v>0.3</v>
      </c>
      <c r="BE703" t="s">
        <v>935</v>
      </c>
      <c r="BF703" t="s">
        <v>921</v>
      </c>
      <c r="BG703" t="s">
        <v>939</v>
      </c>
      <c r="BH703" s="7">
        <v>25</v>
      </c>
      <c r="BI70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03">
        <v>0</v>
      </c>
      <c r="BK703" t="s">
        <v>733</v>
      </c>
      <c r="BL703" s="11"/>
      <c r="BM703" s="11"/>
      <c r="BN703" s="11">
        <v>42</v>
      </c>
      <c r="BO703">
        <v>0</v>
      </c>
      <c r="BP703" t="s">
        <v>691</v>
      </c>
      <c r="BQ703" t="s">
        <v>693</v>
      </c>
      <c r="BR703" t="s">
        <v>700</v>
      </c>
      <c r="BS703" t="s">
        <v>704</v>
      </c>
      <c r="BT703" t="s">
        <v>705</v>
      </c>
      <c r="BU703" t="s">
        <v>706</v>
      </c>
      <c r="CT703"/>
      <c r="CU703"/>
      <c r="CV703"/>
    </row>
    <row r="704" spans="1:100" x14ac:dyDescent="0.4">
      <c r="A704" s="2" t="s">
        <v>889</v>
      </c>
      <c r="B704" t="str">
        <f>_xlfn.TEXTAFTER(Table1[[#This Row],[VEHIDCODE]],"_")</f>
        <v>Wagon_Gen6_Boxcar_Type1</v>
      </c>
      <c r="C704" t="s">
        <v>752</v>
      </c>
      <c r="D704" t="s">
        <v>972</v>
      </c>
      <c r="E704">
        <v>12051</v>
      </c>
      <c r="F704" t="b">
        <f>OR(ISNUMBER(SEARCH("wagon_",Table1[[#This Row],[FILENAMES_EXPECTED]])),ISNUMBER(SEARCH("coach_",Table1[[#This Row],[FILENAMES_EXPECTED]])))</f>
        <v>1</v>
      </c>
      <c r="G704" t="str">
        <f>"item_"&amp;Table1[[#This Row],[VEHIDCODE]]</f>
        <v>item_mu_Wagon_Gen6_Boxcar_Type1</v>
      </c>
      <c r="H704" t="str">
        <f>"str_"&amp;Table1[[#This Row],[VEHIDCODE]]</f>
        <v>str_mu_Wagon_Gen6_Boxcar_Type1</v>
      </c>
      <c r="Q704" s="2" t="b">
        <v>1</v>
      </c>
      <c r="Z704" s="2" t="b">
        <v>1</v>
      </c>
      <c r="AI704" s="2" t="b">
        <v>1</v>
      </c>
      <c r="AL704" s="2"/>
      <c r="AM704" s="2" t="b">
        <f>LEN(_xlfn.CONCAT(Table1[[#This Row],[TRACK_TYPE_STANDARD_GAUGE_RAILTYPE_OHLE]:[TRACK_TYPE_MTRO]]))&gt;0</f>
        <v>1</v>
      </c>
      <c r="AN704">
        <v>8</v>
      </c>
      <c r="AO704" t="s">
        <v>599</v>
      </c>
      <c r="AP704">
        <v>0</v>
      </c>
      <c r="AQ704" t="s">
        <v>35</v>
      </c>
      <c r="AR704">
        <v>74</v>
      </c>
      <c r="AS704">
        <v>2010</v>
      </c>
      <c r="AT704">
        <v>8</v>
      </c>
      <c r="AU704" s="2" t="s">
        <v>33</v>
      </c>
      <c r="AV704" t="b">
        <v>1</v>
      </c>
      <c r="AX704" s="2" t="b">
        <v>1</v>
      </c>
      <c r="AY704" t="s">
        <v>21</v>
      </c>
      <c r="AZ704">
        <v>0</v>
      </c>
      <c r="BA704">
        <v>0</v>
      </c>
      <c r="BB704" t="s">
        <v>710</v>
      </c>
      <c r="BC704">
        <v>160</v>
      </c>
      <c r="BD704" s="2">
        <v>0.3</v>
      </c>
      <c r="BE704" t="s">
        <v>932</v>
      </c>
      <c r="BF704" t="s">
        <v>921</v>
      </c>
      <c r="BG704" t="s">
        <v>939</v>
      </c>
      <c r="BH704" s="7">
        <v>25</v>
      </c>
      <c r="BI70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04">
        <v>0</v>
      </c>
      <c r="BK704" t="s">
        <v>733</v>
      </c>
      <c r="BL704" s="11"/>
      <c r="BM704" s="11"/>
      <c r="BN704" s="11">
        <v>27</v>
      </c>
      <c r="BO704">
        <v>0</v>
      </c>
      <c r="BP704" t="s">
        <v>691</v>
      </c>
      <c r="BQ704" t="s">
        <v>693</v>
      </c>
      <c r="BR704" t="s">
        <v>700</v>
      </c>
      <c r="BS704" t="s">
        <v>704</v>
      </c>
      <c r="BT704" t="s">
        <v>705</v>
      </c>
      <c r="BU704" t="s">
        <v>706</v>
      </c>
      <c r="CT704"/>
      <c r="CU704"/>
      <c r="CV704"/>
    </row>
    <row r="705" spans="1:100" x14ac:dyDescent="0.4">
      <c r="A705" s="2" t="s">
        <v>890</v>
      </c>
      <c r="B705" t="str">
        <f>_xlfn.TEXTAFTER(Table1[[#This Row],[VEHIDCODE]],"_")</f>
        <v>Wagon_Gen6_Boxcar_Type2</v>
      </c>
      <c r="C705" t="s">
        <v>752</v>
      </c>
      <c r="D705" t="s">
        <v>972</v>
      </c>
      <c r="E705">
        <v>12061</v>
      </c>
      <c r="F705" t="b">
        <f>OR(ISNUMBER(SEARCH("wagon_",Table1[[#This Row],[FILENAMES_EXPECTED]])),ISNUMBER(SEARCH("coach_",Table1[[#This Row],[FILENAMES_EXPECTED]])))</f>
        <v>1</v>
      </c>
      <c r="G705" t="str">
        <f>"item_"&amp;Table1[[#This Row],[VEHIDCODE]]</f>
        <v>item_mu_Wagon_Gen6_Boxcar_Type2</v>
      </c>
      <c r="H705" t="str">
        <f>"str_"&amp;Table1[[#This Row],[VEHIDCODE]]</f>
        <v>str_mu_Wagon_Gen6_Boxcar_Type2</v>
      </c>
      <c r="Q705" s="2" t="b">
        <v>1</v>
      </c>
      <c r="Z705" s="2" t="b">
        <v>1</v>
      </c>
      <c r="AI705" s="2" t="b">
        <v>1</v>
      </c>
      <c r="AL705" s="2"/>
      <c r="AM705" s="2" t="b">
        <f>LEN(_xlfn.CONCAT(Table1[[#This Row],[TRACK_TYPE_STANDARD_GAUGE_RAILTYPE_OHLE]:[TRACK_TYPE_MTRO]]))&gt;0</f>
        <v>1</v>
      </c>
      <c r="AN705">
        <v>8</v>
      </c>
      <c r="AO705" t="s">
        <v>599</v>
      </c>
      <c r="AP705">
        <v>0</v>
      </c>
      <c r="AQ705" t="s">
        <v>35</v>
      </c>
      <c r="AR705">
        <v>74</v>
      </c>
      <c r="AS705">
        <v>2010</v>
      </c>
      <c r="AT705">
        <v>8</v>
      </c>
      <c r="AU705" s="2" t="s">
        <v>33</v>
      </c>
      <c r="AV705" t="b">
        <v>1</v>
      </c>
      <c r="AX705" s="2" t="b">
        <v>1</v>
      </c>
      <c r="AY705" t="s">
        <v>21</v>
      </c>
      <c r="AZ705">
        <v>0</v>
      </c>
      <c r="BA705">
        <v>0</v>
      </c>
      <c r="BB705" t="s">
        <v>710</v>
      </c>
      <c r="BC705">
        <v>160</v>
      </c>
      <c r="BD705" s="2">
        <v>0.3</v>
      </c>
      <c r="BE705" t="s">
        <v>933</v>
      </c>
      <c r="BF705" t="s">
        <v>921</v>
      </c>
      <c r="BG705" t="s">
        <v>939</v>
      </c>
      <c r="BH705" s="7">
        <v>25</v>
      </c>
      <c r="BI70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05">
        <v>0</v>
      </c>
      <c r="BK705" t="s">
        <v>733</v>
      </c>
      <c r="BL705" s="11"/>
      <c r="BM705" s="11"/>
      <c r="BN705" s="11">
        <v>27</v>
      </c>
      <c r="BO705">
        <v>0</v>
      </c>
      <c r="BP705" t="s">
        <v>691</v>
      </c>
      <c r="BQ705" t="s">
        <v>693</v>
      </c>
      <c r="BR705" t="s">
        <v>700</v>
      </c>
      <c r="BS705" t="s">
        <v>704</v>
      </c>
      <c r="BT705" t="s">
        <v>705</v>
      </c>
      <c r="BU705" t="s">
        <v>706</v>
      </c>
      <c r="CT705"/>
      <c r="CU705"/>
      <c r="CV705"/>
    </row>
    <row r="706" spans="1:100" x14ac:dyDescent="0.4">
      <c r="A706" s="2" t="s">
        <v>891</v>
      </c>
      <c r="B706" t="str">
        <f>_xlfn.TEXTAFTER(Table1[[#This Row],[VEHIDCODE]],"_")</f>
        <v>Wagon_Gen6_Tanker</v>
      </c>
      <c r="C706" t="s">
        <v>752</v>
      </c>
      <c r="D706" t="s">
        <v>972</v>
      </c>
      <c r="E706">
        <v>12052</v>
      </c>
      <c r="F706" t="b">
        <f>OR(ISNUMBER(SEARCH("wagon_",Table1[[#This Row],[FILENAMES_EXPECTED]])),ISNUMBER(SEARCH("coach_",Table1[[#This Row],[FILENAMES_EXPECTED]])))</f>
        <v>1</v>
      </c>
      <c r="G706" t="str">
        <f>"item_"&amp;Table1[[#This Row],[VEHIDCODE]]</f>
        <v>item_mu_Wagon_Gen6_Tanker</v>
      </c>
      <c r="H706" t="str">
        <f>"str_"&amp;Table1[[#This Row],[VEHIDCODE]]</f>
        <v>str_mu_Wagon_Gen6_Tanker</v>
      </c>
      <c r="Q706" s="2" t="b">
        <v>1</v>
      </c>
      <c r="Z706" s="2" t="b">
        <v>1</v>
      </c>
      <c r="AI706" s="2" t="b">
        <v>1</v>
      </c>
      <c r="AL706" s="2"/>
      <c r="AM706" s="2" t="b">
        <f>LEN(_xlfn.CONCAT(Table1[[#This Row],[TRACK_TYPE_STANDARD_GAUGE_RAILTYPE_OHLE]:[TRACK_TYPE_MTRO]]))&gt;0</f>
        <v>1</v>
      </c>
      <c r="AN706">
        <v>8</v>
      </c>
      <c r="AO706" t="s">
        <v>609</v>
      </c>
      <c r="AP706">
        <v>0</v>
      </c>
      <c r="AQ706" t="s">
        <v>35</v>
      </c>
      <c r="AR706">
        <v>105</v>
      </c>
      <c r="AS706">
        <v>2020</v>
      </c>
      <c r="AT706">
        <v>8</v>
      </c>
      <c r="AU706" s="2" t="s">
        <v>33</v>
      </c>
      <c r="AV706" t="b">
        <v>1</v>
      </c>
      <c r="AX706" s="2" t="b">
        <v>1</v>
      </c>
      <c r="AY706" t="s">
        <v>21</v>
      </c>
      <c r="AZ706">
        <v>0</v>
      </c>
      <c r="BA706">
        <v>0</v>
      </c>
      <c r="BB706" t="s">
        <v>710</v>
      </c>
      <c r="BC706">
        <v>160</v>
      </c>
      <c r="BD706" s="2">
        <v>0.3</v>
      </c>
      <c r="BE706" t="s">
        <v>935</v>
      </c>
      <c r="BF706" t="s">
        <v>921</v>
      </c>
      <c r="BG706" t="s">
        <v>939</v>
      </c>
      <c r="BH706" s="7">
        <v>25</v>
      </c>
      <c r="BI70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06">
        <v>0</v>
      </c>
      <c r="BK706" t="s">
        <v>733</v>
      </c>
      <c r="BL706" s="11"/>
      <c r="BM706" s="11"/>
      <c r="BN706" s="11">
        <v>24</v>
      </c>
      <c r="BO706">
        <v>0</v>
      </c>
      <c r="BP706" t="s">
        <v>691</v>
      </c>
      <c r="BQ706" t="s">
        <v>693</v>
      </c>
      <c r="BR706" t="s">
        <v>700</v>
      </c>
      <c r="BS706" t="s">
        <v>704</v>
      </c>
      <c r="BT706" t="s">
        <v>705</v>
      </c>
      <c r="BU706" t="s">
        <v>706</v>
      </c>
      <c r="CT706"/>
      <c r="CU706"/>
      <c r="CV706"/>
    </row>
    <row r="707" spans="1:100" x14ac:dyDescent="0.4">
      <c r="A707" s="2" t="s">
        <v>892</v>
      </c>
      <c r="B707" t="str">
        <f>_xlfn.TEXTAFTER(Table1[[#This Row],[VEHIDCODE]],"_")</f>
        <v>Wagon_Gen6_Gondola</v>
      </c>
      <c r="C707" t="s">
        <v>752</v>
      </c>
      <c r="D707" t="s">
        <v>972</v>
      </c>
      <c r="E707">
        <v>12053</v>
      </c>
      <c r="F707" t="b">
        <f>OR(ISNUMBER(SEARCH("wagon_",Table1[[#This Row],[FILENAMES_EXPECTED]])),ISNUMBER(SEARCH("coach_",Table1[[#This Row],[FILENAMES_EXPECTED]])))</f>
        <v>1</v>
      </c>
      <c r="G707" t="str">
        <f>"item_"&amp;Table1[[#This Row],[VEHIDCODE]]</f>
        <v>item_mu_Wagon_Gen6_Gondola</v>
      </c>
      <c r="H707" t="str">
        <f>"str_"&amp;Table1[[#This Row],[VEHIDCODE]]</f>
        <v>str_mu_Wagon_Gen6_Gondola</v>
      </c>
      <c r="Q707" s="2" t="b">
        <v>1</v>
      </c>
      <c r="Z707" s="2" t="b">
        <v>1</v>
      </c>
      <c r="AI707" s="2" t="b">
        <v>1</v>
      </c>
      <c r="AL707" s="2"/>
      <c r="AM707" s="2" t="b">
        <f>LEN(_xlfn.CONCAT(Table1[[#This Row],[TRACK_TYPE_STANDARD_GAUGE_RAILTYPE_OHLE]:[TRACK_TYPE_MTRO]]))&gt;0</f>
        <v>1</v>
      </c>
      <c r="AN707">
        <v>8</v>
      </c>
      <c r="AO707" t="s">
        <v>604</v>
      </c>
      <c r="AP707">
        <v>0</v>
      </c>
      <c r="AQ707" t="s">
        <v>35</v>
      </c>
      <c r="AR707">
        <v>75</v>
      </c>
      <c r="AS707">
        <v>2010</v>
      </c>
      <c r="AT707">
        <v>8</v>
      </c>
      <c r="AU707" s="2" t="s">
        <v>33</v>
      </c>
      <c r="AV707" t="b">
        <v>1</v>
      </c>
      <c r="AX707" s="2" t="b">
        <v>1</v>
      </c>
      <c r="AY707" t="s">
        <v>21</v>
      </c>
      <c r="AZ707">
        <v>0</v>
      </c>
      <c r="BA707">
        <v>0</v>
      </c>
      <c r="BB707" t="s">
        <v>710</v>
      </c>
      <c r="BC707">
        <v>160</v>
      </c>
      <c r="BD707" s="2">
        <v>0.3</v>
      </c>
      <c r="BE707" t="s">
        <v>935</v>
      </c>
      <c r="BF707" t="s">
        <v>921</v>
      </c>
      <c r="BG707" t="s">
        <v>939</v>
      </c>
      <c r="BH707" s="7">
        <v>25</v>
      </c>
      <c r="BI70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07">
        <v>0</v>
      </c>
      <c r="BK707" t="s">
        <v>733</v>
      </c>
      <c r="BL707" s="11"/>
      <c r="BM707" s="11"/>
      <c r="BN707" s="11">
        <v>22</v>
      </c>
      <c r="BO707">
        <v>0</v>
      </c>
      <c r="BP707" t="s">
        <v>691</v>
      </c>
      <c r="BQ707" t="s">
        <v>693</v>
      </c>
      <c r="BR707" t="s">
        <v>700</v>
      </c>
      <c r="BS707" t="s">
        <v>704</v>
      </c>
      <c r="BT707" t="s">
        <v>705</v>
      </c>
      <c r="BU707" t="s">
        <v>706</v>
      </c>
      <c r="CT707"/>
      <c r="CU707"/>
      <c r="CV707"/>
    </row>
    <row r="708" spans="1:100" x14ac:dyDescent="0.4">
      <c r="A708" s="2" t="s">
        <v>893</v>
      </c>
      <c r="B708" t="str">
        <f>_xlfn.TEXTAFTER(Table1[[#This Row],[VEHIDCODE]],"_")</f>
        <v>Wagon_Gen6_Silo_Type1</v>
      </c>
      <c r="C708" t="s">
        <v>752</v>
      </c>
      <c r="D708" t="s">
        <v>972</v>
      </c>
      <c r="E708">
        <v>12054</v>
      </c>
      <c r="F708" t="b">
        <f>OR(ISNUMBER(SEARCH("wagon_",Table1[[#This Row],[FILENAMES_EXPECTED]])),ISNUMBER(SEARCH("coach_",Table1[[#This Row],[FILENAMES_EXPECTED]])))</f>
        <v>1</v>
      </c>
      <c r="G708" t="str">
        <f>"item_"&amp;Table1[[#This Row],[VEHIDCODE]]</f>
        <v>item_mu_Wagon_Gen6_Silo_Type1</v>
      </c>
      <c r="H708" t="str">
        <f>"str_"&amp;Table1[[#This Row],[VEHIDCODE]]</f>
        <v>str_mu_Wagon_Gen6_Silo_Type1</v>
      </c>
      <c r="Q708" s="2" t="b">
        <v>1</v>
      </c>
      <c r="Z708" s="2" t="b">
        <v>1</v>
      </c>
      <c r="AI708" s="2" t="b">
        <v>1</v>
      </c>
      <c r="AL708" s="2"/>
      <c r="AM708" s="2" t="b">
        <f>LEN(_xlfn.CONCAT(Table1[[#This Row],[TRACK_TYPE_STANDARD_GAUGE_RAILTYPE_OHLE]:[TRACK_TYPE_MTRO]]))&gt;0</f>
        <v>1</v>
      </c>
      <c r="AN708">
        <v>8</v>
      </c>
      <c r="AO708" t="s">
        <v>607</v>
      </c>
      <c r="AP708">
        <v>0</v>
      </c>
      <c r="AQ708" t="s">
        <v>35</v>
      </c>
      <c r="AR708">
        <v>75</v>
      </c>
      <c r="AS708">
        <v>2020</v>
      </c>
      <c r="AT708">
        <v>8</v>
      </c>
      <c r="AU708" s="2" t="s">
        <v>33</v>
      </c>
      <c r="AV708" t="b">
        <v>1</v>
      </c>
      <c r="AX708" s="2" t="b">
        <v>1</v>
      </c>
      <c r="AY708" t="s">
        <v>21</v>
      </c>
      <c r="AZ708">
        <v>0</v>
      </c>
      <c r="BA708">
        <v>0</v>
      </c>
      <c r="BB708" t="s">
        <v>710</v>
      </c>
      <c r="BC708">
        <v>160</v>
      </c>
      <c r="BD708" s="2">
        <v>0.3</v>
      </c>
      <c r="BE708" t="s">
        <v>932</v>
      </c>
      <c r="BF708" t="s">
        <v>921</v>
      </c>
      <c r="BG708" t="s">
        <v>939</v>
      </c>
      <c r="BH708" s="7">
        <v>25</v>
      </c>
      <c r="BI70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08">
        <v>0</v>
      </c>
      <c r="BK708" t="s">
        <v>733</v>
      </c>
      <c r="BL708" s="11"/>
      <c r="BM708" s="11"/>
      <c r="BN708" s="11">
        <v>27</v>
      </c>
      <c r="BO708">
        <v>0</v>
      </c>
      <c r="BP708" t="s">
        <v>691</v>
      </c>
      <c r="BQ708" t="s">
        <v>693</v>
      </c>
      <c r="BR708" t="s">
        <v>700</v>
      </c>
      <c r="BS708" t="s">
        <v>704</v>
      </c>
      <c r="BT708" t="s">
        <v>705</v>
      </c>
      <c r="BU708" t="s">
        <v>706</v>
      </c>
      <c r="CT708"/>
      <c r="CU708"/>
      <c r="CV708"/>
    </row>
    <row r="709" spans="1:100" x14ac:dyDescent="0.4">
      <c r="A709" s="2" t="s">
        <v>894</v>
      </c>
      <c r="B709" t="str">
        <f>_xlfn.TEXTAFTER(Table1[[#This Row],[VEHIDCODE]],"_")</f>
        <v>Wagon_Gen6_Silo_Type2</v>
      </c>
      <c r="C709" t="s">
        <v>752</v>
      </c>
      <c r="D709" t="s">
        <v>972</v>
      </c>
      <c r="E709">
        <v>12062</v>
      </c>
      <c r="F709" t="b">
        <f>OR(ISNUMBER(SEARCH("wagon_",Table1[[#This Row],[FILENAMES_EXPECTED]])),ISNUMBER(SEARCH("coach_",Table1[[#This Row],[FILENAMES_EXPECTED]])))</f>
        <v>1</v>
      </c>
      <c r="G709" t="str">
        <f>"item_"&amp;Table1[[#This Row],[VEHIDCODE]]</f>
        <v>item_mu_Wagon_Gen6_Silo_Type2</v>
      </c>
      <c r="H709" t="str">
        <f>"str_"&amp;Table1[[#This Row],[VEHIDCODE]]</f>
        <v>str_mu_Wagon_Gen6_Silo_Type2</v>
      </c>
      <c r="Q709" s="2" t="b">
        <v>1</v>
      </c>
      <c r="Z709" s="2" t="b">
        <v>1</v>
      </c>
      <c r="AI709" s="2" t="b">
        <v>1</v>
      </c>
      <c r="AL709" s="2"/>
      <c r="AM709" s="2" t="b">
        <f>LEN(_xlfn.CONCAT(Table1[[#This Row],[TRACK_TYPE_STANDARD_GAUGE_RAILTYPE_OHLE]:[TRACK_TYPE_MTRO]]))&gt;0</f>
        <v>1</v>
      </c>
      <c r="AN709">
        <v>8</v>
      </c>
      <c r="AO709" t="s">
        <v>607</v>
      </c>
      <c r="AP709">
        <v>0</v>
      </c>
      <c r="AQ709" t="s">
        <v>35</v>
      </c>
      <c r="AR709">
        <v>75</v>
      </c>
      <c r="AS709">
        <v>2020</v>
      </c>
      <c r="AT709">
        <v>8</v>
      </c>
      <c r="AU709" s="2" t="s">
        <v>33</v>
      </c>
      <c r="AV709" t="b">
        <v>1</v>
      </c>
      <c r="AX709" s="2" t="b">
        <v>1</v>
      </c>
      <c r="AY709" t="s">
        <v>21</v>
      </c>
      <c r="AZ709">
        <v>0</v>
      </c>
      <c r="BA709">
        <v>0</v>
      </c>
      <c r="BB709" t="s">
        <v>710</v>
      </c>
      <c r="BC709">
        <v>160</v>
      </c>
      <c r="BD709" s="2">
        <v>0.3</v>
      </c>
      <c r="BE709" t="s">
        <v>933</v>
      </c>
      <c r="BF709" t="s">
        <v>921</v>
      </c>
      <c r="BG709" t="s">
        <v>939</v>
      </c>
      <c r="BH709" s="7">
        <v>25</v>
      </c>
      <c r="BI70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09">
        <v>0</v>
      </c>
      <c r="BK709" t="s">
        <v>733</v>
      </c>
      <c r="BL709" s="11"/>
      <c r="BM709" s="11"/>
      <c r="BN709" s="11">
        <v>27</v>
      </c>
      <c r="BO709">
        <v>0</v>
      </c>
      <c r="BP709" t="s">
        <v>691</v>
      </c>
      <c r="BQ709" t="s">
        <v>693</v>
      </c>
      <c r="BR709" t="s">
        <v>700</v>
      </c>
      <c r="BS709" t="s">
        <v>704</v>
      </c>
      <c r="BT709" t="s">
        <v>705</v>
      </c>
      <c r="BU709" t="s">
        <v>706</v>
      </c>
      <c r="CT709"/>
      <c r="CU709"/>
      <c r="CV709"/>
    </row>
    <row r="710" spans="1:100" x14ac:dyDescent="0.4">
      <c r="A710" s="2" t="s">
        <v>895</v>
      </c>
      <c r="B710" t="str">
        <f>_xlfn.TEXTAFTER(Table1[[#This Row],[VEHIDCODE]],"_")</f>
        <v>Wagon_Gen6_Hopper_Type1</v>
      </c>
      <c r="C710" t="s">
        <v>752</v>
      </c>
      <c r="D710" t="s">
        <v>972</v>
      </c>
      <c r="E710">
        <v>12055</v>
      </c>
      <c r="F710" t="b">
        <f>OR(ISNUMBER(SEARCH("wagon_",Table1[[#This Row],[FILENAMES_EXPECTED]])),ISNUMBER(SEARCH("coach_",Table1[[#This Row],[FILENAMES_EXPECTED]])))</f>
        <v>1</v>
      </c>
      <c r="G710" t="str">
        <f>"item_"&amp;Table1[[#This Row],[VEHIDCODE]]</f>
        <v>item_mu_Wagon_Gen6_Hopper_Type1</v>
      </c>
      <c r="H710" t="str">
        <f>"str_"&amp;Table1[[#This Row],[VEHIDCODE]]</f>
        <v>str_mu_Wagon_Gen6_Hopper_Type1</v>
      </c>
      <c r="Q710" s="2" t="b">
        <v>1</v>
      </c>
      <c r="Z710" s="2" t="b">
        <v>1</v>
      </c>
      <c r="AI710" s="2" t="b">
        <v>1</v>
      </c>
      <c r="AL710" s="2"/>
      <c r="AM710" s="2" t="b">
        <f>LEN(_xlfn.CONCAT(Table1[[#This Row],[TRACK_TYPE_STANDARD_GAUGE_RAILTYPE_OHLE]:[TRACK_TYPE_MTRO]]))&gt;0</f>
        <v>1</v>
      </c>
      <c r="AN710">
        <v>8</v>
      </c>
      <c r="AO710" t="s">
        <v>606</v>
      </c>
      <c r="AP710">
        <v>0</v>
      </c>
      <c r="AQ710" t="s">
        <v>35</v>
      </c>
      <c r="AR710">
        <v>75</v>
      </c>
      <c r="AS710">
        <v>2020</v>
      </c>
      <c r="AT710">
        <v>8</v>
      </c>
      <c r="AU710" s="2" t="s">
        <v>33</v>
      </c>
      <c r="AV710" t="b">
        <v>1</v>
      </c>
      <c r="AX710" s="2" t="b">
        <v>1</v>
      </c>
      <c r="AY710" t="s">
        <v>21</v>
      </c>
      <c r="AZ710">
        <v>0</v>
      </c>
      <c r="BA710">
        <v>0</v>
      </c>
      <c r="BB710" t="s">
        <v>710</v>
      </c>
      <c r="BC710">
        <v>160</v>
      </c>
      <c r="BD710" s="2">
        <v>0.3</v>
      </c>
      <c r="BE710" t="s">
        <v>932</v>
      </c>
      <c r="BF710" t="s">
        <v>921</v>
      </c>
      <c r="BG710" t="s">
        <v>939</v>
      </c>
      <c r="BH710" s="7">
        <v>25</v>
      </c>
      <c r="BI71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10">
        <v>0</v>
      </c>
      <c r="BK710" t="s">
        <v>733</v>
      </c>
      <c r="BL710" s="11"/>
      <c r="BM710" s="11"/>
      <c r="BN710" s="11">
        <v>26</v>
      </c>
      <c r="BO710">
        <v>0</v>
      </c>
      <c r="BP710" t="s">
        <v>691</v>
      </c>
      <c r="BQ710" t="s">
        <v>693</v>
      </c>
      <c r="BR710" t="s">
        <v>700</v>
      </c>
      <c r="BS710" t="s">
        <v>704</v>
      </c>
      <c r="BT710" t="s">
        <v>705</v>
      </c>
      <c r="BU710" t="s">
        <v>706</v>
      </c>
      <c r="CT710"/>
      <c r="CU710"/>
      <c r="CV710"/>
    </row>
    <row r="711" spans="1:100" x14ac:dyDescent="0.4">
      <c r="A711" s="2" t="s">
        <v>896</v>
      </c>
      <c r="B711" t="str">
        <f>_xlfn.TEXTAFTER(Table1[[#This Row],[VEHIDCODE]],"_")</f>
        <v>Wagon_Gen6_Hopper_Type2</v>
      </c>
      <c r="C711" t="s">
        <v>752</v>
      </c>
      <c r="D711" t="s">
        <v>972</v>
      </c>
      <c r="E711">
        <v>12063</v>
      </c>
      <c r="F711" t="b">
        <f>OR(ISNUMBER(SEARCH("wagon_",Table1[[#This Row],[FILENAMES_EXPECTED]])),ISNUMBER(SEARCH("coach_",Table1[[#This Row],[FILENAMES_EXPECTED]])))</f>
        <v>1</v>
      </c>
      <c r="G711" t="str">
        <f>"item_"&amp;Table1[[#This Row],[VEHIDCODE]]</f>
        <v>item_mu_Wagon_Gen6_Hopper_Type2</v>
      </c>
      <c r="H711" t="str">
        <f>"str_"&amp;Table1[[#This Row],[VEHIDCODE]]</f>
        <v>str_mu_Wagon_Gen6_Hopper_Type2</v>
      </c>
      <c r="Q711" s="2" t="b">
        <v>1</v>
      </c>
      <c r="Z711" s="2" t="b">
        <v>1</v>
      </c>
      <c r="AI711" s="2" t="b">
        <v>1</v>
      </c>
      <c r="AL711" s="2"/>
      <c r="AM711" s="2" t="b">
        <f>LEN(_xlfn.CONCAT(Table1[[#This Row],[TRACK_TYPE_STANDARD_GAUGE_RAILTYPE_OHLE]:[TRACK_TYPE_MTRO]]))&gt;0</f>
        <v>1</v>
      </c>
      <c r="AN711">
        <v>8</v>
      </c>
      <c r="AO711" t="s">
        <v>606</v>
      </c>
      <c r="AP711">
        <v>0</v>
      </c>
      <c r="AQ711" t="s">
        <v>35</v>
      </c>
      <c r="AR711">
        <v>75</v>
      </c>
      <c r="AS711">
        <v>2020</v>
      </c>
      <c r="AT711">
        <v>8</v>
      </c>
      <c r="AU711" s="2" t="s">
        <v>33</v>
      </c>
      <c r="AV711" t="b">
        <v>1</v>
      </c>
      <c r="AX711" s="2" t="b">
        <v>1</v>
      </c>
      <c r="AY711" t="s">
        <v>21</v>
      </c>
      <c r="AZ711">
        <v>0</v>
      </c>
      <c r="BA711">
        <v>0</v>
      </c>
      <c r="BB711" t="s">
        <v>710</v>
      </c>
      <c r="BC711">
        <v>160</v>
      </c>
      <c r="BD711" s="2">
        <v>0.3</v>
      </c>
      <c r="BE711" t="s">
        <v>935</v>
      </c>
      <c r="BF711" t="s">
        <v>921</v>
      </c>
      <c r="BG711" t="s">
        <v>939</v>
      </c>
      <c r="BH711" s="7">
        <v>25</v>
      </c>
      <c r="BI71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11">
        <v>0</v>
      </c>
      <c r="BK711" t="s">
        <v>733</v>
      </c>
      <c r="BL711" s="11"/>
      <c r="BM711" s="11"/>
      <c r="BN711" s="11">
        <v>26</v>
      </c>
      <c r="BO711">
        <v>0</v>
      </c>
      <c r="BP711" t="s">
        <v>691</v>
      </c>
      <c r="BQ711" t="s">
        <v>693</v>
      </c>
      <c r="BR711" t="s">
        <v>700</v>
      </c>
      <c r="BS711" t="s">
        <v>704</v>
      </c>
      <c r="BT711" t="s">
        <v>705</v>
      </c>
      <c r="BU711" t="s">
        <v>706</v>
      </c>
      <c r="CT711"/>
      <c r="CU711"/>
      <c r="CV711"/>
    </row>
    <row r="712" spans="1:100" x14ac:dyDescent="0.4">
      <c r="A712" s="2" t="s">
        <v>897</v>
      </c>
      <c r="B712" t="str">
        <f>_xlfn.TEXTAFTER(Table1[[#This Row],[VEHIDCODE]],"_")</f>
        <v>Wagon_Gen6_Car_Transporter</v>
      </c>
      <c r="C712" t="s">
        <v>752</v>
      </c>
      <c r="D712" t="s">
        <v>972</v>
      </c>
      <c r="E712">
        <v>12056</v>
      </c>
      <c r="F712" t="b">
        <f>OR(ISNUMBER(SEARCH("wagon_",Table1[[#This Row],[FILENAMES_EXPECTED]])),ISNUMBER(SEARCH("coach_",Table1[[#This Row],[FILENAMES_EXPECTED]])))</f>
        <v>1</v>
      </c>
      <c r="G712" t="str">
        <f>"item_"&amp;Table1[[#This Row],[VEHIDCODE]]</f>
        <v>item_mu_Wagon_Gen6_Car_Transporter</v>
      </c>
      <c r="H712" t="str">
        <f>"str_"&amp;Table1[[#This Row],[VEHIDCODE]]</f>
        <v>str_mu_Wagon_Gen6_Car_Transporter</v>
      </c>
      <c r="Q712" s="2" t="b">
        <v>1</v>
      </c>
      <c r="Z712" s="2" t="b">
        <v>1</v>
      </c>
      <c r="AI712" s="2" t="b">
        <v>1</v>
      </c>
      <c r="AL712" s="2"/>
      <c r="AM712" s="2" t="b">
        <f>LEN(_xlfn.CONCAT(Table1[[#This Row],[TRACK_TYPE_STANDARD_GAUGE_RAILTYPE_OHLE]:[TRACK_TYPE_MTRO]]))&gt;0</f>
        <v>1</v>
      </c>
      <c r="AN712">
        <v>8</v>
      </c>
      <c r="AO712" t="s">
        <v>600</v>
      </c>
      <c r="AP712">
        <v>0</v>
      </c>
      <c r="AQ712" t="s">
        <v>35</v>
      </c>
      <c r="AR712">
        <v>20</v>
      </c>
      <c r="AS712">
        <v>2020</v>
      </c>
      <c r="AT712">
        <v>8</v>
      </c>
      <c r="AU712" s="2" t="s">
        <v>33</v>
      </c>
      <c r="AV712" t="b">
        <v>1</v>
      </c>
      <c r="AX712" s="2" t="b">
        <v>1</v>
      </c>
      <c r="AY712" t="s">
        <v>21</v>
      </c>
      <c r="AZ712">
        <v>0</v>
      </c>
      <c r="BA712">
        <v>0</v>
      </c>
      <c r="BB712" t="s">
        <v>710</v>
      </c>
      <c r="BC712">
        <v>160</v>
      </c>
      <c r="BD712" s="2">
        <v>0.3</v>
      </c>
      <c r="BE712" t="s">
        <v>935</v>
      </c>
      <c r="BF712" t="s">
        <v>921</v>
      </c>
      <c r="BG712" t="s">
        <v>939</v>
      </c>
      <c r="BH712" s="7">
        <v>25</v>
      </c>
      <c r="BI71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12">
        <v>0</v>
      </c>
      <c r="BK712" t="s">
        <v>733</v>
      </c>
      <c r="BL712" s="11"/>
      <c r="BM712" s="11"/>
      <c r="BN712" s="11">
        <v>28</v>
      </c>
      <c r="BO712">
        <v>0</v>
      </c>
      <c r="BP712" t="s">
        <v>691</v>
      </c>
      <c r="BQ712" t="s">
        <v>693</v>
      </c>
      <c r="BR712" t="s">
        <v>700</v>
      </c>
      <c r="BS712" t="s">
        <v>704</v>
      </c>
      <c r="BT712" t="s">
        <v>705</v>
      </c>
      <c r="BU712" t="s">
        <v>706</v>
      </c>
      <c r="CT712"/>
      <c r="CU712"/>
      <c r="CV712"/>
    </row>
    <row r="713" spans="1:100" x14ac:dyDescent="0.4">
      <c r="A713" s="2" t="s">
        <v>898</v>
      </c>
      <c r="B713" t="str">
        <f>_xlfn.TEXTAFTER(Table1[[#This Row],[VEHIDCODE]],"_")</f>
        <v>Wagon_Gen6_Container_Carrier</v>
      </c>
      <c r="C713" t="s">
        <v>752</v>
      </c>
      <c r="D713" t="s">
        <v>972</v>
      </c>
      <c r="E713">
        <v>12057</v>
      </c>
      <c r="F713" t="b">
        <f>OR(ISNUMBER(SEARCH("wagon_",Table1[[#This Row],[FILENAMES_EXPECTED]])),ISNUMBER(SEARCH("coach_",Table1[[#This Row],[FILENAMES_EXPECTED]])))</f>
        <v>1</v>
      </c>
      <c r="G713" t="str">
        <f>"item_"&amp;Table1[[#This Row],[VEHIDCODE]]</f>
        <v>item_mu_Wagon_Gen6_Container_Carrier</v>
      </c>
      <c r="H713" t="str">
        <f>"str_"&amp;Table1[[#This Row],[VEHIDCODE]]</f>
        <v>str_mu_Wagon_Gen6_Container_Carrier</v>
      </c>
      <c r="Q713" s="2" t="b">
        <v>1</v>
      </c>
      <c r="Z713" s="2" t="b">
        <v>1</v>
      </c>
      <c r="AI713" s="2" t="b">
        <v>1</v>
      </c>
      <c r="AL713" s="2"/>
      <c r="AM713" s="2" t="b">
        <f>LEN(_xlfn.CONCAT(Table1[[#This Row],[TRACK_TYPE_STANDARD_GAUGE_RAILTYPE_OHLE]:[TRACK_TYPE_MTRO]]))&gt;0</f>
        <v>1</v>
      </c>
      <c r="AN713">
        <v>8</v>
      </c>
      <c r="AO713" t="s">
        <v>532</v>
      </c>
      <c r="AP713">
        <v>0</v>
      </c>
      <c r="AQ713" t="s">
        <v>35</v>
      </c>
      <c r="AR713">
        <v>60</v>
      </c>
      <c r="AS713">
        <v>2010</v>
      </c>
      <c r="AT713">
        <v>8</v>
      </c>
      <c r="AU713" s="2" t="s">
        <v>33</v>
      </c>
      <c r="AV713" t="b">
        <v>1</v>
      </c>
      <c r="AX713" s="2" t="b">
        <v>1</v>
      </c>
      <c r="AY713" t="s">
        <v>21</v>
      </c>
      <c r="AZ713">
        <v>0</v>
      </c>
      <c r="BA713">
        <v>0</v>
      </c>
      <c r="BB713" t="s">
        <v>710</v>
      </c>
      <c r="BC713">
        <v>160</v>
      </c>
      <c r="BD713" s="2">
        <v>0.3</v>
      </c>
      <c r="BE713" t="s">
        <v>935</v>
      </c>
      <c r="BF713" t="s">
        <v>921</v>
      </c>
      <c r="BG713" t="s">
        <v>939</v>
      </c>
      <c r="BH713" s="7">
        <v>25</v>
      </c>
      <c r="BI71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13">
        <v>0</v>
      </c>
      <c r="BK713" t="s">
        <v>733</v>
      </c>
      <c r="BL713" s="11"/>
      <c r="BM713" s="11"/>
      <c r="BN713" s="11">
        <v>22</v>
      </c>
      <c r="BO713">
        <v>0</v>
      </c>
      <c r="BP713" t="s">
        <v>691</v>
      </c>
      <c r="BQ713" t="s">
        <v>693</v>
      </c>
      <c r="BR713" t="s">
        <v>700</v>
      </c>
      <c r="BS713" t="s">
        <v>704</v>
      </c>
      <c r="BT713" t="s">
        <v>705</v>
      </c>
      <c r="BU713" t="s">
        <v>706</v>
      </c>
      <c r="CT713"/>
      <c r="CU713"/>
      <c r="CV713"/>
    </row>
    <row r="714" spans="1:100" x14ac:dyDescent="0.4">
      <c r="A714" s="2" t="s">
        <v>899</v>
      </c>
      <c r="B714" t="str">
        <f>_xlfn.TEXTAFTER(Table1[[#This Row],[VEHIDCODE]],"_")</f>
        <v>Wagon_Gen6_Centerbeam</v>
      </c>
      <c r="C714" t="s">
        <v>752</v>
      </c>
      <c r="D714" t="s">
        <v>972</v>
      </c>
      <c r="E714">
        <v>12058</v>
      </c>
      <c r="F714" t="b">
        <f>OR(ISNUMBER(SEARCH("wagon_",Table1[[#This Row],[FILENAMES_EXPECTED]])),ISNUMBER(SEARCH("coach_",Table1[[#This Row],[FILENAMES_EXPECTED]])))</f>
        <v>1</v>
      </c>
      <c r="G714" t="str">
        <f>"item_"&amp;Table1[[#This Row],[VEHIDCODE]]</f>
        <v>item_mu_Wagon_Gen6_Centerbeam</v>
      </c>
      <c r="H714" t="str">
        <f>"str_"&amp;Table1[[#This Row],[VEHIDCODE]]</f>
        <v>str_mu_Wagon_Gen6_Centerbeam</v>
      </c>
      <c r="Q714" s="2" t="b">
        <v>1</v>
      </c>
      <c r="Z714" s="2" t="b">
        <v>1</v>
      </c>
      <c r="AI714" s="2" t="b">
        <v>1</v>
      </c>
      <c r="AL714" s="2"/>
      <c r="AM714" s="2" t="b">
        <f>LEN(_xlfn.CONCAT(Table1[[#This Row],[TRACK_TYPE_STANDARD_GAUGE_RAILTYPE_OHLE]:[TRACK_TYPE_MTRO]]))&gt;0</f>
        <v>1</v>
      </c>
      <c r="AN714">
        <v>8</v>
      </c>
      <c r="AO714" t="s">
        <v>601</v>
      </c>
      <c r="AP714">
        <v>0</v>
      </c>
      <c r="AQ714" t="s">
        <v>35</v>
      </c>
      <c r="AR714">
        <v>65</v>
      </c>
      <c r="AS714">
        <v>2010</v>
      </c>
      <c r="AT714">
        <v>8</v>
      </c>
      <c r="AU714" s="2" t="s">
        <v>33</v>
      </c>
      <c r="AV714" t="b">
        <v>1</v>
      </c>
      <c r="AX714" s="2" t="b">
        <v>1</v>
      </c>
      <c r="AY714" t="s">
        <v>21</v>
      </c>
      <c r="AZ714">
        <v>0</v>
      </c>
      <c r="BA714">
        <v>0</v>
      </c>
      <c r="BB714" t="s">
        <v>710</v>
      </c>
      <c r="BC714">
        <v>160</v>
      </c>
      <c r="BD714" s="2">
        <v>0.3</v>
      </c>
      <c r="BE714" t="s">
        <v>935</v>
      </c>
      <c r="BF714" t="s">
        <v>921</v>
      </c>
      <c r="BG714" t="s">
        <v>939</v>
      </c>
      <c r="BH714" s="7">
        <v>25</v>
      </c>
      <c r="BI71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14">
        <v>0</v>
      </c>
      <c r="BK714" t="s">
        <v>733</v>
      </c>
      <c r="BL714" s="11"/>
      <c r="BM714" s="11"/>
      <c r="BN714" s="11">
        <v>40</v>
      </c>
      <c r="BO714">
        <v>0</v>
      </c>
      <c r="BP714" t="s">
        <v>691</v>
      </c>
      <c r="BQ714" t="s">
        <v>693</v>
      </c>
      <c r="BR714" t="s">
        <v>700</v>
      </c>
      <c r="BS714" t="s">
        <v>704</v>
      </c>
      <c r="BT714" t="s">
        <v>705</v>
      </c>
      <c r="BU714" t="s">
        <v>706</v>
      </c>
      <c r="CT714"/>
      <c r="CU714"/>
      <c r="CV714"/>
    </row>
    <row r="715" spans="1:100" x14ac:dyDescent="0.4">
      <c r="A715" s="2" t="s">
        <v>900</v>
      </c>
      <c r="B715" t="str">
        <f>_xlfn.TEXTAFTER(Table1[[#This Row],[VEHIDCODE]],"_")</f>
        <v>Wagon_Gen6_Container_Doublestack</v>
      </c>
      <c r="C715" t="s">
        <v>752</v>
      </c>
      <c r="D715" t="s">
        <v>972</v>
      </c>
      <c r="E715">
        <v>12059</v>
      </c>
      <c r="F715" t="b">
        <f>OR(ISNUMBER(SEARCH("wagon_",Table1[[#This Row],[FILENAMES_EXPECTED]])),ISNUMBER(SEARCH("coach_",Table1[[#This Row],[FILENAMES_EXPECTED]])))</f>
        <v>1</v>
      </c>
      <c r="G715" t="str">
        <f>"item_"&amp;Table1[[#This Row],[VEHIDCODE]]</f>
        <v>item_mu_Wagon_Gen6_Container_Doublestack</v>
      </c>
      <c r="H715" t="str">
        <f>"str_"&amp;Table1[[#This Row],[VEHIDCODE]]</f>
        <v>str_mu_Wagon_Gen6_Container_Doublestack</v>
      </c>
      <c r="Q715" s="2" t="b">
        <v>1</v>
      </c>
      <c r="Z715" s="2" t="b">
        <v>1</v>
      </c>
      <c r="AI715" s="2" t="b">
        <v>1</v>
      </c>
      <c r="AL715" s="2"/>
      <c r="AM715" s="2" t="b">
        <f>LEN(_xlfn.CONCAT(Table1[[#This Row],[TRACK_TYPE_STANDARD_GAUGE_RAILTYPE_OHLE]:[TRACK_TYPE_MTRO]]))&gt;0</f>
        <v>1</v>
      </c>
      <c r="AN715">
        <v>8</v>
      </c>
      <c r="AO715" t="s">
        <v>602</v>
      </c>
      <c r="AP715">
        <v>0</v>
      </c>
      <c r="AQ715" t="s">
        <v>35</v>
      </c>
      <c r="AR715">
        <v>75</v>
      </c>
      <c r="AS715">
        <v>2000</v>
      </c>
      <c r="AT715">
        <v>8</v>
      </c>
      <c r="AU715" s="2" t="s">
        <v>33</v>
      </c>
      <c r="AV715" t="b">
        <v>1</v>
      </c>
      <c r="AX715" s="2" t="b">
        <v>1</v>
      </c>
      <c r="AY715" t="s">
        <v>21</v>
      </c>
      <c r="AZ715">
        <v>0</v>
      </c>
      <c r="BA715">
        <v>0</v>
      </c>
      <c r="BB715" t="s">
        <v>710</v>
      </c>
      <c r="BC715">
        <v>160</v>
      </c>
      <c r="BD715" s="2">
        <v>0.3</v>
      </c>
      <c r="BE715" t="s">
        <v>935</v>
      </c>
      <c r="BF715" t="s">
        <v>921</v>
      </c>
      <c r="BG715" t="s">
        <v>939</v>
      </c>
      <c r="BH715" s="7">
        <v>25</v>
      </c>
      <c r="BI71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15">
        <v>0</v>
      </c>
      <c r="BK715" t="s">
        <v>733</v>
      </c>
      <c r="BL715" s="11"/>
      <c r="BM715" s="11"/>
      <c r="BN715" s="11">
        <v>25</v>
      </c>
      <c r="BO715">
        <v>0</v>
      </c>
      <c r="BP715" t="s">
        <v>691</v>
      </c>
      <c r="BQ715" t="s">
        <v>693</v>
      </c>
      <c r="BR715" t="s">
        <v>700</v>
      </c>
      <c r="BS715" t="s">
        <v>704</v>
      </c>
      <c r="BT715" t="s">
        <v>705</v>
      </c>
      <c r="BU715" t="s">
        <v>706</v>
      </c>
      <c r="CT715"/>
      <c r="CU715"/>
      <c r="CV715"/>
    </row>
    <row r="716" spans="1:100" x14ac:dyDescent="0.4">
      <c r="A716" s="2" t="s">
        <v>901</v>
      </c>
      <c r="B716" t="str">
        <f>_xlfn.TEXTAFTER(Table1[[#This Row],[VEHIDCODE]],"_")</f>
        <v>Wagon_Gen6_Superheavy_Flatcar</v>
      </c>
      <c r="C716" t="s">
        <v>752</v>
      </c>
      <c r="D716" t="s">
        <v>972</v>
      </c>
      <c r="E716">
        <v>12060</v>
      </c>
      <c r="F716" t="b">
        <f>OR(ISNUMBER(SEARCH("wagon_",Table1[[#This Row],[FILENAMES_EXPECTED]])),ISNUMBER(SEARCH("coach_",Table1[[#This Row],[FILENAMES_EXPECTED]])))</f>
        <v>1</v>
      </c>
      <c r="G716" t="str">
        <f>"item_"&amp;Table1[[#This Row],[VEHIDCODE]]</f>
        <v>item_mu_Wagon_Gen6_Superheavy_Flatcar</v>
      </c>
      <c r="H716" t="str">
        <f>"str_"&amp;Table1[[#This Row],[VEHIDCODE]]</f>
        <v>str_mu_Wagon_Gen6_Superheavy_Flatcar</v>
      </c>
      <c r="Q716" s="2" t="b">
        <v>1</v>
      </c>
      <c r="Z716" s="2" t="b">
        <v>1</v>
      </c>
      <c r="AI716" s="2" t="b">
        <v>1</v>
      </c>
      <c r="AL716" s="2"/>
      <c r="AM716" s="2" t="b">
        <f>LEN(_xlfn.CONCAT(Table1[[#This Row],[TRACK_TYPE_STANDARD_GAUGE_RAILTYPE_OHLE]:[TRACK_TYPE_MTRO]]))&gt;0</f>
        <v>1</v>
      </c>
      <c r="AN716">
        <v>12</v>
      </c>
      <c r="AO716" t="s">
        <v>608</v>
      </c>
      <c r="AP716">
        <v>0</v>
      </c>
      <c r="AQ716" t="s">
        <v>35</v>
      </c>
      <c r="AR716">
        <v>65</v>
      </c>
      <c r="AS716">
        <v>2010</v>
      </c>
      <c r="AT716">
        <v>4</v>
      </c>
      <c r="AU716" s="2" t="s">
        <v>33</v>
      </c>
      <c r="AV716" t="b">
        <v>1</v>
      </c>
      <c r="AX716" s="2" t="b">
        <v>1</v>
      </c>
      <c r="AY716" t="s">
        <v>21</v>
      </c>
      <c r="AZ716">
        <v>0</v>
      </c>
      <c r="BA716">
        <v>0</v>
      </c>
      <c r="BB716" t="s">
        <v>710</v>
      </c>
      <c r="BC716">
        <v>140</v>
      </c>
      <c r="BD716" s="2">
        <v>0.3</v>
      </c>
      <c r="BE716" t="s">
        <v>935</v>
      </c>
      <c r="BF716" t="s">
        <v>921</v>
      </c>
      <c r="BG716" t="s">
        <v>939</v>
      </c>
      <c r="BH716" s="7">
        <v>25</v>
      </c>
      <c r="BI71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16">
        <v>0</v>
      </c>
      <c r="BK716" t="s">
        <v>733</v>
      </c>
      <c r="BL716" s="11"/>
      <c r="BM716" s="11"/>
      <c r="BN716" s="11">
        <v>50</v>
      </c>
      <c r="BO716">
        <v>0</v>
      </c>
      <c r="BP716" t="s">
        <v>691</v>
      </c>
      <c r="BQ716" t="s">
        <v>693</v>
      </c>
      <c r="BR716" t="s">
        <v>700</v>
      </c>
      <c r="BS716" t="s">
        <v>704</v>
      </c>
      <c r="BT716" t="s">
        <v>705</v>
      </c>
      <c r="BU716" t="s">
        <v>706</v>
      </c>
      <c r="CT716"/>
      <c r="CU716"/>
      <c r="CV716"/>
    </row>
    <row r="717" spans="1:100" x14ac:dyDescent="0.4">
      <c r="A717" s="2" t="s">
        <v>916</v>
      </c>
      <c r="B717" t="str">
        <f>_xlfn.TEXTAFTER(Table1[[#This Row],[VEHIDCODE]],"_")</f>
        <v>Wagon_Service_Car_Type1</v>
      </c>
      <c r="C717" t="s">
        <v>753</v>
      </c>
      <c r="D717" t="s">
        <v>972</v>
      </c>
      <c r="E717">
        <v>12045</v>
      </c>
      <c r="F717" t="b">
        <f>OR(ISNUMBER(SEARCH("wagon_",Table1[[#This Row],[FILENAMES_EXPECTED]])),ISNUMBER(SEARCH("coach_",Table1[[#This Row],[FILENAMES_EXPECTED]])))</f>
        <v>1</v>
      </c>
      <c r="G717" t="str">
        <f>"item_"&amp;Table1[[#This Row],[VEHIDCODE]]</f>
        <v>item_mu_Wagon_Service_Car_Type1</v>
      </c>
      <c r="H717" t="str">
        <f>"str_"&amp;Table1[[#This Row],[VEHIDCODE]]</f>
        <v>str_mu_Wagon_Service_Car_Type1</v>
      </c>
      <c r="Q717" s="2" t="b">
        <v>1</v>
      </c>
      <c r="Z717" s="2" t="b">
        <v>1</v>
      </c>
      <c r="AI717" s="2" t="b">
        <v>1</v>
      </c>
      <c r="AL717" s="2"/>
      <c r="AM717" s="2" t="b">
        <f>LEN(_xlfn.CONCAT(Table1[[#This Row],[TRACK_TYPE_STANDARD_GAUGE_RAILTYPE_OHLE]:[TRACK_TYPE_MTRO]]))&gt;0</f>
        <v>1</v>
      </c>
      <c r="AN717">
        <v>5</v>
      </c>
      <c r="AO717" t="s">
        <v>20</v>
      </c>
      <c r="AP717">
        <v>0</v>
      </c>
      <c r="AQ717" t="s">
        <v>35</v>
      </c>
      <c r="AR717">
        <v>0</v>
      </c>
      <c r="AS717">
        <v>1660</v>
      </c>
      <c r="AT717">
        <v>5</v>
      </c>
      <c r="AU717" s="2" t="s">
        <v>33</v>
      </c>
      <c r="AV717" t="b">
        <v>1</v>
      </c>
      <c r="AX717" s="2" t="b">
        <v>1</v>
      </c>
      <c r="AY717" t="s">
        <v>21</v>
      </c>
      <c r="AZ717">
        <v>0</v>
      </c>
      <c r="BA717">
        <v>0</v>
      </c>
      <c r="BB717" t="s">
        <v>710</v>
      </c>
      <c r="BC717">
        <v>0</v>
      </c>
      <c r="BD717" s="2">
        <v>0.3</v>
      </c>
      <c r="BE717" t="s">
        <v>932</v>
      </c>
      <c r="BF717" t="s">
        <v>921</v>
      </c>
      <c r="BG717" t="s">
        <v>939</v>
      </c>
      <c r="BH717" s="7">
        <v>25</v>
      </c>
      <c r="BI71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17">
        <v>0</v>
      </c>
      <c r="BK717" t="s">
        <v>733</v>
      </c>
      <c r="BL717" s="11"/>
      <c r="BM717" s="11"/>
      <c r="BN717" s="11">
        <v>15</v>
      </c>
      <c r="BO717">
        <v>0</v>
      </c>
      <c r="BP717" t="s">
        <v>691</v>
      </c>
      <c r="BQ717" t="s">
        <v>693</v>
      </c>
      <c r="BR717" t="s">
        <v>700</v>
      </c>
      <c r="BS717" t="s">
        <v>704</v>
      </c>
      <c r="BT717" t="s">
        <v>705</v>
      </c>
      <c r="BU717" t="s">
        <v>706</v>
      </c>
      <c r="CT717"/>
      <c r="CU717"/>
      <c r="CV717"/>
    </row>
    <row r="718" spans="1:100" x14ac:dyDescent="0.4">
      <c r="A718" s="2" t="s">
        <v>917</v>
      </c>
      <c r="B718" t="str">
        <f>_xlfn.TEXTAFTER(Table1[[#This Row],[VEHIDCODE]],"_")</f>
        <v>Wagon_Service_Car_Type2</v>
      </c>
      <c r="C718" t="s">
        <v>753</v>
      </c>
      <c r="D718" t="s">
        <v>972</v>
      </c>
      <c r="E718">
        <v>12046</v>
      </c>
      <c r="F718" t="b">
        <f>OR(ISNUMBER(SEARCH("wagon_",Table1[[#This Row],[FILENAMES_EXPECTED]])),ISNUMBER(SEARCH("coach_",Table1[[#This Row],[FILENAMES_EXPECTED]])))</f>
        <v>1</v>
      </c>
      <c r="G718" t="str">
        <f>"item_"&amp;Table1[[#This Row],[VEHIDCODE]]</f>
        <v>item_mu_Wagon_Service_Car_Type2</v>
      </c>
      <c r="H718" t="str">
        <f>"str_"&amp;Table1[[#This Row],[VEHIDCODE]]</f>
        <v>str_mu_Wagon_Service_Car_Type2</v>
      </c>
      <c r="Q718" s="2" t="b">
        <v>1</v>
      </c>
      <c r="Z718" s="2" t="b">
        <v>1</v>
      </c>
      <c r="AI718" s="2" t="b">
        <v>1</v>
      </c>
      <c r="AL718" s="2"/>
      <c r="AM718" s="2" t="b">
        <f>LEN(_xlfn.CONCAT(Table1[[#This Row],[TRACK_TYPE_STANDARD_GAUGE_RAILTYPE_OHLE]:[TRACK_TYPE_MTRO]]))&gt;0</f>
        <v>1</v>
      </c>
      <c r="AN718">
        <v>5</v>
      </c>
      <c r="AO718" t="s">
        <v>20</v>
      </c>
      <c r="AP718">
        <v>0</v>
      </c>
      <c r="AQ718" t="s">
        <v>35</v>
      </c>
      <c r="AR718">
        <v>0</v>
      </c>
      <c r="AS718">
        <v>1660</v>
      </c>
      <c r="AT718">
        <v>5</v>
      </c>
      <c r="AU718" s="2" t="s">
        <v>33</v>
      </c>
      <c r="AV718" t="b">
        <v>1</v>
      </c>
      <c r="AX718" s="2" t="b">
        <v>1</v>
      </c>
      <c r="AY718" t="s">
        <v>21</v>
      </c>
      <c r="AZ718">
        <v>0</v>
      </c>
      <c r="BA718">
        <v>0</v>
      </c>
      <c r="BB718" t="s">
        <v>710</v>
      </c>
      <c r="BC718">
        <v>0</v>
      </c>
      <c r="BD718" s="2">
        <v>0.3</v>
      </c>
      <c r="BE718" t="s">
        <v>933</v>
      </c>
      <c r="BF718" t="s">
        <v>921</v>
      </c>
      <c r="BG718" t="s">
        <v>939</v>
      </c>
      <c r="BH718" s="7">
        <v>25</v>
      </c>
      <c r="BI71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18">
        <v>0</v>
      </c>
      <c r="BK718" t="s">
        <v>733</v>
      </c>
      <c r="BL718" s="11"/>
      <c r="BM718" s="11"/>
      <c r="BN718" s="11">
        <v>15</v>
      </c>
      <c r="BO718">
        <v>0</v>
      </c>
      <c r="BP718" t="s">
        <v>691</v>
      </c>
      <c r="BQ718" t="s">
        <v>693</v>
      </c>
      <c r="BR718" t="s">
        <v>700</v>
      </c>
      <c r="BS718" t="s">
        <v>704</v>
      </c>
      <c r="BT718" t="s">
        <v>705</v>
      </c>
      <c r="BU718" t="s">
        <v>706</v>
      </c>
      <c r="CT718"/>
      <c r="CU718"/>
      <c r="CV718"/>
    </row>
    <row r="719" spans="1:100" x14ac:dyDescent="0.4">
      <c r="A719" s="2" t="s">
        <v>773</v>
      </c>
      <c r="B719" t="str">
        <f>_xlfn.TEXTAFTER(Table1[[#This Row],[VEHIDCODE]],"_")</f>
        <v>Coach_Gen1_Wooden_2_axle_Compartment_Coach</v>
      </c>
      <c r="C719" t="s">
        <v>754</v>
      </c>
      <c r="D719" t="s">
        <v>970</v>
      </c>
      <c r="E719">
        <v>11000</v>
      </c>
      <c r="F719" t="b">
        <f>OR(ISNUMBER(SEARCH("wagon_",Table1[[#This Row],[FILENAMES_EXPECTED]])),ISNUMBER(SEARCH("coach_",Table1[[#This Row],[FILENAMES_EXPECTED]])))</f>
        <v>1</v>
      </c>
      <c r="G719" t="str">
        <f>"item_"&amp;Table1[[#This Row],[VEHIDCODE]]</f>
        <v>item_mu_Coach_Gen1_Wooden_2_axle_Compartment_Coach</v>
      </c>
      <c r="H719" t="str">
        <f>"str_"&amp;Table1[[#This Row],[VEHIDCODE]]</f>
        <v>str_mu_Coach_Gen1_Wooden_2_axle_Compartment_Coach</v>
      </c>
      <c r="Q719" s="2" t="b">
        <v>1</v>
      </c>
      <c r="Z719" s="2" t="b">
        <v>1</v>
      </c>
      <c r="AI719" s="2" t="b">
        <v>1</v>
      </c>
      <c r="AL719" s="2"/>
      <c r="AM719" s="2" t="b">
        <f>LEN(_xlfn.CONCAT(Table1[[#This Row],[TRACK_TYPE_STANDARD_GAUGE_RAILTYPE_OHLE]:[TRACK_TYPE_MTRO]]))&gt;0</f>
        <v>1</v>
      </c>
      <c r="AN719">
        <v>4</v>
      </c>
      <c r="AO719" t="s">
        <v>325</v>
      </c>
      <c r="AP719">
        <v>0</v>
      </c>
      <c r="AQ719" t="s">
        <v>35</v>
      </c>
      <c r="AR719">
        <v>20</v>
      </c>
      <c r="AS719">
        <v>1830</v>
      </c>
      <c r="AT719">
        <v>4</v>
      </c>
      <c r="AU719" s="2" t="s">
        <v>24</v>
      </c>
      <c r="AV719" t="b">
        <v>1</v>
      </c>
      <c r="AX719" s="2"/>
      <c r="AY719">
        <v>90</v>
      </c>
      <c r="AZ719">
        <v>1</v>
      </c>
      <c r="BA719">
        <v>0</v>
      </c>
      <c r="BB719" t="s">
        <v>710</v>
      </c>
      <c r="BC719">
        <v>50</v>
      </c>
      <c r="BD719" s="2">
        <v>0.3</v>
      </c>
      <c r="BE719" t="s">
        <v>932</v>
      </c>
      <c r="BF719" t="s">
        <v>924</v>
      </c>
      <c r="BG719" t="s">
        <v>939</v>
      </c>
      <c r="BH719" s="7">
        <v>25</v>
      </c>
      <c r="BI71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19">
        <v>0</v>
      </c>
      <c r="BK719" t="s">
        <v>733</v>
      </c>
      <c r="BL719" s="11"/>
      <c r="BM719" s="11"/>
      <c r="BN719" s="11">
        <v>5</v>
      </c>
      <c r="BO719">
        <v>0</v>
      </c>
      <c r="BP719" t="s">
        <v>691</v>
      </c>
      <c r="BQ719" t="s">
        <v>693</v>
      </c>
      <c r="BR719" t="s">
        <v>700</v>
      </c>
      <c r="BS719" t="s">
        <v>704</v>
      </c>
      <c r="BT719" t="s">
        <v>705</v>
      </c>
      <c r="BU719" t="s">
        <v>706</v>
      </c>
      <c r="CT719"/>
      <c r="CU719"/>
      <c r="CV719"/>
    </row>
    <row r="720" spans="1:100" x14ac:dyDescent="0.4">
      <c r="A720" s="2" t="s">
        <v>774</v>
      </c>
      <c r="B720" t="str">
        <f>_xlfn.TEXTAFTER(Table1[[#This Row],[VEHIDCODE]],"_")</f>
        <v>Coach_Gen1_Wooden_2_axle_Regional_Coach</v>
      </c>
      <c r="C720" t="s">
        <v>754</v>
      </c>
      <c r="D720" t="s">
        <v>970</v>
      </c>
      <c r="E720">
        <v>11001</v>
      </c>
      <c r="F720" t="b">
        <f>OR(ISNUMBER(SEARCH("wagon_",Table1[[#This Row],[FILENAMES_EXPECTED]])),ISNUMBER(SEARCH("coach_",Table1[[#This Row],[FILENAMES_EXPECTED]])))</f>
        <v>1</v>
      </c>
      <c r="G720" t="str">
        <f>"item_"&amp;Table1[[#This Row],[VEHIDCODE]]</f>
        <v>item_mu_Coach_Gen1_Wooden_2_axle_Regional_Coach</v>
      </c>
      <c r="H720" t="str">
        <f>"str_"&amp;Table1[[#This Row],[VEHIDCODE]]</f>
        <v>str_mu_Coach_Gen1_Wooden_2_axle_Regional_Coach</v>
      </c>
      <c r="Q720" s="2" t="b">
        <v>1</v>
      </c>
      <c r="Z720" s="2" t="b">
        <v>1</v>
      </c>
      <c r="AI720" s="2" t="b">
        <v>1</v>
      </c>
      <c r="AL720" s="2"/>
      <c r="AM720" s="2" t="b">
        <f>LEN(_xlfn.CONCAT(Table1[[#This Row],[TRACK_TYPE_STANDARD_GAUGE_RAILTYPE_OHLE]:[TRACK_TYPE_MTRO]]))&gt;0</f>
        <v>1</v>
      </c>
      <c r="AN720">
        <v>4</v>
      </c>
      <c r="AO720" t="s">
        <v>325</v>
      </c>
      <c r="AP720">
        <v>0</v>
      </c>
      <c r="AQ720" t="s">
        <v>35</v>
      </c>
      <c r="AR720">
        <v>16</v>
      </c>
      <c r="AS720">
        <v>1830</v>
      </c>
      <c r="AT720">
        <v>4</v>
      </c>
      <c r="AU720" s="2" t="s">
        <v>479</v>
      </c>
      <c r="AV720" t="b">
        <v>1</v>
      </c>
      <c r="AX720" s="2"/>
      <c r="AY720">
        <v>90</v>
      </c>
      <c r="AZ720">
        <v>1</v>
      </c>
      <c r="BA720">
        <v>0</v>
      </c>
      <c r="BB720" t="s">
        <v>710</v>
      </c>
      <c r="BC720">
        <v>65</v>
      </c>
      <c r="BD720" s="2">
        <v>0.3</v>
      </c>
      <c r="BE720" t="s">
        <v>935</v>
      </c>
      <c r="BF720" t="s">
        <v>921</v>
      </c>
      <c r="BG720" t="s">
        <v>939</v>
      </c>
      <c r="BH720" s="7">
        <v>25</v>
      </c>
      <c r="BI72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20">
        <v>0</v>
      </c>
      <c r="BK720" t="s">
        <v>733</v>
      </c>
      <c r="BL720" s="11"/>
      <c r="BM720" s="11"/>
      <c r="BN720" s="11">
        <v>5</v>
      </c>
      <c r="BO720">
        <v>0</v>
      </c>
      <c r="BP720" t="s">
        <v>691</v>
      </c>
      <c r="BQ720" t="s">
        <v>693</v>
      </c>
      <c r="BR720" t="s">
        <v>700</v>
      </c>
      <c r="BS720" t="s">
        <v>704</v>
      </c>
      <c r="BT720" t="s">
        <v>705</v>
      </c>
      <c r="BU720" t="s">
        <v>706</v>
      </c>
      <c r="CT720"/>
      <c r="CU720"/>
      <c r="CV720"/>
    </row>
    <row r="721" spans="1:100" x14ac:dyDescent="0.4">
      <c r="A721" s="2" t="s">
        <v>775</v>
      </c>
      <c r="B721" t="str">
        <f>_xlfn.TEXTAFTER(Table1[[#This Row],[VEHIDCODE]],"_")</f>
        <v>Coach_Gen1_Wooden_2_axle_Mail_Coach</v>
      </c>
      <c r="C721" t="s">
        <v>754</v>
      </c>
      <c r="D721" t="s">
        <v>970</v>
      </c>
      <c r="E721">
        <v>11002</v>
      </c>
      <c r="F721" t="b">
        <f>OR(ISNUMBER(SEARCH("wagon_",Table1[[#This Row],[FILENAMES_EXPECTED]])),ISNUMBER(SEARCH("coach_",Table1[[#This Row],[FILENAMES_EXPECTED]])))</f>
        <v>1</v>
      </c>
      <c r="G721" t="str">
        <f>"item_"&amp;Table1[[#This Row],[VEHIDCODE]]</f>
        <v>item_mu_Coach_Gen1_Wooden_2_axle_Mail_Coach</v>
      </c>
      <c r="H721" t="str">
        <f>"str_"&amp;Table1[[#This Row],[VEHIDCODE]]</f>
        <v>str_mu_Coach_Gen1_Wooden_2_axle_Mail_Coach</v>
      </c>
      <c r="Q721" s="2" t="b">
        <v>1</v>
      </c>
      <c r="Z721" s="2" t="b">
        <v>1</v>
      </c>
      <c r="AI721" s="2" t="b">
        <v>1</v>
      </c>
      <c r="AL721" s="2"/>
      <c r="AM721" s="2" t="b">
        <f>LEN(_xlfn.CONCAT(Table1[[#This Row],[TRACK_TYPE_STANDARD_GAUGE_RAILTYPE_OHLE]:[TRACK_TYPE_MTRO]]))&gt;0</f>
        <v>1</v>
      </c>
      <c r="AN721">
        <v>4</v>
      </c>
      <c r="AO721" t="s">
        <v>673</v>
      </c>
      <c r="AP721">
        <v>0</v>
      </c>
      <c r="AQ721" t="s">
        <v>35</v>
      </c>
      <c r="AR721">
        <v>12</v>
      </c>
      <c r="AS721">
        <v>1830</v>
      </c>
      <c r="AT721">
        <v>4</v>
      </c>
      <c r="AU721" s="2" t="s">
        <v>674</v>
      </c>
      <c r="AV721" t="b">
        <v>1</v>
      </c>
      <c r="AX721" s="2"/>
      <c r="AY721">
        <v>90</v>
      </c>
      <c r="AZ721">
        <v>1</v>
      </c>
      <c r="BA721">
        <v>0</v>
      </c>
      <c r="BB721" t="s">
        <v>710</v>
      </c>
      <c r="BC721">
        <v>50</v>
      </c>
      <c r="BD721" s="2">
        <v>0.3</v>
      </c>
      <c r="BE721" t="s">
        <v>935</v>
      </c>
      <c r="BF721" t="s">
        <v>921</v>
      </c>
      <c r="BG721" t="s">
        <v>939</v>
      </c>
      <c r="BH721" s="7">
        <v>25</v>
      </c>
      <c r="BI72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21">
        <v>0</v>
      </c>
      <c r="BK721" t="s">
        <v>733</v>
      </c>
      <c r="BL721" s="11"/>
      <c r="BM721" s="11"/>
      <c r="BN721" s="11">
        <v>5</v>
      </c>
      <c r="BO721">
        <v>0</v>
      </c>
      <c r="BP721" t="s">
        <v>691</v>
      </c>
      <c r="BQ721" t="s">
        <v>693</v>
      </c>
      <c r="BR721" t="s">
        <v>700</v>
      </c>
      <c r="BS721" t="s">
        <v>704</v>
      </c>
      <c r="BT721" t="s">
        <v>705</v>
      </c>
      <c r="BU721" t="s">
        <v>706</v>
      </c>
      <c r="CT721"/>
      <c r="CU721"/>
      <c r="CV721"/>
    </row>
    <row r="722" spans="1:100" x14ac:dyDescent="0.4">
      <c r="A722" s="2" t="s">
        <v>776</v>
      </c>
      <c r="B722" t="str">
        <f>_xlfn.TEXTAFTER(Table1[[#This Row],[VEHIDCODE]],"_")</f>
        <v>Coach_Gen1_Clerestory_Compartment_Coach</v>
      </c>
      <c r="C722" t="s">
        <v>754</v>
      </c>
      <c r="D722" t="s">
        <v>970</v>
      </c>
      <c r="E722">
        <v>11003</v>
      </c>
      <c r="F722" t="b">
        <f>OR(ISNUMBER(SEARCH("wagon_",Table1[[#This Row],[FILENAMES_EXPECTED]])),ISNUMBER(SEARCH("coach_",Table1[[#This Row],[FILENAMES_EXPECTED]])))</f>
        <v>1</v>
      </c>
      <c r="G722" t="str">
        <f>"item_"&amp;Table1[[#This Row],[VEHIDCODE]]</f>
        <v>item_mu_Coach_Gen1_Clerestory_Compartment_Coach</v>
      </c>
      <c r="H722" t="str">
        <f>"str_"&amp;Table1[[#This Row],[VEHIDCODE]]</f>
        <v>str_mu_Coach_Gen1_Clerestory_Compartment_Coach</v>
      </c>
      <c r="Q722" s="2" t="b">
        <v>1</v>
      </c>
      <c r="Z722" s="2" t="b">
        <v>1</v>
      </c>
      <c r="AI722" s="2" t="b">
        <v>1</v>
      </c>
      <c r="AL722" s="2"/>
      <c r="AM722" s="2" t="b">
        <f>LEN(_xlfn.CONCAT(Table1[[#This Row],[TRACK_TYPE_STANDARD_GAUGE_RAILTYPE_OHLE]:[TRACK_TYPE_MTRO]]))&gt;0</f>
        <v>1</v>
      </c>
      <c r="AN722">
        <v>6</v>
      </c>
      <c r="AO722" t="s">
        <v>325</v>
      </c>
      <c r="AP722">
        <v>0</v>
      </c>
      <c r="AQ722" t="s">
        <v>35</v>
      </c>
      <c r="AR722">
        <v>60</v>
      </c>
      <c r="AS722">
        <v>1840</v>
      </c>
      <c r="AT722">
        <v>6</v>
      </c>
      <c r="AU722" s="2" t="s">
        <v>24</v>
      </c>
      <c r="AV722" t="b">
        <v>1</v>
      </c>
      <c r="AX722" s="2"/>
      <c r="AY722">
        <v>95</v>
      </c>
      <c r="AZ722">
        <v>1</v>
      </c>
      <c r="BA722">
        <v>0</v>
      </c>
      <c r="BB722" t="s">
        <v>710</v>
      </c>
      <c r="BC722">
        <v>80</v>
      </c>
      <c r="BD722" s="2">
        <v>0.3</v>
      </c>
      <c r="BE722" t="s">
        <v>932</v>
      </c>
      <c r="BF722" t="s">
        <v>924</v>
      </c>
      <c r="BG722" t="s">
        <v>939</v>
      </c>
      <c r="BH722" s="7">
        <v>25</v>
      </c>
      <c r="BI72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22">
        <v>0</v>
      </c>
      <c r="BK722" t="s">
        <v>733</v>
      </c>
      <c r="BL722" s="11"/>
      <c r="BM722" s="11"/>
      <c r="BN722" s="11">
        <v>28</v>
      </c>
      <c r="BO722">
        <v>0</v>
      </c>
      <c r="BP722" t="s">
        <v>691</v>
      </c>
      <c r="BQ722" t="s">
        <v>693</v>
      </c>
      <c r="BR722" t="s">
        <v>700</v>
      </c>
      <c r="BS722" t="s">
        <v>704</v>
      </c>
      <c r="BT722" t="s">
        <v>705</v>
      </c>
      <c r="BU722" t="s">
        <v>706</v>
      </c>
      <c r="CT722"/>
      <c r="CU722"/>
      <c r="CV722"/>
    </row>
    <row r="723" spans="1:100" x14ac:dyDescent="0.4">
      <c r="A723" s="2" t="s">
        <v>777</v>
      </c>
      <c r="B723" t="str">
        <f>_xlfn.TEXTAFTER(Table1[[#This Row],[VEHIDCODE]],"_")</f>
        <v>Coach_Gen1_Clerestory_Regional_Coach</v>
      </c>
      <c r="C723" t="s">
        <v>754</v>
      </c>
      <c r="D723" t="s">
        <v>970</v>
      </c>
      <c r="E723">
        <v>11004</v>
      </c>
      <c r="F723" t="b">
        <f>OR(ISNUMBER(SEARCH("wagon_",Table1[[#This Row],[FILENAMES_EXPECTED]])),ISNUMBER(SEARCH("coach_",Table1[[#This Row],[FILENAMES_EXPECTED]])))</f>
        <v>1</v>
      </c>
      <c r="G723" t="str">
        <f>"item_"&amp;Table1[[#This Row],[VEHIDCODE]]</f>
        <v>item_mu_Coach_Gen1_Clerestory_Regional_Coach</v>
      </c>
      <c r="H723" t="str">
        <f>"str_"&amp;Table1[[#This Row],[VEHIDCODE]]</f>
        <v>str_mu_Coach_Gen1_Clerestory_Regional_Coach</v>
      </c>
      <c r="Q723" s="2" t="b">
        <v>1</v>
      </c>
      <c r="Z723" s="2" t="b">
        <v>1</v>
      </c>
      <c r="AI723" s="2" t="b">
        <v>1</v>
      </c>
      <c r="AL723" s="2"/>
      <c r="AM723" s="2" t="b">
        <f>LEN(_xlfn.CONCAT(Table1[[#This Row],[TRACK_TYPE_STANDARD_GAUGE_RAILTYPE_OHLE]:[TRACK_TYPE_MTRO]]))&gt;0</f>
        <v>1</v>
      </c>
      <c r="AN723">
        <v>6</v>
      </c>
      <c r="AO723" t="s">
        <v>325</v>
      </c>
      <c r="AP723">
        <v>0</v>
      </c>
      <c r="AQ723" t="s">
        <v>35</v>
      </c>
      <c r="AR723">
        <v>50</v>
      </c>
      <c r="AS723">
        <v>1840</v>
      </c>
      <c r="AT723">
        <v>6</v>
      </c>
      <c r="AU723" s="2" t="s">
        <v>479</v>
      </c>
      <c r="AV723" t="b">
        <v>1</v>
      </c>
      <c r="AX723" s="2"/>
      <c r="AY723">
        <v>95</v>
      </c>
      <c r="AZ723">
        <v>1</v>
      </c>
      <c r="BA723">
        <v>0</v>
      </c>
      <c r="BB723" t="s">
        <v>710</v>
      </c>
      <c r="BC723">
        <v>90</v>
      </c>
      <c r="BD723" s="2">
        <v>0.3</v>
      </c>
      <c r="BE723" t="s">
        <v>935</v>
      </c>
      <c r="BF723" t="s">
        <v>921</v>
      </c>
      <c r="BG723" t="s">
        <v>939</v>
      </c>
      <c r="BH723" s="7">
        <v>25</v>
      </c>
      <c r="BI72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23">
        <v>0</v>
      </c>
      <c r="BK723" t="s">
        <v>733</v>
      </c>
      <c r="BL723" s="11"/>
      <c r="BM723" s="11"/>
      <c r="BN723" s="11">
        <v>28</v>
      </c>
      <c r="BO723">
        <v>0</v>
      </c>
      <c r="BP723" t="s">
        <v>691</v>
      </c>
      <c r="BQ723" t="s">
        <v>693</v>
      </c>
      <c r="BR723" t="s">
        <v>700</v>
      </c>
      <c r="BS723" t="s">
        <v>704</v>
      </c>
      <c r="BT723" t="s">
        <v>705</v>
      </c>
      <c r="BU723" t="s">
        <v>706</v>
      </c>
      <c r="CT723"/>
      <c r="CU723"/>
      <c r="CV723"/>
    </row>
    <row r="724" spans="1:100" x14ac:dyDescent="0.4">
      <c r="A724" s="2" t="s">
        <v>778</v>
      </c>
      <c r="B724" t="str">
        <f>_xlfn.TEXTAFTER(Table1[[#This Row],[VEHIDCODE]],"_")</f>
        <v>Coach_Gen1_Clerestory_Mail_Coach</v>
      </c>
      <c r="C724" t="s">
        <v>754</v>
      </c>
      <c r="D724" t="s">
        <v>970</v>
      </c>
      <c r="E724">
        <v>11005</v>
      </c>
      <c r="F724" t="b">
        <f>OR(ISNUMBER(SEARCH("wagon_",Table1[[#This Row],[FILENAMES_EXPECTED]])),ISNUMBER(SEARCH("coach_",Table1[[#This Row],[FILENAMES_EXPECTED]])))</f>
        <v>1</v>
      </c>
      <c r="G724" t="str">
        <f>"item_"&amp;Table1[[#This Row],[VEHIDCODE]]</f>
        <v>item_mu_Coach_Gen1_Clerestory_Mail_Coach</v>
      </c>
      <c r="H724" t="str">
        <f>"str_"&amp;Table1[[#This Row],[VEHIDCODE]]</f>
        <v>str_mu_Coach_Gen1_Clerestory_Mail_Coach</v>
      </c>
      <c r="Q724" s="2" t="b">
        <v>1</v>
      </c>
      <c r="Z724" s="2" t="b">
        <v>1</v>
      </c>
      <c r="AI724" s="2" t="b">
        <v>1</v>
      </c>
      <c r="AL724" s="2"/>
      <c r="AM724" s="2" t="b">
        <f>LEN(_xlfn.CONCAT(Table1[[#This Row],[TRACK_TYPE_STANDARD_GAUGE_RAILTYPE_OHLE]:[TRACK_TYPE_MTRO]]))&gt;0</f>
        <v>1</v>
      </c>
      <c r="AN724">
        <v>6</v>
      </c>
      <c r="AO724" t="s">
        <v>673</v>
      </c>
      <c r="AP724">
        <v>0</v>
      </c>
      <c r="AQ724" t="s">
        <v>35</v>
      </c>
      <c r="AR724">
        <v>40</v>
      </c>
      <c r="AS724">
        <v>1840</v>
      </c>
      <c r="AT724">
        <v>6</v>
      </c>
      <c r="AU724" s="2" t="s">
        <v>674</v>
      </c>
      <c r="AV724" t="b">
        <v>1</v>
      </c>
      <c r="AX724" s="2"/>
      <c r="AY724">
        <v>95</v>
      </c>
      <c r="AZ724">
        <v>1</v>
      </c>
      <c r="BA724">
        <v>0</v>
      </c>
      <c r="BB724" t="s">
        <v>710</v>
      </c>
      <c r="BC724">
        <v>90</v>
      </c>
      <c r="BD724" s="2">
        <v>0.3</v>
      </c>
      <c r="BE724" t="s">
        <v>935</v>
      </c>
      <c r="BF724" t="s">
        <v>921</v>
      </c>
      <c r="BG724" t="s">
        <v>939</v>
      </c>
      <c r="BH724" s="7">
        <v>25</v>
      </c>
      <c r="BI72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24">
        <v>0</v>
      </c>
      <c r="BK724" t="s">
        <v>733</v>
      </c>
      <c r="BL724" s="11"/>
      <c r="BM724" s="11"/>
      <c r="BN724" s="11">
        <v>28</v>
      </c>
      <c r="BO724">
        <v>0</v>
      </c>
      <c r="BP724" t="s">
        <v>691</v>
      </c>
      <c r="BQ724" t="s">
        <v>693</v>
      </c>
      <c r="BR724" t="s">
        <v>700</v>
      </c>
      <c r="BS724" t="s">
        <v>704</v>
      </c>
      <c r="BT724" t="s">
        <v>705</v>
      </c>
      <c r="BU724" t="s">
        <v>706</v>
      </c>
      <c r="CT724"/>
      <c r="CU724"/>
      <c r="CV724"/>
    </row>
    <row r="725" spans="1:100" x14ac:dyDescent="0.4">
      <c r="A725" s="2" t="s">
        <v>779</v>
      </c>
      <c r="B725" t="str">
        <f>_xlfn.TEXTAFTER(Table1[[#This Row],[VEHIDCODE]],"_")</f>
        <v>Coach_Gen1_Wooden_3_axle_Compartment_Coach</v>
      </c>
      <c r="C725" t="s">
        <v>754</v>
      </c>
      <c r="D725" t="s">
        <v>970</v>
      </c>
      <c r="E725">
        <v>11006</v>
      </c>
      <c r="F725" t="b">
        <f>OR(ISNUMBER(SEARCH("wagon_",Table1[[#This Row],[FILENAMES_EXPECTED]])),ISNUMBER(SEARCH("coach_",Table1[[#This Row],[FILENAMES_EXPECTED]])))</f>
        <v>1</v>
      </c>
      <c r="G725" t="str">
        <f>"item_"&amp;Table1[[#This Row],[VEHIDCODE]]</f>
        <v>item_mu_Coach_Gen1_Wooden_3_axle_Compartment_Coach</v>
      </c>
      <c r="H725" t="str">
        <f>"str_"&amp;Table1[[#This Row],[VEHIDCODE]]</f>
        <v>str_mu_Coach_Gen1_Wooden_3_axle_Compartment_Coach</v>
      </c>
      <c r="Q725" s="2" t="b">
        <v>1</v>
      </c>
      <c r="Z725" s="2" t="b">
        <v>1</v>
      </c>
      <c r="AI725" s="2" t="b">
        <v>1</v>
      </c>
      <c r="AL725" s="2"/>
      <c r="AM725" s="2" t="b">
        <f>LEN(_xlfn.CONCAT(Table1[[#This Row],[TRACK_TYPE_STANDARD_GAUGE_RAILTYPE_OHLE]:[TRACK_TYPE_MTRO]]))&gt;0</f>
        <v>1</v>
      </c>
      <c r="AN725">
        <v>5</v>
      </c>
      <c r="AO725" t="s">
        <v>325</v>
      </c>
      <c r="AP725">
        <v>0</v>
      </c>
      <c r="AQ725" t="s">
        <v>35</v>
      </c>
      <c r="AR725">
        <v>50</v>
      </c>
      <c r="AS725">
        <v>1850</v>
      </c>
      <c r="AT725">
        <v>5</v>
      </c>
      <c r="AU725" s="2" t="s">
        <v>24</v>
      </c>
      <c r="AV725" t="b">
        <v>1</v>
      </c>
      <c r="AX725" s="2"/>
      <c r="AY725">
        <v>80</v>
      </c>
      <c r="AZ725">
        <v>1</v>
      </c>
      <c r="BA725">
        <v>0</v>
      </c>
      <c r="BB725" t="s">
        <v>710</v>
      </c>
      <c r="BC725">
        <v>80</v>
      </c>
      <c r="BD725" s="2">
        <v>0.3</v>
      </c>
      <c r="BE725" t="s">
        <v>932</v>
      </c>
      <c r="BF725" t="s">
        <v>924</v>
      </c>
      <c r="BG725" t="s">
        <v>939</v>
      </c>
      <c r="BH725" s="7">
        <v>25</v>
      </c>
      <c r="BI72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25">
        <v>0</v>
      </c>
      <c r="BK725" t="s">
        <v>733</v>
      </c>
      <c r="BL725" s="11"/>
      <c r="BM725" s="11"/>
      <c r="BN725" s="11">
        <v>13</v>
      </c>
      <c r="BO725">
        <v>0</v>
      </c>
      <c r="BP725" t="s">
        <v>691</v>
      </c>
      <c r="BQ725" t="s">
        <v>693</v>
      </c>
      <c r="BR725" t="s">
        <v>700</v>
      </c>
      <c r="BS725" t="s">
        <v>704</v>
      </c>
      <c r="BT725" t="s">
        <v>705</v>
      </c>
      <c r="BU725" t="s">
        <v>706</v>
      </c>
      <c r="CT725"/>
      <c r="CU725"/>
      <c r="CV725"/>
    </row>
    <row r="726" spans="1:100" x14ac:dyDescent="0.4">
      <c r="A726" s="2" t="s">
        <v>780</v>
      </c>
      <c r="B726" t="str">
        <f>_xlfn.TEXTAFTER(Table1[[#This Row],[VEHIDCODE]],"_")</f>
        <v>Coach_Gen1_Wooden_3_axle_Regional_Coach</v>
      </c>
      <c r="C726" t="s">
        <v>754</v>
      </c>
      <c r="D726" t="s">
        <v>970</v>
      </c>
      <c r="E726">
        <v>11007</v>
      </c>
      <c r="F726" t="b">
        <f>OR(ISNUMBER(SEARCH("wagon_",Table1[[#This Row],[FILENAMES_EXPECTED]])),ISNUMBER(SEARCH("coach_",Table1[[#This Row],[FILENAMES_EXPECTED]])))</f>
        <v>1</v>
      </c>
      <c r="G726" t="str">
        <f>"item_"&amp;Table1[[#This Row],[VEHIDCODE]]</f>
        <v>item_mu_Coach_Gen1_Wooden_3_axle_Regional_Coach</v>
      </c>
      <c r="H726" t="str">
        <f>"str_"&amp;Table1[[#This Row],[VEHIDCODE]]</f>
        <v>str_mu_Coach_Gen1_Wooden_3_axle_Regional_Coach</v>
      </c>
      <c r="Q726" s="2" t="b">
        <v>1</v>
      </c>
      <c r="Z726" s="2" t="b">
        <v>1</v>
      </c>
      <c r="AI726" s="2" t="b">
        <v>1</v>
      </c>
      <c r="AL726" s="2"/>
      <c r="AM726" s="2" t="b">
        <f>LEN(_xlfn.CONCAT(Table1[[#This Row],[TRACK_TYPE_STANDARD_GAUGE_RAILTYPE_OHLE]:[TRACK_TYPE_MTRO]]))&gt;0</f>
        <v>1</v>
      </c>
      <c r="AN726">
        <v>5</v>
      </c>
      <c r="AO726" t="s">
        <v>325</v>
      </c>
      <c r="AP726">
        <v>0</v>
      </c>
      <c r="AQ726" t="s">
        <v>35</v>
      </c>
      <c r="AR726">
        <v>40</v>
      </c>
      <c r="AS726">
        <v>1850</v>
      </c>
      <c r="AT726">
        <v>5</v>
      </c>
      <c r="AU726" s="2" t="s">
        <v>479</v>
      </c>
      <c r="AV726" t="b">
        <v>1</v>
      </c>
      <c r="AX726" s="2"/>
      <c r="AY726">
        <v>80</v>
      </c>
      <c r="AZ726">
        <v>1</v>
      </c>
      <c r="BA726">
        <v>0</v>
      </c>
      <c r="BB726" t="s">
        <v>710</v>
      </c>
      <c r="BC726">
        <v>90</v>
      </c>
      <c r="BD726" s="2">
        <v>0.3</v>
      </c>
      <c r="BE726" t="s">
        <v>932</v>
      </c>
      <c r="BF726" t="s">
        <v>924</v>
      </c>
      <c r="BG726" t="s">
        <v>939</v>
      </c>
      <c r="BH726" s="7">
        <v>25</v>
      </c>
      <c r="BI72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26">
        <v>0</v>
      </c>
      <c r="BK726" t="s">
        <v>733</v>
      </c>
      <c r="BL726" s="11"/>
      <c r="BM726" s="11"/>
      <c r="BN726" s="11">
        <v>13</v>
      </c>
      <c r="BO726">
        <v>0</v>
      </c>
      <c r="BP726" t="s">
        <v>691</v>
      </c>
      <c r="BQ726" t="s">
        <v>693</v>
      </c>
      <c r="BR726" t="s">
        <v>700</v>
      </c>
      <c r="BS726" t="s">
        <v>704</v>
      </c>
      <c r="BT726" t="s">
        <v>705</v>
      </c>
      <c r="BU726" t="s">
        <v>706</v>
      </c>
      <c r="CT726"/>
      <c r="CU726"/>
      <c r="CV726"/>
    </row>
    <row r="727" spans="1:100" x14ac:dyDescent="0.4">
      <c r="A727" s="2" t="s">
        <v>781</v>
      </c>
      <c r="B727" t="str">
        <f>_xlfn.TEXTAFTER(Table1[[#This Row],[VEHIDCODE]],"_")</f>
        <v>Coach_Gen1_Wooden_3_axle_Mail_Coach</v>
      </c>
      <c r="C727" t="s">
        <v>754</v>
      </c>
      <c r="D727" t="s">
        <v>970</v>
      </c>
      <c r="E727">
        <v>11008</v>
      </c>
      <c r="F727" t="b">
        <f>OR(ISNUMBER(SEARCH("wagon_",Table1[[#This Row],[FILENAMES_EXPECTED]])),ISNUMBER(SEARCH("coach_",Table1[[#This Row],[FILENAMES_EXPECTED]])))</f>
        <v>1</v>
      </c>
      <c r="G727" t="str">
        <f>"item_"&amp;Table1[[#This Row],[VEHIDCODE]]</f>
        <v>item_mu_Coach_Gen1_Wooden_3_axle_Mail_Coach</v>
      </c>
      <c r="H727" t="str">
        <f>"str_"&amp;Table1[[#This Row],[VEHIDCODE]]</f>
        <v>str_mu_Coach_Gen1_Wooden_3_axle_Mail_Coach</v>
      </c>
      <c r="Q727" s="2" t="b">
        <v>1</v>
      </c>
      <c r="Z727" s="2" t="b">
        <v>1</v>
      </c>
      <c r="AI727" s="2" t="b">
        <v>1</v>
      </c>
      <c r="AL727" s="2"/>
      <c r="AM727" s="2" t="b">
        <f>LEN(_xlfn.CONCAT(Table1[[#This Row],[TRACK_TYPE_STANDARD_GAUGE_RAILTYPE_OHLE]:[TRACK_TYPE_MTRO]]))&gt;0</f>
        <v>1</v>
      </c>
      <c r="AN727">
        <v>5</v>
      </c>
      <c r="AO727" t="s">
        <v>673</v>
      </c>
      <c r="AP727">
        <v>0</v>
      </c>
      <c r="AQ727" t="s">
        <v>35</v>
      </c>
      <c r="AR727">
        <v>24</v>
      </c>
      <c r="AS727">
        <v>1850</v>
      </c>
      <c r="AT727">
        <v>5</v>
      </c>
      <c r="AU727" s="2" t="s">
        <v>674</v>
      </c>
      <c r="AV727" t="b">
        <v>1</v>
      </c>
      <c r="AX727" s="2"/>
      <c r="AY727">
        <v>80</v>
      </c>
      <c r="AZ727">
        <v>1</v>
      </c>
      <c r="BA727">
        <v>0</v>
      </c>
      <c r="BB727" t="s">
        <v>710</v>
      </c>
      <c r="BC727">
        <v>80</v>
      </c>
      <c r="BD727" s="2">
        <v>0.3</v>
      </c>
      <c r="BE727" t="s">
        <v>932</v>
      </c>
      <c r="BF727" t="s">
        <v>924</v>
      </c>
      <c r="BG727" t="s">
        <v>939</v>
      </c>
      <c r="BH727" s="7">
        <v>25</v>
      </c>
      <c r="BI72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27">
        <v>0</v>
      </c>
      <c r="BK727" t="s">
        <v>733</v>
      </c>
      <c r="BL727" s="11"/>
      <c r="BM727" s="11"/>
      <c r="BN727" s="11">
        <v>13</v>
      </c>
      <c r="BO727">
        <v>0</v>
      </c>
      <c r="BP727" t="s">
        <v>691</v>
      </c>
      <c r="BQ727" t="s">
        <v>693</v>
      </c>
      <c r="BR727" t="s">
        <v>700</v>
      </c>
      <c r="BS727" t="s">
        <v>704</v>
      </c>
      <c r="BT727" t="s">
        <v>705</v>
      </c>
      <c r="BU727" t="s">
        <v>706</v>
      </c>
      <c r="CT727"/>
      <c r="CU727"/>
      <c r="CV727"/>
    </row>
    <row r="728" spans="1:100" x14ac:dyDescent="0.4">
      <c r="A728" s="2" t="s">
        <v>782</v>
      </c>
      <c r="B728" t="str">
        <f>_xlfn.TEXTAFTER(Table1[[#This Row],[VEHIDCODE]],"_")</f>
        <v>Coach_Gen2_Heavyweight_Intercity_Coach</v>
      </c>
      <c r="C728" t="s">
        <v>755</v>
      </c>
      <c r="D728" t="s">
        <v>970</v>
      </c>
      <c r="E728">
        <v>11009</v>
      </c>
      <c r="F728" t="b">
        <f>OR(ISNUMBER(SEARCH("wagon_",Table1[[#This Row],[FILENAMES_EXPECTED]])),ISNUMBER(SEARCH("coach_",Table1[[#This Row],[FILENAMES_EXPECTED]])))</f>
        <v>1</v>
      </c>
      <c r="G728" t="str">
        <f>"item_"&amp;Table1[[#This Row],[VEHIDCODE]]</f>
        <v>item_mu_Coach_Gen2_Heavyweight_Intercity_Coach</v>
      </c>
      <c r="H728" t="str">
        <f>"str_"&amp;Table1[[#This Row],[VEHIDCODE]]</f>
        <v>str_mu_Coach_Gen2_Heavyweight_Intercity_Coach</v>
      </c>
      <c r="Q728" s="2" t="b">
        <v>1</v>
      </c>
      <c r="Z728" s="2" t="b">
        <v>1</v>
      </c>
      <c r="AI728" s="2" t="b">
        <v>1</v>
      </c>
      <c r="AL728" s="2"/>
      <c r="AM728" s="2" t="b">
        <f>LEN(_xlfn.CONCAT(Table1[[#This Row],[TRACK_TYPE_STANDARD_GAUGE_RAILTYPE_OHLE]:[TRACK_TYPE_MTRO]]))&gt;0</f>
        <v>1</v>
      </c>
      <c r="AN728">
        <v>8</v>
      </c>
      <c r="AO728" t="s">
        <v>325</v>
      </c>
      <c r="AP728">
        <v>0</v>
      </c>
      <c r="AQ728" t="s">
        <v>35</v>
      </c>
      <c r="AR728">
        <v>60</v>
      </c>
      <c r="AS728">
        <v>1900</v>
      </c>
      <c r="AT728">
        <v>8</v>
      </c>
      <c r="AU728" s="2" t="s">
        <v>479</v>
      </c>
      <c r="AV728" t="b">
        <v>1</v>
      </c>
      <c r="AX728" s="2"/>
      <c r="AY728">
        <v>75</v>
      </c>
      <c r="AZ728">
        <v>1</v>
      </c>
      <c r="BA728">
        <v>0</v>
      </c>
      <c r="BB728" t="s">
        <v>710</v>
      </c>
      <c r="BC728">
        <v>160</v>
      </c>
      <c r="BD728" s="2">
        <v>0.3</v>
      </c>
      <c r="BE728" t="s">
        <v>934</v>
      </c>
      <c r="BF728" t="s">
        <v>924</v>
      </c>
      <c r="BG728" t="s">
        <v>939</v>
      </c>
      <c r="BH728" s="7">
        <v>25</v>
      </c>
      <c r="BI72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28">
        <v>0</v>
      </c>
      <c r="BK728" t="s">
        <v>733</v>
      </c>
      <c r="BL728" s="11"/>
      <c r="BM728" s="11"/>
      <c r="BN728" s="11">
        <v>73</v>
      </c>
      <c r="BO728">
        <v>0</v>
      </c>
      <c r="BP728" t="s">
        <v>691</v>
      </c>
      <c r="BQ728" t="s">
        <v>693</v>
      </c>
      <c r="BR728" t="s">
        <v>700</v>
      </c>
      <c r="BS728" t="s">
        <v>704</v>
      </c>
      <c r="BT728" t="s">
        <v>705</v>
      </c>
      <c r="BU728" t="s">
        <v>706</v>
      </c>
      <c r="CT728"/>
      <c r="CU728"/>
      <c r="CV728"/>
    </row>
    <row r="729" spans="1:100" x14ac:dyDescent="0.4">
      <c r="A729" s="2" t="s">
        <v>783</v>
      </c>
      <c r="B729" t="str">
        <f>_xlfn.TEXTAFTER(Table1[[#This Row],[VEHIDCODE]],"_")</f>
        <v>Coach_Gen2_Heavyweight_Mail_Coach</v>
      </c>
      <c r="C729" t="s">
        <v>755</v>
      </c>
      <c r="D729" t="s">
        <v>970</v>
      </c>
      <c r="E729">
        <v>11010</v>
      </c>
      <c r="F729" t="b">
        <f>OR(ISNUMBER(SEARCH("wagon_",Table1[[#This Row],[FILENAMES_EXPECTED]])),ISNUMBER(SEARCH("coach_",Table1[[#This Row],[FILENAMES_EXPECTED]])))</f>
        <v>1</v>
      </c>
      <c r="G729" t="str">
        <f>"item_"&amp;Table1[[#This Row],[VEHIDCODE]]</f>
        <v>item_mu_Coach_Gen2_Heavyweight_Mail_Coach</v>
      </c>
      <c r="H729" t="str">
        <f>"str_"&amp;Table1[[#This Row],[VEHIDCODE]]</f>
        <v>str_mu_Coach_Gen2_Heavyweight_Mail_Coach</v>
      </c>
      <c r="Q729" s="2" t="b">
        <v>1</v>
      </c>
      <c r="Z729" s="2" t="b">
        <v>1</v>
      </c>
      <c r="AI729" s="2" t="b">
        <v>1</v>
      </c>
      <c r="AL729" s="2"/>
      <c r="AM729" s="2" t="b">
        <f>LEN(_xlfn.CONCAT(Table1[[#This Row],[TRACK_TYPE_STANDARD_GAUGE_RAILTYPE_OHLE]:[TRACK_TYPE_MTRO]]))&gt;0</f>
        <v>1</v>
      </c>
      <c r="AN729">
        <v>8</v>
      </c>
      <c r="AO729" t="s">
        <v>673</v>
      </c>
      <c r="AP729">
        <v>0</v>
      </c>
      <c r="AQ729" t="s">
        <v>35</v>
      </c>
      <c r="AR729">
        <v>90</v>
      </c>
      <c r="AS729">
        <v>1900</v>
      </c>
      <c r="AT729">
        <v>8</v>
      </c>
      <c r="AU729" s="2" t="s">
        <v>479</v>
      </c>
      <c r="AV729" t="b">
        <v>1</v>
      </c>
      <c r="AX729" s="2"/>
      <c r="AY729">
        <v>75</v>
      </c>
      <c r="AZ729">
        <v>1</v>
      </c>
      <c r="BA729">
        <v>0</v>
      </c>
      <c r="BB729" t="s">
        <v>710</v>
      </c>
      <c r="BC729">
        <v>120</v>
      </c>
      <c r="BD729" s="2">
        <v>0.3</v>
      </c>
      <c r="BE729" t="s">
        <v>934</v>
      </c>
      <c r="BF729" t="s">
        <v>924</v>
      </c>
      <c r="BG729" t="s">
        <v>939</v>
      </c>
      <c r="BH729" s="7">
        <v>25</v>
      </c>
      <c r="BI72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29">
        <v>0</v>
      </c>
      <c r="BK729" t="s">
        <v>733</v>
      </c>
      <c r="BL729" s="11"/>
      <c r="BM729" s="11"/>
      <c r="BN729" s="11">
        <v>58</v>
      </c>
      <c r="BO729">
        <v>0</v>
      </c>
      <c r="BP729" t="s">
        <v>691</v>
      </c>
      <c r="BQ729" t="s">
        <v>693</v>
      </c>
      <c r="BR729" t="s">
        <v>700</v>
      </c>
      <c r="BS729" t="s">
        <v>704</v>
      </c>
      <c r="BT729" t="s">
        <v>705</v>
      </c>
      <c r="BU729" t="s">
        <v>706</v>
      </c>
      <c r="CT729"/>
      <c r="CU729"/>
      <c r="CV729"/>
    </row>
    <row r="730" spans="1:100" x14ac:dyDescent="0.4">
      <c r="A730" s="2" t="s">
        <v>784</v>
      </c>
      <c r="B730" t="str">
        <f>_xlfn.TEXTAFTER(Table1[[#This Row],[VEHIDCODE]],"_")</f>
        <v>Coach_Gen2_Steel_Intercity_Coach</v>
      </c>
      <c r="C730" t="s">
        <v>755</v>
      </c>
      <c r="D730" t="s">
        <v>970</v>
      </c>
      <c r="E730">
        <v>11011</v>
      </c>
      <c r="F730" t="b">
        <f>OR(ISNUMBER(SEARCH("wagon_",Table1[[#This Row],[FILENAMES_EXPECTED]])),ISNUMBER(SEARCH("coach_",Table1[[#This Row],[FILENAMES_EXPECTED]])))</f>
        <v>1</v>
      </c>
      <c r="G730" t="str">
        <f>"item_"&amp;Table1[[#This Row],[VEHIDCODE]]</f>
        <v>item_mu_Coach_Gen2_Steel_Intercity_Coach</v>
      </c>
      <c r="H730" t="str">
        <f>"str_"&amp;Table1[[#This Row],[VEHIDCODE]]</f>
        <v>str_mu_Coach_Gen2_Steel_Intercity_Coach</v>
      </c>
      <c r="Q730" s="2" t="b">
        <v>1</v>
      </c>
      <c r="Z730" s="2" t="b">
        <v>1</v>
      </c>
      <c r="AI730" s="2" t="b">
        <v>1</v>
      </c>
      <c r="AL730" s="2"/>
      <c r="AM730" s="2" t="b">
        <f>LEN(_xlfn.CONCAT(Table1[[#This Row],[TRACK_TYPE_STANDARD_GAUGE_RAILTYPE_OHLE]:[TRACK_TYPE_MTRO]]))&gt;0</f>
        <v>1</v>
      </c>
      <c r="AN730">
        <v>7</v>
      </c>
      <c r="AO730" t="s">
        <v>325</v>
      </c>
      <c r="AP730">
        <v>0</v>
      </c>
      <c r="AQ730" t="s">
        <v>35</v>
      </c>
      <c r="AR730">
        <v>55</v>
      </c>
      <c r="AS730">
        <v>1910</v>
      </c>
      <c r="AT730">
        <v>7</v>
      </c>
      <c r="AU730" s="2" t="s">
        <v>479</v>
      </c>
      <c r="AV730" t="b">
        <v>1</v>
      </c>
      <c r="AX730" s="2"/>
      <c r="AY730">
        <v>60</v>
      </c>
      <c r="AZ730">
        <v>1</v>
      </c>
      <c r="BA730">
        <v>0</v>
      </c>
      <c r="BB730" t="s">
        <v>710</v>
      </c>
      <c r="BC730">
        <v>120</v>
      </c>
      <c r="BD730" s="2">
        <v>0.3</v>
      </c>
      <c r="BE730" t="s">
        <v>932</v>
      </c>
      <c r="BF730" t="s">
        <v>924</v>
      </c>
      <c r="BG730" t="s">
        <v>939</v>
      </c>
      <c r="BH730" s="7">
        <v>25</v>
      </c>
      <c r="BI73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30">
        <v>0</v>
      </c>
      <c r="BK730" t="s">
        <v>733</v>
      </c>
      <c r="BL730" s="11"/>
      <c r="BM730" s="11"/>
      <c r="BN730" s="11">
        <v>40</v>
      </c>
      <c r="BO730">
        <v>0</v>
      </c>
      <c r="BP730" t="s">
        <v>691</v>
      </c>
      <c r="BQ730" t="s">
        <v>693</v>
      </c>
      <c r="BR730" t="s">
        <v>700</v>
      </c>
      <c r="BS730" t="s">
        <v>704</v>
      </c>
      <c r="BT730" t="s">
        <v>705</v>
      </c>
      <c r="BU730" t="s">
        <v>706</v>
      </c>
      <c r="CT730"/>
      <c r="CU730"/>
      <c r="CV730"/>
    </row>
    <row r="731" spans="1:100" x14ac:dyDescent="0.4">
      <c r="A731" s="2" t="s">
        <v>785</v>
      </c>
      <c r="B731" t="str">
        <f>_xlfn.TEXTAFTER(Table1[[#This Row],[VEHIDCODE]],"_")</f>
        <v>Coach_Gen2_Steel_Compartment_Coach</v>
      </c>
      <c r="C731" t="s">
        <v>755</v>
      </c>
      <c r="D731" t="s">
        <v>970</v>
      </c>
      <c r="E731">
        <v>11012</v>
      </c>
      <c r="F731" t="b">
        <f>OR(ISNUMBER(SEARCH("wagon_",Table1[[#This Row],[FILENAMES_EXPECTED]])),ISNUMBER(SEARCH("coach_",Table1[[#This Row],[FILENAMES_EXPECTED]])))</f>
        <v>1</v>
      </c>
      <c r="G731" t="str">
        <f>"item_"&amp;Table1[[#This Row],[VEHIDCODE]]</f>
        <v>item_mu_Coach_Gen2_Steel_Compartment_Coach</v>
      </c>
      <c r="H731" t="str">
        <f>"str_"&amp;Table1[[#This Row],[VEHIDCODE]]</f>
        <v>str_mu_Coach_Gen2_Steel_Compartment_Coach</v>
      </c>
      <c r="Q731" s="2" t="b">
        <v>1</v>
      </c>
      <c r="Z731" s="2" t="b">
        <v>1</v>
      </c>
      <c r="AI731" s="2" t="b">
        <v>1</v>
      </c>
      <c r="AL731" s="2"/>
      <c r="AM731" s="2" t="b">
        <f>LEN(_xlfn.CONCAT(Table1[[#This Row],[TRACK_TYPE_STANDARD_GAUGE_RAILTYPE_OHLE]:[TRACK_TYPE_MTRO]]))&gt;0</f>
        <v>1</v>
      </c>
      <c r="AN731">
        <v>7</v>
      </c>
      <c r="AO731" t="s">
        <v>325</v>
      </c>
      <c r="AP731">
        <v>0</v>
      </c>
      <c r="AQ731" t="s">
        <v>35</v>
      </c>
      <c r="AR731">
        <v>75</v>
      </c>
      <c r="AS731">
        <v>1910</v>
      </c>
      <c r="AT731">
        <v>7</v>
      </c>
      <c r="AU731" s="2" t="s">
        <v>24</v>
      </c>
      <c r="AV731" t="b">
        <v>1</v>
      </c>
      <c r="AX731" s="2"/>
      <c r="AY731">
        <v>60</v>
      </c>
      <c r="AZ731">
        <v>1</v>
      </c>
      <c r="BA731">
        <v>0</v>
      </c>
      <c r="BB731" t="s">
        <v>710</v>
      </c>
      <c r="BC731">
        <v>110</v>
      </c>
      <c r="BD731" s="2">
        <v>0.3</v>
      </c>
      <c r="BE731" t="s">
        <v>932</v>
      </c>
      <c r="BF731" t="s">
        <v>924</v>
      </c>
      <c r="BG731" t="s">
        <v>939</v>
      </c>
      <c r="BH731" s="7">
        <v>25</v>
      </c>
      <c r="BI73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31">
        <v>0</v>
      </c>
      <c r="BK731" t="s">
        <v>733</v>
      </c>
      <c r="BL731" s="11"/>
      <c r="BM731" s="11"/>
      <c r="BN731" s="11">
        <v>36</v>
      </c>
      <c r="BO731">
        <v>0</v>
      </c>
      <c r="BP731" t="s">
        <v>691</v>
      </c>
      <c r="BQ731" t="s">
        <v>693</v>
      </c>
      <c r="BR731" t="s">
        <v>700</v>
      </c>
      <c r="BS731" t="s">
        <v>704</v>
      </c>
      <c r="BT731" t="s">
        <v>705</v>
      </c>
      <c r="BU731" t="s">
        <v>706</v>
      </c>
      <c r="CT731"/>
      <c r="CU731"/>
      <c r="CV731"/>
    </row>
    <row r="732" spans="1:100" x14ac:dyDescent="0.4">
      <c r="A732" s="2" t="s">
        <v>786</v>
      </c>
      <c r="B732" t="str">
        <f>_xlfn.TEXTAFTER(Table1[[#This Row],[VEHIDCODE]],"_")</f>
        <v>Coach_Gen2_Steel_Regional_Coach</v>
      </c>
      <c r="C732" t="s">
        <v>755</v>
      </c>
      <c r="D732" t="s">
        <v>970</v>
      </c>
      <c r="E732">
        <v>11013</v>
      </c>
      <c r="F732" t="b">
        <f>OR(ISNUMBER(SEARCH("wagon_",Table1[[#This Row],[FILENAMES_EXPECTED]])),ISNUMBER(SEARCH("coach_",Table1[[#This Row],[FILENAMES_EXPECTED]])))</f>
        <v>1</v>
      </c>
      <c r="G732" t="str">
        <f>"item_"&amp;Table1[[#This Row],[VEHIDCODE]]</f>
        <v>item_mu_Coach_Gen2_Steel_Regional_Coach</v>
      </c>
      <c r="H732" t="str">
        <f>"str_"&amp;Table1[[#This Row],[VEHIDCODE]]</f>
        <v>str_mu_Coach_Gen2_Steel_Regional_Coach</v>
      </c>
      <c r="Q732" s="2" t="b">
        <v>1</v>
      </c>
      <c r="Z732" s="2" t="b">
        <v>1</v>
      </c>
      <c r="AI732" s="2" t="b">
        <v>1</v>
      </c>
      <c r="AL732" s="2"/>
      <c r="AM732" s="2" t="b">
        <f>LEN(_xlfn.CONCAT(Table1[[#This Row],[TRACK_TYPE_STANDARD_GAUGE_RAILTYPE_OHLE]:[TRACK_TYPE_MTRO]]))&gt;0</f>
        <v>1</v>
      </c>
      <c r="AN732">
        <v>7</v>
      </c>
      <c r="AO732" t="s">
        <v>325</v>
      </c>
      <c r="AP732">
        <v>0</v>
      </c>
      <c r="AQ732" t="s">
        <v>35</v>
      </c>
      <c r="AR732">
        <v>65</v>
      </c>
      <c r="AS732">
        <v>1910</v>
      </c>
      <c r="AT732">
        <v>7</v>
      </c>
      <c r="AU732" s="2" t="s">
        <v>479</v>
      </c>
      <c r="AV732" t="b">
        <v>1</v>
      </c>
      <c r="AX732" s="2"/>
      <c r="AY732">
        <v>65</v>
      </c>
      <c r="AZ732">
        <v>1</v>
      </c>
      <c r="BA732">
        <v>0</v>
      </c>
      <c r="BB732" t="s">
        <v>710</v>
      </c>
      <c r="BC732">
        <v>110</v>
      </c>
      <c r="BD732" s="2">
        <v>0.3</v>
      </c>
      <c r="BE732" t="s">
        <v>932</v>
      </c>
      <c r="BF732" t="s">
        <v>924</v>
      </c>
      <c r="BG732" t="s">
        <v>939</v>
      </c>
      <c r="BH732" s="7">
        <v>25</v>
      </c>
      <c r="BI73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32">
        <v>0</v>
      </c>
      <c r="BK732" t="s">
        <v>733</v>
      </c>
      <c r="BL732" s="11"/>
      <c r="BM732" s="11"/>
      <c r="BN732" s="11">
        <v>33</v>
      </c>
      <c r="BO732">
        <v>0</v>
      </c>
      <c r="BP732" t="s">
        <v>691</v>
      </c>
      <c r="BQ732" t="s">
        <v>693</v>
      </c>
      <c r="BR732" t="s">
        <v>700</v>
      </c>
      <c r="BS732" t="s">
        <v>704</v>
      </c>
      <c r="BT732" t="s">
        <v>705</v>
      </c>
      <c r="BU732" t="s">
        <v>706</v>
      </c>
      <c r="CT732"/>
      <c r="CU732"/>
      <c r="CV732"/>
    </row>
    <row r="733" spans="1:100" x14ac:dyDescent="0.4">
      <c r="A733" s="2" t="s">
        <v>787</v>
      </c>
      <c r="B733" t="str">
        <f>_xlfn.TEXTAFTER(Table1[[#This Row],[VEHIDCODE]],"_")</f>
        <v>Coach_Gen2_Steel_Mail_Coach</v>
      </c>
      <c r="C733" t="s">
        <v>755</v>
      </c>
      <c r="D733" t="s">
        <v>970</v>
      </c>
      <c r="E733">
        <v>11014</v>
      </c>
      <c r="F733" t="b">
        <f>OR(ISNUMBER(SEARCH("wagon_",Table1[[#This Row],[FILENAMES_EXPECTED]])),ISNUMBER(SEARCH("coach_",Table1[[#This Row],[FILENAMES_EXPECTED]])))</f>
        <v>1</v>
      </c>
      <c r="G733" t="str">
        <f>"item_"&amp;Table1[[#This Row],[VEHIDCODE]]</f>
        <v>item_mu_Coach_Gen2_Steel_Mail_Coach</v>
      </c>
      <c r="H733" t="str">
        <f>"str_"&amp;Table1[[#This Row],[VEHIDCODE]]</f>
        <v>str_mu_Coach_Gen2_Steel_Mail_Coach</v>
      </c>
      <c r="Q733" s="2" t="b">
        <v>1</v>
      </c>
      <c r="Z733" s="2" t="b">
        <v>1</v>
      </c>
      <c r="AI733" s="2" t="b">
        <v>1</v>
      </c>
      <c r="AL733" s="2"/>
      <c r="AM733" s="2" t="b">
        <f>LEN(_xlfn.CONCAT(Table1[[#This Row],[TRACK_TYPE_STANDARD_GAUGE_RAILTYPE_OHLE]:[TRACK_TYPE_MTRO]]))&gt;0</f>
        <v>1</v>
      </c>
      <c r="AN733">
        <v>7</v>
      </c>
      <c r="AO733" t="s">
        <v>673</v>
      </c>
      <c r="AP733">
        <v>0</v>
      </c>
      <c r="AQ733" t="s">
        <v>35</v>
      </c>
      <c r="AR733">
        <v>56</v>
      </c>
      <c r="AS733">
        <v>1910</v>
      </c>
      <c r="AT733">
        <v>7</v>
      </c>
      <c r="AU733" s="2" t="s">
        <v>674</v>
      </c>
      <c r="AV733" t="b">
        <v>1</v>
      </c>
      <c r="AX733" s="2"/>
      <c r="AY733">
        <v>70</v>
      </c>
      <c r="AZ733">
        <v>1</v>
      </c>
      <c r="BA733">
        <v>0</v>
      </c>
      <c r="BB733" t="s">
        <v>710</v>
      </c>
      <c r="BC733">
        <v>120</v>
      </c>
      <c r="BD733" s="2">
        <v>0.3</v>
      </c>
      <c r="BE733" t="s">
        <v>932</v>
      </c>
      <c r="BF733" t="s">
        <v>924</v>
      </c>
      <c r="BG733" t="s">
        <v>939</v>
      </c>
      <c r="BH733" s="7">
        <v>25</v>
      </c>
      <c r="BI73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33">
        <v>0</v>
      </c>
      <c r="BK733" t="s">
        <v>733</v>
      </c>
      <c r="BL733" s="11"/>
      <c r="BM733" s="11"/>
      <c r="BN733" s="11">
        <v>35</v>
      </c>
      <c r="BO733">
        <v>0</v>
      </c>
      <c r="BP733" t="s">
        <v>691</v>
      </c>
      <c r="BQ733" t="s">
        <v>693</v>
      </c>
      <c r="BR733" t="s">
        <v>700</v>
      </c>
      <c r="BS733" t="s">
        <v>704</v>
      </c>
      <c r="BT733" t="s">
        <v>705</v>
      </c>
      <c r="BU733" t="s">
        <v>706</v>
      </c>
      <c r="CT733"/>
      <c r="CU733"/>
      <c r="CV733"/>
    </row>
    <row r="734" spans="1:100" x14ac:dyDescent="0.4">
      <c r="A734" s="2" t="s">
        <v>788</v>
      </c>
      <c r="B734" t="str">
        <f>_xlfn.TEXTAFTER(Table1[[#This Row],[VEHIDCODE]],"_")</f>
        <v>Coach_Gen2_Steel_2_axle_Compartment_Coach</v>
      </c>
      <c r="C734" t="s">
        <v>755</v>
      </c>
      <c r="D734" t="s">
        <v>970</v>
      </c>
      <c r="E734">
        <v>11015</v>
      </c>
      <c r="F734" t="b">
        <f>OR(ISNUMBER(SEARCH("wagon_",Table1[[#This Row],[FILENAMES_EXPECTED]])),ISNUMBER(SEARCH("coach_",Table1[[#This Row],[FILENAMES_EXPECTED]])))</f>
        <v>1</v>
      </c>
      <c r="G734" t="str">
        <f>"item_"&amp;Table1[[#This Row],[VEHIDCODE]]</f>
        <v>item_mu_Coach_Gen2_Steel_2_axle_Compartment_Coach</v>
      </c>
      <c r="H734" t="str">
        <f>"str_"&amp;Table1[[#This Row],[VEHIDCODE]]</f>
        <v>str_mu_Coach_Gen2_Steel_2_axle_Compartment_Coach</v>
      </c>
      <c r="Q734" s="2" t="b">
        <v>1</v>
      </c>
      <c r="Z734" s="2" t="b">
        <v>1</v>
      </c>
      <c r="AI734" s="2" t="b">
        <v>1</v>
      </c>
      <c r="AL734" s="2"/>
      <c r="AM734" s="2" t="b">
        <f>LEN(_xlfn.CONCAT(Table1[[#This Row],[TRACK_TYPE_STANDARD_GAUGE_RAILTYPE_OHLE]:[TRACK_TYPE_MTRO]]))&gt;0</f>
        <v>1</v>
      </c>
      <c r="AN734">
        <v>5</v>
      </c>
      <c r="AO734" t="s">
        <v>325</v>
      </c>
      <c r="AP734">
        <v>0</v>
      </c>
      <c r="AQ734" t="s">
        <v>35</v>
      </c>
      <c r="AR734">
        <v>40</v>
      </c>
      <c r="AS734">
        <v>1920</v>
      </c>
      <c r="AT734">
        <v>5</v>
      </c>
      <c r="AU734" s="2" t="s">
        <v>24</v>
      </c>
      <c r="AV734" t="b">
        <v>1</v>
      </c>
      <c r="AX734" s="2"/>
      <c r="AY734">
        <v>60</v>
      </c>
      <c r="AZ734">
        <v>1</v>
      </c>
      <c r="BA734">
        <v>0</v>
      </c>
      <c r="BB734" t="s">
        <v>710</v>
      </c>
      <c r="BC734">
        <v>100</v>
      </c>
      <c r="BD734" s="2">
        <v>0.3</v>
      </c>
      <c r="BE734" t="s">
        <v>932</v>
      </c>
      <c r="BF734" t="s">
        <v>924</v>
      </c>
      <c r="BG734" t="s">
        <v>939</v>
      </c>
      <c r="BH734" s="7">
        <v>25</v>
      </c>
      <c r="BI73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34">
        <v>0</v>
      </c>
      <c r="BK734" t="s">
        <v>733</v>
      </c>
      <c r="BL734" s="11"/>
      <c r="BM734" s="11"/>
      <c r="BN734" s="11">
        <v>20</v>
      </c>
      <c r="BO734">
        <v>0</v>
      </c>
      <c r="BP734" t="s">
        <v>691</v>
      </c>
      <c r="BQ734" t="s">
        <v>693</v>
      </c>
      <c r="BR734" t="s">
        <v>700</v>
      </c>
      <c r="BS734" t="s">
        <v>704</v>
      </c>
      <c r="BT734" t="s">
        <v>705</v>
      </c>
      <c r="BU734" t="s">
        <v>706</v>
      </c>
      <c r="CT734"/>
      <c r="CU734"/>
      <c r="CV734"/>
    </row>
    <row r="735" spans="1:100" x14ac:dyDescent="0.4">
      <c r="A735" s="2" t="s">
        <v>789</v>
      </c>
      <c r="B735" t="str">
        <f>_xlfn.TEXTAFTER(Table1[[#This Row],[VEHIDCODE]],"_")</f>
        <v>Coach_Gen2_Steel_2_axle_Regional_Coach</v>
      </c>
      <c r="C735" t="s">
        <v>755</v>
      </c>
      <c r="D735" t="s">
        <v>970</v>
      </c>
      <c r="E735">
        <v>11016</v>
      </c>
      <c r="F735" t="b">
        <f>OR(ISNUMBER(SEARCH("wagon_",Table1[[#This Row],[FILENAMES_EXPECTED]])),ISNUMBER(SEARCH("coach_",Table1[[#This Row],[FILENAMES_EXPECTED]])))</f>
        <v>1</v>
      </c>
      <c r="G735" t="str">
        <f>"item_"&amp;Table1[[#This Row],[VEHIDCODE]]</f>
        <v>item_mu_Coach_Gen2_Steel_2_axle_Regional_Coach</v>
      </c>
      <c r="H735" t="str">
        <f>"str_"&amp;Table1[[#This Row],[VEHIDCODE]]</f>
        <v>str_mu_Coach_Gen2_Steel_2_axle_Regional_Coach</v>
      </c>
      <c r="Q735" s="2" t="b">
        <v>1</v>
      </c>
      <c r="Z735" s="2" t="b">
        <v>1</v>
      </c>
      <c r="AI735" s="2" t="b">
        <v>1</v>
      </c>
      <c r="AL735" s="2"/>
      <c r="AM735" s="2" t="b">
        <f>LEN(_xlfn.CONCAT(Table1[[#This Row],[TRACK_TYPE_STANDARD_GAUGE_RAILTYPE_OHLE]:[TRACK_TYPE_MTRO]]))&gt;0</f>
        <v>1</v>
      </c>
      <c r="AN735">
        <v>5</v>
      </c>
      <c r="AO735" t="s">
        <v>325</v>
      </c>
      <c r="AP735">
        <v>0</v>
      </c>
      <c r="AQ735" t="s">
        <v>35</v>
      </c>
      <c r="AR735">
        <v>40</v>
      </c>
      <c r="AS735">
        <v>1920</v>
      </c>
      <c r="AT735">
        <v>5</v>
      </c>
      <c r="AU735" s="2" t="s">
        <v>479</v>
      </c>
      <c r="AV735" t="b">
        <v>1</v>
      </c>
      <c r="AX735" s="2"/>
      <c r="AY735">
        <v>60</v>
      </c>
      <c r="AZ735">
        <v>1</v>
      </c>
      <c r="BA735">
        <v>0</v>
      </c>
      <c r="BB735" t="s">
        <v>710</v>
      </c>
      <c r="BC735">
        <v>100</v>
      </c>
      <c r="BD735" s="2">
        <v>0.3</v>
      </c>
      <c r="BE735" t="s">
        <v>935</v>
      </c>
      <c r="BF735" t="s">
        <v>921</v>
      </c>
      <c r="BG735" t="s">
        <v>939</v>
      </c>
      <c r="BH735" s="7">
        <v>25</v>
      </c>
      <c r="BI73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35">
        <v>0</v>
      </c>
      <c r="BK735" t="s">
        <v>733</v>
      </c>
      <c r="BL735" s="11"/>
      <c r="BM735" s="11"/>
      <c r="BN735" s="11">
        <v>20</v>
      </c>
      <c r="BO735">
        <v>0</v>
      </c>
      <c r="BP735" t="s">
        <v>691</v>
      </c>
      <c r="BQ735" t="s">
        <v>693</v>
      </c>
      <c r="BR735" t="s">
        <v>700</v>
      </c>
      <c r="BS735" t="s">
        <v>704</v>
      </c>
      <c r="BT735" t="s">
        <v>705</v>
      </c>
      <c r="BU735" t="s">
        <v>706</v>
      </c>
      <c r="CT735"/>
      <c r="CU735"/>
      <c r="CV735"/>
    </row>
    <row r="736" spans="1:100" x14ac:dyDescent="0.4">
      <c r="A736" s="2" t="s">
        <v>790</v>
      </c>
      <c r="B736" t="str">
        <f>_xlfn.TEXTAFTER(Table1[[#This Row],[VEHIDCODE]],"_")</f>
        <v>Coach_Gen2_Steel_2_axle_Mail_Coach</v>
      </c>
      <c r="C736" t="s">
        <v>755</v>
      </c>
      <c r="D736" t="s">
        <v>970</v>
      </c>
      <c r="E736">
        <v>11017</v>
      </c>
      <c r="F736" t="b">
        <f>OR(ISNUMBER(SEARCH("wagon_",Table1[[#This Row],[FILENAMES_EXPECTED]])),ISNUMBER(SEARCH("coach_",Table1[[#This Row],[FILENAMES_EXPECTED]])))</f>
        <v>1</v>
      </c>
      <c r="G736" t="str">
        <f>"item_"&amp;Table1[[#This Row],[VEHIDCODE]]</f>
        <v>item_mu_Coach_Gen2_Steel_2_axle_Mail_Coach</v>
      </c>
      <c r="H736" t="str">
        <f>"str_"&amp;Table1[[#This Row],[VEHIDCODE]]</f>
        <v>str_mu_Coach_Gen2_Steel_2_axle_Mail_Coach</v>
      </c>
      <c r="Q736" s="2" t="b">
        <v>1</v>
      </c>
      <c r="Z736" s="2" t="b">
        <v>1</v>
      </c>
      <c r="AI736" s="2" t="b">
        <v>1</v>
      </c>
      <c r="AL736" s="2"/>
      <c r="AM736" s="2" t="b">
        <f>LEN(_xlfn.CONCAT(Table1[[#This Row],[TRACK_TYPE_STANDARD_GAUGE_RAILTYPE_OHLE]:[TRACK_TYPE_MTRO]]))&gt;0</f>
        <v>1</v>
      </c>
      <c r="AN736">
        <v>5</v>
      </c>
      <c r="AO736" t="s">
        <v>673</v>
      </c>
      <c r="AP736">
        <v>0</v>
      </c>
      <c r="AQ736" t="s">
        <v>35</v>
      </c>
      <c r="AR736">
        <v>35</v>
      </c>
      <c r="AS736">
        <v>1920</v>
      </c>
      <c r="AT736">
        <v>5</v>
      </c>
      <c r="AU736" s="2" t="s">
        <v>674</v>
      </c>
      <c r="AV736" t="b">
        <v>1</v>
      </c>
      <c r="AX736" s="2"/>
      <c r="AY736">
        <v>60</v>
      </c>
      <c r="AZ736">
        <v>1</v>
      </c>
      <c r="BA736">
        <v>0</v>
      </c>
      <c r="BB736" t="s">
        <v>710</v>
      </c>
      <c r="BC736">
        <v>100</v>
      </c>
      <c r="BD736" s="2">
        <v>0.3</v>
      </c>
      <c r="BE736" t="s">
        <v>935</v>
      </c>
      <c r="BF736" t="s">
        <v>921</v>
      </c>
      <c r="BG736" t="s">
        <v>939</v>
      </c>
      <c r="BH736" s="7">
        <v>25</v>
      </c>
      <c r="BI73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36">
        <v>0</v>
      </c>
      <c r="BK736" t="s">
        <v>733</v>
      </c>
      <c r="BL736" s="11"/>
      <c r="BM736" s="11"/>
      <c r="BN736" s="11">
        <v>20</v>
      </c>
      <c r="BO736">
        <v>0</v>
      </c>
      <c r="BP736" t="s">
        <v>691</v>
      </c>
      <c r="BQ736" t="s">
        <v>693</v>
      </c>
      <c r="BR736" t="s">
        <v>700</v>
      </c>
      <c r="BS736" t="s">
        <v>704</v>
      </c>
      <c r="BT736" t="s">
        <v>705</v>
      </c>
      <c r="BU736" t="s">
        <v>706</v>
      </c>
      <c r="CT736"/>
      <c r="CU736"/>
      <c r="CV736"/>
    </row>
    <row r="737" spans="1:100" x14ac:dyDescent="0.4">
      <c r="A737" s="2" t="s">
        <v>791</v>
      </c>
      <c r="B737" t="str">
        <f>_xlfn.TEXTAFTER(Table1[[#This Row],[VEHIDCODE]],"_")</f>
        <v>Coach_Gen2_Steel_3_axle_Compartment_Coach</v>
      </c>
      <c r="C737" t="s">
        <v>755</v>
      </c>
      <c r="D737" t="s">
        <v>970</v>
      </c>
      <c r="E737">
        <v>11018</v>
      </c>
      <c r="F737" t="b">
        <f>OR(ISNUMBER(SEARCH("wagon_",Table1[[#This Row],[FILENAMES_EXPECTED]])),ISNUMBER(SEARCH("coach_",Table1[[#This Row],[FILENAMES_EXPECTED]])))</f>
        <v>1</v>
      </c>
      <c r="G737" t="str">
        <f>"item_"&amp;Table1[[#This Row],[VEHIDCODE]]</f>
        <v>item_mu_Coach_Gen2_Steel_3_axle_Compartment_Coach</v>
      </c>
      <c r="H737" t="str">
        <f>"str_"&amp;Table1[[#This Row],[VEHIDCODE]]</f>
        <v>str_mu_Coach_Gen2_Steel_3_axle_Compartment_Coach</v>
      </c>
      <c r="Q737" s="2" t="b">
        <v>1</v>
      </c>
      <c r="Z737" s="2" t="b">
        <v>1</v>
      </c>
      <c r="AI737" s="2" t="b">
        <v>1</v>
      </c>
      <c r="AL737" s="2"/>
      <c r="AM737" s="2" t="b">
        <f>LEN(_xlfn.CONCAT(Table1[[#This Row],[TRACK_TYPE_STANDARD_GAUGE_RAILTYPE_OHLE]:[TRACK_TYPE_MTRO]]))&gt;0</f>
        <v>1</v>
      </c>
      <c r="AN737">
        <v>6</v>
      </c>
      <c r="AO737" t="s">
        <v>325</v>
      </c>
      <c r="AP737">
        <v>0</v>
      </c>
      <c r="AQ737" t="s">
        <v>35</v>
      </c>
      <c r="AR737">
        <v>40</v>
      </c>
      <c r="AS737">
        <v>1920</v>
      </c>
      <c r="AT737">
        <v>6</v>
      </c>
      <c r="AU737" s="2" t="s">
        <v>24</v>
      </c>
      <c r="AV737" t="b">
        <v>1</v>
      </c>
      <c r="AX737" s="2"/>
      <c r="AY737">
        <v>60</v>
      </c>
      <c r="AZ737">
        <v>1</v>
      </c>
      <c r="BA737">
        <v>0</v>
      </c>
      <c r="BB737" t="s">
        <v>710</v>
      </c>
      <c r="BC737">
        <v>110</v>
      </c>
      <c r="BD737" s="2">
        <v>0.3</v>
      </c>
      <c r="BE737" t="s">
        <v>932</v>
      </c>
      <c r="BF737" t="s">
        <v>924</v>
      </c>
      <c r="BG737" t="s">
        <v>939</v>
      </c>
      <c r="BH737" s="7">
        <v>25</v>
      </c>
      <c r="BI73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37">
        <v>0</v>
      </c>
      <c r="BK737" t="s">
        <v>733</v>
      </c>
      <c r="BL737" s="11"/>
      <c r="BM737" s="11"/>
      <c r="BN737" s="11">
        <v>21</v>
      </c>
      <c r="BO737">
        <v>0</v>
      </c>
      <c r="BP737" t="s">
        <v>691</v>
      </c>
      <c r="BQ737" t="s">
        <v>693</v>
      </c>
      <c r="BR737" t="s">
        <v>700</v>
      </c>
      <c r="BS737" t="s">
        <v>704</v>
      </c>
      <c r="BT737" t="s">
        <v>705</v>
      </c>
      <c r="BU737" t="s">
        <v>706</v>
      </c>
      <c r="CT737"/>
      <c r="CU737"/>
      <c r="CV737"/>
    </row>
    <row r="738" spans="1:100" x14ac:dyDescent="0.4">
      <c r="A738" s="2" t="s">
        <v>792</v>
      </c>
      <c r="B738" t="str">
        <f>_xlfn.TEXTAFTER(Table1[[#This Row],[VEHIDCODE]],"_")</f>
        <v>Coach_Gen2_Steel_3_axle_Regional_Coach</v>
      </c>
      <c r="C738" t="s">
        <v>755</v>
      </c>
      <c r="D738" t="s">
        <v>970</v>
      </c>
      <c r="E738">
        <v>11019</v>
      </c>
      <c r="F738" t="b">
        <f>OR(ISNUMBER(SEARCH("wagon_",Table1[[#This Row],[FILENAMES_EXPECTED]])),ISNUMBER(SEARCH("coach_",Table1[[#This Row],[FILENAMES_EXPECTED]])))</f>
        <v>1</v>
      </c>
      <c r="G738" t="str">
        <f>"item_"&amp;Table1[[#This Row],[VEHIDCODE]]</f>
        <v>item_mu_Coach_Gen2_Steel_3_axle_Regional_Coach</v>
      </c>
      <c r="H738" t="str">
        <f>"str_"&amp;Table1[[#This Row],[VEHIDCODE]]</f>
        <v>str_mu_Coach_Gen2_Steel_3_axle_Regional_Coach</v>
      </c>
      <c r="Q738" s="2" t="b">
        <v>1</v>
      </c>
      <c r="Z738" s="2" t="b">
        <v>1</v>
      </c>
      <c r="AI738" s="2" t="b">
        <v>1</v>
      </c>
      <c r="AL738" s="2"/>
      <c r="AM738" s="2" t="b">
        <f>LEN(_xlfn.CONCAT(Table1[[#This Row],[TRACK_TYPE_STANDARD_GAUGE_RAILTYPE_OHLE]:[TRACK_TYPE_MTRO]]))&gt;0</f>
        <v>1</v>
      </c>
      <c r="AN738">
        <v>6</v>
      </c>
      <c r="AO738" t="s">
        <v>325</v>
      </c>
      <c r="AP738">
        <v>0</v>
      </c>
      <c r="AQ738" t="s">
        <v>35</v>
      </c>
      <c r="AR738">
        <v>35</v>
      </c>
      <c r="AS738">
        <v>1920</v>
      </c>
      <c r="AT738">
        <v>6</v>
      </c>
      <c r="AU738" s="2" t="s">
        <v>479</v>
      </c>
      <c r="AV738" t="b">
        <v>1</v>
      </c>
      <c r="AX738" s="2"/>
      <c r="AY738">
        <v>60</v>
      </c>
      <c r="AZ738">
        <v>1</v>
      </c>
      <c r="BA738">
        <v>0</v>
      </c>
      <c r="BB738" t="s">
        <v>710</v>
      </c>
      <c r="BC738">
        <v>120</v>
      </c>
      <c r="BD738" s="2">
        <v>0.3</v>
      </c>
      <c r="BE738" t="s">
        <v>932</v>
      </c>
      <c r="BF738" t="s">
        <v>924</v>
      </c>
      <c r="BG738" t="s">
        <v>939</v>
      </c>
      <c r="BH738" s="7">
        <v>25</v>
      </c>
      <c r="BI73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38">
        <v>0</v>
      </c>
      <c r="BK738" t="s">
        <v>733</v>
      </c>
      <c r="BL738" s="11"/>
      <c r="BM738" s="11"/>
      <c r="BN738" s="11">
        <v>22</v>
      </c>
      <c r="BO738">
        <v>0</v>
      </c>
      <c r="BP738" t="s">
        <v>691</v>
      </c>
      <c r="BQ738" t="s">
        <v>693</v>
      </c>
      <c r="BR738" t="s">
        <v>700</v>
      </c>
      <c r="BS738" t="s">
        <v>704</v>
      </c>
      <c r="BT738" t="s">
        <v>705</v>
      </c>
      <c r="BU738" t="s">
        <v>706</v>
      </c>
      <c r="CT738"/>
      <c r="CU738"/>
      <c r="CV738"/>
    </row>
    <row r="739" spans="1:100" x14ac:dyDescent="0.4">
      <c r="A739" s="2" t="s">
        <v>793</v>
      </c>
      <c r="B739" t="str">
        <f>_xlfn.TEXTAFTER(Table1[[#This Row],[VEHIDCODE]],"_")</f>
        <v>Coach_Gen2_Steel_3_axle_Mail_Coach</v>
      </c>
      <c r="C739" t="s">
        <v>755</v>
      </c>
      <c r="D739" t="s">
        <v>970</v>
      </c>
      <c r="E739">
        <v>11020</v>
      </c>
      <c r="F739" t="b">
        <f>OR(ISNUMBER(SEARCH("wagon_",Table1[[#This Row],[FILENAMES_EXPECTED]])),ISNUMBER(SEARCH("coach_",Table1[[#This Row],[FILENAMES_EXPECTED]])))</f>
        <v>1</v>
      </c>
      <c r="G739" t="str">
        <f>"item_"&amp;Table1[[#This Row],[VEHIDCODE]]</f>
        <v>item_mu_Coach_Gen2_Steel_3_axle_Mail_Coach</v>
      </c>
      <c r="H739" t="str">
        <f>"str_"&amp;Table1[[#This Row],[VEHIDCODE]]</f>
        <v>str_mu_Coach_Gen2_Steel_3_axle_Mail_Coach</v>
      </c>
      <c r="Q739" s="2" t="b">
        <v>1</v>
      </c>
      <c r="Z739" s="2" t="b">
        <v>1</v>
      </c>
      <c r="AI739" s="2" t="b">
        <v>1</v>
      </c>
      <c r="AL739" s="2"/>
      <c r="AM739" s="2" t="b">
        <f>LEN(_xlfn.CONCAT(Table1[[#This Row],[TRACK_TYPE_STANDARD_GAUGE_RAILTYPE_OHLE]:[TRACK_TYPE_MTRO]]))&gt;0</f>
        <v>1</v>
      </c>
      <c r="AN739">
        <v>6</v>
      </c>
      <c r="AO739" t="s">
        <v>673</v>
      </c>
      <c r="AP739">
        <v>0</v>
      </c>
      <c r="AQ739" t="s">
        <v>35</v>
      </c>
      <c r="AR739">
        <v>40</v>
      </c>
      <c r="AS739">
        <v>1920</v>
      </c>
      <c r="AT739">
        <v>6</v>
      </c>
      <c r="AU739" s="2" t="s">
        <v>674</v>
      </c>
      <c r="AV739" t="b">
        <v>1</v>
      </c>
      <c r="AX739" s="2"/>
      <c r="AY739">
        <v>60</v>
      </c>
      <c r="AZ739">
        <v>1</v>
      </c>
      <c r="BA739">
        <v>0</v>
      </c>
      <c r="BB739" t="s">
        <v>710</v>
      </c>
      <c r="BC739">
        <v>120</v>
      </c>
      <c r="BD739" s="2">
        <v>0.3</v>
      </c>
      <c r="BE739" t="s">
        <v>932</v>
      </c>
      <c r="BF739" t="s">
        <v>924</v>
      </c>
      <c r="BG739" t="s">
        <v>939</v>
      </c>
      <c r="BH739" s="7">
        <v>25</v>
      </c>
      <c r="BI73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39">
        <v>0</v>
      </c>
      <c r="BK739" t="s">
        <v>733</v>
      </c>
      <c r="BL739" s="11"/>
      <c r="BM739" s="11"/>
      <c r="BN739" s="11">
        <v>21</v>
      </c>
      <c r="BO739">
        <v>0</v>
      </c>
      <c r="BP739" t="s">
        <v>691</v>
      </c>
      <c r="BQ739" t="s">
        <v>693</v>
      </c>
      <c r="BR739" t="s">
        <v>700</v>
      </c>
      <c r="BS739" t="s">
        <v>704</v>
      </c>
      <c r="BT739" t="s">
        <v>705</v>
      </c>
      <c r="BU739" t="s">
        <v>706</v>
      </c>
      <c r="CT739"/>
      <c r="CU739"/>
      <c r="CV739"/>
    </row>
    <row r="740" spans="1:100" x14ac:dyDescent="0.4">
      <c r="A740" s="2" t="s">
        <v>794</v>
      </c>
      <c r="B740" t="str">
        <f>_xlfn.TEXTAFTER(Table1[[#This Row],[VEHIDCODE]],"_")</f>
        <v>Coach_Gen3_Steel_Lightweight_Intercity_Coach</v>
      </c>
      <c r="C740" t="s">
        <v>756</v>
      </c>
      <c r="D740" t="s">
        <v>970</v>
      </c>
      <c r="E740">
        <v>11021</v>
      </c>
      <c r="F740" t="b">
        <f>OR(ISNUMBER(SEARCH("wagon_",Table1[[#This Row],[FILENAMES_EXPECTED]])),ISNUMBER(SEARCH("coach_",Table1[[#This Row],[FILENAMES_EXPECTED]])))</f>
        <v>1</v>
      </c>
      <c r="G740" t="str">
        <f>"item_"&amp;Table1[[#This Row],[VEHIDCODE]]</f>
        <v>item_mu_Coach_Gen3_Steel_Lightweight_Intercity_Coach</v>
      </c>
      <c r="H740" t="str">
        <f>"str_"&amp;Table1[[#This Row],[VEHIDCODE]]</f>
        <v>str_mu_Coach_Gen3_Steel_Lightweight_Intercity_Coach</v>
      </c>
      <c r="Q740" s="2" t="b">
        <v>1</v>
      </c>
      <c r="Z740" s="2" t="b">
        <v>1</v>
      </c>
      <c r="AI740" s="2" t="b">
        <v>1</v>
      </c>
      <c r="AL740" s="2"/>
      <c r="AM740" s="2" t="b">
        <f>LEN(_xlfn.CONCAT(Table1[[#This Row],[TRACK_TYPE_STANDARD_GAUGE_RAILTYPE_OHLE]:[TRACK_TYPE_MTRO]]))&gt;0</f>
        <v>1</v>
      </c>
      <c r="AN740">
        <v>8</v>
      </c>
      <c r="AO740" t="s">
        <v>325</v>
      </c>
      <c r="AP740">
        <v>0</v>
      </c>
      <c r="AQ740" t="s">
        <v>35</v>
      </c>
      <c r="AR740">
        <v>60</v>
      </c>
      <c r="AS740">
        <v>1930</v>
      </c>
      <c r="AT740">
        <v>8</v>
      </c>
      <c r="AU740" s="2" t="s">
        <v>479</v>
      </c>
      <c r="AV740" t="b">
        <v>1</v>
      </c>
      <c r="AX740" s="2"/>
      <c r="AY740">
        <v>55</v>
      </c>
      <c r="AZ740">
        <v>1</v>
      </c>
      <c r="BA740">
        <v>0</v>
      </c>
      <c r="BB740" t="s">
        <v>710</v>
      </c>
      <c r="BC740">
        <v>160</v>
      </c>
      <c r="BD740" s="2">
        <v>0.3</v>
      </c>
      <c r="BE740" t="s">
        <v>936</v>
      </c>
      <c r="BF740" t="s">
        <v>934</v>
      </c>
      <c r="BG740" t="s">
        <v>939</v>
      </c>
      <c r="BH740" s="7">
        <v>25</v>
      </c>
      <c r="BI74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40">
        <v>0</v>
      </c>
      <c r="BK740" t="s">
        <v>733</v>
      </c>
      <c r="BL740" s="11"/>
      <c r="BM740" s="11"/>
      <c r="BN740" s="11">
        <v>38</v>
      </c>
      <c r="BO740">
        <v>0</v>
      </c>
      <c r="BP740" t="s">
        <v>691</v>
      </c>
      <c r="BQ740" t="s">
        <v>693</v>
      </c>
      <c r="BR740" t="s">
        <v>700</v>
      </c>
      <c r="BS740" t="s">
        <v>704</v>
      </c>
      <c r="BT740" t="s">
        <v>705</v>
      </c>
      <c r="BU740" t="s">
        <v>706</v>
      </c>
      <c r="CT740"/>
      <c r="CU740"/>
      <c r="CV740"/>
    </row>
    <row r="741" spans="1:100" x14ac:dyDescent="0.4">
      <c r="A741" s="2" t="s">
        <v>795</v>
      </c>
      <c r="B741" t="str">
        <f>_xlfn.TEXTAFTER(Table1[[#This Row],[VEHIDCODE]],"_")</f>
        <v>Coach_Gen3_Steel_Lightweight_Regional_Coach</v>
      </c>
      <c r="C741" t="s">
        <v>756</v>
      </c>
      <c r="D741" t="s">
        <v>970</v>
      </c>
      <c r="E741">
        <v>11022</v>
      </c>
      <c r="F741" t="b">
        <f>OR(ISNUMBER(SEARCH("wagon_",Table1[[#This Row],[FILENAMES_EXPECTED]])),ISNUMBER(SEARCH("coach_",Table1[[#This Row],[FILENAMES_EXPECTED]])))</f>
        <v>1</v>
      </c>
      <c r="G741" t="str">
        <f>"item_"&amp;Table1[[#This Row],[VEHIDCODE]]</f>
        <v>item_mu_Coach_Gen3_Steel_Lightweight_Regional_Coach</v>
      </c>
      <c r="H741" t="str">
        <f>"str_"&amp;Table1[[#This Row],[VEHIDCODE]]</f>
        <v>str_mu_Coach_Gen3_Steel_Lightweight_Regional_Coach</v>
      </c>
      <c r="Q741" s="2" t="b">
        <v>1</v>
      </c>
      <c r="Z741" s="2" t="b">
        <v>1</v>
      </c>
      <c r="AI741" s="2" t="b">
        <v>1</v>
      </c>
      <c r="AL741" s="2"/>
      <c r="AM741" s="2" t="b">
        <f>LEN(_xlfn.CONCAT(Table1[[#This Row],[TRACK_TYPE_STANDARD_GAUGE_RAILTYPE_OHLE]:[TRACK_TYPE_MTRO]]))&gt;0</f>
        <v>1</v>
      </c>
      <c r="AN741">
        <v>8</v>
      </c>
      <c r="AO741" t="s">
        <v>325</v>
      </c>
      <c r="AP741">
        <v>0</v>
      </c>
      <c r="AQ741" t="s">
        <v>35</v>
      </c>
      <c r="AR741">
        <v>55</v>
      </c>
      <c r="AS741">
        <v>1930</v>
      </c>
      <c r="AT741">
        <v>8</v>
      </c>
      <c r="AU741" s="2" t="s">
        <v>479</v>
      </c>
      <c r="AV741" t="b">
        <v>1</v>
      </c>
      <c r="AX741" s="2"/>
      <c r="AY741">
        <v>55</v>
      </c>
      <c r="AZ741">
        <v>1</v>
      </c>
      <c r="BA741">
        <v>0</v>
      </c>
      <c r="BB741" t="s">
        <v>710</v>
      </c>
      <c r="BC741">
        <v>120</v>
      </c>
      <c r="BD741" s="2">
        <v>0.3</v>
      </c>
      <c r="BE741" t="s">
        <v>936</v>
      </c>
      <c r="BF741" t="s">
        <v>934</v>
      </c>
      <c r="BG741" t="s">
        <v>939</v>
      </c>
      <c r="BH741" s="7">
        <v>25</v>
      </c>
      <c r="BI74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41">
        <v>0</v>
      </c>
      <c r="BK741" t="s">
        <v>733</v>
      </c>
      <c r="BL741" s="11"/>
      <c r="BM741" s="11"/>
      <c r="BN741" s="11">
        <v>35</v>
      </c>
      <c r="BO741">
        <v>0</v>
      </c>
      <c r="BP741" t="s">
        <v>691</v>
      </c>
      <c r="BQ741" t="s">
        <v>693</v>
      </c>
      <c r="BR741" t="s">
        <v>700</v>
      </c>
      <c r="BS741" t="s">
        <v>704</v>
      </c>
      <c r="BT741" t="s">
        <v>705</v>
      </c>
      <c r="BU741" t="s">
        <v>706</v>
      </c>
      <c r="CT741"/>
      <c r="CU741"/>
      <c r="CV741"/>
    </row>
    <row r="742" spans="1:100" x14ac:dyDescent="0.4">
      <c r="A742" s="2" t="s">
        <v>796</v>
      </c>
      <c r="B742" t="str">
        <f>_xlfn.TEXTAFTER(Table1[[#This Row],[VEHIDCODE]],"_")</f>
        <v>Coach_Gen3_Steel_Lightweight_Mail_Coach</v>
      </c>
      <c r="C742" t="s">
        <v>756</v>
      </c>
      <c r="D742" t="s">
        <v>970</v>
      </c>
      <c r="E742">
        <v>11023</v>
      </c>
      <c r="F742" t="b">
        <f>OR(ISNUMBER(SEARCH("wagon_",Table1[[#This Row],[FILENAMES_EXPECTED]])),ISNUMBER(SEARCH("coach_",Table1[[#This Row],[FILENAMES_EXPECTED]])))</f>
        <v>1</v>
      </c>
      <c r="G742" t="str">
        <f>"item_"&amp;Table1[[#This Row],[VEHIDCODE]]</f>
        <v>item_mu_Coach_Gen3_Steel_Lightweight_Mail_Coach</v>
      </c>
      <c r="H742" t="str">
        <f>"str_"&amp;Table1[[#This Row],[VEHIDCODE]]</f>
        <v>str_mu_Coach_Gen3_Steel_Lightweight_Mail_Coach</v>
      </c>
      <c r="Q742" s="2" t="b">
        <v>1</v>
      </c>
      <c r="Z742" s="2" t="b">
        <v>1</v>
      </c>
      <c r="AI742" s="2" t="b">
        <v>1</v>
      </c>
      <c r="AL742" s="2"/>
      <c r="AM742" s="2" t="b">
        <f>LEN(_xlfn.CONCAT(Table1[[#This Row],[TRACK_TYPE_STANDARD_GAUGE_RAILTYPE_OHLE]:[TRACK_TYPE_MTRO]]))&gt;0</f>
        <v>1</v>
      </c>
      <c r="AN742">
        <v>8</v>
      </c>
      <c r="AO742" t="s">
        <v>673</v>
      </c>
      <c r="AP742">
        <v>0</v>
      </c>
      <c r="AQ742" t="s">
        <v>35</v>
      </c>
      <c r="AR742">
        <v>64</v>
      </c>
      <c r="AS742">
        <v>1930</v>
      </c>
      <c r="AT742">
        <v>8</v>
      </c>
      <c r="AU742" s="2" t="s">
        <v>674</v>
      </c>
      <c r="AV742" t="b">
        <v>1</v>
      </c>
      <c r="AX742" s="2"/>
      <c r="AY742">
        <v>55</v>
      </c>
      <c r="AZ742">
        <v>1</v>
      </c>
      <c r="BA742">
        <v>0</v>
      </c>
      <c r="BB742" t="s">
        <v>710</v>
      </c>
      <c r="BC742">
        <v>140</v>
      </c>
      <c r="BD742" s="2">
        <v>0.3</v>
      </c>
      <c r="BE742" t="s">
        <v>936</v>
      </c>
      <c r="BF742" t="s">
        <v>934</v>
      </c>
      <c r="BG742" t="s">
        <v>939</v>
      </c>
      <c r="BH742" s="7">
        <v>25</v>
      </c>
      <c r="BI74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42">
        <v>0</v>
      </c>
      <c r="BK742" t="s">
        <v>733</v>
      </c>
      <c r="BL742" s="11"/>
      <c r="BM742" s="11"/>
      <c r="BN742" s="11">
        <v>31</v>
      </c>
      <c r="BO742">
        <v>0</v>
      </c>
      <c r="BP742" t="s">
        <v>691</v>
      </c>
      <c r="BQ742" t="s">
        <v>693</v>
      </c>
      <c r="BR742" t="s">
        <v>700</v>
      </c>
      <c r="BS742" t="s">
        <v>704</v>
      </c>
      <c r="BT742" t="s">
        <v>705</v>
      </c>
      <c r="BU742" t="s">
        <v>706</v>
      </c>
      <c r="CT742"/>
      <c r="CU742"/>
      <c r="CV742"/>
    </row>
    <row r="743" spans="1:100" x14ac:dyDescent="0.4">
      <c r="A743" s="2" t="s">
        <v>797</v>
      </c>
      <c r="B743" t="str">
        <f>_xlfn.TEXTAFTER(Table1[[#This Row],[VEHIDCODE]],"_")</f>
        <v>Coach_Gen3_Aluminium_Lightweight_Intercity_Coach</v>
      </c>
      <c r="C743" t="s">
        <v>756</v>
      </c>
      <c r="D743" t="s">
        <v>970</v>
      </c>
      <c r="E743">
        <v>11024</v>
      </c>
      <c r="F743" t="b">
        <f>OR(ISNUMBER(SEARCH("wagon_",Table1[[#This Row],[FILENAMES_EXPECTED]])),ISNUMBER(SEARCH("coach_",Table1[[#This Row],[FILENAMES_EXPECTED]])))</f>
        <v>1</v>
      </c>
      <c r="G743" t="str">
        <f>"item_"&amp;Table1[[#This Row],[VEHIDCODE]]</f>
        <v>item_mu_Coach_Gen3_Aluminium_Lightweight_Intercity_Coach</v>
      </c>
      <c r="H743" t="str">
        <f>"str_"&amp;Table1[[#This Row],[VEHIDCODE]]</f>
        <v>str_mu_Coach_Gen3_Aluminium_Lightweight_Intercity_Coach</v>
      </c>
      <c r="Q743" s="2" t="b">
        <v>1</v>
      </c>
      <c r="Z743" s="2" t="b">
        <v>1</v>
      </c>
      <c r="AI743" s="2" t="b">
        <v>1</v>
      </c>
      <c r="AL743" s="2"/>
      <c r="AM743" s="2" t="b">
        <f>LEN(_xlfn.CONCAT(Table1[[#This Row],[TRACK_TYPE_STANDARD_GAUGE_RAILTYPE_OHLE]:[TRACK_TYPE_MTRO]]))&gt;0</f>
        <v>1</v>
      </c>
      <c r="AN743">
        <v>8</v>
      </c>
      <c r="AO743" t="s">
        <v>325</v>
      </c>
      <c r="AP743">
        <v>0</v>
      </c>
      <c r="AQ743" t="s">
        <v>35</v>
      </c>
      <c r="AR743">
        <v>60</v>
      </c>
      <c r="AS743">
        <v>1940</v>
      </c>
      <c r="AT743">
        <v>8</v>
      </c>
      <c r="AU743" s="2" t="s">
        <v>479</v>
      </c>
      <c r="AV743" t="b">
        <v>1</v>
      </c>
      <c r="AX743" s="2"/>
      <c r="AY743">
        <v>50</v>
      </c>
      <c r="AZ743">
        <v>1</v>
      </c>
      <c r="BA743">
        <v>0</v>
      </c>
      <c r="BB743" t="s">
        <v>710</v>
      </c>
      <c r="BC743">
        <v>180</v>
      </c>
      <c r="BD743" s="2">
        <v>0.3</v>
      </c>
      <c r="BE743" t="s">
        <v>932</v>
      </c>
      <c r="BF743" t="s">
        <v>924</v>
      </c>
      <c r="BG743" t="s">
        <v>939</v>
      </c>
      <c r="BH743" s="7">
        <v>25</v>
      </c>
      <c r="BI74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43">
        <v>0</v>
      </c>
      <c r="BK743" t="s">
        <v>733</v>
      </c>
      <c r="BL743" s="11"/>
      <c r="BM743" s="11"/>
      <c r="BN743" s="11">
        <v>55</v>
      </c>
      <c r="BO743">
        <v>0</v>
      </c>
      <c r="BP743" t="s">
        <v>691</v>
      </c>
      <c r="BQ743" t="s">
        <v>693</v>
      </c>
      <c r="BR743" t="s">
        <v>700</v>
      </c>
      <c r="BS743" t="s">
        <v>704</v>
      </c>
      <c r="BT743" t="s">
        <v>705</v>
      </c>
      <c r="BU743" t="s">
        <v>706</v>
      </c>
      <c r="CT743"/>
      <c r="CU743"/>
      <c r="CV743"/>
    </row>
    <row r="744" spans="1:100" x14ac:dyDescent="0.4">
      <c r="A744" s="2" t="s">
        <v>798</v>
      </c>
      <c r="B744" t="str">
        <f>_xlfn.TEXTAFTER(Table1[[#This Row],[VEHIDCODE]],"_")</f>
        <v>Coach_Gen3_Aluminium_Lightweight_Regional_Coach</v>
      </c>
      <c r="C744" t="s">
        <v>756</v>
      </c>
      <c r="D744" t="s">
        <v>970</v>
      </c>
      <c r="E744">
        <v>11025</v>
      </c>
      <c r="F744" t="b">
        <f>OR(ISNUMBER(SEARCH("wagon_",Table1[[#This Row],[FILENAMES_EXPECTED]])),ISNUMBER(SEARCH("coach_",Table1[[#This Row],[FILENAMES_EXPECTED]])))</f>
        <v>1</v>
      </c>
      <c r="G744" t="str">
        <f>"item_"&amp;Table1[[#This Row],[VEHIDCODE]]</f>
        <v>item_mu_Coach_Gen3_Aluminium_Lightweight_Regional_Coach</v>
      </c>
      <c r="H744" t="str">
        <f>"str_"&amp;Table1[[#This Row],[VEHIDCODE]]</f>
        <v>str_mu_Coach_Gen3_Aluminium_Lightweight_Regional_Coach</v>
      </c>
      <c r="Q744" s="2" t="b">
        <v>1</v>
      </c>
      <c r="Z744" s="2" t="b">
        <v>1</v>
      </c>
      <c r="AI744" s="2" t="b">
        <v>1</v>
      </c>
      <c r="AL744" s="2"/>
      <c r="AM744" s="2" t="b">
        <f>LEN(_xlfn.CONCAT(Table1[[#This Row],[TRACK_TYPE_STANDARD_GAUGE_RAILTYPE_OHLE]:[TRACK_TYPE_MTRO]]))&gt;0</f>
        <v>1</v>
      </c>
      <c r="AN744">
        <v>8</v>
      </c>
      <c r="AO744" t="s">
        <v>325</v>
      </c>
      <c r="AP744">
        <v>0</v>
      </c>
      <c r="AQ744" t="s">
        <v>35</v>
      </c>
      <c r="AR744">
        <v>90</v>
      </c>
      <c r="AS744">
        <v>1940</v>
      </c>
      <c r="AT744">
        <v>8</v>
      </c>
      <c r="AU744" s="2" t="s">
        <v>479</v>
      </c>
      <c r="AV744" t="b">
        <v>1</v>
      </c>
      <c r="AX744" s="2"/>
      <c r="AY744">
        <v>50</v>
      </c>
      <c r="AZ744">
        <v>1</v>
      </c>
      <c r="BA744">
        <v>0</v>
      </c>
      <c r="BB744" t="s">
        <v>710</v>
      </c>
      <c r="BC744">
        <v>160</v>
      </c>
      <c r="BD744" s="2">
        <v>0.3</v>
      </c>
      <c r="BE744" t="s">
        <v>934</v>
      </c>
      <c r="BF744" t="s">
        <v>924</v>
      </c>
      <c r="BG744" t="s">
        <v>939</v>
      </c>
      <c r="BH744" s="7">
        <v>25</v>
      </c>
      <c r="BI74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44">
        <v>0</v>
      </c>
      <c r="BK744" t="s">
        <v>733</v>
      </c>
      <c r="BL744" s="11"/>
      <c r="BM744" s="11"/>
      <c r="BN744" s="11">
        <v>52</v>
      </c>
      <c r="BO744">
        <v>0</v>
      </c>
      <c r="BP744" t="s">
        <v>691</v>
      </c>
      <c r="BQ744" t="s">
        <v>693</v>
      </c>
      <c r="BR744" t="s">
        <v>700</v>
      </c>
      <c r="BS744" t="s">
        <v>704</v>
      </c>
      <c r="BT744" t="s">
        <v>705</v>
      </c>
      <c r="BU744" t="s">
        <v>706</v>
      </c>
      <c r="CT744"/>
      <c r="CU744"/>
      <c r="CV744"/>
    </row>
    <row r="745" spans="1:100" x14ac:dyDescent="0.4">
      <c r="A745" s="2" t="s">
        <v>799</v>
      </c>
      <c r="B745" t="str">
        <f>_xlfn.TEXTAFTER(Table1[[#This Row],[VEHIDCODE]],"_")</f>
        <v>Coach_Gen3_Aluminium_Lightweight_Mail_Coach</v>
      </c>
      <c r="C745" t="s">
        <v>756</v>
      </c>
      <c r="D745" t="s">
        <v>970</v>
      </c>
      <c r="E745">
        <v>11026</v>
      </c>
      <c r="F745" t="b">
        <f>OR(ISNUMBER(SEARCH("wagon_",Table1[[#This Row],[FILENAMES_EXPECTED]])),ISNUMBER(SEARCH("coach_",Table1[[#This Row],[FILENAMES_EXPECTED]])))</f>
        <v>1</v>
      </c>
      <c r="G745" t="str">
        <f>"item_"&amp;Table1[[#This Row],[VEHIDCODE]]</f>
        <v>item_mu_Coach_Gen3_Aluminium_Lightweight_Mail_Coach</v>
      </c>
      <c r="H745" t="str">
        <f>"str_"&amp;Table1[[#This Row],[VEHIDCODE]]</f>
        <v>str_mu_Coach_Gen3_Aluminium_Lightweight_Mail_Coach</v>
      </c>
      <c r="Q745" s="2" t="b">
        <v>1</v>
      </c>
      <c r="Z745" s="2" t="b">
        <v>1</v>
      </c>
      <c r="AI745" s="2" t="b">
        <v>1</v>
      </c>
      <c r="AL745" s="2"/>
      <c r="AM745" s="2" t="b">
        <f>LEN(_xlfn.CONCAT(Table1[[#This Row],[TRACK_TYPE_STANDARD_GAUGE_RAILTYPE_OHLE]:[TRACK_TYPE_MTRO]]))&gt;0</f>
        <v>1</v>
      </c>
      <c r="AN745">
        <v>8</v>
      </c>
      <c r="AO745" t="s">
        <v>673</v>
      </c>
      <c r="AP745">
        <v>0</v>
      </c>
      <c r="AQ745" t="s">
        <v>35</v>
      </c>
      <c r="AR745">
        <v>85</v>
      </c>
      <c r="AS745">
        <v>1940</v>
      </c>
      <c r="AT745">
        <v>8</v>
      </c>
      <c r="AU745" s="2" t="s">
        <v>674</v>
      </c>
      <c r="AV745" t="b">
        <v>1</v>
      </c>
      <c r="AX745" s="2"/>
      <c r="AY745">
        <v>50</v>
      </c>
      <c r="AZ745">
        <v>1</v>
      </c>
      <c r="BA745">
        <v>0</v>
      </c>
      <c r="BB745" t="s">
        <v>710</v>
      </c>
      <c r="BC745">
        <v>180</v>
      </c>
      <c r="BD745" s="2">
        <v>0.3</v>
      </c>
      <c r="BE745" t="s">
        <v>934</v>
      </c>
      <c r="BF745" t="s">
        <v>924</v>
      </c>
      <c r="BG745" t="s">
        <v>939</v>
      </c>
      <c r="BH745" s="7">
        <v>25</v>
      </c>
      <c r="BI74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45">
        <v>0</v>
      </c>
      <c r="BK745" t="s">
        <v>733</v>
      </c>
      <c r="BL745" s="11"/>
      <c r="BM745" s="11"/>
      <c r="BN745" s="11">
        <v>52</v>
      </c>
      <c r="BO745">
        <v>0</v>
      </c>
      <c r="BP745" t="s">
        <v>691</v>
      </c>
      <c r="BQ745" t="s">
        <v>693</v>
      </c>
      <c r="BR745" t="s">
        <v>700</v>
      </c>
      <c r="BS745" t="s">
        <v>704</v>
      </c>
      <c r="BT745" t="s">
        <v>705</v>
      </c>
      <c r="BU745" t="s">
        <v>706</v>
      </c>
      <c r="CT745"/>
      <c r="CU745"/>
      <c r="CV745"/>
    </row>
    <row r="746" spans="1:100" x14ac:dyDescent="0.4">
      <c r="A746" s="2" t="s">
        <v>800</v>
      </c>
      <c r="B746" t="str">
        <f>_xlfn.TEXTAFTER(Table1[[#This Row],[VEHIDCODE]],"_")</f>
        <v>Coach_Gen3_Gallery_Car</v>
      </c>
      <c r="C746" t="s">
        <v>756</v>
      </c>
      <c r="D746" t="s">
        <v>970</v>
      </c>
      <c r="E746">
        <v>11027</v>
      </c>
      <c r="F746" t="b">
        <f>OR(ISNUMBER(SEARCH("wagon_",Table1[[#This Row],[FILENAMES_EXPECTED]])),ISNUMBER(SEARCH("coach_",Table1[[#This Row],[FILENAMES_EXPECTED]])))</f>
        <v>1</v>
      </c>
      <c r="G746" t="str">
        <f>"item_"&amp;Table1[[#This Row],[VEHIDCODE]]</f>
        <v>item_mu_Coach_Gen3_Gallery_Car</v>
      </c>
      <c r="H746" t="str">
        <f>"str_"&amp;Table1[[#This Row],[VEHIDCODE]]</f>
        <v>str_mu_Coach_Gen3_Gallery_Car</v>
      </c>
      <c r="Q746" s="2" t="b">
        <v>1</v>
      </c>
      <c r="Z746" s="2" t="b">
        <v>1</v>
      </c>
      <c r="AI746" s="2" t="b">
        <v>1</v>
      </c>
      <c r="AL746" s="2"/>
      <c r="AM746" s="2" t="b">
        <f>LEN(_xlfn.CONCAT(Table1[[#This Row],[TRACK_TYPE_STANDARD_GAUGE_RAILTYPE_OHLE]:[TRACK_TYPE_MTRO]]))&gt;0</f>
        <v>1</v>
      </c>
      <c r="AN746">
        <v>8</v>
      </c>
      <c r="AO746" t="s">
        <v>325</v>
      </c>
      <c r="AP746">
        <v>0</v>
      </c>
      <c r="AQ746" t="s">
        <v>35</v>
      </c>
      <c r="AR746">
        <v>160</v>
      </c>
      <c r="AS746">
        <v>1950</v>
      </c>
      <c r="AT746">
        <v>8</v>
      </c>
      <c r="AU746" s="2" t="s">
        <v>479</v>
      </c>
      <c r="AV746" t="b">
        <v>1</v>
      </c>
      <c r="AX746" s="2"/>
      <c r="AY746">
        <v>50</v>
      </c>
      <c r="AZ746">
        <v>1</v>
      </c>
      <c r="BA746">
        <v>0</v>
      </c>
      <c r="BB746" t="s">
        <v>710</v>
      </c>
      <c r="BC746">
        <v>140</v>
      </c>
      <c r="BD746" s="2">
        <v>0.3</v>
      </c>
      <c r="BE746" t="s">
        <v>934</v>
      </c>
      <c r="BF746" t="s">
        <v>924</v>
      </c>
      <c r="BG746" t="s">
        <v>939</v>
      </c>
      <c r="BH746" s="7">
        <v>25</v>
      </c>
      <c r="BI74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46">
        <v>0</v>
      </c>
      <c r="BK746" t="s">
        <v>733</v>
      </c>
      <c r="BL746" s="11"/>
      <c r="BM746" s="11"/>
      <c r="BN746" s="11">
        <v>56</v>
      </c>
      <c r="BO746">
        <v>0</v>
      </c>
      <c r="BP746" t="s">
        <v>691</v>
      </c>
      <c r="BQ746" t="s">
        <v>693</v>
      </c>
      <c r="BR746" t="s">
        <v>700</v>
      </c>
      <c r="BS746" t="s">
        <v>704</v>
      </c>
      <c r="BT746" t="s">
        <v>705</v>
      </c>
      <c r="BU746" t="s">
        <v>706</v>
      </c>
      <c r="CT746"/>
      <c r="CU746"/>
      <c r="CV746"/>
    </row>
    <row r="747" spans="1:100" x14ac:dyDescent="0.4">
      <c r="A747" s="2" t="s">
        <v>801</v>
      </c>
      <c r="B747" t="str">
        <f>_xlfn.TEXTAFTER(Table1[[#This Row],[VEHIDCODE]],"_")</f>
        <v>Coach_Gen3_Mk1_Intercity_Coach</v>
      </c>
      <c r="C747" t="s">
        <v>756</v>
      </c>
      <c r="D747" t="s">
        <v>970</v>
      </c>
      <c r="E747">
        <v>11028</v>
      </c>
      <c r="F747" t="b">
        <f>OR(ISNUMBER(SEARCH("wagon_",Table1[[#This Row],[FILENAMES_EXPECTED]])),ISNUMBER(SEARCH("coach_",Table1[[#This Row],[FILENAMES_EXPECTED]])))</f>
        <v>1</v>
      </c>
      <c r="G747" t="str">
        <f>"item_"&amp;Table1[[#This Row],[VEHIDCODE]]</f>
        <v>item_mu_Coach_Gen3_Mk1_Intercity_Coach</v>
      </c>
      <c r="H747" t="str">
        <f>"str_"&amp;Table1[[#This Row],[VEHIDCODE]]</f>
        <v>str_mu_Coach_Gen3_Mk1_Intercity_Coach</v>
      </c>
      <c r="Q747" s="2" t="b">
        <v>1</v>
      </c>
      <c r="Z747" s="2" t="b">
        <v>1</v>
      </c>
      <c r="AI747" s="2" t="b">
        <v>1</v>
      </c>
      <c r="AL747" s="2"/>
      <c r="AM747" s="2" t="b">
        <f>LEN(_xlfn.CONCAT(Table1[[#This Row],[TRACK_TYPE_STANDARD_GAUGE_RAILTYPE_OHLE]:[TRACK_TYPE_MTRO]]))&gt;0</f>
        <v>1</v>
      </c>
      <c r="AN747">
        <v>7</v>
      </c>
      <c r="AO747" t="s">
        <v>325</v>
      </c>
      <c r="AP747">
        <v>0</v>
      </c>
      <c r="AQ747" t="s">
        <v>35</v>
      </c>
      <c r="AR747">
        <v>55</v>
      </c>
      <c r="AS747">
        <v>1950</v>
      </c>
      <c r="AT747">
        <v>7</v>
      </c>
      <c r="AU747" s="2" t="s">
        <v>479</v>
      </c>
      <c r="AV747" t="b">
        <v>1</v>
      </c>
      <c r="AX747" s="2"/>
      <c r="AY747">
        <v>50</v>
      </c>
      <c r="AZ747">
        <v>1</v>
      </c>
      <c r="BA747">
        <v>0</v>
      </c>
      <c r="BB747" t="s">
        <v>710</v>
      </c>
      <c r="BC747">
        <v>160</v>
      </c>
      <c r="BD747" s="2">
        <v>0.3</v>
      </c>
      <c r="BE747" t="s">
        <v>932</v>
      </c>
      <c r="BF747" t="s">
        <v>921</v>
      </c>
      <c r="BG747" t="s">
        <v>939</v>
      </c>
      <c r="BH747" s="7">
        <v>25</v>
      </c>
      <c r="BI74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47">
        <v>0</v>
      </c>
      <c r="BK747" t="s">
        <v>733</v>
      </c>
      <c r="BL747" s="11"/>
      <c r="BM747" s="11"/>
      <c r="BN747" s="11">
        <v>33</v>
      </c>
      <c r="BO747">
        <v>0</v>
      </c>
      <c r="BP747" t="s">
        <v>691</v>
      </c>
      <c r="BQ747" t="s">
        <v>693</v>
      </c>
      <c r="BR747" t="s">
        <v>700</v>
      </c>
      <c r="BS747" t="s">
        <v>704</v>
      </c>
      <c r="BT747" t="s">
        <v>705</v>
      </c>
      <c r="BU747" t="s">
        <v>706</v>
      </c>
      <c r="CT747"/>
      <c r="CU747"/>
      <c r="CV747"/>
    </row>
    <row r="748" spans="1:100" x14ac:dyDescent="0.4">
      <c r="A748" s="2" t="s">
        <v>802</v>
      </c>
      <c r="B748" t="str">
        <f>_xlfn.TEXTAFTER(Table1[[#This Row],[VEHIDCODE]],"_")</f>
        <v>Coach_Gen3_Mk1_Regional_Coach</v>
      </c>
      <c r="C748" t="s">
        <v>756</v>
      </c>
      <c r="D748" t="s">
        <v>970</v>
      </c>
      <c r="E748">
        <v>11029</v>
      </c>
      <c r="F748" t="b">
        <f>OR(ISNUMBER(SEARCH("wagon_",Table1[[#This Row],[FILENAMES_EXPECTED]])),ISNUMBER(SEARCH("coach_",Table1[[#This Row],[FILENAMES_EXPECTED]])))</f>
        <v>1</v>
      </c>
      <c r="G748" t="str">
        <f>"item_"&amp;Table1[[#This Row],[VEHIDCODE]]</f>
        <v>item_mu_Coach_Gen3_Mk1_Regional_Coach</v>
      </c>
      <c r="H748" t="str">
        <f>"str_"&amp;Table1[[#This Row],[VEHIDCODE]]</f>
        <v>str_mu_Coach_Gen3_Mk1_Regional_Coach</v>
      </c>
      <c r="Q748" s="2" t="b">
        <v>1</v>
      </c>
      <c r="Z748" s="2" t="b">
        <v>1</v>
      </c>
      <c r="AI748" s="2" t="b">
        <v>1</v>
      </c>
      <c r="AL748" s="2"/>
      <c r="AM748" s="2" t="b">
        <f>LEN(_xlfn.CONCAT(Table1[[#This Row],[TRACK_TYPE_STANDARD_GAUGE_RAILTYPE_OHLE]:[TRACK_TYPE_MTRO]]))&gt;0</f>
        <v>1</v>
      </c>
      <c r="AN748">
        <v>7</v>
      </c>
      <c r="AO748" t="s">
        <v>325</v>
      </c>
      <c r="AP748">
        <v>0</v>
      </c>
      <c r="AQ748" t="s">
        <v>35</v>
      </c>
      <c r="AR748">
        <v>108</v>
      </c>
      <c r="AS748">
        <v>1950</v>
      </c>
      <c r="AT748">
        <v>7</v>
      </c>
      <c r="AU748" s="2" t="s">
        <v>479</v>
      </c>
      <c r="AV748" t="b">
        <v>1</v>
      </c>
      <c r="AX748" s="2"/>
      <c r="AY748">
        <v>50</v>
      </c>
      <c r="AZ748">
        <v>1</v>
      </c>
      <c r="BA748">
        <v>0</v>
      </c>
      <c r="BB748" t="s">
        <v>710</v>
      </c>
      <c r="BC748">
        <v>130</v>
      </c>
      <c r="BD748" s="2">
        <v>0.3</v>
      </c>
      <c r="BE748" t="s">
        <v>932</v>
      </c>
      <c r="BF748" t="s">
        <v>921</v>
      </c>
      <c r="BG748" t="s">
        <v>939</v>
      </c>
      <c r="BH748" s="7">
        <v>25</v>
      </c>
      <c r="BI74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48">
        <v>0</v>
      </c>
      <c r="BK748" t="s">
        <v>733</v>
      </c>
      <c r="BL748" s="11"/>
      <c r="BM748" s="11"/>
      <c r="BN748" s="11">
        <v>33</v>
      </c>
      <c r="BO748">
        <v>0</v>
      </c>
      <c r="BP748" t="s">
        <v>691</v>
      </c>
      <c r="BQ748" t="s">
        <v>693</v>
      </c>
      <c r="BR748" t="s">
        <v>700</v>
      </c>
      <c r="BS748" t="s">
        <v>704</v>
      </c>
      <c r="BT748" t="s">
        <v>705</v>
      </c>
      <c r="BU748" t="s">
        <v>706</v>
      </c>
      <c r="CT748"/>
      <c r="CU748"/>
      <c r="CV748"/>
    </row>
    <row r="749" spans="1:100" x14ac:dyDescent="0.4">
      <c r="A749" s="2" t="s">
        <v>803</v>
      </c>
      <c r="B749" t="str">
        <f>_xlfn.TEXTAFTER(Table1[[#This Row],[VEHIDCODE]],"_")</f>
        <v>Coach_Gen3_Mk1_Mail_Coach</v>
      </c>
      <c r="C749" t="s">
        <v>756</v>
      </c>
      <c r="D749" t="s">
        <v>970</v>
      </c>
      <c r="E749">
        <v>11030</v>
      </c>
      <c r="F749" t="b">
        <f>OR(ISNUMBER(SEARCH("wagon_",Table1[[#This Row],[FILENAMES_EXPECTED]])),ISNUMBER(SEARCH("coach_",Table1[[#This Row],[FILENAMES_EXPECTED]])))</f>
        <v>1</v>
      </c>
      <c r="G749" t="str">
        <f>"item_"&amp;Table1[[#This Row],[VEHIDCODE]]</f>
        <v>item_mu_Coach_Gen3_Mk1_Mail_Coach</v>
      </c>
      <c r="H749" t="str">
        <f>"str_"&amp;Table1[[#This Row],[VEHIDCODE]]</f>
        <v>str_mu_Coach_Gen3_Mk1_Mail_Coach</v>
      </c>
      <c r="Q749" s="2" t="b">
        <v>1</v>
      </c>
      <c r="Z749" s="2" t="b">
        <v>1</v>
      </c>
      <c r="AI749" s="2" t="b">
        <v>1</v>
      </c>
      <c r="AL749" s="2"/>
      <c r="AM749" s="2" t="b">
        <f>LEN(_xlfn.CONCAT(Table1[[#This Row],[TRACK_TYPE_STANDARD_GAUGE_RAILTYPE_OHLE]:[TRACK_TYPE_MTRO]]))&gt;0</f>
        <v>1</v>
      </c>
      <c r="AN749">
        <v>7</v>
      </c>
      <c r="AO749" t="s">
        <v>673</v>
      </c>
      <c r="AP749">
        <v>0</v>
      </c>
      <c r="AQ749" t="s">
        <v>35</v>
      </c>
      <c r="AR749">
        <v>55</v>
      </c>
      <c r="AS749">
        <v>1950</v>
      </c>
      <c r="AT749">
        <v>7</v>
      </c>
      <c r="AU749" s="2" t="s">
        <v>674</v>
      </c>
      <c r="AV749" t="b">
        <v>1</v>
      </c>
      <c r="AX749" s="2"/>
      <c r="AY749">
        <v>50</v>
      </c>
      <c r="AZ749">
        <v>1</v>
      </c>
      <c r="BA749">
        <v>0</v>
      </c>
      <c r="BB749" t="s">
        <v>710</v>
      </c>
      <c r="BC749">
        <v>160</v>
      </c>
      <c r="BD749" s="2">
        <v>0.3</v>
      </c>
      <c r="BE749" t="s">
        <v>932</v>
      </c>
      <c r="BF749" t="s">
        <v>921</v>
      </c>
      <c r="BG749" t="s">
        <v>939</v>
      </c>
      <c r="BH749" s="7">
        <v>25</v>
      </c>
      <c r="BI74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49">
        <v>0</v>
      </c>
      <c r="BK749" t="s">
        <v>733</v>
      </c>
      <c r="BL749" s="11"/>
      <c r="BM749" s="11"/>
      <c r="BN749" s="11">
        <v>35</v>
      </c>
      <c r="BO749">
        <v>0</v>
      </c>
      <c r="BP749" t="s">
        <v>691</v>
      </c>
      <c r="BQ749" t="s">
        <v>693</v>
      </c>
      <c r="BR749" t="s">
        <v>700</v>
      </c>
      <c r="BS749" t="s">
        <v>704</v>
      </c>
      <c r="BT749" t="s">
        <v>705</v>
      </c>
      <c r="BU749" t="s">
        <v>706</v>
      </c>
      <c r="CT749"/>
      <c r="CU749"/>
      <c r="CV749"/>
    </row>
    <row r="750" spans="1:100" x14ac:dyDescent="0.4">
      <c r="A750" s="2" t="s">
        <v>804</v>
      </c>
      <c r="B750" t="str">
        <f>_xlfn.TEXTAFTER(Table1[[#This Row],[VEHIDCODE]],"_")</f>
        <v>Coach_Gen3_UIC_X_Intercity_Coach</v>
      </c>
      <c r="C750" t="s">
        <v>756</v>
      </c>
      <c r="D750" t="s">
        <v>970</v>
      </c>
      <c r="E750">
        <v>11031</v>
      </c>
      <c r="F750" t="b">
        <f>OR(ISNUMBER(SEARCH("wagon_",Table1[[#This Row],[FILENAMES_EXPECTED]])),ISNUMBER(SEARCH("coach_",Table1[[#This Row],[FILENAMES_EXPECTED]])))</f>
        <v>1</v>
      </c>
      <c r="G750" t="str">
        <f>"item_"&amp;Table1[[#This Row],[VEHIDCODE]]</f>
        <v>item_mu_Coach_Gen3_UIC_X_Intercity_Coach</v>
      </c>
      <c r="H750" t="str">
        <f>"str_"&amp;Table1[[#This Row],[VEHIDCODE]]</f>
        <v>str_mu_Coach_Gen3_UIC_X_Intercity_Coach</v>
      </c>
      <c r="Q750" s="2" t="b">
        <v>1</v>
      </c>
      <c r="Z750" s="2" t="b">
        <v>1</v>
      </c>
      <c r="AI750" s="2" t="b">
        <v>1</v>
      </c>
      <c r="AL750" s="2"/>
      <c r="AM750" s="2" t="b">
        <f>LEN(_xlfn.CONCAT(Table1[[#This Row],[TRACK_TYPE_STANDARD_GAUGE_RAILTYPE_OHLE]:[TRACK_TYPE_MTRO]]))&gt;0</f>
        <v>1</v>
      </c>
      <c r="AN750">
        <v>8</v>
      </c>
      <c r="AO750" t="s">
        <v>325</v>
      </c>
      <c r="AP750">
        <v>0</v>
      </c>
      <c r="AQ750" t="s">
        <v>35</v>
      </c>
      <c r="AR750">
        <v>65</v>
      </c>
      <c r="AS750">
        <v>1950</v>
      </c>
      <c r="AT750">
        <v>8</v>
      </c>
      <c r="AU750" s="2" t="s">
        <v>479</v>
      </c>
      <c r="AV750" t="b">
        <v>1</v>
      </c>
      <c r="AX750" s="2"/>
      <c r="AY750">
        <v>50</v>
      </c>
      <c r="AZ750">
        <v>1</v>
      </c>
      <c r="BA750">
        <v>0</v>
      </c>
      <c r="BB750" t="s">
        <v>710</v>
      </c>
      <c r="BC750">
        <v>160</v>
      </c>
      <c r="BD750" s="2">
        <v>0.3</v>
      </c>
      <c r="BE750" t="s">
        <v>932</v>
      </c>
      <c r="BF750" t="s">
        <v>921</v>
      </c>
      <c r="BG750" t="s">
        <v>939</v>
      </c>
      <c r="BH750" s="7">
        <v>25</v>
      </c>
      <c r="BI75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50">
        <v>0</v>
      </c>
      <c r="BK750" t="s">
        <v>733</v>
      </c>
      <c r="BL750" s="11"/>
      <c r="BM750" s="11"/>
      <c r="BN750" s="11">
        <v>38</v>
      </c>
      <c r="BO750">
        <v>0</v>
      </c>
      <c r="BP750" t="s">
        <v>691</v>
      </c>
      <c r="BQ750" t="s">
        <v>693</v>
      </c>
      <c r="BR750" t="s">
        <v>700</v>
      </c>
      <c r="BS750" t="s">
        <v>704</v>
      </c>
      <c r="BT750" t="s">
        <v>705</v>
      </c>
      <c r="BU750" t="s">
        <v>706</v>
      </c>
      <c r="CT750"/>
      <c r="CU750"/>
      <c r="CV750"/>
    </row>
    <row r="751" spans="1:100" x14ac:dyDescent="0.4">
      <c r="A751" s="2" t="s">
        <v>805</v>
      </c>
      <c r="B751" t="str">
        <f>_xlfn.TEXTAFTER(Table1[[#This Row],[VEHIDCODE]],"_")</f>
        <v>Coach_Gen3_TEE_Intercity_Coach</v>
      </c>
      <c r="C751" t="s">
        <v>756</v>
      </c>
      <c r="D751" t="s">
        <v>970</v>
      </c>
      <c r="E751">
        <v>11032</v>
      </c>
      <c r="F751" t="b">
        <f>OR(ISNUMBER(SEARCH("wagon_",Table1[[#This Row],[FILENAMES_EXPECTED]])),ISNUMBER(SEARCH("coach_",Table1[[#This Row],[FILENAMES_EXPECTED]])))</f>
        <v>1</v>
      </c>
      <c r="G751" t="str">
        <f>"item_"&amp;Table1[[#This Row],[VEHIDCODE]]</f>
        <v>item_mu_Coach_Gen3_TEE_Intercity_Coach</v>
      </c>
      <c r="H751" t="str">
        <f>"str_"&amp;Table1[[#This Row],[VEHIDCODE]]</f>
        <v>str_mu_Coach_Gen3_TEE_Intercity_Coach</v>
      </c>
      <c r="Q751" s="2" t="b">
        <v>1</v>
      </c>
      <c r="Z751" s="2" t="b">
        <v>1</v>
      </c>
      <c r="AI751" s="2" t="b">
        <v>1</v>
      </c>
      <c r="AL751" s="2"/>
      <c r="AM751" s="2" t="b">
        <f>LEN(_xlfn.CONCAT(Table1[[#This Row],[TRACK_TYPE_STANDARD_GAUGE_RAILTYPE_OHLE]:[TRACK_TYPE_MTRO]]))&gt;0</f>
        <v>1</v>
      </c>
      <c r="AN751">
        <v>8</v>
      </c>
      <c r="AO751" t="s">
        <v>325</v>
      </c>
      <c r="AP751">
        <v>0</v>
      </c>
      <c r="AQ751" t="s">
        <v>35</v>
      </c>
      <c r="AR751">
        <v>48</v>
      </c>
      <c r="AS751">
        <v>1950</v>
      </c>
      <c r="AT751">
        <v>8</v>
      </c>
      <c r="AU751" s="2" t="s">
        <v>479</v>
      </c>
      <c r="AV751" t="b">
        <v>1</v>
      </c>
      <c r="AX751" s="2"/>
      <c r="AY751">
        <v>50</v>
      </c>
      <c r="AZ751">
        <v>1</v>
      </c>
      <c r="BA751">
        <v>0</v>
      </c>
      <c r="BB751" t="s">
        <v>710</v>
      </c>
      <c r="BC751">
        <v>240</v>
      </c>
      <c r="BD751" s="2">
        <v>0.3</v>
      </c>
      <c r="BE751" t="s">
        <v>931</v>
      </c>
      <c r="BF751" t="s">
        <v>921</v>
      </c>
      <c r="BG751" t="s">
        <v>939</v>
      </c>
      <c r="BH751" s="7">
        <v>25</v>
      </c>
      <c r="BI75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51">
        <v>0</v>
      </c>
      <c r="BK751" t="s">
        <v>733</v>
      </c>
      <c r="BL751" s="11"/>
      <c r="BM751" s="11"/>
      <c r="BN751" s="11">
        <v>45</v>
      </c>
      <c r="BO751">
        <v>0</v>
      </c>
      <c r="BP751" t="s">
        <v>691</v>
      </c>
      <c r="BQ751" t="s">
        <v>693</v>
      </c>
      <c r="BR751" t="s">
        <v>700</v>
      </c>
      <c r="BS751" t="s">
        <v>704</v>
      </c>
      <c r="BT751" t="s">
        <v>705</v>
      </c>
      <c r="BU751" t="s">
        <v>706</v>
      </c>
      <c r="CT751"/>
      <c r="CU751"/>
      <c r="CV751"/>
    </row>
    <row r="752" spans="1:100" x14ac:dyDescent="0.4">
      <c r="A752" s="2" t="s">
        <v>806</v>
      </c>
      <c r="B752" t="str">
        <f>_xlfn.TEXTAFTER(Table1[[#This Row],[VEHIDCODE]],"_")</f>
        <v>Coach_Gen3_UIC_X_Regional_Coach</v>
      </c>
      <c r="C752" t="s">
        <v>756</v>
      </c>
      <c r="D752" t="s">
        <v>970</v>
      </c>
      <c r="E752">
        <v>11033</v>
      </c>
      <c r="F752" t="b">
        <f>OR(ISNUMBER(SEARCH("wagon_",Table1[[#This Row],[FILENAMES_EXPECTED]])),ISNUMBER(SEARCH("coach_",Table1[[#This Row],[FILENAMES_EXPECTED]])))</f>
        <v>1</v>
      </c>
      <c r="G752" t="str">
        <f>"item_"&amp;Table1[[#This Row],[VEHIDCODE]]</f>
        <v>item_mu_Coach_Gen3_UIC_X_Regional_Coach</v>
      </c>
      <c r="H752" t="str">
        <f>"str_"&amp;Table1[[#This Row],[VEHIDCODE]]</f>
        <v>str_mu_Coach_Gen3_UIC_X_Regional_Coach</v>
      </c>
      <c r="Q752" s="2" t="b">
        <v>1</v>
      </c>
      <c r="Z752" s="2" t="b">
        <v>1</v>
      </c>
      <c r="AI752" s="2" t="b">
        <v>1</v>
      </c>
      <c r="AL752" s="2"/>
      <c r="AM752" s="2" t="b">
        <f>LEN(_xlfn.CONCAT(Table1[[#This Row],[TRACK_TYPE_STANDARD_GAUGE_RAILTYPE_OHLE]:[TRACK_TYPE_MTRO]]))&gt;0</f>
        <v>1</v>
      </c>
      <c r="AN752">
        <v>8</v>
      </c>
      <c r="AO752" t="s">
        <v>325</v>
      </c>
      <c r="AP752">
        <v>0</v>
      </c>
      <c r="AQ752" t="s">
        <v>35</v>
      </c>
      <c r="AR752">
        <v>80</v>
      </c>
      <c r="AS752">
        <v>1950</v>
      </c>
      <c r="AT752">
        <v>8</v>
      </c>
      <c r="AU752" s="2" t="s">
        <v>479</v>
      </c>
      <c r="AV752" t="b">
        <v>1</v>
      </c>
      <c r="AX752" s="2"/>
      <c r="AY752">
        <v>50</v>
      </c>
      <c r="AZ752">
        <v>1</v>
      </c>
      <c r="BA752">
        <v>0</v>
      </c>
      <c r="BB752" t="s">
        <v>710</v>
      </c>
      <c r="BC752">
        <v>120</v>
      </c>
      <c r="BD752" s="2">
        <v>0.3</v>
      </c>
      <c r="BE752" t="s">
        <v>932</v>
      </c>
      <c r="BF752" t="s">
        <v>921</v>
      </c>
      <c r="BG752" t="s">
        <v>939</v>
      </c>
      <c r="BH752" s="7">
        <v>25</v>
      </c>
      <c r="BI75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52">
        <v>0</v>
      </c>
      <c r="BK752" t="s">
        <v>733</v>
      </c>
      <c r="BL752" s="11"/>
      <c r="BM752" s="11"/>
      <c r="BN752" s="11">
        <v>35</v>
      </c>
      <c r="BO752">
        <v>0</v>
      </c>
      <c r="BP752" t="s">
        <v>691</v>
      </c>
      <c r="BQ752" t="s">
        <v>693</v>
      </c>
      <c r="BR752" t="s">
        <v>700</v>
      </c>
      <c r="BS752" t="s">
        <v>704</v>
      </c>
      <c r="BT752" t="s">
        <v>705</v>
      </c>
      <c r="BU752" t="s">
        <v>706</v>
      </c>
      <c r="CT752"/>
      <c r="CU752"/>
      <c r="CV752"/>
    </row>
    <row r="753" spans="1:100" x14ac:dyDescent="0.4">
      <c r="A753" s="2" t="s">
        <v>807</v>
      </c>
      <c r="B753" t="str">
        <f>_xlfn.TEXTAFTER(Table1[[#This Row],[VEHIDCODE]],"_")</f>
        <v>Coach_Gen3_Umbauwagen_Local_Coach</v>
      </c>
      <c r="C753" t="s">
        <v>756</v>
      </c>
      <c r="D753" t="s">
        <v>970</v>
      </c>
      <c r="E753">
        <v>11034</v>
      </c>
      <c r="F753" t="b">
        <f>OR(ISNUMBER(SEARCH("wagon_",Table1[[#This Row],[FILENAMES_EXPECTED]])),ISNUMBER(SEARCH("coach_",Table1[[#This Row],[FILENAMES_EXPECTED]])))</f>
        <v>1</v>
      </c>
      <c r="G753" t="str">
        <f>"item_"&amp;Table1[[#This Row],[VEHIDCODE]]</f>
        <v>item_mu_Coach_Gen3_Umbauwagen_Local_Coach</v>
      </c>
      <c r="H753" t="str">
        <f>"str_"&amp;Table1[[#This Row],[VEHIDCODE]]</f>
        <v>str_mu_Coach_Gen3_Umbauwagen_Local_Coach</v>
      </c>
      <c r="Q753" s="2" t="b">
        <v>1</v>
      </c>
      <c r="Z753" s="2" t="b">
        <v>1</v>
      </c>
      <c r="AI753" s="2" t="b">
        <v>1</v>
      </c>
      <c r="AL753" s="2"/>
      <c r="AM753" s="2" t="b">
        <f>LEN(_xlfn.CONCAT(Table1[[#This Row],[TRACK_TYPE_STANDARD_GAUGE_RAILTYPE_OHLE]:[TRACK_TYPE_MTRO]]))&gt;0</f>
        <v>1</v>
      </c>
      <c r="AN753">
        <v>7</v>
      </c>
      <c r="AO753" t="s">
        <v>325</v>
      </c>
      <c r="AP753">
        <v>0</v>
      </c>
      <c r="AQ753" t="s">
        <v>35</v>
      </c>
      <c r="AR753">
        <v>70</v>
      </c>
      <c r="AS753">
        <v>1950</v>
      </c>
      <c r="AT753">
        <v>7</v>
      </c>
      <c r="AU753" s="2" t="s">
        <v>24</v>
      </c>
      <c r="AV753" t="b">
        <v>1</v>
      </c>
      <c r="AX753" s="2"/>
      <c r="AY753">
        <v>50</v>
      </c>
      <c r="AZ753">
        <v>1</v>
      </c>
      <c r="BA753">
        <v>0</v>
      </c>
      <c r="BB753" t="s">
        <v>710</v>
      </c>
      <c r="BC753">
        <v>120</v>
      </c>
      <c r="BD753" s="2">
        <v>0.3</v>
      </c>
      <c r="BE753" t="s">
        <v>932</v>
      </c>
      <c r="BF753" t="s">
        <v>921</v>
      </c>
      <c r="BG753" t="s">
        <v>939</v>
      </c>
      <c r="BH753" s="7">
        <v>25</v>
      </c>
      <c r="BI75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53">
        <v>0</v>
      </c>
      <c r="BK753" t="s">
        <v>733</v>
      </c>
      <c r="BL753" s="11"/>
      <c r="BM753" s="11"/>
      <c r="BN753" s="11">
        <v>29</v>
      </c>
      <c r="BO753">
        <v>0</v>
      </c>
      <c r="BP753" t="s">
        <v>691</v>
      </c>
      <c r="BQ753" t="s">
        <v>693</v>
      </c>
      <c r="BR753" t="s">
        <v>700</v>
      </c>
      <c r="BS753" t="s">
        <v>704</v>
      </c>
      <c r="BT753" t="s">
        <v>705</v>
      </c>
      <c r="BU753" t="s">
        <v>706</v>
      </c>
      <c r="CT753"/>
      <c r="CU753"/>
      <c r="CV753"/>
    </row>
    <row r="754" spans="1:100" x14ac:dyDescent="0.4">
      <c r="A754" s="2" t="s">
        <v>808</v>
      </c>
      <c r="B754" t="str">
        <f>_xlfn.TEXTAFTER(Table1[[#This Row],[VEHIDCODE]],"_")</f>
        <v>Coach_Gen3_Doppelstockwagen_Local_Coach</v>
      </c>
      <c r="C754" t="s">
        <v>756</v>
      </c>
      <c r="D754" t="s">
        <v>970</v>
      </c>
      <c r="E754">
        <v>11035</v>
      </c>
      <c r="F754" t="b">
        <f>OR(ISNUMBER(SEARCH("wagon_",Table1[[#This Row],[FILENAMES_EXPECTED]])),ISNUMBER(SEARCH("coach_",Table1[[#This Row],[FILENAMES_EXPECTED]])))</f>
        <v>1</v>
      </c>
      <c r="G754" t="str">
        <f>"item_"&amp;Table1[[#This Row],[VEHIDCODE]]</f>
        <v>item_mu_Coach_Gen3_Doppelstockwagen_Local_Coach</v>
      </c>
      <c r="H754" t="str">
        <f>"str_"&amp;Table1[[#This Row],[VEHIDCODE]]</f>
        <v>str_mu_Coach_Gen3_Doppelstockwagen_Local_Coach</v>
      </c>
      <c r="Q754" s="2" t="b">
        <v>1</v>
      </c>
      <c r="Z754" s="2" t="b">
        <v>1</v>
      </c>
      <c r="AI754" s="2" t="b">
        <v>1</v>
      </c>
      <c r="AL754" s="2"/>
      <c r="AM754" s="2" t="b">
        <f>LEN(_xlfn.CONCAT(Table1[[#This Row],[TRACK_TYPE_STANDARD_GAUGE_RAILTYPE_OHLE]:[TRACK_TYPE_MTRO]]))&gt;0</f>
        <v>1</v>
      </c>
      <c r="AN754">
        <v>8</v>
      </c>
      <c r="AO754" t="s">
        <v>325</v>
      </c>
      <c r="AP754">
        <v>0</v>
      </c>
      <c r="AQ754" t="s">
        <v>35</v>
      </c>
      <c r="AR754">
        <v>130</v>
      </c>
      <c r="AS754">
        <v>1950</v>
      </c>
      <c r="AT754">
        <v>8</v>
      </c>
      <c r="AU754" s="2" t="s">
        <v>24</v>
      </c>
      <c r="AV754" t="b">
        <v>1</v>
      </c>
      <c r="AX754" s="2"/>
      <c r="AY754">
        <v>40</v>
      </c>
      <c r="AZ754">
        <v>1</v>
      </c>
      <c r="BA754">
        <v>0</v>
      </c>
      <c r="BB754" t="s">
        <v>710</v>
      </c>
      <c r="BC754">
        <v>120</v>
      </c>
      <c r="BD754" s="2">
        <v>0.3</v>
      </c>
      <c r="BE754" t="s">
        <v>932</v>
      </c>
      <c r="BF754" t="s">
        <v>921</v>
      </c>
      <c r="BG754" t="s">
        <v>939</v>
      </c>
      <c r="BH754" s="7">
        <v>25</v>
      </c>
      <c r="BI75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54">
        <v>0</v>
      </c>
      <c r="BK754" t="s">
        <v>733</v>
      </c>
      <c r="BL754" s="11"/>
      <c r="BM754" s="11"/>
      <c r="BN754" s="11">
        <v>45</v>
      </c>
      <c r="BO754">
        <v>0</v>
      </c>
      <c r="BP754" t="s">
        <v>691</v>
      </c>
      <c r="BQ754" t="s">
        <v>693</v>
      </c>
      <c r="BR754" t="s">
        <v>700</v>
      </c>
      <c r="BS754" t="s">
        <v>704</v>
      </c>
      <c r="BT754" t="s">
        <v>705</v>
      </c>
      <c r="BU754" t="s">
        <v>706</v>
      </c>
      <c r="CT754"/>
      <c r="CU754"/>
      <c r="CV754"/>
    </row>
    <row r="755" spans="1:100" x14ac:dyDescent="0.4">
      <c r="A755" s="2" t="s">
        <v>809</v>
      </c>
      <c r="B755" t="str">
        <f>_xlfn.TEXTAFTER(Table1[[#This Row],[VEHIDCODE]],"_")</f>
        <v>Coach_Gen3_UIC_X_Mail_Coach</v>
      </c>
      <c r="C755" t="s">
        <v>756</v>
      </c>
      <c r="D755" t="s">
        <v>970</v>
      </c>
      <c r="E755">
        <v>11036</v>
      </c>
      <c r="F755" t="b">
        <f>OR(ISNUMBER(SEARCH("wagon_",Table1[[#This Row],[FILENAMES_EXPECTED]])),ISNUMBER(SEARCH("coach_",Table1[[#This Row],[FILENAMES_EXPECTED]])))</f>
        <v>1</v>
      </c>
      <c r="G755" t="str">
        <f>"item_"&amp;Table1[[#This Row],[VEHIDCODE]]</f>
        <v>item_mu_Coach_Gen3_UIC_X_Mail_Coach</v>
      </c>
      <c r="H755" t="str">
        <f>"str_"&amp;Table1[[#This Row],[VEHIDCODE]]</f>
        <v>str_mu_Coach_Gen3_UIC_X_Mail_Coach</v>
      </c>
      <c r="Q755" s="2" t="b">
        <v>1</v>
      </c>
      <c r="Z755" s="2" t="b">
        <v>1</v>
      </c>
      <c r="AI755" s="2" t="b">
        <v>1</v>
      </c>
      <c r="AL755" s="2"/>
      <c r="AM755" s="2" t="b">
        <f>LEN(_xlfn.CONCAT(Table1[[#This Row],[TRACK_TYPE_STANDARD_GAUGE_RAILTYPE_OHLE]:[TRACK_TYPE_MTRO]]))&gt;0</f>
        <v>1</v>
      </c>
      <c r="AN755">
        <v>8</v>
      </c>
      <c r="AO755" t="s">
        <v>673</v>
      </c>
      <c r="AP755">
        <v>0</v>
      </c>
      <c r="AQ755" t="s">
        <v>35</v>
      </c>
      <c r="AR755">
        <v>96</v>
      </c>
      <c r="AS755">
        <v>1950</v>
      </c>
      <c r="AT755">
        <v>8</v>
      </c>
      <c r="AU755" s="2" t="s">
        <v>674</v>
      </c>
      <c r="AV755" t="b">
        <v>1</v>
      </c>
      <c r="AX755" s="2"/>
      <c r="AY755">
        <v>50</v>
      </c>
      <c r="AZ755">
        <v>1</v>
      </c>
      <c r="BA755">
        <v>0</v>
      </c>
      <c r="BB755" t="s">
        <v>710</v>
      </c>
      <c r="BC755">
        <v>140</v>
      </c>
      <c r="BD755" s="2">
        <v>0.3</v>
      </c>
      <c r="BE755" t="s">
        <v>932</v>
      </c>
      <c r="BF755" t="s">
        <v>921</v>
      </c>
      <c r="BG755" t="s">
        <v>939</v>
      </c>
      <c r="BH755" s="7">
        <v>25</v>
      </c>
      <c r="BI75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55">
        <v>0</v>
      </c>
      <c r="BK755" t="s">
        <v>733</v>
      </c>
      <c r="BL755" s="11"/>
      <c r="BM755" s="11"/>
      <c r="BN755" s="11">
        <v>34</v>
      </c>
      <c r="BO755">
        <v>0</v>
      </c>
      <c r="BP755" t="s">
        <v>691</v>
      </c>
      <c r="BQ755" t="s">
        <v>693</v>
      </c>
      <c r="BR755" t="s">
        <v>700</v>
      </c>
      <c r="BS755" t="s">
        <v>704</v>
      </c>
      <c r="BT755" t="s">
        <v>705</v>
      </c>
      <c r="BU755" t="s">
        <v>706</v>
      </c>
      <c r="CT755"/>
      <c r="CU755"/>
      <c r="CV755"/>
    </row>
    <row r="756" spans="1:100" x14ac:dyDescent="0.4">
      <c r="A756" s="2" t="s">
        <v>810</v>
      </c>
      <c r="B756" t="str">
        <f>_xlfn.TEXTAFTER(Table1[[#This Row],[VEHIDCODE]],"_")</f>
        <v>Coach_Gen3_Indian_Intercity_Coach</v>
      </c>
      <c r="C756" t="s">
        <v>756</v>
      </c>
      <c r="D756" t="s">
        <v>970</v>
      </c>
      <c r="E756">
        <v>11037</v>
      </c>
      <c r="F756" t="b">
        <f>OR(ISNUMBER(SEARCH("wagon_",Table1[[#This Row],[FILENAMES_EXPECTED]])),ISNUMBER(SEARCH("coach_",Table1[[#This Row],[FILENAMES_EXPECTED]])))</f>
        <v>1</v>
      </c>
      <c r="G756" t="str">
        <f>"item_"&amp;Table1[[#This Row],[VEHIDCODE]]</f>
        <v>item_mu_Coach_Gen3_Indian_Intercity_Coach</v>
      </c>
      <c r="H756" t="str">
        <f>"str_"&amp;Table1[[#This Row],[VEHIDCODE]]</f>
        <v>str_mu_Coach_Gen3_Indian_Intercity_Coach</v>
      </c>
      <c r="Q756" s="2" t="b">
        <v>1</v>
      </c>
      <c r="Z756" s="2" t="b">
        <v>1</v>
      </c>
      <c r="AI756" s="2" t="b">
        <v>1</v>
      </c>
      <c r="AL756" s="2"/>
      <c r="AM756" s="2" t="b">
        <f>LEN(_xlfn.CONCAT(Table1[[#This Row],[TRACK_TYPE_STANDARD_GAUGE_RAILTYPE_OHLE]:[TRACK_TYPE_MTRO]]))&gt;0</f>
        <v>1</v>
      </c>
      <c r="AN756">
        <v>8</v>
      </c>
      <c r="AO756" t="s">
        <v>325</v>
      </c>
      <c r="AP756">
        <v>0</v>
      </c>
      <c r="AQ756" t="s">
        <v>35</v>
      </c>
      <c r="AR756">
        <v>64</v>
      </c>
      <c r="AS756">
        <v>1950</v>
      </c>
      <c r="AT756">
        <v>8</v>
      </c>
      <c r="AU756" s="2" t="s">
        <v>479</v>
      </c>
      <c r="AV756" t="b">
        <v>1</v>
      </c>
      <c r="AX756" s="2"/>
      <c r="AY756">
        <v>60</v>
      </c>
      <c r="AZ756">
        <v>1</v>
      </c>
      <c r="BA756">
        <v>0</v>
      </c>
      <c r="BB756" t="s">
        <v>710</v>
      </c>
      <c r="BC756">
        <v>140</v>
      </c>
      <c r="BD756" s="2">
        <v>0.3</v>
      </c>
      <c r="BE756" t="s">
        <v>930</v>
      </c>
      <c r="BF756" t="s">
        <v>921</v>
      </c>
      <c r="BG756" t="s">
        <v>939</v>
      </c>
      <c r="BH756" s="7">
        <v>25</v>
      </c>
      <c r="BI75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56">
        <v>0</v>
      </c>
      <c r="BK756" t="s">
        <v>733</v>
      </c>
      <c r="BL756" s="11"/>
      <c r="BM756" s="11"/>
      <c r="BN756" s="11">
        <v>38</v>
      </c>
      <c r="BO756">
        <v>0</v>
      </c>
      <c r="BP756" t="s">
        <v>691</v>
      </c>
      <c r="BQ756" t="s">
        <v>693</v>
      </c>
      <c r="BR756" t="s">
        <v>700</v>
      </c>
      <c r="BS756" t="s">
        <v>704</v>
      </c>
      <c r="BT756" t="s">
        <v>705</v>
      </c>
      <c r="BU756" t="s">
        <v>706</v>
      </c>
      <c r="CT756"/>
      <c r="CU756"/>
      <c r="CV756"/>
    </row>
    <row r="757" spans="1:100" x14ac:dyDescent="0.4">
      <c r="A757" s="2" t="s">
        <v>811</v>
      </c>
      <c r="B757" t="str">
        <f>_xlfn.TEXTAFTER(Table1[[#This Row],[VEHIDCODE]],"_")</f>
        <v>Coach_Gen3_Indian_Local_Coach</v>
      </c>
      <c r="C757" t="s">
        <v>756</v>
      </c>
      <c r="D757" t="s">
        <v>970</v>
      </c>
      <c r="E757">
        <v>11038</v>
      </c>
      <c r="F757" t="b">
        <f>OR(ISNUMBER(SEARCH("wagon_",Table1[[#This Row],[FILENAMES_EXPECTED]])),ISNUMBER(SEARCH("coach_",Table1[[#This Row],[FILENAMES_EXPECTED]])))</f>
        <v>1</v>
      </c>
      <c r="G757" t="str">
        <f>"item_"&amp;Table1[[#This Row],[VEHIDCODE]]</f>
        <v>item_mu_Coach_Gen3_Indian_Local_Coach</v>
      </c>
      <c r="H757" t="str">
        <f>"str_"&amp;Table1[[#This Row],[VEHIDCODE]]</f>
        <v>str_mu_Coach_Gen3_Indian_Local_Coach</v>
      </c>
      <c r="Q757" s="2" t="b">
        <v>1</v>
      </c>
      <c r="Z757" s="2" t="b">
        <v>1</v>
      </c>
      <c r="AI757" s="2" t="b">
        <v>1</v>
      </c>
      <c r="AL757" s="2"/>
      <c r="AM757" s="2" t="b">
        <f>LEN(_xlfn.CONCAT(Table1[[#This Row],[TRACK_TYPE_STANDARD_GAUGE_RAILTYPE_OHLE]:[TRACK_TYPE_MTRO]]))&gt;0</f>
        <v>1</v>
      </c>
      <c r="AN757">
        <v>8</v>
      </c>
      <c r="AO757" t="s">
        <v>325</v>
      </c>
      <c r="AP757">
        <v>0</v>
      </c>
      <c r="AQ757" t="s">
        <v>35</v>
      </c>
      <c r="AR757">
        <v>100</v>
      </c>
      <c r="AS757">
        <v>1950</v>
      </c>
      <c r="AT757">
        <v>8</v>
      </c>
      <c r="AU757" s="2" t="s">
        <v>24</v>
      </c>
      <c r="AV757" t="b">
        <v>1</v>
      </c>
      <c r="AX757" s="2"/>
      <c r="AY757">
        <v>60</v>
      </c>
      <c r="AZ757">
        <v>1</v>
      </c>
      <c r="BA757">
        <v>0</v>
      </c>
      <c r="BB757" t="s">
        <v>710</v>
      </c>
      <c r="BC757">
        <v>80</v>
      </c>
      <c r="BD757" s="2">
        <v>0.3</v>
      </c>
      <c r="BE757" t="s">
        <v>930</v>
      </c>
      <c r="BF757" t="s">
        <v>921</v>
      </c>
      <c r="BG757" t="s">
        <v>939</v>
      </c>
      <c r="BH757" s="7">
        <v>25</v>
      </c>
      <c r="BI75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57">
        <v>0</v>
      </c>
      <c r="BK757" t="s">
        <v>733</v>
      </c>
      <c r="BL757" s="11"/>
      <c r="BM757" s="11"/>
      <c r="BN757" s="11">
        <v>38</v>
      </c>
      <c r="BO757">
        <v>0</v>
      </c>
      <c r="BP757" t="s">
        <v>691</v>
      </c>
      <c r="BQ757" t="s">
        <v>693</v>
      </c>
      <c r="BR757" t="s">
        <v>700</v>
      </c>
      <c r="BS757" t="s">
        <v>704</v>
      </c>
      <c r="BT757" t="s">
        <v>705</v>
      </c>
      <c r="BU757" t="s">
        <v>706</v>
      </c>
      <c r="CT757"/>
      <c r="CU757"/>
      <c r="CV757"/>
    </row>
    <row r="758" spans="1:100" x14ac:dyDescent="0.4">
      <c r="A758" s="2" t="s">
        <v>812</v>
      </c>
      <c r="B758" t="str">
        <f>_xlfn.TEXTAFTER(Table1[[#This Row],[VEHIDCODE]],"_")</f>
        <v>Coach_Gen3_Indian_Regional_Coach</v>
      </c>
      <c r="C758" t="s">
        <v>756</v>
      </c>
      <c r="D758" t="s">
        <v>970</v>
      </c>
      <c r="E758">
        <v>11039</v>
      </c>
      <c r="F758" t="b">
        <f>OR(ISNUMBER(SEARCH("wagon_",Table1[[#This Row],[FILENAMES_EXPECTED]])),ISNUMBER(SEARCH("coach_",Table1[[#This Row],[FILENAMES_EXPECTED]])))</f>
        <v>1</v>
      </c>
      <c r="G758" t="str">
        <f>"item_"&amp;Table1[[#This Row],[VEHIDCODE]]</f>
        <v>item_mu_Coach_Gen3_Indian_Regional_Coach</v>
      </c>
      <c r="H758" t="str">
        <f>"str_"&amp;Table1[[#This Row],[VEHIDCODE]]</f>
        <v>str_mu_Coach_Gen3_Indian_Regional_Coach</v>
      </c>
      <c r="Q758" s="2" t="b">
        <v>1</v>
      </c>
      <c r="Z758" s="2" t="b">
        <v>1</v>
      </c>
      <c r="AI758" s="2" t="b">
        <v>1</v>
      </c>
      <c r="AL758" s="2"/>
      <c r="AM758" s="2" t="b">
        <f>LEN(_xlfn.CONCAT(Table1[[#This Row],[TRACK_TYPE_STANDARD_GAUGE_RAILTYPE_OHLE]:[TRACK_TYPE_MTRO]]))&gt;0</f>
        <v>1</v>
      </c>
      <c r="AN758">
        <v>8</v>
      </c>
      <c r="AO758" t="s">
        <v>325</v>
      </c>
      <c r="AP758">
        <v>0</v>
      </c>
      <c r="AQ758" t="s">
        <v>35</v>
      </c>
      <c r="AR758">
        <v>80</v>
      </c>
      <c r="AS758">
        <v>1950</v>
      </c>
      <c r="AT758">
        <v>8</v>
      </c>
      <c r="AU758" s="2" t="s">
        <v>479</v>
      </c>
      <c r="AV758" t="b">
        <v>1</v>
      </c>
      <c r="AX758" s="2"/>
      <c r="AY758">
        <v>60</v>
      </c>
      <c r="AZ758">
        <v>1</v>
      </c>
      <c r="BA758">
        <v>0</v>
      </c>
      <c r="BB758" t="s">
        <v>710</v>
      </c>
      <c r="BC758">
        <v>110</v>
      </c>
      <c r="BD758" s="2">
        <v>0.3</v>
      </c>
      <c r="BE758" t="s">
        <v>930</v>
      </c>
      <c r="BF758" t="s">
        <v>921</v>
      </c>
      <c r="BG758" t="s">
        <v>939</v>
      </c>
      <c r="BH758" s="7">
        <v>25</v>
      </c>
      <c r="BI75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58">
        <v>0</v>
      </c>
      <c r="BK758" t="s">
        <v>733</v>
      </c>
      <c r="BL758" s="11"/>
      <c r="BM758" s="11"/>
      <c r="BN758" s="11">
        <v>38</v>
      </c>
      <c r="BO758">
        <v>0</v>
      </c>
      <c r="BP758" t="s">
        <v>691</v>
      </c>
      <c r="BQ758" t="s">
        <v>693</v>
      </c>
      <c r="BR758" t="s">
        <v>700</v>
      </c>
      <c r="BS758" t="s">
        <v>704</v>
      </c>
      <c r="BT758" t="s">
        <v>705</v>
      </c>
      <c r="BU758" t="s">
        <v>706</v>
      </c>
      <c r="CT758"/>
      <c r="CU758"/>
      <c r="CV758"/>
    </row>
    <row r="759" spans="1:100" x14ac:dyDescent="0.4">
      <c r="A759" s="2" t="s">
        <v>813</v>
      </c>
      <c r="B759" t="str">
        <f>_xlfn.TEXTAFTER(Table1[[#This Row],[VEHIDCODE]],"_")</f>
        <v>Coach_Gen3_Indian_Mail_Coach</v>
      </c>
      <c r="C759" t="s">
        <v>756</v>
      </c>
      <c r="D759" t="s">
        <v>970</v>
      </c>
      <c r="E759">
        <v>11040</v>
      </c>
      <c r="F759" t="b">
        <f>OR(ISNUMBER(SEARCH("wagon_",Table1[[#This Row],[FILENAMES_EXPECTED]])),ISNUMBER(SEARCH("coach_",Table1[[#This Row],[FILENAMES_EXPECTED]])))</f>
        <v>1</v>
      </c>
      <c r="G759" t="str">
        <f>"item_"&amp;Table1[[#This Row],[VEHIDCODE]]</f>
        <v>item_mu_Coach_Gen3_Indian_Mail_Coach</v>
      </c>
      <c r="H759" t="str">
        <f>"str_"&amp;Table1[[#This Row],[VEHIDCODE]]</f>
        <v>str_mu_Coach_Gen3_Indian_Mail_Coach</v>
      </c>
      <c r="Q759" s="2" t="b">
        <v>1</v>
      </c>
      <c r="Z759" s="2" t="b">
        <v>1</v>
      </c>
      <c r="AI759" s="2" t="b">
        <v>1</v>
      </c>
      <c r="AL759" s="2"/>
      <c r="AM759" s="2" t="b">
        <f>LEN(_xlfn.CONCAT(Table1[[#This Row],[TRACK_TYPE_STANDARD_GAUGE_RAILTYPE_OHLE]:[TRACK_TYPE_MTRO]]))&gt;0</f>
        <v>1</v>
      </c>
      <c r="AN759">
        <v>8</v>
      </c>
      <c r="AO759" t="s">
        <v>673</v>
      </c>
      <c r="AP759">
        <v>0</v>
      </c>
      <c r="AQ759" t="s">
        <v>35</v>
      </c>
      <c r="AR759">
        <v>60</v>
      </c>
      <c r="AS759">
        <v>1950</v>
      </c>
      <c r="AT759">
        <v>8</v>
      </c>
      <c r="AU759" s="2" t="s">
        <v>674</v>
      </c>
      <c r="AV759" t="b">
        <v>1</v>
      </c>
      <c r="AX759" s="2"/>
      <c r="AY759">
        <v>60</v>
      </c>
      <c r="AZ759">
        <v>1</v>
      </c>
      <c r="BA759">
        <v>0</v>
      </c>
      <c r="BB759" t="s">
        <v>710</v>
      </c>
      <c r="BC759">
        <v>140</v>
      </c>
      <c r="BD759" s="2">
        <v>0.3</v>
      </c>
      <c r="BE759" t="s">
        <v>930</v>
      </c>
      <c r="BF759" t="s">
        <v>921</v>
      </c>
      <c r="BG759" t="s">
        <v>939</v>
      </c>
      <c r="BH759" s="7">
        <v>25</v>
      </c>
      <c r="BI75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59">
        <v>0</v>
      </c>
      <c r="BK759" t="s">
        <v>733</v>
      </c>
      <c r="BL759" s="11"/>
      <c r="BM759" s="11"/>
      <c r="BN759" s="11">
        <v>36</v>
      </c>
      <c r="BO759">
        <v>0</v>
      </c>
      <c r="BP759" t="s">
        <v>691</v>
      </c>
      <c r="BQ759" t="s">
        <v>693</v>
      </c>
      <c r="BR759" t="s">
        <v>700</v>
      </c>
      <c r="BS759" t="s">
        <v>704</v>
      </c>
      <c r="BT759" t="s">
        <v>705</v>
      </c>
      <c r="BU759" t="s">
        <v>706</v>
      </c>
      <c r="CT759"/>
      <c r="CU759"/>
      <c r="CV759"/>
    </row>
    <row r="760" spans="1:100" x14ac:dyDescent="0.4">
      <c r="A760" s="2" t="s">
        <v>814</v>
      </c>
      <c r="B760" t="str">
        <f>_xlfn.TEXTAFTER(Table1[[#This Row],[VEHIDCODE]],"_")</f>
        <v>Coach_Gen4_Eurofima_Intercity_Coach</v>
      </c>
      <c r="C760" t="s">
        <v>757</v>
      </c>
      <c r="D760" t="s">
        <v>970</v>
      </c>
      <c r="E760">
        <v>11041</v>
      </c>
      <c r="F760" t="b">
        <f>OR(ISNUMBER(SEARCH("wagon_",Table1[[#This Row],[FILENAMES_EXPECTED]])),ISNUMBER(SEARCH("coach_",Table1[[#This Row],[FILENAMES_EXPECTED]])))</f>
        <v>1</v>
      </c>
      <c r="G760" t="str">
        <f>"item_"&amp;Table1[[#This Row],[VEHIDCODE]]</f>
        <v>item_mu_Coach_Gen4_Eurofima_Intercity_Coach</v>
      </c>
      <c r="H760" t="str">
        <f>"str_"&amp;Table1[[#This Row],[VEHIDCODE]]</f>
        <v>str_mu_Coach_Gen4_Eurofima_Intercity_Coach</v>
      </c>
      <c r="Q760" s="2" t="b">
        <v>1</v>
      </c>
      <c r="Z760" s="2" t="b">
        <v>1</v>
      </c>
      <c r="AI760" s="2" t="b">
        <v>1</v>
      </c>
      <c r="AL760" s="2"/>
      <c r="AM760" s="2" t="b">
        <f>LEN(_xlfn.CONCAT(Table1[[#This Row],[TRACK_TYPE_STANDARD_GAUGE_RAILTYPE_OHLE]:[TRACK_TYPE_MTRO]]))&gt;0</f>
        <v>1</v>
      </c>
      <c r="AN760">
        <v>8</v>
      </c>
      <c r="AO760" t="s">
        <v>325</v>
      </c>
      <c r="AP760">
        <v>0</v>
      </c>
      <c r="AQ760" t="s">
        <v>35</v>
      </c>
      <c r="AR760">
        <v>60</v>
      </c>
      <c r="AS760">
        <v>1970</v>
      </c>
      <c r="AT760">
        <v>8</v>
      </c>
      <c r="AU760" s="2" t="s">
        <v>479</v>
      </c>
      <c r="AV760" t="b">
        <v>1</v>
      </c>
      <c r="AX760" s="2"/>
      <c r="AY760">
        <v>50</v>
      </c>
      <c r="AZ760">
        <v>1</v>
      </c>
      <c r="BA760">
        <v>0</v>
      </c>
      <c r="BB760" t="s">
        <v>710</v>
      </c>
      <c r="BC760">
        <v>200</v>
      </c>
      <c r="BD760" s="2">
        <v>0.3</v>
      </c>
      <c r="BE760" t="s">
        <v>932</v>
      </c>
      <c r="BF760" t="s">
        <v>921</v>
      </c>
      <c r="BG760" t="s">
        <v>939</v>
      </c>
      <c r="BH760" s="7">
        <v>25</v>
      </c>
      <c r="BI76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60">
        <v>0</v>
      </c>
      <c r="BK760" t="s">
        <v>733</v>
      </c>
      <c r="BL760" s="11"/>
      <c r="BM760" s="11"/>
      <c r="BN760" s="11">
        <v>42</v>
      </c>
      <c r="BO760">
        <v>0</v>
      </c>
      <c r="BP760" t="s">
        <v>691</v>
      </c>
      <c r="BQ760" t="s">
        <v>693</v>
      </c>
      <c r="BR760" t="s">
        <v>700</v>
      </c>
      <c r="BS760" t="s">
        <v>704</v>
      </c>
      <c r="BT760" t="s">
        <v>705</v>
      </c>
      <c r="BU760" t="s">
        <v>706</v>
      </c>
      <c r="CT760"/>
      <c r="CU760"/>
      <c r="CV760"/>
    </row>
    <row r="761" spans="1:100" x14ac:dyDescent="0.4">
      <c r="A761" s="2" t="s">
        <v>815</v>
      </c>
      <c r="B761" t="str">
        <f>_xlfn.TEXTAFTER(Table1[[#This Row],[VEHIDCODE]],"_")</f>
        <v>Coach_Gen4_InterRegio_Coach</v>
      </c>
      <c r="C761" t="s">
        <v>757</v>
      </c>
      <c r="D761" t="s">
        <v>970</v>
      </c>
      <c r="E761">
        <v>11042</v>
      </c>
      <c r="F761" t="b">
        <f>OR(ISNUMBER(SEARCH("wagon_",Table1[[#This Row],[FILENAMES_EXPECTED]])),ISNUMBER(SEARCH("coach_",Table1[[#This Row],[FILENAMES_EXPECTED]])))</f>
        <v>1</v>
      </c>
      <c r="G761" t="str">
        <f>"item_"&amp;Table1[[#This Row],[VEHIDCODE]]</f>
        <v>item_mu_Coach_Gen4_InterRegio_Coach</v>
      </c>
      <c r="H761" t="str">
        <f>"str_"&amp;Table1[[#This Row],[VEHIDCODE]]</f>
        <v>str_mu_Coach_Gen4_InterRegio_Coach</v>
      </c>
      <c r="Q761" s="2" t="b">
        <v>1</v>
      </c>
      <c r="Z761" s="2" t="b">
        <v>1</v>
      </c>
      <c r="AI761" s="2" t="b">
        <v>1</v>
      </c>
      <c r="AL761" s="2"/>
      <c r="AM761" s="2" t="b">
        <f>LEN(_xlfn.CONCAT(Table1[[#This Row],[TRACK_TYPE_STANDARD_GAUGE_RAILTYPE_OHLE]:[TRACK_TYPE_MTRO]]))&gt;0</f>
        <v>1</v>
      </c>
      <c r="AN761">
        <v>8</v>
      </c>
      <c r="AO761" t="s">
        <v>325</v>
      </c>
      <c r="AP761">
        <v>0</v>
      </c>
      <c r="AQ761" t="s">
        <v>35</v>
      </c>
      <c r="AR761">
        <v>60</v>
      </c>
      <c r="AS761">
        <v>1970</v>
      </c>
      <c r="AT761">
        <v>8</v>
      </c>
      <c r="AU761" s="2" t="s">
        <v>479</v>
      </c>
      <c r="AV761" t="b">
        <v>1</v>
      </c>
      <c r="AX761" s="2"/>
      <c r="AY761">
        <v>50</v>
      </c>
      <c r="AZ761">
        <v>1</v>
      </c>
      <c r="BA761">
        <v>0</v>
      </c>
      <c r="BB761" t="s">
        <v>710</v>
      </c>
      <c r="BC761">
        <v>200</v>
      </c>
      <c r="BD761" s="2">
        <v>0.3</v>
      </c>
      <c r="BE761" t="s">
        <v>932</v>
      </c>
      <c r="BF761" t="s">
        <v>921</v>
      </c>
      <c r="BG761" t="s">
        <v>939</v>
      </c>
      <c r="BH761" s="7">
        <v>25</v>
      </c>
      <c r="BI76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61">
        <v>0</v>
      </c>
      <c r="BK761" t="s">
        <v>733</v>
      </c>
      <c r="BL761" s="11"/>
      <c r="BM761" s="11"/>
      <c r="BN761" s="11">
        <v>42</v>
      </c>
      <c r="BO761">
        <v>0</v>
      </c>
      <c r="BP761" t="s">
        <v>691</v>
      </c>
      <c r="BQ761" t="s">
        <v>693</v>
      </c>
      <c r="BR761" t="s">
        <v>700</v>
      </c>
      <c r="BS761" t="s">
        <v>704</v>
      </c>
      <c r="BT761" t="s">
        <v>705</v>
      </c>
      <c r="BU761" t="s">
        <v>706</v>
      </c>
      <c r="CT761"/>
      <c r="CU761"/>
      <c r="CV761"/>
    </row>
    <row r="762" spans="1:100" x14ac:dyDescent="0.4">
      <c r="A762" s="2" t="s">
        <v>816</v>
      </c>
      <c r="B762" t="str">
        <f>_xlfn.TEXTAFTER(Table1[[#This Row],[VEHIDCODE]],"_")</f>
        <v>Coach_Gen4_Silberling_Commuter_Coach</v>
      </c>
      <c r="C762" t="s">
        <v>757</v>
      </c>
      <c r="D762" t="s">
        <v>970</v>
      </c>
      <c r="E762">
        <v>11043</v>
      </c>
      <c r="F762" t="b">
        <f>OR(ISNUMBER(SEARCH("wagon_",Table1[[#This Row],[FILENAMES_EXPECTED]])),ISNUMBER(SEARCH("coach_",Table1[[#This Row],[FILENAMES_EXPECTED]])))</f>
        <v>1</v>
      </c>
      <c r="G762" t="str">
        <f>"item_"&amp;Table1[[#This Row],[VEHIDCODE]]</f>
        <v>item_mu_Coach_Gen4_Silberling_Commuter_Coach</v>
      </c>
      <c r="H762" t="str">
        <f>"str_"&amp;Table1[[#This Row],[VEHIDCODE]]</f>
        <v>str_mu_Coach_Gen4_Silberling_Commuter_Coach</v>
      </c>
      <c r="Q762" s="2" t="b">
        <v>1</v>
      </c>
      <c r="Z762" s="2" t="b">
        <v>1</v>
      </c>
      <c r="AI762" s="2" t="b">
        <v>1</v>
      </c>
      <c r="AL762" s="2"/>
      <c r="AM762" s="2" t="b">
        <f>LEN(_xlfn.CONCAT(Table1[[#This Row],[TRACK_TYPE_STANDARD_GAUGE_RAILTYPE_OHLE]:[TRACK_TYPE_MTRO]]))&gt;0</f>
        <v>1</v>
      </c>
      <c r="AN762">
        <v>8</v>
      </c>
      <c r="AO762" t="s">
        <v>325</v>
      </c>
      <c r="AP762">
        <v>0</v>
      </c>
      <c r="AQ762" t="s">
        <v>35</v>
      </c>
      <c r="AR762">
        <v>90</v>
      </c>
      <c r="AS762">
        <v>1960</v>
      </c>
      <c r="AT762">
        <v>8</v>
      </c>
      <c r="AU762" s="2" t="s">
        <v>24</v>
      </c>
      <c r="AV762" t="b">
        <v>1</v>
      </c>
      <c r="AX762" s="2"/>
      <c r="AY762">
        <v>50</v>
      </c>
      <c r="AZ762">
        <v>1</v>
      </c>
      <c r="BA762">
        <v>0</v>
      </c>
      <c r="BB762" t="s">
        <v>710</v>
      </c>
      <c r="BC762">
        <v>140</v>
      </c>
      <c r="BD762" s="2">
        <v>0.3</v>
      </c>
      <c r="BE762" t="s">
        <v>932</v>
      </c>
      <c r="BF762" t="s">
        <v>921</v>
      </c>
      <c r="BG762" t="s">
        <v>939</v>
      </c>
      <c r="BH762" s="7">
        <v>25</v>
      </c>
      <c r="BI76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62">
        <v>0</v>
      </c>
      <c r="BK762" t="s">
        <v>733</v>
      </c>
      <c r="BL762" s="11"/>
      <c r="BM762" s="11"/>
      <c r="BN762" s="11">
        <v>28</v>
      </c>
      <c r="BO762">
        <v>0</v>
      </c>
      <c r="BP762" t="s">
        <v>691</v>
      </c>
      <c r="BQ762" t="s">
        <v>693</v>
      </c>
      <c r="BR762" t="s">
        <v>700</v>
      </c>
      <c r="BS762" t="s">
        <v>704</v>
      </c>
      <c r="BT762" t="s">
        <v>705</v>
      </c>
      <c r="BU762" t="s">
        <v>706</v>
      </c>
      <c r="CT762"/>
      <c r="CU762"/>
      <c r="CV762"/>
    </row>
    <row r="763" spans="1:100" x14ac:dyDescent="0.4">
      <c r="A763" s="2" t="s">
        <v>817</v>
      </c>
      <c r="B763" t="str">
        <f>_xlfn.TEXTAFTER(Table1[[#This Row],[VEHIDCODE]],"_")</f>
        <v>Coach_Gen4_Eurofima_Mail_Coach</v>
      </c>
      <c r="C763" t="s">
        <v>757</v>
      </c>
      <c r="D763" t="s">
        <v>970</v>
      </c>
      <c r="E763">
        <v>11044</v>
      </c>
      <c r="F763" t="b">
        <f>OR(ISNUMBER(SEARCH("wagon_",Table1[[#This Row],[FILENAMES_EXPECTED]])),ISNUMBER(SEARCH("coach_",Table1[[#This Row],[FILENAMES_EXPECTED]])))</f>
        <v>1</v>
      </c>
      <c r="G763" t="str">
        <f>"item_"&amp;Table1[[#This Row],[VEHIDCODE]]</f>
        <v>item_mu_Coach_Gen4_Eurofima_Mail_Coach</v>
      </c>
      <c r="H763" t="str">
        <f>"str_"&amp;Table1[[#This Row],[VEHIDCODE]]</f>
        <v>str_mu_Coach_Gen4_Eurofima_Mail_Coach</v>
      </c>
      <c r="Q763" s="2" t="b">
        <v>1</v>
      </c>
      <c r="Z763" s="2" t="b">
        <v>1</v>
      </c>
      <c r="AI763" s="2" t="b">
        <v>1</v>
      </c>
      <c r="AL763" s="2"/>
      <c r="AM763" s="2" t="b">
        <f>LEN(_xlfn.CONCAT(Table1[[#This Row],[TRACK_TYPE_STANDARD_GAUGE_RAILTYPE_OHLE]:[TRACK_TYPE_MTRO]]))&gt;0</f>
        <v>1</v>
      </c>
      <c r="AN763">
        <v>8</v>
      </c>
      <c r="AO763" t="s">
        <v>673</v>
      </c>
      <c r="AP763">
        <v>0</v>
      </c>
      <c r="AQ763" t="s">
        <v>35</v>
      </c>
      <c r="AR763">
        <v>75</v>
      </c>
      <c r="AS763">
        <v>1970</v>
      </c>
      <c r="AT763">
        <v>8</v>
      </c>
      <c r="AU763" s="2" t="s">
        <v>674</v>
      </c>
      <c r="AV763" t="b">
        <v>1</v>
      </c>
      <c r="AX763" s="2"/>
      <c r="AY763">
        <v>50</v>
      </c>
      <c r="AZ763">
        <v>1</v>
      </c>
      <c r="BA763">
        <v>0</v>
      </c>
      <c r="BB763" t="s">
        <v>710</v>
      </c>
      <c r="BC763">
        <v>200</v>
      </c>
      <c r="BD763" s="2">
        <v>0.3</v>
      </c>
      <c r="BE763" t="s">
        <v>932</v>
      </c>
      <c r="BF763" t="s">
        <v>921</v>
      </c>
      <c r="BG763" t="s">
        <v>939</v>
      </c>
      <c r="BH763" s="7">
        <v>25</v>
      </c>
      <c r="BI76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63">
        <v>0</v>
      </c>
      <c r="BK763" t="s">
        <v>733</v>
      </c>
      <c r="BL763" s="11"/>
      <c r="BM763" s="11"/>
      <c r="BN763" s="11">
        <v>42</v>
      </c>
      <c r="BO763">
        <v>0</v>
      </c>
      <c r="BP763" t="s">
        <v>691</v>
      </c>
      <c r="BQ763" t="s">
        <v>693</v>
      </c>
      <c r="BR763" t="s">
        <v>700</v>
      </c>
      <c r="BS763" t="s">
        <v>704</v>
      </c>
      <c r="BT763" t="s">
        <v>705</v>
      </c>
      <c r="BU763" t="s">
        <v>706</v>
      </c>
      <c r="CT763"/>
      <c r="CU763"/>
      <c r="CV763"/>
    </row>
    <row r="764" spans="1:100" x14ac:dyDescent="0.4">
      <c r="A764" s="2" t="s">
        <v>818</v>
      </c>
      <c r="B764" t="str">
        <f>_xlfn.TEXTAFTER(Table1[[#This Row],[VEHIDCODE]],"_")</f>
        <v>Coach_Gen4_Double_Decker_Coach</v>
      </c>
      <c r="C764" t="s">
        <v>757</v>
      </c>
      <c r="D764" t="s">
        <v>970</v>
      </c>
      <c r="E764">
        <v>11045</v>
      </c>
      <c r="F764" t="b">
        <f>OR(ISNUMBER(SEARCH("wagon_",Table1[[#This Row],[FILENAMES_EXPECTED]])),ISNUMBER(SEARCH("coach_",Table1[[#This Row],[FILENAMES_EXPECTED]])))</f>
        <v>1</v>
      </c>
      <c r="G764" t="str">
        <f>"item_"&amp;Table1[[#This Row],[VEHIDCODE]]</f>
        <v>item_mu_Coach_Gen4_Double_Decker_Coach</v>
      </c>
      <c r="H764" t="str">
        <f>"str_"&amp;Table1[[#This Row],[VEHIDCODE]]</f>
        <v>str_mu_Coach_Gen4_Double_Decker_Coach</v>
      </c>
      <c r="Q764" s="2" t="b">
        <v>1</v>
      </c>
      <c r="Z764" s="2" t="b">
        <v>1</v>
      </c>
      <c r="AI764" s="2" t="b">
        <v>1</v>
      </c>
      <c r="AL764" s="2"/>
      <c r="AM764" s="2" t="b">
        <f>LEN(_xlfn.CONCAT(Table1[[#This Row],[TRACK_TYPE_STANDARD_GAUGE_RAILTYPE_OHLE]:[TRACK_TYPE_MTRO]]))&gt;0</f>
        <v>1</v>
      </c>
      <c r="AN764">
        <v>8</v>
      </c>
      <c r="AO764" t="s">
        <v>325</v>
      </c>
      <c r="AP764">
        <v>0</v>
      </c>
      <c r="AQ764" t="s">
        <v>35</v>
      </c>
      <c r="AR764">
        <v>150</v>
      </c>
      <c r="AS764">
        <v>1970</v>
      </c>
      <c r="AT764">
        <v>8</v>
      </c>
      <c r="AU764" s="2" t="s">
        <v>479</v>
      </c>
      <c r="AV764" t="b">
        <v>1</v>
      </c>
      <c r="AX764" s="2"/>
      <c r="AY764">
        <v>50</v>
      </c>
      <c r="AZ764">
        <v>1</v>
      </c>
      <c r="BA764">
        <v>0</v>
      </c>
      <c r="BB764" t="s">
        <v>710</v>
      </c>
      <c r="BC764">
        <v>140</v>
      </c>
      <c r="BD764" s="2">
        <v>0.3</v>
      </c>
      <c r="BE764" t="s">
        <v>931</v>
      </c>
      <c r="BF764" t="s">
        <v>930</v>
      </c>
      <c r="BG764" t="s">
        <v>939</v>
      </c>
      <c r="BH764" s="7">
        <v>25</v>
      </c>
      <c r="BI76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64">
        <v>0</v>
      </c>
      <c r="BK764" t="s">
        <v>733</v>
      </c>
      <c r="BL764" s="11"/>
      <c r="BM764" s="11"/>
      <c r="BN764" s="11">
        <v>48</v>
      </c>
      <c r="BO764">
        <v>0</v>
      </c>
      <c r="BP764" t="s">
        <v>691</v>
      </c>
      <c r="BQ764" t="s">
        <v>693</v>
      </c>
      <c r="BR764" t="s">
        <v>700</v>
      </c>
      <c r="BS764" t="s">
        <v>704</v>
      </c>
      <c r="BT764" t="s">
        <v>705</v>
      </c>
      <c r="BU764" t="s">
        <v>706</v>
      </c>
      <c r="CT764"/>
      <c r="CU764"/>
      <c r="CV764"/>
    </row>
    <row r="765" spans="1:100" x14ac:dyDescent="0.4">
      <c r="A765" s="2" t="s">
        <v>819</v>
      </c>
      <c r="B765" t="str">
        <f>_xlfn.TEXTAFTER(Table1[[#This Row],[VEHIDCODE]],"_")</f>
        <v>Coach_Gen4_Russian_Intercity_Coach</v>
      </c>
      <c r="C765" t="s">
        <v>757</v>
      </c>
      <c r="D765" t="s">
        <v>970</v>
      </c>
      <c r="E765">
        <v>11046</v>
      </c>
      <c r="F765" t="b">
        <f>OR(ISNUMBER(SEARCH("wagon_",Table1[[#This Row],[FILENAMES_EXPECTED]])),ISNUMBER(SEARCH("coach_",Table1[[#This Row],[FILENAMES_EXPECTED]])))</f>
        <v>1</v>
      </c>
      <c r="G765" t="str">
        <f>"item_"&amp;Table1[[#This Row],[VEHIDCODE]]</f>
        <v>item_mu_Coach_Gen4_Russian_Intercity_Coach</v>
      </c>
      <c r="H765" t="str">
        <f>"str_"&amp;Table1[[#This Row],[VEHIDCODE]]</f>
        <v>str_mu_Coach_Gen4_Russian_Intercity_Coach</v>
      </c>
      <c r="Q765" s="2" t="b">
        <v>1</v>
      </c>
      <c r="Z765" s="2" t="b">
        <v>1</v>
      </c>
      <c r="AI765" s="2" t="b">
        <v>1</v>
      </c>
      <c r="AL765" s="2"/>
      <c r="AM765" s="2" t="b">
        <f>LEN(_xlfn.CONCAT(Table1[[#This Row],[TRACK_TYPE_STANDARD_GAUGE_RAILTYPE_OHLE]:[TRACK_TYPE_MTRO]]))&gt;0</f>
        <v>1</v>
      </c>
      <c r="AN765">
        <v>8</v>
      </c>
      <c r="AO765" t="s">
        <v>325</v>
      </c>
      <c r="AP765">
        <v>0</v>
      </c>
      <c r="AQ765" t="s">
        <v>35</v>
      </c>
      <c r="AR765">
        <v>55</v>
      </c>
      <c r="AS765">
        <v>1960</v>
      </c>
      <c r="AT765">
        <v>8</v>
      </c>
      <c r="AU765" s="2" t="s">
        <v>479</v>
      </c>
      <c r="AV765" t="b">
        <v>1</v>
      </c>
      <c r="AX765" s="2"/>
      <c r="AY765">
        <v>50</v>
      </c>
      <c r="AZ765">
        <v>1</v>
      </c>
      <c r="BA765">
        <v>0</v>
      </c>
      <c r="BB765" t="s">
        <v>710</v>
      </c>
      <c r="BC765">
        <v>140</v>
      </c>
      <c r="BD765" s="2">
        <v>0.3</v>
      </c>
      <c r="BE765" t="s">
        <v>931</v>
      </c>
      <c r="BF765" t="s">
        <v>930</v>
      </c>
      <c r="BG765" t="s">
        <v>939</v>
      </c>
      <c r="BH765" s="7">
        <v>25</v>
      </c>
      <c r="BI76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65">
        <v>0</v>
      </c>
      <c r="BK765" t="s">
        <v>733</v>
      </c>
      <c r="BL765" s="11"/>
      <c r="BM765" s="11"/>
      <c r="BN765" s="11">
        <v>55</v>
      </c>
      <c r="BO765">
        <v>0</v>
      </c>
      <c r="BP765" t="s">
        <v>691</v>
      </c>
      <c r="BQ765" t="s">
        <v>693</v>
      </c>
      <c r="BR765" t="s">
        <v>700</v>
      </c>
      <c r="BS765" t="s">
        <v>704</v>
      </c>
      <c r="BT765" t="s">
        <v>705</v>
      </c>
      <c r="BU765" t="s">
        <v>706</v>
      </c>
      <c r="CT765"/>
      <c r="CU765"/>
      <c r="CV765"/>
    </row>
    <row r="766" spans="1:100" x14ac:dyDescent="0.4">
      <c r="A766" s="2" t="s">
        <v>820</v>
      </c>
      <c r="B766" t="str">
        <f>_xlfn.TEXTAFTER(Table1[[#This Row],[VEHIDCODE]],"_")</f>
        <v>Coach_Gen4_Russian_Regional_Coach</v>
      </c>
      <c r="C766" t="s">
        <v>757</v>
      </c>
      <c r="D766" t="s">
        <v>970</v>
      </c>
      <c r="E766">
        <v>11047</v>
      </c>
      <c r="F766" t="b">
        <f>OR(ISNUMBER(SEARCH("wagon_",Table1[[#This Row],[FILENAMES_EXPECTED]])),ISNUMBER(SEARCH("coach_",Table1[[#This Row],[FILENAMES_EXPECTED]])))</f>
        <v>1</v>
      </c>
      <c r="G766" t="str">
        <f>"item_"&amp;Table1[[#This Row],[VEHIDCODE]]</f>
        <v>item_mu_Coach_Gen4_Russian_Regional_Coach</v>
      </c>
      <c r="H766" t="str">
        <f>"str_"&amp;Table1[[#This Row],[VEHIDCODE]]</f>
        <v>str_mu_Coach_Gen4_Russian_Regional_Coach</v>
      </c>
      <c r="Q766" s="2" t="b">
        <v>1</v>
      </c>
      <c r="Z766" s="2" t="b">
        <v>1</v>
      </c>
      <c r="AI766" s="2" t="b">
        <v>1</v>
      </c>
      <c r="AL766" s="2"/>
      <c r="AM766" s="2" t="b">
        <f>LEN(_xlfn.CONCAT(Table1[[#This Row],[TRACK_TYPE_STANDARD_GAUGE_RAILTYPE_OHLE]:[TRACK_TYPE_MTRO]]))&gt;0</f>
        <v>1</v>
      </c>
      <c r="AN766">
        <v>8</v>
      </c>
      <c r="AO766" t="s">
        <v>325</v>
      </c>
      <c r="AP766">
        <v>0</v>
      </c>
      <c r="AQ766" t="s">
        <v>35</v>
      </c>
      <c r="AR766">
        <v>90</v>
      </c>
      <c r="AS766">
        <v>1960</v>
      </c>
      <c r="AT766">
        <v>8</v>
      </c>
      <c r="AU766" s="2" t="s">
        <v>479</v>
      </c>
      <c r="AV766" t="b">
        <v>1</v>
      </c>
      <c r="AX766" s="2"/>
      <c r="AY766">
        <v>50</v>
      </c>
      <c r="AZ766">
        <v>1</v>
      </c>
      <c r="BA766">
        <v>0</v>
      </c>
      <c r="BB766" t="s">
        <v>710</v>
      </c>
      <c r="BC766">
        <v>130</v>
      </c>
      <c r="BD766" s="2">
        <v>0.3</v>
      </c>
      <c r="BE766" t="s">
        <v>931</v>
      </c>
      <c r="BF766" t="s">
        <v>930</v>
      </c>
      <c r="BG766" t="s">
        <v>939</v>
      </c>
      <c r="BH766" s="7">
        <v>25</v>
      </c>
      <c r="BI76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66">
        <v>0</v>
      </c>
      <c r="BK766" t="s">
        <v>733</v>
      </c>
      <c r="BL766" s="11"/>
      <c r="BM766" s="11"/>
      <c r="BN766" s="11">
        <v>45</v>
      </c>
      <c r="BO766">
        <v>0</v>
      </c>
      <c r="BP766" t="s">
        <v>691</v>
      </c>
      <c r="BQ766" t="s">
        <v>693</v>
      </c>
      <c r="BR766" t="s">
        <v>700</v>
      </c>
      <c r="BS766" t="s">
        <v>704</v>
      </c>
      <c r="BT766" t="s">
        <v>705</v>
      </c>
      <c r="BU766" t="s">
        <v>706</v>
      </c>
      <c r="CT766"/>
      <c r="CU766"/>
      <c r="CV766"/>
    </row>
    <row r="767" spans="1:100" x14ac:dyDescent="0.4">
      <c r="A767" s="2" t="s">
        <v>821</v>
      </c>
      <c r="B767" t="str">
        <f>_xlfn.TEXTAFTER(Table1[[#This Row],[VEHIDCODE]],"_")</f>
        <v>Coach_Gen4_Russian_Mail_Coach</v>
      </c>
      <c r="C767" t="s">
        <v>757</v>
      </c>
      <c r="D767" t="s">
        <v>970</v>
      </c>
      <c r="E767">
        <v>11048</v>
      </c>
      <c r="F767" t="b">
        <f>OR(ISNUMBER(SEARCH("wagon_",Table1[[#This Row],[FILENAMES_EXPECTED]])),ISNUMBER(SEARCH("coach_",Table1[[#This Row],[FILENAMES_EXPECTED]])))</f>
        <v>1</v>
      </c>
      <c r="G767" t="str">
        <f>"item_"&amp;Table1[[#This Row],[VEHIDCODE]]</f>
        <v>item_mu_Coach_Gen4_Russian_Mail_Coach</v>
      </c>
      <c r="H767" t="str">
        <f>"str_"&amp;Table1[[#This Row],[VEHIDCODE]]</f>
        <v>str_mu_Coach_Gen4_Russian_Mail_Coach</v>
      </c>
      <c r="Q767" s="2" t="b">
        <v>1</v>
      </c>
      <c r="Z767" s="2" t="b">
        <v>1</v>
      </c>
      <c r="AI767" s="2" t="b">
        <v>1</v>
      </c>
      <c r="AL767" s="2"/>
      <c r="AM767" s="2" t="b">
        <f>LEN(_xlfn.CONCAT(Table1[[#This Row],[TRACK_TYPE_STANDARD_GAUGE_RAILTYPE_OHLE]:[TRACK_TYPE_MTRO]]))&gt;0</f>
        <v>1</v>
      </c>
      <c r="AN767">
        <v>8</v>
      </c>
      <c r="AO767" t="s">
        <v>673</v>
      </c>
      <c r="AP767">
        <v>0</v>
      </c>
      <c r="AQ767" t="s">
        <v>35</v>
      </c>
      <c r="AR767">
        <v>80</v>
      </c>
      <c r="AS767">
        <v>1960</v>
      </c>
      <c r="AT767">
        <v>8</v>
      </c>
      <c r="AU767" s="2" t="s">
        <v>674</v>
      </c>
      <c r="AV767" t="b">
        <v>1</v>
      </c>
      <c r="AX767" s="2"/>
      <c r="AY767">
        <v>50</v>
      </c>
      <c r="AZ767">
        <v>1</v>
      </c>
      <c r="BA767">
        <v>0</v>
      </c>
      <c r="BB767" t="s">
        <v>710</v>
      </c>
      <c r="BC767">
        <v>160</v>
      </c>
      <c r="BD767" s="2">
        <v>0.3</v>
      </c>
      <c r="BE767" t="s">
        <v>931</v>
      </c>
      <c r="BF767" t="s">
        <v>930</v>
      </c>
      <c r="BG767" t="s">
        <v>939</v>
      </c>
      <c r="BH767" s="7">
        <v>25</v>
      </c>
      <c r="BI76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67">
        <v>0</v>
      </c>
      <c r="BK767" t="s">
        <v>733</v>
      </c>
      <c r="BL767" s="11"/>
      <c r="BM767" s="11"/>
      <c r="BN767" s="11">
        <v>46</v>
      </c>
      <c r="BO767">
        <v>0</v>
      </c>
      <c r="BP767" t="s">
        <v>691</v>
      </c>
      <c r="BQ767" t="s">
        <v>693</v>
      </c>
      <c r="BR767" t="s">
        <v>700</v>
      </c>
      <c r="BS767" t="s">
        <v>704</v>
      </c>
      <c r="BT767" t="s">
        <v>705</v>
      </c>
      <c r="BU767" t="s">
        <v>706</v>
      </c>
      <c r="CT767"/>
      <c r="CU767"/>
      <c r="CV767"/>
    </row>
    <row r="768" spans="1:100" x14ac:dyDescent="0.4">
      <c r="A768" s="2" t="s">
        <v>822</v>
      </c>
      <c r="B768" t="str">
        <f>_xlfn.TEXTAFTER(Table1[[#This Row],[VEHIDCODE]],"_")</f>
        <v>Coach_Gen4_Superliner_Coach</v>
      </c>
      <c r="C768" t="s">
        <v>757</v>
      </c>
      <c r="D768" t="s">
        <v>970</v>
      </c>
      <c r="E768">
        <v>11049</v>
      </c>
      <c r="F768" t="b">
        <f>OR(ISNUMBER(SEARCH("wagon_",Table1[[#This Row],[FILENAMES_EXPECTED]])),ISNUMBER(SEARCH("coach_",Table1[[#This Row],[FILENAMES_EXPECTED]])))</f>
        <v>1</v>
      </c>
      <c r="G768" t="str">
        <f>"item_"&amp;Table1[[#This Row],[VEHIDCODE]]</f>
        <v>item_mu_Coach_Gen4_Superliner_Coach</v>
      </c>
      <c r="H768" t="str">
        <f>"str_"&amp;Table1[[#This Row],[VEHIDCODE]]</f>
        <v>str_mu_Coach_Gen4_Superliner_Coach</v>
      </c>
      <c r="Q768" s="2" t="b">
        <v>1</v>
      </c>
      <c r="Z768" s="2" t="b">
        <v>1</v>
      </c>
      <c r="AI768" s="2" t="b">
        <v>1</v>
      </c>
      <c r="AL768" s="2"/>
      <c r="AM768" s="2" t="b">
        <f>LEN(_xlfn.CONCAT(Table1[[#This Row],[TRACK_TYPE_STANDARD_GAUGE_RAILTYPE_OHLE]:[TRACK_TYPE_MTRO]]))&gt;0</f>
        <v>1</v>
      </c>
      <c r="AN768">
        <v>8</v>
      </c>
      <c r="AO768" t="s">
        <v>325</v>
      </c>
      <c r="AP768">
        <v>0</v>
      </c>
      <c r="AQ768" t="s">
        <v>35</v>
      </c>
      <c r="AR768">
        <v>96</v>
      </c>
      <c r="AS768">
        <v>1980</v>
      </c>
      <c r="AT768">
        <v>8</v>
      </c>
      <c r="AU768" s="2" t="s">
        <v>479</v>
      </c>
      <c r="AV768" t="b">
        <v>1</v>
      </c>
      <c r="AX768" s="2"/>
      <c r="AY768">
        <v>50</v>
      </c>
      <c r="AZ768">
        <v>1</v>
      </c>
      <c r="BA768">
        <v>0</v>
      </c>
      <c r="BB768" t="s">
        <v>710</v>
      </c>
      <c r="BC768">
        <v>160</v>
      </c>
      <c r="BD768" s="2">
        <v>0.3</v>
      </c>
      <c r="BE768" t="s">
        <v>934</v>
      </c>
      <c r="BF768" t="s">
        <v>924</v>
      </c>
      <c r="BG768" t="s">
        <v>939</v>
      </c>
      <c r="BH768" s="7">
        <v>25</v>
      </c>
      <c r="BI76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68">
        <v>0</v>
      </c>
      <c r="BK768" t="s">
        <v>733</v>
      </c>
      <c r="BL768" s="11"/>
      <c r="BM768" s="11"/>
      <c r="BN768" s="11">
        <v>67</v>
      </c>
      <c r="BO768">
        <v>0</v>
      </c>
      <c r="BP768" t="s">
        <v>691</v>
      </c>
      <c r="BQ768" t="s">
        <v>693</v>
      </c>
      <c r="BR768" t="s">
        <v>700</v>
      </c>
      <c r="BS768" t="s">
        <v>704</v>
      </c>
      <c r="BT768" t="s">
        <v>705</v>
      </c>
      <c r="BU768" t="s">
        <v>706</v>
      </c>
      <c r="CT768"/>
      <c r="CU768"/>
      <c r="CV768"/>
    </row>
    <row r="769" spans="1:100" x14ac:dyDescent="0.4">
      <c r="A769" s="2" t="s">
        <v>823</v>
      </c>
      <c r="B769" t="str">
        <f>_xlfn.TEXTAFTER(Table1[[#This Row],[VEHIDCODE]],"_")</f>
        <v>Coach_Gen4_Superliner_California</v>
      </c>
      <c r="C769" t="s">
        <v>757</v>
      </c>
      <c r="D769" t="s">
        <v>970</v>
      </c>
      <c r="E769">
        <v>11050</v>
      </c>
      <c r="F769" t="b">
        <f>OR(ISNUMBER(SEARCH("wagon_",Table1[[#This Row],[FILENAMES_EXPECTED]])),ISNUMBER(SEARCH("coach_",Table1[[#This Row],[FILENAMES_EXPECTED]])))</f>
        <v>1</v>
      </c>
      <c r="G769" t="str">
        <f>"item_"&amp;Table1[[#This Row],[VEHIDCODE]]</f>
        <v>item_mu_Coach_Gen4_Superliner_California</v>
      </c>
      <c r="H769" t="str">
        <f>"str_"&amp;Table1[[#This Row],[VEHIDCODE]]</f>
        <v>str_mu_Coach_Gen4_Superliner_California</v>
      </c>
      <c r="Q769" s="2" t="b">
        <v>1</v>
      </c>
      <c r="Z769" s="2" t="b">
        <v>1</v>
      </c>
      <c r="AI769" s="2" t="b">
        <v>1</v>
      </c>
      <c r="AL769" s="2"/>
      <c r="AM769" s="2" t="b">
        <f>LEN(_xlfn.CONCAT(Table1[[#This Row],[TRACK_TYPE_STANDARD_GAUGE_RAILTYPE_OHLE]:[TRACK_TYPE_MTRO]]))&gt;0</f>
        <v>1</v>
      </c>
      <c r="AN769">
        <v>8</v>
      </c>
      <c r="AO769" t="s">
        <v>325</v>
      </c>
      <c r="AP769">
        <v>0</v>
      </c>
      <c r="AQ769" t="s">
        <v>35</v>
      </c>
      <c r="AR769">
        <v>80</v>
      </c>
      <c r="AS769">
        <v>1990</v>
      </c>
      <c r="AT769">
        <v>8</v>
      </c>
      <c r="AU769" s="2" t="s">
        <v>479</v>
      </c>
      <c r="AV769" t="b">
        <v>1</v>
      </c>
      <c r="AX769" s="2"/>
      <c r="AY769">
        <v>50</v>
      </c>
      <c r="AZ769">
        <v>1</v>
      </c>
      <c r="BA769">
        <v>0</v>
      </c>
      <c r="BB769" t="s">
        <v>710</v>
      </c>
      <c r="BC769">
        <v>200</v>
      </c>
      <c r="BD769" s="2">
        <v>0.3</v>
      </c>
      <c r="BE769" t="s">
        <v>934</v>
      </c>
      <c r="BF769" t="s">
        <v>924</v>
      </c>
      <c r="BG769" t="s">
        <v>939</v>
      </c>
      <c r="BH769" s="7">
        <v>25</v>
      </c>
      <c r="BI76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69">
        <v>0</v>
      </c>
      <c r="BK769" t="s">
        <v>733</v>
      </c>
      <c r="BL769" s="11"/>
      <c r="BM769" s="11"/>
      <c r="BN769" s="11">
        <v>67</v>
      </c>
      <c r="BO769">
        <v>0</v>
      </c>
      <c r="BP769" t="s">
        <v>691</v>
      </c>
      <c r="BQ769" t="s">
        <v>693</v>
      </c>
      <c r="BR769" t="s">
        <v>700</v>
      </c>
      <c r="BS769" t="s">
        <v>704</v>
      </c>
      <c r="BT769" t="s">
        <v>705</v>
      </c>
      <c r="BU769" t="s">
        <v>706</v>
      </c>
      <c r="CT769"/>
      <c r="CU769"/>
      <c r="CV769"/>
    </row>
    <row r="770" spans="1:100" x14ac:dyDescent="0.4">
      <c r="A770" s="2" t="s">
        <v>824</v>
      </c>
      <c r="B770" t="str">
        <f>_xlfn.TEXTAFTER(Table1[[#This Row],[VEHIDCODE]],"_")</f>
        <v>Coach_Gen4_Amfleet_Regional_Coach</v>
      </c>
      <c r="C770" t="s">
        <v>757</v>
      </c>
      <c r="D770" t="s">
        <v>970</v>
      </c>
      <c r="E770">
        <v>11051</v>
      </c>
      <c r="F770" t="b">
        <f>OR(ISNUMBER(SEARCH("wagon_",Table1[[#This Row],[FILENAMES_EXPECTED]])),ISNUMBER(SEARCH("coach_",Table1[[#This Row],[FILENAMES_EXPECTED]])))</f>
        <v>1</v>
      </c>
      <c r="G770" t="str">
        <f>"item_"&amp;Table1[[#This Row],[VEHIDCODE]]</f>
        <v>item_mu_Coach_Gen4_Amfleet_Regional_Coach</v>
      </c>
      <c r="H770" t="str">
        <f>"str_"&amp;Table1[[#This Row],[VEHIDCODE]]</f>
        <v>str_mu_Coach_Gen4_Amfleet_Regional_Coach</v>
      </c>
      <c r="Q770" s="2" t="b">
        <v>1</v>
      </c>
      <c r="Z770" s="2" t="b">
        <v>1</v>
      </c>
      <c r="AI770" s="2" t="b">
        <v>1</v>
      </c>
      <c r="AL770" s="2"/>
      <c r="AM770" s="2" t="b">
        <f>LEN(_xlfn.CONCAT(Table1[[#This Row],[TRACK_TYPE_STANDARD_GAUGE_RAILTYPE_OHLE]:[TRACK_TYPE_MTRO]]))&gt;0</f>
        <v>1</v>
      </c>
      <c r="AN770">
        <v>8</v>
      </c>
      <c r="AO770" t="s">
        <v>325</v>
      </c>
      <c r="AP770">
        <v>0</v>
      </c>
      <c r="AQ770" t="s">
        <v>35</v>
      </c>
      <c r="AR770">
        <v>84</v>
      </c>
      <c r="AS770">
        <v>1970</v>
      </c>
      <c r="AT770">
        <v>8</v>
      </c>
      <c r="AU770" s="2" t="s">
        <v>479</v>
      </c>
      <c r="AV770" t="b">
        <v>1</v>
      </c>
      <c r="AX770" s="2"/>
      <c r="AY770">
        <v>60</v>
      </c>
      <c r="AZ770">
        <v>1</v>
      </c>
      <c r="BA770">
        <v>0</v>
      </c>
      <c r="BB770" t="s">
        <v>710</v>
      </c>
      <c r="BC770">
        <v>200</v>
      </c>
      <c r="BD770" s="2">
        <v>0.3</v>
      </c>
      <c r="BE770" t="s">
        <v>934</v>
      </c>
      <c r="BF770" t="s">
        <v>924</v>
      </c>
      <c r="BG770" t="s">
        <v>939</v>
      </c>
      <c r="BH770" s="7">
        <v>25</v>
      </c>
      <c r="BI77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70">
        <v>0</v>
      </c>
      <c r="BK770" t="s">
        <v>733</v>
      </c>
      <c r="BL770" s="11"/>
      <c r="BM770" s="11"/>
      <c r="BN770" s="11">
        <v>50</v>
      </c>
      <c r="BO770">
        <v>0</v>
      </c>
      <c r="BP770" t="s">
        <v>691</v>
      </c>
      <c r="BQ770" t="s">
        <v>693</v>
      </c>
      <c r="BR770" t="s">
        <v>700</v>
      </c>
      <c r="BS770" t="s">
        <v>704</v>
      </c>
      <c r="BT770" t="s">
        <v>705</v>
      </c>
      <c r="BU770" t="s">
        <v>706</v>
      </c>
      <c r="CT770"/>
      <c r="CU770"/>
      <c r="CV770"/>
    </row>
    <row r="771" spans="1:100" x14ac:dyDescent="0.4">
      <c r="A771" s="2" t="s">
        <v>825</v>
      </c>
      <c r="B771" t="str">
        <f>_xlfn.TEXTAFTER(Table1[[#This Row],[VEHIDCODE]],"_")</f>
        <v>Coach_Gen4_Amfleet_Intercity_Coach</v>
      </c>
      <c r="C771" t="s">
        <v>757</v>
      </c>
      <c r="D771" t="s">
        <v>970</v>
      </c>
      <c r="E771">
        <v>11052</v>
      </c>
      <c r="F771" t="b">
        <f>OR(ISNUMBER(SEARCH("wagon_",Table1[[#This Row],[FILENAMES_EXPECTED]])),ISNUMBER(SEARCH("coach_",Table1[[#This Row],[FILENAMES_EXPECTED]])))</f>
        <v>1</v>
      </c>
      <c r="G771" t="str">
        <f>"item_"&amp;Table1[[#This Row],[VEHIDCODE]]</f>
        <v>item_mu_Coach_Gen4_Amfleet_Intercity_Coach</v>
      </c>
      <c r="H771" t="str">
        <f>"str_"&amp;Table1[[#This Row],[VEHIDCODE]]</f>
        <v>str_mu_Coach_Gen4_Amfleet_Intercity_Coach</v>
      </c>
      <c r="Q771" s="2" t="b">
        <v>1</v>
      </c>
      <c r="Z771" s="2" t="b">
        <v>1</v>
      </c>
      <c r="AI771" s="2" t="b">
        <v>1</v>
      </c>
      <c r="AL771" s="2"/>
      <c r="AM771" s="2" t="b">
        <f>LEN(_xlfn.CONCAT(Table1[[#This Row],[TRACK_TYPE_STANDARD_GAUGE_RAILTYPE_OHLE]:[TRACK_TYPE_MTRO]]))&gt;0</f>
        <v>1</v>
      </c>
      <c r="AN771">
        <v>8</v>
      </c>
      <c r="AO771" t="s">
        <v>325</v>
      </c>
      <c r="AP771">
        <v>0</v>
      </c>
      <c r="AQ771" t="s">
        <v>35</v>
      </c>
      <c r="AR771">
        <v>60</v>
      </c>
      <c r="AS771">
        <v>1970</v>
      </c>
      <c r="AT771">
        <v>8</v>
      </c>
      <c r="AU771" s="2" t="s">
        <v>479</v>
      </c>
      <c r="AV771" t="b">
        <v>1</v>
      </c>
      <c r="AX771" s="2"/>
      <c r="AY771">
        <v>60</v>
      </c>
      <c r="AZ771">
        <v>1</v>
      </c>
      <c r="BA771">
        <v>0</v>
      </c>
      <c r="BB771" t="s">
        <v>710</v>
      </c>
      <c r="BC771">
        <v>200</v>
      </c>
      <c r="BD771" s="2">
        <v>0.3</v>
      </c>
      <c r="BE771" t="s">
        <v>934</v>
      </c>
      <c r="BF771" t="s">
        <v>924</v>
      </c>
      <c r="BG771" t="s">
        <v>939</v>
      </c>
      <c r="BH771" s="7">
        <v>25</v>
      </c>
      <c r="BI77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71">
        <v>0</v>
      </c>
      <c r="BK771" t="s">
        <v>733</v>
      </c>
      <c r="BL771" s="11"/>
      <c r="BM771" s="11"/>
      <c r="BN771" s="11">
        <v>50</v>
      </c>
      <c r="BO771">
        <v>0</v>
      </c>
      <c r="BP771" t="s">
        <v>691</v>
      </c>
      <c r="BQ771" t="s">
        <v>693</v>
      </c>
      <c r="BR771" t="s">
        <v>700</v>
      </c>
      <c r="BS771" t="s">
        <v>704</v>
      </c>
      <c r="BT771" t="s">
        <v>705</v>
      </c>
      <c r="BU771" t="s">
        <v>706</v>
      </c>
      <c r="CT771"/>
      <c r="CU771"/>
      <c r="CV771"/>
    </row>
    <row r="772" spans="1:100" x14ac:dyDescent="0.4">
      <c r="A772" s="2" t="s">
        <v>826</v>
      </c>
      <c r="B772" t="str">
        <f>_xlfn.TEXTAFTER(Table1[[#This Row],[VEHIDCODE]],"_")</f>
        <v>Coach_Gen4_Comet_Commuter_Coach</v>
      </c>
      <c r="C772" t="s">
        <v>757</v>
      </c>
      <c r="D772" t="s">
        <v>970</v>
      </c>
      <c r="E772">
        <v>11053</v>
      </c>
      <c r="F772" t="b">
        <f>OR(ISNUMBER(SEARCH("wagon_",Table1[[#This Row],[FILENAMES_EXPECTED]])),ISNUMBER(SEARCH("coach_",Table1[[#This Row],[FILENAMES_EXPECTED]])))</f>
        <v>1</v>
      </c>
      <c r="G772" t="str">
        <f>"item_"&amp;Table1[[#This Row],[VEHIDCODE]]</f>
        <v>item_mu_Coach_Gen4_Comet_Commuter_Coach</v>
      </c>
      <c r="H772" t="str">
        <f>"str_"&amp;Table1[[#This Row],[VEHIDCODE]]</f>
        <v>str_mu_Coach_Gen4_Comet_Commuter_Coach</v>
      </c>
      <c r="Q772" s="2" t="b">
        <v>1</v>
      </c>
      <c r="Z772" s="2" t="b">
        <v>1</v>
      </c>
      <c r="AI772" s="2" t="b">
        <v>1</v>
      </c>
      <c r="AL772" s="2"/>
      <c r="AM772" s="2" t="b">
        <f>LEN(_xlfn.CONCAT(Table1[[#This Row],[TRACK_TYPE_STANDARD_GAUGE_RAILTYPE_OHLE]:[TRACK_TYPE_MTRO]]))&gt;0</f>
        <v>1</v>
      </c>
      <c r="AN772">
        <v>8</v>
      </c>
      <c r="AO772" t="s">
        <v>325</v>
      </c>
      <c r="AP772">
        <v>0</v>
      </c>
      <c r="AQ772" t="s">
        <v>35</v>
      </c>
      <c r="AR772">
        <v>105</v>
      </c>
      <c r="AS772">
        <v>1970</v>
      </c>
      <c r="AT772">
        <v>8</v>
      </c>
      <c r="AU772" s="2" t="s">
        <v>24</v>
      </c>
      <c r="AV772" t="b">
        <v>1</v>
      </c>
      <c r="AX772" s="2"/>
      <c r="AY772">
        <v>60</v>
      </c>
      <c r="AZ772">
        <v>1</v>
      </c>
      <c r="BA772">
        <v>0</v>
      </c>
      <c r="BB772" t="s">
        <v>710</v>
      </c>
      <c r="BC772">
        <v>128</v>
      </c>
      <c r="BD772" s="2">
        <v>0.3</v>
      </c>
      <c r="BE772" t="s">
        <v>934</v>
      </c>
      <c r="BF772" t="s">
        <v>924</v>
      </c>
      <c r="BG772" t="s">
        <v>939</v>
      </c>
      <c r="BH772" s="7">
        <v>25</v>
      </c>
      <c r="BI77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72">
        <v>0</v>
      </c>
      <c r="BK772" t="s">
        <v>733</v>
      </c>
      <c r="BL772" s="11"/>
      <c r="BM772" s="11"/>
      <c r="BN772" s="11">
        <v>34</v>
      </c>
      <c r="BO772">
        <v>0</v>
      </c>
      <c r="BP772" t="s">
        <v>691</v>
      </c>
      <c r="BQ772" t="s">
        <v>693</v>
      </c>
      <c r="BR772" t="s">
        <v>700</v>
      </c>
      <c r="BS772" t="s">
        <v>704</v>
      </c>
      <c r="BT772" t="s">
        <v>705</v>
      </c>
      <c r="BU772" t="s">
        <v>706</v>
      </c>
      <c r="CT772"/>
      <c r="CU772"/>
      <c r="CV772"/>
    </row>
    <row r="773" spans="1:100" x14ac:dyDescent="0.4">
      <c r="A773" s="2" t="s">
        <v>827</v>
      </c>
      <c r="B773" t="str">
        <f>_xlfn.TEXTAFTER(Table1[[#This Row],[VEHIDCODE]],"_")</f>
        <v>Coach_Gen4_Horizon_Regional_Coach</v>
      </c>
      <c r="C773" t="s">
        <v>757</v>
      </c>
      <c r="D773" t="s">
        <v>970</v>
      </c>
      <c r="E773">
        <v>11054</v>
      </c>
      <c r="F773" t="b">
        <f>OR(ISNUMBER(SEARCH("wagon_",Table1[[#This Row],[FILENAMES_EXPECTED]])),ISNUMBER(SEARCH("coach_",Table1[[#This Row],[FILENAMES_EXPECTED]])))</f>
        <v>1</v>
      </c>
      <c r="G773" t="str">
        <f>"item_"&amp;Table1[[#This Row],[VEHIDCODE]]</f>
        <v>item_mu_Coach_Gen4_Horizon_Regional_Coach</v>
      </c>
      <c r="H773" t="str">
        <f>"str_"&amp;Table1[[#This Row],[VEHIDCODE]]</f>
        <v>str_mu_Coach_Gen4_Horizon_Regional_Coach</v>
      </c>
      <c r="Q773" s="2" t="b">
        <v>1</v>
      </c>
      <c r="Z773" s="2" t="b">
        <v>1</v>
      </c>
      <c r="AI773" s="2" t="b">
        <v>1</v>
      </c>
      <c r="AL773" s="2"/>
      <c r="AM773" s="2" t="b">
        <f>LEN(_xlfn.CONCAT(Table1[[#This Row],[TRACK_TYPE_STANDARD_GAUGE_RAILTYPE_OHLE]:[TRACK_TYPE_MTRO]]))&gt;0</f>
        <v>1</v>
      </c>
      <c r="AN773">
        <v>8</v>
      </c>
      <c r="AO773" t="s">
        <v>325</v>
      </c>
      <c r="AP773">
        <v>0</v>
      </c>
      <c r="AQ773" t="s">
        <v>35</v>
      </c>
      <c r="AR773">
        <v>70</v>
      </c>
      <c r="AS773">
        <v>1970</v>
      </c>
      <c r="AT773">
        <v>8</v>
      </c>
      <c r="AU773" s="2" t="s">
        <v>479</v>
      </c>
      <c r="AV773" t="b">
        <v>1</v>
      </c>
      <c r="AX773" s="2"/>
      <c r="AY773">
        <v>60</v>
      </c>
      <c r="AZ773">
        <v>1</v>
      </c>
      <c r="BA773">
        <v>0</v>
      </c>
      <c r="BB773" t="s">
        <v>710</v>
      </c>
      <c r="BC773">
        <v>177</v>
      </c>
      <c r="BD773" s="2">
        <v>0.3</v>
      </c>
      <c r="BE773" t="s">
        <v>934</v>
      </c>
      <c r="BF773" t="s">
        <v>924</v>
      </c>
      <c r="BG773" t="s">
        <v>939</v>
      </c>
      <c r="BH773" s="7">
        <v>25</v>
      </c>
      <c r="BI77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73">
        <v>0</v>
      </c>
      <c r="BK773" t="s">
        <v>733</v>
      </c>
      <c r="BL773" s="11"/>
      <c r="BM773" s="11"/>
      <c r="BN773" s="11">
        <v>51</v>
      </c>
      <c r="BO773">
        <v>0</v>
      </c>
      <c r="BP773" t="s">
        <v>691</v>
      </c>
      <c r="BQ773" t="s">
        <v>693</v>
      </c>
      <c r="BR773" t="s">
        <v>700</v>
      </c>
      <c r="BS773" t="s">
        <v>704</v>
      </c>
      <c r="BT773" t="s">
        <v>705</v>
      </c>
      <c r="BU773" t="s">
        <v>706</v>
      </c>
      <c r="CT773"/>
      <c r="CU773"/>
      <c r="CV773"/>
    </row>
    <row r="774" spans="1:100" x14ac:dyDescent="0.4">
      <c r="A774" s="2" t="s">
        <v>828</v>
      </c>
      <c r="B774" t="str">
        <f>_xlfn.TEXTAFTER(Table1[[#This Row],[VEHIDCODE]],"_")</f>
        <v>Coach_Gen4_Horizon_Baggage_Coach</v>
      </c>
      <c r="C774" t="s">
        <v>757</v>
      </c>
      <c r="D774" t="s">
        <v>970</v>
      </c>
      <c r="E774">
        <v>11055</v>
      </c>
      <c r="F774" t="b">
        <f>OR(ISNUMBER(SEARCH("wagon_",Table1[[#This Row],[FILENAMES_EXPECTED]])),ISNUMBER(SEARCH("coach_",Table1[[#This Row],[FILENAMES_EXPECTED]])))</f>
        <v>1</v>
      </c>
      <c r="G774" t="str">
        <f>"item_"&amp;Table1[[#This Row],[VEHIDCODE]]</f>
        <v>item_mu_Coach_Gen4_Horizon_Baggage_Coach</v>
      </c>
      <c r="H774" t="str">
        <f>"str_"&amp;Table1[[#This Row],[VEHIDCODE]]</f>
        <v>str_mu_Coach_Gen4_Horizon_Baggage_Coach</v>
      </c>
      <c r="Q774" s="2" t="b">
        <v>1</v>
      </c>
      <c r="Z774" s="2" t="b">
        <v>1</v>
      </c>
      <c r="AI774" s="2" t="b">
        <v>1</v>
      </c>
      <c r="AL774" s="2"/>
      <c r="AM774" s="2" t="b">
        <f>LEN(_xlfn.CONCAT(Table1[[#This Row],[TRACK_TYPE_STANDARD_GAUGE_RAILTYPE_OHLE]:[TRACK_TYPE_MTRO]]))&gt;0</f>
        <v>1</v>
      </c>
      <c r="AN774">
        <v>8</v>
      </c>
      <c r="AO774" t="s">
        <v>673</v>
      </c>
      <c r="AP774">
        <v>0</v>
      </c>
      <c r="AQ774" t="s">
        <v>35</v>
      </c>
      <c r="AR774">
        <v>90</v>
      </c>
      <c r="AS774">
        <v>1970</v>
      </c>
      <c r="AT774">
        <v>8</v>
      </c>
      <c r="AU774" s="2" t="s">
        <v>674</v>
      </c>
      <c r="AV774" t="b">
        <v>1</v>
      </c>
      <c r="AX774" s="2"/>
      <c r="AY774">
        <v>60</v>
      </c>
      <c r="AZ774">
        <v>1</v>
      </c>
      <c r="BA774">
        <v>0</v>
      </c>
      <c r="BB774" t="s">
        <v>710</v>
      </c>
      <c r="BC774">
        <v>177</v>
      </c>
      <c r="BD774" s="2">
        <v>0.3</v>
      </c>
      <c r="BE774" t="s">
        <v>934</v>
      </c>
      <c r="BF774" t="s">
        <v>924</v>
      </c>
      <c r="BG774" t="s">
        <v>939</v>
      </c>
      <c r="BH774" s="7">
        <v>25</v>
      </c>
      <c r="BI77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74">
        <v>0</v>
      </c>
      <c r="BK774" t="s">
        <v>733</v>
      </c>
      <c r="BL774" s="11"/>
      <c r="BM774" s="11"/>
      <c r="BN774" s="11">
        <v>50</v>
      </c>
      <c r="BO774">
        <v>0</v>
      </c>
      <c r="BP774" t="s">
        <v>691</v>
      </c>
      <c r="BQ774" t="s">
        <v>693</v>
      </c>
      <c r="BR774" t="s">
        <v>700</v>
      </c>
      <c r="BS774" t="s">
        <v>704</v>
      </c>
      <c r="BT774" t="s">
        <v>705</v>
      </c>
      <c r="BU774" t="s">
        <v>706</v>
      </c>
      <c r="CT774"/>
      <c r="CU774"/>
      <c r="CV774"/>
    </row>
    <row r="775" spans="1:100" x14ac:dyDescent="0.4">
      <c r="A775" s="2" t="s">
        <v>829</v>
      </c>
      <c r="B775" t="str">
        <f>_xlfn.TEXTAFTER(Table1[[#This Row],[VEHIDCODE]],"_")</f>
        <v>Coach_Gen4_Bombardier_Bi_level</v>
      </c>
      <c r="C775" t="s">
        <v>757</v>
      </c>
      <c r="D775" t="s">
        <v>970</v>
      </c>
      <c r="E775">
        <v>11056</v>
      </c>
      <c r="F775" t="b">
        <f>OR(ISNUMBER(SEARCH("wagon_",Table1[[#This Row],[FILENAMES_EXPECTED]])),ISNUMBER(SEARCH("coach_",Table1[[#This Row],[FILENAMES_EXPECTED]])))</f>
        <v>1</v>
      </c>
      <c r="G775" t="str">
        <f>"item_"&amp;Table1[[#This Row],[VEHIDCODE]]</f>
        <v>item_mu_Coach_Gen4_Bombardier_Bi_level</v>
      </c>
      <c r="H775" t="str">
        <f>"str_"&amp;Table1[[#This Row],[VEHIDCODE]]</f>
        <v>str_mu_Coach_Gen4_Bombardier_Bi_level</v>
      </c>
      <c r="Q775" s="2" t="b">
        <v>1</v>
      </c>
      <c r="Z775" s="2" t="b">
        <v>1</v>
      </c>
      <c r="AI775" s="2" t="b">
        <v>1</v>
      </c>
      <c r="AL775" s="2"/>
      <c r="AM775" s="2" t="b">
        <f>LEN(_xlfn.CONCAT(Table1[[#This Row],[TRACK_TYPE_STANDARD_GAUGE_RAILTYPE_OHLE]:[TRACK_TYPE_MTRO]]))&gt;0</f>
        <v>1</v>
      </c>
      <c r="AN775">
        <v>8</v>
      </c>
      <c r="AO775" t="s">
        <v>325</v>
      </c>
      <c r="AP775">
        <v>0</v>
      </c>
      <c r="AQ775" t="s">
        <v>35</v>
      </c>
      <c r="AR775">
        <v>150</v>
      </c>
      <c r="AS775">
        <v>1970</v>
      </c>
      <c r="AT775">
        <v>8</v>
      </c>
      <c r="AU775" s="2" t="s">
        <v>479</v>
      </c>
      <c r="AV775" t="b">
        <v>1</v>
      </c>
      <c r="AX775" s="2"/>
      <c r="AY775" t="s">
        <v>21</v>
      </c>
      <c r="AZ775">
        <v>1</v>
      </c>
      <c r="BA775">
        <v>0</v>
      </c>
      <c r="BB775" t="s">
        <v>710</v>
      </c>
      <c r="BC775">
        <v>160</v>
      </c>
      <c r="BD775" s="2">
        <v>0.3</v>
      </c>
      <c r="BE775" t="s">
        <v>934</v>
      </c>
      <c r="BF775" t="s">
        <v>924</v>
      </c>
      <c r="BG775" t="s">
        <v>939</v>
      </c>
      <c r="BH775" s="7">
        <v>25</v>
      </c>
      <c r="BI77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75">
        <v>0</v>
      </c>
      <c r="BK775" t="s">
        <v>733</v>
      </c>
      <c r="BL775" s="11"/>
      <c r="BM775" s="11"/>
      <c r="BN775" s="11">
        <v>50</v>
      </c>
      <c r="BO775">
        <v>0</v>
      </c>
      <c r="BP775" t="s">
        <v>691</v>
      </c>
      <c r="BQ775" t="s">
        <v>693</v>
      </c>
      <c r="BR775" t="s">
        <v>700</v>
      </c>
      <c r="BS775" t="s">
        <v>704</v>
      </c>
      <c r="BT775" t="s">
        <v>705</v>
      </c>
      <c r="BU775" t="s">
        <v>706</v>
      </c>
      <c r="CT775"/>
      <c r="CU775"/>
      <c r="CV775"/>
    </row>
    <row r="776" spans="1:100" x14ac:dyDescent="0.4">
      <c r="A776" s="2" t="s">
        <v>830</v>
      </c>
      <c r="B776" t="str">
        <f>_xlfn.TEXTAFTER(Table1[[#This Row],[VEHIDCODE]],"_")</f>
        <v>Coach_Gen5_High_Speed_Coach</v>
      </c>
      <c r="C776" t="s">
        <v>758</v>
      </c>
      <c r="D776" t="s">
        <v>970</v>
      </c>
      <c r="E776">
        <v>11057</v>
      </c>
      <c r="F776" t="b">
        <f>OR(ISNUMBER(SEARCH("wagon_",Table1[[#This Row],[FILENAMES_EXPECTED]])),ISNUMBER(SEARCH("coach_",Table1[[#This Row],[FILENAMES_EXPECTED]])))</f>
        <v>1</v>
      </c>
      <c r="G776" t="str">
        <f>"item_"&amp;Table1[[#This Row],[VEHIDCODE]]</f>
        <v>item_mu_Coach_Gen5_High_Speed_Coach</v>
      </c>
      <c r="H776" t="str">
        <f>"str_"&amp;Table1[[#This Row],[VEHIDCODE]]</f>
        <v>str_mu_Coach_Gen5_High_Speed_Coach</v>
      </c>
      <c r="Q776" s="2" t="b">
        <v>1</v>
      </c>
      <c r="Z776" s="2" t="b">
        <v>1</v>
      </c>
      <c r="AI776" s="2" t="b">
        <v>1</v>
      </c>
      <c r="AL776" s="2"/>
      <c r="AM776" s="2" t="b">
        <f>LEN(_xlfn.CONCAT(Table1[[#This Row],[TRACK_TYPE_STANDARD_GAUGE_RAILTYPE_OHLE]:[TRACK_TYPE_MTRO]]))&gt;0</f>
        <v>1</v>
      </c>
      <c r="AN776">
        <v>8</v>
      </c>
      <c r="AO776" t="s">
        <v>325</v>
      </c>
      <c r="AP776">
        <v>0</v>
      </c>
      <c r="AQ776" t="s">
        <v>35</v>
      </c>
      <c r="AR776">
        <v>70</v>
      </c>
      <c r="AS776">
        <v>2000</v>
      </c>
      <c r="AT776">
        <v>8</v>
      </c>
      <c r="AU776" s="2" t="s">
        <v>479</v>
      </c>
      <c r="AV776" t="b">
        <v>1</v>
      </c>
      <c r="AX776" s="2"/>
      <c r="AY776" t="s">
        <v>21</v>
      </c>
      <c r="AZ776">
        <v>1</v>
      </c>
      <c r="BA776">
        <v>0</v>
      </c>
      <c r="BB776" t="s">
        <v>710</v>
      </c>
      <c r="BC776">
        <v>230</v>
      </c>
      <c r="BD776" s="2">
        <v>0.3</v>
      </c>
      <c r="BE776" t="s">
        <v>935</v>
      </c>
      <c r="BF776" t="s">
        <v>921</v>
      </c>
      <c r="BG776" t="s">
        <v>939</v>
      </c>
      <c r="BH776" s="7">
        <v>25</v>
      </c>
      <c r="BI77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76">
        <v>0</v>
      </c>
      <c r="BK776" t="s">
        <v>733</v>
      </c>
      <c r="BL776" s="11"/>
      <c r="BM776" s="11"/>
      <c r="BN776" s="11">
        <v>47</v>
      </c>
      <c r="BO776">
        <v>0</v>
      </c>
      <c r="BP776" t="s">
        <v>691</v>
      </c>
      <c r="BQ776" t="s">
        <v>693</v>
      </c>
      <c r="BR776" t="s">
        <v>700</v>
      </c>
      <c r="BS776" t="s">
        <v>704</v>
      </c>
      <c r="BT776" t="s">
        <v>705</v>
      </c>
      <c r="BU776" t="s">
        <v>706</v>
      </c>
      <c r="CT776"/>
      <c r="CU776"/>
      <c r="CV776"/>
    </row>
    <row r="777" spans="1:100" x14ac:dyDescent="0.4">
      <c r="A777" s="2" t="s">
        <v>831</v>
      </c>
      <c r="B777" t="str">
        <f>_xlfn.TEXTAFTER(Table1[[#This Row],[VEHIDCODE]],"_")</f>
        <v>Coach_Gen5_Modern_Regional_Coach</v>
      </c>
      <c r="C777" t="s">
        <v>758</v>
      </c>
      <c r="D777" t="s">
        <v>970</v>
      </c>
      <c r="E777">
        <v>11058</v>
      </c>
      <c r="F777" t="b">
        <f>OR(ISNUMBER(SEARCH("wagon_",Table1[[#This Row],[FILENAMES_EXPECTED]])),ISNUMBER(SEARCH("coach_",Table1[[#This Row],[FILENAMES_EXPECTED]])))</f>
        <v>1</v>
      </c>
      <c r="G777" t="str">
        <f>"item_"&amp;Table1[[#This Row],[VEHIDCODE]]</f>
        <v>item_mu_Coach_Gen5_Modern_Regional_Coach</v>
      </c>
      <c r="H777" t="str">
        <f>"str_"&amp;Table1[[#This Row],[VEHIDCODE]]</f>
        <v>str_mu_Coach_Gen5_Modern_Regional_Coach</v>
      </c>
      <c r="Q777" s="2" t="b">
        <v>1</v>
      </c>
      <c r="Z777" s="2" t="b">
        <v>1</v>
      </c>
      <c r="AI777" s="2" t="b">
        <v>1</v>
      </c>
      <c r="AL777" s="2"/>
      <c r="AM777" s="2" t="b">
        <f>LEN(_xlfn.CONCAT(Table1[[#This Row],[TRACK_TYPE_STANDARD_GAUGE_RAILTYPE_OHLE]:[TRACK_TYPE_MTRO]]))&gt;0</f>
        <v>1</v>
      </c>
      <c r="AN777">
        <v>8</v>
      </c>
      <c r="AO777" t="s">
        <v>325</v>
      </c>
      <c r="AP777">
        <v>0</v>
      </c>
      <c r="AQ777" t="s">
        <v>35</v>
      </c>
      <c r="AR777">
        <v>85</v>
      </c>
      <c r="AS777">
        <v>2000</v>
      </c>
      <c r="AT777">
        <v>8</v>
      </c>
      <c r="AU777" s="2" t="s">
        <v>479</v>
      </c>
      <c r="AV777" t="b">
        <v>1</v>
      </c>
      <c r="AX777" s="2"/>
      <c r="AY777" t="s">
        <v>21</v>
      </c>
      <c r="AZ777">
        <v>1</v>
      </c>
      <c r="BA777">
        <v>0</v>
      </c>
      <c r="BB777" t="s">
        <v>710</v>
      </c>
      <c r="BC777">
        <v>160</v>
      </c>
      <c r="BD777" s="2">
        <v>0.3</v>
      </c>
      <c r="BE777" t="s">
        <v>935</v>
      </c>
      <c r="BF777" t="s">
        <v>921</v>
      </c>
      <c r="BG777" t="s">
        <v>939</v>
      </c>
      <c r="BH777" s="7">
        <v>25</v>
      </c>
      <c r="BI77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77">
        <v>0</v>
      </c>
      <c r="BK777" t="s">
        <v>733</v>
      </c>
      <c r="BL777" s="11"/>
      <c r="BM777" s="11"/>
      <c r="BN777" s="11">
        <v>44</v>
      </c>
      <c r="BO777">
        <v>0</v>
      </c>
      <c r="BP777" t="s">
        <v>691</v>
      </c>
      <c r="BQ777" t="s">
        <v>693</v>
      </c>
      <c r="BR777" t="s">
        <v>700</v>
      </c>
      <c r="BS777" t="s">
        <v>704</v>
      </c>
      <c r="BT777" t="s">
        <v>705</v>
      </c>
      <c r="BU777" t="s">
        <v>706</v>
      </c>
      <c r="CT777"/>
      <c r="CU777"/>
      <c r="CV777"/>
    </row>
    <row r="778" spans="1:100" x14ac:dyDescent="0.4">
      <c r="A778" s="2" t="s">
        <v>832</v>
      </c>
      <c r="B778" t="str">
        <f>_xlfn.TEXTAFTER(Table1[[#This Row],[VEHIDCODE]],"_")</f>
        <v>Coach_Gen5_Modern_Commuter_Coach</v>
      </c>
      <c r="C778" t="s">
        <v>758</v>
      </c>
      <c r="D778" t="s">
        <v>970</v>
      </c>
      <c r="E778">
        <v>11059</v>
      </c>
      <c r="F778" t="b">
        <f>OR(ISNUMBER(SEARCH("wagon_",Table1[[#This Row],[FILENAMES_EXPECTED]])),ISNUMBER(SEARCH("coach_",Table1[[#This Row],[FILENAMES_EXPECTED]])))</f>
        <v>1</v>
      </c>
      <c r="G778" t="str">
        <f>"item_"&amp;Table1[[#This Row],[VEHIDCODE]]</f>
        <v>item_mu_Coach_Gen5_Modern_Commuter_Coach</v>
      </c>
      <c r="H778" t="str">
        <f>"str_"&amp;Table1[[#This Row],[VEHIDCODE]]</f>
        <v>str_mu_Coach_Gen5_Modern_Commuter_Coach</v>
      </c>
      <c r="Q778" s="2" t="b">
        <v>1</v>
      </c>
      <c r="Z778" s="2" t="b">
        <v>1</v>
      </c>
      <c r="AI778" s="2" t="b">
        <v>1</v>
      </c>
      <c r="AL778" s="2"/>
      <c r="AM778" s="2" t="b">
        <f>LEN(_xlfn.CONCAT(Table1[[#This Row],[TRACK_TYPE_STANDARD_GAUGE_RAILTYPE_OHLE]:[TRACK_TYPE_MTRO]]))&gt;0</f>
        <v>1</v>
      </c>
      <c r="AN778">
        <v>8</v>
      </c>
      <c r="AO778" t="s">
        <v>325</v>
      </c>
      <c r="AP778">
        <v>0</v>
      </c>
      <c r="AQ778" t="s">
        <v>35</v>
      </c>
      <c r="AR778">
        <v>115</v>
      </c>
      <c r="AS778">
        <v>2000</v>
      </c>
      <c r="AT778">
        <v>8</v>
      </c>
      <c r="AU778" s="2" t="s">
        <v>24</v>
      </c>
      <c r="AV778" t="b">
        <v>1</v>
      </c>
      <c r="AX778" s="2"/>
      <c r="AY778" t="s">
        <v>21</v>
      </c>
      <c r="AZ778">
        <v>1</v>
      </c>
      <c r="BA778">
        <v>0</v>
      </c>
      <c r="BB778" t="s">
        <v>710</v>
      </c>
      <c r="BC778">
        <v>140</v>
      </c>
      <c r="BD778" s="2">
        <v>0.3</v>
      </c>
      <c r="BE778" t="s">
        <v>935</v>
      </c>
      <c r="BF778" t="s">
        <v>921</v>
      </c>
      <c r="BG778" t="s">
        <v>939</v>
      </c>
      <c r="BH778" s="7">
        <v>25</v>
      </c>
      <c r="BI77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78">
        <v>0</v>
      </c>
      <c r="BK778" t="s">
        <v>733</v>
      </c>
      <c r="BL778" s="11"/>
      <c r="BM778" s="11"/>
      <c r="BN778" s="11">
        <v>45</v>
      </c>
      <c r="BO778">
        <v>0</v>
      </c>
      <c r="BP778" t="s">
        <v>691</v>
      </c>
      <c r="BQ778" t="s">
        <v>693</v>
      </c>
      <c r="BR778" t="s">
        <v>700</v>
      </c>
      <c r="BS778" t="s">
        <v>704</v>
      </c>
      <c r="BT778" t="s">
        <v>705</v>
      </c>
      <c r="BU778" t="s">
        <v>706</v>
      </c>
      <c r="CT778"/>
      <c r="CU778"/>
      <c r="CV778"/>
    </row>
    <row r="779" spans="1:100" x14ac:dyDescent="0.4">
      <c r="A779" s="2" t="s">
        <v>833</v>
      </c>
      <c r="B779" t="str">
        <f>_xlfn.TEXTAFTER(Table1[[#This Row],[VEHIDCODE]],"_")</f>
        <v>Coach_Gen5_Modern_Double_Decker_Coach</v>
      </c>
      <c r="C779" t="s">
        <v>758</v>
      </c>
      <c r="D779" t="s">
        <v>970</v>
      </c>
      <c r="E779">
        <v>11060</v>
      </c>
      <c r="F779" t="b">
        <f>OR(ISNUMBER(SEARCH("wagon_",Table1[[#This Row],[FILENAMES_EXPECTED]])),ISNUMBER(SEARCH("coach_",Table1[[#This Row],[FILENAMES_EXPECTED]])))</f>
        <v>1</v>
      </c>
      <c r="G779" t="str">
        <f>"item_"&amp;Table1[[#This Row],[VEHIDCODE]]</f>
        <v>item_mu_Coach_Gen5_Modern_Double_Decker_Coach</v>
      </c>
      <c r="H779" t="str">
        <f>"str_"&amp;Table1[[#This Row],[VEHIDCODE]]</f>
        <v>str_mu_Coach_Gen5_Modern_Double_Decker_Coach</v>
      </c>
      <c r="Q779" s="2" t="b">
        <v>1</v>
      </c>
      <c r="Z779" s="2" t="b">
        <v>1</v>
      </c>
      <c r="AI779" s="2" t="b">
        <v>1</v>
      </c>
      <c r="AL779" s="2"/>
      <c r="AM779" s="2" t="b">
        <f>LEN(_xlfn.CONCAT(Table1[[#This Row],[TRACK_TYPE_STANDARD_GAUGE_RAILTYPE_OHLE]:[TRACK_TYPE_MTRO]]))&gt;0</f>
        <v>1</v>
      </c>
      <c r="AN779">
        <v>8</v>
      </c>
      <c r="AO779" t="s">
        <v>325</v>
      </c>
      <c r="AP779">
        <v>0</v>
      </c>
      <c r="AQ779" t="s">
        <v>35</v>
      </c>
      <c r="AR779">
        <v>145</v>
      </c>
      <c r="AS779">
        <v>2000</v>
      </c>
      <c r="AT779">
        <v>8</v>
      </c>
      <c r="AU779" s="2" t="s">
        <v>479</v>
      </c>
      <c r="AV779" t="b">
        <v>1</v>
      </c>
      <c r="AX779" s="2"/>
      <c r="AY779" t="s">
        <v>21</v>
      </c>
      <c r="AZ779">
        <v>1</v>
      </c>
      <c r="BA779">
        <v>0</v>
      </c>
      <c r="BB779" t="s">
        <v>710</v>
      </c>
      <c r="BC779">
        <v>160</v>
      </c>
      <c r="BD779" s="2">
        <v>0.3</v>
      </c>
      <c r="BE779" t="s">
        <v>935</v>
      </c>
      <c r="BF779" t="s">
        <v>921</v>
      </c>
      <c r="BG779" t="s">
        <v>939</v>
      </c>
      <c r="BH779" s="7">
        <v>25</v>
      </c>
      <c r="BI77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79">
        <v>0</v>
      </c>
      <c r="BK779" t="s">
        <v>733</v>
      </c>
      <c r="BL779" s="11"/>
      <c r="BM779" s="11"/>
      <c r="BN779" s="11">
        <v>47</v>
      </c>
      <c r="BO779">
        <v>0</v>
      </c>
      <c r="BP779" t="s">
        <v>691</v>
      </c>
      <c r="BQ779" t="s">
        <v>693</v>
      </c>
      <c r="BR779" t="s">
        <v>700</v>
      </c>
      <c r="BS779" t="s">
        <v>704</v>
      </c>
      <c r="BT779" t="s">
        <v>705</v>
      </c>
      <c r="BU779" t="s">
        <v>706</v>
      </c>
      <c r="CT779"/>
      <c r="CU779"/>
      <c r="CV779"/>
    </row>
    <row r="780" spans="1:100" x14ac:dyDescent="0.4">
      <c r="A780" s="2" t="s">
        <v>834</v>
      </c>
      <c r="B780" t="str">
        <f>_xlfn.TEXTAFTER(Table1[[#This Row],[VEHIDCODE]],"_")</f>
        <v>Coach_Gen5_High_Speed_Double_Decker_IC2000</v>
      </c>
      <c r="C780" t="s">
        <v>758</v>
      </c>
      <c r="D780" t="s">
        <v>970</v>
      </c>
      <c r="E780">
        <v>11061</v>
      </c>
      <c r="F780" t="b">
        <f>OR(ISNUMBER(SEARCH("wagon_",Table1[[#This Row],[FILENAMES_EXPECTED]])),ISNUMBER(SEARCH("coach_",Table1[[#This Row],[FILENAMES_EXPECTED]])))</f>
        <v>1</v>
      </c>
      <c r="G780" t="str">
        <f>"item_"&amp;Table1[[#This Row],[VEHIDCODE]]</f>
        <v>item_mu_Coach_Gen5_High_Speed_Double_Decker_IC2000</v>
      </c>
      <c r="H780" t="str">
        <f>"str_"&amp;Table1[[#This Row],[VEHIDCODE]]</f>
        <v>str_mu_Coach_Gen5_High_Speed_Double_Decker_IC2000</v>
      </c>
      <c r="Q780" s="2" t="b">
        <v>1</v>
      </c>
      <c r="Z780" s="2" t="b">
        <v>1</v>
      </c>
      <c r="AI780" s="2" t="b">
        <v>1</v>
      </c>
      <c r="AL780" s="2"/>
      <c r="AM780" s="2" t="b">
        <f>LEN(_xlfn.CONCAT(Table1[[#This Row],[TRACK_TYPE_STANDARD_GAUGE_RAILTYPE_OHLE]:[TRACK_TYPE_MTRO]]))&gt;0</f>
        <v>1</v>
      </c>
      <c r="AN780">
        <v>8</v>
      </c>
      <c r="AO780" t="s">
        <v>325</v>
      </c>
      <c r="AP780">
        <v>0</v>
      </c>
      <c r="AQ780" t="s">
        <v>35</v>
      </c>
      <c r="AR780">
        <v>115</v>
      </c>
      <c r="AS780">
        <v>2000</v>
      </c>
      <c r="AT780">
        <v>8</v>
      </c>
      <c r="AU780" s="2" t="s">
        <v>479</v>
      </c>
      <c r="AV780" t="b">
        <v>1</v>
      </c>
      <c r="AX780" s="2"/>
      <c r="AY780" t="s">
        <v>21</v>
      </c>
      <c r="AZ780">
        <v>1</v>
      </c>
      <c r="BA780">
        <v>0</v>
      </c>
      <c r="BB780" t="s">
        <v>710</v>
      </c>
      <c r="BC780">
        <v>200</v>
      </c>
      <c r="BD780" s="2">
        <v>0.3</v>
      </c>
      <c r="BE780" t="s">
        <v>935</v>
      </c>
      <c r="BF780" t="s">
        <v>921</v>
      </c>
      <c r="BG780" t="s">
        <v>939</v>
      </c>
      <c r="BH780" s="7">
        <v>25</v>
      </c>
      <c r="BI78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80">
        <v>0</v>
      </c>
      <c r="BK780" t="s">
        <v>733</v>
      </c>
      <c r="BL780" s="11"/>
      <c r="BM780" s="11"/>
      <c r="BN780" s="11">
        <v>47</v>
      </c>
      <c r="BO780">
        <v>0</v>
      </c>
      <c r="BP780" t="s">
        <v>691</v>
      </c>
      <c r="BQ780" t="s">
        <v>693</v>
      </c>
      <c r="BR780" t="s">
        <v>700</v>
      </c>
      <c r="BS780" t="s">
        <v>704</v>
      </c>
      <c r="BT780" t="s">
        <v>705</v>
      </c>
      <c r="BU780" t="s">
        <v>706</v>
      </c>
      <c r="CT780"/>
      <c r="CU780"/>
      <c r="CV780"/>
    </row>
    <row r="781" spans="1:100" x14ac:dyDescent="0.4">
      <c r="A781" s="2" t="s">
        <v>835</v>
      </c>
      <c r="B781" t="str">
        <f>_xlfn.TEXTAFTER(Table1[[#This Row],[VEHIDCODE]],"_")</f>
        <v>Coach_Gen5_High_Speed_Mail_Coach</v>
      </c>
      <c r="C781" t="s">
        <v>758</v>
      </c>
      <c r="D781" t="s">
        <v>970</v>
      </c>
      <c r="E781">
        <v>11062</v>
      </c>
      <c r="F781" t="b">
        <f>OR(ISNUMBER(SEARCH("wagon_",Table1[[#This Row],[FILENAMES_EXPECTED]])),ISNUMBER(SEARCH("coach_",Table1[[#This Row],[FILENAMES_EXPECTED]])))</f>
        <v>1</v>
      </c>
      <c r="G781" t="str">
        <f>"item_"&amp;Table1[[#This Row],[VEHIDCODE]]</f>
        <v>item_mu_Coach_Gen5_High_Speed_Mail_Coach</v>
      </c>
      <c r="H781" t="str">
        <f>"str_"&amp;Table1[[#This Row],[VEHIDCODE]]</f>
        <v>str_mu_Coach_Gen5_High_Speed_Mail_Coach</v>
      </c>
      <c r="Q781" s="2" t="b">
        <v>1</v>
      </c>
      <c r="Z781" s="2" t="b">
        <v>1</v>
      </c>
      <c r="AI781" s="2" t="b">
        <v>1</v>
      </c>
      <c r="AL781" s="2"/>
      <c r="AM781" s="2" t="b">
        <f>LEN(_xlfn.CONCAT(Table1[[#This Row],[TRACK_TYPE_STANDARD_GAUGE_RAILTYPE_OHLE]:[TRACK_TYPE_MTRO]]))&gt;0</f>
        <v>1</v>
      </c>
      <c r="AN781">
        <v>8</v>
      </c>
      <c r="AO781" t="s">
        <v>673</v>
      </c>
      <c r="AP781">
        <v>0</v>
      </c>
      <c r="AQ781" t="s">
        <v>35</v>
      </c>
      <c r="AR781">
        <v>70</v>
      </c>
      <c r="AS781">
        <v>2000</v>
      </c>
      <c r="AT781">
        <v>8</v>
      </c>
      <c r="AU781" s="2" t="s">
        <v>674</v>
      </c>
      <c r="AV781" t="b">
        <v>1</v>
      </c>
      <c r="AX781" s="2"/>
      <c r="AY781" t="s">
        <v>21</v>
      </c>
      <c r="AZ781">
        <v>1</v>
      </c>
      <c r="BA781">
        <v>0</v>
      </c>
      <c r="BB781" t="s">
        <v>710</v>
      </c>
      <c r="BC781">
        <v>230</v>
      </c>
      <c r="BD781" s="2">
        <v>0.3</v>
      </c>
      <c r="BE781" t="s">
        <v>935</v>
      </c>
      <c r="BF781" t="s">
        <v>921</v>
      </c>
      <c r="BG781" t="s">
        <v>939</v>
      </c>
      <c r="BH781" s="7">
        <v>25</v>
      </c>
      <c r="BI78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81">
        <v>0</v>
      </c>
      <c r="BK781" t="s">
        <v>733</v>
      </c>
      <c r="BL781" s="11"/>
      <c r="BM781" s="11"/>
      <c r="BN781" s="11">
        <v>46</v>
      </c>
      <c r="BO781">
        <v>0</v>
      </c>
      <c r="BP781" t="s">
        <v>691</v>
      </c>
      <c r="BQ781" t="s">
        <v>693</v>
      </c>
      <c r="BR781" t="s">
        <v>700</v>
      </c>
      <c r="BS781" t="s">
        <v>704</v>
      </c>
      <c r="BT781" t="s">
        <v>705</v>
      </c>
      <c r="BU781" t="s">
        <v>706</v>
      </c>
      <c r="CT781"/>
      <c r="CU781"/>
      <c r="CV781"/>
    </row>
    <row r="782" spans="1:100" x14ac:dyDescent="0.4">
      <c r="A782" s="2" t="s">
        <v>836</v>
      </c>
      <c r="B782" t="str">
        <f>_xlfn.TEXTAFTER(Table1[[#This Row],[VEHIDCODE]],"_")</f>
        <v>Coach_Gen5_Talgo_Pendular</v>
      </c>
      <c r="C782" t="s">
        <v>758</v>
      </c>
      <c r="D782" t="s">
        <v>970</v>
      </c>
      <c r="E782">
        <v>11063</v>
      </c>
      <c r="F782" t="b">
        <f>OR(ISNUMBER(SEARCH("wagon_",Table1[[#This Row],[FILENAMES_EXPECTED]])),ISNUMBER(SEARCH("coach_",Table1[[#This Row],[FILENAMES_EXPECTED]])))</f>
        <v>1</v>
      </c>
      <c r="G782" t="str">
        <f>"item_"&amp;Table1[[#This Row],[VEHIDCODE]]</f>
        <v>item_mu_Coach_Gen5_Talgo_Pendular</v>
      </c>
      <c r="H782" t="str">
        <f>"str_"&amp;Table1[[#This Row],[VEHIDCODE]]</f>
        <v>str_mu_Coach_Gen5_Talgo_Pendular</v>
      </c>
      <c r="Q782" s="2" t="b">
        <v>1</v>
      </c>
      <c r="Z782" s="2" t="b">
        <v>1</v>
      </c>
      <c r="AI782" s="2" t="b">
        <v>1</v>
      </c>
      <c r="AL782" s="2"/>
      <c r="AM782" s="2" t="b">
        <f>LEN(_xlfn.CONCAT(Table1[[#This Row],[TRACK_TYPE_STANDARD_GAUGE_RAILTYPE_OHLE]:[TRACK_TYPE_MTRO]]))&gt;0</f>
        <v>1</v>
      </c>
      <c r="AN782">
        <v>6</v>
      </c>
      <c r="AO782" t="s">
        <v>325</v>
      </c>
      <c r="AP782">
        <v>0</v>
      </c>
      <c r="AQ782" t="s">
        <v>35</v>
      </c>
      <c r="AR782">
        <v>40</v>
      </c>
      <c r="AS782">
        <v>1980</v>
      </c>
      <c r="AT782">
        <v>6</v>
      </c>
      <c r="AU782" s="2" t="s">
        <v>24</v>
      </c>
      <c r="AV782" t="b">
        <v>1</v>
      </c>
      <c r="AX782" s="2"/>
      <c r="AY782" t="s">
        <v>21</v>
      </c>
      <c r="AZ782">
        <v>1</v>
      </c>
      <c r="BA782">
        <v>0</v>
      </c>
      <c r="BB782" t="s">
        <v>710</v>
      </c>
      <c r="BC782">
        <v>250</v>
      </c>
      <c r="BD782" s="2">
        <v>0.3</v>
      </c>
      <c r="BE782" t="s">
        <v>935</v>
      </c>
      <c r="BF782" t="s">
        <v>921</v>
      </c>
      <c r="BG782" t="s">
        <v>939</v>
      </c>
      <c r="BH782" s="7">
        <v>25</v>
      </c>
      <c r="BI78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82">
        <v>0</v>
      </c>
      <c r="BK782" t="s">
        <v>733</v>
      </c>
      <c r="BL782" s="11"/>
      <c r="BM782" s="11"/>
      <c r="BN782" s="11">
        <v>15</v>
      </c>
      <c r="BO782">
        <v>0</v>
      </c>
      <c r="BP782" t="s">
        <v>691</v>
      </c>
      <c r="BQ782" t="s">
        <v>693</v>
      </c>
      <c r="BR782" t="s">
        <v>700</v>
      </c>
      <c r="BS782" t="s">
        <v>704</v>
      </c>
      <c r="BT782" t="s">
        <v>705</v>
      </c>
      <c r="BU782" t="s">
        <v>706</v>
      </c>
      <c r="CT782"/>
      <c r="CU782"/>
      <c r="CV782"/>
    </row>
    <row r="783" spans="1:100" x14ac:dyDescent="0.4">
      <c r="A783" s="2" t="s">
        <v>837</v>
      </c>
      <c r="B783" t="str">
        <f>_xlfn.TEXTAFTER(Table1[[#This Row],[VEHIDCODE]],"_")</f>
        <v>Coach_Gen5_Talgo_Pendular_Mail</v>
      </c>
      <c r="C783" t="s">
        <v>758</v>
      </c>
      <c r="D783" t="s">
        <v>970</v>
      </c>
      <c r="E783">
        <v>11064</v>
      </c>
      <c r="F783" t="b">
        <f>OR(ISNUMBER(SEARCH("wagon_",Table1[[#This Row],[FILENAMES_EXPECTED]])),ISNUMBER(SEARCH("coach_",Table1[[#This Row],[FILENAMES_EXPECTED]])))</f>
        <v>1</v>
      </c>
      <c r="G783" t="str">
        <f>"item_"&amp;Table1[[#This Row],[VEHIDCODE]]</f>
        <v>item_mu_Coach_Gen5_Talgo_Pendular_Mail</v>
      </c>
      <c r="H783" t="str">
        <f>"str_"&amp;Table1[[#This Row],[VEHIDCODE]]</f>
        <v>str_mu_Coach_Gen5_Talgo_Pendular_Mail</v>
      </c>
      <c r="Q783" s="2" t="b">
        <v>1</v>
      </c>
      <c r="Z783" s="2" t="b">
        <v>1</v>
      </c>
      <c r="AI783" s="2" t="b">
        <v>1</v>
      </c>
      <c r="AL783" s="2"/>
      <c r="AM783" s="2" t="b">
        <f>LEN(_xlfn.CONCAT(Table1[[#This Row],[TRACK_TYPE_STANDARD_GAUGE_RAILTYPE_OHLE]:[TRACK_TYPE_MTRO]]))&gt;0</f>
        <v>1</v>
      </c>
      <c r="AN783">
        <v>6</v>
      </c>
      <c r="AO783" t="s">
        <v>673</v>
      </c>
      <c r="AP783">
        <v>0</v>
      </c>
      <c r="AQ783" t="s">
        <v>35</v>
      </c>
      <c r="AR783">
        <v>40</v>
      </c>
      <c r="AS783">
        <v>1980</v>
      </c>
      <c r="AT783">
        <v>6</v>
      </c>
      <c r="AU783" s="2" t="s">
        <v>674</v>
      </c>
      <c r="AV783" t="b">
        <v>1</v>
      </c>
      <c r="AX783" s="2"/>
      <c r="AY783" t="s">
        <v>21</v>
      </c>
      <c r="AZ783">
        <v>1</v>
      </c>
      <c r="BA783">
        <v>0</v>
      </c>
      <c r="BB783" t="s">
        <v>710</v>
      </c>
      <c r="BC783">
        <v>250</v>
      </c>
      <c r="BD783" s="2">
        <v>0.3</v>
      </c>
      <c r="BE783" t="s">
        <v>935</v>
      </c>
      <c r="BF783" t="s">
        <v>921</v>
      </c>
      <c r="BG783" t="s">
        <v>939</v>
      </c>
      <c r="BH783" s="7">
        <v>25</v>
      </c>
      <c r="BI78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83">
        <v>0</v>
      </c>
      <c r="BK783" t="s">
        <v>733</v>
      </c>
      <c r="BL783" s="11"/>
      <c r="BM783" s="11"/>
      <c r="BN783" s="11">
        <v>15</v>
      </c>
      <c r="BO783">
        <v>0</v>
      </c>
      <c r="BP783" t="s">
        <v>691</v>
      </c>
      <c r="BQ783" t="s">
        <v>693</v>
      </c>
      <c r="BR783" t="s">
        <v>700</v>
      </c>
      <c r="BS783" t="s">
        <v>704</v>
      </c>
      <c r="BT783" t="s">
        <v>705</v>
      </c>
      <c r="BU783" t="s">
        <v>706</v>
      </c>
      <c r="CT783"/>
      <c r="CU783"/>
      <c r="CV783"/>
    </row>
    <row r="784" spans="1:100" x14ac:dyDescent="0.4">
      <c r="A784" s="2" t="s">
        <v>838</v>
      </c>
      <c r="B784" t="str">
        <f>_xlfn.TEXTAFTER(Table1[[#This Row],[VEHIDCODE]],"_")</f>
        <v>Coach_Gen6_Grand_Voyager_Coach</v>
      </c>
      <c r="C784" t="s">
        <v>759</v>
      </c>
      <c r="D784" t="s">
        <v>970</v>
      </c>
      <c r="E784">
        <v>11065</v>
      </c>
      <c r="F784" t="b">
        <f>OR(ISNUMBER(SEARCH("wagon_",Table1[[#This Row],[FILENAMES_EXPECTED]])),ISNUMBER(SEARCH("coach_",Table1[[#This Row],[FILENAMES_EXPECTED]])))</f>
        <v>1</v>
      </c>
      <c r="G784" t="str">
        <f>"item_"&amp;Table1[[#This Row],[VEHIDCODE]]</f>
        <v>item_mu_Coach_Gen6_Grand_Voyager_Coach</v>
      </c>
      <c r="H784" t="str">
        <f>"str_"&amp;Table1[[#This Row],[VEHIDCODE]]</f>
        <v>str_mu_Coach_Gen6_Grand_Voyager_Coach</v>
      </c>
      <c r="Q784" s="2" t="b">
        <v>1</v>
      </c>
      <c r="Z784" s="2" t="b">
        <v>1</v>
      </c>
      <c r="AI784" s="2" t="b">
        <v>1</v>
      </c>
      <c r="AL784" s="2"/>
      <c r="AM784" s="2" t="b">
        <f>LEN(_xlfn.CONCAT(Table1[[#This Row],[TRACK_TYPE_STANDARD_GAUGE_RAILTYPE_OHLE]:[TRACK_TYPE_MTRO]]))&gt;0</f>
        <v>1</v>
      </c>
      <c r="AN784">
        <v>8</v>
      </c>
      <c r="AO784" t="s">
        <v>325</v>
      </c>
      <c r="AP784">
        <v>0</v>
      </c>
      <c r="AQ784" t="s">
        <v>35</v>
      </c>
      <c r="AR784">
        <v>80</v>
      </c>
      <c r="AS784">
        <v>2030</v>
      </c>
      <c r="AT784">
        <v>8</v>
      </c>
      <c r="AU784" s="2" t="s">
        <v>479</v>
      </c>
      <c r="AV784" t="b">
        <v>1</v>
      </c>
      <c r="AX784" s="2"/>
      <c r="AY784" t="s">
        <v>21</v>
      </c>
      <c r="AZ784">
        <v>1</v>
      </c>
      <c r="BA784">
        <v>0</v>
      </c>
      <c r="BB784" t="s">
        <v>710</v>
      </c>
      <c r="BC784">
        <v>0</v>
      </c>
      <c r="BD784" s="2">
        <v>0.3</v>
      </c>
      <c r="BE784" t="s">
        <v>935</v>
      </c>
      <c r="BF784" t="s">
        <v>921</v>
      </c>
      <c r="BG784" t="s">
        <v>939</v>
      </c>
      <c r="BH784" s="7">
        <v>25</v>
      </c>
      <c r="BI78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84">
        <v>0</v>
      </c>
      <c r="BK784" t="s">
        <v>733</v>
      </c>
      <c r="BL784" s="11"/>
      <c r="BM784" s="11"/>
      <c r="BN784" s="11">
        <v>39</v>
      </c>
      <c r="BO784">
        <v>0</v>
      </c>
      <c r="BP784" t="s">
        <v>691</v>
      </c>
      <c r="BQ784" t="s">
        <v>693</v>
      </c>
      <c r="BR784" t="s">
        <v>700</v>
      </c>
      <c r="BS784" t="s">
        <v>704</v>
      </c>
      <c r="BT784" t="s">
        <v>705</v>
      </c>
      <c r="BU784" t="s">
        <v>706</v>
      </c>
      <c r="CT784"/>
      <c r="CU784"/>
      <c r="CV784"/>
    </row>
    <row r="785" spans="1:100" x14ac:dyDescent="0.4">
      <c r="A785" s="2" t="s">
        <v>839</v>
      </c>
      <c r="B785" t="str">
        <f>_xlfn.TEXTAFTER(Table1[[#This Row],[VEHIDCODE]],"_")</f>
        <v>Coach_Gen6_Grand_Regio_Coach</v>
      </c>
      <c r="C785" t="s">
        <v>759</v>
      </c>
      <c r="D785" t="s">
        <v>970</v>
      </c>
      <c r="E785">
        <v>11066</v>
      </c>
      <c r="F785" t="b">
        <f>OR(ISNUMBER(SEARCH("wagon_",Table1[[#This Row],[FILENAMES_EXPECTED]])),ISNUMBER(SEARCH("coach_",Table1[[#This Row],[FILENAMES_EXPECTED]])))</f>
        <v>1</v>
      </c>
      <c r="G785" t="str">
        <f>"item_"&amp;Table1[[#This Row],[VEHIDCODE]]</f>
        <v>item_mu_Coach_Gen6_Grand_Regio_Coach</v>
      </c>
      <c r="H785" t="str">
        <f>"str_"&amp;Table1[[#This Row],[VEHIDCODE]]</f>
        <v>str_mu_Coach_Gen6_Grand_Regio_Coach</v>
      </c>
      <c r="Q785" s="2" t="b">
        <v>1</v>
      </c>
      <c r="Z785" s="2" t="b">
        <v>1</v>
      </c>
      <c r="AI785" s="2" t="b">
        <v>1</v>
      </c>
      <c r="AL785" s="2"/>
      <c r="AM785" s="2" t="b">
        <f>LEN(_xlfn.CONCAT(Table1[[#This Row],[TRACK_TYPE_STANDARD_GAUGE_RAILTYPE_OHLE]:[TRACK_TYPE_MTRO]]))&gt;0</f>
        <v>1</v>
      </c>
      <c r="AN785">
        <v>8</v>
      </c>
      <c r="AO785" t="s">
        <v>325</v>
      </c>
      <c r="AP785">
        <v>0</v>
      </c>
      <c r="AQ785" t="s">
        <v>35</v>
      </c>
      <c r="AR785">
        <v>100</v>
      </c>
      <c r="AS785">
        <v>2030</v>
      </c>
      <c r="AT785">
        <v>8</v>
      </c>
      <c r="AU785" s="2" t="s">
        <v>479</v>
      </c>
      <c r="AV785" t="b">
        <v>1</v>
      </c>
      <c r="AX785" s="2"/>
      <c r="AY785" t="s">
        <v>21</v>
      </c>
      <c r="AZ785">
        <v>1</v>
      </c>
      <c r="BA785">
        <v>0</v>
      </c>
      <c r="BB785" t="s">
        <v>710</v>
      </c>
      <c r="BC785">
        <v>200</v>
      </c>
      <c r="BD785" s="2">
        <v>0.3</v>
      </c>
      <c r="BE785" t="s">
        <v>935</v>
      </c>
      <c r="BF785" t="s">
        <v>921</v>
      </c>
      <c r="BG785" t="s">
        <v>939</v>
      </c>
      <c r="BH785" s="7">
        <v>25</v>
      </c>
      <c r="BI78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85">
        <v>0</v>
      </c>
      <c r="BK785" t="s">
        <v>733</v>
      </c>
      <c r="BL785" s="11"/>
      <c r="BM785" s="11"/>
      <c r="BN785" s="11">
        <v>38</v>
      </c>
      <c r="BO785">
        <v>0</v>
      </c>
      <c r="BP785" t="s">
        <v>691</v>
      </c>
      <c r="BQ785" t="s">
        <v>693</v>
      </c>
      <c r="BR785" t="s">
        <v>700</v>
      </c>
      <c r="BS785" t="s">
        <v>704</v>
      </c>
      <c r="BT785" t="s">
        <v>705</v>
      </c>
      <c r="BU785" t="s">
        <v>706</v>
      </c>
      <c r="CT785"/>
      <c r="CU785"/>
      <c r="CV785"/>
    </row>
    <row r="786" spans="1:100" x14ac:dyDescent="0.4">
      <c r="A786" s="2" t="s">
        <v>840</v>
      </c>
      <c r="B786" t="str">
        <f>_xlfn.TEXTAFTER(Table1[[#This Row],[VEHIDCODE]],"_")</f>
        <v>Coach_Gen6_Metropolis_Coach</v>
      </c>
      <c r="C786" t="s">
        <v>759</v>
      </c>
      <c r="D786" t="s">
        <v>970</v>
      </c>
      <c r="E786">
        <v>11067</v>
      </c>
      <c r="F786" t="b">
        <f>OR(ISNUMBER(SEARCH("wagon_",Table1[[#This Row],[FILENAMES_EXPECTED]])),ISNUMBER(SEARCH("coach_",Table1[[#This Row],[FILENAMES_EXPECTED]])))</f>
        <v>1</v>
      </c>
      <c r="G786" t="str">
        <f>"item_"&amp;Table1[[#This Row],[VEHIDCODE]]</f>
        <v>item_mu_Coach_Gen6_Metropolis_Coach</v>
      </c>
      <c r="H786" t="str">
        <f>"str_"&amp;Table1[[#This Row],[VEHIDCODE]]</f>
        <v>str_mu_Coach_Gen6_Metropolis_Coach</v>
      </c>
      <c r="Q786" s="2" t="b">
        <v>1</v>
      </c>
      <c r="Z786" s="2" t="b">
        <v>1</v>
      </c>
      <c r="AI786" s="2" t="b">
        <v>1</v>
      </c>
      <c r="AL786" s="2"/>
      <c r="AM786" s="2" t="b">
        <f>LEN(_xlfn.CONCAT(Table1[[#This Row],[TRACK_TYPE_STANDARD_GAUGE_RAILTYPE_OHLE]:[TRACK_TYPE_MTRO]]))&gt;0</f>
        <v>1</v>
      </c>
      <c r="AN786">
        <v>8</v>
      </c>
      <c r="AO786" t="s">
        <v>325</v>
      </c>
      <c r="AP786">
        <v>0</v>
      </c>
      <c r="AQ786" t="s">
        <v>35</v>
      </c>
      <c r="AR786">
        <v>115</v>
      </c>
      <c r="AS786">
        <v>2030</v>
      </c>
      <c r="AT786">
        <v>8</v>
      </c>
      <c r="AU786" s="2" t="s">
        <v>24</v>
      </c>
      <c r="AV786" t="b">
        <v>1</v>
      </c>
      <c r="AX786" s="2"/>
      <c r="AY786" t="s">
        <v>21</v>
      </c>
      <c r="AZ786">
        <v>1</v>
      </c>
      <c r="BA786">
        <v>0</v>
      </c>
      <c r="BB786" t="s">
        <v>710</v>
      </c>
      <c r="BC786">
        <v>180</v>
      </c>
      <c r="BD786" s="2">
        <v>0.3</v>
      </c>
      <c r="BE786" t="s">
        <v>935</v>
      </c>
      <c r="BF786" t="s">
        <v>921</v>
      </c>
      <c r="BG786" t="s">
        <v>939</v>
      </c>
      <c r="BH786" s="7">
        <v>25</v>
      </c>
      <c r="BI78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86">
        <v>0</v>
      </c>
      <c r="BK786" t="s">
        <v>733</v>
      </c>
      <c r="BL786" s="11"/>
      <c r="BM786" s="11"/>
      <c r="BN786" s="11">
        <v>39</v>
      </c>
      <c r="BO786">
        <v>0</v>
      </c>
      <c r="BP786" t="s">
        <v>691</v>
      </c>
      <c r="BQ786" t="s">
        <v>693</v>
      </c>
      <c r="BR786" t="s">
        <v>700</v>
      </c>
      <c r="BS786" t="s">
        <v>704</v>
      </c>
      <c r="BT786" t="s">
        <v>705</v>
      </c>
      <c r="BU786" t="s">
        <v>706</v>
      </c>
      <c r="CT786"/>
      <c r="CU786"/>
      <c r="CV786"/>
    </row>
    <row r="787" spans="1:100" x14ac:dyDescent="0.4">
      <c r="A787" s="2" t="s">
        <v>841</v>
      </c>
      <c r="B787" t="str">
        <f>_xlfn.TEXTAFTER(Table1[[#This Row],[VEHIDCODE]],"_")</f>
        <v>Coach_Gen6_Speedmail_Coach</v>
      </c>
      <c r="C787" t="s">
        <v>759</v>
      </c>
      <c r="D787" t="s">
        <v>970</v>
      </c>
      <c r="E787">
        <v>11068</v>
      </c>
      <c r="F787" t="b">
        <f>OR(ISNUMBER(SEARCH("wagon_",Table1[[#This Row],[FILENAMES_EXPECTED]])),ISNUMBER(SEARCH("coach_",Table1[[#This Row],[FILENAMES_EXPECTED]])))</f>
        <v>1</v>
      </c>
      <c r="G787" t="str">
        <f>"item_"&amp;Table1[[#This Row],[VEHIDCODE]]</f>
        <v>item_mu_Coach_Gen6_Speedmail_Coach</v>
      </c>
      <c r="H787" t="str">
        <f>"str_"&amp;Table1[[#This Row],[VEHIDCODE]]</f>
        <v>str_mu_Coach_Gen6_Speedmail_Coach</v>
      </c>
      <c r="Q787" s="2" t="b">
        <v>1</v>
      </c>
      <c r="Z787" s="2" t="b">
        <v>1</v>
      </c>
      <c r="AI787" s="2" t="b">
        <v>1</v>
      </c>
      <c r="AL787" s="2"/>
      <c r="AM787" s="2" t="b">
        <f>LEN(_xlfn.CONCAT(Table1[[#This Row],[TRACK_TYPE_STANDARD_GAUGE_RAILTYPE_OHLE]:[TRACK_TYPE_MTRO]]))&gt;0</f>
        <v>1</v>
      </c>
      <c r="AN787">
        <v>8</v>
      </c>
      <c r="AO787" t="s">
        <v>673</v>
      </c>
      <c r="AP787">
        <v>0</v>
      </c>
      <c r="AQ787" t="s">
        <v>35</v>
      </c>
      <c r="AR787">
        <v>85</v>
      </c>
      <c r="AS787">
        <v>2030</v>
      </c>
      <c r="AT787">
        <v>8</v>
      </c>
      <c r="AU787" s="2" t="s">
        <v>674</v>
      </c>
      <c r="AV787" t="b">
        <v>1</v>
      </c>
      <c r="AX787" s="2"/>
      <c r="AY787" t="s">
        <v>21</v>
      </c>
      <c r="AZ787">
        <v>1</v>
      </c>
      <c r="BA787">
        <v>0</v>
      </c>
      <c r="BB787" t="s">
        <v>710</v>
      </c>
      <c r="BC787">
        <v>0</v>
      </c>
      <c r="BD787" s="2">
        <v>0.3</v>
      </c>
      <c r="BE787" t="s">
        <v>935</v>
      </c>
      <c r="BF787" t="s">
        <v>921</v>
      </c>
      <c r="BG787" t="s">
        <v>939</v>
      </c>
      <c r="BH787" s="7">
        <v>25</v>
      </c>
      <c r="BI78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87">
        <v>0</v>
      </c>
      <c r="BK787" t="s">
        <v>733</v>
      </c>
      <c r="BL787" s="11"/>
      <c r="BM787" s="11"/>
      <c r="BN787" s="11">
        <v>38</v>
      </c>
      <c r="BO787">
        <v>0</v>
      </c>
      <c r="BP787" t="s">
        <v>691</v>
      </c>
      <c r="BQ787" t="s">
        <v>693</v>
      </c>
      <c r="BR787" t="s">
        <v>700</v>
      </c>
      <c r="BS787" t="s">
        <v>704</v>
      </c>
      <c r="BT787" t="s">
        <v>705</v>
      </c>
      <c r="BU787" t="s">
        <v>706</v>
      </c>
      <c r="CT787"/>
      <c r="CU787"/>
      <c r="CV787"/>
    </row>
    <row r="788" spans="1:100" x14ac:dyDescent="0.4">
      <c r="A788" s="2" t="s">
        <v>842</v>
      </c>
      <c r="B788" t="str">
        <f>_xlfn.TEXTAFTER(Table1[[#This Row],[VEHIDCODE]],"_")</f>
        <v>Coach_Gen6_Super_Regio_Coach</v>
      </c>
      <c r="C788" t="s">
        <v>759</v>
      </c>
      <c r="D788" t="s">
        <v>970</v>
      </c>
      <c r="E788">
        <v>11069</v>
      </c>
      <c r="F788" t="b">
        <f>OR(ISNUMBER(SEARCH("wagon_",Table1[[#This Row],[FILENAMES_EXPECTED]])),ISNUMBER(SEARCH("coach_",Table1[[#This Row],[FILENAMES_EXPECTED]])))</f>
        <v>1</v>
      </c>
      <c r="G788" t="str">
        <f>"item_"&amp;Table1[[#This Row],[VEHIDCODE]]</f>
        <v>item_mu_Coach_Gen6_Super_Regio_Coach</v>
      </c>
      <c r="H788" t="str">
        <f>"str_"&amp;Table1[[#This Row],[VEHIDCODE]]</f>
        <v>str_mu_Coach_Gen6_Super_Regio_Coach</v>
      </c>
      <c r="Q788" s="2" t="b">
        <v>1</v>
      </c>
      <c r="Z788" s="2" t="b">
        <v>1</v>
      </c>
      <c r="AI788" s="2" t="b">
        <v>1</v>
      </c>
      <c r="AL788" s="2"/>
      <c r="AM788" s="2" t="b">
        <f>LEN(_xlfn.CONCAT(Table1[[#This Row],[TRACK_TYPE_STANDARD_GAUGE_RAILTYPE_OHLE]:[TRACK_TYPE_MTRO]]))&gt;0</f>
        <v>1</v>
      </c>
      <c r="AN788">
        <v>8</v>
      </c>
      <c r="AO788" t="s">
        <v>325</v>
      </c>
      <c r="AP788">
        <v>0</v>
      </c>
      <c r="AQ788" t="s">
        <v>35</v>
      </c>
      <c r="AR788">
        <v>160</v>
      </c>
      <c r="AS788">
        <v>2030</v>
      </c>
      <c r="AT788">
        <v>8</v>
      </c>
      <c r="AU788" s="2" t="s">
        <v>479</v>
      </c>
      <c r="AV788" t="b">
        <v>1</v>
      </c>
      <c r="AX788" s="2"/>
      <c r="AY788" t="s">
        <v>21</v>
      </c>
      <c r="AZ788">
        <v>1</v>
      </c>
      <c r="BA788">
        <v>0</v>
      </c>
      <c r="BB788" t="s">
        <v>710</v>
      </c>
      <c r="BC788">
        <v>200</v>
      </c>
      <c r="BD788" s="2">
        <v>0.3</v>
      </c>
      <c r="BE788" t="s">
        <v>935</v>
      </c>
      <c r="BF788" t="s">
        <v>921</v>
      </c>
      <c r="BG788" t="s">
        <v>939</v>
      </c>
      <c r="BH788" s="7">
        <v>25</v>
      </c>
      <c r="BI78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88">
        <v>0</v>
      </c>
      <c r="BK788" t="s">
        <v>733</v>
      </c>
      <c r="BL788" s="11"/>
      <c r="BM788" s="11"/>
      <c r="BN788" s="11">
        <v>41</v>
      </c>
      <c r="BO788">
        <v>0</v>
      </c>
      <c r="BP788" t="s">
        <v>691</v>
      </c>
      <c r="BQ788" t="s">
        <v>693</v>
      </c>
      <c r="BR788" t="s">
        <v>700</v>
      </c>
      <c r="BS788" t="s">
        <v>704</v>
      </c>
      <c r="BT788" t="s">
        <v>705</v>
      </c>
      <c r="BU788" t="s">
        <v>706</v>
      </c>
      <c r="CT788"/>
      <c r="CU788"/>
      <c r="CV788"/>
    </row>
    <row r="789" spans="1:100" x14ac:dyDescent="0.4">
      <c r="A789" s="2" t="s">
        <v>843</v>
      </c>
      <c r="B789" t="str">
        <f>_xlfn.TEXTAFTER(Table1[[#This Row],[VEHIDCODE]],"_")</f>
        <v>Coach_Gen6_Super_Voyager_Coach</v>
      </c>
      <c r="C789" t="s">
        <v>759</v>
      </c>
      <c r="D789" t="s">
        <v>970</v>
      </c>
      <c r="E789">
        <v>11070</v>
      </c>
      <c r="F789" t="b">
        <f>OR(ISNUMBER(SEARCH("wagon_",Table1[[#This Row],[FILENAMES_EXPECTED]])),ISNUMBER(SEARCH("coach_",Table1[[#This Row],[FILENAMES_EXPECTED]])))</f>
        <v>1</v>
      </c>
      <c r="G789" t="str">
        <f>"item_"&amp;Table1[[#This Row],[VEHIDCODE]]</f>
        <v>item_mu_Coach_Gen6_Super_Voyager_Coach</v>
      </c>
      <c r="H789" t="str">
        <f>"str_"&amp;Table1[[#This Row],[VEHIDCODE]]</f>
        <v>str_mu_Coach_Gen6_Super_Voyager_Coach</v>
      </c>
      <c r="Q789" s="2" t="b">
        <v>1</v>
      </c>
      <c r="Z789" s="2" t="b">
        <v>1</v>
      </c>
      <c r="AI789" s="2" t="b">
        <v>1</v>
      </c>
      <c r="AL789" s="2"/>
      <c r="AM789" s="2" t="b">
        <f>LEN(_xlfn.CONCAT(Table1[[#This Row],[TRACK_TYPE_STANDARD_GAUGE_RAILTYPE_OHLE]:[TRACK_TYPE_MTRO]]))&gt;0</f>
        <v>1</v>
      </c>
      <c r="AN789">
        <v>8</v>
      </c>
      <c r="AO789" t="s">
        <v>325</v>
      </c>
      <c r="AP789">
        <v>0</v>
      </c>
      <c r="AQ789" t="s">
        <v>35</v>
      </c>
      <c r="AR789">
        <v>130</v>
      </c>
      <c r="AS789">
        <v>2030</v>
      </c>
      <c r="AT789">
        <v>8</v>
      </c>
      <c r="AU789" s="2" t="s">
        <v>479</v>
      </c>
      <c r="AV789" t="b">
        <v>1</v>
      </c>
      <c r="AX789" s="2"/>
      <c r="AY789" t="s">
        <v>21</v>
      </c>
      <c r="AZ789">
        <v>1</v>
      </c>
      <c r="BA789">
        <v>0</v>
      </c>
      <c r="BB789" t="s">
        <v>710</v>
      </c>
      <c r="BC789">
        <v>0</v>
      </c>
      <c r="BD789" s="2">
        <v>0.3</v>
      </c>
      <c r="BE789" t="s">
        <v>935</v>
      </c>
      <c r="BF789" t="s">
        <v>921</v>
      </c>
      <c r="BG789" t="s">
        <v>939</v>
      </c>
      <c r="BH789" s="7">
        <v>25</v>
      </c>
      <c r="BI78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89">
        <v>0</v>
      </c>
      <c r="BK789" t="s">
        <v>733</v>
      </c>
      <c r="BL789" s="11"/>
      <c r="BM789" s="11"/>
      <c r="BN789" s="11">
        <v>43</v>
      </c>
      <c r="BO789">
        <v>0</v>
      </c>
      <c r="BP789" t="s">
        <v>691</v>
      </c>
      <c r="BQ789" t="s">
        <v>693</v>
      </c>
      <c r="BR789" t="s">
        <v>700</v>
      </c>
      <c r="BS789" t="s">
        <v>704</v>
      </c>
      <c r="BT789" t="s">
        <v>705</v>
      </c>
      <c r="BU789" t="s">
        <v>706</v>
      </c>
      <c r="CT789"/>
      <c r="CU789"/>
      <c r="CV789"/>
    </row>
  </sheetData>
  <phoneticPr fontId="18" type="noConversion"/>
  <conditionalFormatting sqref="AM1:AM1048576 CJ790:CL1048576 BE1:BG789">
    <cfRule type="cellIs" dxfId="1" priority="1" operator="equal">
      <formula>FALSE</formula>
    </cfRule>
  </conditionalFormatting>
  <dataValidations disablePrompts="1" count="8">
    <dataValidation type="whole" operator="greaterThanOrEqual" allowBlank="1" showInputMessage="1" showErrorMessage="1" sqref="AN2:AN789" xr:uid="{0865EA1E-ABFC-4E01-96F3-8D2EEBA448D0}">
      <formula1>1</formula1>
    </dataValidation>
    <dataValidation type="whole" allowBlank="1" showInputMessage="1" showErrorMessage="1" sqref="AP2:AP789" xr:uid="{D532A972-0628-451A-B00F-CE76775FDF58}">
      <formula1>0</formula1>
      <formula2>1</formula2>
    </dataValidation>
    <dataValidation type="whole" operator="greaterThanOrEqual" allowBlank="1" showInputMessage="1" showErrorMessage="1" sqref="AR2:AR789 AZ2:BA789 BC2:BC789 BL2:BU789" xr:uid="{121BD96A-2DFE-44C0-A710-3DBE00BD35FA}">
      <formula1>0</formula1>
    </dataValidation>
    <dataValidation type="whole" allowBlank="1" showInputMessage="1" showErrorMessage="1" sqref="AS2:AS789" xr:uid="{67EBE282-754C-436F-B481-745FB04717CE}">
      <formula1>1660</formula1>
      <formula2>3000</formula2>
    </dataValidation>
    <dataValidation type="whole" allowBlank="1" showInputMessage="1" showErrorMessage="1" sqref="AT2:AT789" xr:uid="{54690802-1671-499A-B20D-C087BAB93449}">
      <formula1>1</formula1>
      <formula2>20</formula2>
    </dataValidation>
    <dataValidation type="decimal" operator="greaterThanOrEqual" allowBlank="1" showInputMessage="1" showErrorMessage="1" sqref="BD2:BD789" xr:uid="{9E64A5F4-D14E-4661-B9F0-1FF49B580A61}">
      <formula1>0</formula1>
    </dataValidation>
    <dataValidation type="whole" allowBlank="1" showInputMessage="1" showErrorMessage="1" sqref="BH2:BH789" xr:uid="{A0BAD92D-1676-4592-8103-C538B2C29C6C}">
      <formula1>5</formula1>
      <formula2>100</formula2>
    </dataValidation>
    <dataValidation type="list" allowBlank="1" showInputMessage="1" showErrorMessage="1" sqref="CQ790:CU1048576 R790:AM1048576 CJ790:CM1048576 BE2:BG789 I2:AM789" xr:uid="{49A9B598-B8DB-4809-AD01-29B98BDBD5F7}">
      <formula1>"TRUE"</formula1>
    </dataValidation>
  </dataValidations>
  <pageMargins left="0.7" right="0.7" top="0.75" bottom="0.75" header="0.3" footer="0.3"/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InputMessage="1" showErrorMessage="1" xr:uid="{891B0062-7632-4330-B743-85209701F723}">
          <x14:formula1>
            <xm:f>item_validation!$A$2:$A$17</xm:f>
          </x14:formula1>
          <xm:sqref>BE2:BF789</xm:sqref>
        </x14:dataValidation>
        <x14:dataValidation type="list" allowBlank="1" showInputMessage="1" showErrorMessage="1" xr:uid="{5168097A-AA03-41D9-BD83-206ED5178E49}">
          <x14:formula1>
            <xm:f>item_validation!$C$2:$C$3</xm:f>
          </x14:formula1>
          <xm:sqref>BG2:BG789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E416C-E6FD-48CB-8D6D-7327F1A8B383}">
  <dimension ref="A1"/>
  <sheetViews>
    <sheetView workbookViewId="0">
      <selection activeCell="E1" sqref="E1"/>
    </sheetView>
  </sheetViews>
  <sheetFormatPr defaultRowHeight="14.6" x14ac:dyDescent="0.4"/>
  <sheetData>
    <row r="1" spans="1:1" x14ac:dyDescent="0.4">
      <c r="A1" t="s">
        <v>734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BF8D6-9654-44D3-9C19-0FA71FC2FB9A}">
  <dimension ref="A1:C17"/>
  <sheetViews>
    <sheetView workbookViewId="0">
      <selection activeCell="C1" sqref="C1:C3"/>
    </sheetView>
  </sheetViews>
  <sheetFormatPr defaultRowHeight="14.6" x14ac:dyDescent="0.4"/>
  <cols>
    <col min="1" max="1" width="17.765625" bestFit="1" customWidth="1"/>
    <col min="3" max="3" width="17.53515625" customWidth="1"/>
  </cols>
  <sheetData>
    <row r="1" spans="1:3" x14ac:dyDescent="0.4">
      <c r="A1" t="s">
        <v>937</v>
      </c>
      <c r="C1" t="s">
        <v>938</v>
      </c>
    </row>
    <row r="2" spans="1:3" x14ac:dyDescent="0.4">
      <c r="A2" t="s">
        <v>925</v>
      </c>
      <c r="C2" t="s">
        <v>939</v>
      </c>
    </row>
    <row r="3" spans="1:3" x14ac:dyDescent="0.4">
      <c r="A3" t="s">
        <v>934</v>
      </c>
      <c r="C3" t="s">
        <v>940</v>
      </c>
    </row>
    <row r="4" spans="1:3" x14ac:dyDescent="0.4">
      <c r="A4" t="s">
        <v>931</v>
      </c>
    </row>
    <row r="5" spans="1:3" x14ac:dyDescent="0.4">
      <c r="A5" t="s">
        <v>935</v>
      </c>
    </row>
    <row r="6" spans="1:3" x14ac:dyDescent="0.4">
      <c r="A6" t="s">
        <v>930</v>
      </c>
    </row>
    <row r="7" spans="1:3" x14ac:dyDescent="0.4">
      <c r="A7" t="s">
        <v>928</v>
      </c>
    </row>
    <row r="8" spans="1:3" x14ac:dyDescent="0.4">
      <c r="A8" t="s">
        <v>921</v>
      </c>
    </row>
    <row r="9" spans="1:3" x14ac:dyDescent="0.4">
      <c r="A9" t="s">
        <v>927</v>
      </c>
    </row>
    <row r="10" spans="1:3" x14ac:dyDescent="0.4">
      <c r="A10" t="s">
        <v>926</v>
      </c>
    </row>
    <row r="11" spans="1:3" x14ac:dyDescent="0.4">
      <c r="A11" t="s">
        <v>924</v>
      </c>
    </row>
    <row r="12" spans="1:3" x14ac:dyDescent="0.4">
      <c r="A12" t="s">
        <v>932</v>
      </c>
    </row>
    <row r="13" spans="1:3" x14ac:dyDescent="0.4">
      <c r="A13" t="s">
        <v>933</v>
      </c>
    </row>
    <row r="14" spans="1:3" x14ac:dyDescent="0.4">
      <c r="A14" t="s">
        <v>936</v>
      </c>
    </row>
    <row r="15" spans="1:3" x14ac:dyDescent="0.4">
      <c r="A15" t="s">
        <v>929</v>
      </c>
    </row>
    <row r="16" spans="1:3" x14ac:dyDescent="0.4">
      <c r="A16" t="s">
        <v>923</v>
      </c>
    </row>
    <row r="17" spans="1:1" x14ac:dyDescent="0.4">
      <c r="A17" t="s">
        <v>922</v>
      </c>
    </row>
  </sheetData>
  <sortState xmlns:xlrd2="http://schemas.microsoft.com/office/spreadsheetml/2017/richdata2" ref="A2:A17">
    <sortCondition ref="A2:A17"/>
  </sortState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1F7ED-8079-4D93-BFBD-3A9E3A70B837}">
  <dimension ref="A1:D24"/>
  <sheetViews>
    <sheetView workbookViewId="0">
      <selection activeCell="B8" sqref="B8"/>
    </sheetView>
  </sheetViews>
  <sheetFormatPr defaultRowHeight="14.6" x14ac:dyDescent="0.4"/>
  <cols>
    <col min="1" max="1" width="34.07421875" bestFit="1" customWidth="1"/>
    <col min="2" max="2" width="20.921875" bestFit="1" customWidth="1"/>
    <col min="3" max="3" width="12.61328125" style="11" bestFit="1" customWidth="1"/>
    <col min="4" max="4" width="11.765625" style="11" bestFit="1" customWidth="1"/>
  </cols>
  <sheetData>
    <row r="1" spans="1:4" x14ac:dyDescent="0.4">
      <c r="A1" t="s">
        <v>946</v>
      </c>
      <c r="B1" t="s">
        <v>947</v>
      </c>
      <c r="C1" s="11" t="s">
        <v>948</v>
      </c>
      <c r="D1" s="11" t="s">
        <v>949</v>
      </c>
    </row>
    <row r="2" spans="1:4" x14ac:dyDescent="0.4">
      <c r="A2" t="s">
        <v>950</v>
      </c>
      <c r="B2" t="s">
        <v>951</v>
      </c>
      <c r="C2" s="11">
        <v>1000</v>
      </c>
      <c r="D2" s="11">
        <v>1499</v>
      </c>
    </row>
    <row r="3" spans="1:4" x14ac:dyDescent="0.4">
      <c r="A3" t="s">
        <v>953</v>
      </c>
      <c r="B3" t="s">
        <v>952</v>
      </c>
      <c r="C3" s="11">
        <v>2000</v>
      </c>
      <c r="D3" s="11">
        <v>2499</v>
      </c>
    </row>
    <row r="4" spans="1:4" x14ac:dyDescent="0.4">
      <c r="A4" t="s">
        <v>954</v>
      </c>
      <c r="B4" t="s">
        <v>955</v>
      </c>
      <c r="C4" s="11">
        <v>3000</v>
      </c>
      <c r="D4" s="11">
        <v>3499</v>
      </c>
    </row>
    <row r="5" spans="1:4" x14ac:dyDescent="0.4">
      <c r="A5" t="s">
        <v>956</v>
      </c>
      <c r="B5" t="s">
        <v>957</v>
      </c>
      <c r="C5" s="11">
        <v>4000</v>
      </c>
      <c r="D5" s="11">
        <v>4999</v>
      </c>
    </row>
    <row r="6" spans="1:4" x14ac:dyDescent="0.4">
      <c r="A6" t="s">
        <v>958</v>
      </c>
      <c r="B6" t="s">
        <v>959</v>
      </c>
      <c r="C6" s="11">
        <v>5000</v>
      </c>
      <c r="D6" s="11">
        <v>5999</v>
      </c>
    </row>
    <row r="7" spans="1:4" x14ac:dyDescent="0.4">
      <c r="A7" t="s">
        <v>960</v>
      </c>
      <c r="B7" t="s">
        <v>961</v>
      </c>
      <c r="C7" s="11">
        <v>6000</v>
      </c>
      <c r="D7" s="11">
        <v>6999</v>
      </c>
    </row>
    <row r="8" spans="1:4" x14ac:dyDescent="0.4">
      <c r="A8" t="s">
        <v>962</v>
      </c>
      <c r="B8" t="s">
        <v>963</v>
      </c>
      <c r="C8" s="11">
        <v>7000</v>
      </c>
      <c r="D8" s="11">
        <v>7999</v>
      </c>
    </row>
    <row r="9" spans="1:4" x14ac:dyDescent="0.4">
      <c r="A9" t="s">
        <v>964</v>
      </c>
      <c r="B9" t="s">
        <v>965</v>
      </c>
      <c r="C9" s="11">
        <v>8000</v>
      </c>
      <c r="D9" s="11">
        <v>8999</v>
      </c>
    </row>
    <row r="10" spans="1:4" x14ac:dyDescent="0.4">
      <c r="A10" t="s">
        <v>966</v>
      </c>
      <c r="B10" t="s">
        <v>967</v>
      </c>
      <c r="C10" s="11">
        <v>9000</v>
      </c>
      <c r="D10" s="11">
        <v>9999</v>
      </c>
    </row>
    <row r="11" spans="1:4" x14ac:dyDescent="0.4">
      <c r="A11" t="s">
        <v>968</v>
      </c>
      <c r="B11" t="s">
        <v>969</v>
      </c>
      <c r="C11" s="11">
        <v>10000</v>
      </c>
      <c r="D11" s="11">
        <v>10499</v>
      </c>
    </row>
    <row r="12" spans="1:4" x14ac:dyDescent="0.4">
      <c r="A12" t="s">
        <v>970</v>
      </c>
      <c r="B12" t="s">
        <v>971</v>
      </c>
      <c r="C12" s="11">
        <v>11000</v>
      </c>
      <c r="D12" s="11">
        <v>11999</v>
      </c>
    </row>
    <row r="13" spans="1:4" x14ac:dyDescent="0.4">
      <c r="A13" t="s">
        <v>972</v>
      </c>
      <c r="B13" t="s">
        <v>973</v>
      </c>
      <c r="C13" s="11">
        <v>12000</v>
      </c>
      <c r="D13" s="11">
        <v>12999</v>
      </c>
    </row>
    <row r="14" spans="1:4" x14ac:dyDescent="0.4">
      <c r="A14" t="s">
        <v>976</v>
      </c>
      <c r="B14" t="s">
        <v>977</v>
      </c>
      <c r="C14" s="11">
        <v>13000</v>
      </c>
      <c r="D14" s="11">
        <v>13499</v>
      </c>
    </row>
    <row r="15" spans="1:4" x14ac:dyDescent="0.4">
      <c r="A15" t="s">
        <v>988</v>
      </c>
      <c r="B15" t="s">
        <v>992</v>
      </c>
      <c r="C15" s="11">
        <v>13000</v>
      </c>
      <c r="D15" s="11">
        <v>13001</v>
      </c>
    </row>
    <row r="16" spans="1:4" x14ac:dyDescent="0.4">
      <c r="A16" t="s">
        <v>989</v>
      </c>
      <c r="B16" t="s">
        <v>993</v>
      </c>
      <c r="C16" s="11">
        <v>13002</v>
      </c>
      <c r="D16" s="11">
        <v>13003</v>
      </c>
    </row>
    <row r="17" spans="1:4" x14ac:dyDescent="0.4">
      <c r="A17" t="s">
        <v>990</v>
      </c>
      <c r="B17" t="s">
        <v>994</v>
      </c>
      <c r="C17" s="11">
        <v>13004</v>
      </c>
      <c r="D17" s="11">
        <v>13005</v>
      </c>
    </row>
    <row r="18" spans="1:4" x14ac:dyDescent="0.4">
      <c r="A18" t="s">
        <v>991</v>
      </c>
      <c r="B18" t="s">
        <v>995</v>
      </c>
      <c r="C18" s="11">
        <v>13006</v>
      </c>
      <c r="D18" s="11">
        <v>13007</v>
      </c>
    </row>
    <row r="19" spans="1:4" x14ac:dyDescent="0.4">
      <c r="A19" t="s">
        <v>979</v>
      </c>
      <c r="B19" t="s">
        <v>978</v>
      </c>
      <c r="C19" s="11">
        <v>14000</v>
      </c>
      <c r="D19" s="11">
        <v>14499</v>
      </c>
    </row>
    <row r="20" spans="1:4" x14ac:dyDescent="0.4">
      <c r="A20" t="s">
        <v>982</v>
      </c>
      <c r="B20" t="s">
        <v>980</v>
      </c>
      <c r="C20" s="11">
        <v>14500</v>
      </c>
      <c r="D20" s="11">
        <v>14999</v>
      </c>
    </row>
    <row r="21" spans="1:4" x14ac:dyDescent="0.4">
      <c r="A21" t="s">
        <v>987</v>
      </c>
      <c r="B21" t="s">
        <v>981</v>
      </c>
      <c r="C21" s="11">
        <v>15000</v>
      </c>
      <c r="D21" s="11">
        <v>15499</v>
      </c>
    </row>
    <row r="22" spans="1:4" x14ac:dyDescent="0.4">
      <c r="A22" t="s">
        <v>983</v>
      </c>
      <c r="B22" t="s">
        <v>984</v>
      </c>
      <c r="C22" s="11">
        <v>15500</v>
      </c>
      <c r="D22" s="11">
        <v>15999</v>
      </c>
    </row>
    <row r="23" spans="1:4" x14ac:dyDescent="0.4">
      <c r="A23" t="s">
        <v>985</v>
      </c>
      <c r="B23" t="s">
        <v>986</v>
      </c>
      <c r="C23" s="11">
        <v>16000</v>
      </c>
      <c r="D23" s="11">
        <v>16499</v>
      </c>
    </row>
    <row r="24" spans="1:4" x14ac:dyDescent="0.4">
      <c r="A24" t="s">
        <v>974</v>
      </c>
      <c r="B24" t="s">
        <v>975</v>
      </c>
      <c r="C24" s="11">
        <v>18000</v>
      </c>
      <c r="D24" s="11">
        <v>18999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properties</vt:lpstr>
      <vt:lpstr>copyright_text</vt:lpstr>
      <vt:lpstr>item_validation</vt:lpstr>
      <vt:lpstr>vehicle_id_ranges</vt:lpstr>
      <vt:lpstr>VALID_REGIONS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Viktor Nemeth</dc:creator>
  <cp:lastModifiedBy>Viktor Nemeth</cp:lastModifiedBy>
  <dcterms:created xsi:type="dcterms:W3CDTF">2026-03-23T08:39:03Z</dcterms:created>
  <dcterms:modified xsi:type="dcterms:W3CDTF">2026-03-24T14:32:07Z</dcterms:modified>
</cp:coreProperties>
</file>