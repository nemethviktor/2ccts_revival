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F9B74C1-E8D2-4948-9ED4-A0E9FAA83E07}" xr6:coauthVersionLast="47" xr6:coauthVersionMax="47" xr10:uidLastSave="{00000000-0000-0000-0000-000000000000}"/>
  <bookViews>
    <workbookView xWindow="-103" yWindow="-103" windowWidth="22149" windowHeight="13320" xr2:uid="{CD617D9B-F36C-46EF-BCBA-53A7DDA5DBDF}"/>
  </bookViews>
  <sheets>
    <sheet name="properties" sheetId="1" r:id="rId1"/>
    <sheet name="copyright_text" sheetId="6" r:id="rId2"/>
    <sheet name="item_validation" sheetId="7" r:id="rId3"/>
  </sheets>
  <definedNames>
    <definedName name="VALID_REGIONS">Table3[VALID_REGIONS]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E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305" i="1"/>
  <c r="BE306" i="1"/>
  <c r="BE307" i="1"/>
  <c r="BE308" i="1"/>
  <c r="BE309" i="1"/>
  <c r="BE310" i="1"/>
  <c r="BE311" i="1"/>
  <c r="BE312" i="1"/>
  <c r="BE313" i="1"/>
  <c r="BE314" i="1"/>
  <c r="BE315" i="1"/>
  <c r="BE316" i="1"/>
  <c r="BE317" i="1"/>
  <c r="BE318" i="1"/>
  <c r="BE319" i="1"/>
  <c r="BE320" i="1"/>
  <c r="BE321" i="1"/>
  <c r="BE322" i="1"/>
  <c r="BE323" i="1"/>
  <c r="BE324" i="1"/>
  <c r="BE325" i="1"/>
  <c r="BE326" i="1"/>
  <c r="BE327" i="1"/>
  <c r="BE328" i="1"/>
  <c r="BE329" i="1"/>
  <c r="BE330" i="1"/>
  <c r="BE331" i="1"/>
  <c r="BE332" i="1"/>
  <c r="BE333" i="1"/>
  <c r="BE334" i="1"/>
  <c r="BE335" i="1"/>
  <c r="BE336" i="1"/>
  <c r="BE337" i="1"/>
  <c r="BE338" i="1"/>
  <c r="BE339" i="1"/>
  <c r="BE340" i="1"/>
  <c r="BE341" i="1"/>
  <c r="BE342" i="1"/>
  <c r="BE343" i="1"/>
  <c r="BE344" i="1"/>
  <c r="BE345" i="1"/>
  <c r="BE346" i="1"/>
  <c r="BE347" i="1"/>
  <c r="BE348" i="1"/>
  <c r="BE349" i="1"/>
  <c r="BE350" i="1"/>
  <c r="BE351" i="1"/>
  <c r="BE352" i="1"/>
  <c r="BE353" i="1"/>
  <c r="BE354" i="1"/>
  <c r="BE355" i="1"/>
  <c r="BE356" i="1"/>
  <c r="BE357" i="1"/>
  <c r="BE358" i="1"/>
  <c r="BE359" i="1"/>
  <c r="BE360" i="1"/>
  <c r="BE361" i="1"/>
  <c r="BE362" i="1"/>
  <c r="BE363" i="1"/>
  <c r="BE364" i="1"/>
  <c r="BE365" i="1"/>
  <c r="BE366" i="1"/>
  <c r="BE367" i="1"/>
  <c r="BE368" i="1"/>
  <c r="BE369" i="1"/>
  <c r="BE370" i="1"/>
  <c r="BE371" i="1"/>
  <c r="BE372" i="1"/>
  <c r="BE373" i="1"/>
  <c r="BE374" i="1"/>
  <c r="BE375" i="1"/>
  <c r="BE376" i="1"/>
  <c r="BE377" i="1"/>
  <c r="BE378" i="1"/>
  <c r="BE379" i="1"/>
  <c r="BE380" i="1"/>
  <c r="BE381" i="1"/>
  <c r="BE382" i="1"/>
  <c r="BE383" i="1"/>
  <c r="BE384" i="1"/>
  <c r="BE385" i="1"/>
  <c r="BE386" i="1"/>
  <c r="BE387" i="1"/>
  <c r="BE388" i="1"/>
  <c r="BE389" i="1"/>
  <c r="BE390" i="1"/>
  <c r="BE391" i="1"/>
  <c r="BE392" i="1"/>
  <c r="BE393" i="1"/>
  <c r="BE394" i="1"/>
  <c r="BE395" i="1"/>
  <c r="BE396" i="1"/>
  <c r="BE397" i="1"/>
  <c r="BE398" i="1"/>
  <c r="BE399" i="1"/>
  <c r="BE400" i="1"/>
  <c r="BE401" i="1"/>
  <c r="BE402" i="1"/>
  <c r="BE403" i="1"/>
  <c r="BE404" i="1"/>
  <c r="BE405" i="1"/>
  <c r="BE406" i="1"/>
  <c r="BE407" i="1"/>
  <c r="BE408" i="1"/>
  <c r="BE409" i="1"/>
  <c r="BE410" i="1"/>
  <c r="BE411" i="1"/>
  <c r="BE412" i="1"/>
  <c r="BE413" i="1"/>
  <c r="BE414" i="1"/>
  <c r="BE415" i="1"/>
  <c r="BE416" i="1"/>
  <c r="BE417" i="1"/>
  <c r="BE418" i="1"/>
  <c r="BE419" i="1"/>
  <c r="BE420" i="1"/>
  <c r="BE421" i="1"/>
  <c r="BE422" i="1"/>
  <c r="BE423" i="1"/>
  <c r="BE424" i="1"/>
  <c r="BE425" i="1"/>
  <c r="BE426" i="1"/>
  <c r="BE427" i="1"/>
  <c r="BE428" i="1"/>
  <c r="BE429" i="1"/>
  <c r="BE430" i="1"/>
  <c r="BE431" i="1"/>
  <c r="BE432" i="1"/>
  <c r="BE433" i="1"/>
  <c r="BE434" i="1"/>
  <c r="BE435" i="1"/>
  <c r="BE436" i="1"/>
  <c r="BE437" i="1"/>
  <c r="BE438" i="1"/>
  <c r="BE439" i="1"/>
  <c r="BE440" i="1"/>
  <c r="BE441" i="1"/>
  <c r="BE442" i="1"/>
  <c r="BE443" i="1"/>
  <c r="BE444" i="1"/>
  <c r="BE445" i="1"/>
  <c r="BE446" i="1"/>
  <c r="BE447" i="1"/>
  <c r="BE448" i="1"/>
  <c r="BE449" i="1"/>
  <c r="BE450" i="1"/>
  <c r="BE451" i="1"/>
  <c r="BE452" i="1"/>
  <c r="BE453" i="1"/>
  <c r="BE454" i="1"/>
  <c r="BE455" i="1"/>
  <c r="BE456" i="1"/>
  <c r="BE457" i="1"/>
  <c r="BE458" i="1"/>
  <c r="BE459" i="1"/>
  <c r="BE460" i="1"/>
  <c r="BE461" i="1"/>
  <c r="BE462" i="1"/>
  <c r="BE463" i="1"/>
  <c r="BE464" i="1"/>
  <c r="BE465" i="1"/>
  <c r="BE466" i="1"/>
  <c r="BE467" i="1"/>
  <c r="BE468" i="1"/>
  <c r="BE469" i="1"/>
  <c r="BE470" i="1"/>
  <c r="BE471" i="1"/>
  <c r="BE472" i="1"/>
  <c r="BE473" i="1"/>
  <c r="BE474" i="1"/>
  <c r="BE475" i="1"/>
  <c r="BE476" i="1"/>
  <c r="BE477" i="1"/>
  <c r="BE478" i="1"/>
  <c r="BE479" i="1"/>
  <c r="BE480" i="1"/>
  <c r="BE481" i="1"/>
  <c r="BE482" i="1"/>
  <c r="BE483" i="1"/>
  <c r="BE484" i="1"/>
  <c r="BE485" i="1"/>
  <c r="BE486" i="1"/>
  <c r="BE487" i="1"/>
  <c r="BE488" i="1"/>
  <c r="BE489" i="1"/>
  <c r="BE490" i="1"/>
  <c r="BE491" i="1"/>
  <c r="BE492" i="1"/>
  <c r="BE493" i="1"/>
  <c r="BE494" i="1"/>
  <c r="BE495" i="1"/>
  <c r="BE496" i="1"/>
  <c r="BE497" i="1"/>
  <c r="BE498" i="1"/>
  <c r="BE499" i="1"/>
  <c r="BE500" i="1"/>
  <c r="BE501" i="1"/>
  <c r="BE502" i="1"/>
  <c r="BE503" i="1"/>
  <c r="BE504" i="1"/>
  <c r="BE505" i="1"/>
  <c r="BE506" i="1"/>
  <c r="BE507" i="1"/>
  <c r="BE508" i="1"/>
  <c r="BE509" i="1"/>
  <c r="BE510" i="1"/>
  <c r="BE511" i="1"/>
  <c r="BE512" i="1"/>
  <c r="BE513" i="1"/>
  <c r="BE514" i="1"/>
  <c r="BE515" i="1"/>
  <c r="BE516" i="1"/>
  <c r="BE517" i="1"/>
  <c r="BE518" i="1"/>
  <c r="BE519" i="1"/>
  <c r="BE520" i="1"/>
  <c r="BE521" i="1"/>
  <c r="BE522" i="1"/>
  <c r="BE523" i="1"/>
  <c r="BE524" i="1"/>
  <c r="BE525" i="1"/>
  <c r="BE526" i="1"/>
  <c r="BE527" i="1"/>
  <c r="BE528" i="1"/>
  <c r="BE529" i="1"/>
  <c r="BE530" i="1"/>
  <c r="BE531" i="1"/>
  <c r="BE532" i="1"/>
  <c r="BE533" i="1"/>
  <c r="BE534" i="1"/>
  <c r="BE535" i="1"/>
  <c r="BE536" i="1"/>
  <c r="BE537" i="1"/>
  <c r="BE538" i="1"/>
  <c r="BE539" i="1"/>
  <c r="BE540" i="1"/>
  <c r="BE541" i="1"/>
  <c r="BE542" i="1"/>
  <c r="BE543" i="1"/>
  <c r="BE544" i="1"/>
  <c r="BE545" i="1"/>
  <c r="BE546" i="1"/>
  <c r="BE547" i="1"/>
  <c r="BE548" i="1"/>
  <c r="BE549" i="1"/>
  <c r="BE550" i="1"/>
  <c r="BE551" i="1"/>
  <c r="BE552" i="1"/>
  <c r="BE553" i="1"/>
  <c r="BE554" i="1"/>
  <c r="BE555" i="1"/>
  <c r="BE556" i="1"/>
  <c r="BE557" i="1"/>
  <c r="BE558" i="1"/>
  <c r="BE559" i="1"/>
  <c r="BE560" i="1"/>
  <c r="BE561" i="1"/>
  <c r="BE562" i="1"/>
  <c r="BE563" i="1"/>
  <c r="BE564" i="1"/>
  <c r="BE565" i="1"/>
  <c r="BE566" i="1"/>
  <c r="BE567" i="1"/>
  <c r="BE568" i="1"/>
  <c r="BE569" i="1"/>
  <c r="BE570" i="1"/>
  <c r="BE571" i="1"/>
  <c r="BE572" i="1"/>
  <c r="BE573" i="1"/>
  <c r="BE574" i="1"/>
  <c r="BE575" i="1"/>
  <c r="BE576" i="1"/>
  <c r="BE577" i="1"/>
  <c r="BE578" i="1"/>
  <c r="BE579" i="1"/>
  <c r="BE580" i="1"/>
  <c r="BE581" i="1"/>
  <c r="BE582" i="1"/>
  <c r="BE583" i="1"/>
  <c r="BE584" i="1"/>
  <c r="BE585" i="1"/>
  <c r="BE586" i="1"/>
  <c r="BE587" i="1"/>
  <c r="BE588" i="1"/>
  <c r="BE589" i="1"/>
  <c r="BE590" i="1"/>
  <c r="BE591" i="1"/>
  <c r="BE592" i="1"/>
  <c r="BE593" i="1"/>
  <c r="BE594" i="1"/>
  <c r="BE595" i="1"/>
  <c r="BE596" i="1"/>
  <c r="BE597" i="1"/>
  <c r="BE598" i="1"/>
  <c r="BE599" i="1"/>
  <c r="BE600" i="1"/>
  <c r="BE601" i="1"/>
  <c r="BE602" i="1"/>
  <c r="BE603" i="1"/>
  <c r="BE604" i="1"/>
  <c r="BE605" i="1"/>
  <c r="BE606" i="1"/>
  <c r="BE607" i="1"/>
  <c r="BE608" i="1"/>
  <c r="BE609" i="1"/>
  <c r="BE610" i="1"/>
  <c r="BE611" i="1"/>
  <c r="BE612" i="1"/>
  <c r="BE613" i="1"/>
  <c r="BE614" i="1"/>
  <c r="BE615" i="1"/>
  <c r="BE616" i="1"/>
  <c r="BE617" i="1"/>
  <c r="BE618" i="1"/>
  <c r="BE619" i="1"/>
  <c r="BE620" i="1"/>
  <c r="BE621" i="1"/>
  <c r="BE622" i="1"/>
  <c r="BE623" i="1"/>
  <c r="BE624" i="1"/>
  <c r="BE625" i="1"/>
  <c r="BE626" i="1"/>
  <c r="BE627" i="1"/>
  <c r="BE628" i="1"/>
  <c r="BE629" i="1"/>
  <c r="BE630" i="1"/>
  <c r="BE631" i="1"/>
  <c r="BE632" i="1"/>
  <c r="BE633" i="1"/>
  <c r="BE634" i="1"/>
  <c r="BE635" i="1"/>
  <c r="BE636" i="1"/>
  <c r="BE637" i="1"/>
  <c r="BE638" i="1"/>
  <c r="BE639" i="1"/>
  <c r="BE640" i="1"/>
  <c r="BE641" i="1"/>
  <c r="BE642" i="1"/>
  <c r="BE643" i="1"/>
  <c r="BE644" i="1"/>
  <c r="BE645" i="1"/>
  <c r="BE646" i="1"/>
  <c r="BE647" i="1"/>
  <c r="BE648" i="1"/>
  <c r="BE649" i="1"/>
  <c r="BE650" i="1"/>
  <c r="BE651" i="1"/>
  <c r="BE652" i="1"/>
  <c r="BE653" i="1"/>
  <c r="BE654" i="1"/>
  <c r="BE655" i="1"/>
  <c r="BE656" i="1"/>
  <c r="BE657" i="1"/>
  <c r="BE658" i="1"/>
  <c r="BE659" i="1"/>
  <c r="BE660" i="1"/>
  <c r="BE661" i="1"/>
  <c r="BE662" i="1"/>
  <c r="BE663" i="1"/>
  <c r="BE664" i="1"/>
  <c r="BE665" i="1"/>
  <c r="BE666" i="1"/>
  <c r="BE667" i="1"/>
  <c r="BE668" i="1"/>
  <c r="BE669" i="1"/>
  <c r="BE670" i="1"/>
  <c r="BE671" i="1"/>
  <c r="BE672" i="1"/>
  <c r="BE673" i="1"/>
  <c r="BE674" i="1"/>
  <c r="BE675" i="1"/>
  <c r="BE676" i="1"/>
  <c r="BE677" i="1"/>
  <c r="BE678" i="1"/>
  <c r="BE679" i="1"/>
  <c r="BE680" i="1"/>
  <c r="BE681" i="1"/>
  <c r="BE682" i="1"/>
  <c r="BE683" i="1"/>
  <c r="BE684" i="1"/>
  <c r="BE685" i="1"/>
  <c r="BE686" i="1"/>
  <c r="BE687" i="1"/>
  <c r="BE688" i="1"/>
  <c r="BE689" i="1"/>
  <c r="BE690" i="1"/>
  <c r="BE691" i="1"/>
  <c r="BE692" i="1"/>
  <c r="BE693" i="1"/>
  <c r="BE694" i="1"/>
  <c r="BE695" i="1"/>
  <c r="BE696" i="1"/>
  <c r="BE697" i="1"/>
  <c r="BE698" i="1"/>
  <c r="BE699" i="1"/>
  <c r="BE700" i="1"/>
  <c r="BE701" i="1"/>
  <c r="BE702" i="1"/>
  <c r="BE703" i="1"/>
  <c r="BE704" i="1"/>
  <c r="BE705" i="1"/>
  <c r="BE706" i="1"/>
  <c r="BE707" i="1"/>
  <c r="BE708" i="1"/>
  <c r="BE709" i="1"/>
  <c r="BE710" i="1"/>
  <c r="BE711" i="1"/>
  <c r="BE712" i="1"/>
  <c r="BE713" i="1"/>
  <c r="BE714" i="1"/>
  <c r="BE715" i="1"/>
  <c r="BE716" i="1"/>
  <c r="BE717" i="1"/>
  <c r="BE718" i="1"/>
  <c r="BE719" i="1"/>
  <c r="BE720" i="1"/>
  <c r="BE721" i="1"/>
  <c r="BE722" i="1"/>
  <c r="BE723" i="1"/>
  <c r="BE724" i="1"/>
  <c r="BE725" i="1"/>
  <c r="BE726" i="1"/>
  <c r="BE727" i="1"/>
  <c r="BE728" i="1"/>
  <c r="BE729" i="1"/>
  <c r="BE730" i="1"/>
  <c r="BE731" i="1"/>
  <c r="BE732" i="1"/>
  <c r="BE733" i="1"/>
  <c r="BE734" i="1"/>
  <c r="BE735" i="1"/>
  <c r="BE736" i="1"/>
  <c r="BE737" i="1"/>
  <c r="BE738" i="1"/>
  <c r="BE739" i="1"/>
  <c r="BE740" i="1"/>
  <c r="BE741" i="1"/>
  <c r="BE742" i="1"/>
  <c r="BE743" i="1"/>
  <c r="BE744" i="1"/>
  <c r="BE745" i="1"/>
  <c r="BE746" i="1"/>
  <c r="BE747" i="1"/>
  <c r="BE748" i="1"/>
  <c r="BE749" i="1"/>
  <c r="BE750" i="1"/>
  <c r="BE751" i="1"/>
  <c r="BE752" i="1"/>
  <c r="BE753" i="1"/>
  <c r="BE754" i="1"/>
  <c r="BE755" i="1"/>
  <c r="BE756" i="1"/>
  <c r="BE757" i="1"/>
  <c r="BE758" i="1"/>
  <c r="BE759" i="1"/>
  <c r="BE760" i="1"/>
  <c r="BE761" i="1"/>
  <c r="BE762" i="1"/>
  <c r="BE763" i="1"/>
  <c r="BE764" i="1"/>
  <c r="BE765" i="1"/>
  <c r="BE766" i="1"/>
  <c r="BE767" i="1"/>
  <c r="BE768" i="1"/>
  <c r="BE769" i="1"/>
  <c r="BE770" i="1"/>
  <c r="BE771" i="1"/>
  <c r="BE772" i="1"/>
  <c r="BE773" i="1"/>
  <c r="BE774" i="1"/>
  <c r="BE775" i="1"/>
  <c r="BE776" i="1"/>
  <c r="BE777" i="1"/>
  <c r="BE778" i="1"/>
  <c r="BE779" i="1"/>
  <c r="BE780" i="1"/>
  <c r="BE781" i="1"/>
  <c r="BE782" i="1"/>
  <c r="BE783" i="1"/>
  <c r="BE784" i="1"/>
  <c r="BE785" i="1"/>
  <c r="BE786" i="1"/>
  <c r="BE787" i="1"/>
  <c r="BE788" i="1"/>
  <c r="BE789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E1" authorId="0" shapeId="0" xr:uid="{8785470B-FD28-4E66-B6F1-A3B34BC5FF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BF1" authorId="0" shapeId="0" xr:uid="{FECE53BE-C316-422F-9608-E274093235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BG1" authorId="0" shapeId="0" xr:uid="{7A411C55-683B-4655-9D36-4D7822702C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  <comment ref="BK1" authorId="0" shapeId="0" xr:uid="{A81E49DC-98FD-45FE-A373-9F9CD730E0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BL1" authorId="0" shapeId="0" xr:uid="{3A9AC68E-B201-4D93-A054-C63DD692E7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DEFAULT_BITMASK</t>
        </r>
      </text>
    </comment>
    <comment ref="BM1" authorId="0" shapeId="0" xr:uid="{573171C9-8E04-4D0D-8CDC-728B361D78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DEFAULT_CARGO_AGE_PERIOD</t>
        </r>
      </text>
    </comment>
    <comment ref="BN1" authorId="0" shapeId="0" xr:uid="{89F39150-9204-4FF1-A31B-DB7B70750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DEFAULT_POWER_PER_WAGON</t>
        </r>
      </text>
    </comment>
    <comment ref="BO1" authorId="0" shapeId="0" xr:uid="{32AF02B4-9DBC-4BEF-A065-3320EFC5DE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DEFAULT_REFIT_COST</t>
        </r>
      </text>
    </comment>
    <comment ref="BP1" authorId="0" shapeId="0" xr:uid="{5FF6C129-29ED-45B9-87AE-85B70E2621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DEFAULT_RELIABILITY_DECAY</t>
        </r>
      </text>
    </comment>
    <comment ref="BQ1" authorId="0" shapeId="0" xr:uid="{C1BE089A-DB3E-4B36-8AD3-944B04E594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DEFAULT_RETIRE_EARLY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<sst xmlns="http://schemas.openxmlformats.org/spreadsheetml/2006/main" count="12866" uniqueCount="943">
  <si>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</si>
  <si>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</si>
  <si>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</si>
  <si>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</si>
  <si>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</si>
  <si>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</si>
  <si>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</si>
  <si>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</si>
  <si>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</si>
  <si>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</si>
  <si>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</si>
  <si>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</si>
  <si>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</si>
  <si>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</si>
  <si>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</si>
  <si>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</si>
  <si>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</si>
  <si>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</si>
  <si>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</si>
  <si>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</si>
  <si>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</si>
  <si>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</si>
  <si>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</si>
  <si>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</si>
  <si>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</si>
  <si>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</si>
  <si>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</si>
  <si>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</si>
  <si>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</si>
  <si>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</si>
  <si>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</si>
  <si>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</si>
  <si>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</si>
  <si>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</si>
  <si>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</si>
  <si>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</si>
  <si>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</si>
  <si>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</si>
  <si>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</si>
  <si>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</si>
  <si>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</si>
  <si>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</si>
  <si>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</si>
  <si>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</si>
  <si>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</si>
  <si>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</si>
  <si>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</si>
  <si>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</si>
  <si>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</si>
  <si>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</si>
  <si>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</si>
  <si>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</si>
  <si>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</si>
  <si>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</si>
  <si>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</si>
  <si>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</si>
  <si>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</si>
  <si>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</si>
  <si>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</si>
  <si>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</si>
  <si>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</si>
  <si>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</si>
  <si>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</si>
  <si>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</si>
  <si>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</si>
  <si>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</si>
  <si>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</si>
  <si>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</si>
  <si>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</si>
  <si>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</si>
  <si>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</si>
  <si>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</si>
  <si>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</si>
  <si>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</si>
  <si>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</si>
  <si>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</si>
  <si>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</si>
  <si>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</si>
  <si>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</si>
  <si>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</si>
  <si>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</si>
  <si>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</si>
  <si>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</si>
  <si>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</si>
  <si>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</si>
  <si>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</si>
  <si>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</si>
  <si>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</si>
  <si>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</si>
  <si>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</si>
  <si>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</si>
  <si>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</si>
  <si>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</si>
  <si>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</si>
  <si>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</si>
  <si>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</si>
  <si>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</si>
  <si>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</si>
  <si>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</si>
  <si>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</si>
  <si>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</si>
  <si>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</si>
  <si>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</si>
  <si>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</si>
  <si>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</si>
  <si>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</si>
  <si>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</si>
  <si>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</si>
  <si>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</si>
  <si>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</si>
  <si>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</si>
  <si>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</si>
  <si>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</si>
  <si>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</si>
  <si>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</si>
  <si>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</si>
  <si>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</si>
  <si>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</si>
  <si>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</si>
  <si>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</si>
  <si>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</si>
  <si>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</si>
  <si>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</si>
  <si>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</si>
  <si>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</si>
  <si>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</si>
  <si>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</si>
  <si>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</si>
  <si>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</si>
  <si>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</si>
  <si>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</si>
  <si>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</si>
  <si>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</si>
  <si>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</si>
  <si>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</si>
  <si>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</si>
  <si>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</si>
  <si>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</si>
  <si>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</si>
  <si>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</si>
  <si>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</si>
  <si>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</si>
  <si>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</si>
  <si>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</si>
  <si>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</si>
  <si>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</si>
  <si>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</si>
  <si>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</si>
  <si>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</si>
  <si>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</si>
  <si>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</si>
  <si>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</si>
  <si>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</si>
  <si>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</si>
  <si>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</si>
  <si>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</si>
  <si>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</si>
  <si>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</si>
  <si>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</si>
  <si>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</si>
  <si>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</si>
  <si>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</si>
  <si>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</si>
  <si>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</si>
  <si>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</si>
  <si>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</si>
  <si>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</si>
  <si>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</si>
  <si>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</si>
  <si>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</si>
  <si>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</si>
  <si>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</si>
  <si>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</si>
  <si>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</si>
  <si>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</si>
  <si>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</si>
  <si>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</si>
  <si>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</si>
  <si>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</si>
  <si>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</si>
  <si>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</si>
  <si>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</si>
  <si>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</si>
  <si>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</si>
  <si>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</si>
  <si>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</si>
  <si>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</si>
  <si>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</si>
  <si>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</si>
  <si>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</si>
  <si>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</si>
  <si>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</si>
  <si>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</si>
  <si>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</si>
  <si>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</si>
  <si>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</si>
  <si>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</si>
  <si>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</si>
  <si>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</si>
  <si>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</si>
  <si>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</si>
  <si>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</si>
  <si>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</si>
  <si>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</si>
  <si>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</si>
  <si>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</si>
  <si>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</si>
  <si>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</si>
  <si>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</si>
  <si>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</si>
  <si>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</si>
  <si>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</si>
  <si>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</si>
  <si>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</si>
  <si>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</si>
  <si>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</si>
  <si>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</si>
  <si>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</si>
  <si>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</si>
  <si>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</si>
  <si>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</si>
  <si>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</si>
  <si>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</si>
  <si>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</si>
  <si>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</si>
  <si>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</si>
  <si>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</si>
  <si>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</si>
  <si>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</si>
  <si>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</si>
  <si>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</si>
  <si>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</si>
  <si>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</si>
  <si>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</si>
  <si>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</si>
  <si>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</si>
  <si>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</si>
  <si>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</si>
  <si>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</si>
  <si>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diesel_USA_Amtrack_SDP_40F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</si>
  <si>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</si>
  <si>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</si>
  <si>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</si>
  <si>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</si>
  <si>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</si>
  <si>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</si>
  <si>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</si>
  <si>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</si>
  <si>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</si>
  <si>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</si>
  <si>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</si>
  <si>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</si>
  <si>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</si>
  <si>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</si>
  <si>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</si>
  <si>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</si>
  <si>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</si>
  <si>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</si>
  <si>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</si>
  <si>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</si>
  <si>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</si>
  <si>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</si>
  <si>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</si>
  <si>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</si>
  <si>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</si>
  <si>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</si>
  <si>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</si>
  <si>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</si>
  <si>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</si>
  <si>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</si>
  <si>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</si>
  <si>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</si>
  <si>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</si>
  <si>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</si>
  <si>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</si>
  <si>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</si>
  <si>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</si>
  <si>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</si>
  <si>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</si>
  <si>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</si>
  <si>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</si>
  <si>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</si>
  <si>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</si>
  <si>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</si>
  <si>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</si>
  <si>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</si>
  <si>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</si>
  <si>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</si>
  <si>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</si>
  <si>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</si>
  <si>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</si>
  <si>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</si>
  <si>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</si>
  <si>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</si>
  <si>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</si>
  <si>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</si>
  <si>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</si>
  <si>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</si>
  <si>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</si>
  <si>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</si>
  <si>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</si>
  <si>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</si>
  <si>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</si>
  <si>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</si>
  <si>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</si>
  <si>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</si>
  <si>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</si>
  <si>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</si>
  <si>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</si>
  <si>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</si>
  <si>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</si>
  <si>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</si>
  <si>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</si>
  <si>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</si>
  <si>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</si>
  <si>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</si>
  <si>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</si>
  <si>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</si>
  <si>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</si>
  <si>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</si>
  <si>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</si>
  <si>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</si>
  <si>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</si>
  <si>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</si>
  <si>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</si>
  <si>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</si>
  <si>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</si>
  <si>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</si>
  <si>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</si>
  <si>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</si>
  <si>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</si>
  <si>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</si>
  <si>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</si>
  <si>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</si>
  <si>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</si>
  <si>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</si>
  <si>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</si>
  <si>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</si>
  <si>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</si>
  <si>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</si>
  <si>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</si>
  <si>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</si>
  <si>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</si>
  <si>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</si>
  <si>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</si>
  <si>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</si>
  <si>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</si>
  <si>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</si>
  <si>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</si>
  <si>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</si>
  <si>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</si>
  <si>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</si>
  <si>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</si>
  <si>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</si>
  <si>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</si>
  <si>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</si>
  <si>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</si>
  <si>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</si>
  <si>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</si>
  <si>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</si>
  <si>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</si>
  <si>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</si>
  <si>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</si>
  <si>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</si>
  <si>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</si>
  <si>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</si>
  <si>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</si>
  <si>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</si>
  <si>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</si>
  <si>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</si>
  <si>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</si>
  <si>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</si>
  <si>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</si>
  <si>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</si>
  <si>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</si>
  <si>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</si>
  <si>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</si>
  <si>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</si>
  <si>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</si>
  <si>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</si>
  <si>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</si>
  <si>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</si>
  <si>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</si>
  <si>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</si>
  <si>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</si>
  <si>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</si>
  <si>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</si>
  <si>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</si>
  <si>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</si>
  <si>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</si>
  <si>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</si>
  <si>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</si>
  <si>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</si>
  <si>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</si>
  <si>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</si>
  <si>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</si>
  <si>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</si>
  <si>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</si>
  <si>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</si>
  <si>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</si>
  <si>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</si>
  <si>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</si>
  <si>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</si>
  <si>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</si>
  <si>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</si>
  <si>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</si>
  <si>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</si>
  <si>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</si>
  <si>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</si>
  <si>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</si>
  <si>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</si>
  <si>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</si>
  <si>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</si>
  <si>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</si>
  <si>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</si>
  <si>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</si>
  <si>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</si>
  <si>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</si>
  <si>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</si>
  <si>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</si>
  <si>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</si>
  <si>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</si>
  <si>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</si>
  <si>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</si>
  <si>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</si>
  <si>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</si>
  <si>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</si>
  <si>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</si>
  <si>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</si>
  <si>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</si>
  <si>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</si>
  <si>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</si>
  <si>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</si>
  <si>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</si>
  <si>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</si>
  <si>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</si>
  <si>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</si>
  <si>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</si>
  <si>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</si>
  <si>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</si>
  <si>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</si>
  <si>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</si>
  <si>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</si>
  <si>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</si>
  <si>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</si>
  <si>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</si>
  <si>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</si>
  <si>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</si>
  <si>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</si>
  <si>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</si>
  <si>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</si>
  <si>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</si>
  <si>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</si>
  <si>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</si>
  <si>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</si>
  <si>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</si>
  <si>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</si>
  <si>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</si>
  <si>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</si>
  <si>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</si>
  <si>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</si>
  <si>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</si>
  <si>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</si>
  <si>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</si>
  <si>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</si>
  <si>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</si>
  <si>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</si>
  <si>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</si>
  <si>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</si>
  <si>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</si>
  <si>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</si>
  <si>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</si>
  <si>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</si>
  <si>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</si>
  <si>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</si>
  <si>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</si>
  <si>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</si>
  <si>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</si>
  <si>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</si>
  <si>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</si>
  <si>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</si>
  <si>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</si>
  <si>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</si>
  <si>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</si>
  <si>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</si>
  <si>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</si>
  <si>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</si>
  <si>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</si>
  <si>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</si>
  <si>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</si>
  <si>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</si>
  <si>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</si>
  <si>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</si>
  <si>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</si>
  <si>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</si>
  <si>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</si>
  <si>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</si>
  <si>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</si>
  <si>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</si>
  <si>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</si>
  <si>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</si>
  <si>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</si>
  <si>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</si>
  <si>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</si>
  <si>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</si>
  <si>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</si>
  <si>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</si>
  <si>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</si>
  <si>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</si>
  <si>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</si>
  <si>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</si>
  <si>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</si>
  <si>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</si>
  <si>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</si>
  <si>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</si>
  <si>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</si>
  <si>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</si>
  <si>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</si>
  <si>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</si>
  <si>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</si>
  <si>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</si>
  <si>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</si>
  <si>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</si>
  <si>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</si>
  <si>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</si>
  <si>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</si>
  <si>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</si>
  <si>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</si>
  <si>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</si>
  <si>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</si>
  <si>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</si>
  <si>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</si>
  <si>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</si>
  <si>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</si>
  <si>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</si>
  <si>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</si>
  <si>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</si>
  <si>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</si>
  <si>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</si>
  <si>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</si>
  <si>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</si>
  <si>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</si>
  <si>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</si>
  <si>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</si>
  <si>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</si>
  <si>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</si>
  <si>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</si>
  <si>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</si>
  <si>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</si>
  <si>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</si>
  <si>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</si>
  <si>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</si>
  <si>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</si>
  <si>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</si>
  <si>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</si>
  <si>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</si>
  <si>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</si>
  <si>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</si>
  <si>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</si>
  <si>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</si>
  <si>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</si>
  <si>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</si>
  <si>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</si>
  <si>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</si>
  <si>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</si>
  <si>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</si>
  <si>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</si>
  <si>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</si>
  <si>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</si>
  <si>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</si>
  <si>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</si>
  <si>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</si>
  <si>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</si>
  <si>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</si>
  <si>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</si>
  <si>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</si>
  <si>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</si>
  <si>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</si>
  <si>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</si>
  <si>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</si>
  <si>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</si>
  <si>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</si>
  <si>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</si>
  <si>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</si>
  <si>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</si>
  <si>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</si>
  <si>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</si>
  <si>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</si>
  <si>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</si>
  <si>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</si>
  <si>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</si>
  <si>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</si>
  <si>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</si>
  <si>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</si>
  <si>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</si>
  <si>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</si>
  <si>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</si>
  <si>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</si>
  <si>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</si>
  <si>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</si>
  <si>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</si>
  <si>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</si>
  <si>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</si>
  <si>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</si>
  <si>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</si>
  <si>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</si>
  <si>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</si>
  <si>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</si>
  <si>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</si>
  <si>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</si>
  <si>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</si>
  <si>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</si>
  <si>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</si>
  <si>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</si>
  <si>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</si>
  <si>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</si>
  <si>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</si>
  <si>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</si>
  <si>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</si>
  <si>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</si>
  <si>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</si>
  <si>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</si>
  <si>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</si>
  <si>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</si>
  <si>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</si>
  <si>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</si>
  <si>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</si>
  <si>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</si>
  <si>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</si>
  <si>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</si>
  <si>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</si>
  <si>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</si>
  <si>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</si>
  <si>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</si>
  <si>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</si>
  <si>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</si>
  <si>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</si>
  <si>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</si>
  <si>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</si>
  <si>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</si>
  <si>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</si>
  <si>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</si>
  <si>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</si>
  <si>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</si>
  <si>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</si>
  <si>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</si>
  <si>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</si>
  <si>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</si>
  <si>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</si>
  <si>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</si>
  <si>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</si>
  <si>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</si>
  <si>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</si>
  <si>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</si>
  <si>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</si>
  <si>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</si>
  <si>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</si>
  <si>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</si>
  <si>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</si>
  <si>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</si>
  <si>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</si>
  <si>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</si>
  <si>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</si>
  <si>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</si>
  <si>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</si>
  <si>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</si>
  <si>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</si>
  <si>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</si>
  <si>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</si>
  <si>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</si>
  <si>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</si>
  <si>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</si>
  <si>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</si>
  <si>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</si>
  <si>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</si>
  <si>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</si>
  <si>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</si>
  <si>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</si>
  <si>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</si>
  <si>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TRACK_TYPE_STANDARD_GAUGE_RAILTYPE_1500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</si>
  <si>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</si>
  <si>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</si>
  <si>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</si>
  <si>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</si>
  <si>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</si>
  <si>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</si>
  <si>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</si>
  <si>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</si>
  <si>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</si>
  <si>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</si>
  <si>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</si>
  <si>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</si>
  <si>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</si>
  <si>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DEFAULT_BITMASK</t>
  </si>
  <si>
    <t>CARGO_AGE_PERIOD</t>
  </si>
  <si>
    <t>DEFAULT_CARGO_AGE_PERIOD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</si>
  <si>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</si>
  <si>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</si>
  <si>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</si>
  <si>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</si>
  <si>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</si>
  <si>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</si>
  <si>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DEFAULT_POWER_PER_WAGON</t>
  </si>
  <si>
    <t>REFIT_COST</t>
  </si>
  <si>
    <t>RELIABILITY_DECAY</t>
  </si>
  <si>
    <t>RETIRE_EARLY</t>
  </si>
  <si>
    <t>DEFAULT_REFIT_COST</t>
  </si>
  <si>
    <t>DEFAULT_RELIABILITY_DECAY</t>
  </si>
  <si>
    <t>DEFAULT_RETIRE_EARLY</t>
  </si>
  <si>
    <t>RUNNING_COST_BASE</t>
  </si>
  <si>
    <t>RUNNING_COST_ELECTRIC</t>
  </si>
  <si>
    <t>RUNNING_COST_STEAM</t>
  </si>
  <si>
    <t>RUNNING_COST_DIESEL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</si>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</sst>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3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able1" displayName="Table1" ref="A1:BQ789" totalsRowShown="0" headerRowDxfId="47">
  <autoFilter ref="A1:BQ789" xr:uid="{6DCCB998-B5D1-4B0D-8701-BC0E171A94CA}"/>
  <tableColumns count="69">
    <tableColumn id="1" xr3:uid="{CDEAF13A-A986-4600-A992-A08C1CA6142C}" name="VEHIDCODE" dataDxfId="46"/>
    <tableColumn id="112" xr3:uid="{049A88D8-80A1-4C10-8581-DF629C4922C4}" name="FILENAMES_EXPECTED" dataDxfId="45">
      <calculatedColumnFormula>_xlfn.TEXTAFTER(Table1[[#This Row],[VEHIDCODE]],"_")</calculatedColumnFormula>
    </tableColumn>
    <tableColumn id="92" xr3:uid="{B4A804C3-2F90-463F-AFEA-7EBC01C87129}" name="SAVE_TO" dataDxfId="44"/>
    <tableColumn id="98" xr3:uid="{04AA3EC9-5215-4C40-A8DE-679A8D5B0EAF}" name="ITEM" dataDxfId="43">
      <calculatedColumnFormula>"item_"&amp;Table1[[#This Row],[VEHIDCODE]]</calculatedColumnFormula>
    </tableColumn>
    <tableColumn id="97" xr3:uid="{EB95F6E8-1329-4809-90E6-94CB9915C79B}" name="NAME" dataDxfId="42">
      <calculatedColumnFormula>"str_"&amp;Table1[[#This Row],[VEHIDCODE]]</calculatedColumnFormula>
    </tableColumn>
    <tableColumn id="2" xr3:uid="{3A01A7AB-09DD-4D65-8893-1ACE9810CDB7}" name="ACTUAL_LENGTH"/>
    <tableColumn id="3" xr3:uid="{5BBF796C-A6C3-46CD-9877-08A3B37D9263}" name="CARGODEF"/>
    <tableColumn id="4" xr3:uid="{FCDAC31F-DC88-437B-B8DF-0440E9E9053F}" name="DUAL_HEADED"/>
    <tableColumn id="5" xr3:uid="{38AF64EB-F7BC-4818-9892-6415335F9FD3}" name="ENGINE_CLASS"/>
    <tableColumn id="6" xr3:uid="{A3E4457A-E003-42F3-8A75-91252C2658FB}" name="HEAD_CAPACITY"/>
    <tableColumn id="7" xr3:uid="{E5E7166A-FC1D-4D79-AF72-DEED9B69654D}" name="INTRODUCTION_YEAR"/>
    <tableColumn id="8" xr3:uid="{173C09CB-6ABB-4443-A5D3-2998FCBD4A99}" name="LENGTH"/>
    <tableColumn id="9" xr3:uid="{86E17647-A9E5-4E3B-8924-25C508832269}" name="LOADINGSPEED" dataDxfId="41"/>
    <tableColumn id="101" xr3:uid="{6FAA9DDE-5F72-41E5-B16F-921F4B9C09E2}" name="MISC_FLAGS_TRAIN_FLAG_2CC" dataDxfId="40"/>
    <tableColumn id="100" xr3:uid="{3CCF1CA2-4D6E-4A71-878A-CEF5EF6919CB}" name="MISC_FLAGS_TRAIN_FLAG_MU" dataDxfId="39"/>
    <tableColumn id="99" xr3:uid="{9002C8EF-B1BC-4B2D-BB78-6A36329A581D}" name="MISC_FLAGS_TRAIN_FLAG_AUTOREFIT" dataDxfId="38"/>
    <tableColumn id="10" xr3:uid="{89A8EF9A-A44B-4348-8B75-5CEF5739F11D}" name="MODEL_LIFE"/>
    <tableColumn id="11" xr3:uid="{99F6E46F-87FB-4781-BC79-631728520667}" name="PASSENGER"/>
    <tableColumn id="12" xr3:uid="{776DDA15-7CA4-4083-BF1A-C7AFDBA0E92E}" name="POWER"/>
    <tableColumn id="107" xr3:uid="{A933A65B-2E6A-407F-9FF7-D9CA17652C9D}" name="RUNNING_COST_BASE" dataDxfId="37"/>
    <tableColumn id="13" xr3:uid="{BAAB638D-1636-4161-AE20-8AC5BFA72FF1}" name="SPEED"/>
    <tableColumn id="14" xr3:uid="{1CE0FE0E-6140-41CB-8C7B-F65AFADE6392}" name="TE_COEFFICIENT" dataDxfId="36"/>
    <tableColumn id="55" xr3:uid="{839D134C-3027-42F4-BA04-3BA8BFF71A3B}" name="TRACK_TYPE_STANDARD_GAUGE_RAILTYPE_OHLE" dataDxfId="35"/>
    <tableColumn id="54" xr3:uid="{5D83FD10-ABCB-4FE7-A7DB-4A857A58D719}" name="TRACK_TYPE_STANDARD_GAUGE_RAILTYPE_25KV" dataDxfId="34"/>
    <tableColumn id="53" xr3:uid="{56183170-0B7F-45FB-91B4-356C62C246AD}" name="TRACK_TYPE_STANDARD_GAUGE_RAILTYPE_15KV" dataDxfId="33"/>
    <tableColumn id="52" xr3:uid="{5B71BE07-0EB9-4DEB-A8E8-252C9D979AC2}" name="TRACK_TYPE_STANDARD_GAUGE_RAILTYPE_3KV" dataDxfId="32"/>
    <tableColumn id="51" xr3:uid="{5A6435EB-111E-4AED-A8E1-AEFF82C34393}" name="TRACK_TYPE_STANDARD_GAUGE_RAILTYPE_1500" dataDxfId="31"/>
    <tableColumn id="50" xr3:uid="{14CA70EA-0EE7-44BA-9D77-FC902C0596DD}" name="TRACK_TYPE_STANDARD_GAUGE_RAILTYPE_3RD" dataDxfId="30"/>
    <tableColumn id="49" xr3:uid="{3A15447A-9663-43FB-8EFF-8F8034548FB0}" name="TRACK_TYPE_STANDARD_GAUGE_RAILTYPE_4TH" dataDxfId="29"/>
    <tableColumn id="48" xr3:uid="{E44E324A-492F-4566-8DC9-0A6F58F40EA9}" name="TRACK_TYPE_STANDARD_GAUGE_RAILTYPE_DUAL" dataDxfId="28"/>
    <tableColumn id="47" xr3:uid="{FE3223C6-E685-4456-91E9-10AEB3B699E7}" name="TRACK_TYPE_STANDARD_GAUGE_RAILTYPE_NONE" dataDxfId="27"/>
    <tableColumn id="46" xr3:uid="{D39969E8-C0CA-4A59-A556-D29019991069}" name="TRACK_TYPE_NARROW_GAUGE_RAILTYPE_OHLE" dataDxfId="26"/>
    <tableColumn id="45" xr3:uid="{5266A9E9-D840-4460-AB81-A081897372F3}" name="TRACK_TYPE_NARROW_GAUGE_RAILTYPE_25KV" dataDxfId="25"/>
    <tableColumn id="44" xr3:uid="{7B4C44D1-C745-4291-86A0-777579742A84}" name="TRACK_TYPE_NARROW_GAUGE_RAILTYPE_15KV" dataDxfId="24"/>
    <tableColumn id="43" xr3:uid="{8736D285-A163-4DBE-84E1-870118B47F14}" name="TRACK_TYPE_NARROW_GAUGE_RAILTYPE_3KV" dataDxfId="23"/>
    <tableColumn id="42" xr3:uid="{6FBBA2FB-4743-4072-B4E0-C42BBDA1CC47}" name="TRACK_TYPE_NARROW_GAUGE_RAILTYPE_1500V" dataDxfId="22"/>
    <tableColumn id="41" xr3:uid="{D3ED2E70-19BF-4D92-A76B-0F0F03D31947}" name="TRACK_TYPE_NARROW_GAUGE_RAILTYPE_3RD" dataDxfId="21"/>
    <tableColumn id="40" xr3:uid="{F38AE7AF-B798-40A5-992A-13685296E710}" name="TRACK_TYPE_NARROW_GAUGE_RAILTYPE_4TH" dataDxfId="20"/>
    <tableColumn id="39" xr3:uid="{16463F64-2239-4E7F-8257-47F324BF8959}" name="TRACK_TYPE_NARROW_GAUGE_RAILTYPE_DUAL" dataDxfId="19"/>
    <tableColumn id="38" xr3:uid="{97037A15-9172-4057-863E-582804353817}" name="TRACK_TYPE_NARROW_GAUGE_RAILTYPE_NONE" dataDxfId="18"/>
    <tableColumn id="37" xr3:uid="{24999D59-5A4F-4A21-B8B4-EBDBF9F8BF1E}" name="TRACK_TYPE_BROAD_GAUGE_RAILTYPE_OHLE" dataDxfId="17"/>
    <tableColumn id="36" xr3:uid="{31AB3927-D18B-49AD-8EF5-C7E9FF4CEDF3}" name="TRACK_TYPE_BROAD_GAUGE_RAILTYPE_25KV" dataDxfId="16"/>
    <tableColumn id="35" xr3:uid="{CB3432E7-4DAE-4807-9CE5-4CB1ACECD395}" name="TRACK_TYPE_BROAD_GAUGE_RAILTYPE_15KV" dataDxfId="15"/>
    <tableColumn id="34" xr3:uid="{E3936FE4-2B46-4DC0-84C0-44C7892A0927}" name="TRACK_TYPE_BROAD_GAUGE_RAILTYPE_3KV" dataDxfId="14"/>
    <tableColumn id="33" xr3:uid="{A5FAA105-CF81-4A75-8967-5721104454E8}" name="TRACK_TYPE_BROAD_GAUGE_RAILTYPE_1500V" dataDxfId="13"/>
    <tableColumn id="32" xr3:uid="{439CDFDE-6BFC-446C-87CF-28C8FF65FCE0}" name="TRACK_TYPE_BROAD_GAUGE_RAILTYPE_3RD" dataDxfId="12"/>
    <tableColumn id="31" xr3:uid="{219AB5E3-CDFF-41B3-BD58-F7427606D15F}" name="TRACK_TYPE_BROAD_GAUGE_RAILTYPE_4TH" dataDxfId="11"/>
    <tableColumn id="30" xr3:uid="{01529768-EA0D-4662-B835-74641896CE3F}" name="TRACK_TYPE_BROAD_GAUGE_RAILTYPE_DUAL" dataDxfId="10"/>
    <tableColumn id="29" xr3:uid="{32C384AB-18DB-4161-B29B-A363A2547BB2}" name="TRACK_TYPE_BROAD_GAUGE_RAILTYPE_NONE" dataDxfId="9"/>
    <tableColumn id="26" xr3:uid="{1CFC6F26-22A8-42EE-972B-0F7ED6623B5A}" name="TRACK_TYPE_MONO" dataDxfId="8"/>
    <tableColumn id="25" xr3:uid="{62939270-15C1-494E-9C53-6EA9E8209C3B}" name="TRACK_TYPE_MGLV" dataDxfId="7"/>
    <tableColumn id="24" xr3:uid="{9DA86EDA-F2AB-4C2D-918E-5260313FD8B3}" name="TRACK_TYPE_MTRO" dataDxfId="6"/>
    <tableColumn id="16" xr3:uid="{180F0B47-AFC4-4978-B838-4826DAD0C0F6}" name="VEHICLE_LIFE" dataDxfId="5"/>
    <tableColumn id="90" xr3:uid="{4F4ADD01-5968-4AFC-AEE2-AE952C73B03E}" name="REGION1" dataDxfId="4"/>
    <tableColumn id="91" xr3:uid="{40CEC63B-BEDA-4207-AF4D-270580C5B346}" name="REGION2" dataDxfId="3"/>
    <tableColumn id="17" xr3:uid="{C980AD63-3FDB-4A60-A121-0C502BDDC0C4}" name="REGION3" dataDxfId="2"/>
    <tableColumn id="108" xr3:uid="{1A859885-66E4-4CC5-AD48-43DDD28E88B8}" name="VISUAL_EFFECT_1" dataDxfId="1">
      <calculatedColumnFormula>IF(OR(Table1[[#This Row],[ENGINE_CLASS]]="STEAM",Table1[[#This Row],[ENGINE_CLASS]]="ELECTRIC",Table1[[#This Row],[ENGINE_CLASS]]="DIESEL"),Table1[[#This Row],[ENGINE_CLASS]],"DISABLE")</calculatedColumnFormula>
    </tableColumn>
    <tableColumn id="109" xr3:uid="{15AE2C58-3C66-4A43-A1F6-13C2958241EE}" name="VISUAL_EFFECT_2" dataDxfId="0"/>
    <tableColumn id="110" xr3:uid="{E67A20AF-BD42-42A3-8D5B-09B0E2B0137C}" name="VISUAL_EFFECT_3"/>
    <tableColumn id="18" xr3:uid="{995C9564-B37D-46D0-AB3F-7BC78CF4DA7F}" name="WAGON_CAPACITY"/>
    <tableColumn id="19" xr3:uid="{6EE658C7-FC65-4A02-882A-925DA6FC785D}" name="WAGON_LENGTH"/>
    <tableColumn id="20" xr3:uid="{06C795AC-0E95-4D8C-8333-5CDB8B75589F}" name="WEIGHT"/>
    <tableColumn id="93" xr3:uid="{A8DAFACB-B2AD-49BF-870F-B2C526296F5B}" name="AIR_DRAG_COEFFICIENT"/>
    <tableColumn id="94" xr3:uid="{DC5351D7-B1B9-4638-A658-3BCECB91F747}" name="BITMASK_VEHICLE_INFO"/>
    <tableColumn id="95" xr3:uid="{512DCD58-79D7-4D27-964F-51E00737D1D7}" name="CARGO_AGE_PERIOD"/>
    <tableColumn id="103" xr3:uid="{7250ECD2-4BFD-44C1-A204-C84B5BB79BAB}" name="POWER_PER_WAGON"/>
    <tableColumn id="106" xr3:uid="{BAF10CFF-58D7-42E4-9463-8D9EC8AB90FA}" name="REFIT_COST"/>
    <tableColumn id="105" xr3:uid="{EDC596DF-8B7A-4CAB-95C7-936F7E8F8349}" name="RELIABILITY_DECAY"/>
    <tableColumn id="104" xr3:uid="{8277BC82-FBAD-497D-BE0E-039744AF51CA}" name="RETIRE_EARL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2F482C9-2676-4F66-AEBC-B0E4CB3F0CDA}" name="Table3" displayName="Table3" ref="A1:A17" totalsRowShown="0">
  <autoFilter ref="A1:A17" xr:uid="{42F482C9-2676-4F66-AEBC-B0E4CB3F0CDA}"/>
  <tableColumns count="1">
    <tableColumn id="1" xr3:uid="{08CCAA74-4E74-4E66-A1F0-510147D6B1D4}" name="VALID_REGIO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Table6" displayName="Table6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BQ789"/>
  <sheetViews>
    <sheetView tabSelected="1" zoomScale="85" zoomScaleNormal="85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BN6" sqref="BN6"/>
    </sheetView>
  </sheetViews>
  <sheetFormatPr defaultRowHeight="14.6" x14ac:dyDescent="0.4"/>
  <cols>
    <col min="1" max="1" width="50.765625" bestFit="1" customWidth="1"/>
    <col min="2" max="2" width="50.765625" customWidth="1"/>
    <col min="3" max="3" width="33.84375" customWidth="1"/>
    <col min="4" max="5" width="16.07421875" customWidth="1"/>
    <col min="6" max="6" width="18.84375" bestFit="1" customWidth="1"/>
    <col min="11" max="11" width="18.84375" customWidth="1"/>
    <col min="12" max="12" width="26.69140625" bestFit="1" customWidth="1"/>
    <col min="13" max="13" width="17.3046875" bestFit="1" customWidth="1"/>
    <col min="14" max="14" width="17.69140625" bestFit="1" customWidth="1"/>
    <col min="15" max="15" width="18.84375" bestFit="1" customWidth="1"/>
    <col min="16" max="16" width="23" bestFit="1" customWidth="1"/>
    <col min="17" max="17" width="11.3828125" bestFit="1" customWidth="1"/>
    <col min="18" max="18" width="18.15234375" style="2" bestFit="1" customWidth="1"/>
    <col min="19" max="20" width="18.15234375" customWidth="1"/>
    <col min="21" max="21" width="18.15234375" style="2" customWidth="1"/>
    <col min="22" max="22" width="21.921875" bestFit="1" customWidth="1"/>
    <col min="23" max="23" width="15.07421875" bestFit="1" customWidth="1"/>
    <col min="24" max="24" width="11.15234375" bestFit="1" customWidth="1"/>
    <col min="29" max="29" width="11.15234375" customWidth="1"/>
    <col min="30" max="30" width="10.4609375" bestFit="1" customWidth="1"/>
    <col min="31" max="31" width="18.69140625" style="2" bestFit="1" customWidth="1"/>
    <col min="32" max="60" width="18.69140625" bestFit="1" customWidth="1"/>
    <col min="61" max="61" width="18.69140625" style="2" bestFit="1" customWidth="1"/>
    <col min="62" max="62" width="16.15234375" style="7" bestFit="1" customWidth="1"/>
    <col min="63" max="64" width="22.61328125" customWidth="1"/>
    <col min="65" max="65" width="21.3828125" bestFit="1" customWidth="1"/>
    <col min="66" max="66" width="26.921875" bestFit="1" customWidth="1"/>
    <col min="67" max="67" width="17.4609375" bestFit="1" customWidth="1"/>
    <col min="68" max="68" width="18.84375" customWidth="1"/>
    <col min="69" max="69" width="21.3828125" customWidth="1"/>
    <col min="70" max="70" width="11.15234375" customWidth="1"/>
    <col min="71" max="72" width="21.3828125" customWidth="1"/>
    <col min="73" max="73" width="20.921875" bestFit="1" customWidth="1"/>
    <col min="74" max="74" width="18.921875" bestFit="1" customWidth="1"/>
    <col min="76" max="78" width="11.15234375" customWidth="1"/>
    <col min="79" max="79" width="11.53515625" bestFit="1" customWidth="1"/>
  </cols>
  <sheetData>
    <row r="1" spans="1:69" s="1" customFormat="1" ht="30" customHeight="1" x14ac:dyDescent="0.4">
      <c r="A1" s="1" t="s">
        <v>0</v>
      </c>
      <c r="B1" s="8" t="s">
        <v>922</v>
      </c>
      <c r="C1" s="8" t="s">
        <v>690</v>
      </c>
      <c r="D1" s="9" t="s">
        <v>696</v>
      </c>
      <c r="E1" s="9" t="s">
        <v>697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3" t="s">
        <v>8</v>
      </c>
      <c r="N1" s="4" t="s">
        <v>698</v>
      </c>
      <c r="O1" s="4" t="s">
        <v>699</v>
      </c>
      <c r="P1" s="4" t="s">
        <v>700</v>
      </c>
      <c r="Q1" s="1" t="s">
        <v>9</v>
      </c>
      <c r="R1" s="1" t="s">
        <v>10</v>
      </c>
      <c r="S1" s="1" t="s">
        <v>11</v>
      </c>
      <c r="T1" t="s">
        <v>709</v>
      </c>
      <c r="U1" s="1" t="s">
        <v>12</v>
      </c>
      <c r="V1" s="3" t="s">
        <v>13</v>
      </c>
      <c r="W1" s="4" t="s">
        <v>676</v>
      </c>
      <c r="X1" s="4" t="s">
        <v>677</v>
      </c>
      <c r="Y1" s="4" t="s">
        <v>678</v>
      </c>
      <c r="Z1" s="4" t="s">
        <v>714</v>
      </c>
      <c r="AA1" s="4" t="s">
        <v>679</v>
      </c>
      <c r="AB1" s="4" t="s">
        <v>715</v>
      </c>
      <c r="AC1" s="4" t="s">
        <v>716</v>
      </c>
      <c r="AD1" s="4" t="s">
        <v>680</v>
      </c>
      <c r="AE1" s="4" t="s">
        <v>681</v>
      </c>
      <c r="AF1" s="4" t="s">
        <v>717</v>
      </c>
      <c r="AG1" s="4" t="s">
        <v>718</v>
      </c>
      <c r="AH1" s="4" t="s">
        <v>719</v>
      </c>
      <c r="AI1" s="4" t="s">
        <v>720</v>
      </c>
      <c r="AJ1" s="4" t="s">
        <v>682</v>
      </c>
      <c r="AK1" s="4" t="s">
        <v>721</v>
      </c>
      <c r="AL1" s="4" t="s">
        <v>722</v>
      </c>
      <c r="AM1" s="4" t="s">
        <v>723</v>
      </c>
      <c r="AN1" s="4" t="s">
        <v>724</v>
      </c>
      <c r="AO1" s="4" t="s">
        <v>725</v>
      </c>
      <c r="AP1" s="4" t="s">
        <v>726</v>
      </c>
      <c r="AQ1" s="4" t="s">
        <v>727</v>
      </c>
      <c r="AR1" s="4" t="s">
        <v>728</v>
      </c>
      <c r="AS1" s="4" t="s">
        <v>683</v>
      </c>
      <c r="AT1" s="4" t="s">
        <v>729</v>
      </c>
      <c r="AU1" s="4" t="s">
        <v>730</v>
      </c>
      <c r="AV1" s="4" t="s">
        <v>731</v>
      </c>
      <c r="AW1" s="4" t="s">
        <v>732</v>
      </c>
      <c r="AX1" s="4" t="s">
        <v>684</v>
      </c>
      <c r="AY1" s="4" t="s">
        <v>685</v>
      </c>
      <c r="AZ1" s="5" t="s">
        <v>686</v>
      </c>
      <c r="BA1" s="6" t="s">
        <v>14</v>
      </c>
      <c r="BB1" s="1" t="s">
        <v>687</v>
      </c>
      <c r="BC1" s="1" t="s">
        <v>688</v>
      </c>
      <c r="BD1" s="1" t="s">
        <v>689</v>
      </c>
      <c r="BE1" s="1" t="s">
        <v>713</v>
      </c>
      <c r="BF1" s="1" t="s">
        <v>733</v>
      </c>
      <c r="BG1" s="9" t="s">
        <v>734</v>
      </c>
      <c r="BH1" s="1" t="s">
        <v>15</v>
      </c>
      <c r="BI1" s="1" t="s">
        <v>16</v>
      </c>
      <c r="BJ1" s="1" t="s">
        <v>17</v>
      </c>
      <c r="BK1" s="9" t="s">
        <v>691</v>
      </c>
      <c r="BL1" s="9" t="s">
        <v>692</v>
      </c>
      <c r="BM1" s="9" t="s">
        <v>694</v>
      </c>
      <c r="BN1" s="9" t="s">
        <v>701</v>
      </c>
      <c r="BO1" s="9" t="s">
        <v>703</v>
      </c>
      <c r="BP1" s="9" t="s">
        <v>704</v>
      </c>
      <c r="BQ1" s="9" t="s">
        <v>705</v>
      </c>
    </row>
    <row r="2" spans="1:69" x14ac:dyDescent="0.4">
      <c r="A2" s="2" t="s">
        <v>762</v>
      </c>
      <c r="B2" t="str">
        <f>_xlfn.TEXTAFTER(Table1[[#This Row],[VEHIDCODE]],"_")</f>
        <v>Maglev_Wagon_Powered</v>
      </c>
      <c r="C2" t="s">
        <v>920</v>
      </c>
      <c r="D2" t="str">
        <f>"item_"&amp;Table1[[#This Row],[VEHIDCODE]]</f>
        <v>item_mglv_Maglev_Wagon_Powered</v>
      </c>
      <c r="E2" t="str">
        <f>"str_"&amp;Table1[[#This Row],[VEHIDCODE]]</f>
        <v>str_mglv_Maglev_Wagon_Powered</v>
      </c>
      <c r="F2">
        <v>8</v>
      </c>
      <c r="G2" t="s">
        <v>18</v>
      </c>
      <c r="H2">
        <v>0</v>
      </c>
      <c r="I2" t="s">
        <v>19</v>
      </c>
      <c r="J2">
        <v>1</v>
      </c>
      <c r="K2">
        <v>2000</v>
      </c>
      <c r="L2">
        <v>8</v>
      </c>
      <c r="M2" s="2" t="s">
        <v>20</v>
      </c>
      <c r="N2" t="b">
        <v>1</v>
      </c>
      <c r="P2" s="2"/>
      <c r="Q2" t="s">
        <v>21</v>
      </c>
      <c r="R2">
        <v>1</v>
      </c>
      <c r="S2">
        <v>0</v>
      </c>
      <c r="T2" t="s">
        <v>710</v>
      </c>
      <c r="U2">
        <v>0</v>
      </c>
      <c r="V2" s="2">
        <v>0.3</v>
      </c>
      <c r="AE2"/>
      <c r="AY2" t="b">
        <v>1</v>
      </c>
      <c r="AZ2" s="2"/>
      <c r="BA2" s="7">
        <v>25</v>
      </c>
      <c r="BB2" t="s">
        <v>937</v>
      </c>
      <c r="BC2" t="s">
        <v>923</v>
      </c>
      <c r="BD2" t="s">
        <v>941</v>
      </c>
      <c r="BE2" t="str">
        <f>IF(OR(Table1[[#This Row],[ENGINE_CLASS]]="STEAM",Table1[[#This Row],[ENGINE_CLASS]]="ELECTRIC",Table1[[#This Row],[ENGINE_CLASS]]="DIESEL"),Table1[[#This Row],[ENGINE_CLASS]],"DISABLE")</f>
        <v>DISABLE</v>
      </c>
      <c r="BF2">
        <v>0</v>
      </c>
      <c r="BG2" t="s">
        <v>735</v>
      </c>
      <c r="BI2"/>
      <c r="BJ2">
        <v>0</v>
      </c>
      <c r="BK2">
        <v>0</v>
      </c>
      <c r="BL2" t="s">
        <v>693</v>
      </c>
      <c r="BM2" t="s">
        <v>695</v>
      </c>
      <c r="BN2" t="s">
        <v>702</v>
      </c>
      <c r="BO2" t="s">
        <v>706</v>
      </c>
      <c r="BP2" t="s">
        <v>707</v>
      </c>
      <c r="BQ2" t="s">
        <v>708</v>
      </c>
    </row>
    <row r="3" spans="1:69" x14ac:dyDescent="0.4">
      <c r="A3" s="2" t="s">
        <v>763</v>
      </c>
      <c r="B3" t="str">
        <f>_xlfn.TEXTAFTER(Table1[[#This Row],[VEHIDCODE]],"_")</f>
        <v>Maglev_Wagon_Unpowered</v>
      </c>
      <c r="C3" t="s">
        <v>920</v>
      </c>
      <c r="D3" t="str">
        <f>"item_"&amp;Table1[[#This Row],[VEHIDCODE]]</f>
        <v>item_mglv_Maglev_Wagon_Unpowered</v>
      </c>
      <c r="E3" t="str">
        <f>"str_"&amp;Table1[[#This Row],[VEHIDCODE]]</f>
        <v>str_mglv_Maglev_Wagon_Unpowered</v>
      </c>
      <c r="F3">
        <v>8</v>
      </c>
      <c r="G3" t="s">
        <v>18</v>
      </c>
      <c r="H3">
        <v>0</v>
      </c>
      <c r="I3" t="s">
        <v>19</v>
      </c>
      <c r="J3">
        <v>1</v>
      </c>
      <c r="K3">
        <v>2000</v>
      </c>
      <c r="L3">
        <v>8</v>
      </c>
      <c r="M3" s="2" t="s">
        <v>20</v>
      </c>
      <c r="N3" t="b">
        <v>1</v>
      </c>
      <c r="P3" s="2"/>
      <c r="Q3" t="s">
        <v>21</v>
      </c>
      <c r="R3">
        <v>1</v>
      </c>
      <c r="S3">
        <v>0</v>
      </c>
      <c r="T3" t="s">
        <v>710</v>
      </c>
      <c r="U3">
        <v>0</v>
      </c>
      <c r="V3" s="2">
        <v>0.3</v>
      </c>
      <c r="AE3"/>
      <c r="AY3" t="b">
        <v>1</v>
      </c>
      <c r="AZ3" s="2"/>
      <c r="BA3" s="7">
        <v>25</v>
      </c>
      <c r="BB3" t="s">
        <v>937</v>
      </c>
      <c r="BC3" t="s">
        <v>923</v>
      </c>
      <c r="BD3" t="s">
        <v>941</v>
      </c>
      <c r="BE3" t="str">
        <f>IF(OR(Table1[[#This Row],[ENGINE_CLASS]]="STEAM",Table1[[#This Row],[ENGINE_CLASS]]="ELECTRIC",Table1[[#This Row],[ENGINE_CLASS]]="DIESEL"),Table1[[#This Row],[ENGINE_CLASS]],"DISABLE")</f>
        <v>DISABLE</v>
      </c>
      <c r="BF3">
        <v>0</v>
      </c>
      <c r="BG3" t="s">
        <v>735</v>
      </c>
      <c r="BI3"/>
      <c r="BJ3">
        <v>0</v>
      </c>
      <c r="BK3">
        <v>0</v>
      </c>
      <c r="BL3" t="s">
        <v>693</v>
      </c>
      <c r="BM3" t="s">
        <v>695</v>
      </c>
      <c r="BN3" t="s">
        <v>702</v>
      </c>
      <c r="BO3" t="s">
        <v>706</v>
      </c>
      <c r="BP3" t="s">
        <v>707</v>
      </c>
      <c r="BQ3" t="s">
        <v>708</v>
      </c>
    </row>
    <row r="4" spans="1:69" x14ac:dyDescent="0.4">
      <c r="A4" s="2" t="s">
        <v>22</v>
      </c>
      <c r="B4" t="str">
        <f>_xlfn.TEXTAFTER(Table1[[#This Row],[VEHIDCODE]],"_")</f>
        <v>Austria_NOLB_1</v>
      </c>
      <c r="C4" t="s">
        <v>737</v>
      </c>
      <c r="D4" t="str">
        <f>"item_"&amp;Table1[[#This Row],[VEHIDCODE]]</f>
        <v>item_rbs_Austria_NOLB_1</v>
      </c>
      <c r="E4" t="str">
        <f>"str_"&amp;Table1[[#This Row],[VEHIDCODE]]</f>
        <v>str_rbs_Austria_NOLB_1</v>
      </c>
      <c r="F4">
        <v>5</v>
      </c>
      <c r="G4" t="s">
        <v>18</v>
      </c>
      <c r="H4">
        <v>0</v>
      </c>
      <c r="I4" t="s">
        <v>23</v>
      </c>
      <c r="J4">
        <v>22</v>
      </c>
      <c r="K4">
        <v>1903</v>
      </c>
      <c r="L4">
        <v>5</v>
      </c>
      <c r="M4" s="2" t="s">
        <v>24</v>
      </c>
      <c r="N4" t="b">
        <v>1</v>
      </c>
      <c r="P4" s="2"/>
      <c r="Q4">
        <v>45</v>
      </c>
      <c r="R4">
        <v>1</v>
      </c>
      <c r="S4">
        <v>39</v>
      </c>
      <c r="T4" t="s">
        <v>711</v>
      </c>
      <c r="U4">
        <v>35</v>
      </c>
      <c r="V4" s="2">
        <v>0.18</v>
      </c>
      <c r="AE4" t="b">
        <v>1</v>
      </c>
      <c r="AZ4" s="2"/>
      <c r="BA4" s="7">
        <v>15</v>
      </c>
      <c r="BB4" t="s">
        <v>924</v>
      </c>
      <c r="BC4" t="s">
        <v>923</v>
      </c>
      <c r="BD4" t="s">
        <v>941</v>
      </c>
      <c r="BE4" t="str">
        <f>IF(OR(Table1[[#This Row],[ENGINE_CLASS]]="STEAM",Table1[[#This Row],[ENGINE_CLASS]]="ELECTRIC",Table1[[#This Row],[ENGINE_CLASS]]="DIESEL"),Table1[[#This Row],[ENGINE_CLASS]],"DISABLE")</f>
        <v>STEAM</v>
      </c>
      <c r="BF4">
        <v>-3</v>
      </c>
      <c r="BG4" t="s">
        <v>735</v>
      </c>
      <c r="BI4"/>
      <c r="BJ4">
        <v>8</v>
      </c>
      <c r="BK4">
        <v>0</v>
      </c>
      <c r="BL4" t="s">
        <v>693</v>
      </c>
      <c r="BM4" t="s">
        <v>695</v>
      </c>
      <c r="BN4" t="s">
        <v>702</v>
      </c>
      <c r="BO4" t="s">
        <v>706</v>
      </c>
      <c r="BP4" t="s">
        <v>707</v>
      </c>
      <c r="BQ4" t="s">
        <v>708</v>
      </c>
    </row>
    <row r="5" spans="1:69" x14ac:dyDescent="0.4">
      <c r="A5" s="2" t="s">
        <v>25</v>
      </c>
      <c r="B5" t="str">
        <f>_xlfn.TEXTAFTER(Table1[[#This Row],[VEHIDCODE]],"_")</f>
        <v>Italy_FS_86</v>
      </c>
      <c r="C5" t="s">
        <v>737</v>
      </c>
      <c r="D5" t="str">
        <f>"item_"&amp;Table1[[#This Row],[VEHIDCODE]]</f>
        <v>item_rbs_Italy_FS_86</v>
      </c>
      <c r="E5" t="str">
        <f>"str_"&amp;Table1[[#This Row],[VEHIDCODE]]</f>
        <v>str_rbs_Italy_FS_86</v>
      </c>
      <c r="F5">
        <v>8</v>
      </c>
      <c r="G5" t="s">
        <v>18</v>
      </c>
      <c r="H5">
        <v>0</v>
      </c>
      <c r="I5" t="s">
        <v>23</v>
      </c>
      <c r="J5">
        <v>86</v>
      </c>
      <c r="K5">
        <v>1906</v>
      </c>
      <c r="L5">
        <v>8</v>
      </c>
      <c r="M5" s="2" t="s">
        <v>24</v>
      </c>
      <c r="N5" t="b">
        <v>1</v>
      </c>
      <c r="P5" s="2"/>
      <c r="Q5">
        <v>45</v>
      </c>
      <c r="R5">
        <v>1</v>
      </c>
      <c r="S5">
        <v>132</v>
      </c>
      <c r="T5" t="s">
        <v>711</v>
      </c>
      <c r="U5">
        <v>60</v>
      </c>
      <c r="V5" s="2">
        <v>0.08</v>
      </c>
      <c r="AE5" t="b">
        <v>1</v>
      </c>
      <c r="AZ5" s="2"/>
      <c r="BA5" s="7">
        <v>15</v>
      </c>
      <c r="BB5" t="s">
        <v>925</v>
      </c>
      <c r="BC5" t="s">
        <v>923</v>
      </c>
      <c r="BD5" t="s">
        <v>941</v>
      </c>
      <c r="BE5" t="str">
        <f>IF(OR(Table1[[#This Row],[ENGINE_CLASS]]="STEAM",Table1[[#This Row],[ENGINE_CLASS]]="ELECTRIC",Table1[[#This Row],[ENGINE_CLASS]]="DIESEL"),Table1[[#This Row],[ENGINE_CLASS]],"DISABLE")</f>
        <v>STEAM</v>
      </c>
      <c r="BF5">
        <v>-3</v>
      </c>
      <c r="BG5" t="s">
        <v>735</v>
      </c>
      <c r="BI5"/>
      <c r="BJ5">
        <v>47</v>
      </c>
      <c r="BK5">
        <v>0</v>
      </c>
      <c r="BL5" t="s">
        <v>693</v>
      </c>
      <c r="BM5" t="s">
        <v>695</v>
      </c>
      <c r="BN5" t="s">
        <v>702</v>
      </c>
      <c r="BO5" t="s">
        <v>706</v>
      </c>
      <c r="BP5" t="s">
        <v>707</v>
      </c>
      <c r="BQ5" t="s">
        <v>708</v>
      </c>
    </row>
    <row r="6" spans="1:69" x14ac:dyDescent="0.4">
      <c r="A6" s="2" t="s">
        <v>26</v>
      </c>
      <c r="B6" t="str">
        <f>_xlfn.TEXTAFTER(Table1[[#This Row],[VEHIDCODE]],"_")</f>
        <v>Australia_Victorian_Railways_Rowan_Railmotor</v>
      </c>
      <c r="C6" t="s">
        <v>737</v>
      </c>
      <c r="D6" t="str">
        <f>"item_"&amp;Table1[[#This Row],[VEHIDCODE]]</f>
        <v>item_rbs_Australia_Victorian_Railways_Rowan_Railmotor</v>
      </c>
      <c r="E6" t="str">
        <f>"str_"&amp;Table1[[#This Row],[VEHIDCODE]]</f>
        <v>str_rbs_Australia_Victorian_Railways_Rowan_Railmotor</v>
      </c>
      <c r="F6">
        <v>6</v>
      </c>
      <c r="G6" t="s">
        <v>18</v>
      </c>
      <c r="H6">
        <v>0</v>
      </c>
      <c r="I6" t="s">
        <v>23</v>
      </c>
      <c r="J6">
        <v>42</v>
      </c>
      <c r="K6">
        <v>1883</v>
      </c>
      <c r="L6">
        <v>6</v>
      </c>
      <c r="M6" s="2" t="s">
        <v>24</v>
      </c>
      <c r="N6" t="b">
        <v>1</v>
      </c>
      <c r="P6" s="2"/>
      <c r="Q6">
        <v>45</v>
      </c>
      <c r="R6">
        <v>1</v>
      </c>
      <c r="S6">
        <v>40</v>
      </c>
      <c r="T6" t="s">
        <v>711</v>
      </c>
      <c r="U6">
        <v>48</v>
      </c>
      <c r="V6" s="2">
        <v>0.34</v>
      </c>
      <c r="AE6" t="b">
        <v>1</v>
      </c>
      <c r="AZ6" s="2"/>
      <c r="BA6" s="7">
        <v>15</v>
      </c>
      <c r="BB6" t="s">
        <v>926</v>
      </c>
      <c r="BC6" t="s">
        <v>923</v>
      </c>
      <c r="BD6" t="s">
        <v>941</v>
      </c>
      <c r="BE6" t="str">
        <f>IF(OR(Table1[[#This Row],[ENGINE_CLASS]]="STEAM",Table1[[#This Row],[ENGINE_CLASS]]="ELECTRIC",Table1[[#This Row],[ENGINE_CLASS]]="DIESEL"),Table1[[#This Row],[ENGINE_CLASS]],"DISABLE")</f>
        <v>STEAM</v>
      </c>
      <c r="BF6">
        <v>0</v>
      </c>
      <c r="BG6" t="s">
        <v>735</v>
      </c>
      <c r="BI6"/>
      <c r="BJ6">
        <v>15</v>
      </c>
      <c r="BK6">
        <v>0</v>
      </c>
      <c r="BL6" t="s">
        <v>693</v>
      </c>
      <c r="BM6" t="s">
        <v>695</v>
      </c>
      <c r="BN6" t="s">
        <v>702</v>
      </c>
      <c r="BO6" t="s">
        <v>706</v>
      </c>
      <c r="BP6" t="s">
        <v>707</v>
      </c>
      <c r="BQ6" t="s">
        <v>708</v>
      </c>
    </row>
    <row r="7" spans="1:69" x14ac:dyDescent="0.4">
      <c r="A7" s="2" t="s">
        <v>27</v>
      </c>
      <c r="B7" t="str">
        <f>_xlfn.TEXTAFTER(Table1[[#This Row],[VEHIDCODE]],"_")</f>
        <v>Switzerland_UeBB_Czm_1_2</v>
      </c>
      <c r="C7" t="s">
        <v>737</v>
      </c>
      <c r="D7" t="str">
        <f>"item_"&amp;Table1[[#This Row],[VEHIDCODE]]</f>
        <v>item_rbs_Switzerland_UeBB_Czm_1_2</v>
      </c>
      <c r="E7" t="str">
        <f>"str_"&amp;Table1[[#This Row],[VEHIDCODE]]</f>
        <v>str_rbs_Switzerland_UeBB_Czm_1_2</v>
      </c>
      <c r="F7">
        <v>5</v>
      </c>
      <c r="G7" t="s">
        <v>18</v>
      </c>
      <c r="H7">
        <v>0</v>
      </c>
      <c r="I7" t="s">
        <v>23</v>
      </c>
      <c r="J7">
        <v>30</v>
      </c>
      <c r="K7">
        <v>1902</v>
      </c>
      <c r="L7">
        <v>5</v>
      </c>
      <c r="M7" s="2" t="s">
        <v>24</v>
      </c>
      <c r="N7" t="b">
        <v>1</v>
      </c>
      <c r="P7" s="2"/>
      <c r="Q7">
        <v>45</v>
      </c>
      <c r="R7">
        <v>1</v>
      </c>
      <c r="S7">
        <v>99</v>
      </c>
      <c r="T7" t="s">
        <v>711</v>
      </c>
      <c r="U7">
        <v>45</v>
      </c>
      <c r="V7" s="2">
        <v>0.34</v>
      </c>
      <c r="AE7" t="b">
        <v>1</v>
      </c>
      <c r="AZ7" s="2"/>
      <c r="BA7" s="7">
        <v>15</v>
      </c>
      <c r="BB7" t="s">
        <v>924</v>
      </c>
      <c r="BC7" t="s">
        <v>923</v>
      </c>
      <c r="BD7" t="s">
        <v>941</v>
      </c>
      <c r="BE7" t="str">
        <f>IF(OR(Table1[[#This Row],[ENGINE_CLASS]]="STEAM",Table1[[#This Row],[ENGINE_CLASS]]="ELECTRIC",Table1[[#This Row],[ENGINE_CLASS]]="DIESEL"),Table1[[#This Row],[ENGINE_CLASS]],"DISABLE")</f>
        <v>STEAM</v>
      </c>
      <c r="BF7">
        <v>0</v>
      </c>
      <c r="BG7" t="s">
        <v>735</v>
      </c>
      <c r="BI7"/>
      <c r="BJ7">
        <v>21</v>
      </c>
      <c r="BK7">
        <v>0</v>
      </c>
      <c r="BL7" t="s">
        <v>693</v>
      </c>
      <c r="BM7" t="s">
        <v>695</v>
      </c>
      <c r="BN7" t="s">
        <v>702</v>
      </c>
      <c r="BO7" t="s">
        <v>706</v>
      </c>
      <c r="BP7" t="s">
        <v>707</v>
      </c>
      <c r="BQ7" t="s">
        <v>708</v>
      </c>
    </row>
    <row r="8" spans="1:69" x14ac:dyDescent="0.4">
      <c r="A8" s="2" t="s">
        <v>28</v>
      </c>
      <c r="B8" t="str">
        <f>_xlfn.TEXTAFTER(Table1[[#This Row],[VEHIDCODE]],"_")</f>
        <v>Germany_Bavarian_MCCi</v>
      </c>
      <c r="C8" t="s">
        <v>737</v>
      </c>
      <c r="D8" t="str">
        <f>"item_"&amp;Table1[[#This Row],[VEHIDCODE]]</f>
        <v>item_rbs_Germany_Bavarian_MCCi</v>
      </c>
      <c r="E8" t="str">
        <f>"str_"&amp;Table1[[#This Row],[VEHIDCODE]]</f>
        <v>str_rbs_Germany_Bavarian_MCCi</v>
      </c>
      <c r="F8">
        <v>8</v>
      </c>
      <c r="G8" t="s">
        <v>18</v>
      </c>
      <c r="H8">
        <v>0</v>
      </c>
      <c r="I8" t="s">
        <v>23</v>
      </c>
      <c r="J8">
        <v>52</v>
      </c>
      <c r="K8">
        <v>1906</v>
      </c>
      <c r="L8">
        <v>8</v>
      </c>
      <c r="M8" s="2" t="s">
        <v>24</v>
      </c>
      <c r="N8" t="b">
        <v>1</v>
      </c>
      <c r="P8" s="2"/>
      <c r="Q8">
        <v>45</v>
      </c>
      <c r="R8">
        <v>1</v>
      </c>
      <c r="S8">
        <v>195</v>
      </c>
      <c r="T8" t="s">
        <v>711</v>
      </c>
      <c r="U8">
        <v>50</v>
      </c>
      <c r="V8" s="2">
        <v>0.34</v>
      </c>
      <c r="AE8" t="b">
        <v>1</v>
      </c>
      <c r="AZ8" s="2"/>
      <c r="BA8" s="7">
        <v>15</v>
      </c>
      <c r="BB8" t="s">
        <v>924</v>
      </c>
      <c r="BC8" t="s">
        <v>923</v>
      </c>
      <c r="BD8" t="s">
        <v>941</v>
      </c>
      <c r="BE8" t="str">
        <f>IF(OR(Table1[[#This Row],[ENGINE_CLASS]]="STEAM",Table1[[#This Row],[ENGINE_CLASS]]="ELECTRIC",Table1[[#This Row],[ENGINE_CLASS]]="DIESEL"),Table1[[#This Row],[ENGINE_CLASS]],"DISABLE")</f>
        <v>STEAM</v>
      </c>
      <c r="BF8">
        <v>0</v>
      </c>
      <c r="BG8" t="s">
        <v>735</v>
      </c>
      <c r="BI8"/>
      <c r="BJ8">
        <v>32</v>
      </c>
      <c r="BK8">
        <v>0</v>
      </c>
      <c r="BL8" t="s">
        <v>693</v>
      </c>
      <c r="BM8" t="s">
        <v>695</v>
      </c>
      <c r="BN8" t="s">
        <v>702</v>
      </c>
      <c r="BO8" t="s">
        <v>706</v>
      </c>
      <c r="BP8" t="s">
        <v>707</v>
      </c>
      <c r="BQ8" t="s">
        <v>708</v>
      </c>
    </row>
    <row r="9" spans="1:69" x14ac:dyDescent="0.4">
      <c r="A9" s="2" t="s">
        <v>29</v>
      </c>
      <c r="B9" t="str">
        <f>_xlfn.TEXTAFTER(Table1[[#This Row],[VEHIDCODE]],"_")</f>
        <v>South_Africa_CSAR_Railmotor</v>
      </c>
      <c r="C9" t="s">
        <v>737</v>
      </c>
      <c r="D9" t="str">
        <f>"item_"&amp;Table1[[#This Row],[VEHIDCODE]]</f>
        <v>item_rbs_South_Africa_CSAR_Railmotor</v>
      </c>
      <c r="E9" t="str">
        <f>"str_"&amp;Table1[[#This Row],[VEHIDCODE]]</f>
        <v>str_rbs_South_Africa_CSAR_Railmotor</v>
      </c>
      <c r="F9">
        <v>4</v>
      </c>
      <c r="G9" t="s">
        <v>18</v>
      </c>
      <c r="H9">
        <v>0</v>
      </c>
      <c r="I9" t="s">
        <v>23</v>
      </c>
      <c r="J9">
        <v>50</v>
      </c>
      <c r="K9">
        <v>1906</v>
      </c>
      <c r="L9">
        <v>8</v>
      </c>
      <c r="M9" s="2" t="s">
        <v>24</v>
      </c>
      <c r="N9" t="b">
        <v>1</v>
      </c>
      <c r="P9" s="2"/>
      <c r="Q9">
        <v>45</v>
      </c>
      <c r="R9">
        <v>1</v>
      </c>
      <c r="S9">
        <v>86</v>
      </c>
      <c r="T9" t="s">
        <v>711</v>
      </c>
      <c r="U9">
        <v>60</v>
      </c>
      <c r="V9" s="2">
        <v>0.33</v>
      </c>
      <c r="AE9" t="b">
        <v>1</v>
      </c>
      <c r="AZ9" s="2"/>
      <c r="BA9" s="7">
        <v>15</v>
      </c>
      <c r="BB9" t="s">
        <v>927</v>
      </c>
      <c r="BC9" t="s">
        <v>923</v>
      </c>
      <c r="BD9" t="s">
        <v>941</v>
      </c>
      <c r="BE9" t="str">
        <f>IF(OR(Table1[[#This Row],[ENGINE_CLASS]]="STEAM",Table1[[#This Row],[ENGINE_CLASS]]="ELECTRIC",Table1[[#This Row],[ENGINE_CLASS]]="DIESEL"),Table1[[#This Row],[ENGINE_CLASS]],"DISABLE")</f>
        <v>STEAM</v>
      </c>
      <c r="BF9">
        <v>0</v>
      </c>
      <c r="BG9" t="s">
        <v>735</v>
      </c>
      <c r="BI9"/>
      <c r="BJ9">
        <v>35</v>
      </c>
      <c r="BK9">
        <v>0</v>
      </c>
      <c r="BL9" t="s">
        <v>693</v>
      </c>
      <c r="BM9" t="s">
        <v>695</v>
      </c>
      <c r="BN9" t="s">
        <v>702</v>
      </c>
      <c r="BO9" t="s">
        <v>706</v>
      </c>
      <c r="BP9" t="s">
        <v>707</v>
      </c>
      <c r="BQ9" t="s">
        <v>708</v>
      </c>
    </row>
    <row r="10" spans="1:69" x14ac:dyDescent="0.4">
      <c r="A10" s="2" t="s">
        <v>30</v>
      </c>
      <c r="B10" t="str">
        <f>_xlfn.TEXTAFTER(Table1[[#This Row],[VEHIDCODE]],"_")</f>
        <v>Australia_Victorian_Railways_Motor_Car_3</v>
      </c>
      <c r="C10" t="s">
        <v>737</v>
      </c>
      <c r="D10" t="str">
        <f>"item_"&amp;Table1[[#This Row],[VEHIDCODE]]</f>
        <v>item_rbs_Australia_Victorian_Railways_Motor_Car_3</v>
      </c>
      <c r="E10" t="str">
        <f>"str_"&amp;Table1[[#This Row],[VEHIDCODE]]</f>
        <v>str_rbs_Australia_Victorian_Railways_Motor_Car_3</v>
      </c>
      <c r="F10">
        <v>6</v>
      </c>
      <c r="G10" t="s">
        <v>18</v>
      </c>
      <c r="H10">
        <v>0</v>
      </c>
      <c r="I10" t="s">
        <v>23</v>
      </c>
      <c r="J10">
        <v>32</v>
      </c>
      <c r="K10">
        <v>1912</v>
      </c>
      <c r="L10">
        <v>6</v>
      </c>
      <c r="M10" s="2" t="s">
        <v>24</v>
      </c>
      <c r="N10" t="b">
        <v>1</v>
      </c>
      <c r="P10" s="2"/>
      <c r="Q10">
        <v>45</v>
      </c>
      <c r="R10">
        <v>1</v>
      </c>
      <c r="S10">
        <v>91</v>
      </c>
      <c r="T10" t="s">
        <v>711</v>
      </c>
      <c r="U10">
        <v>55</v>
      </c>
      <c r="V10" s="2">
        <v>0.34</v>
      </c>
      <c r="AE10" t="b">
        <v>1</v>
      </c>
      <c r="AZ10" s="2"/>
      <c r="BA10" s="7">
        <v>15</v>
      </c>
      <c r="BB10" t="s">
        <v>926</v>
      </c>
      <c r="BC10" t="s">
        <v>923</v>
      </c>
      <c r="BD10" t="s">
        <v>941</v>
      </c>
      <c r="BE10" t="str">
        <f>IF(OR(Table1[[#This Row],[ENGINE_CLASS]]="STEAM",Table1[[#This Row],[ENGINE_CLASS]]="ELECTRIC",Table1[[#This Row],[ENGINE_CLASS]]="DIESEL"),Table1[[#This Row],[ENGINE_CLASS]],"DISABLE")</f>
        <v>STEAM</v>
      </c>
      <c r="BF10">
        <v>0</v>
      </c>
      <c r="BG10" t="s">
        <v>735</v>
      </c>
      <c r="BI10"/>
      <c r="BJ10">
        <v>42</v>
      </c>
      <c r="BK10">
        <v>0</v>
      </c>
      <c r="BL10" t="s">
        <v>693</v>
      </c>
      <c r="BM10" t="s">
        <v>695</v>
      </c>
      <c r="BN10" t="s">
        <v>702</v>
      </c>
      <c r="BO10" t="s">
        <v>706</v>
      </c>
      <c r="BP10" t="s">
        <v>707</v>
      </c>
      <c r="BQ10" t="s">
        <v>708</v>
      </c>
    </row>
    <row r="11" spans="1:69" x14ac:dyDescent="0.4">
      <c r="A11" s="2" t="s">
        <v>31</v>
      </c>
      <c r="B11" t="str">
        <f>_xlfn.TEXTAFTER(Table1[[#This Row],[VEHIDCODE]],"_")</f>
        <v>Austria_kkStB_4_0</v>
      </c>
      <c r="C11" t="s">
        <v>737</v>
      </c>
      <c r="D11" t="str">
        <f>"item_"&amp;Table1[[#This Row],[VEHIDCODE]]</f>
        <v>item_rbs_Austria_kkStB_4_0</v>
      </c>
      <c r="E11" t="str">
        <f>"str_"&amp;Table1[[#This Row],[VEHIDCODE]]</f>
        <v>str_rbs_Austria_kkStB_4_0</v>
      </c>
      <c r="F11">
        <v>5</v>
      </c>
      <c r="G11" t="s">
        <v>32</v>
      </c>
      <c r="H11">
        <v>0</v>
      </c>
      <c r="I11" t="s">
        <v>23</v>
      </c>
      <c r="J11">
        <v>14</v>
      </c>
      <c r="K11">
        <v>1880</v>
      </c>
      <c r="L11">
        <v>5</v>
      </c>
      <c r="M11" s="2" t="s">
        <v>33</v>
      </c>
      <c r="N11" t="b">
        <v>1</v>
      </c>
      <c r="P11" s="2"/>
      <c r="Q11">
        <v>45</v>
      </c>
      <c r="R11">
        <v>0</v>
      </c>
      <c r="S11">
        <v>28</v>
      </c>
      <c r="T11" t="s">
        <v>711</v>
      </c>
      <c r="U11">
        <v>45</v>
      </c>
      <c r="V11" s="2">
        <v>0.34</v>
      </c>
      <c r="AE11" t="b">
        <v>1</v>
      </c>
      <c r="AZ11" s="2"/>
      <c r="BA11" s="7">
        <v>15</v>
      </c>
      <c r="BB11" t="s">
        <v>924</v>
      </c>
      <c r="BC11" t="s">
        <v>923</v>
      </c>
      <c r="BD11" t="s">
        <v>941</v>
      </c>
      <c r="BE11" t="str">
        <f>IF(OR(Table1[[#This Row],[ENGINE_CLASS]]="STEAM",Table1[[#This Row],[ENGINE_CLASS]]="ELECTRIC",Table1[[#This Row],[ENGINE_CLASS]]="DIESEL"),Table1[[#This Row],[ENGINE_CLASS]],"DISABLE")</f>
        <v>STEAM</v>
      </c>
      <c r="BF11">
        <v>-3</v>
      </c>
      <c r="BG11" t="s">
        <v>735</v>
      </c>
      <c r="BI11"/>
      <c r="BJ11">
        <v>20</v>
      </c>
      <c r="BK11">
        <v>0</v>
      </c>
      <c r="BL11" t="s">
        <v>693</v>
      </c>
      <c r="BM11" t="s">
        <v>695</v>
      </c>
      <c r="BN11" t="s">
        <v>702</v>
      </c>
      <c r="BO11" t="s">
        <v>706</v>
      </c>
      <c r="BP11" t="s">
        <v>707</v>
      </c>
      <c r="BQ11" t="s">
        <v>708</v>
      </c>
    </row>
    <row r="12" spans="1:69" x14ac:dyDescent="0.4">
      <c r="A12" s="2" t="s">
        <v>34</v>
      </c>
      <c r="B12" t="str">
        <f>_xlfn.TEXTAFTER(Table1[[#This Row],[VEHIDCODE]],"_")</f>
        <v>Australia_Victorian_Railways_AEC_RM1</v>
      </c>
      <c r="C12" t="s">
        <v>738</v>
      </c>
      <c r="D12" t="str">
        <f>"item_"&amp;Table1[[#This Row],[VEHIDCODE]]</f>
        <v>item_rbd_Australia_Victorian_Railways_AEC_RM1</v>
      </c>
      <c r="E12" t="str">
        <f>"str_"&amp;Table1[[#This Row],[VEHIDCODE]]</f>
        <v>str_rbd_Australia_Victorian_Railways_AEC_RM1</v>
      </c>
      <c r="F12">
        <v>5</v>
      </c>
      <c r="G12" t="s">
        <v>18</v>
      </c>
      <c r="H12">
        <v>0</v>
      </c>
      <c r="I12" t="s">
        <v>35</v>
      </c>
      <c r="J12">
        <v>33</v>
      </c>
      <c r="K12">
        <v>1922</v>
      </c>
      <c r="L12">
        <v>5</v>
      </c>
      <c r="M12" s="2" t="s">
        <v>24</v>
      </c>
      <c r="N12" t="b">
        <v>1</v>
      </c>
      <c r="P12" s="2"/>
      <c r="Q12">
        <v>45</v>
      </c>
      <c r="R12">
        <v>1</v>
      </c>
      <c r="S12">
        <v>45</v>
      </c>
      <c r="T12" t="s">
        <v>712</v>
      </c>
      <c r="U12">
        <v>50</v>
      </c>
      <c r="V12" s="2">
        <v>0.1</v>
      </c>
      <c r="AE12" t="b">
        <v>1</v>
      </c>
      <c r="AZ12" s="2"/>
      <c r="BA12" s="7">
        <v>15</v>
      </c>
      <c r="BB12" t="s">
        <v>926</v>
      </c>
      <c r="BC12" t="s">
        <v>923</v>
      </c>
      <c r="BD12" t="s">
        <v>941</v>
      </c>
      <c r="BE12" t="str">
        <f>IF(OR(Table1[[#This Row],[ENGINE_CLASS]]="STEAM",Table1[[#This Row],[ENGINE_CLASS]]="ELECTRIC",Table1[[#This Row],[ENGINE_CLASS]]="DIESEL"),Table1[[#This Row],[ENGINE_CLASS]],"DISABLE")</f>
        <v>DIESEL</v>
      </c>
      <c r="BF12">
        <v>-3</v>
      </c>
      <c r="BG12" t="s">
        <v>735</v>
      </c>
      <c r="BI12"/>
      <c r="BJ12">
        <v>24</v>
      </c>
      <c r="BK12">
        <v>0</v>
      </c>
      <c r="BL12" t="s">
        <v>693</v>
      </c>
      <c r="BM12" t="s">
        <v>695</v>
      </c>
      <c r="BN12" t="s">
        <v>702</v>
      </c>
      <c r="BO12" t="s">
        <v>706</v>
      </c>
      <c r="BP12" t="s">
        <v>707</v>
      </c>
      <c r="BQ12" t="s">
        <v>708</v>
      </c>
    </row>
    <row r="13" spans="1:69" x14ac:dyDescent="0.4">
      <c r="A13" s="2" t="s">
        <v>36</v>
      </c>
      <c r="B13" t="str">
        <f>_xlfn.TEXTAFTER(Table1[[#This Row],[VEHIDCODE]],"_")</f>
        <v>Germany_DB_VT_133</v>
      </c>
      <c r="C13" t="s">
        <v>738</v>
      </c>
      <c r="D13" t="str">
        <f>"item_"&amp;Table1[[#This Row],[VEHIDCODE]]</f>
        <v>item_rbd_Germany_DB_VT_133</v>
      </c>
      <c r="E13" t="str">
        <f>"str_"&amp;Table1[[#This Row],[VEHIDCODE]]</f>
        <v>str_rbd_Germany_DB_VT_133</v>
      </c>
      <c r="F13">
        <v>6</v>
      </c>
      <c r="G13" t="s">
        <v>18</v>
      </c>
      <c r="H13">
        <v>0</v>
      </c>
      <c r="I13" t="s">
        <v>35</v>
      </c>
      <c r="J13">
        <v>24</v>
      </c>
      <c r="K13">
        <v>1932</v>
      </c>
      <c r="L13">
        <v>6</v>
      </c>
      <c r="M13" s="2" t="s">
        <v>24</v>
      </c>
      <c r="N13" t="b">
        <v>1</v>
      </c>
      <c r="P13" s="2"/>
      <c r="Q13">
        <v>45</v>
      </c>
      <c r="R13">
        <v>1</v>
      </c>
      <c r="S13">
        <v>38</v>
      </c>
      <c r="T13" t="s">
        <v>712</v>
      </c>
      <c r="U13">
        <v>56</v>
      </c>
      <c r="V13" s="2">
        <v>0.5</v>
      </c>
      <c r="AE13" t="b">
        <v>1</v>
      </c>
      <c r="AZ13" s="2"/>
      <c r="BA13" s="7">
        <v>15</v>
      </c>
      <c r="BB13" t="s">
        <v>924</v>
      </c>
      <c r="BC13" t="s">
        <v>923</v>
      </c>
      <c r="BD13" t="s">
        <v>941</v>
      </c>
      <c r="BE13" t="str">
        <f>IF(OR(Table1[[#This Row],[ENGINE_CLASS]]="STEAM",Table1[[#This Row],[ENGINE_CLASS]]="ELECTRIC",Table1[[#This Row],[ENGINE_CLASS]]="DIESEL"),Table1[[#This Row],[ENGINE_CLASS]],"DISABLE")</f>
        <v>DIESEL</v>
      </c>
      <c r="BF13">
        <v>-3</v>
      </c>
      <c r="BG13" t="s">
        <v>735</v>
      </c>
      <c r="BI13"/>
      <c r="BJ13">
        <v>6</v>
      </c>
      <c r="BK13">
        <v>0</v>
      </c>
      <c r="BL13" t="s">
        <v>693</v>
      </c>
      <c r="BM13" t="s">
        <v>695</v>
      </c>
      <c r="BN13" t="s">
        <v>702</v>
      </c>
      <c r="BO13" t="s">
        <v>706</v>
      </c>
      <c r="BP13" t="s">
        <v>707</v>
      </c>
      <c r="BQ13" t="s">
        <v>708</v>
      </c>
    </row>
    <row r="14" spans="1:69" x14ac:dyDescent="0.4">
      <c r="A14" s="2" t="s">
        <v>37</v>
      </c>
      <c r="B14" t="str">
        <f>_xlfn.TEXTAFTER(Table1[[#This Row],[VEHIDCODE]],"_")</f>
        <v>United_Kingdom_GWR_AEC_Railcar</v>
      </c>
      <c r="C14" t="s">
        <v>738</v>
      </c>
      <c r="D14" t="str">
        <f>"item_"&amp;Table1[[#This Row],[VEHIDCODE]]</f>
        <v>item_rbd_United_Kingdom_GWR_AEC_Railcar</v>
      </c>
      <c r="E14" t="str">
        <f>"str_"&amp;Table1[[#This Row],[VEHIDCODE]]</f>
        <v>str_rbd_United_Kingdom_GWR_AEC_Railcar</v>
      </c>
      <c r="F14">
        <v>6</v>
      </c>
      <c r="G14" t="s">
        <v>18</v>
      </c>
      <c r="H14">
        <v>0</v>
      </c>
      <c r="I14" t="s">
        <v>35</v>
      </c>
      <c r="J14">
        <v>70</v>
      </c>
      <c r="K14">
        <v>1933</v>
      </c>
      <c r="L14">
        <v>6</v>
      </c>
      <c r="M14" s="2" t="s">
        <v>24</v>
      </c>
      <c r="N14" t="b">
        <v>1</v>
      </c>
      <c r="P14" s="2"/>
      <c r="Q14">
        <v>45</v>
      </c>
      <c r="R14">
        <v>1</v>
      </c>
      <c r="S14">
        <v>175</v>
      </c>
      <c r="T14" t="s">
        <v>712</v>
      </c>
      <c r="U14">
        <v>80</v>
      </c>
      <c r="V14" s="2">
        <v>0.27</v>
      </c>
      <c r="AE14" t="b">
        <v>1</v>
      </c>
      <c r="AZ14" s="2"/>
      <c r="BA14" s="7">
        <v>15</v>
      </c>
      <c r="BB14" t="s">
        <v>928</v>
      </c>
      <c r="BC14" t="s">
        <v>923</v>
      </c>
      <c r="BD14" t="s">
        <v>941</v>
      </c>
      <c r="BE14" t="str">
        <f>IF(OR(Table1[[#This Row],[ENGINE_CLASS]]="STEAM",Table1[[#This Row],[ENGINE_CLASS]]="ELECTRIC",Table1[[#This Row],[ENGINE_CLASS]]="DIESEL"),Table1[[#This Row],[ENGINE_CLASS]],"DISABLE")</f>
        <v>DIESEL</v>
      </c>
      <c r="BF14">
        <v>-3</v>
      </c>
      <c r="BG14" t="s">
        <v>735</v>
      </c>
      <c r="BI14"/>
      <c r="BJ14">
        <v>25</v>
      </c>
      <c r="BK14">
        <v>0</v>
      </c>
      <c r="BL14" t="s">
        <v>693</v>
      </c>
      <c r="BM14" t="s">
        <v>695</v>
      </c>
      <c r="BN14" t="s">
        <v>702</v>
      </c>
      <c r="BO14" t="s">
        <v>706</v>
      </c>
      <c r="BP14" t="s">
        <v>707</v>
      </c>
      <c r="BQ14" t="s">
        <v>708</v>
      </c>
    </row>
    <row r="15" spans="1:69" x14ac:dyDescent="0.4">
      <c r="A15" s="2" t="s">
        <v>38</v>
      </c>
      <c r="B15" t="str">
        <f>_xlfn.TEXTAFTER(Table1[[#This Row],[VEHIDCODE]],"_")</f>
        <v>Austria_OBB_5042</v>
      </c>
      <c r="C15" t="s">
        <v>738</v>
      </c>
      <c r="D15" t="str">
        <f>"item_"&amp;Table1[[#This Row],[VEHIDCODE]]</f>
        <v>item_rbd_Austria_OBB_5042</v>
      </c>
      <c r="E15" t="str">
        <f>"str_"&amp;Table1[[#This Row],[VEHIDCODE]]</f>
        <v>str_rbd_Austria_OBB_5042</v>
      </c>
      <c r="F15">
        <v>8</v>
      </c>
      <c r="G15" t="s">
        <v>18</v>
      </c>
      <c r="H15">
        <v>0</v>
      </c>
      <c r="I15" t="s">
        <v>35</v>
      </c>
      <c r="J15">
        <v>78</v>
      </c>
      <c r="K15">
        <v>1935</v>
      </c>
      <c r="L15">
        <v>8</v>
      </c>
      <c r="M15" s="2" t="s">
        <v>24</v>
      </c>
      <c r="N15" t="b">
        <v>1</v>
      </c>
      <c r="P15" s="2"/>
      <c r="Q15">
        <v>45</v>
      </c>
      <c r="R15">
        <v>1</v>
      </c>
      <c r="S15">
        <v>410</v>
      </c>
      <c r="T15" t="s">
        <v>712</v>
      </c>
      <c r="U15">
        <v>110</v>
      </c>
      <c r="V15" s="2">
        <v>0.08</v>
      </c>
      <c r="AE15" t="b">
        <v>1</v>
      </c>
      <c r="AZ15" s="2"/>
      <c r="BA15" s="7">
        <v>15</v>
      </c>
      <c r="BB15" t="s">
        <v>924</v>
      </c>
      <c r="BC15" t="s">
        <v>923</v>
      </c>
      <c r="BD15" t="s">
        <v>941</v>
      </c>
      <c r="BE15" t="str">
        <f>IF(OR(Table1[[#This Row],[ENGINE_CLASS]]="STEAM",Table1[[#This Row],[ENGINE_CLASS]]="ELECTRIC",Table1[[#This Row],[ENGINE_CLASS]]="DIESEL"),Table1[[#This Row],[ENGINE_CLASS]],"DISABLE")</f>
        <v>DIESEL</v>
      </c>
      <c r="BF15">
        <v>-3</v>
      </c>
      <c r="BG15" t="s">
        <v>735</v>
      </c>
      <c r="BI15"/>
      <c r="BJ15">
        <v>59</v>
      </c>
      <c r="BK15">
        <v>0</v>
      </c>
      <c r="BL15" t="s">
        <v>693</v>
      </c>
      <c r="BM15" t="s">
        <v>695</v>
      </c>
      <c r="BN15" t="s">
        <v>702</v>
      </c>
      <c r="BO15" t="s">
        <v>706</v>
      </c>
      <c r="BP15" t="s">
        <v>707</v>
      </c>
      <c r="BQ15" t="s">
        <v>708</v>
      </c>
    </row>
    <row r="16" spans="1:69" x14ac:dyDescent="0.4">
      <c r="A16" s="2" t="s">
        <v>39</v>
      </c>
      <c r="B16" t="str">
        <f>_xlfn.TEXTAFTER(Table1[[#This Row],[VEHIDCODE]],"_")</f>
        <v>New_Zealand_NZR_RM31</v>
      </c>
      <c r="C16" t="s">
        <v>738</v>
      </c>
      <c r="D16" t="str">
        <f>"item_"&amp;Table1[[#This Row],[VEHIDCODE]]</f>
        <v>item_rbd_New_Zealand_NZR_RM31</v>
      </c>
      <c r="E16" t="str">
        <f>"str_"&amp;Table1[[#This Row],[VEHIDCODE]]</f>
        <v>str_rbd_New_Zealand_NZR_RM31</v>
      </c>
      <c r="F16">
        <v>8</v>
      </c>
      <c r="G16" t="s">
        <v>18</v>
      </c>
      <c r="H16">
        <v>0</v>
      </c>
      <c r="I16" t="s">
        <v>35</v>
      </c>
      <c r="J16">
        <v>50</v>
      </c>
      <c r="K16">
        <v>1940</v>
      </c>
      <c r="L16">
        <v>8</v>
      </c>
      <c r="M16" s="2" t="s">
        <v>24</v>
      </c>
      <c r="N16" t="b">
        <v>1</v>
      </c>
      <c r="P16" s="2"/>
      <c r="Q16">
        <v>45</v>
      </c>
      <c r="R16">
        <v>1</v>
      </c>
      <c r="S16">
        <v>250</v>
      </c>
      <c r="T16" t="s">
        <v>712</v>
      </c>
      <c r="U16">
        <v>120</v>
      </c>
      <c r="V16" s="2">
        <v>0.2</v>
      </c>
      <c r="AE16" t="b">
        <v>1</v>
      </c>
      <c r="AZ16" s="2"/>
      <c r="BA16" s="7">
        <v>15</v>
      </c>
      <c r="BB16" t="s">
        <v>926</v>
      </c>
      <c r="BC16" t="s">
        <v>923</v>
      </c>
      <c r="BD16" t="s">
        <v>941</v>
      </c>
      <c r="BE16" t="str">
        <f>IF(OR(Table1[[#This Row],[ENGINE_CLASS]]="STEAM",Table1[[#This Row],[ENGINE_CLASS]]="ELECTRIC",Table1[[#This Row],[ENGINE_CLASS]]="DIESEL"),Table1[[#This Row],[ENGINE_CLASS]],"DISABLE")</f>
        <v>DIESEL</v>
      </c>
      <c r="BF16">
        <v>-3</v>
      </c>
      <c r="BG16" t="s">
        <v>735</v>
      </c>
      <c r="BI16"/>
      <c r="BJ16">
        <v>37</v>
      </c>
      <c r="BK16">
        <v>0</v>
      </c>
      <c r="BL16" t="s">
        <v>693</v>
      </c>
      <c r="BM16" t="s">
        <v>695</v>
      </c>
      <c r="BN16" t="s">
        <v>702</v>
      </c>
      <c r="BO16" t="s">
        <v>706</v>
      </c>
      <c r="BP16" t="s">
        <v>707</v>
      </c>
      <c r="BQ16" t="s">
        <v>708</v>
      </c>
    </row>
    <row r="17" spans="1:69" x14ac:dyDescent="0.4">
      <c r="A17" s="2" t="s">
        <v>40</v>
      </c>
      <c r="B17" t="str">
        <f>_xlfn.TEXTAFTER(Table1[[#This Row],[VEHIDCODE]],"_")</f>
        <v>Portugal_CP_0100</v>
      </c>
      <c r="C17" t="s">
        <v>738</v>
      </c>
      <c r="D17" t="str">
        <f>"item_"&amp;Table1[[#This Row],[VEHIDCODE]]</f>
        <v>item_rbd_Portugal_CP_0100</v>
      </c>
      <c r="E17" t="str">
        <f>"str_"&amp;Table1[[#This Row],[VEHIDCODE]]</f>
        <v>str_rbd_Portugal_CP_0100</v>
      </c>
      <c r="F17">
        <v>8</v>
      </c>
      <c r="G17" t="s">
        <v>18</v>
      </c>
      <c r="H17">
        <v>0</v>
      </c>
      <c r="I17" t="s">
        <v>35</v>
      </c>
      <c r="J17">
        <v>70</v>
      </c>
      <c r="K17">
        <v>1948</v>
      </c>
      <c r="L17">
        <v>8</v>
      </c>
      <c r="M17" s="2" t="s">
        <v>24</v>
      </c>
      <c r="N17" t="b">
        <v>1</v>
      </c>
      <c r="P17" s="2"/>
      <c r="Q17">
        <v>45</v>
      </c>
      <c r="R17">
        <v>1</v>
      </c>
      <c r="S17">
        <v>250</v>
      </c>
      <c r="T17" t="s">
        <v>712</v>
      </c>
      <c r="U17">
        <v>112</v>
      </c>
      <c r="V17" s="2">
        <v>0.26</v>
      </c>
      <c r="AE17" t="b">
        <v>1</v>
      </c>
      <c r="AZ17" s="2"/>
      <c r="BA17" s="7">
        <v>15</v>
      </c>
      <c r="BB17" t="s">
        <v>925</v>
      </c>
      <c r="BC17" t="s">
        <v>923</v>
      </c>
      <c r="BD17" t="s">
        <v>941</v>
      </c>
      <c r="BE17" t="str">
        <f>IF(OR(Table1[[#This Row],[ENGINE_CLASS]]="STEAM",Table1[[#This Row],[ENGINE_CLASS]]="ELECTRIC",Table1[[#This Row],[ENGINE_CLASS]]="DIESEL"),Table1[[#This Row],[ENGINE_CLASS]],"DISABLE")</f>
        <v>DIESEL</v>
      </c>
      <c r="BF17">
        <v>-3</v>
      </c>
      <c r="BG17" t="s">
        <v>735</v>
      </c>
      <c r="BI17"/>
      <c r="BJ17">
        <v>32</v>
      </c>
      <c r="BK17">
        <v>0</v>
      </c>
      <c r="BL17" t="s">
        <v>693</v>
      </c>
      <c r="BM17" t="s">
        <v>695</v>
      </c>
      <c r="BN17" t="s">
        <v>702</v>
      </c>
      <c r="BO17" t="s">
        <v>706</v>
      </c>
      <c r="BP17" t="s">
        <v>707</v>
      </c>
      <c r="BQ17" t="s">
        <v>708</v>
      </c>
    </row>
    <row r="18" spans="1:69" x14ac:dyDescent="0.4">
      <c r="A18" s="2" t="s">
        <v>41</v>
      </c>
      <c r="B18" t="str">
        <f>_xlfn.TEXTAFTER(Table1[[#This Row],[VEHIDCODE]],"_")</f>
        <v>USA_Amtrak_Budd_RDC</v>
      </c>
      <c r="C18" t="s">
        <v>738</v>
      </c>
      <c r="D18" t="str">
        <f>"item_"&amp;Table1[[#This Row],[VEHIDCODE]]</f>
        <v>item_rbd_USA_Amtrak_Budd_RDC</v>
      </c>
      <c r="E18" t="str">
        <f>"str_"&amp;Table1[[#This Row],[VEHIDCODE]]</f>
        <v>str_rbd_USA_Amtrak_Budd_RDC</v>
      </c>
      <c r="F18">
        <v>8</v>
      </c>
      <c r="G18" t="s">
        <v>18</v>
      </c>
      <c r="H18">
        <v>0</v>
      </c>
      <c r="I18" t="s">
        <v>35</v>
      </c>
      <c r="J18">
        <v>90</v>
      </c>
      <c r="K18">
        <v>1949</v>
      </c>
      <c r="L18">
        <v>8</v>
      </c>
      <c r="M18" s="2" t="s">
        <v>24</v>
      </c>
      <c r="N18" t="b">
        <v>1</v>
      </c>
      <c r="P18" s="2"/>
      <c r="Q18">
        <v>45</v>
      </c>
      <c r="R18">
        <v>1</v>
      </c>
      <c r="S18">
        <v>550</v>
      </c>
      <c r="T18" t="s">
        <v>712</v>
      </c>
      <c r="U18">
        <v>136</v>
      </c>
      <c r="V18" s="2">
        <v>0.1</v>
      </c>
      <c r="AE18" t="b">
        <v>1</v>
      </c>
      <c r="AZ18" s="2"/>
      <c r="BA18" s="7">
        <v>15</v>
      </c>
      <c r="BB18" t="s">
        <v>929</v>
      </c>
      <c r="BC18" t="s">
        <v>923</v>
      </c>
      <c r="BD18" t="s">
        <v>941</v>
      </c>
      <c r="BE18" t="str">
        <f>IF(OR(Table1[[#This Row],[ENGINE_CLASS]]="STEAM",Table1[[#This Row],[ENGINE_CLASS]]="ELECTRIC",Table1[[#This Row],[ENGINE_CLASS]]="DIESEL"),Table1[[#This Row],[ENGINE_CLASS]],"DISABLE")</f>
        <v>DIESEL</v>
      </c>
      <c r="BF18">
        <v>-3</v>
      </c>
      <c r="BG18" t="s">
        <v>735</v>
      </c>
      <c r="BI18"/>
      <c r="BJ18">
        <v>49</v>
      </c>
      <c r="BK18">
        <v>0</v>
      </c>
      <c r="BL18" t="s">
        <v>693</v>
      </c>
      <c r="BM18" t="s">
        <v>695</v>
      </c>
      <c r="BN18" t="s">
        <v>702</v>
      </c>
      <c r="BO18" t="s">
        <v>706</v>
      </c>
      <c r="BP18" t="s">
        <v>707</v>
      </c>
      <c r="BQ18" t="s">
        <v>708</v>
      </c>
    </row>
    <row r="19" spans="1:69" x14ac:dyDescent="0.4">
      <c r="A19" s="2" t="s">
        <v>42</v>
      </c>
      <c r="B19" t="str">
        <f>_xlfn.TEXTAFTER(Table1[[#This Row],[VEHIDCODE]],"_")</f>
        <v>Germany_DB_VT_989</v>
      </c>
      <c r="C19" t="s">
        <v>738</v>
      </c>
      <c r="D19" t="str">
        <f>"item_"&amp;Table1[[#This Row],[VEHIDCODE]]</f>
        <v>item_rbd_Germany_DB_VT_989</v>
      </c>
      <c r="E19" t="str">
        <f>"str_"&amp;Table1[[#This Row],[VEHIDCODE]]</f>
        <v>str_rbd_Germany_DB_VT_989</v>
      </c>
      <c r="F19">
        <v>6</v>
      </c>
      <c r="G19" t="s">
        <v>18</v>
      </c>
      <c r="H19">
        <v>0</v>
      </c>
      <c r="I19" t="s">
        <v>35</v>
      </c>
      <c r="J19">
        <v>56</v>
      </c>
      <c r="K19">
        <v>1953</v>
      </c>
      <c r="L19">
        <v>6</v>
      </c>
      <c r="M19" s="2" t="s">
        <v>24</v>
      </c>
      <c r="N19" t="b">
        <v>1</v>
      </c>
      <c r="P19" s="2"/>
      <c r="Q19">
        <v>45</v>
      </c>
      <c r="R19">
        <v>1</v>
      </c>
      <c r="S19">
        <v>290</v>
      </c>
      <c r="T19" t="s">
        <v>712</v>
      </c>
      <c r="U19">
        <v>90</v>
      </c>
      <c r="V19" s="2">
        <v>0.2</v>
      </c>
      <c r="AE19" t="b">
        <v>1</v>
      </c>
      <c r="AZ19" s="2"/>
      <c r="BA19" s="7">
        <v>15</v>
      </c>
      <c r="BB19" t="s">
        <v>924</v>
      </c>
      <c r="BC19" t="s">
        <v>923</v>
      </c>
      <c r="BD19" t="s">
        <v>941</v>
      </c>
      <c r="BE19" t="str">
        <f>IF(OR(Table1[[#This Row],[ENGINE_CLASS]]="STEAM",Table1[[#This Row],[ENGINE_CLASS]]="ELECTRIC",Table1[[#This Row],[ENGINE_CLASS]]="DIESEL"),Table1[[#This Row],[ENGINE_CLASS]],"DISABLE")</f>
        <v>DIESEL</v>
      </c>
      <c r="BF19">
        <v>-3</v>
      </c>
      <c r="BG19" t="s">
        <v>735</v>
      </c>
      <c r="BI19"/>
      <c r="BJ19">
        <v>21</v>
      </c>
      <c r="BK19">
        <v>0</v>
      </c>
      <c r="BL19" t="s">
        <v>693</v>
      </c>
      <c r="BM19" t="s">
        <v>695</v>
      </c>
      <c r="BN19" t="s">
        <v>702</v>
      </c>
      <c r="BO19" t="s">
        <v>706</v>
      </c>
      <c r="BP19" t="s">
        <v>707</v>
      </c>
      <c r="BQ19" t="s">
        <v>708</v>
      </c>
    </row>
    <row r="20" spans="1:69" x14ac:dyDescent="0.4">
      <c r="A20" s="2" t="s">
        <v>43</v>
      </c>
      <c r="B20" t="str">
        <f>_xlfn.TEXTAFTER(Table1[[#This Row],[VEHIDCODE]],"_")</f>
        <v>Germany_OHE_520_GDT</v>
      </c>
      <c r="C20" t="s">
        <v>738</v>
      </c>
      <c r="D20" t="str">
        <f>"item_"&amp;Table1[[#This Row],[VEHIDCODE]]</f>
        <v>item_rbd_Germany_OHE_520_GDT</v>
      </c>
      <c r="E20" t="str">
        <f>"str_"&amp;Table1[[#This Row],[VEHIDCODE]]</f>
        <v>str_rbd_Germany_OHE_520_GDT</v>
      </c>
      <c r="F20">
        <v>8</v>
      </c>
      <c r="G20" t="s">
        <v>18</v>
      </c>
      <c r="H20">
        <v>0</v>
      </c>
      <c r="I20" t="s">
        <v>35</v>
      </c>
      <c r="J20">
        <v>108</v>
      </c>
      <c r="K20">
        <v>1953</v>
      </c>
      <c r="L20">
        <v>8</v>
      </c>
      <c r="M20" s="2" t="s">
        <v>24</v>
      </c>
      <c r="N20" t="b">
        <v>1</v>
      </c>
      <c r="P20" s="2"/>
      <c r="Q20">
        <v>45</v>
      </c>
      <c r="R20">
        <v>1</v>
      </c>
      <c r="S20">
        <v>600</v>
      </c>
      <c r="T20" t="s">
        <v>712</v>
      </c>
      <c r="U20">
        <v>75</v>
      </c>
      <c r="V20" s="2">
        <v>0.25</v>
      </c>
      <c r="AE20" t="b">
        <v>1</v>
      </c>
      <c r="AZ20" s="2"/>
      <c r="BA20" s="7">
        <v>15</v>
      </c>
      <c r="BB20" t="s">
        <v>924</v>
      </c>
      <c r="BC20" t="s">
        <v>923</v>
      </c>
      <c r="BD20" t="s">
        <v>941</v>
      </c>
      <c r="BE20" t="str">
        <f>IF(OR(Table1[[#This Row],[ENGINE_CLASS]]="STEAM",Table1[[#This Row],[ENGINE_CLASS]]="ELECTRIC",Table1[[#This Row],[ENGINE_CLASS]]="DIESEL"),Table1[[#This Row],[ENGINE_CLASS]],"DISABLE")</f>
        <v>DIESEL</v>
      </c>
      <c r="BF20">
        <v>-3</v>
      </c>
      <c r="BG20" t="s">
        <v>735</v>
      </c>
      <c r="BI20"/>
      <c r="BJ20">
        <v>41</v>
      </c>
      <c r="BK20">
        <v>0</v>
      </c>
      <c r="BL20" t="s">
        <v>693</v>
      </c>
      <c r="BM20" t="s">
        <v>695</v>
      </c>
      <c r="BN20" t="s">
        <v>702</v>
      </c>
      <c r="BO20" t="s">
        <v>706</v>
      </c>
      <c r="BP20" t="s">
        <v>707</v>
      </c>
      <c r="BQ20" t="s">
        <v>708</v>
      </c>
    </row>
    <row r="21" spans="1:69" x14ac:dyDescent="0.4">
      <c r="A21" s="2" t="s">
        <v>44</v>
      </c>
      <c r="B21" t="str">
        <f>_xlfn.TEXTAFTER(Table1[[#This Row],[VEHIDCODE]],"_")</f>
        <v>Netherlands_NS_20_Kameel</v>
      </c>
      <c r="C21" t="s">
        <v>738</v>
      </c>
      <c r="D21" t="str">
        <f>"item_"&amp;Table1[[#This Row],[VEHIDCODE]]</f>
        <v>item_rbd_Netherlands_NS_20_Kameel</v>
      </c>
      <c r="E21" t="str">
        <f>"str_"&amp;Table1[[#This Row],[VEHIDCODE]]</f>
        <v>str_rbd_Netherlands_NS_20_Kameel</v>
      </c>
      <c r="F21">
        <v>8</v>
      </c>
      <c r="G21" t="s">
        <v>18</v>
      </c>
      <c r="H21">
        <v>0</v>
      </c>
      <c r="I21" t="s">
        <v>35</v>
      </c>
      <c r="J21">
        <v>28</v>
      </c>
      <c r="K21">
        <v>1954</v>
      </c>
      <c r="L21">
        <v>8</v>
      </c>
      <c r="M21" s="2" t="s">
        <v>24</v>
      </c>
      <c r="N21" t="b">
        <v>1</v>
      </c>
      <c r="P21" s="2"/>
      <c r="Q21">
        <v>45</v>
      </c>
      <c r="R21">
        <v>1</v>
      </c>
      <c r="S21">
        <v>285</v>
      </c>
      <c r="T21" t="s">
        <v>712</v>
      </c>
      <c r="U21">
        <v>125</v>
      </c>
      <c r="V21" s="2">
        <v>0.12</v>
      </c>
      <c r="AE21" t="b">
        <v>1</v>
      </c>
      <c r="AZ21" s="2"/>
      <c r="BA21" s="7">
        <v>15</v>
      </c>
      <c r="BB21" t="s">
        <v>924</v>
      </c>
      <c r="BC21" t="s">
        <v>923</v>
      </c>
      <c r="BD21" t="s">
        <v>941</v>
      </c>
      <c r="BE21" t="str">
        <f>IF(OR(Table1[[#This Row],[ENGINE_CLASS]]="STEAM",Table1[[#This Row],[ENGINE_CLASS]]="ELECTRIC",Table1[[#This Row],[ENGINE_CLASS]]="DIESEL"),Table1[[#This Row],[ENGINE_CLASS]],"DISABLE")</f>
        <v>DIESEL</v>
      </c>
      <c r="BF21">
        <v>-3</v>
      </c>
      <c r="BG21" t="s">
        <v>735</v>
      </c>
      <c r="BI21"/>
      <c r="BJ21">
        <v>58</v>
      </c>
      <c r="BK21">
        <v>0</v>
      </c>
      <c r="BL21" t="s">
        <v>693</v>
      </c>
      <c r="BM21" t="s">
        <v>695</v>
      </c>
      <c r="BN21" t="s">
        <v>702</v>
      </c>
      <c r="BO21" t="s">
        <v>706</v>
      </c>
      <c r="BP21" t="s">
        <v>707</v>
      </c>
      <c r="BQ21" t="s">
        <v>708</v>
      </c>
    </row>
    <row r="22" spans="1:69" x14ac:dyDescent="0.4">
      <c r="A22" s="2" t="s">
        <v>45</v>
      </c>
      <c r="B22" t="str">
        <f>_xlfn.TEXTAFTER(Table1[[#This Row],[VEHIDCODE]],"_")</f>
        <v>Netherlands_NS_DH1</v>
      </c>
      <c r="C22" t="s">
        <v>738</v>
      </c>
      <c r="D22" t="str">
        <f>"item_"&amp;Table1[[#This Row],[VEHIDCODE]]</f>
        <v>item_rbd_Netherlands_NS_DH1</v>
      </c>
      <c r="E22" t="str">
        <f>"str_"&amp;Table1[[#This Row],[VEHIDCODE]]</f>
        <v>str_rbd_Netherlands_NS_DH1</v>
      </c>
      <c r="F22">
        <v>8</v>
      </c>
      <c r="G22" t="s">
        <v>18</v>
      </c>
      <c r="H22">
        <v>0</v>
      </c>
      <c r="I22" t="s">
        <v>35</v>
      </c>
      <c r="J22">
        <v>56</v>
      </c>
      <c r="K22">
        <v>1984</v>
      </c>
      <c r="L22">
        <v>8</v>
      </c>
      <c r="M22" s="2" t="s">
        <v>24</v>
      </c>
      <c r="N22" t="b">
        <v>1</v>
      </c>
      <c r="P22" s="2"/>
      <c r="Q22">
        <v>45</v>
      </c>
      <c r="R22">
        <v>1</v>
      </c>
      <c r="S22">
        <v>285</v>
      </c>
      <c r="T22" t="s">
        <v>712</v>
      </c>
      <c r="U22">
        <v>100</v>
      </c>
      <c r="V22" s="2">
        <v>0.23</v>
      </c>
      <c r="AE22" t="b">
        <v>1</v>
      </c>
      <c r="AZ22" s="2"/>
      <c r="BA22" s="7">
        <v>15</v>
      </c>
      <c r="BB22" t="s">
        <v>924</v>
      </c>
      <c r="BC22" t="s">
        <v>923</v>
      </c>
      <c r="BD22" t="s">
        <v>941</v>
      </c>
      <c r="BE22" t="str">
        <f>IF(OR(Table1[[#This Row],[ENGINE_CLASS]]="STEAM",Table1[[#This Row],[ENGINE_CLASS]]="ELECTRIC",Table1[[#This Row],[ENGINE_CLASS]]="DIESEL"),Table1[[#This Row],[ENGINE_CLASS]],"DISABLE")</f>
        <v>DIESEL</v>
      </c>
      <c r="BF22">
        <v>-3</v>
      </c>
      <c r="BG22" t="s">
        <v>735</v>
      </c>
      <c r="BI22"/>
      <c r="BJ22">
        <v>37</v>
      </c>
      <c r="BK22">
        <v>0</v>
      </c>
      <c r="BL22" t="s">
        <v>693</v>
      </c>
      <c r="BM22" t="s">
        <v>695</v>
      </c>
      <c r="BN22" t="s">
        <v>702</v>
      </c>
      <c r="BO22" t="s">
        <v>706</v>
      </c>
      <c r="BP22" t="s">
        <v>707</v>
      </c>
      <c r="BQ22" t="s">
        <v>708</v>
      </c>
    </row>
    <row r="23" spans="1:69" x14ac:dyDescent="0.4">
      <c r="A23" s="2" t="s">
        <v>46</v>
      </c>
      <c r="B23" t="str">
        <f>_xlfn.TEXTAFTER(Table1[[#This Row],[VEHIDCODE]],"_")</f>
        <v>Austria_OBB_5047</v>
      </c>
      <c r="C23" t="s">
        <v>738</v>
      </c>
      <c r="D23" t="str">
        <f>"item_"&amp;Table1[[#This Row],[VEHIDCODE]]</f>
        <v>item_rbd_Austria_OBB_5047</v>
      </c>
      <c r="E23" t="str">
        <f>"str_"&amp;Table1[[#This Row],[VEHIDCODE]]</f>
        <v>str_rbd_Austria_OBB_5047</v>
      </c>
      <c r="F23">
        <v>8</v>
      </c>
      <c r="G23" t="s">
        <v>18</v>
      </c>
      <c r="H23">
        <v>0</v>
      </c>
      <c r="I23" t="s">
        <v>35</v>
      </c>
      <c r="J23">
        <v>62</v>
      </c>
      <c r="K23">
        <v>1987</v>
      </c>
      <c r="L23">
        <v>8</v>
      </c>
      <c r="M23" s="2" t="s">
        <v>24</v>
      </c>
      <c r="N23" t="b">
        <v>1</v>
      </c>
      <c r="P23" s="2"/>
      <c r="Q23">
        <v>45</v>
      </c>
      <c r="R23">
        <v>1</v>
      </c>
      <c r="S23">
        <v>562</v>
      </c>
      <c r="T23" t="s">
        <v>712</v>
      </c>
      <c r="U23">
        <v>120</v>
      </c>
      <c r="V23" s="2">
        <v>0.11</v>
      </c>
      <c r="AE23" t="b">
        <v>1</v>
      </c>
      <c r="AZ23" s="2"/>
      <c r="BA23" s="7">
        <v>15</v>
      </c>
      <c r="BB23" t="s">
        <v>924</v>
      </c>
      <c r="BC23" t="s">
        <v>923</v>
      </c>
      <c r="BD23" t="s">
        <v>941</v>
      </c>
      <c r="BE23" t="str">
        <f>IF(OR(Table1[[#This Row],[ENGINE_CLASS]]="STEAM",Table1[[#This Row],[ENGINE_CLASS]]="ELECTRIC",Table1[[#This Row],[ENGINE_CLASS]]="DIESEL"),Table1[[#This Row],[ENGINE_CLASS]],"DISABLE")</f>
        <v>DIESEL</v>
      </c>
      <c r="BF23">
        <v>-3</v>
      </c>
      <c r="BG23" t="s">
        <v>735</v>
      </c>
      <c r="BI23"/>
      <c r="BJ23">
        <v>44</v>
      </c>
      <c r="BK23">
        <v>0</v>
      </c>
      <c r="BL23" t="s">
        <v>693</v>
      </c>
      <c r="BM23" t="s">
        <v>695</v>
      </c>
      <c r="BN23" t="s">
        <v>702</v>
      </c>
      <c r="BO23" t="s">
        <v>706</v>
      </c>
      <c r="BP23" t="s">
        <v>707</v>
      </c>
      <c r="BQ23" t="s">
        <v>708</v>
      </c>
    </row>
    <row r="24" spans="1:69" x14ac:dyDescent="0.4">
      <c r="A24" s="2" t="s">
        <v>47</v>
      </c>
      <c r="B24" t="str">
        <f>_xlfn.TEXTAFTER(Table1[[#This Row],[VEHIDCODE]],"_")</f>
        <v>United_Kingdom_BR_153_Super_Sprinter</v>
      </c>
      <c r="C24" t="s">
        <v>738</v>
      </c>
      <c r="D24" t="str">
        <f>"item_"&amp;Table1[[#This Row],[VEHIDCODE]]</f>
        <v>item_rbd_United_Kingdom_BR_153_Super_Sprinter</v>
      </c>
      <c r="E24" t="str">
        <f>"str_"&amp;Table1[[#This Row],[VEHIDCODE]]</f>
        <v>str_rbd_United_Kingdom_BR_153_Super_Sprinter</v>
      </c>
      <c r="F24">
        <v>8</v>
      </c>
      <c r="G24" t="s">
        <v>18</v>
      </c>
      <c r="H24">
        <v>0</v>
      </c>
      <c r="I24" t="s">
        <v>35</v>
      </c>
      <c r="J24">
        <v>75</v>
      </c>
      <c r="K24">
        <v>1991</v>
      </c>
      <c r="L24">
        <v>8</v>
      </c>
      <c r="M24" s="2" t="s">
        <v>24</v>
      </c>
      <c r="N24" t="b">
        <v>1</v>
      </c>
      <c r="P24" s="2"/>
      <c r="Q24">
        <v>45</v>
      </c>
      <c r="R24">
        <v>1</v>
      </c>
      <c r="S24">
        <v>285</v>
      </c>
      <c r="T24" t="s">
        <v>712</v>
      </c>
      <c r="U24">
        <v>144</v>
      </c>
      <c r="V24" s="2">
        <v>0.1</v>
      </c>
      <c r="AE24" t="b">
        <v>1</v>
      </c>
      <c r="AZ24" s="2"/>
      <c r="BA24" s="7">
        <v>15</v>
      </c>
      <c r="BB24" t="s">
        <v>928</v>
      </c>
      <c r="BC24" t="s">
        <v>923</v>
      </c>
      <c r="BD24" t="s">
        <v>941</v>
      </c>
      <c r="BE24" t="str">
        <f>IF(OR(Table1[[#This Row],[ENGINE_CLASS]]="STEAM",Table1[[#This Row],[ENGINE_CLASS]]="ELECTRIC",Table1[[#This Row],[ENGINE_CLASS]]="DIESEL"),Table1[[#This Row],[ENGINE_CLASS]],"DISABLE")</f>
        <v>DIESEL</v>
      </c>
      <c r="BF24">
        <v>-3</v>
      </c>
      <c r="BG24" t="s">
        <v>735</v>
      </c>
      <c r="BI24"/>
      <c r="BJ24">
        <v>42</v>
      </c>
      <c r="BK24">
        <v>0</v>
      </c>
      <c r="BL24" t="s">
        <v>693</v>
      </c>
      <c r="BM24" t="s">
        <v>695</v>
      </c>
      <c r="BN24" t="s">
        <v>702</v>
      </c>
      <c r="BO24" t="s">
        <v>706</v>
      </c>
      <c r="BP24" t="s">
        <v>707</v>
      </c>
      <c r="BQ24" t="s">
        <v>708</v>
      </c>
    </row>
    <row r="25" spans="1:69" x14ac:dyDescent="0.4">
      <c r="A25" s="2" t="s">
        <v>48</v>
      </c>
      <c r="B25" t="str">
        <f>_xlfn.TEXTAFTER(Table1[[#This Row],[VEHIDCODE]],"_")</f>
        <v>Czech_Republic_CD_809</v>
      </c>
      <c r="C25" t="s">
        <v>738</v>
      </c>
      <c r="D25" t="str">
        <f>"item_"&amp;Table1[[#This Row],[VEHIDCODE]]</f>
        <v>item_rbd_Czech_Republic_CD_809</v>
      </c>
      <c r="E25" t="str">
        <f>"str_"&amp;Table1[[#This Row],[VEHIDCODE]]</f>
        <v>str_rbd_Czech_Republic_CD_809</v>
      </c>
      <c r="F25">
        <v>7</v>
      </c>
      <c r="G25" t="s">
        <v>18</v>
      </c>
      <c r="H25">
        <v>0</v>
      </c>
      <c r="I25" t="s">
        <v>35</v>
      </c>
      <c r="J25">
        <v>55</v>
      </c>
      <c r="K25">
        <v>1996</v>
      </c>
      <c r="L25">
        <v>7</v>
      </c>
      <c r="M25" s="2" t="s">
        <v>24</v>
      </c>
      <c r="N25" t="b">
        <v>1</v>
      </c>
      <c r="P25" s="2"/>
      <c r="Q25" t="s">
        <v>21</v>
      </c>
      <c r="R25">
        <v>1</v>
      </c>
      <c r="S25">
        <v>210</v>
      </c>
      <c r="T25" t="s">
        <v>712</v>
      </c>
      <c r="U25">
        <v>80</v>
      </c>
      <c r="V25" s="2">
        <v>0.15</v>
      </c>
      <c r="AE25" t="b">
        <v>1</v>
      </c>
      <c r="AZ25" s="2"/>
      <c r="BA25" s="7">
        <v>15</v>
      </c>
      <c r="BB25" t="s">
        <v>930</v>
      </c>
      <c r="BC25" t="s">
        <v>923</v>
      </c>
      <c r="BD25" t="s">
        <v>941</v>
      </c>
      <c r="BE25" t="str">
        <f>IF(OR(Table1[[#This Row],[ENGINE_CLASS]]="STEAM",Table1[[#This Row],[ENGINE_CLASS]]="ELECTRIC",Table1[[#This Row],[ENGINE_CLASS]]="DIESEL"),Table1[[#This Row],[ENGINE_CLASS]],"DISABLE")</f>
        <v>DIESEL</v>
      </c>
      <c r="BF25">
        <v>-3</v>
      </c>
      <c r="BG25" t="s">
        <v>735</v>
      </c>
      <c r="BI25"/>
      <c r="BJ25">
        <v>20</v>
      </c>
      <c r="BK25">
        <v>0</v>
      </c>
      <c r="BL25" t="s">
        <v>693</v>
      </c>
      <c r="BM25" t="s">
        <v>695</v>
      </c>
      <c r="BN25" t="s">
        <v>702</v>
      </c>
      <c r="BO25" t="s">
        <v>706</v>
      </c>
      <c r="BP25" t="s">
        <v>707</v>
      </c>
      <c r="BQ25" t="s">
        <v>708</v>
      </c>
    </row>
    <row r="26" spans="1:69" x14ac:dyDescent="0.4">
      <c r="A26" s="2" t="s">
        <v>49</v>
      </c>
      <c r="B26" t="str">
        <f>_xlfn.TEXTAFTER(Table1[[#This Row],[VEHIDCODE]],"_")</f>
        <v>Germany_DB_670</v>
      </c>
      <c r="C26" t="s">
        <v>738</v>
      </c>
      <c r="D26" t="str">
        <f>"item_"&amp;Table1[[#This Row],[VEHIDCODE]]</f>
        <v>item_rbd_Germany_DB_670</v>
      </c>
      <c r="E26" t="str">
        <f>"str_"&amp;Table1[[#This Row],[VEHIDCODE]]</f>
        <v>str_rbd_Germany_DB_670</v>
      </c>
      <c r="F26">
        <v>7</v>
      </c>
      <c r="G26" t="s">
        <v>18</v>
      </c>
      <c r="H26">
        <v>0</v>
      </c>
      <c r="I26" t="s">
        <v>35</v>
      </c>
      <c r="J26">
        <v>110</v>
      </c>
      <c r="K26">
        <v>1996</v>
      </c>
      <c r="L26">
        <v>7</v>
      </c>
      <c r="M26" s="2" t="s">
        <v>24</v>
      </c>
      <c r="N26" t="b">
        <v>1</v>
      </c>
      <c r="P26" s="2"/>
      <c r="Q26" t="s">
        <v>21</v>
      </c>
      <c r="R26">
        <v>1</v>
      </c>
      <c r="S26">
        <v>335</v>
      </c>
      <c r="T26" t="s">
        <v>712</v>
      </c>
      <c r="U26">
        <v>100</v>
      </c>
      <c r="V26" s="2">
        <v>0.21</v>
      </c>
      <c r="AE26" t="b">
        <v>1</v>
      </c>
      <c r="AZ26" s="2"/>
      <c r="BA26" s="7">
        <v>15</v>
      </c>
      <c r="BB26" t="s">
        <v>924</v>
      </c>
      <c r="BC26" t="s">
        <v>923</v>
      </c>
      <c r="BD26" t="s">
        <v>941</v>
      </c>
      <c r="BE26" t="str">
        <f>IF(OR(Table1[[#This Row],[ENGINE_CLASS]]="STEAM",Table1[[#This Row],[ENGINE_CLASS]]="ELECTRIC",Table1[[#This Row],[ENGINE_CLASS]]="DIESEL"),Table1[[#This Row],[ENGINE_CLASS]],"DISABLE")</f>
        <v>DIESEL</v>
      </c>
      <c r="BF26">
        <v>-3</v>
      </c>
      <c r="BG26" t="s">
        <v>735</v>
      </c>
      <c r="BI26"/>
      <c r="BJ26">
        <v>34</v>
      </c>
      <c r="BK26">
        <v>0</v>
      </c>
      <c r="BL26" t="s">
        <v>693</v>
      </c>
      <c r="BM26" t="s">
        <v>695</v>
      </c>
      <c r="BN26" t="s">
        <v>702</v>
      </c>
      <c r="BO26" t="s">
        <v>706</v>
      </c>
      <c r="BP26" t="s">
        <v>707</v>
      </c>
      <c r="BQ26" t="s">
        <v>708</v>
      </c>
    </row>
    <row r="27" spans="1:69" x14ac:dyDescent="0.4">
      <c r="A27" s="2" t="s">
        <v>50</v>
      </c>
      <c r="B27" t="str">
        <f>_xlfn.TEXTAFTER(Table1[[#This Row],[VEHIDCODE]],"_")</f>
        <v>Lithuania_Lithuanian_Railways_AR2</v>
      </c>
      <c r="C27" t="s">
        <v>738</v>
      </c>
      <c r="D27" t="str">
        <f>"item_"&amp;Table1[[#This Row],[VEHIDCODE]]</f>
        <v>item_rbd_Lithuania_Lithuanian_Railways_AR2</v>
      </c>
      <c r="E27" t="str">
        <f>"str_"&amp;Table1[[#This Row],[VEHIDCODE]]</f>
        <v>str_rbd_Lithuania_Lithuanian_Railways_AR2</v>
      </c>
      <c r="F27">
        <v>8</v>
      </c>
      <c r="G27" t="s">
        <v>18</v>
      </c>
      <c r="H27">
        <v>0</v>
      </c>
      <c r="I27" t="s">
        <v>35</v>
      </c>
      <c r="J27">
        <v>73</v>
      </c>
      <c r="K27">
        <v>1997</v>
      </c>
      <c r="L27">
        <v>8</v>
      </c>
      <c r="M27" s="2" t="s">
        <v>24</v>
      </c>
      <c r="N27" t="b">
        <v>1</v>
      </c>
      <c r="P27" s="2"/>
      <c r="Q27" t="s">
        <v>21</v>
      </c>
      <c r="R27">
        <v>1</v>
      </c>
      <c r="S27">
        <v>400</v>
      </c>
      <c r="T27" t="s">
        <v>712</v>
      </c>
      <c r="U27">
        <v>120</v>
      </c>
      <c r="V27" s="2">
        <v>0.12</v>
      </c>
      <c r="AE27" t="b">
        <v>1</v>
      </c>
      <c r="AZ27" s="2"/>
      <c r="BA27" s="7">
        <v>15</v>
      </c>
      <c r="BB27" t="s">
        <v>928</v>
      </c>
      <c r="BC27" t="s">
        <v>923</v>
      </c>
      <c r="BD27" t="s">
        <v>941</v>
      </c>
      <c r="BE27" t="str">
        <f>IF(OR(Table1[[#This Row],[ENGINE_CLASS]]="STEAM",Table1[[#This Row],[ENGINE_CLASS]]="ELECTRIC",Table1[[#This Row],[ENGINE_CLASS]]="DIESEL"),Table1[[#This Row],[ENGINE_CLASS]],"DISABLE")</f>
        <v>DIESEL</v>
      </c>
      <c r="BF27">
        <v>-3</v>
      </c>
      <c r="BG27" t="s">
        <v>735</v>
      </c>
      <c r="BI27"/>
      <c r="BJ27">
        <v>32</v>
      </c>
      <c r="BK27">
        <v>0</v>
      </c>
      <c r="BL27" t="s">
        <v>693</v>
      </c>
      <c r="BM27" t="s">
        <v>695</v>
      </c>
      <c r="BN27" t="s">
        <v>702</v>
      </c>
      <c r="BO27" t="s">
        <v>706</v>
      </c>
      <c r="BP27" t="s">
        <v>707</v>
      </c>
      <c r="BQ27" t="s">
        <v>708</v>
      </c>
    </row>
    <row r="28" spans="1:69" x14ac:dyDescent="0.4">
      <c r="A28" s="2" t="s">
        <v>51</v>
      </c>
      <c r="B28" t="str">
        <f>_xlfn.TEXTAFTER(Table1[[#This Row],[VEHIDCODE]],"_")</f>
        <v>Austria_kkStB_19</v>
      </c>
      <c r="C28" t="s">
        <v>738</v>
      </c>
      <c r="D28" t="str">
        <f>"item_"&amp;Table1[[#This Row],[VEHIDCODE]]</f>
        <v>item_rbd_Austria_kkStB_19</v>
      </c>
      <c r="E28" t="str">
        <f>"str_"&amp;Table1[[#This Row],[VEHIDCODE]]</f>
        <v>str_rbd_Austria_kkStB_19</v>
      </c>
      <c r="F28">
        <v>4</v>
      </c>
      <c r="G28" t="s">
        <v>18</v>
      </c>
      <c r="H28">
        <v>0</v>
      </c>
      <c r="I28" t="s">
        <v>35</v>
      </c>
      <c r="J28">
        <v>16</v>
      </c>
      <c r="K28">
        <v>1902</v>
      </c>
      <c r="L28">
        <v>4</v>
      </c>
      <c r="M28" s="2" t="s">
        <v>24</v>
      </c>
      <c r="N28" t="b">
        <v>1</v>
      </c>
      <c r="P28" s="2"/>
      <c r="Q28">
        <v>45</v>
      </c>
      <c r="R28">
        <v>1</v>
      </c>
      <c r="S28">
        <v>55</v>
      </c>
      <c r="T28" t="s">
        <v>712</v>
      </c>
      <c r="U28">
        <v>35</v>
      </c>
      <c r="V28" s="2">
        <v>0.34</v>
      </c>
      <c r="AE28" t="b">
        <v>1</v>
      </c>
      <c r="AZ28" s="2"/>
      <c r="BA28" s="7">
        <v>15</v>
      </c>
      <c r="BB28" t="s">
        <v>924</v>
      </c>
      <c r="BC28" t="s">
        <v>923</v>
      </c>
      <c r="BD28" t="s">
        <v>941</v>
      </c>
      <c r="BE28" t="str">
        <f>IF(OR(Table1[[#This Row],[ENGINE_CLASS]]="STEAM",Table1[[#This Row],[ENGINE_CLASS]]="ELECTRIC",Table1[[#This Row],[ENGINE_CLASS]]="DIESEL"),Table1[[#This Row],[ENGINE_CLASS]],"DISABLE")</f>
        <v>DIESEL</v>
      </c>
      <c r="BF28">
        <v>0</v>
      </c>
      <c r="BG28" t="s">
        <v>735</v>
      </c>
      <c r="BI28"/>
      <c r="BJ28">
        <v>13</v>
      </c>
      <c r="BK28">
        <v>0</v>
      </c>
      <c r="BL28" t="s">
        <v>693</v>
      </c>
      <c r="BM28" t="s">
        <v>695</v>
      </c>
      <c r="BN28" t="s">
        <v>702</v>
      </c>
      <c r="BO28" t="s">
        <v>706</v>
      </c>
      <c r="BP28" t="s">
        <v>707</v>
      </c>
      <c r="BQ28" t="s">
        <v>708</v>
      </c>
    </row>
    <row r="29" spans="1:69" x14ac:dyDescent="0.4">
      <c r="A29" s="2" t="s">
        <v>52</v>
      </c>
      <c r="B29" t="str">
        <f>_xlfn.TEXTAFTER(Table1[[#This Row],[VEHIDCODE]],"_")</f>
        <v>USA_Virginia_Truckee_Motor_Car_22</v>
      </c>
      <c r="C29" t="s">
        <v>738</v>
      </c>
      <c r="D29" t="str">
        <f>"item_"&amp;Table1[[#This Row],[VEHIDCODE]]</f>
        <v>item_rbd_USA_Virginia_Truckee_Motor_Car_22</v>
      </c>
      <c r="E29" t="str">
        <f>"str_"&amp;Table1[[#This Row],[VEHIDCODE]]</f>
        <v>str_rbd_USA_Virginia_Truckee_Motor_Car_22</v>
      </c>
      <c r="F29">
        <v>8</v>
      </c>
      <c r="G29" t="s">
        <v>18</v>
      </c>
      <c r="H29">
        <v>0</v>
      </c>
      <c r="I29" t="s">
        <v>35</v>
      </c>
      <c r="J29">
        <v>84</v>
      </c>
      <c r="K29">
        <v>1909</v>
      </c>
      <c r="L29">
        <v>8</v>
      </c>
      <c r="M29" s="2" t="s">
        <v>24</v>
      </c>
      <c r="N29" t="b">
        <v>1</v>
      </c>
      <c r="P29" s="2"/>
      <c r="Q29">
        <v>45</v>
      </c>
      <c r="R29">
        <v>1</v>
      </c>
      <c r="S29">
        <v>200</v>
      </c>
      <c r="T29" t="s">
        <v>712</v>
      </c>
      <c r="U29">
        <v>52</v>
      </c>
      <c r="V29" s="2">
        <v>0.34</v>
      </c>
      <c r="AE29" t="b">
        <v>1</v>
      </c>
      <c r="AZ29" s="2"/>
      <c r="BA29" s="7">
        <v>15</v>
      </c>
      <c r="BB29" t="s">
        <v>929</v>
      </c>
      <c r="BC29" t="s">
        <v>923</v>
      </c>
      <c r="BD29" t="s">
        <v>941</v>
      </c>
      <c r="BE29" t="str">
        <f>IF(OR(Table1[[#This Row],[ENGINE_CLASS]]="STEAM",Table1[[#This Row],[ENGINE_CLASS]]="ELECTRIC",Table1[[#This Row],[ENGINE_CLASS]]="DIESEL"),Table1[[#This Row],[ENGINE_CLASS]],"DISABLE")</f>
        <v>DIESEL</v>
      </c>
      <c r="BF29">
        <v>0</v>
      </c>
      <c r="BG29" t="s">
        <v>735</v>
      </c>
      <c r="BI29"/>
      <c r="BJ29">
        <v>30</v>
      </c>
      <c r="BK29">
        <v>0</v>
      </c>
      <c r="BL29" t="s">
        <v>693</v>
      </c>
      <c r="BM29" t="s">
        <v>695</v>
      </c>
      <c r="BN29" t="s">
        <v>702</v>
      </c>
      <c r="BO29" t="s">
        <v>706</v>
      </c>
      <c r="BP29" t="s">
        <v>707</v>
      </c>
      <c r="BQ29" t="s">
        <v>708</v>
      </c>
    </row>
    <row r="30" spans="1:69" x14ac:dyDescent="0.4">
      <c r="A30" s="2" t="s">
        <v>53</v>
      </c>
      <c r="B30" t="str">
        <f>_xlfn.TEXTAFTER(Table1[[#This Row],[VEHIDCODE]],"_")</f>
        <v>Germany_Saxon_DET_1_2</v>
      </c>
      <c r="C30" t="s">
        <v>738</v>
      </c>
      <c r="D30" t="str">
        <f>"item_"&amp;Table1[[#This Row],[VEHIDCODE]]</f>
        <v>item_rbd_Germany_Saxon_DET_1_2</v>
      </c>
      <c r="E30" t="str">
        <f>"str_"&amp;Table1[[#This Row],[VEHIDCODE]]</f>
        <v>str_rbd_Germany_Saxon_DET_1_2</v>
      </c>
      <c r="F30">
        <v>4</v>
      </c>
      <c r="G30" t="s">
        <v>18</v>
      </c>
      <c r="H30">
        <v>0</v>
      </c>
      <c r="I30" t="s">
        <v>35</v>
      </c>
      <c r="J30">
        <v>69</v>
      </c>
      <c r="K30">
        <v>1914</v>
      </c>
      <c r="L30">
        <v>8</v>
      </c>
      <c r="M30" s="2" t="s">
        <v>24</v>
      </c>
      <c r="N30" t="b">
        <v>1</v>
      </c>
      <c r="P30" s="2"/>
      <c r="Q30">
        <v>45</v>
      </c>
      <c r="R30">
        <v>1</v>
      </c>
      <c r="S30">
        <v>200</v>
      </c>
      <c r="T30" t="s">
        <v>712</v>
      </c>
      <c r="U30">
        <v>70</v>
      </c>
      <c r="V30" s="2">
        <v>0.34</v>
      </c>
      <c r="AE30" t="b">
        <v>1</v>
      </c>
      <c r="AZ30" s="2"/>
      <c r="BA30" s="7">
        <v>15</v>
      </c>
      <c r="BB30" t="s">
        <v>924</v>
      </c>
      <c r="BC30" t="s">
        <v>923</v>
      </c>
      <c r="BD30" t="s">
        <v>941</v>
      </c>
      <c r="BE30" t="str">
        <f>IF(OR(Table1[[#This Row],[ENGINE_CLASS]]="STEAM",Table1[[#This Row],[ENGINE_CLASS]]="ELECTRIC",Table1[[#This Row],[ENGINE_CLASS]]="DIESEL"),Table1[[#This Row],[ENGINE_CLASS]],"DISABLE")</f>
        <v>DIESEL</v>
      </c>
      <c r="BF30">
        <v>0</v>
      </c>
      <c r="BG30" t="s">
        <v>735</v>
      </c>
      <c r="BI30"/>
      <c r="BJ30">
        <v>64</v>
      </c>
      <c r="BK30">
        <v>0</v>
      </c>
      <c r="BL30" t="s">
        <v>693</v>
      </c>
      <c r="BM30" t="s">
        <v>695</v>
      </c>
      <c r="BN30" t="s">
        <v>702</v>
      </c>
      <c r="BO30" t="s">
        <v>706</v>
      </c>
      <c r="BP30" t="s">
        <v>707</v>
      </c>
      <c r="BQ30" t="s">
        <v>708</v>
      </c>
    </row>
    <row r="31" spans="1:69" x14ac:dyDescent="0.4">
      <c r="A31" s="2" t="s">
        <v>54</v>
      </c>
      <c r="B31" t="str">
        <f>_xlfn.TEXTAFTER(Table1[[#This Row],[VEHIDCODE]],"_")</f>
        <v>UK_WC_PR_Drewry_Railcar</v>
      </c>
      <c r="C31" t="s">
        <v>738</v>
      </c>
      <c r="D31" t="str">
        <f>"item_"&amp;Table1[[#This Row],[VEHIDCODE]]</f>
        <v>item_rbd_UK_WC_PR_Drewry_Railcar</v>
      </c>
      <c r="E31" t="str">
        <f>"str_"&amp;Table1[[#This Row],[VEHIDCODE]]</f>
        <v>str_rbd_UK_WC_PR_Drewry_Railcar</v>
      </c>
      <c r="F31">
        <v>4</v>
      </c>
      <c r="G31" t="s">
        <v>18</v>
      </c>
      <c r="H31">
        <v>0</v>
      </c>
      <c r="I31" t="s">
        <v>35</v>
      </c>
      <c r="J31">
        <v>30</v>
      </c>
      <c r="K31">
        <v>1921</v>
      </c>
      <c r="L31">
        <v>4</v>
      </c>
      <c r="M31" s="2" t="s">
        <v>24</v>
      </c>
      <c r="N31" t="b">
        <v>1</v>
      </c>
      <c r="P31" s="2"/>
      <c r="Q31">
        <v>45</v>
      </c>
      <c r="R31">
        <v>1</v>
      </c>
      <c r="S31">
        <v>35</v>
      </c>
      <c r="T31" t="s">
        <v>712</v>
      </c>
      <c r="U31">
        <v>40</v>
      </c>
      <c r="V31" s="2">
        <v>0.21</v>
      </c>
      <c r="AE31" t="b">
        <v>1</v>
      </c>
      <c r="AZ31" s="2"/>
      <c r="BA31" s="7">
        <v>15</v>
      </c>
      <c r="BB31" t="s">
        <v>928</v>
      </c>
      <c r="BC31" t="s">
        <v>923</v>
      </c>
      <c r="BD31" t="s">
        <v>941</v>
      </c>
      <c r="BE31" t="str">
        <f>IF(OR(Table1[[#This Row],[ENGINE_CLASS]]="STEAM",Table1[[#This Row],[ENGINE_CLASS]]="ELECTRIC",Table1[[#This Row],[ENGINE_CLASS]]="DIESEL"),Table1[[#This Row],[ENGINE_CLASS]],"DISABLE")</f>
        <v>DIESEL</v>
      </c>
      <c r="BF31">
        <v>0</v>
      </c>
      <c r="BG31" t="s">
        <v>735</v>
      </c>
      <c r="BI31"/>
      <c r="BJ31">
        <v>10</v>
      </c>
      <c r="BK31">
        <v>0</v>
      </c>
      <c r="BL31" t="s">
        <v>693</v>
      </c>
      <c r="BM31" t="s">
        <v>695</v>
      </c>
      <c r="BN31" t="s">
        <v>702</v>
      </c>
      <c r="BO31" t="s">
        <v>706</v>
      </c>
      <c r="BP31" t="s">
        <v>707</v>
      </c>
      <c r="BQ31" t="s">
        <v>708</v>
      </c>
    </row>
    <row r="32" spans="1:69" x14ac:dyDescent="0.4">
      <c r="A32" s="2" t="s">
        <v>55</v>
      </c>
      <c r="B32" t="str">
        <f>_xlfn.TEXTAFTER(Table1[[#This Row],[VEHIDCODE]],"_")</f>
        <v>Germany_BSt_6001</v>
      </c>
      <c r="C32" t="s">
        <v>738</v>
      </c>
      <c r="D32" t="str">
        <f>"item_"&amp;Table1[[#This Row],[VEHIDCODE]]</f>
        <v>item_rbd_Germany_BSt_6001</v>
      </c>
      <c r="E32" t="str">
        <f>"str_"&amp;Table1[[#This Row],[VEHIDCODE]]</f>
        <v>str_rbd_Germany_BSt_6001</v>
      </c>
      <c r="F32">
        <v>5</v>
      </c>
      <c r="G32" t="s">
        <v>18</v>
      </c>
      <c r="H32">
        <v>0</v>
      </c>
      <c r="I32" t="s">
        <v>35</v>
      </c>
      <c r="J32">
        <v>18</v>
      </c>
      <c r="K32">
        <v>1922</v>
      </c>
      <c r="L32">
        <v>5</v>
      </c>
      <c r="M32" s="2" t="s">
        <v>24</v>
      </c>
      <c r="N32" t="b">
        <v>1</v>
      </c>
      <c r="P32" s="2"/>
      <c r="Q32">
        <v>45</v>
      </c>
      <c r="R32">
        <v>1</v>
      </c>
      <c r="S32">
        <v>75</v>
      </c>
      <c r="T32" t="s">
        <v>712</v>
      </c>
      <c r="U32">
        <v>40</v>
      </c>
      <c r="V32" s="2">
        <v>0.34</v>
      </c>
      <c r="AE32" t="b">
        <v>1</v>
      </c>
      <c r="AZ32" s="2"/>
      <c r="BA32" s="7">
        <v>15</v>
      </c>
      <c r="BB32" t="s">
        <v>924</v>
      </c>
      <c r="BC32" t="s">
        <v>923</v>
      </c>
      <c r="BD32" t="s">
        <v>941</v>
      </c>
      <c r="BE32" t="str">
        <f>IF(OR(Table1[[#This Row],[ENGINE_CLASS]]="STEAM",Table1[[#This Row],[ENGINE_CLASS]]="ELECTRIC",Table1[[#This Row],[ENGINE_CLASS]]="DIESEL"),Table1[[#This Row],[ENGINE_CLASS]],"DISABLE")</f>
        <v>DIESEL</v>
      </c>
      <c r="BF32">
        <v>0</v>
      </c>
      <c r="BG32" t="s">
        <v>735</v>
      </c>
      <c r="BI32"/>
      <c r="BJ32">
        <v>11</v>
      </c>
      <c r="BK32">
        <v>0</v>
      </c>
      <c r="BL32" t="s">
        <v>693</v>
      </c>
      <c r="BM32" t="s">
        <v>695</v>
      </c>
      <c r="BN32" t="s">
        <v>702</v>
      </c>
      <c r="BO32" t="s">
        <v>706</v>
      </c>
      <c r="BP32" t="s">
        <v>707</v>
      </c>
      <c r="BQ32" t="s">
        <v>708</v>
      </c>
    </row>
    <row r="33" spans="1:69" x14ac:dyDescent="0.4">
      <c r="A33" s="2" t="s">
        <v>56</v>
      </c>
      <c r="B33" t="str">
        <f>_xlfn.TEXTAFTER(Table1[[#This Row],[VEHIDCODE]],"_")</f>
        <v>Australia_Victorian_Railways_DERM</v>
      </c>
      <c r="C33" t="s">
        <v>738</v>
      </c>
      <c r="D33" t="str">
        <f>"item_"&amp;Table1[[#This Row],[VEHIDCODE]]</f>
        <v>item_rbd_Australia_Victorian_Railways_DERM</v>
      </c>
      <c r="E33" t="str">
        <f>"str_"&amp;Table1[[#This Row],[VEHIDCODE]]</f>
        <v>str_rbd_Australia_Victorian_Railways_DERM</v>
      </c>
      <c r="F33">
        <v>7</v>
      </c>
      <c r="G33" t="s">
        <v>18</v>
      </c>
      <c r="H33">
        <v>0</v>
      </c>
      <c r="I33" t="s">
        <v>35</v>
      </c>
      <c r="J33">
        <v>40</v>
      </c>
      <c r="K33">
        <v>1928</v>
      </c>
      <c r="L33">
        <v>7</v>
      </c>
      <c r="M33" s="2" t="s">
        <v>24</v>
      </c>
      <c r="N33" t="b">
        <v>1</v>
      </c>
      <c r="P33" s="2"/>
      <c r="Q33">
        <v>45</v>
      </c>
      <c r="R33">
        <v>1</v>
      </c>
      <c r="S33">
        <v>255</v>
      </c>
      <c r="T33" t="s">
        <v>712</v>
      </c>
      <c r="U33">
        <v>60</v>
      </c>
      <c r="V33" s="2">
        <v>0.34</v>
      </c>
      <c r="AE33" t="b">
        <v>1</v>
      </c>
      <c r="AZ33" s="2"/>
      <c r="BA33" s="7">
        <v>15</v>
      </c>
      <c r="BB33" t="s">
        <v>926</v>
      </c>
      <c r="BC33" t="s">
        <v>923</v>
      </c>
      <c r="BD33" t="s">
        <v>941</v>
      </c>
      <c r="BE33" t="str">
        <f>IF(OR(Table1[[#This Row],[ENGINE_CLASS]]="STEAM",Table1[[#This Row],[ENGINE_CLASS]]="ELECTRIC",Table1[[#This Row],[ENGINE_CLASS]]="DIESEL"),Table1[[#This Row],[ENGINE_CLASS]],"DISABLE")</f>
        <v>DIESEL</v>
      </c>
      <c r="BF33">
        <v>0</v>
      </c>
      <c r="BG33" t="s">
        <v>735</v>
      </c>
      <c r="BI33"/>
      <c r="BJ33">
        <v>34</v>
      </c>
      <c r="BK33">
        <v>0</v>
      </c>
      <c r="BL33" t="s">
        <v>693</v>
      </c>
      <c r="BM33" t="s">
        <v>695</v>
      </c>
      <c r="BN33" t="s">
        <v>702</v>
      </c>
      <c r="BO33" t="s">
        <v>706</v>
      </c>
      <c r="BP33" t="s">
        <v>707</v>
      </c>
      <c r="BQ33" t="s">
        <v>708</v>
      </c>
    </row>
    <row r="34" spans="1:69" x14ac:dyDescent="0.4">
      <c r="A34" s="2" t="s">
        <v>57</v>
      </c>
      <c r="B34" t="str">
        <f>_xlfn.TEXTAFTER(Table1[[#This Row],[VEHIDCODE]],"_")</f>
        <v>Czech_Republic_CD_M120</v>
      </c>
      <c r="C34" t="s">
        <v>738</v>
      </c>
      <c r="D34" t="str">
        <f>"item_"&amp;Table1[[#This Row],[VEHIDCODE]]</f>
        <v>item_rbd_Czech_Republic_CD_M120</v>
      </c>
      <c r="E34" t="str">
        <f>"str_"&amp;Table1[[#This Row],[VEHIDCODE]]</f>
        <v>str_rbd_Czech_Republic_CD_M120</v>
      </c>
      <c r="F34">
        <v>5</v>
      </c>
      <c r="G34" t="s">
        <v>18</v>
      </c>
      <c r="H34">
        <v>0</v>
      </c>
      <c r="I34" t="s">
        <v>35</v>
      </c>
      <c r="J34">
        <v>38</v>
      </c>
      <c r="K34">
        <v>1930</v>
      </c>
      <c r="L34">
        <v>5</v>
      </c>
      <c r="M34" s="2" t="s">
        <v>24</v>
      </c>
      <c r="N34" t="b">
        <v>1</v>
      </c>
      <c r="P34" s="2"/>
      <c r="Q34">
        <v>45</v>
      </c>
      <c r="R34">
        <v>1</v>
      </c>
      <c r="S34">
        <v>120</v>
      </c>
      <c r="T34" t="s">
        <v>712</v>
      </c>
      <c r="U34">
        <v>60</v>
      </c>
      <c r="V34" s="2">
        <v>0.35</v>
      </c>
      <c r="AE34" t="b">
        <v>1</v>
      </c>
      <c r="AZ34" s="2"/>
      <c r="BA34" s="7">
        <v>15</v>
      </c>
      <c r="BB34" t="s">
        <v>930</v>
      </c>
      <c r="BC34" t="s">
        <v>923</v>
      </c>
      <c r="BD34" t="s">
        <v>941</v>
      </c>
      <c r="BE34" t="str">
        <f>IF(OR(Table1[[#This Row],[ENGINE_CLASS]]="STEAM",Table1[[#This Row],[ENGINE_CLASS]]="ELECTRIC",Table1[[#This Row],[ENGINE_CLASS]]="DIESEL"),Table1[[#This Row],[ENGINE_CLASS]],"DISABLE")</f>
        <v>DIESEL</v>
      </c>
      <c r="BF34">
        <v>0</v>
      </c>
      <c r="BG34" t="s">
        <v>735</v>
      </c>
      <c r="BI34"/>
      <c r="BJ34">
        <v>13</v>
      </c>
      <c r="BK34">
        <v>0</v>
      </c>
      <c r="BL34" t="s">
        <v>693</v>
      </c>
      <c r="BM34" t="s">
        <v>695</v>
      </c>
      <c r="BN34" t="s">
        <v>702</v>
      </c>
      <c r="BO34" t="s">
        <v>706</v>
      </c>
      <c r="BP34" t="s">
        <v>707</v>
      </c>
      <c r="BQ34" t="s">
        <v>708</v>
      </c>
    </row>
    <row r="35" spans="1:69" x14ac:dyDescent="0.4">
      <c r="A35" s="2" t="s">
        <v>58</v>
      </c>
      <c r="B35" t="str">
        <f>_xlfn.TEXTAFTER(Table1[[#This Row],[VEHIDCODE]],"_")</f>
        <v>Germany_Schienenzeppelin</v>
      </c>
      <c r="C35" t="s">
        <v>738</v>
      </c>
      <c r="D35" t="str">
        <f>"item_"&amp;Table1[[#This Row],[VEHIDCODE]]</f>
        <v>item_rbd_Germany_Schienenzeppelin</v>
      </c>
      <c r="E35" t="str">
        <f>"str_"&amp;Table1[[#This Row],[VEHIDCODE]]</f>
        <v>str_rbd_Germany_Schienenzeppelin</v>
      </c>
      <c r="F35">
        <v>8</v>
      </c>
      <c r="G35" t="s">
        <v>18</v>
      </c>
      <c r="H35">
        <v>0</v>
      </c>
      <c r="I35" t="s">
        <v>35</v>
      </c>
      <c r="J35">
        <v>40</v>
      </c>
      <c r="K35">
        <v>1930</v>
      </c>
      <c r="L35">
        <v>8</v>
      </c>
      <c r="M35" s="2" t="s">
        <v>24</v>
      </c>
      <c r="N35" t="b">
        <v>1</v>
      </c>
      <c r="P35" s="2"/>
      <c r="Q35">
        <v>45</v>
      </c>
      <c r="R35">
        <v>1</v>
      </c>
      <c r="S35">
        <v>600</v>
      </c>
      <c r="T35" t="s">
        <v>712</v>
      </c>
      <c r="U35">
        <v>230</v>
      </c>
      <c r="V35" s="2">
        <v>0.39</v>
      </c>
      <c r="AE35" t="b">
        <v>1</v>
      </c>
      <c r="AZ35" s="2"/>
      <c r="BA35" s="7">
        <v>15</v>
      </c>
      <c r="BB35" t="s">
        <v>924</v>
      </c>
      <c r="BC35" t="s">
        <v>923</v>
      </c>
      <c r="BD35" t="s">
        <v>941</v>
      </c>
      <c r="BE35" t="str">
        <f>IF(OR(Table1[[#This Row],[ENGINE_CLASS]]="STEAM",Table1[[#This Row],[ENGINE_CLASS]]="ELECTRIC",Table1[[#This Row],[ENGINE_CLASS]]="DIESEL"),Table1[[#This Row],[ENGINE_CLASS]],"DISABLE")</f>
        <v>DIESEL</v>
      </c>
      <c r="BF35">
        <v>0</v>
      </c>
      <c r="BG35" t="s">
        <v>735</v>
      </c>
      <c r="BI35"/>
      <c r="BJ35">
        <v>20</v>
      </c>
      <c r="BK35">
        <v>0</v>
      </c>
      <c r="BL35" t="s">
        <v>693</v>
      </c>
      <c r="BM35" t="s">
        <v>695</v>
      </c>
      <c r="BN35" t="s">
        <v>702</v>
      </c>
      <c r="BO35" t="s">
        <v>706</v>
      </c>
      <c r="BP35" t="s">
        <v>707</v>
      </c>
      <c r="BQ35" t="s">
        <v>708</v>
      </c>
    </row>
    <row r="36" spans="1:69" x14ac:dyDescent="0.4">
      <c r="A36" s="2" t="s">
        <v>59</v>
      </c>
      <c r="B36" t="str">
        <f>_xlfn.TEXTAFTER(Table1[[#This Row],[VEHIDCODE]],"_")</f>
        <v>Denmark_DSB_MO</v>
      </c>
      <c r="C36" t="s">
        <v>738</v>
      </c>
      <c r="D36" t="str">
        <f>"item_"&amp;Table1[[#This Row],[VEHIDCODE]]</f>
        <v>item_rbd_Denmark_DSB_MO</v>
      </c>
      <c r="E36" t="str">
        <f>"str_"&amp;Table1[[#This Row],[VEHIDCODE]]</f>
        <v>str_rbd_Denmark_DSB_MO</v>
      </c>
      <c r="F36">
        <v>8</v>
      </c>
      <c r="G36" t="s">
        <v>18</v>
      </c>
      <c r="H36">
        <v>0</v>
      </c>
      <c r="I36" t="s">
        <v>35</v>
      </c>
      <c r="J36">
        <v>52</v>
      </c>
      <c r="K36">
        <v>1935</v>
      </c>
      <c r="L36">
        <v>8</v>
      </c>
      <c r="M36" s="2" t="s">
        <v>24</v>
      </c>
      <c r="N36" t="b">
        <v>1</v>
      </c>
      <c r="P36" s="2"/>
      <c r="Q36">
        <v>45</v>
      </c>
      <c r="R36">
        <v>1</v>
      </c>
      <c r="S36">
        <v>500</v>
      </c>
      <c r="T36" t="s">
        <v>712</v>
      </c>
      <c r="U36">
        <v>120</v>
      </c>
      <c r="V36" s="2">
        <v>0.31</v>
      </c>
      <c r="AE36" t="b">
        <v>1</v>
      </c>
      <c r="AZ36" s="2"/>
      <c r="BA36" s="7">
        <v>15</v>
      </c>
      <c r="BB36" t="s">
        <v>928</v>
      </c>
      <c r="BC36" t="s">
        <v>923</v>
      </c>
      <c r="BD36" t="s">
        <v>941</v>
      </c>
      <c r="BE36" t="str">
        <f>IF(OR(Table1[[#This Row],[ENGINE_CLASS]]="STEAM",Table1[[#This Row],[ENGINE_CLASS]]="ELECTRIC",Table1[[#This Row],[ENGINE_CLASS]]="DIESEL"),Table1[[#This Row],[ENGINE_CLASS]],"DISABLE")</f>
        <v>DIESEL</v>
      </c>
      <c r="BF36">
        <v>0</v>
      </c>
      <c r="BG36" t="s">
        <v>735</v>
      </c>
      <c r="BI36"/>
      <c r="BJ36">
        <v>58</v>
      </c>
      <c r="BK36">
        <v>0</v>
      </c>
      <c r="BL36" t="s">
        <v>693</v>
      </c>
      <c r="BM36" t="s">
        <v>695</v>
      </c>
      <c r="BN36" t="s">
        <v>702</v>
      </c>
      <c r="BO36" t="s">
        <v>706</v>
      </c>
      <c r="BP36" t="s">
        <v>707</v>
      </c>
      <c r="BQ36" t="s">
        <v>708</v>
      </c>
    </row>
    <row r="37" spans="1:69" x14ac:dyDescent="0.4">
      <c r="A37" s="2" t="s">
        <v>60</v>
      </c>
      <c r="B37" t="str">
        <f>_xlfn.TEXTAFTER(Table1[[#This Row],[VEHIDCODE]],"_")</f>
        <v>Norway_NSB_Cmb_17</v>
      </c>
      <c r="C37" t="s">
        <v>738</v>
      </c>
      <c r="D37" t="str">
        <f>"item_"&amp;Table1[[#This Row],[VEHIDCODE]]</f>
        <v>item_rbd_Norway_NSB_Cmb_17</v>
      </c>
      <c r="E37" t="str">
        <f>"str_"&amp;Table1[[#This Row],[VEHIDCODE]]</f>
        <v>str_rbd_Norway_NSB_Cmb_17</v>
      </c>
      <c r="F37">
        <v>6</v>
      </c>
      <c r="G37" t="s">
        <v>18</v>
      </c>
      <c r="H37">
        <v>0</v>
      </c>
      <c r="I37" t="s">
        <v>35</v>
      </c>
      <c r="J37">
        <v>45</v>
      </c>
      <c r="K37">
        <v>1935</v>
      </c>
      <c r="L37">
        <v>6</v>
      </c>
      <c r="M37" s="2" t="s">
        <v>24</v>
      </c>
      <c r="N37" t="b">
        <v>1</v>
      </c>
      <c r="P37" s="2"/>
      <c r="Q37">
        <v>45</v>
      </c>
      <c r="R37">
        <v>1</v>
      </c>
      <c r="S37">
        <v>120</v>
      </c>
      <c r="T37" t="s">
        <v>712</v>
      </c>
      <c r="U37">
        <v>100</v>
      </c>
      <c r="V37" s="2">
        <v>0.41</v>
      </c>
      <c r="AE37" t="b">
        <v>1</v>
      </c>
      <c r="AZ37" s="2"/>
      <c r="BA37" s="7">
        <v>15</v>
      </c>
      <c r="BB37" t="s">
        <v>928</v>
      </c>
      <c r="BC37" t="s">
        <v>923</v>
      </c>
      <c r="BD37" t="s">
        <v>941</v>
      </c>
      <c r="BE37" t="str">
        <f>IF(OR(Table1[[#This Row],[ENGINE_CLASS]]="STEAM",Table1[[#This Row],[ENGINE_CLASS]]="ELECTRIC",Table1[[#This Row],[ENGINE_CLASS]]="DIESEL"),Table1[[#This Row],[ENGINE_CLASS]],"DISABLE")</f>
        <v>DIESEL</v>
      </c>
      <c r="BF37">
        <v>0</v>
      </c>
      <c r="BG37" t="s">
        <v>735</v>
      </c>
      <c r="BI37"/>
      <c r="BJ37">
        <v>10</v>
      </c>
      <c r="BK37">
        <v>0</v>
      </c>
      <c r="BL37" t="s">
        <v>693</v>
      </c>
      <c r="BM37" t="s">
        <v>695</v>
      </c>
      <c r="BN37" t="s">
        <v>702</v>
      </c>
      <c r="BO37" t="s">
        <v>706</v>
      </c>
      <c r="BP37" t="s">
        <v>707</v>
      </c>
      <c r="BQ37" t="s">
        <v>708</v>
      </c>
    </row>
    <row r="38" spans="1:69" x14ac:dyDescent="0.4">
      <c r="A38" s="2" t="s">
        <v>61</v>
      </c>
      <c r="B38" t="str">
        <f>_xlfn.TEXTAFTER(Table1[[#This Row],[VEHIDCODE]],"_")</f>
        <v>Czech_Republic_CD_M290</v>
      </c>
      <c r="C38" t="s">
        <v>738</v>
      </c>
      <c r="D38" t="str">
        <f>"item_"&amp;Table1[[#This Row],[VEHIDCODE]]</f>
        <v>item_rbd_Czech_Republic_CD_M290</v>
      </c>
      <c r="E38" t="str">
        <f>"str_"&amp;Table1[[#This Row],[VEHIDCODE]]</f>
        <v>str_rbd_Czech_Republic_CD_M290</v>
      </c>
      <c r="F38">
        <v>7</v>
      </c>
      <c r="G38" t="s">
        <v>18</v>
      </c>
      <c r="H38">
        <v>0</v>
      </c>
      <c r="I38" t="s">
        <v>35</v>
      </c>
      <c r="J38">
        <v>72</v>
      </c>
      <c r="K38">
        <v>1936</v>
      </c>
      <c r="L38">
        <v>7</v>
      </c>
      <c r="M38" s="2" t="s">
        <v>24</v>
      </c>
      <c r="N38" t="b">
        <v>1</v>
      </c>
      <c r="P38" s="2"/>
      <c r="Q38">
        <v>45</v>
      </c>
      <c r="R38">
        <v>1</v>
      </c>
      <c r="S38">
        <v>330</v>
      </c>
      <c r="T38" t="s">
        <v>712</v>
      </c>
      <c r="U38">
        <v>148</v>
      </c>
      <c r="V38" s="2">
        <v>0.33</v>
      </c>
      <c r="AE38" t="b">
        <v>1</v>
      </c>
      <c r="AZ38" s="2"/>
      <c r="BA38" s="7">
        <v>15</v>
      </c>
      <c r="BB38" t="s">
        <v>930</v>
      </c>
      <c r="BC38" t="s">
        <v>923</v>
      </c>
      <c r="BD38" t="s">
        <v>941</v>
      </c>
      <c r="BE38" t="str">
        <f>IF(OR(Table1[[#This Row],[ENGINE_CLASS]]="STEAM",Table1[[#This Row],[ENGINE_CLASS]]="ELECTRIC",Table1[[#This Row],[ENGINE_CLASS]]="DIESEL"),Table1[[#This Row],[ENGINE_CLASS]],"DISABLE")</f>
        <v>DIESEL</v>
      </c>
      <c r="BF38">
        <v>0</v>
      </c>
      <c r="BG38" t="s">
        <v>735</v>
      </c>
      <c r="BI38"/>
      <c r="BJ38">
        <v>36</v>
      </c>
      <c r="BK38">
        <v>0</v>
      </c>
      <c r="BL38" t="s">
        <v>693</v>
      </c>
      <c r="BM38" t="s">
        <v>695</v>
      </c>
      <c r="BN38" t="s">
        <v>702</v>
      </c>
      <c r="BO38" t="s">
        <v>706</v>
      </c>
      <c r="BP38" t="s">
        <v>707</v>
      </c>
      <c r="BQ38" t="s">
        <v>708</v>
      </c>
    </row>
    <row r="39" spans="1:69" x14ac:dyDescent="0.4">
      <c r="A39" s="2" t="s">
        <v>62</v>
      </c>
      <c r="B39" t="str">
        <f>_xlfn.TEXTAFTER(Table1[[#This Row],[VEHIDCODE]],"_")</f>
        <v>Netherlands_NS_omBC</v>
      </c>
      <c r="C39" t="s">
        <v>738</v>
      </c>
      <c r="D39" t="str">
        <f>"item_"&amp;Table1[[#This Row],[VEHIDCODE]]</f>
        <v>item_rbd_Netherlands_NS_omBC</v>
      </c>
      <c r="E39" t="str">
        <f>"str_"&amp;Table1[[#This Row],[VEHIDCODE]]</f>
        <v>str_rbd_Netherlands_NS_omBC</v>
      </c>
      <c r="F39">
        <v>8</v>
      </c>
      <c r="G39" t="s">
        <v>18</v>
      </c>
      <c r="H39">
        <v>0</v>
      </c>
      <c r="I39" t="s">
        <v>35</v>
      </c>
      <c r="J39">
        <v>63</v>
      </c>
      <c r="K39">
        <v>1937</v>
      </c>
      <c r="L39">
        <v>8</v>
      </c>
      <c r="M39" s="2" t="s">
        <v>24</v>
      </c>
      <c r="N39" t="b">
        <v>1</v>
      </c>
      <c r="P39" s="2"/>
      <c r="Q39">
        <v>45</v>
      </c>
      <c r="R39">
        <v>1</v>
      </c>
      <c r="S39">
        <v>294</v>
      </c>
      <c r="T39" t="s">
        <v>712</v>
      </c>
      <c r="U39">
        <v>105</v>
      </c>
      <c r="V39" s="2">
        <v>0.34</v>
      </c>
      <c r="AE39" t="b">
        <v>1</v>
      </c>
      <c r="AZ39" s="2"/>
      <c r="BA39" s="7">
        <v>15</v>
      </c>
      <c r="BB39" t="s">
        <v>924</v>
      </c>
      <c r="BC39" t="s">
        <v>923</v>
      </c>
      <c r="BD39" t="s">
        <v>941</v>
      </c>
      <c r="BE39" t="str">
        <f>IF(OR(Table1[[#This Row],[ENGINE_CLASS]]="STEAM",Table1[[#This Row],[ENGINE_CLASS]]="ELECTRIC",Table1[[#This Row],[ENGINE_CLASS]]="DIESEL"),Table1[[#This Row],[ENGINE_CLASS]],"DISABLE")</f>
        <v>DIESEL</v>
      </c>
      <c r="BF39">
        <v>0</v>
      </c>
      <c r="BG39" t="s">
        <v>735</v>
      </c>
      <c r="BI39"/>
      <c r="BJ39">
        <v>53</v>
      </c>
      <c r="BK39">
        <v>0</v>
      </c>
      <c r="BL39" t="s">
        <v>693</v>
      </c>
      <c r="BM39" t="s">
        <v>695</v>
      </c>
      <c r="BN39" t="s">
        <v>702</v>
      </c>
      <c r="BO39" t="s">
        <v>706</v>
      </c>
      <c r="BP39" t="s">
        <v>707</v>
      </c>
      <c r="BQ39" t="s">
        <v>708</v>
      </c>
    </row>
    <row r="40" spans="1:69" x14ac:dyDescent="0.4">
      <c r="A40" s="2" t="s">
        <v>63</v>
      </c>
      <c r="B40" t="str">
        <f>_xlfn.TEXTAFTER(Table1[[#This Row],[VEHIDCODE]],"_")</f>
        <v>Australia_NSWGR_Class_400</v>
      </c>
      <c r="C40" t="s">
        <v>738</v>
      </c>
      <c r="D40" t="str">
        <f>"item_"&amp;Table1[[#This Row],[VEHIDCODE]]</f>
        <v>item_rbd_Australia_NSWGR_Class_400</v>
      </c>
      <c r="E40" t="str">
        <f>"str_"&amp;Table1[[#This Row],[VEHIDCODE]]</f>
        <v>str_rbd_Australia_NSWGR_Class_400</v>
      </c>
      <c r="F40">
        <v>7</v>
      </c>
      <c r="G40" t="s">
        <v>18</v>
      </c>
      <c r="H40">
        <v>0</v>
      </c>
      <c r="I40" t="s">
        <v>35</v>
      </c>
      <c r="J40">
        <v>56</v>
      </c>
      <c r="K40">
        <v>1938</v>
      </c>
      <c r="L40">
        <v>7</v>
      </c>
      <c r="M40" s="2" t="s">
        <v>24</v>
      </c>
      <c r="N40" t="b">
        <v>1</v>
      </c>
      <c r="P40" s="2"/>
      <c r="Q40">
        <v>45</v>
      </c>
      <c r="R40">
        <v>1</v>
      </c>
      <c r="S40">
        <v>300</v>
      </c>
      <c r="T40" t="s">
        <v>712</v>
      </c>
      <c r="U40">
        <v>100</v>
      </c>
      <c r="V40" s="2">
        <v>0.34</v>
      </c>
      <c r="AE40" t="b">
        <v>1</v>
      </c>
      <c r="AZ40" s="2"/>
      <c r="BA40" s="7">
        <v>15</v>
      </c>
      <c r="BB40" t="s">
        <v>926</v>
      </c>
      <c r="BC40" t="s">
        <v>923</v>
      </c>
      <c r="BD40" t="s">
        <v>941</v>
      </c>
      <c r="BE40" t="str">
        <f>IF(OR(Table1[[#This Row],[ENGINE_CLASS]]="STEAM",Table1[[#This Row],[ENGINE_CLASS]]="ELECTRIC",Table1[[#This Row],[ENGINE_CLASS]]="DIESEL"),Table1[[#This Row],[ENGINE_CLASS]],"DISABLE")</f>
        <v>DIESEL</v>
      </c>
      <c r="BF40">
        <v>0</v>
      </c>
      <c r="BG40" t="s">
        <v>735</v>
      </c>
      <c r="BI40"/>
      <c r="BJ40">
        <v>48</v>
      </c>
      <c r="BK40">
        <v>0</v>
      </c>
      <c r="BL40" t="s">
        <v>693</v>
      </c>
      <c r="BM40" t="s">
        <v>695</v>
      </c>
      <c r="BN40" t="s">
        <v>702</v>
      </c>
      <c r="BO40" t="s">
        <v>706</v>
      </c>
      <c r="BP40" t="s">
        <v>707</v>
      </c>
      <c r="BQ40" t="s">
        <v>708</v>
      </c>
    </row>
    <row r="41" spans="1:69" x14ac:dyDescent="0.4">
      <c r="A41" s="2" t="s">
        <v>64</v>
      </c>
      <c r="B41" t="str">
        <f>_xlfn.TEXTAFTER(Table1[[#This Row],[VEHIDCODE]],"_")</f>
        <v>Portugal_CP_USD_9050</v>
      </c>
      <c r="C41" t="s">
        <v>738</v>
      </c>
      <c r="D41" t="str">
        <f>"item_"&amp;Table1[[#This Row],[VEHIDCODE]]</f>
        <v>item_rbd_Portugal_CP_USD_9050</v>
      </c>
      <c r="E41" t="str">
        <f>"str_"&amp;Table1[[#This Row],[VEHIDCODE]]</f>
        <v>str_rbd_Portugal_CP_USD_9050</v>
      </c>
      <c r="F41">
        <v>5</v>
      </c>
      <c r="G41" t="s">
        <v>18</v>
      </c>
      <c r="H41">
        <v>0</v>
      </c>
      <c r="I41" t="s">
        <v>35</v>
      </c>
      <c r="J41">
        <v>25</v>
      </c>
      <c r="K41">
        <v>1941</v>
      </c>
      <c r="L41">
        <v>5</v>
      </c>
      <c r="M41" s="2" t="s">
        <v>24</v>
      </c>
      <c r="N41" t="b">
        <v>1</v>
      </c>
      <c r="P41" s="2"/>
      <c r="Q41">
        <v>45</v>
      </c>
      <c r="R41">
        <v>1</v>
      </c>
      <c r="S41">
        <v>90</v>
      </c>
      <c r="T41" t="s">
        <v>712</v>
      </c>
      <c r="U41">
        <v>89</v>
      </c>
      <c r="V41" s="2">
        <v>0.2</v>
      </c>
      <c r="AE41" t="b">
        <v>1</v>
      </c>
      <c r="AZ41" s="2"/>
      <c r="BA41" s="7">
        <v>15</v>
      </c>
      <c r="BB41" t="s">
        <v>925</v>
      </c>
      <c r="BC41" t="s">
        <v>923</v>
      </c>
      <c r="BD41" t="s">
        <v>941</v>
      </c>
      <c r="BE41" t="str">
        <f>IF(OR(Table1[[#This Row],[ENGINE_CLASS]]="STEAM",Table1[[#This Row],[ENGINE_CLASS]]="ELECTRIC",Table1[[#This Row],[ENGINE_CLASS]]="DIESEL"),Table1[[#This Row],[ENGINE_CLASS]],"DISABLE")</f>
        <v>DIESEL</v>
      </c>
      <c r="BF41">
        <v>0</v>
      </c>
      <c r="BG41" t="s">
        <v>735</v>
      </c>
      <c r="BI41"/>
      <c r="BJ41">
        <v>8</v>
      </c>
      <c r="BK41">
        <v>0</v>
      </c>
      <c r="BL41" t="s">
        <v>693</v>
      </c>
      <c r="BM41" t="s">
        <v>695</v>
      </c>
      <c r="BN41" t="s">
        <v>702</v>
      </c>
      <c r="BO41" t="s">
        <v>706</v>
      </c>
      <c r="BP41" t="s">
        <v>707</v>
      </c>
      <c r="BQ41" t="s">
        <v>708</v>
      </c>
    </row>
    <row r="42" spans="1:69" x14ac:dyDescent="0.4">
      <c r="A42" s="2" t="s">
        <v>65</v>
      </c>
      <c r="B42" t="str">
        <f>_xlfn.TEXTAFTER(Table1[[#This Row],[VEHIDCODE]],"_")</f>
        <v>Belgium_SNCB_Class_42</v>
      </c>
      <c r="C42" t="s">
        <v>738</v>
      </c>
      <c r="D42" t="str">
        <f>"item_"&amp;Table1[[#This Row],[VEHIDCODE]]</f>
        <v>item_rbd_Belgium_SNCB_Class_42</v>
      </c>
      <c r="E42" t="str">
        <f>"str_"&amp;Table1[[#This Row],[VEHIDCODE]]</f>
        <v>str_rbd_Belgium_SNCB_Class_42</v>
      </c>
      <c r="F42">
        <v>7</v>
      </c>
      <c r="G42" t="s">
        <v>18</v>
      </c>
      <c r="H42">
        <v>0</v>
      </c>
      <c r="I42" t="s">
        <v>35</v>
      </c>
      <c r="J42">
        <v>99</v>
      </c>
      <c r="K42">
        <v>1954</v>
      </c>
      <c r="L42">
        <v>7</v>
      </c>
      <c r="M42" s="2" t="s">
        <v>24</v>
      </c>
      <c r="N42" t="b">
        <v>1</v>
      </c>
      <c r="P42" s="2"/>
      <c r="Q42">
        <v>45</v>
      </c>
      <c r="R42">
        <v>1</v>
      </c>
      <c r="S42">
        <v>400</v>
      </c>
      <c r="T42" t="s">
        <v>712</v>
      </c>
      <c r="U42">
        <v>90</v>
      </c>
      <c r="V42" s="2">
        <v>0.34</v>
      </c>
      <c r="AE42" t="b">
        <v>1</v>
      </c>
      <c r="AZ42" s="2"/>
      <c r="BA42" s="7">
        <v>15</v>
      </c>
      <c r="BB42" t="s">
        <v>924</v>
      </c>
      <c r="BC42" t="s">
        <v>923</v>
      </c>
      <c r="BD42" t="s">
        <v>941</v>
      </c>
      <c r="BE42" t="str">
        <f>IF(OR(Table1[[#This Row],[ENGINE_CLASS]]="STEAM",Table1[[#This Row],[ENGINE_CLASS]]="ELECTRIC",Table1[[#This Row],[ENGINE_CLASS]]="DIESEL"),Table1[[#This Row],[ENGINE_CLASS]],"DISABLE")</f>
        <v>DIESEL</v>
      </c>
      <c r="BF42">
        <v>0</v>
      </c>
      <c r="BG42" t="s">
        <v>735</v>
      </c>
      <c r="BI42"/>
      <c r="BJ42">
        <v>54</v>
      </c>
      <c r="BK42">
        <v>0</v>
      </c>
      <c r="BL42" t="s">
        <v>693</v>
      </c>
      <c r="BM42" t="s">
        <v>695</v>
      </c>
      <c r="BN42" t="s">
        <v>702</v>
      </c>
      <c r="BO42" t="s">
        <v>706</v>
      </c>
      <c r="BP42" t="s">
        <v>707</v>
      </c>
      <c r="BQ42" t="s">
        <v>708</v>
      </c>
    </row>
    <row r="43" spans="1:69" x14ac:dyDescent="0.4">
      <c r="A43" s="2" t="s">
        <v>66</v>
      </c>
      <c r="B43" t="str">
        <f>_xlfn.TEXTAFTER(Table1[[#This Row],[VEHIDCODE]],"_")</f>
        <v>Bulgaria_BDZ_19</v>
      </c>
      <c r="C43" t="s">
        <v>738</v>
      </c>
      <c r="D43" t="str">
        <f>"item_"&amp;Table1[[#This Row],[VEHIDCODE]]</f>
        <v>item_rbd_Bulgaria_BDZ_19</v>
      </c>
      <c r="E43" t="str">
        <f>"str_"&amp;Table1[[#This Row],[VEHIDCODE]]</f>
        <v>str_rbd_Bulgaria_BDZ_19</v>
      </c>
      <c r="F43">
        <v>8</v>
      </c>
      <c r="G43" t="s">
        <v>18</v>
      </c>
      <c r="H43">
        <v>0</v>
      </c>
      <c r="I43" t="s">
        <v>35</v>
      </c>
      <c r="J43">
        <v>37</v>
      </c>
      <c r="K43">
        <v>1960</v>
      </c>
      <c r="L43">
        <v>8</v>
      </c>
      <c r="M43" s="2" t="s">
        <v>24</v>
      </c>
      <c r="N43" t="b">
        <v>1</v>
      </c>
      <c r="P43" s="2"/>
      <c r="Q43">
        <v>45</v>
      </c>
      <c r="R43">
        <v>1</v>
      </c>
      <c r="S43">
        <v>550</v>
      </c>
      <c r="T43" t="s">
        <v>712</v>
      </c>
      <c r="U43">
        <v>125</v>
      </c>
      <c r="V43" s="2">
        <v>0.2</v>
      </c>
      <c r="AE43" t="b">
        <v>1</v>
      </c>
      <c r="AZ43" s="2"/>
      <c r="BA43" s="7">
        <v>15</v>
      </c>
      <c r="BB43" t="s">
        <v>930</v>
      </c>
      <c r="BC43" t="s">
        <v>923</v>
      </c>
      <c r="BD43" t="s">
        <v>941</v>
      </c>
      <c r="BE43" t="str">
        <f>IF(OR(Table1[[#This Row],[ENGINE_CLASS]]="STEAM",Table1[[#This Row],[ENGINE_CLASS]]="ELECTRIC",Table1[[#This Row],[ENGINE_CLASS]]="DIESEL"),Table1[[#This Row],[ENGINE_CLASS]],"DISABLE")</f>
        <v>DIESEL</v>
      </c>
      <c r="BF43">
        <v>0</v>
      </c>
      <c r="BG43" t="s">
        <v>735</v>
      </c>
      <c r="BI43"/>
      <c r="BJ43">
        <v>52</v>
      </c>
      <c r="BK43">
        <v>0</v>
      </c>
      <c r="BL43" t="s">
        <v>693</v>
      </c>
      <c r="BM43" t="s">
        <v>695</v>
      </c>
      <c r="BN43" t="s">
        <v>702</v>
      </c>
      <c r="BO43" t="s">
        <v>706</v>
      </c>
      <c r="BP43" t="s">
        <v>707</v>
      </c>
      <c r="BQ43" t="s">
        <v>708</v>
      </c>
    </row>
    <row r="44" spans="1:69" x14ac:dyDescent="0.4">
      <c r="A44" s="2" t="s">
        <v>67</v>
      </c>
      <c r="B44" t="str">
        <f>_xlfn.TEXTAFTER(Table1[[#This Row],[VEHIDCODE]],"_")</f>
        <v>Greece_OSE_AA71</v>
      </c>
      <c r="C44" t="s">
        <v>738</v>
      </c>
      <c r="D44" t="str">
        <f>"item_"&amp;Table1[[#This Row],[VEHIDCODE]]</f>
        <v>item_rbd_Greece_OSE_AA71</v>
      </c>
      <c r="E44" t="str">
        <f>"str_"&amp;Table1[[#This Row],[VEHIDCODE]]</f>
        <v>str_rbd_Greece_OSE_AA71</v>
      </c>
      <c r="F44">
        <v>8</v>
      </c>
      <c r="G44" t="s">
        <v>18</v>
      </c>
      <c r="H44">
        <v>0</v>
      </c>
      <c r="I44" t="s">
        <v>35</v>
      </c>
      <c r="J44">
        <v>68</v>
      </c>
      <c r="K44">
        <v>1962</v>
      </c>
      <c r="L44">
        <v>8</v>
      </c>
      <c r="M44" s="2" t="s">
        <v>24</v>
      </c>
      <c r="N44" t="b">
        <v>1</v>
      </c>
      <c r="P44" s="2"/>
      <c r="Q44">
        <v>45</v>
      </c>
      <c r="R44">
        <v>1</v>
      </c>
      <c r="S44">
        <v>790</v>
      </c>
      <c r="T44" t="s">
        <v>712</v>
      </c>
      <c r="U44">
        <v>105</v>
      </c>
      <c r="V44" s="2">
        <v>0.19</v>
      </c>
      <c r="AE44" t="b">
        <v>1</v>
      </c>
      <c r="AZ44" s="2"/>
      <c r="BA44" s="7">
        <v>15</v>
      </c>
      <c r="BB44" t="s">
        <v>925</v>
      </c>
      <c r="BC44" t="s">
        <v>923</v>
      </c>
      <c r="BD44" t="s">
        <v>941</v>
      </c>
      <c r="BE44" t="str">
        <f>IF(OR(Table1[[#This Row],[ENGINE_CLASS]]="STEAM",Table1[[#This Row],[ENGINE_CLASS]]="ELECTRIC",Table1[[#This Row],[ENGINE_CLASS]]="DIESEL"),Table1[[#This Row],[ENGINE_CLASS]],"DISABLE")</f>
        <v>DIESEL</v>
      </c>
      <c r="BF44">
        <v>0</v>
      </c>
      <c r="BG44" t="s">
        <v>735</v>
      </c>
      <c r="BI44"/>
      <c r="BJ44">
        <v>48</v>
      </c>
      <c r="BK44">
        <v>0</v>
      </c>
      <c r="BL44" t="s">
        <v>693</v>
      </c>
      <c r="BM44" t="s">
        <v>695</v>
      </c>
      <c r="BN44" t="s">
        <v>702</v>
      </c>
      <c r="BO44" t="s">
        <v>706</v>
      </c>
      <c r="BP44" t="s">
        <v>707</v>
      </c>
      <c r="BQ44" t="s">
        <v>708</v>
      </c>
    </row>
    <row r="45" spans="1:69" x14ac:dyDescent="0.4">
      <c r="A45" s="2" t="s">
        <v>68</v>
      </c>
      <c r="B45" t="str">
        <f>_xlfn.TEXTAFTER(Table1[[#This Row],[VEHIDCODE]],"_")</f>
        <v>Tunisia_SNCFT_Z431</v>
      </c>
      <c r="C45" t="s">
        <v>738</v>
      </c>
      <c r="D45" t="str">
        <f>"item_"&amp;Table1[[#This Row],[VEHIDCODE]]</f>
        <v>item_rbd_Tunisia_SNCFT_Z431</v>
      </c>
      <c r="E45" t="str">
        <f>"str_"&amp;Table1[[#This Row],[VEHIDCODE]]</f>
        <v>str_rbd_Tunisia_SNCFT_Z431</v>
      </c>
      <c r="F45">
        <v>8</v>
      </c>
      <c r="G45" t="s">
        <v>18</v>
      </c>
      <c r="H45">
        <v>0</v>
      </c>
      <c r="I45" t="s">
        <v>35</v>
      </c>
      <c r="J45">
        <v>54</v>
      </c>
      <c r="K45">
        <v>1975</v>
      </c>
      <c r="L45">
        <v>8</v>
      </c>
      <c r="M45" s="2" t="s">
        <v>24</v>
      </c>
      <c r="N45" t="b">
        <v>1</v>
      </c>
      <c r="P45" s="2"/>
      <c r="Q45">
        <v>45</v>
      </c>
      <c r="R45">
        <v>1</v>
      </c>
      <c r="S45">
        <v>1045</v>
      </c>
      <c r="T45" t="s">
        <v>712</v>
      </c>
      <c r="U45">
        <v>130</v>
      </c>
      <c r="V45" s="2">
        <v>0.38</v>
      </c>
      <c r="AE45" t="b">
        <v>1</v>
      </c>
      <c r="AZ45" s="2"/>
      <c r="BA45" s="7">
        <v>15</v>
      </c>
      <c r="BB45" t="s">
        <v>927</v>
      </c>
      <c r="BC45" t="s">
        <v>923</v>
      </c>
      <c r="BD45" t="s">
        <v>941</v>
      </c>
      <c r="BE45" t="str">
        <f>IF(OR(Table1[[#This Row],[ENGINE_CLASS]]="STEAM",Table1[[#This Row],[ENGINE_CLASS]]="ELECTRIC",Table1[[#This Row],[ENGINE_CLASS]]="DIESEL"),Table1[[#This Row],[ENGINE_CLASS]],"DISABLE")</f>
        <v>DIESEL</v>
      </c>
      <c r="BF45">
        <v>0</v>
      </c>
      <c r="BG45" t="s">
        <v>735</v>
      </c>
      <c r="BI45"/>
      <c r="BJ45">
        <v>60</v>
      </c>
      <c r="BK45">
        <v>0</v>
      </c>
      <c r="BL45" t="s">
        <v>693</v>
      </c>
      <c r="BM45" t="s">
        <v>695</v>
      </c>
      <c r="BN45" t="s">
        <v>702</v>
      </c>
      <c r="BO45" t="s">
        <v>706</v>
      </c>
      <c r="BP45" t="s">
        <v>707</v>
      </c>
      <c r="BQ45" t="s">
        <v>708</v>
      </c>
    </row>
    <row r="46" spans="1:69" x14ac:dyDescent="0.4">
      <c r="A46" s="2" t="s">
        <v>69</v>
      </c>
      <c r="B46" t="str">
        <f>_xlfn.TEXTAFTER(Table1[[#This Row],[VEHIDCODE]],"_")</f>
        <v>USA_Amtrak_SPV_200</v>
      </c>
      <c r="C46" t="s">
        <v>738</v>
      </c>
      <c r="D46" t="str">
        <f>"item_"&amp;Table1[[#This Row],[VEHIDCODE]]</f>
        <v>item_rbd_USA_Amtrak_SPV_200</v>
      </c>
      <c r="E46" t="str">
        <f>"str_"&amp;Table1[[#This Row],[VEHIDCODE]]</f>
        <v>str_rbd_USA_Amtrak_SPV_200</v>
      </c>
      <c r="F46">
        <v>8</v>
      </c>
      <c r="G46" t="s">
        <v>18</v>
      </c>
      <c r="H46">
        <v>0</v>
      </c>
      <c r="I46" t="s">
        <v>35</v>
      </c>
      <c r="J46">
        <v>86</v>
      </c>
      <c r="K46">
        <v>1979</v>
      </c>
      <c r="L46">
        <v>8</v>
      </c>
      <c r="M46" s="2" t="s">
        <v>24</v>
      </c>
      <c r="N46" t="b">
        <v>1</v>
      </c>
      <c r="P46" s="2"/>
      <c r="Q46">
        <v>45</v>
      </c>
      <c r="R46">
        <v>1</v>
      </c>
      <c r="S46">
        <v>360</v>
      </c>
      <c r="T46" t="s">
        <v>712</v>
      </c>
      <c r="U46">
        <v>130</v>
      </c>
      <c r="V46" s="2">
        <v>0.26</v>
      </c>
      <c r="AE46" t="b">
        <v>1</v>
      </c>
      <c r="AZ46" s="2"/>
      <c r="BA46" s="7">
        <v>15</v>
      </c>
      <c r="BB46" t="s">
        <v>929</v>
      </c>
      <c r="BC46" t="s">
        <v>923</v>
      </c>
      <c r="BD46" t="s">
        <v>941</v>
      </c>
      <c r="BE46" t="str">
        <f>IF(OR(Table1[[#This Row],[ENGINE_CLASS]]="STEAM",Table1[[#This Row],[ENGINE_CLASS]]="ELECTRIC",Table1[[#This Row],[ENGINE_CLASS]]="DIESEL"),Table1[[#This Row],[ENGINE_CLASS]],"DISABLE")</f>
        <v>DIESEL</v>
      </c>
      <c r="BF46">
        <v>0</v>
      </c>
      <c r="BG46" t="s">
        <v>735</v>
      </c>
      <c r="BI46"/>
      <c r="BJ46">
        <v>58</v>
      </c>
      <c r="BK46">
        <v>0</v>
      </c>
      <c r="BL46" t="s">
        <v>693</v>
      </c>
      <c r="BM46" t="s">
        <v>695</v>
      </c>
      <c r="BN46" t="s">
        <v>702</v>
      </c>
      <c r="BO46" t="s">
        <v>706</v>
      </c>
      <c r="BP46" t="s">
        <v>707</v>
      </c>
      <c r="BQ46" t="s">
        <v>708</v>
      </c>
    </row>
    <row r="47" spans="1:69" x14ac:dyDescent="0.4">
      <c r="A47" s="2" t="s">
        <v>70</v>
      </c>
      <c r="B47" t="str">
        <f>_xlfn.TEXTAFTER(Table1[[#This Row],[VEHIDCODE]],"_")</f>
        <v>Finland_VR_Dm12</v>
      </c>
      <c r="C47" t="s">
        <v>738</v>
      </c>
      <c r="D47" t="str">
        <f>"item_"&amp;Table1[[#This Row],[VEHIDCODE]]</f>
        <v>item_rbd_Finland_VR_Dm12</v>
      </c>
      <c r="E47" t="str">
        <f>"str_"&amp;Table1[[#This Row],[VEHIDCODE]]</f>
        <v>str_rbd_Finland_VR_Dm12</v>
      </c>
      <c r="F47">
        <v>8</v>
      </c>
      <c r="G47" t="s">
        <v>18</v>
      </c>
      <c r="H47">
        <v>0</v>
      </c>
      <c r="I47" t="s">
        <v>35</v>
      </c>
      <c r="J47">
        <v>63</v>
      </c>
      <c r="K47">
        <v>2005</v>
      </c>
      <c r="L47">
        <v>8</v>
      </c>
      <c r="M47" s="2" t="s">
        <v>24</v>
      </c>
      <c r="N47" t="b">
        <v>1</v>
      </c>
      <c r="P47" s="2"/>
      <c r="Q47" t="s">
        <v>21</v>
      </c>
      <c r="R47">
        <v>1</v>
      </c>
      <c r="S47">
        <v>710</v>
      </c>
      <c r="T47" t="s">
        <v>712</v>
      </c>
      <c r="U47">
        <v>120</v>
      </c>
      <c r="V47" s="2">
        <v>0.35</v>
      </c>
      <c r="AE47" t="b">
        <v>1</v>
      </c>
      <c r="AZ47" s="2"/>
      <c r="BA47" s="7">
        <v>15</v>
      </c>
      <c r="BB47" t="s">
        <v>928</v>
      </c>
      <c r="BC47" t="s">
        <v>923</v>
      </c>
      <c r="BD47" t="s">
        <v>941</v>
      </c>
      <c r="BE47" t="str">
        <f>IF(OR(Table1[[#This Row],[ENGINE_CLASS]]="STEAM",Table1[[#This Row],[ENGINE_CLASS]]="ELECTRIC",Table1[[#This Row],[ENGINE_CLASS]]="DIESEL"),Table1[[#This Row],[ENGINE_CLASS]],"DISABLE")</f>
        <v>DIESEL</v>
      </c>
      <c r="BF47">
        <v>0</v>
      </c>
      <c r="BG47" t="s">
        <v>735</v>
      </c>
      <c r="BI47"/>
      <c r="BJ47">
        <v>48</v>
      </c>
      <c r="BK47">
        <v>0</v>
      </c>
      <c r="BL47" t="s">
        <v>693</v>
      </c>
      <c r="BM47" t="s">
        <v>695</v>
      </c>
      <c r="BN47" t="s">
        <v>702</v>
      </c>
      <c r="BO47" t="s">
        <v>706</v>
      </c>
      <c r="BP47" t="s">
        <v>707</v>
      </c>
      <c r="BQ47" t="s">
        <v>708</v>
      </c>
    </row>
    <row r="48" spans="1:69" x14ac:dyDescent="0.4">
      <c r="A48" s="2" t="s">
        <v>71</v>
      </c>
      <c r="B48" t="str">
        <f>_xlfn.TEXTAFTER(Table1[[#This Row],[VEHIDCODE]],"_")</f>
        <v>Czech_Republic_CD_840</v>
      </c>
      <c r="C48" t="s">
        <v>738</v>
      </c>
      <c r="D48" t="str">
        <f>"item_"&amp;Table1[[#This Row],[VEHIDCODE]]</f>
        <v>item_rbd_Czech_Republic_CD_840</v>
      </c>
      <c r="E48" t="str">
        <f>"str_"&amp;Table1[[#This Row],[VEHIDCODE]]</f>
        <v>str_rbd_Czech_Republic_CD_840</v>
      </c>
      <c r="F48">
        <v>8</v>
      </c>
      <c r="G48" t="s">
        <v>18</v>
      </c>
      <c r="H48">
        <v>0</v>
      </c>
      <c r="I48" t="s">
        <v>35</v>
      </c>
      <c r="J48">
        <v>71</v>
      </c>
      <c r="K48">
        <v>2011</v>
      </c>
      <c r="L48">
        <v>8</v>
      </c>
      <c r="M48" s="2" t="s">
        <v>24</v>
      </c>
      <c r="N48" t="b">
        <v>1</v>
      </c>
      <c r="P48" s="2"/>
      <c r="Q48" t="s">
        <v>21</v>
      </c>
      <c r="R48">
        <v>1</v>
      </c>
      <c r="S48">
        <v>710</v>
      </c>
      <c r="T48" t="s">
        <v>712</v>
      </c>
      <c r="U48">
        <v>120</v>
      </c>
      <c r="V48" s="2">
        <v>0.37</v>
      </c>
      <c r="AE48" t="b">
        <v>1</v>
      </c>
      <c r="AZ48" s="2"/>
      <c r="BA48" s="7">
        <v>15</v>
      </c>
      <c r="BB48" t="s">
        <v>930</v>
      </c>
      <c r="BC48" t="s">
        <v>923</v>
      </c>
      <c r="BD48" t="s">
        <v>941</v>
      </c>
      <c r="BE48" t="str">
        <f>IF(OR(Table1[[#This Row],[ENGINE_CLASS]]="STEAM",Table1[[#This Row],[ENGINE_CLASS]]="ELECTRIC",Table1[[#This Row],[ENGINE_CLASS]]="DIESEL"),Table1[[#This Row],[ENGINE_CLASS]],"DISABLE")</f>
        <v>DIESEL</v>
      </c>
      <c r="BF48">
        <v>0</v>
      </c>
      <c r="BG48" t="s">
        <v>735</v>
      </c>
      <c r="BI48"/>
      <c r="BJ48">
        <v>43</v>
      </c>
      <c r="BK48">
        <v>0</v>
      </c>
      <c r="BL48" t="s">
        <v>693</v>
      </c>
      <c r="BM48" t="s">
        <v>695</v>
      </c>
      <c r="BN48" t="s">
        <v>702</v>
      </c>
      <c r="BO48" t="s">
        <v>706</v>
      </c>
      <c r="BP48" t="s">
        <v>707</v>
      </c>
      <c r="BQ48" t="s">
        <v>708</v>
      </c>
    </row>
    <row r="49" spans="1:69" x14ac:dyDescent="0.4">
      <c r="A49" s="2" t="s">
        <v>72</v>
      </c>
      <c r="B49" t="str">
        <f>_xlfn.TEXTAFTER(Table1[[#This Row],[VEHIDCODE]],"_")</f>
        <v>Italy_FS_ALn_668</v>
      </c>
      <c r="C49" t="s">
        <v>738</v>
      </c>
      <c r="D49" t="str">
        <f>"item_"&amp;Table1[[#This Row],[VEHIDCODE]]</f>
        <v>item_rbd_Italy_FS_ALn_668</v>
      </c>
      <c r="E49" t="str">
        <f>"str_"&amp;Table1[[#This Row],[VEHIDCODE]]</f>
        <v>str_rbd_Italy_FS_ALn_668</v>
      </c>
      <c r="F49">
        <v>8</v>
      </c>
      <c r="G49" t="s">
        <v>18</v>
      </c>
      <c r="H49">
        <v>0</v>
      </c>
      <c r="I49" t="s">
        <v>35</v>
      </c>
      <c r="J49">
        <v>68</v>
      </c>
      <c r="K49">
        <v>1956</v>
      </c>
      <c r="L49">
        <v>8</v>
      </c>
      <c r="M49" s="2" t="s">
        <v>24</v>
      </c>
      <c r="N49" t="b">
        <v>1</v>
      </c>
      <c r="P49" s="2"/>
      <c r="Q49">
        <v>45</v>
      </c>
      <c r="R49">
        <v>1</v>
      </c>
      <c r="S49">
        <v>335</v>
      </c>
      <c r="T49" t="s">
        <v>712</v>
      </c>
      <c r="U49">
        <v>110</v>
      </c>
      <c r="V49" s="2">
        <v>0.23</v>
      </c>
      <c r="AE49" t="b">
        <v>1</v>
      </c>
      <c r="AZ49" s="2"/>
      <c r="BA49" s="7">
        <v>25</v>
      </c>
      <c r="BB49" t="s">
        <v>925</v>
      </c>
      <c r="BC49" t="s">
        <v>923</v>
      </c>
      <c r="BD49" t="s">
        <v>941</v>
      </c>
      <c r="BE49" t="str">
        <f>IF(OR(Table1[[#This Row],[ENGINE_CLASS]]="STEAM",Table1[[#This Row],[ENGINE_CLASS]]="ELECTRIC",Table1[[#This Row],[ENGINE_CLASS]]="DIESEL"),Table1[[#This Row],[ENGINE_CLASS]],"DISABLE")</f>
        <v>DIESEL</v>
      </c>
      <c r="BF49">
        <v>0</v>
      </c>
      <c r="BG49" t="s">
        <v>735</v>
      </c>
      <c r="BI49"/>
      <c r="BJ49">
        <v>32</v>
      </c>
      <c r="BK49">
        <v>0</v>
      </c>
      <c r="BL49" t="s">
        <v>693</v>
      </c>
      <c r="BM49" t="s">
        <v>695</v>
      </c>
      <c r="BN49" t="s">
        <v>702</v>
      </c>
      <c r="BO49" t="s">
        <v>706</v>
      </c>
      <c r="BP49" t="s">
        <v>707</v>
      </c>
      <c r="BQ49" t="s">
        <v>708</v>
      </c>
    </row>
    <row r="50" spans="1:69" x14ac:dyDescent="0.4">
      <c r="A50" s="2" t="s">
        <v>73</v>
      </c>
      <c r="B50" t="str">
        <f>_xlfn.TEXTAFTER(Table1[[#This Row],[VEHIDCODE]],"_")</f>
        <v>Czech_Republic_CD_M400</v>
      </c>
      <c r="C50" t="s">
        <v>739</v>
      </c>
      <c r="D50" t="str">
        <f>"item_"&amp;Table1[[#This Row],[VEHIDCODE]]</f>
        <v>item_rbe_Czech_Republic_CD_M400</v>
      </c>
      <c r="E50" t="str">
        <f>"str_"&amp;Table1[[#This Row],[VEHIDCODE]]</f>
        <v>str_rbe_Czech_Republic_CD_M400</v>
      </c>
      <c r="F50">
        <v>7</v>
      </c>
      <c r="G50" t="s">
        <v>18</v>
      </c>
      <c r="H50">
        <v>0</v>
      </c>
      <c r="I50" t="s">
        <v>74</v>
      </c>
      <c r="J50">
        <v>40</v>
      </c>
      <c r="K50">
        <v>1903</v>
      </c>
      <c r="L50">
        <v>7</v>
      </c>
      <c r="M50" s="2" t="s">
        <v>24</v>
      </c>
      <c r="N50" t="b">
        <v>1</v>
      </c>
      <c r="P50" s="2"/>
      <c r="Q50">
        <v>45</v>
      </c>
      <c r="R50">
        <v>1</v>
      </c>
      <c r="S50">
        <v>150</v>
      </c>
      <c r="T50" t="s">
        <v>710</v>
      </c>
      <c r="U50">
        <v>35</v>
      </c>
      <c r="V50" s="2">
        <v>0.33</v>
      </c>
      <c r="AA50" t="b">
        <v>1</v>
      </c>
      <c r="AE50"/>
      <c r="AZ50" s="2"/>
      <c r="BA50" s="7">
        <v>15</v>
      </c>
      <c r="BB50" t="s">
        <v>930</v>
      </c>
      <c r="BC50" t="s">
        <v>923</v>
      </c>
      <c r="BD50" t="s">
        <v>941</v>
      </c>
      <c r="BE50" t="str">
        <f>IF(OR(Table1[[#This Row],[ENGINE_CLASS]]="STEAM",Table1[[#This Row],[ENGINE_CLASS]]="ELECTRIC",Table1[[#This Row],[ENGINE_CLASS]]="DIESEL"),Table1[[#This Row],[ENGINE_CLASS]],"DISABLE")</f>
        <v>ELECTRIC</v>
      </c>
      <c r="BF50">
        <v>0</v>
      </c>
      <c r="BG50" t="s">
        <v>735</v>
      </c>
      <c r="BI50"/>
      <c r="BJ50">
        <v>23</v>
      </c>
      <c r="BK50">
        <v>0</v>
      </c>
      <c r="BL50" t="s">
        <v>693</v>
      </c>
      <c r="BM50" t="s">
        <v>695</v>
      </c>
      <c r="BN50" t="s">
        <v>702</v>
      </c>
      <c r="BO50" t="s">
        <v>706</v>
      </c>
      <c r="BP50" t="s">
        <v>707</v>
      </c>
      <c r="BQ50" t="s">
        <v>708</v>
      </c>
    </row>
    <row r="51" spans="1:69" x14ac:dyDescent="0.4">
      <c r="A51" s="2" t="s">
        <v>75</v>
      </c>
      <c r="B51" t="str">
        <f>_xlfn.TEXTAFTER(Table1[[#This Row],[VEHIDCODE]],"_")</f>
        <v>France_SNCF_Z_7100</v>
      </c>
      <c r="C51" t="s">
        <v>739</v>
      </c>
      <c r="D51" t="str">
        <f>"item_"&amp;Table1[[#This Row],[VEHIDCODE]]</f>
        <v>item_rbe_France_SNCF_Z_7100</v>
      </c>
      <c r="E51" t="str">
        <f>"str_"&amp;Table1[[#This Row],[VEHIDCODE]]</f>
        <v>str_rbe_France_SNCF_Z_7100</v>
      </c>
      <c r="F51">
        <v>8</v>
      </c>
      <c r="G51" t="s">
        <v>18</v>
      </c>
      <c r="H51">
        <v>0</v>
      </c>
      <c r="I51" t="s">
        <v>74</v>
      </c>
      <c r="J51">
        <v>70</v>
      </c>
      <c r="K51">
        <v>1960</v>
      </c>
      <c r="L51">
        <v>8</v>
      </c>
      <c r="M51" s="2" t="s">
        <v>24</v>
      </c>
      <c r="N51" t="b">
        <v>1</v>
      </c>
      <c r="P51" s="2"/>
      <c r="Q51">
        <v>45</v>
      </c>
      <c r="R51">
        <v>1</v>
      </c>
      <c r="S51">
        <v>1260</v>
      </c>
      <c r="T51" t="s">
        <v>710</v>
      </c>
      <c r="U51">
        <v>130</v>
      </c>
      <c r="V51" s="2">
        <v>0.21</v>
      </c>
      <c r="AA51" t="b">
        <v>1</v>
      </c>
      <c r="AE51"/>
      <c r="AZ51" s="2"/>
      <c r="BA51" s="7">
        <v>15</v>
      </c>
      <c r="BB51" t="s">
        <v>924</v>
      </c>
      <c r="BC51" t="s">
        <v>923</v>
      </c>
      <c r="BD51" t="s">
        <v>941</v>
      </c>
      <c r="BE51" t="str">
        <f>IF(OR(Table1[[#This Row],[ENGINE_CLASS]]="STEAM",Table1[[#This Row],[ENGINE_CLASS]]="ELECTRIC",Table1[[#This Row],[ENGINE_CLASS]]="DIESEL"),Table1[[#This Row],[ENGINE_CLASS]],"DISABLE")</f>
        <v>ELECTRIC</v>
      </c>
      <c r="BF51">
        <v>0</v>
      </c>
      <c r="BG51" t="s">
        <v>735</v>
      </c>
      <c r="BI51"/>
      <c r="BJ51">
        <v>58</v>
      </c>
      <c r="BK51">
        <v>0</v>
      </c>
      <c r="BL51" t="s">
        <v>693</v>
      </c>
      <c r="BM51" t="s">
        <v>695</v>
      </c>
      <c r="BN51" t="s">
        <v>702</v>
      </c>
      <c r="BO51" t="s">
        <v>706</v>
      </c>
      <c r="BP51" t="s">
        <v>707</v>
      </c>
      <c r="BQ51" t="s">
        <v>708</v>
      </c>
    </row>
    <row r="52" spans="1:69" x14ac:dyDescent="0.4">
      <c r="A52" s="2" t="s">
        <v>76</v>
      </c>
      <c r="B52" t="str">
        <f>_xlfn.TEXTAFTER(Table1[[#This Row],[VEHIDCODE]],"_")</f>
        <v>Germany_Buckower_Kleinbahn_Nr_1_3</v>
      </c>
      <c r="C52" t="s">
        <v>739</v>
      </c>
      <c r="D52" t="str">
        <f>"item_"&amp;Table1[[#This Row],[VEHIDCODE]]</f>
        <v>item_rbe_Germany_Buckower_Kleinbahn_Nr_1_3</v>
      </c>
      <c r="E52" t="str">
        <f>"str_"&amp;Table1[[#This Row],[VEHIDCODE]]</f>
        <v>str_rbe_Germany_Buckower_Kleinbahn_Nr_1_3</v>
      </c>
      <c r="F52">
        <v>4</v>
      </c>
      <c r="G52" t="s">
        <v>18</v>
      </c>
      <c r="H52">
        <v>0</v>
      </c>
      <c r="I52" t="s">
        <v>74</v>
      </c>
      <c r="J52">
        <v>50</v>
      </c>
      <c r="K52">
        <v>1930</v>
      </c>
      <c r="L52">
        <v>4</v>
      </c>
      <c r="M52" s="2" t="s">
        <v>24</v>
      </c>
      <c r="N52" t="b">
        <v>1</v>
      </c>
      <c r="P52" s="2"/>
      <c r="Q52">
        <v>45</v>
      </c>
      <c r="R52">
        <v>1</v>
      </c>
      <c r="S52">
        <v>175</v>
      </c>
      <c r="T52" t="s">
        <v>710</v>
      </c>
      <c r="U52">
        <v>50</v>
      </c>
      <c r="V52" s="2">
        <v>0.08</v>
      </c>
      <c r="AA52" t="b">
        <v>1</v>
      </c>
      <c r="AE52"/>
      <c r="AZ52" s="2"/>
      <c r="BA52" s="7">
        <v>15</v>
      </c>
      <c r="BB52" t="s">
        <v>924</v>
      </c>
      <c r="BC52" t="s">
        <v>923</v>
      </c>
      <c r="BD52" t="s">
        <v>941</v>
      </c>
      <c r="BE52" t="str">
        <f>IF(OR(Table1[[#This Row],[ENGINE_CLASS]]="STEAM",Table1[[#This Row],[ENGINE_CLASS]]="ELECTRIC",Table1[[#This Row],[ENGINE_CLASS]]="DIESEL"),Table1[[#This Row],[ENGINE_CLASS]],"DISABLE")</f>
        <v>ELECTRIC</v>
      </c>
      <c r="BF52">
        <v>-3</v>
      </c>
      <c r="BG52" t="s">
        <v>735</v>
      </c>
      <c r="BI52"/>
      <c r="BJ52">
        <v>23</v>
      </c>
      <c r="BK52">
        <v>0</v>
      </c>
      <c r="BL52" t="s">
        <v>693</v>
      </c>
      <c r="BM52" t="s">
        <v>695</v>
      </c>
      <c r="BN52" t="s">
        <v>702</v>
      </c>
      <c r="BO52" t="s">
        <v>706</v>
      </c>
      <c r="BP52" t="s">
        <v>707</v>
      </c>
      <c r="BQ52" t="s">
        <v>708</v>
      </c>
    </row>
    <row r="53" spans="1:69" x14ac:dyDescent="0.4">
      <c r="A53" s="2" t="s">
        <v>77</v>
      </c>
      <c r="B53" t="str">
        <f>_xlfn.TEXTAFTER(Table1[[#This Row],[VEHIDCODE]],"_")</f>
        <v>Germany_DB_4792</v>
      </c>
      <c r="C53" t="s">
        <v>739</v>
      </c>
      <c r="D53" t="str">
        <f>"item_"&amp;Table1[[#This Row],[VEHIDCODE]]</f>
        <v>item_rbe_Germany_DB_4792</v>
      </c>
      <c r="E53" t="str">
        <f>"str_"&amp;Table1[[#This Row],[VEHIDCODE]]</f>
        <v>str_rbe_Germany_DB_4792</v>
      </c>
      <c r="F53">
        <v>5</v>
      </c>
      <c r="G53" t="s">
        <v>18</v>
      </c>
      <c r="H53">
        <v>0</v>
      </c>
      <c r="I53" t="s">
        <v>74</v>
      </c>
      <c r="J53">
        <v>24</v>
      </c>
      <c r="K53">
        <v>1982</v>
      </c>
      <c r="L53">
        <v>5</v>
      </c>
      <c r="M53" s="2" t="s">
        <v>24</v>
      </c>
      <c r="N53" t="b">
        <v>1</v>
      </c>
      <c r="P53" s="2"/>
      <c r="Q53">
        <v>45</v>
      </c>
      <c r="R53">
        <v>1</v>
      </c>
      <c r="S53">
        <v>160</v>
      </c>
      <c r="T53" t="s">
        <v>710</v>
      </c>
      <c r="U53">
        <v>50</v>
      </c>
      <c r="V53" s="2">
        <v>0.13</v>
      </c>
      <c r="AA53" t="b">
        <v>1</v>
      </c>
      <c r="AE53"/>
      <c r="AZ53" s="2"/>
      <c r="BA53" s="7">
        <v>15</v>
      </c>
      <c r="BB53" t="s">
        <v>924</v>
      </c>
      <c r="BC53" t="s">
        <v>923</v>
      </c>
      <c r="BD53" t="s">
        <v>941</v>
      </c>
      <c r="BE53" t="str">
        <f>IF(OR(Table1[[#This Row],[ENGINE_CLASS]]="STEAM",Table1[[#This Row],[ENGINE_CLASS]]="ELECTRIC",Table1[[#This Row],[ENGINE_CLASS]]="DIESEL"),Table1[[#This Row],[ENGINE_CLASS]],"DISABLE")</f>
        <v>ELECTRIC</v>
      </c>
      <c r="BF53">
        <v>-3</v>
      </c>
      <c r="BG53" t="s">
        <v>735</v>
      </c>
      <c r="BI53"/>
      <c r="BJ53">
        <v>20</v>
      </c>
      <c r="BK53">
        <v>0</v>
      </c>
      <c r="BL53" t="s">
        <v>693</v>
      </c>
      <c r="BM53" t="s">
        <v>695</v>
      </c>
      <c r="BN53" t="s">
        <v>702</v>
      </c>
      <c r="BO53" t="s">
        <v>706</v>
      </c>
      <c r="BP53" t="s">
        <v>707</v>
      </c>
      <c r="BQ53" t="s">
        <v>708</v>
      </c>
    </row>
    <row r="54" spans="1:69" x14ac:dyDescent="0.4">
      <c r="A54" s="2" t="s">
        <v>78</v>
      </c>
      <c r="B54" t="str">
        <f>_xlfn.TEXTAFTER(Table1[[#This Row],[VEHIDCODE]],"_")</f>
        <v>Slovakia_ZSSK_490</v>
      </c>
      <c r="C54" t="s">
        <v>739</v>
      </c>
      <c r="D54" t="str">
        <f>"item_"&amp;Table1[[#This Row],[VEHIDCODE]]</f>
        <v>item_rbe_Slovakia_ZSSK_490</v>
      </c>
      <c r="E54" t="str">
        <f>"str_"&amp;Table1[[#This Row],[VEHIDCODE]]</f>
        <v>str_rbe_Slovakia_ZSSK_490</v>
      </c>
      <c r="F54">
        <v>7</v>
      </c>
      <c r="G54" t="s">
        <v>18</v>
      </c>
      <c r="H54">
        <v>0</v>
      </c>
      <c r="I54" t="s">
        <v>74</v>
      </c>
      <c r="J54">
        <v>48</v>
      </c>
      <c r="K54">
        <v>1930</v>
      </c>
      <c r="L54">
        <v>7</v>
      </c>
      <c r="M54" s="2" t="s">
        <v>24</v>
      </c>
      <c r="N54" t="b">
        <v>1</v>
      </c>
      <c r="P54" s="2"/>
      <c r="Q54">
        <v>45</v>
      </c>
      <c r="R54">
        <v>1</v>
      </c>
      <c r="S54">
        <v>270</v>
      </c>
      <c r="T54" t="s">
        <v>710</v>
      </c>
      <c r="U54">
        <v>40</v>
      </c>
      <c r="V54" s="2">
        <v>0.08</v>
      </c>
      <c r="AA54" t="b">
        <v>1</v>
      </c>
      <c r="AE54"/>
      <c r="AZ54" s="2"/>
      <c r="BA54" s="7">
        <v>15</v>
      </c>
      <c r="BB54" t="s">
        <v>930</v>
      </c>
      <c r="BC54" t="s">
        <v>923</v>
      </c>
      <c r="BD54" t="s">
        <v>941</v>
      </c>
      <c r="BE54" t="str">
        <f>IF(OR(Table1[[#This Row],[ENGINE_CLASS]]="STEAM",Table1[[#This Row],[ENGINE_CLASS]]="ELECTRIC",Table1[[#This Row],[ENGINE_CLASS]]="DIESEL"),Table1[[#This Row],[ENGINE_CLASS]],"DISABLE")</f>
        <v>ELECTRIC</v>
      </c>
      <c r="BF54">
        <v>0</v>
      </c>
      <c r="BG54" t="s">
        <v>735</v>
      </c>
      <c r="BI54"/>
      <c r="BJ54">
        <v>45</v>
      </c>
      <c r="BK54">
        <v>0</v>
      </c>
      <c r="BL54" t="s">
        <v>693</v>
      </c>
      <c r="BM54" t="s">
        <v>695</v>
      </c>
      <c r="BN54" t="s">
        <v>702</v>
      </c>
      <c r="BO54" t="s">
        <v>706</v>
      </c>
      <c r="BP54" t="s">
        <v>707</v>
      </c>
      <c r="BQ54" t="s">
        <v>708</v>
      </c>
    </row>
    <row r="55" spans="1:69" x14ac:dyDescent="0.4">
      <c r="A55" s="2" t="s">
        <v>79</v>
      </c>
      <c r="B55" t="str">
        <f>_xlfn.TEXTAFTER(Table1[[#This Row],[VEHIDCODE]],"_")</f>
        <v>Italy_FS_ALe_840</v>
      </c>
      <c r="C55" t="s">
        <v>739</v>
      </c>
      <c r="D55" t="str">
        <f>"item_"&amp;Table1[[#This Row],[VEHIDCODE]]</f>
        <v>item_rbe_Italy_FS_ALe_840</v>
      </c>
      <c r="E55" t="str">
        <f>"str_"&amp;Table1[[#This Row],[VEHIDCODE]]</f>
        <v>str_rbe_Italy_FS_ALe_840</v>
      </c>
      <c r="F55">
        <v>8</v>
      </c>
      <c r="G55" t="s">
        <v>18</v>
      </c>
      <c r="H55">
        <v>0</v>
      </c>
      <c r="I55" t="s">
        <v>74</v>
      </c>
      <c r="J55">
        <v>84</v>
      </c>
      <c r="K55">
        <v>1949</v>
      </c>
      <c r="L55">
        <v>8</v>
      </c>
      <c r="M55" s="2" t="s">
        <v>24</v>
      </c>
      <c r="N55" t="b">
        <v>1</v>
      </c>
      <c r="P55" s="2"/>
      <c r="Q55">
        <v>45</v>
      </c>
      <c r="R55">
        <v>1</v>
      </c>
      <c r="S55">
        <v>800</v>
      </c>
      <c r="T55" t="s">
        <v>710</v>
      </c>
      <c r="U55">
        <v>150</v>
      </c>
      <c r="V55" s="2">
        <v>0.21</v>
      </c>
      <c r="AE55"/>
      <c r="AZ55" s="2"/>
      <c r="BA55" s="7">
        <v>15</v>
      </c>
      <c r="BB55" t="s">
        <v>925</v>
      </c>
      <c r="BC55" t="s">
        <v>923</v>
      </c>
      <c r="BD55" t="s">
        <v>941</v>
      </c>
      <c r="BE55" t="str">
        <f>IF(OR(Table1[[#This Row],[ENGINE_CLASS]]="STEAM",Table1[[#This Row],[ENGINE_CLASS]]="ELECTRIC",Table1[[#This Row],[ENGINE_CLASS]]="DIESEL"),Table1[[#This Row],[ENGINE_CLASS]],"DISABLE")</f>
        <v>ELECTRIC</v>
      </c>
      <c r="BF55">
        <v>-3</v>
      </c>
      <c r="BG55" t="s">
        <v>735</v>
      </c>
      <c r="BI55"/>
      <c r="BJ55">
        <v>58</v>
      </c>
      <c r="BK55">
        <v>0</v>
      </c>
      <c r="BL55" t="s">
        <v>693</v>
      </c>
      <c r="BM55" t="s">
        <v>695</v>
      </c>
      <c r="BN55" t="s">
        <v>702</v>
      </c>
      <c r="BO55" t="s">
        <v>706</v>
      </c>
      <c r="BP55" t="s">
        <v>707</v>
      </c>
      <c r="BQ55" t="s">
        <v>708</v>
      </c>
    </row>
    <row r="56" spans="1:69" x14ac:dyDescent="0.4">
      <c r="A56" s="2" t="s">
        <v>80</v>
      </c>
      <c r="B56" t="str">
        <f>_xlfn.TEXTAFTER(Table1[[#This Row],[VEHIDCODE]],"_")</f>
        <v>Italy_FG_ALe_80</v>
      </c>
      <c r="C56" t="s">
        <v>739</v>
      </c>
      <c r="D56" t="str">
        <f>"item_"&amp;Table1[[#This Row],[VEHIDCODE]]</f>
        <v>item_rbe_Italy_FG_ALe_80</v>
      </c>
      <c r="E56" t="str">
        <f>"str_"&amp;Table1[[#This Row],[VEHIDCODE]]</f>
        <v>str_rbe_Italy_FG_ALe_80</v>
      </c>
      <c r="F56">
        <v>7</v>
      </c>
      <c r="G56" t="s">
        <v>18</v>
      </c>
      <c r="H56">
        <v>0</v>
      </c>
      <c r="I56" t="s">
        <v>74</v>
      </c>
      <c r="J56">
        <v>80</v>
      </c>
      <c r="K56">
        <v>1981</v>
      </c>
      <c r="L56">
        <v>7</v>
      </c>
      <c r="M56" s="2" t="s">
        <v>24</v>
      </c>
      <c r="N56" t="b">
        <v>1</v>
      </c>
      <c r="P56" s="2"/>
      <c r="Q56">
        <v>45</v>
      </c>
      <c r="R56">
        <v>1</v>
      </c>
      <c r="S56">
        <v>720</v>
      </c>
      <c r="T56" t="s">
        <v>710</v>
      </c>
      <c r="U56">
        <v>120</v>
      </c>
      <c r="V56" s="2">
        <v>0.17</v>
      </c>
      <c r="AE56"/>
      <c r="AZ56" s="2"/>
      <c r="BA56" s="7">
        <v>15</v>
      </c>
      <c r="BB56" t="s">
        <v>925</v>
      </c>
      <c r="BC56" t="s">
        <v>923</v>
      </c>
      <c r="BD56" t="s">
        <v>941</v>
      </c>
      <c r="BE56" t="str">
        <f>IF(OR(Table1[[#This Row],[ENGINE_CLASS]]="STEAM",Table1[[#This Row],[ENGINE_CLASS]]="ELECTRIC",Table1[[#This Row],[ENGINE_CLASS]]="DIESEL"),Table1[[#This Row],[ENGINE_CLASS]],"DISABLE")</f>
        <v>ELECTRIC</v>
      </c>
      <c r="BF56">
        <v>0</v>
      </c>
      <c r="BG56" t="s">
        <v>735</v>
      </c>
      <c r="BI56"/>
      <c r="BJ56">
        <v>49</v>
      </c>
      <c r="BK56">
        <v>0</v>
      </c>
      <c r="BL56" t="s">
        <v>693</v>
      </c>
      <c r="BM56" t="s">
        <v>695</v>
      </c>
      <c r="BN56" t="s">
        <v>702</v>
      </c>
      <c r="BO56" t="s">
        <v>706</v>
      </c>
      <c r="BP56" t="s">
        <v>707</v>
      </c>
      <c r="BQ56" t="s">
        <v>708</v>
      </c>
    </row>
    <row r="57" spans="1:69" x14ac:dyDescent="0.4">
      <c r="A57" s="2" t="s">
        <v>81</v>
      </c>
      <c r="B57" t="str">
        <f>_xlfn.TEXTAFTER(Table1[[#This Row],[VEHIDCODE]],"_")</f>
        <v>Italy_FS_E623</v>
      </c>
      <c r="C57" t="s">
        <v>739</v>
      </c>
      <c r="D57" t="str">
        <f>"item_"&amp;Table1[[#This Row],[VEHIDCODE]]</f>
        <v>item_rbe_Italy_FS_E623</v>
      </c>
      <c r="E57" t="str">
        <f>"str_"&amp;Table1[[#This Row],[VEHIDCODE]]</f>
        <v>str_rbe_Italy_FS_E623</v>
      </c>
      <c r="F57">
        <v>8</v>
      </c>
      <c r="G57" t="s">
        <v>18</v>
      </c>
      <c r="H57">
        <v>0</v>
      </c>
      <c r="I57" t="s">
        <v>74</v>
      </c>
      <c r="J57">
        <v>54</v>
      </c>
      <c r="K57">
        <v>1950</v>
      </c>
      <c r="L57">
        <v>8</v>
      </c>
      <c r="M57" s="2" t="s">
        <v>24</v>
      </c>
      <c r="N57" t="b">
        <v>1</v>
      </c>
      <c r="P57" s="2"/>
      <c r="Q57">
        <v>45</v>
      </c>
      <c r="R57">
        <v>1</v>
      </c>
      <c r="S57">
        <v>965</v>
      </c>
      <c r="T57" t="s">
        <v>710</v>
      </c>
      <c r="U57">
        <v>110</v>
      </c>
      <c r="V57" s="2">
        <v>0.08</v>
      </c>
      <c r="AE57"/>
      <c r="AZ57" s="2"/>
      <c r="BA57" s="7">
        <v>15</v>
      </c>
      <c r="BB57" t="s">
        <v>925</v>
      </c>
      <c r="BC57" t="s">
        <v>923</v>
      </c>
      <c r="BD57" t="s">
        <v>941</v>
      </c>
      <c r="BE57" t="str">
        <f>IF(OR(Table1[[#This Row],[ENGINE_CLASS]]="STEAM",Table1[[#This Row],[ENGINE_CLASS]]="ELECTRIC",Table1[[#This Row],[ENGINE_CLASS]]="DIESEL"),Table1[[#This Row],[ENGINE_CLASS]],"DISABLE")</f>
        <v>ELECTRIC</v>
      </c>
      <c r="BF57">
        <v>0</v>
      </c>
      <c r="BG57" t="s">
        <v>735</v>
      </c>
      <c r="BI57"/>
      <c r="BJ57">
        <v>66</v>
      </c>
      <c r="BK57">
        <v>0</v>
      </c>
      <c r="BL57" t="s">
        <v>693</v>
      </c>
      <c r="BM57" t="s">
        <v>695</v>
      </c>
      <c r="BN57" t="s">
        <v>702</v>
      </c>
      <c r="BO57" t="s">
        <v>706</v>
      </c>
      <c r="BP57" t="s">
        <v>707</v>
      </c>
      <c r="BQ57" t="s">
        <v>708</v>
      </c>
    </row>
    <row r="58" spans="1:69" x14ac:dyDescent="0.4">
      <c r="A58" s="2" t="s">
        <v>82</v>
      </c>
      <c r="B58" t="str">
        <f>_xlfn.TEXTAFTER(Table1[[#This Row],[VEHIDCODE]],"_")</f>
        <v>Morocco_ONCFM_ZAB1000</v>
      </c>
      <c r="C58" t="s">
        <v>739</v>
      </c>
      <c r="D58" t="str">
        <f>"item_"&amp;Table1[[#This Row],[VEHIDCODE]]</f>
        <v>item_rbe_Morocco_ONCFM_ZAB1000</v>
      </c>
      <c r="E58" t="str">
        <f>"str_"&amp;Table1[[#This Row],[VEHIDCODE]]</f>
        <v>str_rbe_Morocco_ONCFM_ZAB1000</v>
      </c>
      <c r="F58">
        <v>8</v>
      </c>
      <c r="G58" t="s">
        <v>18</v>
      </c>
      <c r="H58">
        <v>0</v>
      </c>
      <c r="I58" t="s">
        <v>74</v>
      </c>
      <c r="J58">
        <v>44</v>
      </c>
      <c r="K58">
        <v>1925</v>
      </c>
      <c r="L58">
        <v>8</v>
      </c>
      <c r="M58" s="2" t="s">
        <v>24</v>
      </c>
      <c r="N58" t="b">
        <v>1</v>
      </c>
      <c r="P58" s="2"/>
      <c r="Q58">
        <v>45</v>
      </c>
      <c r="R58">
        <v>1</v>
      </c>
      <c r="S58">
        <v>480</v>
      </c>
      <c r="T58" t="s">
        <v>710</v>
      </c>
      <c r="U58">
        <v>85</v>
      </c>
      <c r="V58" s="2">
        <v>0.13</v>
      </c>
      <c r="AE58"/>
      <c r="AZ58" s="2"/>
      <c r="BA58" s="7">
        <v>15</v>
      </c>
      <c r="BB58" t="s">
        <v>927</v>
      </c>
      <c r="BC58" t="s">
        <v>923</v>
      </c>
      <c r="BD58" t="s">
        <v>941</v>
      </c>
      <c r="BE58" t="str">
        <f>IF(OR(Table1[[#This Row],[ENGINE_CLASS]]="STEAM",Table1[[#This Row],[ENGINE_CLASS]]="ELECTRIC",Table1[[#This Row],[ENGINE_CLASS]]="DIESEL"),Table1[[#This Row],[ENGINE_CLASS]],"DISABLE")</f>
        <v>ELECTRIC</v>
      </c>
      <c r="BF58">
        <v>-3</v>
      </c>
      <c r="BG58" t="s">
        <v>735</v>
      </c>
      <c r="BI58"/>
      <c r="BJ58">
        <v>40</v>
      </c>
      <c r="BK58">
        <v>0</v>
      </c>
      <c r="BL58" t="s">
        <v>693</v>
      </c>
      <c r="BM58" t="s">
        <v>695</v>
      </c>
      <c r="BN58" t="s">
        <v>702</v>
      </c>
      <c r="BO58" t="s">
        <v>706</v>
      </c>
      <c r="BP58" t="s">
        <v>707</v>
      </c>
      <c r="BQ58" t="s">
        <v>708</v>
      </c>
    </row>
    <row r="59" spans="1:69" x14ac:dyDescent="0.4">
      <c r="A59" s="2" t="s">
        <v>83</v>
      </c>
      <c r="B59" t="str">
        <f>_xlfn.TEXTAFTER(Table1[[#This Row],[VEHIDCODE]],"_")</f>
        <v>Poland_PKP_EN81</v>
      </c>
      <c r="C59" t="s">
        <v>739</v>
      </c>
      <c r="D59" t="str">
        <f>"item_"&amp;Table1[[#This Row],[VEHIDCODE]]</f>
        <v>item_rbe_Poland_PKP_EN81</v>
      </c>
      <c r="E59" t="str">
        <f>"str_"&amp;Table1[[#This Row],[VEHIDCODE]]</f>
        <v>str_rbe_Poland_PKP_EN81</v>
      </c>
      <c r="F59">
        <v>8</v>
      </c>
      <c r="G59" t="s">
        <v>18</v>
      </c>
      <c r="H59">
        <v>0</v>
      </c>
      <c r="I59" t="s">
        <v>74</v>
      </c>
      <c r="J59">
        <v>60</v>
      </c>
      <c r="K59">
        <v>2005</v>
      </c>
      <c r="L59">
        <v>8</v>
      </c>
      <c r="M59" s="2" t="s">
        <v>24</v>
      </c>
      <c r="N59" t="b">
        <v>1</v>
      </c>
      <c r="P59" s="2"/>
      <c r="Q59" t="s">
        <v>21</v>
      </c>
      <c r="R59">
        <v>1</v>
      </c>
      <c r="S59">
        <v>750</v>
      </c>
      <c r="T59" t="s">
        <v>710</v>
      </c>
      <c r="U59">
        <v>120</v>
      </c>
      <c r="V59" s="2">
        <v>0.08</v>
      </c>
      <c r="AE59"/>
      <c r="AZ59" s="2"/>
      <c r="BA59" s="7">
        <v>15</v>
      </c>
      <c r="BB59" t="s">
        <v>930</v>
      </c>
      <c r="BC59" t="s">
        <v>923</v>
      </c>
      <c r="BD59" t="s">
        <v>941</v>
      </c>
      <c r="BE59" t="str">
        <f>IF(OR(Table1[[#This Row],[ENGINE_CLASS]]="STEAM",Table1[[#This Row],[ENGINE_CLASS]]="ELECTRIC",Table1[[#This Row],[ENGINE_CLASS]]="DIESEL"),Table1[[#This Row],[ENGINE_CLASS]],"DISABLE")</f>
        <v>ELECTRIC</v>
      </c>
      <c r="BF59">
        <v>0</v>
      </c>
      <c r="BG59" t="s">
        <v>735</v>
      </c>
      <c r="BI59"/>
      <c r="BJ59">
        <v>53</v>
      </c>
      <c r="BK59">
        <v>0</v>
      </c>
      <c r="BL59" t="s">
        <v>693</v>
      </c>
      <c r="BM59" t="s">
        <v>695</v>
      </c>
      <c r="BN59" t="s">
        <v>702</v>
      </c>
      <c r="BO59" t="s">
        <v>706</v>
      </c>
      <c r="BP59" t="s">
        <v>707</v>
      </c>
      <c r="BQ59" t="s">
        <v>708</v>
      </c>
    </row>
    <row r="60" spans="1:69" x14ac:dyDescent="0.4">
      <c r="A60" s="2" t="s">
        <v>84</v>
      </c>
      <c r="B60" t="str">
        <f>_xlfn.TEXTAFTER(Table1[[#This Row],[VEHIDCODE]],"_")</f>
        <v>Austria_OBB_4855</v>
      </c>
      <c r="C60" t="s">
        <v>739</v>
      </c>
      <c r="D60" t="str">
        <f>"item_"&amp;Table1[[#This Row],[VEHIDCODE]]</f>
        <v>item_rbe_Austria_OBB_4855</v>
      </c>
      <c r="E60" t="str">
        <f>"str_"&amp;Table1[[#This Row],[VEHIDCODE]]</f>
        <v>str_rbe_Austria_OBB_4855</v>
      </c>
      <c r="F60">
        <v>8</v>
      </c>
      <c r="G60" t="s">
        <v>18</v>
      </c>
      <c r="H60">
        <v>0</v>
      </c>
      <c r="I60" t="s">
        <v>74</v>
      </c>
      <c r="J60">
        <v>64</v>
      </c>
      <c r="K60">
        <v>1989</v>
      </c>
      <c r="L60">
        <v>8</v>
      </c>
      <c r="M60" s="2" t="s">
        <v>24</v>
      </c>
      <c r="N60" t="b">
        <v>1</v>
      </c>
      <c r="P60" s="2"/>
      <c r="Q60">
        <v>45</v>
      </c>
      <c r="R60">
        <v>1</v>
      </c>
      <c r="S60">
        <v>643</v>
      </c>
      <c r="T60" t="s">
        <v>710</v>
      </c>
      <c r="U60">
        <v>120</v>
      </c>
      <c r="V60" s="2">
        <v>0.21</v>
      </c>
      <c r="Y60" t="b">
        <v>1</v>
      </c>
      <c r="AE60"/>
      <c r="AZ60" s="2"/>
      <c r="BA60" s="7">
        <v>15</v>
      </c>
      <c r="BB60" t="s">
        <v>924</v>
      </c>
      <c r="BC60" t="s">
        <v>923</v>
      </c>
      <c r="BD60" t="s">
        <v>941</v>
      </c>
      <c r="BE60" t="str">
        <f>IF(OR(Table1[[#This Row],[ENGINE_CLASS]]="STEAM",Table1[[#This Row],[ENGINE_CLASS]]="ELECTRIC",Table1[[#This Row],[ENGINE_CLASS]]="DIESEL"),Table1[[#This Row],[ENGINE_CLASS]],"DISABLE")</f>
        <v>ELECTRIC</v>
      </c>
      <c r="BF60">
        <v>0</v>
      </c>
      <c r="BG60" t="s">
        <v>735</v>
      </c>
      <c r="BI60"/>
      <c r="BJ60">
        <v>42</v>
      </c>
      <c r="BK60">
        <v>0</v>
      </c>
      <c r="BL60" t="s">
        <v>693</v>
      </c>
      <c r="BM60" t="s">
        <v>695</v>
      </c>
      <c r="BN60" t="s">
        <v>702</v>
      </c>
      <c r="BO60" t="s">
        <v>706</v>
      </c>
      <c r="BP60" t="s">
        <v>707</v>
      </c>
      <c r="BQ60" t="s">
        <v>708</v>
      </c>
    </row>
    <row r="61" spans="1:69" x14ac:dyDescent="0.4">
      <c r="A61" s="2" t="s">
        <v>85</v>
      </c>
      <c r="B61" t="str">
        <f>_xlfn.TEXTAFTER(Table1[[#This Row],[VEHIDCODE]],"_")</f>
        <v>Austria_MBS_ET_10109</v>
      </c>
      <c r="C61" t="s">
        <v>739</v>
      </c>
      <c r="D61" t="str">
        <f>"item_"&amp;Table1[[#This Row],[VEHIDCODE]]</f>
        <v>item_rbe_Austria_MBS_ET_10109</v>
      </c>
      <c r="E61" t="str">
        <f>"str_"&amp;Table1[[#This Row],[VEHIDCODE]]</f>
        <v>str_rbe_Austria_MBS_ET_10109</v>
      </c>
      <c r="F61">
        <v>8</v>
      </c>
      <c r="G61" t="s">
        <v>18</v>
      </c>
      <c r="H61">
        <v>0</v>
      </c>
      <c r="I61" t="s">
        <v>74</v>
      </c>
      <c r="J61">
        <v>56</v>
      </c>
      <c r="K61">
        <v>2001</v>
      </c>
      <c r="L61">
        <v>8</v>
      </c>
      <c r="M61" s="2" t="s">
        <v>24</v>
      </c>
      <c r="N61" t="b">
        <v>1</v>
      </c>
      <c r="P61" s="2"/>
      <c r="Q61" t="s">
        <v>21</v>
      </c>
      <c r="R61">
        <v>1</v>
      </c>
      <c r="S61">
        <v>1180</v>
      </c>
      <c r="T61" t="s">
        <v>710</v>
      </c>
      <c r="U61">
        <v>140</v>
      </c>
      <c r="V61" s="2">
        <v>0.28999999999999998</v>
      </c>
      <c r="Y61" t="b">
        <v>1</v>
      </c>
      <c r="AE61"/>
      <c r="AZ61" s="2"/>
      <c r="BA61" s="7">
        <v>15</v>
      </c>
      <c r="BB61" t="s">
        <v>924</v>
      </c>
      <c r="BC61" t="s">
        <v>923</v>
      </c>
      <c r="BD61" t="s">
        <v>941</v>
      </c>
      <c r="BE61" t="str">
        <f>IF(OR(Table1[[#This Row],[ENGINE_CLASS]]="STEAM",Table1[[#This Row],[ENGINE_CLASS]]="ELECTRIC",Table1[[#This Row],[ENGINE_CLASS]]="DIESEL"),Table1[[#This Row],[ENGINE_CLASS]],"DISABLE")</f>
        <v>ELECTRIC</v>
      </c>
      <c r="BF61">
        <v>0</v>
      </c>
      <c r="BG61" t="s">
        <v>735</v>
      </c>
      <c r="BI61"/>
      <c r="BJ61">
        <v>25</v>
      </c>
      <c r="BK61">
        <v>0</v>
      </c>
      <c r="BL61" t="s">
        <v>693</v>
      </c>
      <c r="BM61" t="s">
        <v>695</v>
      </c>
      <c r="BN61" t="s">
        <v>702</v>
      </c>
      <c r="BO61" t="s">
        <v>706</v>
      </c>
      <c r="BP61" t="s">
        <v>707</v>
      </c>
      <c r="BQ61" t="s">
        <v>708</v>
      </c>
    </row>
    <row r="62" spans="1:69" x14ac:dyDescent="0.4">
      <c r="A62" s="2" t="s">
        <v>86</v>
      </c>
      <c r="B62" t="str">
        <f>_xlfn.TEXTAFTER(Table1[[#This Row],[VEHIDCODE]],"_")</f>
        <v>Germany_DB_ET_85</v>
      </c>
      <c r="C62" t="s">
        <v>739</v>
      </c>
      <c r="D62" t="str">
        <f>"item_"&amp;Table1[[#This Row],[VEHIDCODE]]</f>
        <v>item_rbe_Germany_DB_ET_85</v>
      </c>
      <c r="E62" t="str">
        <f>"str_"&amp;Table1[[#This Row],[VEHIDCODE]]</f>
        <v>str_rbe_Germany_DB_ET_85</v>
      </c>
      <c r="F62">
        <v>8</v>
      </c>
      <c r="G62" t="s">
        <v>18</v>
      </c>
      <c r="H62">
        <v>0</v>
      </c>
      <c r="I62" t="s">
        <v>74</v>
      </c>
      <c r="J62">
        <v>75</v>
      </c>
      <c r="K62">
        <v>1927</v>
      </c>
      <c r="L62">
        <v>8</v>
      </c>
      <c r="M62" s="2" t="s">
        <v>24</v>
      </c>
      <c r="N62" t="b">
        <v>1</v>
      </c>
      <c r="P62" s="2"/>
      <c r="Q62">
        <v>45</v>
      </c>
      <c r="R62">
        <v>1</v>
      </c>
      <c r="S62">
        <v>740</v>
      </c>
      <c r="T62" t="s">
        <v>710</v>
      </c>
      <c r="U62">
        <v>75</v>
      </c>
      <c r="V62" s="2">
        <v>0.16</v>
      </c>
      <c r="Y62" t="b">
        <v>1</v>
      </c>
      <c r="AE62"/>
      <c r="AZ62" s="2"/>
      <c r="BA62" s="7">
        <v>15</v>
      </c>
      <c r="BB62" t="s">
        <v>924</v>
      </c>
      <c r="BC62" t="s">
        <v>923</v>
      </c>
      <c r="BD62" t="s">
        <v>941</v>
      </c>
      <c r="BE62" t="str">
        <f>IF(OR(Table1[[#This Row],[ENGINE_CLASS]]="STEAM",Table1[[#This Row],[ENGINE_CLASS]]="ELECTRIC",Table1[[#This Row],[ENGINE_CLASS]]="DIESEL"),Table1[[#This Row],[ENGINE_CLASS]],"DISABLE")</f>
        <v>ELECTRIC</v>
      </c>
      <c r="BF62">
        <v>-3</v>
      </c>
      <c r="BG62" t="s">
        <v>735</v>
      </c>
      <c r="BI62"/>
      <c r="BJ62">
        <v>61</v>
      </c>
      <c r="BK62">
        <v>0</v>
      </c>
      <c r="BL62" t="s">
        <v>693</v>
      </c>
      <c r="BM62" t="s">
        <v>695</v>
      </c>
      <c r="BN62" t="s">
        <v>702</v>
      </c>
      <c r="BO62" t="s">
        <v>706</v>
      </c>
      <c r="BP62" t="s">
        <v>707</v>
      </c>
      <c r="BQ62" t="s">
        <v>708</v>
      </c>
    </row>
    <row r="63" spans="1:69" x14ac:dyDescent="0.4">
      <c r="A63" s="2" t="s">
        <v>87</v>
      </c>
      <c r="B63" t="str">
        <f>_xlfn.TEXTAFTER(Table1[[#This Row],[VEHIDCODE]],"_")</f>
        <v>Sweden_SJ_X16</v>
      </c>
      <c r="C63" t="s">
        <v>739</v>
      </c>
      <c r="D63" t="str">
        <f>"item_"&amp;Table1[[#This Row],[VEHIDCODE]]</f>
        <v>item_rbe_Sweden_SJ_X16</v>
      </c>
      <c r="E63" t="str">
        <f>"str_"&amp;Table1[[#This Row],[VEHIDCODE]]</f>
        <v>str_rbe_Sweden_SJ_X16</v>
      </c>
      <c r="F63">
        <v>6</v>
      </c>
      <c r="G63" t="s">
        <v>18</v>
      </c>
      <c r="H63">
        <v>0</v>
      </c>
      <c r="I63" t="s">
        <v>74</v>
      </c>
      <c r="J63">
        <v>55</v>
      </c>
      <c r="K63">
        <v>1955</v>
      </c>
      <c r="L63">
        <v>6</v>
      </c>
      <c r="M63" s="2" t="s">
        <v>24</v>
      </c>
      <c r="N63" t="b">
        <v>1</v>
      </c>
      <c r="P63" s="2"/>
      <c r="Q63">
        <v>45</v>
      </c>
      <c r="R63">
        <v>1</v>
      </c>
      <c r="S63">
        <v>230</v>
      </c>
      <c r="T63" t="s">
        <v>710</v>
      </c>
      <c r="U63">
        <v>110</v>
      </c>
      <c r="V63" s="2">
        <v>0.34</v>
      </c>
      <c r="Y63" t="b">
        <v>1</v>
      </c>
      <c r="AE63"/>
      <c r="AZ63" s="2"/>
      <c r="BA63" s="7">
        <v>15</v>
      </c>
      <c r="BB63" t="s">
        <v>928</v>
      </c>
      <c r="BC63" t="s">
        <v>923</v>
      </c>
      <c r="BD63" t="s">
        <v>941</v>
      </c>
      <c r="BE63" t="str">
        <f>IF(OR(Table1[[#This Row],[ENGINE_CLASS]]="STEAM",Table1[[#This Row],[ENGINE_CLASS]]="ELECTRIC",Table1[[#This Row],[ENGINE_CLASS]]="DIESEL"),Table1[[#This Row],[ENGINE_CLASS]],"DISABLE")</f>
        <v>ELECTRIC</v>
      </c>
      <c r="BF63">
        <v>0</v>
      </c>
      <c r="BG63" t="s">
        <v>735</v>
      </c>
      <c r="BI63"/>
      <c r="BJ63">
        <v>21</v>
      </c>
      <c r="BK63">
        <v>0</v>
      </c>
      <c r="BL63" t="s">
        <v>693</v>
      </c>
      <c r="BM63" t="s">
        <v>695</v>
      </c>
      <c r="BN63" t="s">
        <v>702</v>
      </c>
      <c r="BO63" t="s">
        <v>706</v>
      </c>
      <c r="BP63" t="s">
        <v>707</v>
      </c>
      <c r="BQ63" t="s">
        <v>708</v>
      </c>
    </row>
    <row r="64" spans="1:69" x14ac:dyDescent="0.4">
      <c r="A64" s="2" t="s">
        <v>88</v>
      </c>
      <c r="B64" t="str">
        <f>_xlfn.TEXTAFTER(Table1[[#This Row],[VEHIDCODE]],"_")</f>
        <v>USA_Pennsylvania_Railroad_Silverliner_II</v>
      </c>
      <c r="C64" t="s">
        <v>739</v>
      </c>
      <c r="D64" t="str">
        <f>"item_"&amp;Table1[[#This Row],[VEHIDCODE]]</f>
        <v>item_rbe_USA_Pennsylvania_Railroad_Silverliner_II</v>
      </c>
      <c r="E64" t="str">
        <f>"str_"&amp;Table1[[#This Row],[VEHIDCODE]]</f>
        <v>str_rbe_USA_Pennsylvania_Railroad_Silverliner_II</v>
      </c>
      <c r="F64">
        <v>8</v>
      </c>
      <c r="G64" t="s">
        <v>18</v>
      </c>
      <c r="H64">
        <v>0</v>
      </c>
      <c r="I64" t="s">
        <v>74</v>
      </c>
      <c r="J64">
        <v>124</v>
      </c>
      <c r="K64">
        <v>1963</v>
      </c>
      <c r="L64">
        <v>8</v>
      </c>
      <c r="M64" s="2" t="s">
        <v>24</v>
      </c>
      <c r="N64" t="b">
        <v>1</v>
      </c>
      <c r="P64" s="2"/>
      <c r="Q64">
        <v>45</v>
      </c>
      <c r="R64">
        <v>1</v>
      </c>
      <c r="S64">
        <v>550</v>
      </c>
      <c r="T64" t="s">
        <v>710</v>
      </c>
      <c r="U64">
        <v>160</v>
      </c>
      <c r="V64" s="2">
        <v>0.18</v>
      </c>
      <c r="Y64" t="b">
        <v>1</v>
      </c>
      <c r="AE64"/>
      <c r="AZ64" s="2"/>
      <c r="BA64" s="7">
        <v>15</v>
      </c>
      <c r="BB64" t="s">
        <v>929</v>
      </c>
      <c r="BC64" t="s">
        <v>923</v>
      </c>
      <c r="BD64" t="s">
        <v>941</v>
      </c>
      <c r="BE64" t="str">
        <f>IF(OR(Table1[[#This Row],[ENGINE_CLASS]]="STEAM",Table1[[#This Row],[ENGINE_CLASS]]="ELECTRIC",Table1[[#This Row],[ENGINE_CLASS]]="DIESEL"),Table1[[#This Row],[ENGINE_CLASS]],"DISABLE")</f>
        <v>ELECTRIC</v>
      </c>
      <c r="BF64">
        <v>0</v>
      </c>
      <c r="BG64" t="s">
        <v>735</v>
      </c>
      <c r="BI64"/>
      <c r="BJ64">
        <v>46</v>
      </c>
      <c r="BK64">
        <v>0</v>
      </c>
      <c r="BL64" t="s">
        <v>693</v>
      </c>
      <c r="BM64" t="s">
        <v>695</v>
      </c>
      <c r="BN64" t="s">
        <v>702</v>
      </c>
      <c r="BO64" t="s">
        <v>706</v>
      </c>
      <c r="BP64" t="s">
        <v>707</v>
      </c>
      <c r="BQ64" t="s">
        <v>708</v>
      </c>
    </row>
    <row r="65" spans="1:69" x14ac:dyDescent="0.4">
      <c r="A65" s="2" t="s">
        <v>89</v>
      </c>
      <c r="B65" t="str">
        <f>_xlfn.TEXTAFTER(Table1[[#This Row],[VEHIDCODE]],"_")</f>
        <v>USA_SEPTA_Silverliner_V</v>
      </c>
      <c r="C65" t="s">
        <v>739</v>
      </c>
      <c r="D65" t="str">
        <f>"item_"&amp;Table1[[#This Row],[VEHIDCODE]]</f>
        <v>item_rbe_USA_SEPTA_Silverliner_V</v>
      </c>
      <c r="E65" t="str">
        <f>"str_"&amp;Table1[[#This Row],[VEHIDCODE]]</f>
        <v>str_rbe_USA_SEPTA_Silverliner_V</v>
      </c>
      <c r="F65">
        <v>8</v>
      </c>
      <c r="G65" t="s">
        <v>18</v>
      </c>
      <c r="H65">
        <v>0</v>
      </c>
      <c r="I65" t="s">
        <v>74</v>
      </c>
      <c r="J65">
        <v>110</v>
      </c>
      <c r="K65">
        <v>2010</v>
      </c>
      <c r="L65">
        <v>8</v>
      </c>
      <c r="M65" s="2" t="s">
        <v>24</v>
      </c>
      <c r="N65" t="b">
        <v>1</v>
      </c>
      <c r="P65" s="2"/>
      <c r="Q65" t="s">
        <v>21</v>
      </c>
      <c r="R65">
        <v>1</v>
      </c>
      <c r="S65">
        <v>680</v>
      </c>
      <c r="T65" t="s">
        <v>710</v>
      </c>
      <c r="U65">
        <v>180</v>
      </c>
      <c r="V65" s="2">
        <v>0.17</v>
      </c>
      <c r="W65" t="b">
        <v>1</v>
      </c>
      <c r="AE65"/>
      <c r="AZ65" s="2"/>
      <c r="BA65" s="7">
        <v>15</v>
      </c>
      <c r="BB65" t="s">
        <v>929</v>
      </c>
      <c r="BC65" t="s">
        <v>923</v>
      </c>
      <c r="BD65" t="s">
        <v>941</v>
      </c>
      <c r="BE65" t="str">
        <f>IF(OR(Table1[[#This Row],[ENGINE_CLASS]]="STEAM",Table1[[#This Row],[ENGINE_CLASS]]="ELECTRIC",Table1[[#This Row],[ENGINE_CLASS]]="DIESEL"),Table1[[#This Row],[ENGINE_CLASS]],"DISABLE")</f>
        <v>ELECTRIC</v>
      </c>
      <c r="BF65">
        <v>0</v>
      </c>
      <c r="BG65" t="s">
        <v>735</v>
      </c>
      <c r="BI65"/>
      <c r="BJ65">
        <v>66</v>
      </c>
      <c r="BK65">
        <v>0</v>
      </c>
      <c r="BL65" t="s">
        <v>693</v>
      </c>
      <c r="BM65" t="s">
        <v>695</v>
      </c>
      <c r="BN65" t="s">
        <v>702</v>
      </c>
      <c r="BO65" t="s">
        <v>706</v>
      </c>
      <c r="BP65" t="s">
        <v>707</v>
      </c>
      <c r="BQ65" t="s">
        <v>708</v>
      </c>
    </row>
    <row r="66" spans="1:69" x14ac:dyDescent="0.4">
      <c r="A66" s="2" t="s">
        <v>90</v>
      </c>
      <c r="B66" t="str">
        <f>_xlfn.TEXTAFTER(Table1[[#This Row],[VEHIDCODE]],"_")</f>
        <v>Belgium_Le_Belge</v>
      </c>
      <c r="C66" t="s">
        <v>740</v>
      </c>
      <c r="D66" t="str">
        <f>"item_"&amp;Table1[[#This Row],[VEHIDCODE]]</f>
        <v>item_steam_Belgium_Le_Belge</v>
      </c>
      <c r="E66" t="str">
        <f>"str_"&amp;Table1[[#This Row],[VEHIDCODE]]</f>
        <v>str_steam_Belgium_Le_Belge</v>
      </c>
      <c r="F66">
        <v>7</v>
      </c>
      <c r="G66" t="s">
        <v>20</v>
      </c>
      <c r="H66">
        <v>0</v>
      </c>
      <c r="I66" t="s">
        <v>23</v>
      </c>
      <c r="J66">
        <v>0</v>
      </c>
      <c r="K66">
        <v>1835</v>
      </c>
      <c r="L66">
        <v>7</v>
      </c>
      <c r="M66" s="2" t="s">
        <v>20</v>
      </c>
      <c r="N66" t="b">
        <v>1</v>
      </c>
      <c r="P66" s="2"/>
      <c r="Q66">
        <v>45</v>
      </c>
      <c r="R66">
        <v>1</v>
      </c>
      <c r="S66">
        <v>50</v>
      </c>
      <c r="T66" t="s">
        <v>711</v>
      </c>
      <c r="U66">
        <v>35</v>
      </c>
      <c r="V66" s="2">
        <v>0.09</v>
      </c>
      <c r="AE66" t="b">
        <v>1</v>
      </c>
      <c r="AZ66" s="2"/>
      <c r="BA66" s="7">
        <v>40</v>
      </c>
      <c r="BB66" t="s">
        <v>924</v>
      </c>
      <c r="BC66" t="s">
        <v>923</v>
      </c>
      <c r="BD66" t="s">
        <v>941</v>
      </c>
      <c r="BE66" t="str">
        <f>IF(OR(Table1[[#This Row],[ENGINE_CLASS]]="STEAM",Table1[[#This Row],[ENGINE_CLASS]]="ELECTRIC",Table1[[#This Row],[ENGINE_CLASS]]="DIESEL"),Table1[[#This Row],[ENGINE_CLASS]],"DISABLE")</f>
        <v>STEAM</v>
      </c>
      <c r="BF66">
        <v>-3</v>
      </c>
      <c r="BG66" t="s">
        <v>735</v>
      </c>
      <c r="BI66"/>
      <c r="BJ66">
        <v>16</v>
      </c>
      <c r="BK66">
        <v>0</v>
      </c>
      <c r="BL66" t="s">
        <v>693</v>
      </c>
      <c r="BM66" t="s">
        <v>695</v>
      </c>
      <c r="BN66" t="s">
        <v>702</v>
      </c>
      <c r="BO66" t="s">
        <v>706</v>
      </c>
      <c r="BP66" t="s">
        <v>707</v>
      </c>
      <c r="BQ66" t="s">
        <v>708</v>
      </c>
    </row>
    <row r="67" spans="1:69" x14ac:dyDescent="0.4">
      <c r="A67" s="2" t="s">
        <v>91</v>
      </c>
      <c r="B67" t="str">
        <f>_xlfn.TEXTAFTER(Table1[[#This Row],[VEHIDCODE]],"_")</f>
        <v>USA_4_4_0_American</v>
      </c>
      <c r="C67" t="s">
        <v>740</v>
      </c>
      <c r="D67" t="str">
        <f>"item_"&amp;Table1[[#This Row],[VEHIDCODE]]</f>
        <v>item_steam_USA_4_4_0_American</v>
      </c>
      <c r="E67" t="str">
        <f>"str_"&amp;Table1[[#This Row],[VEHIDCODE]]</f>
        <v>str_steam_USA_4_4_0_American</v>
      </c>
      <c r="F67">
        <v>8</v>
      </c>
      <c r="G67" t="s">
        <v>20</v>
      </c>
      <c r="H67">
        <v>0</v>
      </c>
      <c r="I67" t="s">
        <v>23</v>
      </c>
      <c r="J67">
        <v>0</v>
      </c>
      <c r="K67">
        <v>1848</v>
      </c>
      <c r="L67">
        <v>6</v>
      </c>
      <c r="M67" s="2" t="s">
        <v>20</v>
      </c>
      <c r="N67" t="b">
        <v>1</v>
      </c>
      <c r="P67" s="2"/>
      <c r="Q67">
        <v>45</v>
      </c>
      <c r="R67">
        <v>1</v>
      </c>
      <c r="S67">
        <v>650</v>
      </c>
      <c r="T67" t="s">
        <v>711</v>
      </c>
      <c r="U67">
        <v>96</v>
      </c>
      <c r="V67" s="2">
        <v>7.0000000000000007E-2</v>
      </c>
      <c r="AE67" t="b">
        <v>1</v>
      </c>
      <c r="AZ67" s="2"/>
      <c r="BA67" s="7">
        <v>40</v>
      </c>
      <c r="BB67" t="s">
        <v>929</v>
      </c>
      <c r="BC67" t="s">
        <v>923</v>
      </c>
      <c r="BD67" t="s">
        <v>941</v>
      </c>
      <c r="BE67" t="str">
        <f>IF(OR(Table1[[#This Row],[ENGINE_CLASS]]="STEAM",Table1[[#This Row],[ENGINE_CLASS]]="ELECTRIC",Table1[[#This Row],[ENGINE_CLASS]]="DIESEL"),Table1[[#This Row],[ENGINE_CLASS]],"DISABLE")</f>
        <v>STEAM</v>
      </c>
      <c r="BF67">
        <v>0</v>
      </c>
      <c r="BG67" t="s">
        <v>735</v>
      </c>
      <c r="BI67"/>
      <c r="BJ67">
        <v>60</v>
      </c>
      <c r="BK67">
        <v>0</v>
      </c>
      <c r="BL67" t="s">
        <v>693</v>
      </c>
      <c r="BM67" t="s">
        <v>695</v>
      </c>
      <c r="BN67" t="s">
        <v>702</v>
      </c>
      <c r="BO67" t="s">
        <v>706</v>
      </c>
      <c r="BP67" t="s">
        <v>707</v>
      </c>
      <c r="BQ67" t="s">
        <v>708</v>
      </c>
    </row>
    <row r="68" spans="1:69" x14ac:dyDescent="0.4">
      <c r="A68" s="2" t="s">
        <v>92</v>
      </c>
      <c r="B68" t="str">
        <f>_xlfn.TEXTAFTER(Table1[[#This Row],[VEHIDCODE]],"_")</f>
        <v>Switzerland_SBB_Ec_2_5</v>
      </c>
      <c r="C68" t="s">
        <v>740</v>
      </c>
      <c r="D68" t="str">
        <f>"item_"&amp;Table1[[#This Row],[VEHIDCODE]]</f>
        <v>item_steam_Switzerland_SBB_Ec_2_5</v>
      </c>
      <c r="E68" t="str">
        <f>"str_"&amp;Table1[[#This Row],[VEHIDCODE]]</f>
        <v>str_steam_Switzerland_SBB_Ec_2_5</v>
      </c>
      <c r="F68">
        <v>5</v>
      </c>
      <c r="G68" t="s">
        <v>20</v>
      </c>
      <c r="H68">
        <v>0</v>
      </c>
      <c r="I68" t="s">
        <v>23</v>
      </c>
      <c r="J68">
        <v>0</v>
      </c>
      <c r="K68">
        <v>1854</v>
      </c>
      <c r="L68">
        <v>5</v>
      </c>
      <c r="M68" s="2" t="s">
        <v>20</v>
      </c>
      <c r="N68" t="b">
        <v>1</v>
      </c>
      <c r="P68" s="2"/>
      <c r="Q68">
        <v>45</v>
      </c>
      <c r="R68">
        <v>1</v>
      </c>
      <c r="S68">
        <v>400</v>
      </c>
      <c r="T68" t="s">
        <v>711</v>
      </c>
      <c r="U68">
        <v>60</v>
      </c>
      <c r="V68" s="2">
        <v>0.1</v>
      </c>
      <c r="AE68" t="b">
        <v>1</v>
      </c>
      <c r="AZ68" s="2"/>
      <c r="BA68" s="7">
        <v>40</v>
      </c>
      <c r="BB68" t="s">
        <v>924</v>
      </c>
      <c r="BC68" t="s">
        <v>923</v>
      </c>
      <c r="BD68" t="s">
        <v>941</v>
      </c>
      <c r="BE68" t="str">
        <f>IF(OR(Table1[[#This Row],[ENGINE_CLASS]]="STEAM",Table1[[#This Row],[ENGINE_CLASS]]="ELECTRIC",Table1[[#This Row],[ENGINE_CLASS]]="DIESEL"),Table1[[#This Row],[ENGINE_CLASS]],"DISABLE")</f>
        <v>STEAM</v>
      </c>
      <c r="BF68">
        <v>-3</v>
      </c>
      <c r="BG68" t="s">
        <v>735</v>
      </c>
      <c r="BI68"/>
      <c r="BJ68">
        <v>46</v>
      </c>
      <c r="BK68">
        <v>0</v>
      </c>
      <c r="BL68" t="s">
        <v>693</v>
      </c>
      <c r="BM68" t="s">
        <v>695</v>
      </c>
      <c r="BN68" t="s">
        <v>702</v>
      </c>
      <c r="BO68" t="s">
        <v>706</v>
      </c>
      <c r="BP68" t="s">
        <v>707</v>
      </c>
      <c r="BQ68" t="s">
        <v>708</v>
      </c>
    </row>
    <row r="69" spans="1:69" x14ac:dyDescent="0.4">
      <c r="A69" s="2" t="s">
        <v>93</v>
      </c>
      <c r="B69" t="str">
        <f>_xlfn.TEXTAFTER(Table1[[#This Row],[VEHIDCODE]],"_")</f>
        <v>USA_4_6_0_Ten_wheeler</v>
      </c>
      <c r="C69" t="s">
        <v>740</v>
      </c>
      <c r="D69" t="str">
        <f>"item_"&amp;Table1[[#This Row],[VEHIDCODE]]</f>
        <v>item_steam_USA_4_6_0_Ten_wheeler</v>
      </c>
      <c r="E69" t="str">
        <f>"str_"&amp;Table1[[#This Row],[VEHIDCODE]]</f>
        <v>str_steam_USA_4_6_0_Ten_wheeler</v>
      </c>
      <c r="F69">
        <v>8</v>
      </c>
      <c r="G69" t="s">
        <v>20</v>
      </c>
      <c r="H69">
        <v>0</v>
      </c>
      <c r="I69" t="s">
        <v>23</v>
      </c>
      <c r="J69">
        <v>0</v>
      </c>
      <c r="K69">
        <v>1869</v>
      </c>
      <c r="L69">
        <v>7</v>
      </c>
      <c r="M69" s="2" t="s">
        <v>20</v>
      </c>
      <c r="N69" t="b">
        <v>1</v>
      </c>
      <c r="P69" s="2"/>
      <c r="Q69">
        <v>45</v>
      </c>
      <c r="R69">
        <v>1</v>
      </c>
      <c r="S69">
        <v>700</v>
      </c>
      <c r="T69" t="s">
        <v>711</v>
      </c>
      <c r="U69">
        <v>96</v>
      </c>
      <c r="V69" s="2">
        <v>0.08</v>
      </c>
      <c r="AE69" t="b">
        <v>1</v>
      </c>
      <c r="AZ69" s="2"/>
      <c r="BA69" s="7">
        <v>40</v>
      </c>
      <c r="BB69" t="s">
        <v>929</v>
      </c>
      <c r="BC69" t="s">
        <v>923</v>
      </c>
      <c r="BD69" t="s">
        <v>941</v>
      </c>
      <c r="BE69" t="str">
        <f>IF(OR(Table1[[#This Row],[ENGINE_CLASS]]="STEAM",Table1[[#This Row],[ENGINE_CLASS]]="ELECTRIC",Table1[[#This Row],[ENGINE_CLASS]]="DIESEL"),Table1[[#This Row],[ENGINE_CLASS]],"DISABLE")</f>
        <v>STEAM</v>
      </c>
      <c r="BF69">
        <v>0</v>
      </c>
      <c r="BG69" t="s">
        <v>735</v>
      </c>
      <c r="BI69"/>
      <c r="BJ69">
        <v>69</v>
      </c>
      <c r="BK69">
        <v>0</v>
      </c>
      <c r="BL69" t="s">
        <v>693</v>
      </c>
      <c r="BM69" t="s">
        <v>695</v>
      </c>
      <c r="BN69" t="s">
        <v>702</v>
      </c>
      <c r="BO69" t="s">
        <v>706</v>
      </c>
      <c r="BP69" t="s">
        <v>707</v>
      </c>
      <c r="BQ69" t="s">
        <v>708</v>
      </c>
    </row>
    <row r="70" spans="1:69" x14ac:dyDescent="0.4">
      <c r="A70" s="2" t="s">
        <v>94</v>
      </c>
      <c r="B70" t="str">
        <f>_xlfn.TEXTAFTER(Table1[[#This Row],[VEHIDCODE]],"_")</f>
        <v>USA_2_8_0_Consolidation</v>
      </c>
      <c r="C70" t="s">
        <v>740</v>
      </c>
      <c r="D70" t="str">
        <f>"item_"&amp;Table1[[#This Row],[VEHIDCODE]]</f>
        <v>item_steam_USA_2_8_0_Consolidation</v>
      </c>
      <c r="E70" t="str">
        <f>"str_"&amp;Table1[[#This Row],[VEHIDCODE]]</f>
        <v>str_steam_USA_2_8_0_Consolidation</v>
      </c>
      <c r="F70">
        <v>10</v>
      </c>
      <c r="G70" t="s">
        <v>20</v>
      </c>
      <c r="H70">
        <v>0</v>
      </c>
      <c r="I70" t="s">
        <v>23</v>
      </c>
      <c r="J70">
        <v>0</v>
      </c>
      <c r="K70">
        <v>1875</v>
      </c>
      <c r="L70">
        <v>8</v>
      </c>
      <c r="M70" s="2" t="s">
        <v>20</v>
      </c>
      <c r="N70" t="b">
        <v>1</v>
      </c>
      <c r="P70" s="2"/>
      <c r="Q70">
        <v>45</v>
      </c>
      <c r="R70">
        <v>1</v>
      </c>
      <c r="S70">
        <v>1000</v>
      </c>
      <c r="T70" t="s">
        <v>711</v>
      </c>
      <c r="U70">
        <v>80</v>
      </c>
      <c r="V70" s="2">
        <v>0.13</v>
      </c>
      <c r="AE70" t="b">
        <v>1</v>
      </c>
      <c r="AZ70" s="2"/>
      <c r="BA70" s="7">
        <v>40</v>
      </c>
      <c r="BB70" t="s">
        <v>929</v>
      </c>
      <c r="BC70" t="s">
        <v>923</v>
      </c>
      <c r="BD70" t="s">
        <v>941</v>
      </c>
      <c r="BE70" t="str">
        <f>IF(OR(Table1[[#This Row],[ENGINE_CLASS]]="STEAM",Table1[[#This Row],[ENGINE_CLASS]]="ELECTRIC",Table1[[#This Row],[ENGINE_CLASS]]="DIESEL"),Table1[[#This Row],[ENGINE_CLASS]],"DISABLE")</f>
        <v>STEAM</v>
      </c>
      <c r="BF70">
        <v>0</v>
      </c>
      <c r="BG70" t="s">
        <v>735</v>
      </c>
      <c r="BI70"/>
      <c r="BJ70">
        <v>126</v>
      </c>
      <c r="BK70">
        <v>0</v>
      </c>
      <c r="BL70" t="s">
        <v>693</v>
      </c>
      <c r="BM70" t="s">
        <v>695</v>
      </c>
      <c r="BN70" t="s">
        <v>702</v>
      </c>
      <c r="BO70" t="s">
        <v>706</v>
      </c>
      <c r="BP70" t="s">
        <v>707</v>
      </c>
      <c r="BQ70" t="s">
        <v>708</v>
      </c>
    </row>
    <row r="71" spans="1:69" x14ac:dyDescent="0.4">
      <c r="A71" s="2" t="s">
        <v>95</v>
      </c>
      <c r="B71" t="str">
        <f>_xlfn.TEXTAFTER(Table1[[#This Row],[VEHIDCODE]],"_")</f>
        <v>Hungary_MAV_377</v>
      </c>
      <c r="C71" t="s">
        <v>740</v>
      </c>
      <c r="D71" t="str">
        <f>"item_"&amp;Table1[[#This Row],[VEHIDCODE]]</f>
        <v>item_steam_Hungary_MAV_377</v>
      </c>
      <c r="E71" t="str">
        <f>"str_"&amp;Table1[[#This Row],[VEHIDCODE]]</f>
        <v>str_steam_Hungary_MAV_377</v>
      </c>
      <c r="F71">
        <v>6</v>
      </c>
      <c r="G71" t="s">
        <v>20</v>
      </c>
      <c r="H71">
        <v>0</v>
      </c>
      <c r="I71" t="s">
        <v>23</v>
      </c>
      <c r="J71">
        <v>0</v>
      </c>
      <c r="K71">
        <v>1885</v>
      </c>
      <c r="L71">
        <v>6</v>
      </c>
      <c r="M71" s="2" t="s">
        <v>20</v>
      </c>
      <c r="N71" t="b">
        <v>1</v>
      </c>
      <c r="P71" s="2"/>
      <c r="Q71">
        <v>45</v>
      </c>
      <c r="R71">
        <v>0</v>
      </c>
      <c r="S71">
        <v>300</v>
      </c>
      <c r="T71" t="s">
        <v>711</v>
      </c>
      <c r="U71">
        <v>45</v>
      </c>
      <c r="V71" s="2">
        <v>0.21</v>
      </c>
      <c r="AE71" t="b">
        <v>1</v>
      </c>
      <c r="AZ71" s="2"/>
      <c r="BA71" s="7">
        <v>40</v>
      </c>
      <c r="BB71" t="s">
        <v>930</v>
      </c>
      <c r="BC71" t="s">
        <v>923</v>
      </c>
      <c r="BD71" t="s">
        <v>941</v>
      </c>
      <c r="BE71" t="str">
        <f>IF(OR(Table1[[#This Row],[ENGINE_CLASS]]="STEAM",Table1[[#This Row],[ENGINE_CLASS]]="ELECTRIC",Table1[[#This Row],[ENGINE_CLASS]]="DIESEL"),Table1[[#This Row],[ENGINE_CLASS]],"DISABLE")</f>
        <v>STEAM</v>
      </c>
      <c r="BF71">
        <v>-3</v>
      </c>
      <c r="BG71" t="s">
        <v>735</v>
      </c>
      <c r="BI71"/>
      <c r="BJ71">
        <v>27</v>
      </c>
      <c r="BK71">
        <v>0</v>
      </c>
      <c r="BL71" t="s">
        <v>693</v>
      </c>
      <c r="BM71" t="s">
        <v>695</v>
      </c>
      <c r="BN71" t="s">
        <v>702</v>
      </c>
      <c r="BO71" t="s">
        <v>706</v>
      </c>
      <c r="BP71" t="s">
        <v>707</v>
      </c>
      <c r="BQ71" t="s">
        <v>708</v>
      </c>
    </row>
    <row r="72" spans="1:69" x14ac:dyDescent="0.4">
      <c r="A72" s="2" t="s">
        <v>96</v>
      </c>
      <c r="B72" t="str">
        <f>_xlfn.TEXTAFTER(Table1[[#This Row],[VEHIDCODE]],"_")</f>
        <v>Austria_KkStB_99</v>
      </c>
      <c r="C72" t="s">
        <v>740</v>
      </c>
      <c r="D72" t="str">
        <f>"item_"&amp;Table1[[#This Row],[VEHIDCODE]]</f>
        <v>item_steam_Austria_KkStB_99</v>
      </c>
      <c r="E72" t="str">
        <f>"str_"&amp;Table1[[#This Row],[VEHIDCODE]]</f>
        <v>str_steam_Austria_KkStB_99</v>
      </c>
      <c r="F72">
        <v>6</v>
      </c>
      <c r="G72" t="s">
        <v>20</v>
      </c>
      <c r="H72">
        <v>0</v>
      </c>
      <c r="I72" t="s">
        <v>23</v>
      </c>
      <c r="J72">
        <v>0</v>
      </c>
      <c r="K72">
        <v>1897</v>
      </c>
      <c r="L72">
        <v>6</v>
      </c>
      <c r="M72" s="2" t="s">
        <v>20</v>
      </c>
      <c r="N72" t="b">
        <v>1</v>
      </c>
      <c r="P72" s="2"/>
      <c r="Q72">
        <v>45</v>
      </c>
      <c r="R72">
        <v>1</v>
      </c>
      <c r="S72">
        <v>575</v>
      </c>
      <c r="T72" t="s">
        <v>711</v>
      </c>
      <c r="U72">
        <v>50</v>
      </c>
      <c r="V72" s="2">
        <v>0.23</v>
      </c>
      <c r="AE72" t="b">
        <v>1</v>
      </c>
      <c r="AZ72" s="2"/>
      <c r="BA72" s="7">
        <v>40</v>
      </c>
      <c r="BB72" t="s">
        <v>924</v>
      </c>
      <c r="BC72" t="s">
        <v>923</v>
      </c>
      <c r="BD72" t="s">
        <v>941</v>
      </c>
      <c r="BE72" t="str">
        <f>IF(OR(Table1[[#This Row],[ENGINE_CLASS]]="STEAM",Table1[[#This Row],[ENGINE_CLASS]]="ELECTRIC",Table1[[#This Row],[ENGINE_CLASS]]="DIESEL"),Table1[[#This Row],[ENGINE_CLASS]],"DISABLE")</f>
        <v>STEAM</v>
      </c>
      <c r="BF72">
        <v>-3</v>
      </c>
      <c r="BG72" t="s">
        <v>735</v>
      </c>
      <c r="BI72"/>
      <c r="BJ72">
        <v>52</v>
      </c>
      <c r="BK72">
        <v>0</v>
      </c>
      <c r="BL72" t="s">
        <v>693</v>
      </c>
      <c r="BM72" t="s">
        <v>695</v>
      </c>
      <c r="BN72" t="s">
        <v>702</v>
      </c>
      <c r="BO72" t="s">
        <v>706</v>
      </c>
      <c r="BP72" t="s">
        <v>707</v>
      </c>
      <c r="BQ72" t="s">
        <v>708</v>
      </c>
    </row>
    <row r="73" spans="1:69" x14ac:dyDescent="0.4">
      <c r="A73" s="2" t="s">
        <v>97</v>
      </c>
      <c r="B73" t="str">
        <f>_xlfn.TEXTAFTER(Table1[[#This Row],[VEHIDCODE]],"_")</f>
        <v>UK_Caledonian_Railway_439</v>
      </c>
      <c r="C73" t="s">
        <v>740</v>
      </c>
      <c r="D73" t="str">
        <f>"item_"&amp;Table1[[#This Row],[VEHIDCODE]]</f>
        <v>item_steam_UK_Caledonian_Railway_439</v>
      </c>
      <c r="E73" t="str">
        <f>"str_"&amp;Table1[[#This Row],[VEHIDCODE]]</f>
        <v>str_steam_UK_Caledonian_Railway_439</v>
      </c>
      <c r="F73">
        <v>7</v>
      </c>
      <c r="G73" t="s">
        <v>20</v>
      </c>
      <c r="H73">
        <v>0</v>
      </c>
      <c r="I73" t="s">
        <v>23</v>
      </c>
      <c r="J73">
        <v>0</v>
      </c>
      <c r="K73">
        <v>1899</v>
      </c>
      <c r="L73">
        <v>7</v>
      </c>
      <c r="M73" s="2" t="s">
        <v>20</v>
      </c>
      <c r="N73" t="b">
        <v>1</v>
      </c>
      <c r="P73" s="2"/>
      <c r="Q73">
        <v>45</v>
      </c>
      <c r="R73">
        <v>0</v>
      </c>
      <c r="S73">
        <v>540</v>
      </c>
      <c r="T73" t="s">
        <v>711</v>
      </c>
      <c r="U73">
        <v>80</v>
      </c>
      <c r="V73" s="2">
        <v>0.16</v>
      </c>
      <c r="AE73" t="b">
        <v>1</v>
      </c>
      <c r="AZ73" s="2"/>
      <c r="BA73" s="7">
        <v>40</v>
      </c>
      <c r="BB73" t="s">
        <v>928</v>
      </c>
      <c r="BC73" t="s">
        <v>923</v>
      </c>
      <c r="BD73" t="s">
        <v>941</v>
      </c>
      <c r="BE73" t="str">
        <f>IF(OR(Table1[[#This Row],[ENGINE_CLASS]]="STEAM",Table1[[#This Row],[ENGINE_CLASS]]="ELECTRIC",Table1[[#This Row],[ENGINE_CLASS]]="DIESEL"),Table1[[#This Row],[ENGINE_CLASS]],"DISABLE")</f>
        <v>STEAM</v>
      </c>
      <c r="BF73">
        <v>-3</v>
      </c>
      <c r="BG73" t="s">
        <v>735</v>
      </c>
      <c r="BI73"/>
      <c r="BJ73">
        <v>53</v>
      </c>
      <c r="BK73">
        <v>0</v>
      </c>
      <c r="BL73" t="s">
        <v>693</v>
      </c>
      <c r="BM73" t="s">
        <v>695</v>
      </c>
      <c r="BN73" t="s">
        <v>702</v>
      </c>
      <c r="BO73" t="s">
        <v>706</v>
      </c>
      <c r="BP73" t="s">
        <v>707</v>
      </c>
      <c r="BQ73" t="s">
        <v>708</v>
      </c>
    </row>
    <row r="74" spans="1:69" x14ac:dyDescent="0.4">
      <c r="A74" s="2" t="s">
        <v>98</v>
      </c>
      <c r="B74" t="str">
        <f>_xlfn.TEXTAFTER(Table1[[#This Row],[VEHIDCODE]],"_")</f>
        <v>Switzerland_SBB_A_3_5</v>
      </c>
      <c r="C74" t="s">
        <v>740</v>
      </c>
      <c r="D74" t="str">
        <f>"item_"&amp;Table1[[#This Row],[VEHIDCODE]]</f>
        <v>item_steam_Switzerland_SBB_A_3_5</v>
      </c>
      <c r="E74" t="str">
        <f>"str_"&amp;Table1[[#This Row],[VEHIDCODE]]</f>
        <v>str_steam_Switzerland_SBB_A_3_5</v>
      </c>
      <c r="F74">
        <v>8</v>
      </c>
      <c r="G74" t="s">
        <v>20</v>
      </c>
      <c r="H74">
        <v>0</v>
      </c>
      <c r="I74" t="s">
        <v>23</v>
      </c>
      <c r="J74">
        <v>0</v>
      </c>
      <c r="K74">
        <v>1902</v>
      </c>
      <c r="L74">
        <v>8</v>
      </c>
      <c r="M74" s="2" t="s">
        <v>20</v>
      </c>
      <c r="N74" t="b">
        <v>1</v>
      </c>
      <c r="P74" s="2"/>
      <c r="Q74">
        <v>45</v>
      </c>
      <c r="R74">
        <v>1</v>
      </c>
      <c r="S74">
        <v>1340</v>
      </c>
      <c r="T74" t="s">
        <v>711</v>
      </c>
      <c r="U74">
        <v>100</v>
      </c>
      <c r="V74" s="2">
        <v>0.12</v>
      </c>
      <c r="AE74" t="b">
        <v>1</v>
      </c>
      <c r="AZ74" s="2"/>
      <c r="BA74" s="7">
        <v>40</v>
      </c>
      <c r="BB74" t="s">
        <v>924</v>
      </c>
      <c r="BC74" t="s">
        <v>923</v>
      </c>
      <c r="BD74" t="s">
        <v>941</v>
      </c>
      <c r="BE74" t="str">
        <f>IF(OR(Table1[[#This Row],[ENGINE_CLASS]]="STEAM",Table1[[#This Row],[ENGINE_CLASS]]="ELECTRIC",Table1[[#This Row],[ENGINE_CLASS]]="DIESEL"),Table1[[#This Row],[ENGINE_CLASS]],"DISABLE")</f>
        <v>STEAM</v>
      </c>
      <c r="BF74">
        <v>0</v>
      </c>
      <c r="BG74" t="s">
        <v>735</v>
      </c>
      <c r="BI74"/>
      <c r="BJ74">
        <v>106</v>
      </c>
      <c r="BK74">
        <v>0</v>
      </c>
      <c r="BL74" t="s">
        <v>693</v>
      </c>
      <c r="BM74" t="s">
        <v>695</v>
      </c>
      <c r="BN74" t="s">
        <v>702</v>
      </c>
      <c r="BO74" t="s">
        <v>706</v>
      </c>
      <c r="BP74" t="s">
        <v>707</v>
      </c>
      <c r="BQ74" t="s">
        <v>708</v>
      </c>
    </row>
    <row r="75" spans="1:69" x14ac:dyDescent="0.4">
      <c r="A75" s="2" t="s">
        <v>99</v>
      </c>
      <c r="B75" t="str">
        <f>_xlfn.TEXTAFTER(Table1[[#This Row],[VEHIDCODE]],"_")</f>
        <v>Switzerland_SBB_E_3_3</v>
      </c>
      <c r="C75" t="s">
        <v>740</v>
      </c>
      <c r="D75" t="str">
        <f>"item_"&amp;Table1[[#This Row],[VEHIDCODE]]</f>
        <v>item_steam_Switzerland_SBB_E_3_3</v>
      </c>
      <c r="E75" t="str">
        <f>"str_"&amp;Table1[[#This Row],[VEHIDCODE]]</f>
        <v>str_steam_Switzerland_SBB_E_3_3</v>
      </c>
      <c r="F75">
        <v>6</v>
      </c>
      <c r="G75" t="s">
        <v>20</v>
      </c>
      <c r="H75">
        <v>0</v>
      </c>
      <c r="I75" t="s">
        <v>23</v>
      </c>
      <c r="J75">
        <v>0</v>
      </c>
      <c r="K75">
        <v>1902</v>
      </c>
      <c r="L75">
        <v>6</v>
      </c>
      <c r="M75" s="2" t="s">
        <v>20</v>
      </c>
      <c r="N75" t="b">
        <v>1</v>
      </c>
      <c r="P75" s="2"/>
      <c r="Q75">
        <v>45</v>
      </c>
      <c r="R75">
        <v>1</v>
      </c>
      <c r="S75">
        <v>350</v>
      </c>
      <c r="T75" t="s">
        <v>711</v>
      </c>
      <c r="U75">
        <v>45</v>
      </c>
      <c r="V75" s="2">
        <v>0.19</v>
      </c>
      <c r="AE75" t="b">
        <v>1</v>
      </c>
      <c r="AZ75" s="2"/>
      <c r="BA75" s="7">
        <v>40</v>
      </c>
      <c r="BB75" t="s">
        <v>924</v>
      </c>
      <c r="BC75" t="s">
        <v>923</v>
      </c>
      <c r="BD75" t="s">
        <v>941</v>
      </c>
      <c r="BE75" t="str">
        <f>IF(OR(Table1[[#This Row],[ENGINE_CLASS]]="STEAM",Table1[[#This Row],[ENGINE_CLASS]]="ELECTRIC",Table1[[#This Row],[ENGINE_CLASS]]="DIESEL"),Table1[[#This Row],[ENGINE_CLASS]],"DISABLE")</f>
        <v>STEAM</v>
      </c>
      <c r="BF75">
        <v>0</v>
      </c>
      <c r="BG75" t="s">
        <v>735</v>
      </c>
      <c r="BI75"/>
      <c r="BJ75">
        <v>35</v>
      </c>
      <c r="BK75">
        <v>0</v>
      </c>
      <c r="BL75" t="s">
        <v>693</v>
      </c>
      <c r="BM75" t="s">
        <v>695</v>
      </c>
      <c r="BN75" t="s">
        <v>702</v>
      </c>
      <c r="BO75" t="s">
        <v>706</v>
      </c>
      <c r="BP75" t="s">
        <v>707</v>
      </c>
      <c r="BQ75" t="s">
        <v>708</v>
      </c>
    </row>
    <row r="76" spans="1:69" x14ac:dyDescent="0.4">
      <c r="A76" s="2" t="s">
        <v>100</v>
      </c>
      <c r="B76" t="str">
        <f>_xlfn.TEXTAFTER(Table1[[#This Row],[VEHIDCODE]],"_")</f>
        <v>Austria_KkStB_299</v>
      </c>
      <c r="C76" t="s">
        <v>740</v>
      </c>
      <c r="D76" t="str">
        <f>"item_"&amp;Table1[[#This Row],[VEHIDCODE]]</f>
        <v>item_steam_Austria_KkStB_299</v>
      </c>
      <c r="E76" t="str">
        <f>"str_"&amp;Table1[[#This Row],[VEHIDCODE]]</f>
        <v>str_steam_Austria_KkStB_299</v>
      </c>
      <c r="F76">
        <v>7</v>
      </c>
      <c r="G76" t="s">
        <v>20</v>
      </c>
      <c r="H76">
        <v>0</v>
      </c>
      <c r="I76" t="s">
        <v>23</v>
      </c>
      <c r="J76">
        <v>0</v>
      </c>
      <c r="K76">
        <v>1904</v>
      </c>
      <c r="L76">
        <v>7</v>
      </c>
      <c r="M76" s="2" t="s">
        <v>20</v>
      </c>
      <c r="N76" t="b">
        <v>1</v>
      </c>
      <c r="P76" s="2"/>
      <c r="Q76">
        <v>45</v>
      </c>
      <c r="R76">
        <v>1</v>
      </c>
      <c r="S76">
        <v>820</v>
      </c>
      <c r="T76" t="s">
        <v>711</v>
      </c>
      <c r="U76">
        <v>80</v>
      </c>
      <c r="V76" s="2">
        <v>0.14000000000000001</v>
      </c>
      <c r="AE76" t="b">
        <v>1</v>
      </c>
      <c r="AZ76" s="2"/>
      <c r="BA76" s="7">
        <v>40</v>
      </c>
      <c r="BB76" t="s">
        <v>924</v>
      </c>
      <c r="BC76" t="s">
        <v>923</v>
      </c>
      <c r="BD76" t="s">
        <v>941</v>
      </c>
      <c r="BE76" t="str">
        <f>IF(OR(Table1[[#This Row],[ENGINE_CLASS]]="STEAM",Table1[[#This Row],[ENGINE_CLASS]]="ELECTRIC",Table1[[#This Row],[ENGINE_CLASS]]="DIESEL"),Table1[[#This Row],[ENGINE_CLASS]],"DISABLE")</f>
        <v>STEAM</v>
      </c>
      <c r="BF76">
        <v>0</v>
      </c>
      <c r="BG76" t="s">
        <v>735</v>
      </c>
      <c r="BI76"/>
      <c r="BJ76">
        <v>67</v>
      </c>
      <c r="BK76">
        <v>0</v>
      </c>
      <c r="BL76" t="s">
        <v>693</v>
      </c>
      <c r="BM76" t="s">
        <v>695</v>
      </c>
      <c r="BN76" t="s">
        <v>702</v>
      </c>
      <c r="BO76" t="s">
        <v>706</v>
      </c>
      <c r="BP76" t="s">
        <v>707</v>
      </c>
      <c r="BQ76" t="s">
        <v>708</v>
      </c>
    </row>
    <row r="77" spans="1:69" x14ac:dyDescent="0.4">
      <c r="A77" s="2" t="s">
        <v>101</v>
      </c>
      <c r="B77" t="str">
        <f>_xlfn.TEXTAFTER(Table1[[#This Row],[VEHIDCODE]],"_")</f>
        <v>New_Zealand_NZR_X_Class</v>
      </c>
      <c r="C77" t="s">
        <v>740</v>
      </c>
      <c r="D77" t="str">
        <f>"item_"&amp;Table1[[#This Row],[VEHIDCODE]]</f>
        <v>item_steam_New_Zealand_NZR_X_Class</v>
      </c>
      <c r="E77" t="str">
        <f>"str_"&amp;Table1[[#This Row],[VEHIDCODE]]</f>
        <v>str_steam_New_Zealand_NZR_X_Class</v>
      </c>
      <c r="F77">
        <v>12</v>
      </c>
      <c r="G77" t="s">
        <v>20</v>
      </c>
      <c r="H77">
        <v>0</v>
      </c>
      <c r="I77" t="s">
        <v>23</v>
      </c>
      <c r="J77">
        <v>0</v>
      </c>
      <c r="K77">
        <v>1908</v>
      </c>
      <c r="L77">
        <v>8</v>
      </c>
      <c r="M77" s="2" t="s">
        <v>20</v>
      </c>
      <c r="N77" t="b">
        <v>1</v>
      </c>
      <c r="P77" s="2"/>
      <c r="Q77">
        <v>45</v>
      </c>
      <c r="R77">
        <v>1</v>
      </c>
      <c r="S77">
        <v>1500</v>
      </c>
      <c r="T77" t="s">
        <v>711</v>
      </c>
      <c r="U77">
        <v>50</v>
      </c>
      <c r="V77" s="2">
        <v>0.15</v>
      </c>
      <c r="AE77" t="b">
        <v>1</v>
      </c>
      <c r="AZ77" s="2"/>
      <c r="BA77" s="7">
        <v>40</v>
      </c>
      <c r="BB77" t="s">
        <v>926</v>
      </c>
      <c r="BC77" t="s">
        <v>923</v>
      </c>
      <c r="BD77" t="s">
        <v>941</v>
      </c>
      <c r="BE77" t="str">
        <f>IF(OR(Table1[[#This Row],[ENGINE_CLASS]]="STEAM",Table1[[#This Row],[ENGINE_CLASS]]="ELECTRIC",Table1[[#This Row],[ENGINE_CLASS]]="DIESEL"),Table1[[#This Row],[ENGINE_CLASS]],"DISABLE")</f>
        <v>STEAM</v>
      </c>
      <c r="BF77">
        <v>0</v>
      </c>
      <c r="BG77" t="s">
        <v>735</v>
      </c>
      <c r="BI77"/>
      <c r="BJ77">
        <v>94</v>
      </c>
      <c r="BK77">
        <v>0</v>
      </c>
      <c r="BL77" t="s">
        <v>693</v>
      </c>
      <c r="BM77" t="s">
        <v>695</v>
      </c>
      <c r="BN77" t="s">
        <v>702</v>
      </c>
      <c r="BO77" t="s">
        <v>706</v>
      </c>
      <c r="BP77" t="s">
        <v>707</v>
      </c>
      <c r="BQ77" t="s">
        <v>708</v>
      </c>
    </row>
    <row r="78" spans="1:69" x14ac:dyDescent="0.4">
      <c r="A78" s="2" t="s">
        <v>102</v>
      </c>
      <c r="B78" t="str">
        <f>_xlfn.TEXTAFTER(Table1[[#This Row],[VEHIDCODE]],"_")</f>
        <v>Croatia_HZ_51</v>
      </c>
      <c r="C78" t="s">
        <v>740</v>
      </c>
      <c r="D78" t="str">
        <f>"item_"&amp;Table1[[#This Row],[VEHIDCODE]]</f>
        <v>item_steam_Croatia_HZ_51</v>
      </c>
      <c r="E78" t="str">
        <f>"str_"&amp;Table1[[#This Row],[VEHIDCODE]]</f>
        <v>str_steam_Croatia_HZ_51</v>
      </c>
      <c r="F78">
        <v>6</v>
      </c>
      <c r="G78" t="s">
        <v>20</v>
      </c>
      <c r="H78">
        <v>0</v>
      </c>
      <c r="I78" t="s">
        <v>23</v>
      </c>
      <c r="J78">
        <v>0</v>
      </c>
      <c r="K78">
        <v>1914</v>
      </c>
      <c r="L78">
        <v>6</v>
      </c>
      <c r="M78" s="2" t="s">
        <v>20</v>
      </c>
      <c r="N78" t="b">
        <v>1</v>
      </c>
      <c r="P78" s="2"/>
      <c r="Q78">
        <v>45</v>
      </c>
      <c r="R78">
        <v>0</v>
      </c>
      <c r="S78">
        <v>570</v>
      </c>
      <c r="T78" t="s">
        <v>711</v>
      </c>
      <c r="U78">
        <v>60</v>
      </c>
      <c r="V78" s="2">
        <v>0.11</v>
      </c>
      <c r="AE78" t="b">
        <v>1</v>
      </c>
      <c r="AZ78" s="2"/>
      <c r="BA78" s="7">
        <v>40</v>
      </c>
      <c r="BB78" t="s">
        <v>930</v>
      </c>
      <c r="BC78" t="s">
        <v>923</v>
      </c>
      <c r="BD78" t="s">
        <v>941</v>
      </c>
      <c r="BE78" t="str">
        <f>IF(OR(Table1[[#This Row],[ENGINE_CLASS]]="STEAM",Table1[[#This Row],[ENGINE_CLASS]]="ELECTRIC",Table1[[#This Row],[ENGINE_CLASS]]="DIESEL"),Table1[[#This Row],[ENGINE_CLASS]],"DISABLE")</f>
        <v>STEAM</v>
      </c>
      <c r="BF78">
        <v>-3</v>
      </c>
      <c r="BG78" t="s">
        <v>735</v>
      </c>
      <c r="BI78"/>
      <c r="BJ78">
        <v>52</v>
      </c>
      <c r="BK78">
        <v>0</v>
      </c>
      <c r="BL78" t="s">
        <v>693</v>
      </c>
      <c r="BM78" t="s">
        <v>695</v>
      </c>
      <c r="BN78" t="s">
        <v>702</v>
      </c>
      <c r="BO78" t="s">
        <v>706</v>
      </c>
      <c r="BP78" t="s">
        <v>707</v>
      </c>
      <c r="BQ78" t="s">
        <v>708</v>
      </c>
    </row>
    <row r="79" spans="1:69" x14ac:dyDescent="0.4">
      <c r="A79" s="2" t="s">
        <v>103</v>
      </c>
      <c r="B79" t="str">
        <f>_xlfn.TEXTAFTER(Table1[[#This Row],[VEHIDCODE]],"_")</f>
        <v>Italy_FS_880</v>
      </c>
      <c r="C79" t="s">
        <v>740</v>
      </c>
      <c r="D79" t="str">
        <f>"item_"&amp;Table1[[#This Row],[VEHIDCODE]]</f>
        <v>item_steam_Italy_FS_880</v>
      </c>
      <c r="E79" t="str">
        <f>"str_"&amp;Table1[[#This Row],[VEHIDCODE]]</f>
        <v>str_steam_Italy_FS_880</v>
      </c>
      <c r="F79">
        <v>6</v>
      </c>
      <c r="G79" t="s">
        <v>20</v>
      </c>
      <c r="H79">
        <v>0</v>
      </c>
      <c r="I79" t="s">
        <v>23</v>
      </c>
      <c r="J79">
        <v>0</v>
      </c>
      <c r="K79">
        <v>1916</v>
      </c>
      <c r="L79">
        <v>6</v>
      </c>
      <c r="M79" s="2" t="s">
        <v>20</v>
      </c>
      <c r="N79" t="b">
        <v>1</v>
      </c>
      <c r="P79" s="2"/>
      <c r="Q79">
        <v>45</v>
      </c>
      <c r="R79">
        <v>1</v>
      </c>
      <c r="S79">
        <v>500</v>
      </c>
      <c r="T79" t="s">
        <v>711</v>
      </c>
      <c r="U79">
        <v>75</v>
      </c>
      <c r="V79" s="2">
        <v>0.1</v>
      </c>
      <c r="AE79" t="b">
        <v>1</v>
      </c>
      <c r="AZ79" s="2"/>
      <c r="BA79" s="7">
        <v>40</v>
      </c>
      <c r="BB79" t="s">
        <v>925</v>
      </c>
      <c r="BC79" t="s">
        <v>923</v>
      </c>
      <c r="BD79" t="s">
        <v>941</v>
      </c>
      <c r="BE79" t="str">
        <f>IF(OR(Table1[[#This Row],[ENGINE_CLASS]]="STEAM",Table1[[#This Row],[ENGINE_CLASS]]="ELECTRIC",Table1[[#This Row],[ENGINE_CLASS]]="DIESEL"),Table1[[#This Row],[ENGINE_CLASS]],"DISABLE")</f>
        <v>STEAM</v>
      </c>
      <c r="BF79">
        <v>-3</v>
      </c>
      <c r="BG79" t="s">
        <v>735</v>
      </c>
      <c r="BI79"/>
      <c r="BJ79">
        <v>144</v>
      </c>
      <c r="BK79">
        <v>0</v>
      </c>
      <c r="BL79" t="s">
        <v>693</v>
      </c>
      <c r="BM79" t="s">
        <v>695</v>
      </c>
      <c r="BN79" t="s">
        <v>702</v>
      </c>
      <c r="BO79" t="s">
        <v>706</v>
      </c>
      <c r="BP79" t="s">
        <v>707</v>
      </c>
      <c r="BQ79" t="s">
        <v>708</v>
      </c>
    </row>
    <row r="80" spans="1:69" x14ac:dyDescent="0.4">
      <c r="A80" s="2" t="s">
        <v>104</v>
      </c>
      <c r="B80" t="str">
        <f>_xlfn.TEXTAFTER(Table1[[#This Row],[VEHIDCODE]],"_")</f>
        <v>Argentina_FCNEA_11B_2_8_0</v>
      </c>
      <c r="C80" t="s">
        <v>740</v>
      </c>
      <c r="D80" t="str">
        <f>"item_"&amp;Table1[[#This Row],[VEHIDCODE]]</f>
        <v>item_steam_Argentina_FCNEA_11B_2_8_0</v>
      </c>
      <c r="E80" t="str">
        <f>"str_"&amp;Table1[[#This Row],[VEHIDCODE]]</f>
        <v>str_steam_Argentina_FCNEA_11B_2_8_0</v>
      </c>
      <c r="F80">
        <v>8</v>
      </c>
      <c r="G80" t="s">
        <v>20</v>
      </c>
      <c r="H80">
        <v>0</v>
      </c>
      <c r="I80" t="s">
        <v>23</v>
      </c>
      <c r="J80">
        <v>0</v>
      </c>
      <c r="K80">
        <v>1920</v>
      </c>
      <c r="L80">
        <v>7</v>
      </c>
      <c r="M80" s="2" t="s">
        <v>20</v>
      </c>
      <c r="N80" t="b">
        <v>1</v>
      </c>
      <c r="P80" s="2"/>
      <c r="Q80">
        <v>45</v>
      </c>
      <c r="R80">
        <v>1</v>
      </c>
      <c r="S80">
        <v>930</v>
      </c>
      <c r="T80" t="s">
        <v>711</v>
      </c>
      <c r="U80">
        <v>64</v>
      </c>
      <c r="V80" s="2">
        <v>0.11</v>
      </c>
      <c r="AE80" t="b">
        <v>1</v>
      </c>
      <c r="AZ80" s="2"/>
      <c r="BA80" s="7">
        <v>40</v>
      </c>
      <c r="BB80" t="s">
        <v>931</v>
      </c>
      <c r="BC80" t="s">
        <v>923</v>
      </c>
      <c r="BD80" t="s">
        <v>941</v>
      </c>
      <c r="BE80" t="str">
        <f>IF(OR(Table1[[#This Row],[ENGINE_CLASS]]="STEAM",Table1[[#This Row],[ENGINE_CLASS]]="ELECTRIC",Table1[[#This Row],[ENGINE_CLASS]]="DIESEL"),Table1[[#This Row],[ENGINE_CLASS]],"DISABLE")</f>
        <v>STEAM</v>
      </c>
      <c r="BF80">
        <v>0</v>
      </c>
      <c r="BG80" t="s">
        <v>735</v>
      </c>
      <c r="BI80"/>
      <c r="BJ80">
        <v>97</v>
      </c>
      <c r="BK80">
        <v>0</v>
      </c>
      <c r="BL80" t="s">
        <v>693</v>
      </c>
      <c r="BM80" t="s">
        <v>695</v>
      </c>
      <c r="BN80" t="s">
        <v>702</v>
      </c>
      <c r="BO80" t="s">
        <v>706</v>
      </c>
      <c r="BP80" t="s">
        <v>707</v>
      </c>
      <c r="BQ80" t="s">
        <v>708</v>
      </c>
    </row>
    <row r="81" spans="1:69" x14ac:dyDescent="0.4">
      <c r="A81" s="2" t="s">
        <v>105</v>
      </c>
      <c r="B81" t="str">
        <f>_xlfn.TEXTAFTER(Table1[[#This Row],[VEHIDCODE]],"_")</f>
        <v>France_SNCF_140C</v>
      </c>
      <c r="C81" t="s">
        <v>740</v>
      </c>
      <c r="D81" t="str">
        <f>"item_"&amp;Table1[[#This Row],[VEHIDCODE]]</f>
        <v>item_steam_France_SNCF_140C</v>
      </c>
      <c r="E81" t="str">
        <f>"str_"&amp;Table1[[#This Row],[VEHIDCODE]]</f>
        <v>str_steam_France_SNCF_140C</v>
      </c>
      <c r="F81">
        <v>8</v>
      </c>
      <c r="G81" t="s">
        <v>20</v>
      </c>
      <c r="H81">
        <v>0</v>
      </c>
      <c r="I81" t="s">
        <v>23</v>
      </c>
      <c r="J81">
        <v>0</v>
      </c>
      <c r="K81">
        <v>1920</v>
      </c>
      <c r="L81">
        <v>6</v>
      </c>
      <c r="M81" s="2" t="s">
        <v>20</v>
      </c>
      <c r="N81" t="b">
        <v>1</v>
      </c>
      <c r="P81" s="2"/>
      <c r="Q81">
        <v>45</v>
      </c>
      <c r="R81">
        <v>1</v>
      </c>
      <c r="S81">
        <v>1500</v>
      </c>
      <c r="T81" t="s">
        <v>711</v>
      </c>
      <c r="U81">
        <v>80</v>
      </c>
      <c r="V81" s="2">
        <v>0.16</v>
      </c>
      <c r="AE81" t="b">
        <v>1</v>
      </c>
      <c r="AZ81" s="2"/>
      <c r="BA81" s="7">
        <v>40</v>
      </c>
      <c r="BB81" t="s">
        <v>924</v>
      </c>
      <c r="BC81" t="s">
        <v>923</v>
      </c>
      <c r="BD81" t="s">
        <v>941</v>
      </c>
      <c r="BE81" t="str">
        <f>IF(OR(Table1[[#This Row],[ENGINE_CLASS]]="STEAM",Table1[[#This Row],[ENGINE_CLASS]]="ELECTRIC",Table1[[#This Row],[ENGINE_CLASS]]="DIESEL"),Table1[[#This Row],[ENGINE_CLASS]],"DISABLE")</f>
        <v>STEAM</v>
      </c>
      <c r="BF81">
        <v>0</v>
      </c>
      <c r="BG81" t="s">
        <v>735</v>
      </c>
      <c r="BI81"/>
      <c r="BJ81">
        <v>126</v>
      </c>
      <c r="BK81">
        <v>0</v>
      </c>
      <c r="BL81" t="s">
        <v>693</v>
      </c>
      <c r="BM81" t="s">
        <v>695</v>
      </c>
      <c r="BN81" t="s">
        <v>702</v>
      </c>
      <c r="BO81" t="s">
        <v>706</v>
      </c>
      <c r="BP81" t="s">
        <v>707</v>
      </c>
      <c r="BQ81" t="s">
        <v>708</v>
      </c>
    </row>
    <row r="82" spans="1:69" x14ac:dyDescent="0.4">
      <c r="A82" s="2" t="s">
        <v>106</v>
      </c>
      <c r="B82" t="str">
        <f>_xlfn.TEXTAFTER(Table1[[#This Row],[VEHIDCODE]],"_")</f>
        <v>France_SNCF_141TA</v>
      </c>
      <c r="C82" t="s">
        <v>740</v>
      </c>
      <c r="D82" t="str">
        <f>"item_"&amp;Table1[[#This Row],[VEHIDCODE]]</f>
        <v>item_steam_France_SNCF_141TA</v>
      </c>
      <c r="E82" t="str">
        <f>"str_"&amp;Table1[[#This Row],[VEHIDCODE]]</f>
        <v>str_steam_France_SNCF_141TA</v>
      </c>
      <c r="F82">
        <v>6</v>
      </c>
      <c r="G82" t="s">
        <v>20</v>
      </c>
      <c r="H82">
        <v>0</v>
      </c>
      <c r="I82" t="s">
        <v>23</v>
      </c>
      <c r="J82">
        <v>0</v>
      </c>
      <c r="K82">
        <v>1922</v>
      </c>
      <c r="L82">
        <v>6</v>
      </c>
      <c r="M82" s="2" t="s">
        <v>20</v>
      </c>
      <c r="N82" t="b">
        <v>1</v>
      </c>
      <c r="P82" s="2"/>
      <c r="Q82">
        <v>45</v>
      </c>
      <c r="R82">
        <v>1</v>
      </c>
      <c r="S82">
        <v>1360</v>
      </c>
      <c r="T82" t="s">
        <v>711</v>
      </c>
      <c r="U82">
        <v>70</v>
      </c>
      <c r="V82" s="2">
        <v>0.25</v>
      </c>
      <c r="AE82" t="b">
        <v>1</v>
      </c>
      <c r="AZ82" s="2"/>
      <c r="BA82" s="7">
        <v>40</v>
      </c>
      <c r="BB82" t="s">
        <v>924</v>
      </c>
      <c r="BC82" t="s">
        <v>923</v>
      </c>
      <c r="BD82" t="s">
        <v>941</v>
      </c>
      <c r="BE82" t="str">
        <f>IF(OR(Table1[[#This Row],[ENGINE_CLASS]]="STEAM",Table1[[#This Row],[ENGINE_CLASS]]="ELECTRIC",Table1[[#This Row],[ENGINE_CLASS]]="DIESEL"),Table1[[#This Row],[ENGINE_CLASS]],"DISABLE")</f>
        <v>STEAM</v>
      </c>
      <c r="BF82">
        <v>-3</v>
      </c>
      <c r="BG82" t="s">
        <v>735</v>
      </c>
      <c r="BI82"/>
      <c r="BJ82">
        <v>94</v>
      </c>
      <c r="BK82">
        <v>0</v>
      </c>
      <c r="BL82" t="s">
        <v>693</v>
      </c>
      <c r="BM82" t="s">
        <v>695</v>
      </c>
      <c r="BN82" t="s">
        <v>702</v>
      </c>
      <c r="BO82" t="s">
        <v>706</v>
      </c>
      <c r="BP82" t="s">
        <v>707</v>
      </c>
      <c r="BQ82" t="s">
        <v>708</v>
      </c>
    </row>
    <row r="83" spans="1:69" x14ac:dyDescent="0.4">
      <c r="A83" s="2" t="s">
        <v>107</v>
      </c>
      <c r="B83" t="str">
        <f>_xlfn.TEXTAFTER(Table1[[#This Row],[VEHIDCODE]],"_")</f>
        <v>UK_GWR_4900</v>
      </c>
      <c r="C83" t="s">
        <v>740</v>
      </c>
      <c r="D83" t="str">
        <f>"item_"&amp;Table1[[#This Row],[VEHIDCODE]]</f>
        <v>item_steam_UK_GWR_4900</v>
      </c>
      <c r="E83" t="str">
        <f>"str_"&amp;Table1[[#This Row],[VEHIDCODE]]</f>
        <v>str_steam_UK_GWR_4900</v>
      </c>
      <c r="F83">
        <v>12</v>
      </c>
      <c r="G83" t="s">
        <v>20</v>
      </c>
      <c r="H83">
        <v>0</v>
      </c>
      <c r="I83" t="s">
        <v>23</v>
      </c>
      <c r="J83">
        <v>0</v>
      </c>
      <c r="K83">
        <v>1924</v>
      </c>
      <c r="L83">
        <v>8</v>
      </c>
      <c r="M83" s="2" t="s">
        <v>20</v>
      </c>
      <c r="N83" t="b">
        <v>1</v>
      </c>
      <c r="P83" s="2"/>
      <c r="Q83">
        <v>45</v>
      </c>
      <c r="R83">
        <v>0</v>
      </c>
      <c r="S83">
        <v>1750</v>
      </c>
      <c r="T83" t="s">
        <v>711</v>
      </c>
      <c r="U83">
        <v>96</v>
      </c>
      <c r="V83" s="2">
        <v>0.1</v>
      </c>
      <c r="AE83" t="b">
        <v>1</v>
      </c>
      <c r="AZ83" s="2"/>
      <c r="BA83" s="7">
        <v>40</v>
      </c>
      <c r="BB83" t="s">
        <v>928</v>
      </c>
      <c r="BC83" t="s">
        <v>923</v>
      </c>
      <c r="BD83" t="s">
        <v>941</v>
      </c>
      <c r="BE83" t="str">
        <f>IF(OR(Table1[[#This Row],[ENGINE_CLASS]]="STEAM",Table1[[#This Row],[ENGINE_CLASS]]="ELECTRIC",Table1[[#This Row],[ENGINE_CLASS]]="DIESEL"),Table1[[#This Row],[ENGINE_CLASS]],"DISABLE")</f>
        <v>STEAM</v>
      </c>
      <c r="BF83">
        <v>0</v>
      </c>
      <c r="BG83" t="s">
        <v>735</v>
      </c>
      <c r="BI83"/>
      <c r="BJ83">
        <v>122</v>
      </c>
      <c r="BK83">
        <v>0</v>
      </c>
      <c r="BL83" t="s">
        <v>693</v>
      </c>
      <c r="BM83" t="s">
        <v>695</v>
      </c>
      <c r="BN83" t="s">
        <v>702</v>
      </c>
      <c r="BO83" t="s">
        <v>706</v>
      </c>
      <c r="BP83" t="s">
        <v>707</v>
      </c>
      <c r="BQ83" t="s">
        <v>708</v>
      </c>
    </row>
    <row r="84" spans="1:69" x14ac:dyDescent="0.4">
      <c r="A84" s="2" t="s">
        <v>108</v>
      </c>
      <c r="B84" t="str">
        <f>_xlfn.TEXTAFTER(Table1[[#This Row],[VEHIDCODE]],"_")</f>
        <v>UK_GWR_5700</v>
      </c>
      <c r="C84" t="s">
        <v>740</v>
      </c>
      <c r="D84" t="str">
        <f>"item_"&amp;Table1[[#This Row],[VEHIDCODE]]</f>
        <v>item_steam_UK_GWR_5700</v>
      </c>
      <c r="E84" t="str">
        <f>"str_"&amp;Table1[[#This Row],[VEHIDCODE]]</f>
        <v>str_steam_UK_GWR_5700</v>
      </c>
      <c r="F84">
        <v>6</v>
      </c>
      <c r="G84" t="s">
        <v>20</v>
      </c>
      <c r="H84">
        <v>0</v>
      </c>
      <c r="I84" t="s">
        <v>23</v>
      </c>
      <c r="J84">
        <v>0</v>
      </c>
      <c r="K84">
        <v>1929</v>
      </c>
      <c r="L84">
        <v>6</v>
      </c>
      <c r="M84" s="2" t="s">
        <v>20</v>
      </c>
      <c r="N84" t="b">
        <v>1</v>
      </c>
      <c r="P84" s="2"/>
      <c r="Q84">
        <v>45</v>
      </c>
      <c r="R84">
        <v>0</v>
      </c>
      <c r="S84">
        <v>700</v>
      </c>
      <c r="T84" t="s">
        <v>711</v>
      </c>
      <c r="U84">
        <v>72</v>
      </c>
      <c r="V84" s="2">
        <v>0.21</v>
      </c>
      <c r="AE84" t="b">
        <v>1</v>
      </c>
      <c r="AZ84" s="2"/>
      <c r="BA84" s="7">
        <v>40</v>
      </c>
      <c r="BB84" t="s">
        <v>928</v>
      </c>
      <c r="BC84" t="s">
        <v>923</v>
      </c>
      <c r="BD84" t="s">
        <v>941</v>
      </c>
      <c r="BE84" t="str">
        <f>IF(OR(Table1[[#This Row],[ENGINE_CLASS]]="STEAM",Table1[[#This Row],[ENGINE_CLASS]]="ELECTRIC",Table1[[#This Row],[ENGINE_CLASS]]="DIESEL"),Table1[[#This Row],[ENGINE_CLASS]],"DISABLE")</f>
        <v>STEAM</v>
      </c>
      <c r="BF84">
        <v>-3</v>
      </c>
      <c r="BG84" t="s">
        <v>735</v>
      </c>
      <c r="BI84"/>
      <c r="BJ84">
        <v>48</v>
      </c>
      <c r="BK84">
        <v>0</v>
      </c>
      <c r="BL84" t="s">
        <v>693</v>
      </c>
      <c r="BM84" t="s">
        <v>695</v>
      </c>
      <c r="BN84" t="s">
        <v>702</v>
      </c>
      <c r="BO84" t="s">
        <v>706</v>
      </c>
      <c r="BP84" t="s">
        <v>707</v>
      </c>
      <c r="BQ84" t="s">
        <v>708</v>
      </c>
    </row>
    <row r="85" spans="1:69" x14ac:dyDescent="0.4">
      <c r="A85" s="2" t="s">
        <v>109</v>
      </c>
      <c r="B85" t="str">
        <f>_xlfn.TEXTAFTER(Table1[[#This Row],[VEHIDCODE]],"_")</f>
        <v>Netherlands_NS_6300</v>
      </c>
      <c r="C85" t="s">
        <v>740</v>
      </c>
      <c r="D85" t="str">
        <f>"item_"&amp;Table1[[#This Row],[VEHIDCODE]]</f>
        <v>item_steam_Netherlands_NS_6300</v>
      </c>
      <c r="E85" t="str">
        <f>"str_"&amp;Table1[[#This Row],[VEHIDCODE]]</f>
        <v>str_steam_Netherlands_NS_6300</v>
      </c>
      <c r="F85">
        <v>8</v>
      </c>
      <c r="G85" t="s">
        <v>20</v>
      </c>
      <c r="H85">
        <v>0</v>
      </c>
      <c r="I85" t="s">
        <v>23</v>
      </c>
      <c r="J85">
        <v>0</v>
      </c>
      <c r="K85">
        <v>1930</v>
      </c>
      <c r="L85">
        <v>8</v>
      </c>
      <c r="M85" s="2" t="s">
        <v>20</v>
      </c>
      <c r="N85" t="b">
        <v>1</v>
      </c>
      <c r="P85" s="2"/>
      <c r="Q85">
        <v>45</v>
      </c>
      <c r="R85">
        <v>1</v>
      </c>
      <c r="S85">
        <v>1609</v>
      </c>
      <c r="T85" t="s">
        <v>711</v>
      </c>
      <c r="U85">
        <v>90</v>
      </c>
      <c r="V85" s="2">
        <v>0.11</v>
      </c>
      <c r="AE85" t="b">
        <v>1</v>
      </c>
      <c r="AZ85" s="2"/>
      <c r="BA85" s="7">
        <v>40</v>
      </c>
      <c r="BB85" t="s">
        <v>924</v>
      </c>
      <c r="BC85" t="s">
        <v>923</v>
      </c>
      <c r="BD85" t="s">
        <v>941</v>
      </c>
      <c r="BE85" t="str">
        <f>IF(OR(Table1[[#This Row],[ENGINE_CLASS]]="STEAM",Table1[[#This Row],[ENGINE_CLASS]]="ELECTRIC",Table1[[#This Row],[ENGINE_CLASS]]="DIESEL"),Table1[[#This Row],[ENGINE_CLASS]],"DISABLE")</f>
        <v>STEAM</v>
      </c>
      <c r="BF85">
        <v>0</v>
      </c>
      <c r="BG85" t="s">
        <v>735</v>
      </c>
      <c r="BI85"/>
      <c r="BJ85">
        <v>127</v>
      </c>
      <c r="BK85">
        <v>0</v>
      </c>
      <c r="BL85" t="s">
        <v>693</v>
      </c>
      <c r="BM85" t="s">
        <v>695</v>
      </c>
      <c r="BN85" t="s">
        <v>702</v>
      </c>
      <c r="BO85" t="s">
        <v>706</v>
      </c>
      <c r="BP85" t="s">
        <v>707</v>
      </c>
      <c r="BQ85" t="s">
        <v>708</v>
      </c>
    </row>
    <row r="86" spans="1:69" x14ac:dyDescent="0.4">
      <c r="A86" s="2" t="s">
        <v>110</v>
      </c>
      <c r="B86" t="str">
        <f>_xlfn.TEXTAFTER(Table1[[#This Row],[VEHIDCODE]],"_")</f>
        <v>USA_AT_SF_5000</v>
      </c>
      <c r="C86" t="s">
        <v>740</v>
      </c>
      <c r="D86" t="str">
        <f>"item_"&amp;Table1[[#This Row],[VEHIDCODE]]</f>
        <v>item_steam_USA_AT_SF_5000</v>
      </c>
      <c r="E86" t="str">
        <f>"str_"&amp;Table1[[#This Row],[VEHIDCODE]]</f>
        <v>str_steam_USA_AT_SF_5000</v>
      </c>
      <c r="F86">
        <v>12</v>
      </c>
      <c r="G86" t="s">
        <v>20</v>
      </c>
      <c r="H86">
        <v>0</v>
      </c>
      <c r="I86" t="s">
        <v>23</v>
      </c>
      <c r="J86">
        <v>0</v>
      </c>
      <c r="K86">
        <v>1930</v>
      </c>
      <c r="L86">
        <v>8</v>
      </c>
      <c r="M86" s="2" t="s">
        <v>20</v>
      </c>
      <c r="N86" t="b">
        <v>1</v>
      </c>
      <c r="P86" s="2"/>
      <c r="Q86">
        <v>45</v>
      </c>
      <c r="R86">
        <v>1</v>
      </c>
      <c r="S86">
        <v>5700</v>
      </c>
      <c r="T86" t="s">
        <v>711</v>
      </c>
      <c r="U86">
        <v>100</v>
      </c>
      <c r="V86" s="2">
        <v>0.12</v>
      </c>
      <c r="AE86" t="b">
        <v>1</v>
      </c>
      <c r="AZ86" s="2"/>
      <c r="BA86" s="7">
        <v>40</v>
      </c>
      <c r="BB86" t="s">
        <v>929</v>
      </c>
      <c r="BC86" t="s">
        <v>923</v>
      </c>
      <c r="BD86" t="s">
        <v>941</v>
      </c>
      <c r="BE86" t="str">
        <f>IF(OR(Table1[[#This Row],[ENGINE_CLASS]]="STEAM",Table1[[#This Row],[ENGINE_CLASS]]="ELECTRIC",Table1[[#This Row],[ENGINE_CLASS]]="DIESEL"),Table1[[#This Row],[ENGINE_CLASS]],"DISABLE")</f>
        <v>STEAM</v>
      </c>
      <c r="BF86">
        <v>0</v>
      </c>
      <c r="BG86" t="s">
        <v>735</v>
      </c>
      <c r="BI86"/>
      <c r="BJ86">
        <v>398</v>
      </c>
      <c r="BK86">
        <v>0</v>
      </c>
      <c r="BL86" t="s">
        <v>693</v>
      </c>
      <c r="BM86" t="s">
        <v>695</v>
      </c>
      <c r="BN86" t="s">
        <v>702</v>
      </c>
      <c r="BO86" t="s">
        <v>706</v>
      </c>
      <c r="BP86" t="s">
        <v>707</v>
      </c>
      <c r="BQ86" t="s">
        <v>708</v>
      </c>
    </row>
    <row r="87" spans="1:69" x14ac:dyDescent="0.4">
      <c r="A87" s="2" t="s">
        <v>111</v>
      </c>
      <c r="B87" t="str">
        <f>_xlfn.TEXTAFTER(Table1[[#This Row],[VEHIDCODE]],"_")</f>
        <v>Germany_Prussian_S10</v>
      </c>
      <c r="C87" t="s">
        <v>740</v>
      </c>
      <c r="D87" t="str">
        <f>"item_"&amp;Table1[[#This Row],[VEHIDCODE]]</f>
        <v>item_steam_Germany_Prussian_S10</v>
      </c>
      <c r="E87" t="str">
        <f>"str_"&amp;Table1[[#This Row],[VEHIDCODE]]</f>
        <v>str_steam_Germany_Prussian_S10</v>
      </c>
      <c r="F87">
        <v>8</v>
      </c>
      <c r="G87" t="s">
        <v>20</v>
      </c>
      <c r="H87">
        <v>0</v>
      </c>
      <c r="I87" t="s">
        <v>23</v>
      </c>
      <c r="J87">
        <v>0</v>
      </c>
      <c r="K87">
        <v>1910</v>
      </c>
      <c r="L87">
        <v>8</v>
      </c>
      <c r="M87" s="2" t="s">
        <v>20</v>
      </c>
      <c r="N87" t="b">
        <v>1</v>
      </c>
      <c r="P87" s="2"/>
      <c r="Q87">
        <v>45</v>
      </c>
      <c r="R87">
        <v>1</v>
      </c>
      <c r="S87">
        <v>1155</v>
      </c>
      <c r="T87" t="s">
        <v>711</v>
      </c>
      <c r="U87">
        <v>110</v>
      </c>
      <c r="V87" s="2">
        <v>0.1</v>
      </c>
      <c r="AE87" t="b">
        <v>1</v>
      </c>
      <c r="AZ87" s="2"/>
      <c r="BA87" s="7">
        <v>40</v>
      </c>
      <c r="BB87" t="s">
        <v>924</v>
      </c>
      <c r="BC87" t="s">
        <v>923</v>
      </c>
      <c r="BD87" t="s">
        <v>941</v>
      </c>
      <c r="BE87" t="str">
        <f>IF(OR(Table1[[#This Row],[ENGINE_CLASS]]="STEAM",Table1[[#This Row],[ENGINE_CLASS]]="ELECTRIC",Table1[[#This Row],[ENGINE_CLASS]]="DIESEL"),Table1[[#This Row],[ENGINE_CLASS]],"DISABLE")</f>
        <v>STEAM</v>
      </c>
      <c r="BF87">
        <v>0</v>
      </c>
      <c r="BG87" t="s">
        <v>735</v>
      </c>
      <c r="BI87"/>
      <c r="BJ87">
        <v>77</v>
      </c>
      <c r="BK87">
        <v>0</v>
      </c>
      <c r="BL87" t="s">
        <v>693</v>
      </c>
      <c r="BM87" t="s">
        <v>695</v>
      </c>
      <c r="BN87" t="s">
        <v>702</v>
      </c>
      <c r="BO87" t="s">
        <v>706</v>
      </c>
      <c r="BP87" t="s">
        <v>707</v>
      </c>
      <c r="BQ87" t="s">
        <v>708</v>
      </c>
    </row>
    <row r="88" spans="1:69" x14ac:dyDescent="0.4">
      <c r="A88" s="2" t="s">
        <v>112</v>
      </c>
      <c r="B88" t="str">
        <f>_xlfn.TEXTAFTER(Table1[[#This Row],[VEHIDCODE]],"_")</f>
        <v>UK_LMS_5MT_Black_Five</v>
      </c>
      <c r="C88" t="s">
        <v>740</v>
      </c>
      <c r="D88" t="str">
        <f>"item_"&amp;Table1[[#This Row],[VEHIDCODE]]</f>
        <v>item_steam_UK_LMS_5MT_Black_Five</v>
      </c>
      <c r="E88" t="str">
        <f>"str_"&amp;Table1[[#This Row],[VEHIDCODE]]</f>
        <v>str_steam_UK_LMS_5MT_Black_Five</v>
      </c>
      <c r="F88">
        <v>10</v>
      </c>
      <c r="G88" t="s">
        <v>20</v>
      </c>
      <c r="H88">
        <v>0</v>
      </c>
      <c r="I88" t="s">
        <v>23</v>
      </c>
      <c r="J88">
        <v>0</v>
      </c>
      <c r="K88">
        <v>1934</v>
      </c>
      <c r="L88">
        <v>8</v>
      </c>
      <c r="M88" s="2" t="s">
        <v>20</v>
      </c>
      <c r="N88" t="b">
        <v>1</v>
      </c>
      <c r="P88" s="2"/>
      <c r="Q88">
        <v>45</v>
      </c>
      <c r="R88">
        <v>1</v>
      </c>
      <c r="S88">
        <v>1600</v>
      </c>
      <c r="T88" t="s">
        <v>711</v>
      </c>
      <c r="U88">
        <v>115</v>
      </c>
      <c r="V88" s="2">
        <v>0.15</v>
      </c>
      <c r="AE88" t="b">
        <v>1</v>
      </c>
      <c r="AZ88" s="2"/>
      <c r="BA88" s="7">
        <v>40</v>
      </c>
      <c r="BB88" t="s">
        <v>928</v>
      </c>
      <c r="BC88" t="s">
        <v>923</v>
      </c>
      <c r="BD88" t="s">
        <v>941</v>
      </c>
      <c r="BE88" t="str">
        <f>IF(OR(Table1[[#This Row],[ENGINE_CLASS]]="STEAM",Table1[[#This Row],[ENGINE_CLASS]]="ELECTRIC",Table1[[#This Row],[ENGINE_CLASS]]="DIESEL"),Table1[[#This Row],[ENGINE_CLASS]],"DISABLE")</f>
        <v>STEAM</v>
      </c>
      <c r="BF88">
        <v>0</v>
      </c>
      <c r="BG88" t="s">
        <v>735</v>
      </c>
      <c r="BI88"/>
      <c r="BJ88">
        <v>75</v>
      </c>
      <c r="BK88">
        <v>0</v>
      </c>
      <c r="BL88" t="s">
        <v>693</v>
      </c>
      <c r="BM88" t="s">
        <v>695</v>
      </c>
      <c r="BN88" t="s">
        <v>702</v>
      </c>
      <c r="BO88" t="s">
        <v>706</v>
      </c>
      <c r="BP88" t="s">
        <v>707</v>
      </c>
      <c r="BQ88" t="s">
        <v>708</v>
      </c>
    </row>
    <row r="89" spans="1:69" x14ac:dyDescent="0.4">
      <c r="A89" s="2" t="s">
        <v>113</v>
      </c>
      <c r="B89" t="str">
        <f>_xlfn.TEXTAFTER(Table1[[#This Row],[VEHIDCODE]],"_")</f>
        <v>Russia_RZD_9P</v>
      </c>
      <c r="C89" t="s">
        <v>740</v>
      </c>
      <c r="D89" t="str">
        <f>"item_"&amp;Table1[[#This Row],[VEHIDCODE]]</f>
        <v>item_steam_Russia_RZD_9P</v>
      </c>
      <c r="E89" t="str">
        <f>"str_"&amp;Table1[[#This Row],[VEHIDCODE]]</f>
        <v>str_steam_Russia_RZD_9P</v>
      </c>
      <c r="F89">
        <v>6</v>
      </c>
      <c r="G89" t="s">
        <v>20</v>
      </c>
      <c r="H89">
        <v>0</v>
      </c>
      <c r="I89" t="s">
        <v>23</v>
      </c>
      <c r="J89">
        <v>0</v>
      </c>
      <c r="K89">
        <v>1934</v>
      </c>
      <c r="L89">
        <v>6</v>
      </c>
      <c r="M89" s="2" t="s">
        <v>20</v>
      </c>
      <c r="N89" t="b">
        <v>1</v>
      </c>
      <c r="P89" s="2"/>
      <c r="Q89">
        <v>45</v>
      </c>
      <c r="R89">
        <v>1</v>
      </c>
      <c r="S89">
        <v>320</v>
      </c>
      <c r="T89" t="s">
        <v>711</v>
      </c>
      <c r="U89">
        <v>35</v>
      </c>
      <c r="V89" s="2">
        <v>0.13</v>
      </c>
      <c r="AE89" t="b">
        <v>1</v>
      </c>
      <c r="AZ89" s="2"/>
      <c r="BA89" s="7">
        <v>40</v>
      </c>
      <c r="BB89" t="s">
        <v>932</v>
      </c>
      <c r="BC89" t="s">
        <v>923</v>
      </c>
      <c r="BD89" t="s">
        <v>941</v>
      </c>
      <c r="BE89" t="str">
        <f>IF(OR(Table1[[#This Row],[ENGINE_CLASS]]="STEAM",Table1[[#This Row],[ENGINE_CLASS]]="ELECTRIC",Table1[[#This Row],[ENGINE_CLASS]]="DIESEL"),Table1[[#This Row],[ENGINE_CLASS]],"DISABLE")</f>
        <v>STEAM</v>
      </c>
      <c r="BF89">
        <v>-3</v>
      </c>
      <c r="BG89" t="s">
        <v>735</v>
      </c>
      <c r="BI89"/>
      <c r="BJ89">
        <v>52</v>
      </c>
      <c r="BK89">
        <v>0</v>
      </c>
      <c r="BL89" t="s">
        <v>693</v>
      </c>
      <c r="BM89" t="s">
        <v>695</v>
      </c>
      <c r="BN89" t="s">
        <v>702</v>
      </c>
      <c r="BO89" t="s">
        <v>706</v>
      </c>
      <c r="BP89" t="s">
        <v>707</v>
      </c>
      <c r="BQ89" t="s">
        <v>708</v>
      </c>
    </row>
    <row r="90" spans="1:69" x14ac:dyDescent="0.4">
      <c r="A90" s="2" t="s">
        <v>114</v>
      </c>
      <c r="B90" t="str">
        <f>_xlfn.TEXTAFTER(Table1[[#This Row],[VEHIDCODE]],"_")</f>
        <v>UK_LNER_A4_Gresley</v>
      </c>
      <c r="C90" t="s">
        <v>740</v>
      </c>
      <c r="D90" t="str">
        <f>"item_"&amp;Table1[[#This Row],[VEHIDCODE]]</f>
        <v>item_steam_UK_LNER_A4_Gresley</v>
      </c>
      <c r="E90" t="str">
        <f>"str_"&amp;Table1[[#This Row],[VEHIDCODE]]</f>
        <v>str_steam_UK_LNER_A4_Gresley</v>
      </c>
      <c r="F90">
        <v>12</v>
      </c>
      <c r="G90" t="s">
        <v>20</v>
      </c>
      <c r="H90">
        <v>0</v>
      </c>
      <c r="I90" t="s">
        <v>23</v>
      </c>
      <c r="J90">
        <v>0</v>
      </c>
      <c r="K90">
        <v>1935</v>
      </c>
      <c r="L90">
        <v>8</v>
      </c>
      <c r="M90" s="2" t="s">
        <v>20</v>
      </c>
      <c r="N90" t="b">
        <v>1</v>
      </c>
      <c r="P90" s="2"/>
      <c r="Q90">
        <v>45</v>
      </c>
      <c r="R90">
        <v>1</v>
      </c>
      <c r="S90">
        <v>2000</v>
      </c>
      <c r="T90" t="s">
        <v>711</v>
      </c>
      <c r="U90">
        <v>160</v>
      </c>
      <c r="V90" s="2">
        <v>0.09</v>
      </c>
      <c r="AE90" t="b">
        <v>1</v>
      </c>
      <c r="AZ90" s="2"/>
      <c r="BA90" s="7">
        <v>40</v>
      </c>
      <c r="BB90" t="s">
        <v>928</v>
      </c>
      <c r="BC90" t="s">
        <v>923</v>
      </c>
      <c r="BD90" t="s">
        <v>941</v>
      </c>
      <c r="BE90" t="str">
        <f>IF(OR(Table1[[#This Row],[ENGINE_CLASS]]="STEAM",Table1[[#This Row],[ENGINE_CLASS]]="ELECTRIC",Table1[[#This Row],[ENGINE_CLASS]]="DIESEL"),Table1[[#This Row],[ENGINE_CLASS]],"DISABLE")</f>
        <v>STEAM</v>
      </c>
      <c r="BF90">
        <v>0</v>
      </c>
      <c r="BG90" t="s">
        <v>735</v>
      </c>
      <c r="BI90"/>
      <c r="BJ90">
        <v>170</v>
      </c>
      <c r="BK90">
        <v>0</v>
      </c>
      <c r="BL90" t="s">
        <v>693</v>
      </c>
      <c r="BM90" t="s">
        <v>695</v>
      </c>
      <c r="BN90" t="s">
        <v>702</v>
      </c>
      <c r="BO90" t="s">
        <v>706</v>
      </c>
      <c r="BP90" t="s">
        <v>707</v>
      </c>
      <c r="BQ90" t="s">
        <v>708</v>
      </c>
    </row>
    <row r="91" spans="1:69" x14ac:dyDescent="0.4">
      <c r="A91" s="2" t="s">
        <v>115</v>
      </c>
      <c r="B91" t="str">
        <f>_xlfn.TEXTAFTER(Table1[[#This Row],[VEHIDCODE]],"_")</f>
        <v>Canada_CPR_Royal_Hudson</v>
      </c>
      <c r="C91" t="s">
        <v>740</v>
      </c>
      <c r="D91" t="str">
        <f>"item_"&amp;Table1[[#This Row],[VEHIDCODE]]</f>
        <v>item_steam_Canada_CPR_Royal_Hudson</v>
      </c>
      <c r="E91" t="str">
        <f>"str_"&amp;Table1[[#This Row],[VEHIDCODE]]</f>
        <v>str_steam_Canada_CPR_Royal_Hudson</v>
      </c>
      <c r="F91">
        <v>12</v>
      </c>
      <c r="G91" t="s">
        <v>20</v>
      </c>
      <c r="H91">
        <v>0</v>
      </c>
      <c r="I91" t="s">
        <v>23</v>
      </c>
      <c r="J91">
        <v>0</v>
      </c>
      <c r="K91">
        <v>1937</v>
      </c>
      <c r="L91">
        <v>8</v>
      </c>
      <c r="M91" s="2" t="s">
        <v>20</v>
      </c>
      <c r="N91" t="b">
        <v>1</v>
      </c>
      <c r="P91" s="2"/>
      <c r="Q91">
        <v>45</v>
      </c>
      <c r="R91">
        <v>1</v>
      </c>
      <c r="S91">
        <v>4500</v>
      </c>
      <c r="T91" t="s">
        <v>711</v>
      </c>
      <c r="U91">
        <v>144</v>
      </c>
      <c r="V91" s="2">
        <v>0.06</v>
      </c>
      <c r="AE91" t="b">
        <v>1</v>
      </c>
      <c r="AZ91" s="2"/>
      <c r="BA91" s="7">
        <v>40</v>
      </c>
      <c r="BB91" t="s">
        <v>929</v>
      </c>
      <c r="BC91" t="s">
        <v>923</v>
      </c>
      <c r="BD91" t="s">
        <v>941</v>
      </c>
      <c r="BE91" t="str">
        <f>IF(OR(Table1[[#This Row],[ENGINE_CLASS]]="STEAM",Table1[[#This Row],[ENGINE_CLASS]]="ELECTRIC",Table1[[#This Row],[ENGINE_CLASS]]="DIESEL"),Table1[[#This Row],[ENGINE_CLASS]],"DISABLE")</f>
        <v>STEAM</v>
      </c>
      <c r="BF91">
        <v>0</v>
      </c>
      <c r="BG91" t="s">
        <v>735</v>
      </c>
      <c r="BI91"/>
      <c r="BJ91">
        <v>294</v>
      </c>
      <c r="BK91">
        <v>0</v>
      </c>
      <c r="BL91" t="s">
        <v>693</v>
      </c>
      <c r="BM91" t="s">
        <v>695</v>
      </c>
      <c r="BN91" t="s">
        <v>702</v>
      </c>
      <c r="BO91" t="s">
        <v>706</v>
      </c>
      <c r="BP91" t="s">
        <v>707</v>
      </c>
      <c r="BQ91" t="s">
        <v>708</v>
      </c>
    </row>
    <row r="92" spans="1:69" x14ac:dyDescent="0.4">
      <c r="A92" s="2" t="s">
        <v>116</v>
      </c>
      <c r="B92" t="str">
        <f>_xlfn.TEXTAFTER(Table1[[#This Row],[VEHIDCODE]],"_")</f>
        <v>Denmark_DSB_E</v>
      </c>
      <c r="C92" t="s">
        <v>740</v>
      </c>
      <c r="D92" t="str">
        <f>"item_"&amp;Table1[[#This Row],[VEHIDCODE]]</f>
        <v>item_steam_Denmark_DSB_E</v>
      </c>
      <c r="E92" t="str">
        <f>"str_"&amp;Table1[[#This Row],[VEHIDCODE]]</f>
        <v>str_steam_Denmark_DSB_E</v>
      </c>
      <c r="F92">
        <v>8</v>
      </c>
      <c r="G92" t="s">
        <v>20</v>
      </c>
      <c r="H92">
        <v>0</v>
      </c>
      <c r="I92" t="s">
        <v>23</v>
      </c>
      <c r="J92">
        <v>0</v>
      </c>
      <c r="K92">
        <v>1937</v>
      </c>
      <c r="L92">
        <v>6</v>
      </c>
      <c r="M92" s="2" t="s">
        <v>20</v>
      </c>
      <c r="N92" t="b">
        <v>1</v>
      </c>
      <c r="P92" s="2"/>
      <c r="Q92">
        <v>45</v>
      </c>
      <c r="R92">
        <v>1</v>
      </c>
      <c r="S92">
        <v>1529</v>
      </c>
      <c r="T92" t="s">
        <v>711</v>
      </c>
      <c r="U92">
        <v>110</v>
      </c>
      <c r="V92" s="2">
        <v>0.06</v>
      </c>
      <c r="AE92" t="b">
        <v>1</v>
      </c>
      <c r="AZ92" s="2"/>
      <c r="BA92" s="7">
        <v>40</v>
      </c>
      <c r="BB92" t="s">
        <v>928</v>
      </c>
      <c r="BC92" t="s">
        <v>923</v>
      </c>
      <c r="BD92" t="s">
        <v>941</v>
      </c>
      <c r="BE92" t="str">
        <f>IF(OR(Table1[[#This Row],[ENGINE_CLASS]]="STEAM",Table1[[#This Row],[ENGINE_CLASS]]="ELECTRIC",Table1[[#This Row],[ENGINE_CLASS]]="DIESEL"),Table1[[#This Row],[ENGINE_CLASS]],"DISABLE")</f>
        <v>STEAM</v>
      </c>
      <c r="BF92">
        <v>-3</v>
      </c>
      <c r="BG92" t="s">
        <v>735</v>
      </c>
      <c r="BI92"/>
      <c r="BJ92">
        <v>137</v>
      </c>
      <c r="BK92">
        <v>0</v>
      </c>
      <c r="BL92" t="s">
        <v>693</v>
      </c>
      <c r="BM92" t="s">
        <v>695</v>
      </c>
      <c r="BN92" t="s">
        <v>702</v>
      </c>
      <c r="BO92" t="s">
        <v>706</v>
      </c>
      <c r="BP92" t="s">
        <v>707</v>
      </c>
      <c r="BQ92" t="s">
        <v>708</v>
      </c>
    </row>
    <row r="93" spans="1:69" x14ac:dyDescent="0.4">
      <c r="A93" s="2" t="s">
        <v>117</v>
      </c>
      <c r="B93" t="str">
        <f>_xlfn.TEXTAFTER(Table1[[#This Row],[VEHIDCODE]],"_")</f>
        <v>Germany_DB_52</v>
      </c>
      <c r="C93" t="s">
        <v>740</v>
      </c>
      <c r="D93" t="str">
        <f>"item_"&amp;Table1[[#This Row],[VEHIDCODE]]</f>
        <v>item_steam_Germany_DB_52</v>
      </c>
      <c r="E93" t="str">
        <f>"str_"&amp;Table1[[#This Row],[VEHIDCODE]]</f>
        <v>str_steam_Germany_DB_52</v>
      </c>
      <c r="F93">
        <v>12</v>
      </c>
      <c r="G93" t="s">
        <v>20</v>
      </c>
      <c r="H93">
        <v>0</v>
      </c>
      <c r="I93" t="s">
        <v>23</v>
      </c>
      <c r="J93">
        <v>0</v>
      </c>
      <c r="K93">
        <v>1937</v>
      </c>
      <c r="L93">
        <v>8</v>
      </c>
      <c r="M93" s="2" t="s">
        <v>20</v>
      </c>
      <c r="N93" t="b">
        <v>1</v>
      </c>
      <c r="P93" s="2"/>
      <c r="Q93">
        <v>45</v>
      </c>
      <c r="R93">
        <v>1</v>
      </c>
      <c r="S93">
        <v>1600</v>
      </c>
      <c r="T93" t="s">
        <v>711</v>
      </c>
      <c r="U93">
        <v>80</v>
      </c>
      <c r="V93" s="2">
        <v>0.16</v>
      </c>
      <c r="AE93" t="b">
        <v>1</v>
      </c>
      <c r="AZ93" s="2"/>
      <c r="BA93" s="7">
        <v>40</v>
      </c>
      <c r="BB93" t="s">
        <v>924</v>
      </c>
      <c r="BC93" t="s">
        <v>923</v>
      </c>
      <c r="BD93" t="s">
        <v>941</v>
      </c>
      <c r="BE93" t="str">
        <f>IF(OR(Table1[[#This Row],[ENGINE_CLASS]]="STEAM",Table1[[#This Row],[ENGINE_CLASS]]="ELECTRIC",Table1[[#This Row],[ENGINE_CLASS]]="DIESEL"),Table1[[#This Row],[ENGINE_CLASS]],"DISABLE")</f>
        <v>STEAM</v>
      </c>
      <c r="BF93">
        <v>0</v>
      </c>
      <c r="BG93" t="s">
        <v>735</v>
      </c>
      <c r="BI93"/>
      <c r="BJ93">
        <v>103</v>
      </c>
      <c r="BK93">
        <v>0</v>
      </c>
      <c r="BL93" t="s">
        <v>693</v>
      </c>
      <c r="BM93" t="s">
        <v>695</v>
      </c>
      <c r="BN93" t="s">
        <v>702</v>
      </c>
      <c r="BO93" t="s">
        <v>706</v>
      </c>
      <c r="BP93" t="s">
        <v>707</v>
      </c>
      <c r="BQ93" t="s">
        <v>708</v>
      </c>
    </row>
    <row r="94" spans="1:69" x14ac:dyDescent="0.4">
      <c r="A94" s="2" t="s">
        <v>118</v>
      </c>
      <c r="B94" t="str">
        <f>_xlfn.TEXTAFTER(Table1[[#This Row],[VEHIDCODE]],"_")</f>
        <v>UK_LNER_A1_Peppercorn</v>
      </c>
      <c r="C94" t="s">
        <v>740</v>
      </c>
      <c r="D94" t="str">
        <f>"item_"&amp;Table1[[#This Row],[VEHIDCODE]]</f>
        <v>item_steam_UK_LNER_A1_Peppercorn</v>
      </c>
      <c r="E94" t="str">
        <f>"str_"&amp;Table1[[#This Row],[VEHIDCODE]]</f>
        <v>str_steam_UK_LNER_A1_Peppercorn</v>
      </c>
      <c r="F94">
        <v>10</v>
      </c>
      <c r="G94" t="s">
        <v>20</v>
      </c>
      <c r="H94">
        <v>0</v>
      </c>
      <c r="I94" t="s">
        <v>23</v>
      </c>
      <c r="J94">
        <v>0</v>
      </c>
      <c r="K94">
        <v>1948</v>
      </c>
      <c r="L94">
        <v>8</v>
      </c>
      <c r="M94" s="2" t="s">
        <v>20</v>
      </c>
      <c r="N94" t="b">
        <v>1</v>
      </c>
      <c r="P94" s="2"/>
      <c r="Q94">
        <v>45</v>
      </c>
      <c r="R94">
        <v>1</v>
      </c>
      <c r="S94">
        <v>2680</v>
      </c>
      <c r="T94" t="s">
        <v>711</v>
      </c>
      <c r="U94">
        <v>160</v>
      </c>
      <c r="V94" s="2">
        <v>0.1</v>
      </c>
      <c r="AE94" t="b">
        <v>1</v>
      </c>
      <c r="AZ94" s="2"/>
      <c r="BA94" s="7">
        <v>40</v>
      </c>
      <c r="BB94" t="s">
        <v>928</v>
      </c>
      <c r="BC94" t="s">
        <v>923</v>
      </c>
      <c r="BD94" t="s">
        <v>941</v>
      </c>
      <c r="BE94" t="str">
        <f>IF(OR(Table1[[#This Row],[ENGINE_CLASS]]="STEAM",Table1[[#This Row],[ENGINE_CLASS]]="ELECTRIC",Table1[[#This Row],[ENGINE_CLASS]]="DIESEL"),Table1[[#This Row],[ENGINE_CLASS]],"DISABLE")</f>
        <v>STEAM</v>
      </c>
      <c r="BF94">
        <v>0</v>
      </c>
      <c r="BG94" t="s">
        <v>735</v>
      </c>
      <c r="BI94"/>
      <c r="BJ94">
        <v>168</v>
      </c>
      <c r="BK94">
        <v>0</v>
      </c>
      <c r="BL94" t="s">
        <v>693</v>
      </c>
      <c r="BM94" t="s">
        <v>695</v>
      </c>
      <c r="BN94" t="s">
        <v>702</v>
      </c>
      <c r="BO94" t="s">
        <v>706</v>
      </c>
      <c r="BP94" t="s">
        <v>707</v>
      </c>
      <c r="BQ94" t="s">
        <v>708</v>
      </c>
    </row>
    <row r="95" spans="1:69" x14ac:dyDescent="0.4">
      <c r="A95" s="2" t="s">
        <v>119</v>
      </c>
      <c r="B95" t="str">
        <f>_xlfn.TEXTAFTER(Table1[[#This Row],[VEHIDCODE]],"_")</f>
        <v>South_Africa_SAR_25</v>
      </c>
      <c r="C95" t="s">
        <v>740</v>
      </c>
      <c r="D95" t="str">
        <f>"item_"&amp;Table1[[#This Row],[VEHIDCODE]]</f>
        <v>item_steam_South_Africa_SAR_25</v>
      </c>
      <c r="E95" t="str">
        <f>"str_"&amp;Table1[[#This Row],[VEHIDCODE]]</f>
        <v>str_steam_South_Africa_SAR_25</v>
      </c>
      <c r="F95">
        <v>10</v>
      </c>
      <c r="G95" t="s">
        <v>20</v>
      </c>
      <c r="H95">
        <v>0</v>
      </c>
      <c r="I95" t="s">
        <v>23</v>
      </c>
      <c r="J95">
        <v>0</v>
      </c>
      <c r="K95">
        <v>1953</v>
      </c>
      <c r="L95">
        <v>8</v>
      </c>
      <c r="M95" s="2" t="s">
        <v>20</v>
      </c>
      <c r="N95" t="b">
        <v>1</v>
      </c>
      <c r="P95" s="2"/>
      <c r="Q95">
        <v>45</v>
      </c>
      <c r="R95">
        <v>1</v>
      </c>
      <c r="S95">
        <v>5100</v>
      </c>
      <c r="T95" t="s">
        <v>711</v>
      </c>
      <c r="U95">
        <v>110</v>
      </c>
      <c r="V95" s="2">
        <v>0.1</v>
      </c>
      <c r="AE95" t="b">
        <v>1</v>
      </c>
      <c r="AZ95" s="2"/>
      <c r="BA95" s="7">
        <v>40</v>
      </c>
      <c r="BB95" t="s">
        <v>927</v>
      </c>
      <c r="BC95" t="s">
        <v>923</v>
      </c>
      <c r="BD95" t="s">
        <v>941</v>
      </c>
      <c r="BE95" t="str">
        <f>IF(OR(Table1[[#This Row],[ENGINE_CLASS]]="STEAM",Table1[[#This Row],[ENGINE_CLASS]]="ELECTRIC",Table1[[#This Row],[ENGINE_CLASS]]="DIESEL"),Table1[[#This Row],[ENGINE_CLASS]],"DISABLE")</f>
        <v>STEAM</v>
      </c>
      <c r="BF95">
        <v>0</v>
      </c>
      <c r="BG95" t="s">
        <v>735</v>
      </c>
      <c r="BI95"/>
      <c r="BJ95">
        <v>236</v>
      </c>
      <c r="BK95">
        <v>0</v>
      </c>
      <c r="BL95" t="s">
        <v>693</v>
      </c>
      <c r="BM95" t="s">
        <v>695</v>
      </c>
      <c r="BN95" t="s">
        <v>702</v>
      </c>
      <c r="BO95" t="s">
        <v>706</v>
      </c>
      <c r="BP95" t="s">
        <v>707</v>
      </c>
      <c r="BQ95" t="s">
        <v>708</v>
      </c>
    </row>
    <row r="96" spans="1:69" x14ac:dyDescent="0.4">
      <c r="A96" s="2" t="s">
        <v>120</v>
      </c>
      <c r="B96" t="str">
        <f>_xlfn.TEXTAFTER(Table1[[#This Row],[VEHIDCODE]],"_")</f>
        <v>Russia_RZD_P36</v>
      </c>
      <c r="C96" t="s">
        <v>740</v>
      </c>
      <c r="D96" t="str">
        <f>"item_"&amp;Table1[[#This Row],[VEHIDCODE]]</f>
        <v>item_steam_Russia_RZD_P36</v>
      </c>
      <c r="E96" t="str">
        <f>"str_"&amp;Table1[[#This Row],[VEHIDCODE]]</f>
        <v>str_steam_Russia_RZD_P36</v>
      </c>
      <c r="F96">
        <v>12</v>
      </c>
      <c r="G96" t="s">
        <v>20</v>
      </c>
      <c r="H96">
        <v>0</v>
      </c>
      <c r="I96" t="s">
        <v>23</v>
      </c>
      <c r="J96">
        <v>0</v>
      </c>
      <c r="K96">
        <v>1953</v>
      </c>
      <c r="L96">
        <v>8</v>
      </c>
      <c r="M96" s="2" t="s">
        <v>20</v>
      </c>
      <c r="N96" t="b">
        <v>1</v>
      </c>
      <c r="P96" s="2"/>
      <c r="Q96">
        <v>45</v>
      </c>
      <c r="R96">
        <v>1</v>
      </c>
      <c r="S96">
        <v>3125</v>
      </c>
      <c r="T96" t="s">
        <v>711</v>
      </c>
      <c r="U96">
        <v>125</v>
      </c>
      <c r="V96" s="2">
        <v>0.06</v>
      </c>
      <c r="AE96" t="b">
        <v>1</v>
      </c>
      <c r="AZ96" s="2"/>
      <c r="BA96" s="7">
        <v>40</v>
      </c>
      <c r="BB96" t="s">
        <v>932</v>
      </c>
      <c r="BC96" t="s">
        <v>923</v>
      </c>
      <c r="BD96" t="s">
        <v>941</v>
      </c>
      <c r="BE96" t="str">
        <f>IF(OR(Table1[[#This Row],[ENGINE_CLASS]]="STEAM",Table1[[#This Row],[ENGINE_CLASS]]="ELECTRIC",Table1[[#This Row],[ENGINE_CLASS]]="DIESEL"),Table1[[#This Row],[ENGINE_CLASS]],"DISABLE")</f>
        <v>STEAM</v>
      </c>
      <c r="BF96">
        <v>0</v>
      </c>
      <c r="BG96" t="s">
        <v>735</v>
      </c>
      <c r="BI96"/>
      <c r="BJ96">
        <v>245</v>
      </c>
      <c r="BK96">
        <v>0</v>
      </c>
      <c r="BL96" t="s">
        <v>693</v>
      </c>
      <c r="BM96" t="s">
        <v>695</v>
      </c>
      <c r="BN96" t="s">
        <v>702</v>
      </c>
      <c r="BO96" t="s">
        <v>706</v>
      </c>
      <c r="BP96" t="s">
        <v>707</v>
      </c>
      <c r="BQ96" t="s">
        <v>708</v>
      </c>
    </row>
    <row r="97" spans="1:69" x14ac:dyDescent="0.4">
      <c r="A97" s="2" t="s">
        <v>121</v>
      </c>
      <c r="B97" t="str">
        <f>_xlfn.TEXTAFTER(Table1[[#This Row],[VEHIDCODE]],"_")</f>
        <v>France_SNCF_150B</v>
      </c>
      <c r="C97" t="s">
        <v>740</v>
      </c>
      <c r="D97" t="str">
        <f>"item_"&amp;Table1[[#This Row],[VEHIDCODE]]</f>
        <v>item_steam_France_SNCF_150B</v>
      </c>
      <c r="E97" t="str">
        <f>"str_"&amp;Table1[[#This Row],[VEHIDCODE]]</f>
        <v>str_steam_France_SNCF_150B</v>
      </c>
      <c r="F97">
        <v>10</v>
      </c>
      <c r="G97" t="s">
        <v>20</v>
      </c>
      <c r="H97">
        <v>0</v>
      </c>
      <c r="I97" t="s">
        <v>23</v>
      </c>
      <c r="J97">
        <v>0</v>
      </c>
      <c r="K97">
        <v>1934</v>
      </c>
      <c r="L97">
        <v>8</v>
      </c>
      <c r="M97" s="2" t="s">
        <v>20</v>
      </c>
      <c r="N97" t="b">
        <v>1</v>
      </c>
      <c r="P97" s="2"/>
      <c r="Q97">
        <v>45</v>
      </c>
      <c r="R97">
        <v>1</v>
      </c>
      <c r="S97">
        <v>2260</v>
      </c>
      <c r="T97" t="s">
        <v>711</v>
      </c>
      <c r="U97">
        <v>105</v>
      </c>
      <c r="V97" s="2">
        <v>0.22</v>
      </c>
      <c r="AE97" t="b">
        <v>1</v>
      </c>
      <c r="AZ97" s="2"/>
      <c r="BA97" s="7">
        <v>40</v>
      </c>
      <c r="BB97" t="s">
        <v>924</v>
      </c>
      <c r="BC97" t="s">
        <v>923</v>
      </c>
      <c r="BD97" t="s">
        <v>941</v>
      </c>
      <c r="BE97" t="str">
        <f>IF(OR(Table1[[#This Row],[ENGINE_CLASS]]="STEAM",Table1[[#This Row],[ENGINE_CLASS]]="ELECTRIC",Table1[[#This Row],[ENGINE_CLASS]]="DIESEL"),Table1[[#This Row],[ENGINE_CLASS]],"DISABLE")</f>
        <v>STEAM</v>
      </c>
      <c r="BF97">
        <v>0</v>
      </c>
      <c r="BG97" t="s">
        <v>735</v>
      </c>
      <c r="BI97"/>
      <c r="BJ97">
        <v>119</v>
      </c>
      <c r="BK97">
        <v>0</v>
      </c>
      <c r="BL97" t="s">
        <v>693</v>
      </c>
      <c r="BM97" t="s">
        <v>695</v>
      </c>
      <c r="BN97" t="s">
        <v>702</v>
      </c>
      <c r="BO97" t="s">
        <v>706</v>
      </c>
      <c r="BP97" t="s">
        <v>707</v>
      </c>
      <c r="BQ97" t="s">
        <v>708</v>
      </c>
    </row>
    <row r="98" spans="1:69" x14ac:dyDescent="0.4">
      <c r="A98" s="2" t="s">
        <v>122</v>
      </c>
      <c r="B98" t="str">
        <f>_xlfn.TEXTAFTER(Table1[[#This Row],[VEHIDCODE]],"_")</f>
        <v>Italy_FS_895</v>
      </c>
      <c r="C98" t="s">
        <v>740</v>
      </c>
      <c r="D98" t="str">
        <f>"item_"&amp;Table1[[#This Row],[VEHIDCODE]]</f>
        <v>item_steam_Italy_FS_895</v>
      </c>
      <c r="E98" t="str">
        <f>"str_"&amp;Table1[[#This Row],[VEHIDCODE]]</f>
        <v>str_steam_Italy_FS_895</v>
      </c>
      <c r="F98">
        <v>5</v>
      </c>
      <c r="G98" t="s">
        <v>20</v>
      </c>
      <c r="H98">
        <v>0</v>
      </c>
      <c r="I98" t="s">
        <v>23</v>
      </c>
      <c r="J98">
        <v>0</v>
      </c>
      <c r="K98">
        <v>1908</v>
      </c>
      <c r="L98">
        <v>5</v>
      </c>
      <c r="M98" s="2" t="s">
        <v>20</v>
      </c>
      <c r="N98" t="b">
        <v>1</v>
      </c>
      <c r="P98" s="2"/>
      <c r="Q98">
        <v>45</v>
      </c>
      <c r="R98">
        <v>1</v>
      </c>
      <c r="S98">
        <v>500</v>
      </c>
      <c r="T98" t="s">
        <v>711</v>
      </c>
      <c r="U98">
        <v>40</v>
      </c>
      <c r="V98" s="2">
        <v>0.21</v>
      </c>
      <c r="AE98" t="b">
        <v>1</v>
      </c>
      <c r="AZ98" s="2"/>
      <c r="BA98" s="7">
        <v>40</v>
      </c>
      <c r="BB98" t="s">
        <v>925</v>
      </c>
      <c r="BC98" t="s">
        <v>923</v>
      </c>
      <c r="BD98" t="s">
        <v>941</v>
      </c>
      <c r="BE98" t="str">
        <f>IF(OR(Table1[[#This Row],[ENGINE_CLASS]]="STEAM",Table1[[#This Row],[ENGINE_CLASS]]="ELECTRIC",Table1[[#This Row],[ENGINE_CLASS]]="DIESEL"),Table1[[#This Row],[ENGINE_CLASS]],"DISABLE")</f>
        <v>STEAM</v>
      </c>
      <c r="BF98">
        <v>-3</v>
      </c>
      <c r="BG98" t="s">
        <v>735</v>
      </c>
      <c r="BI98"/>
      <c r="BJ98">
        <v>59</v>
      </c>
      <c r="BK98">
        <v>0</v>
      </c>
      <c r="BL98" t="s">
        <v>693</v>
      </c>
      <c r="BM98" t="s">
        <v>695</v>
      </c>
      <c r="BN98" t="s">
        <v>702</v>
      </c>
      <c r="BO98" t="s">
        <v>706</v>
      </c>
      <c r="BP98" t="s">
        <v>707</v>
      </c>
      <c r="BQ98" t="s">
        <v>708</v>
      </c>
    </row>
    <row r="99" spans="1:69" x14ac:dyDescent="0.4">
      <c r="A99" s="2" t="s">
        <v>123</v>
      </c>
      <c r="B99" t="str">
        <f>_xlfn.TEXTAFTER(Table1[[#This Row],[VEHIDCODE]],"_")</f>
        <v>Poland_PKP_Okz32</v>
      </c>
      <c r="C99" t="s">
        <v>740</v>
      </c>
      <c r="D99" t="str">
        <f>"item_"&amp;Table1[[#This Row],[VEHIDCODE]]</f>
        <v>item_steam_Poland_PKP_Okz32</v>
      </c>
      <c r="E99" t="str">
        <f>"str_"&amp;Table1[[#This Row],[VEHIDCODE]]</f>
        <v>str_steam_Poland_PKP_Okz32</v>
      </c>
      <c r="F99">
        <v>7</v>
      </c>
      <c r="G99" t="s">
        <v>20</v>
      </c>
      <c r="H99">
        <v>0</v>
      </c>
      <c r="I99" t="s">
        <v>23</v>
      </c>
      <c r="J99">
        <v>0</v>
      </c>
      <c r="K99">
        <v>1934</v>
      </c>
      <c r="L99">
        <v>7</v>
      </c>
      <c r="M99" s="2" t="s">
        <v>20</v>
      </c>
      <c r="N99" t="b">
        <v>1</v>
      </c>
      <c r="P99" s="2"/>
      <c r="Q99">
        <v>45</v>
      </c>
      <c r="R99">
        <v>0</v>
      </c>
      <c r="S99">
        <v>1868</v>
      </c>
      <c r="T99" t="s">
        <v>711</v>
      </c>
      <c r="U99">
        <v>75</v>
      </c>
      <c r="V99" s="2">
        <v>0.11</v>
      </c>
      <c r="AE99" t="b">
        <v>1</v>
      </c>
      <c r="AZ99" s="2"/>
      <c r="BA99" s="7">
        <v>40</v>
      </c>
      <c r="BB99" t="s">
        <v>930</v>
      </c>
      <c r="BC99" t="s">
        <v>923</v>
      </c>
      <c r="BD99" t="s">
        <v>941</v>
      </c>
      <c r="BE99" t="str">
        <f>IF(OR(Table1[[#This Row],[ENGINE_CLASS]]="STEAM",Table1[[#This Row],[ENGINE_CLASS]]="ELECTRIC",Table1[[#This Row],[ENGINE_CLASS]]="DIESEL"),Table1[[#This Row],[ENGINE_CLASS]],"DISABLE")</f>
        <v>STEAM</v>
      </c>
      <c r="BF99">
        <v>-3</v>
      </c>
      <c r="BG99" t="s">
        <v>735</v>
      </c>
      <c r="BI99"/>
      <c r="BJ99">
        <v>111</v>
      </c>
      <c r="BK99">
        <v>0</v>
      </c>
      <c r="BL99" t="s">
        <v>693</v>
      </c>
      <c r="BM99" t="s">
        <v>695</v>
      </c>
      <c r="BN99" t="s">
        <v>702</v>
      </c>
      <c r="BO99" t="s">
        <v>706</v>
      </c>
      <c r="BP99" t="s">
        <v>707</v>
      </c>
      <c r="BQ99" t="s">
        <v>708</v>
      </c>
    </row>
    <row r="100" spans="1:69" x14ac:dyDescent="0.4">
      <c r="A100" s="2" t="s">
        <v>124</v>
      </c>
      <c r="B100" t="str">
        <f>_xlfn.TEXTAFTER(Table1[[#This Row],[VEHIDCODE]],"_")</f>
        <v>Switzerland_SBB_C_5_6</v>
      </c>
      <c r="C100" t="s">
        <v>740</v>
      </c>
      <c r="D100" t="str">
        <f>"item_"&amp;Table1[[#This Row],[VEHIDCODE]]</f>
        <v>item_steam_Switzerland_SBB_C_5_6</v>
      </c>
      <c r="E100" t="str">
        <f>"str_"&amp;Table1[[#This Row],[VEHIDCODE]]</f>
        <v>str_steam_Switzerland_SBB_C_5_6</v>
      </c>
      <c r="F100">
        <v>8</v>
      </c>
      <c r="G100" t="s">
        <v>20</v>
      </c>
      <c r="H100">
        <v>0</v>
      </c>
      <c r="I100" t="s">
        <v>23</v>
      </c>
      <c r="J100">
        <v>0</v>
      </c>
      <c r="K100">
        <v>1913</v>
      </c>
      <c r="L100">
        <v>8</v>
      </c>
      <c r="M100" s="2" t="s">
        <v>20</v>
      </c>
      <c r="N100" t="b">
        <v>1</v>
      </c>
      <c r="P100" s="2"/>
      <c r="Q100">
        <v>45</v>
      </c>
      <c r="R100">
        <v>1</v>
      </c>
      <c r="S100">
        <v>1620</v>
      </c>
      <c r="T100" t="s">
        <v>711</v>
      </c>
      <c r="U100">
        <v>65</v>
      </c>
      <c r="V100" s="2">
        <v>0.17</v>
      </c>
      <c r="AE100" t="b">
        <v>1</v>
      </c>
      <c r="AZ100" s="2"/>
      <c r="BA100" s="7">
        <v>40</v>
      </c>
      <c r="BB100" t="s">
        <v>924</v>
      </c>
      <c r="BC100" t="s">
        <v>923</v>
      </c>
      <c r="BD100" t="s">
        <v>941</v>
      </c>
      <c r="BE100" t="str">
        <f>IF(OR(Table1[[#This Row],[ENGINE_CLASS]]="STEAM",Table1[[#This Row],[ENGINE_CLASS]]="ELECTRIC",Table1[[#This Row],[ENGINE_CLASS]]="DIESEL"),Table1[[#This Row],[ENGINE_CLASS]],"DISABLE")</f>
        <v>STEAM</v>
      </c>
      <c r="BF100">
        <v>0</v>
      </c>
      <c r="BG100" t="s">
        <v>735</v>
      </c>
      <c r="BI100"/>
      <c r="BJ100">
        <v>128</v>
      </c>
      <c r="BK100">
        <v>0</v>
      </c>
      <c r="BL100" t="s">
        <v>693</v>
      </c>
      <c r="BM100" t="s">
        <v>695</v>
      </c>
      <c r="BN100" t="s">
        <v>702</v>
      </c>
      <c r="BO100" t="s">
        <v>706</v>
      </c>
      <c r="BP100" t="s">
        <v>707</v>
      </c>
      <c r="BQ100" t="s">
        <v>708</v>
      </c>
    </row>
    <row r="101" spans="1:69" x14ac:dyDescent="0.4">
      <c r="A101" s="2" t="s">
        <v>125</v>
      </c>
      <c r="B101" t="str">
        <f>_xlfn.TEXTAFTER(Table1[[#This Row],[VEHIDCODE]],"_")</f>
        <v>USA_UP_4000_Big_Boy</v>
      </c>
      <c r="C101" t="s">
        <v>740</v>
      </c>
      <c r="D101" t="str">
        <f>"item_"&amp;Table1[[#This Row],[VEHIDCODE]]</f>
        <v>item_steam_USA_UP_4000_Big_Boy</v>
      </c>
      <c r="E101" t="str">
        <f>"str_"&amp;Table1[[#This Row],[VEHIDCODE]]</f>
        <v>str_steam_USA_UP_4000_Big_Boy</v>
      </c>
      <c r="F101">
        <v>6</v>
      </c>
      <c r="G101" t="s">
        <v>20</v>
      </c>
      <c r="H101">
        <v>0</v>
      </c>
      <c r="I101" t="s">
        <v>23</v>
      </c>
      <c r="J101">
        <v>0</v>
      </c>
      <c r="K101">
        <v>1941</v>
      </c>
      <c r="L101">
        <v>8</v>
      </c>
      <c r="M101" s="2" t="s">
        <v>20</v>
      </c>
      <c r="N101" t="b">
        <v>1</v>
      </c>
      <c r="P101" s="2"/>
      <c r="Q101">
        <v>45</v>
      </c>
      <c r="R101">
        <v>1</v>
      </c>
      <c r="S101">
        <v>6290</v>
      </c>
      <c r="T101" t="s">
        <v>711</v>
      </c>
      <c r="U101">
        <v>128</v>
      </c>
      <c r="V101" s="2">
        <v>0.1</v>
      </c>
      <c r="AE101" t="b">
        <v>1</v>
      </c>
      <c r="AZ101" s="2"/>
      <c r="BA101" s="7">
        <v>40</v>
      </c>
      <c r="BB101" t="s">
        <v>929</v>
      </c>
      <c r="BC101" t="s">
        <v>923</v>
      </c>
      <c r="BD101" t="s">
        <v>941</v>
      </c>
      <c r="BE101" t="str">
        <f>IF(OR(Table1[[#This Row],[ENGINE_CLASS]]="STEAM",Table1[[#This Row],[ENGINE_CLASS]]="ELECTRIC",Table1[[#This Row],[ENGINE_CLASS]]="DIESEL"),Table1[[#This Row],[ENGINE_CLASS]],"DISABLE")</f>
        <v>STEAM</v>
      </c>
      <c r="BF101">
        <v>0</v>
      </c>
      <c r="BG101" t="s">
        <v>735</v>
      </c>
      <c r="BI101"/>
      <c r="BJ101">
        <v>603</v>
      </c>
      <c r="BK101">
        <v>0</v>
      </c>
      <c r="BL101" t="s">
        <v>693</v>
      </c>
      <c r="BM101" t="s">
        <v>695</v>
      </c>
      <c r="BN101" t="s">
        <v>702</v>
      </c>
      <c r="BO101" t="s">
        <v>706</v>
      </c>
      <c r="BP101" t="s">
        <v>707</v>
      </c>
      <c r="BQ101" t="s">
        <v>708</v>
      </c>
    </row>
    <row r="102" spans="1:69" x14ac:dyDescent="0.4">
      <c r="A102" s="2" t="s">
        <v>126</v>
      </c>
      <c r="B102" t="str">
        <f>_xlfn.TEXTAFTER(Table1[[#This Row],[VEHIDCODE]],"_")</f>
        <v>Netherlands_NRS_11</v>
      </c>
      <c r="C102" t="s">
        <v>740</v>
      </c>
      <c r="D102" t="str">
        <f>"item_"&amp;Table1[[#This Row],[VEHIDCODE]]</f>
        <v>item_steam_Netherlands_NRS_11</v>
      </c>
      <c r="E102" t="str">
        <f>"str_"&amp;Table1[[#This Row],[VEHIDCODE]]</f>
        <v>str_steam_Netherlands_NRS_11</v>
      </c>
      <c r="F102">
        <v>6</v>
      </c>
      <c r="G102" t="s">
        <v>18</v>
      </c>
      <c r="H102">
        <v>0</v>
      </c>
      <c r="I102" t="s">
        <v>23</v>
      </c>
      <c r="J102">
        <v>0</v>
      </c>
      <c r="K102">
        <v>1844</v>
      </c>
      <c r="L102">
        <v>4</v>
      </c>
      <c r="M102" s="2" t="s">
        <v>20</v>
      </c>
      <c r="N102" t="b">
        <v>1</v>
      </c>
      <c r="P102" s="2"/>
      <c r="Q102">
        <v>45</v>
      </c>
      <c r="R102">
        <v>1</v>
      </c>
      <c r="S102">
        <v>218</v>
      </c>
      <c r="T102" t="s">
        <v>711</v>
      </c>
      <c r="U102">
        <v>40</v>
      </c>
      <c r="V102" s="2">
        <v>0.03</v>
      </c>
      <c r="AE102" t="b">
        <v>1</v>
      </c>
      <c r="AZ102" s="2"/>
      <c r="BA102" s="7">
        <v>40</v>
      </c>
      <c r="BB102" t="s">
        <v>924</v>
      </c>
      <c r="BC102" t="s">
        <v>923</v>
      </c>
      <c r="BD102" t="s">
        <v>941</v>
      </c>
      <c r="BE102" t="str">
        <f>IF(OR(Table1[[#This Row],[ENGINE_CLASS]]="STEAM",Table1[[#This Row],[ENGINE_CLASS]]="ELECTRIC",Table1[[#This Row],[ENGINE_CLASS]]="DIESEL"),Table1[[#This Row],[ENGINE_CLASS]],"DISABLE")</f>
        <v>STEAM</v>
      </c>
      <c r="BF102">
        <v>0</v>
      </c>
      <c r="BG102" t="s">
        <v>735</v>
      </c>
      <c r="BI102"/>
      <c r="BJ102">
        <v>31</v>
      </c>
      <c r="BK102">
        <v>0</v>
      </c>
      <c r="BL102" t="s">
        <v>693</v>
      </c>
      <c r="BM102" t="s">
        <v>695</v>
      </c>
      <c r="BN102" t="s">
        <v>702</v>
      </c>
      <c r="BO102" t="s">
        <v>706</v>
      </c>
      <c r="BP102" t="s">
        <v>707</v>
      </c>
      <c r="BQ102" t="s">
        <v>708</v>
      </c>
    </row>
    <row r="103" spans="1:69" x14ac:dyDescent="0.4">
      <c r="A103" s="2" t="s">
        <v>127</v>
      </c>
      <c r="B103" t="str">
        <f>_xlfn.TEXTAFTER(Table1[[#This Row],[VEHIDCODE]],"_")</f>
        <v>UK_GWR_Iron_DUKe_Class</v>
      </c>
      <c r="C103" t="s">
        <v>740</v>
      </c>
      <c r="D103" t="str">
        <f>"item_"&amp;Table1[[#This Row],[VEHIDCODE]]</f>
        <v>item_steam_UK_GWR_Iron_DUKe_Class</v>
      </c>
      <c r="E103" t="str">
        <f>"str_"&amp;Table1[[#This Row],[VEHIDCODE]]</f>
        <v>str_steam_UK_GWR_Iron_DUKe_Class</v>
      </c>
      <c r="F103">
        <v>8</v>
      </c>
      <c r="G103" t="s">
        <v>18</v>
      </c>
      <c r="H103">
        <v>0</v>
      </c>
      <c r="I103" t="s">
        <v>23</v>
      </c>
      <c r="J103">
        <v>0</v>
      </c>
      <c r="K103">
        <v>1846</v>
      </c>
      <c r="L103">
        <v>8</v>
      </c>
      <c r="M103" s="2" t="s">
        <v>20</v>
      </c>
      <c r="N103" t="b">
        <v>1</v>
      </c>
      <c r="P103" s="2"/>
      <c r="Q103">
        <v>45</v>
      </c>
      <c r="R103">
        <v>1</v>
      </c>
      <c r="S103">
        <v>507</v>
      </c>
      <c r="T103" t="s">
        <v>711</v>
      </c>
      <c r="U103">
        <v>128</v>
      </c>
      <c r="V103" s="2">
        <v>0.1</v>
      </c>
      <c r="AE103" t="b">
        <v>1</v>
      </c>
      <c r="AZ103" s="2"/>
      <c r="BA103" s="7">
        <v>40</v>
      </c>
      <c r="BB103" t="s">
        <v>928</v>
      </c>
      <c r="BC103" t="s">
        <v>923</v>
      </c>
      <c r="BD103" t="s">
        <v>941</v>
      </c>
      <c r="BE103" t="str">
        <f>IF(OR(Table1[[#This Row],[ENGINE_CLASS]]="STEAM",Table1[[#This Row],[ENGINE_CLASS]]="ELECTRIC",Table1[[#This Row],[ENGINE_CLASS]]="DIESEL"),Table1[[#This Row],[ENGINE_CLASS]],"DISABLE")</f>
        <v>STEAM</v>
      </c>
      <c r="BF103">
        <v>0</v>
      </c>
      <c r="BG103" t="s">
        <v>735</v>
      </c>
      <c r="BI103"/>
      <c r="BJ103">
        <v>44</v>
      </c>
      <c r="BK103">
        <v>0</v>
      </c>
      <c r="BL103" t="s">
        <v>693</v>
      </c>
      <c r="BM103" t="s">
        <v>695</v>
      </c>
      <c r="BN103" t="s">
        <v>702</v>
      </c>
      <c r="BO103" t="s">
        <v>706</v>
      </c>
      <c r="BP103" t="s">
        <v>707</v>
      </c>
      <c r="BQ103" t="s">
        <v>708</v>
      </c>
    </row>
    <row r="104" spans="1:69" x14ac:dyDescent="0.4">
      <c r="A104" s="2" t="s">
        <v>128</v>
      </c>
      <c r="B104" t="str">
        <f>_xlfn.TEXTAFTER(Table1[[#This Row],[VEHIDCODE]],"_")</f>
        <v>Australia_Sidney_Railway_Locomotive_No1</v>
      </c>
      <c r="C104" t="s">
        <v>740</v>
      </c>
      <c r="D104" t="str">
        <f>"item_"&amp;Table1[[#This Row],[VEHIDCODE]]</f>
        <v>item_steam_Australia_Sidney_Railway_Locomotive_No1</v>
      </c>
      <c r="E104" t="str">
        <f>"str_"&amp;Table1[[#This Row],[VEHIDCODE]]</f>
        <v>str_steam_Australia_Sidney_Railway_Locomotive_No1</v>
      </c>
      <c r="F104">
        <v>8</v>
      </c>
      <c r="G104" t="s">
        <v>18</v>
      </c>
      <c r="H104">
        <v>0</v>
      </c>
      <c r="I104" t="s">
        <v>23</v>
      </c>
      <c r="J104">
        <v>0</v>
      </c>
      <c r="K104">
        <v>1855</v>
      </c>
      <c r="L104">
        <v>5</v>
      </c>
      <c r="M104" s="2" t="s">
        <v>20</v>
      </c>
      <c r="N104" t="b">
        <v>1</v>
      </c>
      <c r="P104" s="2"/>
      <c r="Q104">
        <v>45</v>
      </c>
      <c r="R104">
        <v>1</v>
      </c>
      <c r="S104">
        <v>119</v>
      </c>
      <c r="T104" t="s">
        <v>711</v>
      </c>
      <c r="U104">
        <v>25</v>
      </c>
      <c r="V104" s="2">
        <v>0.1</v>
      </c>
      <c r="AE104" t="b">
        <v>1</v>
      </c>
      <c r="AZ104" s="2"/>
      <c r="BA104" s="7">
        <v>40</v>
      </c>
      <c r="BB104" t="s">
        <v>926</v>
      </c>
      <c r="BC104" t="s">
        <v>923</v>
      </c>
      <c r="BD104" t="s">
        <v>941</v>
      </c>
      <c r="BE104" t="str">
        <f>IF(OR(Table1[[#This Row],[ENGINE_CLASS]]="STEAM",Table1[[#This Row],[ENGINE_CLASS]]="ELECTRIC",Table1[[#This Row],[ENGINE_CLASS]]="DIESEL"),Table1[[#This Row],[ENGINE_CLASS]],"DISABLE")</f>
        <v>STEAM</v>
      </c>
      <c r="BF104">
        <v>0</v>
      </c>
      <c r="BG104" t="s">
        <v>735</v>
      </c>
      <c r="BI104"/>
      <c r="BJ104">
        <v>38</v>
      </c>
      <c r="BK104">
        <v>0</v>
      </c>
      <c r="BL104" t="s">
        <v>693</v>
      </c>
      <c r="BM104" t="s">
        <v>695</v>
      </c>
      <c r="BN104" t="s">
        <v>702</v>
      </c>
      <c r="BO104" t="s">
        <v>706</v>
      </c>
      <c r="BP104" t="s">
        <v>707</v>
      </c>
      <c r="BQ104" t="s">
        <v>708</v>
      </c>
    </row>
    <row r="105" spans="1:69" x14ac:dyDescent="0.4">
      <c r="A105" s="2" t="s">
        <v>129</v>
      </c>
      <c r="B105" t="str">
        <f>_xlfn.TEXTAFTER(Table1[[#This Row],[VEHIDCODE]],"_")</f>
        <v>USA_Central_Pacific_4_2_2</v>
      </c>
      <c r="C105" t="s">
        <v>740</v>
      </c>
      <c r="D105" t="str">
        <f>"item_"&amp;Table1[[#This Row],[VEHIDCODE]]</f>
        <v>item_steam_USA_Central_Pacific_4_2_2</v>
      </c>
      <c r="E105" t="str">
        <f>"str_"&amp;Table1[[#This Row],[VEHIDCODE]]</f>
        <v>str_steam_USA_Central_Pacific_4_2_2</v>
      </c>
      <c r="F105">
        <v>6</v>
      </c>
      <c r="G105" t="s">
        <v>18</v>
      </c>
      <c r="H105">
        <v>0</v>
      </c>
      <c r="I105" t="s">
        <v>23</v>
      </c>
      <c r="J105">
        <v>0</v>
      </c>
      <c r="K105">
        <v>1863</v>
      </c>
      <c r="L105">
        <v>5</v>
      </c>
      <c r="M105" s="2" t="s">
        <v>20</v>
      </c>
      <c r="N105" t="b">
        <v>1</v>
      </c>
      <c r="P105" s="2"/>
      <c r="Q105">
        <v>45</v>
      </c>
      <c r="R105">
        <v>1</v>
      </c>
      <c r="S105">
        <v>126</v>
      </c>
      <c r="T105" t="s">
        <v>711</v>
      </c>
      <c r="U105">
        <v>80</v>
      </c>
      <c r="V105" s="2">
        <v>0.14000000000000001</v>
      </c>
      <c r="AE105" t="b">
        <v>1</v>
      </c>
      <c r="AZ105" s="2"/>
      <c r="BA105" s="7">
        <v>40</v>
      </c>
      <c r="BB105" t="s">
        <v>929</v>
      </c>
      <c r="BC105" t="s">
        <v>923</v>
      </c>
      <c r="BD105" t="s">
        <v>941</v>
      </c>
      <c r="BE105" t="str">
        <f>IF(OR(Table1[[#This Row],[ENGINE_CLASS]]="STEAM",Table1[[#This Row],[ENGINE_CLASS]]="ELECTRIC",Table1[[#This Row],[ENGINE_CLASS]]="DIESEL"),Table1[[#This Row],[ENGINE_CLASS]],"DISABLE")</f>
        <v>STEAM</v>
      </c>
      <c r="BF105">
        <v>0</v>
      </c>
      <c r="BG105" t="s">
        <v>735</v>
      </c>
      <c r="BI105"/>
      <c r="BJ105">
        <v>18</v>
      </c>
      <c r="BK105">
        <v>0</v>
      </c>
      <c r="BL105" t="s">
        <v>693</v>
      </c>
      <c r="BM105" t="s">
        <v>695</v>
      </c>
      <c r="BN105" t="s">
        <v>702</v>
      </c>
      <c r="BO105" t="s">
        <v>706</v>
      </c>
      <c r="BP105" t="s">
        <v>707</v>
      </c>
      <c r="BQ105" t="s">
        <v>708</v>
      </c>
    </row>
    <row r="106" spans="1:69" x14ac:dyDescent="0.4">
      <c r="A106" s="2" t="s">
        <v>130</v>
      </c>
      <c r="B106" t="str">
        <f>_xlfn.TEXTAFTER(Table1[[#This Row],[VEHIDCODE]],"_")</f>
        <v>Netherlands_NS_700</v>
      </c>
      <c r="C106" t="s">
        <v>740</v>
      </c>
      <c r="D106" t="str">
        <f>"item_"&amp;Table1[[#This Row],[VEHIDCODE]]</f>
        <v>item_steam_Netherlands_NS_700</v>
      </c>
      <c r="E106" t="str">
        <f>"str_"&amp;Table1[[#This Row],[VEHIDCODE]]</f>
        <v>str_steam_Netherlands_NS_700</v>
      </c>
      <c r="F106">
        <v>6</v>
      </c>
      <c r="G106" t="s">
        <v>18</v>
      </c>
      <c r="H106">
        <v>0</v>
      </c>
      <c r="I106" t="s">
        <v>23</v>
      </c>
      <c r="J106">
        <v>0</v>
      </c>
      <c r="K106">
        <v>1865</v>
      </c>
      <c r="L106">
        <v>5</v>
      </c>
      <c r="M106" s="2" t="s">
        <v>20</v>
      </c>
      <c r="N106" t="b">
        <v>1</v>
      </c>
      <c r="P106" s="2"/>
      <c r="Q106">
        <v>45</v>
      </c>
      <c r="R106">
        <v>1</v>
      </c>
      <c r="S106">
        <v>320</v>
      </c>
      <c r="T106" t="s">
        <v>711</v>
      </c>
      <c r="U106">
        <v>80</v>
      </c>
      <c r="V106" s="2">
        <v>7.0000000000000007E-2</v>
      </c>
      <c r="AE106" t="b">
        <v>1</v>
      </c>
      <c r="AZ106" s="2"/>
      <c r="BA106" s="7">
        <v>40</v>
      </c>
      <c r="BB106" t="s">
        <v>924</v>
      </c>
      <c r="BC106" t="s">
        <v>923</v>
      </c>
      <c r="BD106" t="s">
        <v>941</v>
      </c>
      <c r="BE106" t="str">
        <f>IF(OR(Table1[[#This Row],[ENGINE_CLASS]]="STEAM",Table1[[#This Row],[ENGINE_CLASS]]="ELECTRIC",Table1[[#This Row],[ENGINE_CLASS]]="DIESEL"),Table1[[#This Row],[ENGINE_CLASS]],"DISABLE")</f>
        <v>STEAM</v>
      </c>
      <c r="BF106">
        <v>0</v>
      </c>
      <c r="BG106" t="s">
        <v>735</v>
      </c>
      <c r="BI106"/>
      <c r="BJ106">
        <v>49</v>
      </c>
      <c r="BK106">
        <v>0</v>
      </c>
      <c r="BL106" t="s">
        <v>693</v>
      </c>
      <c r="BM106" t="s">
        <v>695</v>
      </c>
      <c r="BN106" t="s">
        <v>702</v>
      </c>
      <c r="BO106" t="s">
        <v>706</v>
      </c>
      <c r="BP106" t="s">
        <v>707</v>
      </c>
      <c r="BQ106" t="s">
        <v>708</v>
      </c>
    </row>
    <row r="107" spans="1:69" x14ac:dyDescent="0.4">
      <c r="A107" s="2" t="s">
        <v>131</v>
      </c>
      <c r="B107" t="str">
        <f>_xlfn.TEXTAFTER(Table1[[#This Row],[VEHIDCODE]],"_")</f>
        <v>South_Africa_Natal_Government_Railways_2_6_0T</v>
      </c>
      <c r="C107" t="s">
        <v>740</v>
      </c>
      <c r="D107" t="str">
        <f>"item_"&amp;Table1[[#This Row],[VEHIDCODE]]</f>
        <v>item_steam_South_Africa_Natal_Government_Railways_2_6_0T</v>
      </c>
      <c r="E107" t="str">
        <f>"str_"&amp;Table1[[#This Row],[VEHIDCODE]]</f>
        <v>str_steam_South_Africa_Natal_Government_Railways_2_6_0T</v>
      </c>
      <c r="F107">
        <v>5</v>
      </c>
      <c r="G107" t="s">
        <v>18</v>
      </c>
      <c r="H107">
        <v>0</v>
      </c>
      <c r="I107" t="s">
        <v>23</v>
      </c>
      <c r="J107">
        <v>0</v>
      </c>
      <c r="K107">
        <v>1876</v>
      </c>
      <c r="L107">
        <v>5</v>
      </c>
      <c r="M107" s="2" t="s">
        <v>20</v>
      </c>
      <c r="N107" t="b">
        <v>1</v>
      </c>
      <c r="P107" s="2"/>
      <c r="Q107">
        <v>45</v>
      </c>
      <c r="R107">
        <v>1</v>
      </c>
      <c r="S107">
        <v>96</v>
      </c>
      <c r="T107" t="s">
        <v>711</v>
      </c>
      <c r="U107">
        <v>15</v>
      </c>
      <c r="V107" s="2">
        <v>0.17</v>
      </c>
      <c r="AE107" t="b">
        <v>1</v>
      </c>
      <c r="AZ107" s="2"/>
      <c r="BA107" s="7">
        <v>40</v>
      </c>
      <c r="BB107" t="s">
        <v>927</v>
      </c>
      <c r="BC107" t="s">
        <v>923</v>
      </c>
      <c r="BD107" t="s">
        <v>941</v>
      </c>
      <c r="BE107" t="str">
        <f>IF(OR(Table1[[#This Row],[ENGINE_CLASS]]="STEAM",Table1[[#This Row],[ENGINE_CLASS]]="ELECTRIC",Table1[[#This Row],[ENGINE_CLASS]]="DIESEL"),Table1[[#This Row],[ENGINE_CLASS]],"DISABLE")</f>
        <v>STEAM</v>
      </c>
      <c r="BF107">
        <v>0</v>
      </c>
      <c r="BG107" t="s">
        <v>735</v>
      </c>
      <c r="BI107"/>
      <c r="BJ107">
        <v>26</v>
      </c>
      <c r="BK107">
        <v>0</v>
      </c>
      <c r="BL107" t="s">
        <v>693</v>
      </c>
      <c r="BM107" t="s">
        <v>695</v>
      </c>
      <c r="BN107" t="s">
        <v>702</v>
      </c>
      <c r="BO107" t="s">
        <v>706</v>
      </c>
      <c r="BP107" t="s">
        <v>707</v>
      </c>
      <c r="BQ107" t="s">
        <v>708</v>
      </c>
    </row>
    <row r="108" spans="1:69" x14ac:dyDescent="0.4">
      <c r="A108" s="2" t="s">
        <v>132</v>
      </c>
      <c r="B108" t="str">
        <f>_xlfn.TEXTAFTER(Table1[[#This Row],[VEHIDCODE]],"_")</f>
        <v>Australia_NSWGR_Z25_Class</v>
      </c>
      <c r="C108" t="s">
        <v>740</v>
      </c>
      <c r="D108" t="str">
        <f>"item_"&amp;Table1[[#This Row],[VEHIDCODE]]</f>
        <v>item_steam_Australia_NSWGR_Z25_Class</v>
      </c>
      <c r="E108" t="str">
        <f>"str_"&amp;Table1[[#This Row],[VEHIDCODE]]</f>
        <v>str_steam_Australia_NSWGR_Z25_Class</v>
      </c>
      <c r="F108">
        <v>8</v>
      </c>
      <c r="G108" t="s">
        <v>18</v>
      </c>
      <c r="H108">
        <v>0</v>
      </c>
      <c r="I108" t="s">
        <v>23</v>
      </c>
      <c r="J108">
        <v>0</v>
      </c>
      <c r="K108">
        <v>1881</v>
      </c>
      <c r="L108">
        <v>7</v>
      </c>
      <c r="M108" s="2" t="s">
        <v>20</v>
      </c>
      <c r="N108" t="b">
        <v>1</v>
      </c>
      <c r="P108" s="2"/>
      <c r="Q108">
        <v>45</v>
      </c>
      <c r="R108">
        <v>1</v>
      </c>
      <c r="S108">
        <v>650</v>
      </c>
      <c r="T108" t="s">
        <v>711</v>
      </c>
      <c r="U108">
        <v>80</v>
      </c>
      <c r="V108" s="2">
        <v>0.23</v>
      </c>
      <c r="AE108" t="b">
        <v>1</v>
      </c>
      <c r="AZ108" s="2"/>
      <c r="BA108" s="7">
        <v>40</v>
      </c>
      <c r="BB108" t="s">
        <v>926</v>
      </c>
      <c r="BC108" t="s">
        <v>923</v>
      </c>
      <c r="BD108" t="s">
        <v>941</v>
      </c>
      <c r="BE108" t="str">
        <f>IF(OR(Table1[[#This Row],[ENGINE_CLASS]]="STEAM",Table1[[#This Row],[ENGINE_CLASS]]="ELECTRIC",Table1[[#This Row],[ENGINE_CLASS]]="DIESEL"),Table1[[#This Row],[ENGINE_CLASS]],"DISABLE")</f>
        <v>STEAM</v>
      </c>
      <c r="BF108">
        <v>0</v>
      </c>
      <c r="BG108" t="s">
        <v>735</v>
      </c>
      <c r="BI108"/>
      <c r="BJ108">
        <v>43</v>
      </c>
      <c r="BK108">
        <v>0</v>
      </c>
      <c r="BL108" t="s">
        <v>693</v>
      </c>
      <c r="BM108" t="s">
        <v>695</v>
      </c>
      <c r="BN108" t="s">
        <v>702</v>
      </c>
      <c r="BO108" t="s">
        <v>706</v>
      </c>
      <c r="BP108" t="s">
        <v>707</v>
      </c>
      <c r="BQ108" t="s">
        <v>708</v>
      </c>
    </row>
    <row r="109" spans="1:69" x14ac:dyDescent="0.4">
      <c r="A109" s="2" t="s">
        <v>133</v>
      </c>
      <c r="B109" t="str">
        <f>_xlfn.TEXTAFTER(Table1[[#This Row],[VEHIDCODE]],"_")</f>
        <v>Canada_Canadian_Pacific_374</v>
      </c>
      <c r="C109" t="s">
        <v>740</v>
      </c>
      <c r="D109" t="str">
        <f>"item_"&amp;Table1[[#This Row],[VEHIDCODE]]</f>
        <v>item_steam_Canada_Canadian_Pacific_374</v>
      </c>
      <c r="E109" t="str">
        <f>"str_"&amp;Table1[[#This Row],[VEHIDCODE]]</f>
        <v>str_steam_Canada_Canadian_Pacific_374</v>
      </c>
      <c r="F109">
        <v>8</v>
      </c>
      <c r="G109" t="s">
        <v>18</v>
      </c>
      <c r="H109">
        <v>0</v>
      </c>
      <c r="I109" t="s">
        <v>23</v>
      </c>
      <c r="J109">
        <v>0</v>
      </c>
      <c r="K109">
        <v>1886</v>
      </c>
      <c r="L109">
        <v>6</v>
      </c>
      <c r="M109" s="2" t="s">
        <v>20</v>
      </c>
      <c r="N109" t="b">
        <v>1</v>
      </c>
      <c r="P109" s="2"/>
      <c r="Q109">
        <v>45</v>
      </c>
      <c r="R109">
        <v>1</v>
      </c>
      <c r="S109">
        <v>670</v>
      </c>
      <c r="T109" t="s">
        <v>711</v>
      </c>
      <c r="U109">
        <v>104</v>
      </c>
      <c r="V109" s="2">
        <v>0.13</v>
      </c>
      <c r="AE109" t="b">
        <v>1</v>
      </c>
      <c r="AZ109" s="2"/>
      <c r="BA109" s="7">
        <v>40</v>
      </c>
      <c r="BB109" t="s">
        <v>929</v>
      </c>
      <c r="BC109" t="s">
        <v>923</v>
      </c>
      <c r="BD109" t="s">
        <v>941</v>
      </c>
      <c r="BE109" t="str">
        <f>IF(OR(Table1[[#This Row],[ENGINE_CLASS]]="STEAM",Table1[[#This Row],[ENGINE_CLASS]]="ELECTRIC",Table1[[#This Row],[ENGINE_CLASS]]="DIESEL"),Table1[[#This Row],[ENGINE_CLASS]],"DISABLE")</f>
        <v>STEAM</v>
      </c>
      <c r="BF109">
        <v>0</v>
      </c>
      <c r="BG109" t="s">
        <v>735</v>
      </c>
      <c r="BI109"/>
      <c r="BJ109">
        <v>52</v>
      </c>
      <c r="BK109">
        <v>0</v>
      </c>
      <c r="BL109" t="s">
        <v>693</v>
      </c>
      <c r="BM109" t="s">
        <v>695</v>
      </c>
      <c r="BN109" t="s">
        <v>702</v>
      </c>
      <c r="BO109" t="s">
        <v>706</v>
      </c>
      <c r="BP109" t="s">
        <v>707</v>
      </c>
      <c r="BQ109" t="s">
        <v>708</v>
      </c>
    </row>
    <row r="110" spans="1:69" x14ac:dyDescent="0.4">
      <c r="A110" s="2" t="s">
        <v>134</v>
      </c>
      <c r="B110" t="str">
        <f>_xlfn.TEXTAFTER(Table1[[#This Row],[VEHIDCODE]],"_")</f>
        <v>South_Africa_PPR_35_tonner_4_6_0T</v>
      </c>
      <c r="C110" t="s">
        <v>740</v>
      </c>
      <c r="D110" t="str">
        <f>"item_"&amp;Table1[[#This Row],[VEHIDCODE]]</f>
        <v>item_steam_South_Africa_PPR_35_tonner_4_6_0T</v>
      </c>
      <c r="E110" t="str">
        <f>"str_"&amp;Table1[[#This Row],[VEHIDCODE]]</f>
        <v>str_steam_South_Africa_PPR_35_tonner_4_6_0T</v>
      </c>
      <c r="F110">
        <v>5</v>
      </c>
      <c r="G110" t="s">
        <v>18</v>
      </c>
      <c r="H110">
        <v>0</v>
      </c>
      <c r="I110" t="s">
        <v>23</v>
      </c>
      <c r="J110">
        <v>0</v>
      </c>
      <c r="K110">
        <v>1887</v>
      </c>
      <c r="L110">
        <v>5</v>
      </c>
      <c r="M110" s="2" t="s">
        <v>20</v>
      </c>
      <c r="N110" t="b">
        <v>1</v>
      </c>
      <c r="P110" s="2"/>
      <c r="Q110">
        <v>45</v>
      </c>
      <c r="R110">
        <v>1</v>
      </c>
      <c r="S110">
        <v>88</v>
      </c>
      <c r="T110" t="s">
        <v>711</v>
      </c>
      <c r="U110">
        <v>60</v>
      </c>
      <c r="V110" s="2">
        <v>0.12</v>
      </c>
      <c r="AE110" t="b">
        <v>1</v>
      </c>
      <c r="AZ110" s="2"/>
      <c r="BA110" s="7">
        <v>40</v>
      </c>
      <c r="BB110" t="s">
        <v>927</v>
      </c>
      <c r="BC110" t="s">
        <v>923</v>
      </c>
      <c r="BD110" t="s">
        <v>941</v>
      </c>
      <c r="BE110" t="str">
        <f>IF(OR(Table1[[#This Row],[ENGINE_CLASS]]="STEAM",Table1[[#This Row],[ENGINE_CLASS]]="ELECTRIC",Table1[[#This Row],[ENGINE_CLASS]]="DIESEL"),Table1[[#This Row],[ENGINE_CLASS]],"DISABLE")</f>
        <v>STEAM</v>
      </c>
      <c r="BF110">
        <v>0</v>
      </c>
      <c r="BG110" t="s">
        <v>735</v>
      </c>
      <c r="BI110"/>
      <c r="BJ110">
        <v>36</v>
      </c>
      <c r="BK110">
        <v>0</v>
      </c>
      <c r="BL110" t="s">
        <v>693</v>
      </c>
      <c r="BM110" t="s">
        <v>695</v>
      </c>
      <c r="BN110" t="s">
        <v>702</v>
      </c>
      <c r="BO110" t="s">
        <v>706</v>
      </c>
      <c r="BP110" t="s">
        <v>707</v>
      </c>
      <c r="BQ110" t="s">
        <v>708</v>
      </c>
    </row>
    <row r="111" spans="1:69" x14ac:dyDescent="0.4">
      <c r="A111" s="2" t="s">
        <v>135</v>
      </c>
      <c r="B111" t="str">
        <f>_xlfn.TEXTAFTER(Table1[[#This Row],[VEHIDCODE]],"_")</f>
        <v>Spain_RENFE_Class_040</v>
      </c>
      <c r="C111" t="s">
        <v>740</v>
      </c>
      <c r="D111" t="str">
        <f>"item_"&amp;Table1[[#This Row],[VEHIDCODE]]</f>
        <v>item_steam_Spain_RENFE_Class_040</v>
      </c>
      <c r="E111" t="str">
        <f>"str_"&amp;Table1[[#This Row],[VEHIDCODE]]</f>
        <v>str_steam_Spain_RENFE_Class_040</v>
      </c>
      <c r="F111">
        <v>6</v>
      </c>
      <c r="G111" t="s">
        <v>18</v>
      </c>
      <c r="H111">
        <v>0</v>
      </c>
      <c r="I111" t="s">
        <v>23</v>
      </c>
      <c r="J111">
        <v>0</v>
      </c>
      <c r="K111">
        <v>1891</v>
      </c>
      <c r="L111">
        <v>6</v>
      </c>
      <c r="M111" s="2" t="s">
        <v>20</v>
      </c>
      <c r="N111" t="b">
        <v>1</v>
      </c>
      <c r="P111" s="2"/>
      <c r="Q111">
        <v>45</v>
      </c>
      <c r="R111">
        <v>1</v>
      </c>
      <c r="S111">
        <v>665</v>
      </c>
      <c r="T111" t="s">
        <v>711</v>
      </c>
      <c r="U111">
        <v>80</v>
      </c>
      <c r="V111" s="2">
        <v>0.1</v>
      </c>
      <c r="AE111" t="b">
        <v>1</v>
      </c>
      <c r="AZ111" s="2"/>
      <c r="BA111" s="7">
        <v>40</v>
      </c>
      <c r="BB111" t="s">
        <v>925</v>
      </c>
      <c r="BC111" t="s">
        <v>923</v>
      </c>
      <c r="BD111" t="s">
        <v>941</v>
      </c>
      <c r="BE111" t="str">
        <f>IF(OR(Table1[[#This Row],[ENGINE_CLASS]]="STEAM",Table1[[#This Row],[ENGINE_CLASS]]="ELECTRIC",Table1[[#This Row],[ENGINE_CLASS]]="DIESEL"),Table1[[#This Row],[ENGINE_CLASS]],"DISABLE")</f>
        <v>STEAM</v>
      </c>
      <c r="BF111">
        <v>0</v>
      </c>
      <c r="BG111" t="s">
        <v>735</v>
      </c>
      <c r="BI111"/>
      <c r="BJ111">
        <v>73</v>
      </c>
      <c r="BK111">
        <v>0</v>
      </c>
      <c r="BL111" t="s">
        <v>693</v>
      </c>
      <c r="BM111" t="s">
        <v>695</v>
      </c>
      <c r="BN111" t="s">
        <v>702</v>
      </c>
      <c r="BO111" t="s">
        <v>706</v>
      </c>
      <c r="BP111" t="s">
        <v>707</v>
      </c>
      <c r="BQ111" t="s">
        <v>708</v>
      </c>
    </row>
    <row r="112" spans="1:69" x14ac:dyDescent="0.4">
      <c r="A112" s="2" t="s">
        <v>136</v>
      </c>
      <c r="B112" t="str">
        <f>_xlfn.TEXTAFTER(Table1[[#This Row],[VEHIDCODE]],"_")</f>
        <v>Germany_Saxon_IV_K</v>
      </c>
      <c r="C112" t="s">
        <v>740</v>
      </c>
      <c r="D112" t="str">
        <f>"item_"&amp;Table1[[#This Row],[VEHIDCODE]]</f>
        <v>item_steam_Germany_Saxon_IV_K</v>
      </c>
      <c r="E112" t="str">
        <f>"str_"&amp;Table1[[#This Row],[VEHIDCODE]]</f>
        <v>str_steam_Germany_Saxon_IV_K</v>
      </c>
      <c r="F112">
        <v>6</v>
      </c>
      <c r="G112" t="s">
        <v>18</v>
      </c>
      <c r="H112">
        <v>0</v>
      </c>
      <c r="I112" t="s">
        <v>23</v>
      </c>
      <c r="J112">
        <v>0</v>
      </c>
      <c r="K112">
        <v>1892</v>
      </c>
      <c r="L112">
        <v>6</v>
      </c>
      <c r="M112" s="2" t="s">
        <v>20</v>
      </c>
      <c r="N112" t="b">
        <v>1</v>
      </c>
      <c r="P112" s="2"/>
      <c r="Q112">
        <v>45</v>
      </c>
      <c r="R112">
        <v>1</v>
      </c>
      <c r="S112">
        <v>206</v>
      </c>
      <c r="T112" t="s">
        <v>711</v>
      </c>
      <c r="U112">
        <v>30</v>
      </c>
      <c r="V112" s="2">
        <v>0.14000000000000001</v>
      </c>
      <c r="AE112" t="b">
        <v>1</v>
      </c>
      <c r="AZ112" s="2"/>
      <c r="BA112" s="7">
        <v>40</v>
      </c>
      <c r="BB112" t="s">
        <v>924</v>
      </c>
      <c r="BC112" t="s">
        <v>923</v>
      </c>
      <c r="BD112" t="s">
        <v>941</v>
      </c>
      <c r="BE112" t="str">
        <f>IF(OR(Table1[[#This Row],[ENGINE_CLASS]]="STEAM",Table1[[#This Row],[ENGINE_CLASS]]="ELECTRIC",Table1[[#This Row],[ENGINE_CLASS]]="DIESEL"),Table1[[#This Row],[ENGINE_CLASS]],"DISABLE")</f>
        <v>STEAM</v>
      </c>
      <c r="BF112">
        <v>0</v>
      </c>
      <c r="BG112" t="s">
        <v>735</v>
      </c>
      <c r="BI112"/>
      <c r="BJ112">
        <v>27</v>
      </c>
      <c r="BK112">
        <v>0</v>
      </c>
      <c r="BL112" t="s">
        <v>693</v>
      </c>
      <c r="BM112" t="s">
        <v>695</v>
      </c>
      <c r="BN112" t="s">
        <v>702</v>
      </c>
      <c r="BO112" t="s">
        <v>706</v>
      </c>
      <c r="BP112" t="s">
        <v>707</v>
      </c>
      <c r="BQ112" t="s">
        <v>708</v>
      </c>
    </row>
    <row r="113" spans="1:69" x14ac:dyDescent="0.4">
      <c r="A113" s="2" t="s">
        <v>137</v>
      </c>
      <c r="B113" t="str">
        <f>_xlfn.TEXTAFTER(Table1[[#This Row],[VEHIDCODE]],"_")</f>
        <v>Germany_Prussian_S_3</v>
      </c>
      <c r="C113" t="s">
        <v>740</v>
      </c>
      <c r="D113" t="str">
        <f>"item_"&amp;Table1[[#This Row],[VEHIDCODE]]</f>
        <v>item_steam_Germany_Prussian_S_3</v>
      </c>
      <c r="E113" t="str">
        <f>"str_"&amp;Table1[[#This Row],[VEHIDCODE]]</f>
        <v>str_steam_Germany_Prussian_S_3</v>
      </c>
      <c r="F113">
        <v>8</v>
      </c>
      <c r="G113" t="s">
        <v>18</v>
      </c>
      <c r="H113">
        <v>0</v>
      </c>
      <c r="I113" t="s">
        <v>23</v>
      </c>
      <c r="J113">
        <v>0</v>
      </c>
      <c r="K113">
        <v>1893</v>
      </c>
      <c r="L113">
        <v>7</v>
      </c>
      <c r="M113" s="2" t="s">
        <v>20</v>
      </c>
      <c r="N113" t="b">
        <v>1</v>
      </c>
      <c r="P113" s="2"/>
      <c r="Q113">
        <v>45</v>
      </c>
      <c r="R113">
        <v>1</v>
      </c>
      <c r="S113">
        <v>580</v>
      </c>
      <c r="T113" t="s">
        <v>711</v>
      </c>
      <c r="U113">
        <v>100</v>
      </c>
      <c r="V113" s="2">
        <v>0.13</v>
      </c>
      <c r="AE113" t="b">
        <v>1</v>
      </c>
      <c r="AZ113" s="2"/>
      <c r="BA113" s="7">
        <v>40</v>
      </c>
      <c r="BB113" t="s">
        <v>924</v>
      </c>
      <c r="BC113" t="s">
        <v>923</v>
      </c>
      <c r="BD113" t="s">
        <v>941</v>
      </c>
      <c r="BE113" t="str">
        <f>IF(OR(Table1[[#This Row],[ENGINE_CLASS]]="STEAM",Table1[[#This Row],[ENGINE_CLASS]]="ELECTRIC",Table1[[#This Row],[ENGINE_CLASS]]="DIESEL"),Table1[[#This Row],[ENGINE_CLASS]],"DISABLE")</f>
        <v>STEAM</v>
      </c>
      <c r="BF113">
        <v>0</v>
      </c>
      <c r="BG113" t="s">
        <v>735</v>
      </c>
      <c r="BI113"/>
      <c r="BJ113">
        <v>50</v>
      </c>
      <c r="BK113">
        <v>0</v>
      </c>
      <c r="BL113" t="s">
        <v>693</v>
      </c>
      <c r="BM113" t="s">
        <v>695</v>
      </c>
      <c r="BN113" t="s">
        <v>702</v>
      </c>
      <c r="BO113" t="s">
        <v>706</v>
      </c>
      <c r="BP113" t="s">
        <v>707</v>
      </c>
      <c r="BQ113" t="s">
        <v>708</v>
      </c>
    </row>
    <row r="114" spans="1:69" x14ac:dyDescent="0.4">
      <c r="A114" s="2" t="s">
        <v>138</v>
      </c>
      <c r="B114" t="str">
        <f>_xlfn.TEXTAFTER(Table1[[#This Row],[VEHIDCODE]],"_")</f>
        <v>Norway_NSB_Class_XXI</v>
      </c>
      <c r="C114" t="s">
        <v>740</v>
      </c>
      <c r="D114" t="str">
        <f>"item_"&amp;Table1[[#This Row],[VEHIDCODE]]</f>
        <v>item_steam_Norway_NSB_Class_XXI</v>
      </c>
      <c r="E114" t="str">
        <f>"str_"&amp;Table1[[#This Row],[VEHIDCODE]]</f>
        <v>str_steam_Norway_NSB_Class_XXI</v>
      </c>
      <c r="F114">
        <v>7</v>
      </c>
      <c r="G114" t="s">
        <v>18</v>
      </c>
      <c r="H114">
        <v>0</v>
      </c>
      <c r="I114" t="s">
        <v>23</v>
      </c>
      <c r="J114">
        <v>0</v>
      </c>
      <c r="K114">
        <v>1894</v>
      </c>
      <c r="L114">
        <v>7</v>
      </c>
      <c r="M114" s="2" t="s">
        <v>20</v>
      </c>
      <c r="N114" t="b">
        <v>1</v>
      </c>
      <c r="P114" s="2"/>
      <c r="Q114">
        <v>45</v>
      </c>
      <c r="R114">
        <v>0</v>
      </c>
      <c r="S114">
        <v>98</v>
      </c>
      <c r="T114" t="s">
        <v>711</v>
      </c>
      <c r="U114">
        <v>40</v>
      </c>
      <c r="V114" s="2">
        <v>0.17</v>
      </c>
      <c r="AE114" t="b">
        <v>1</v>
      </c>
      <c r="AZ114" s="2"/>
      <c r="BA114" s="7">
        <v>40</v>
      </c>
      <c r="BB114" t="s">
        <v>928</v>
      </c>
      <c r="BC114" t="s">
        <v>923</v>
      </c>
      <c r="BD114" t="s">
        <v>941</v>
      </c>
      <c r="BE114" t="str">
        <f>IF(OR(Table1[[#This Row],[ENGINE_CLASS]]="STEAM",Table1[[#This Row],[ENGINE_CLASS]]="ELECTRIC",Table1[[#This Row],[ENGINE_CLASS]]="DIESEL"),Table1[[#This Row],[ENGINE_CLASS]],"DISABLE")</f>
        <v>STEAM</v>
      </c>
      <c r="BF114">
        <v>0</v>
      </c>
      <c r="BG114" t="s">
        <v>735</v>
      </c>
      <c r="BI114"/>
      <c r="BJ114">
        <v>19</v>
      </c>
      <c r="BK114">
        <v>0</v>
      </c>
      <c r="BL114" t="s">
        <v>693</v>
      </c>
      <c r="BM114" t="s">
        <v>695</v>
      </c>
      <c r="BN114" t="s">
        <v>702</v>
      </c>
      <c r="BO114" t="s">
        <v>706</v>
      </c>
      <c r="BP114" t="s">
        <v>707</v>
      </c>
      <c r="BQ114" t="s">
        <v>708</v>
      </c>
    </row>
    <row r="115" spans="1:69" x14ac:dyDescent="0.4">
      <c r="A115" s="2" t="s">
        <v>139</v>
      </c>
      <c r="B115" t="str">
        <f>_xlfn.TEXTAFTER(Table1[[#This Row],[VEHIDCODE]],"_")</f>
        <v>USA_PRR_D16</v>
      </c>
      <c r="C115" t="s">
        <v>740</v>
      </c>
      <c r="D115" t="str">
        <f>"item_"&amp;Table1[[#This Row],[VEHIDCODE]]</f>
        <v>item_steam_USA_PRR_D16</v>
      </c>
      <c r="E115" t="str">
        <f>"str_"&amp;Table1[[#This Row],[VEHIDCODE]]</f>
        <v>str_steam_USA_PRR_D16</v>
      </c>
      <c r="F115">
        <v>8</v>
      </c>
      <c r="G115" t="s">
        <v>18</v>
      </c>
      <c r="H115">
        <v>0</v>
      </c>
      <c r="I115" t="s">
        <v>23</v>
      </c>
      <c r="J115">
        <v>0</v>
      </c>
      <c r="K115">
        <v>1895</v>
      </c>
      <c r="L115">
        <v>7</v>
      </c>
      <c r="M115" s="2" t="s">
        <v>20</v>
      </c>
      <c r="N115" t="b">
        <v>1</v>
      </c>
      <c r="P115" s="2"/>
      <c r="Q115">
        <v>45</v>
      </c>
      <c r="R115">
        <v>1</v>
      </c>
      <c r="S115">
        <v>1090</v>
      </c>
      <c r="T115" t="s">
        <v>711</v>
      </c>
      <c r="U115">
        <v>128</v>
      </c>
      <c r="V115" s="2">
        <v>0.17</v>
      </c>
      <c r="AE115" t="b">
        <v>1</v>
      </c>
      <c r="AZ115" s="2"/>
      <c r="BA115" s="7">
        <v>40</v>
      </c>
      <c r="BB115" t="s">
        <v>929</v>
      </c>
      <c r="BC115" t="s">
        <v>923</v>
      </c>
      <c r="BD115" t="s">
        <v>941</v>
      </c>
      <c r="BE115" t="str">
        <f>IF(OR(Table1[[#This Row],[ENGINE_CLASS]]="STEAM",Table1[[#This Row],[ENGINE_CLASS]]="ELECTRIC",Table1[[#This Row],[ENGINE_CLASS]]="DIESEL"),Table1[[#This Row],[ENGINE_CLASS]],"DISABLE")</f>
        <v>STEAM</v>
      </c>
      <c r="BF115">
        <v>0</v>
      </c>
      <c r="BG115" t="s">
        <v>735</v>
      </c>
      <c r="BI115"/>
      <c r="BJ115">
        <v>64</v>
      </c>
      <c r="BK115">
        <v>0</v>
      </c>
      <c r="BL115" t="s">
        <v>693</v>
      </c>
      <c r="BM115" t="s">
        <v>695</v>
      </c>
      <c r="BN115" t="s">
        <v>702</v>
      </c>
      <c r="BO115" t="s">
        <v>706</v>
      </c>
      <c r="BP115" t="s">
        <v>707</v>
      </c>
      <c r="BQ115" t="s">
        <v>708</v>
      </c>
    </row>
    <row r="116" spans="1:69" x14ac:dyDescent="0.4">
      <c r="A116" s="2" t="s">
        <v>140</v>
      </c>
      <c r="B116" t="str">
        <f>_xlfn.TEXTAFTER(Table1[[#This Row],[VEHIDCODE]],"_")</f>
        <v>Netherlands_NS_8100</v>
      </c>
      <c r="C116" t="s">
        <v>740</v>
      </c>
      <c r="D116" t="str">
        <f>"item_"&amp;Table1[[#This Row],[VEHIDCODE]]</f>
        <v>item_steam_Netherlands_NS_8100</v>
      </c>
      <c r="E116" t="str">
        <f>"str_"&amp;Table1[[#This Row],[VEHIDCODE]]</f>
        <v>str_steam_Netherlands_NS_8100</v>
      </c>
      <c r="F116">
        <v>4</v>
      </c>
      <c r="G116" t="s">
        <v>18</v>
      </c>
      <c r="H116">
        <v>0</v>
      </c>
      <c r="I116" t="s">
        <v>23</v>
      </c>
      <c r="J116">
        <v>0</v>
      </c>
      <c r="K116">
        <v>1901</v>
      </c>
      <c r="L116">
        <v>4</v>
      </c>
      <c r="M116" s="2" t="s">
        <v>20</v>
      </c>
      <c r="N116" t="b">
        <v>1</v>
      </c>
      <c r="P116" s="2"/>
      <c r="Q116">
        <v>45</v>
      </c>
      <c r="R116">
        <v>1</v>
      </c>
      <c r="S116">
        <v>290</v>
      </c>
      <c r="T116" t="s">
        <v>711</v>
      </c>
      <c r="U116">
        <v>45</v>
      </c>
      <c r="V116" s="2">
        <v>0.14000000000000001</v>
      </c>
      <c r="AE116" t="b">
        <v>1</v>
      </c>
      <c r="AZ116" s="2"/>
      <c r="BA116" s="7">
        <v>40</v>
      </c>
      <c r="BB116" t="s">
        <v>924</v>
      </c>
      <c r="BC116" t="s">
        <v>923</v>
      </c>
      <c r="BD116" t="s">
        <v>941</v>
      </c>
      <c r="BE116" t="str">
        <f>IF(OR(Table1[[#This Row],[ENGINE_CLASS]]="STEAM",Table1[[#This Row],[ENGINE_CLASS]]="ELECTRIC",Table1[[#This Row],[ENGINE_CLASS]]="DIESEL"),Table1[[#This Row],[ENGINE_CLASS]],"DISABLE")</f>
        <v>STEAM</v>
      </c>
      <c r="BF116">
        <v>0</v>
      </c>
      <c r="BG116" t="s">
        <v>735</v>
      </c>
      <c r="BI116"/>
      <c r="BJ116">
        <v>33</v>
      </c>
      <c r="BK116">
        <v>0</v>
      </c>
      <c r="BL116" t="s">
        <v>693</v>
      </c>
      <c r="BM116" t="s">
        <v>695</v>
      </c>
      <c r="BN116" t="s">
        <v>702</v>
      </c>
      <c r="BO116" t="s">
        <v>706</v>
      </c>
      <c r="BP116" t="s">
        <v>707</v>
      </c>
      <c r="BQ116" t="s">
        <v>708</v>
      </c>
    </row>
    <row r="117" spans="1:69" x14ac:dyDescent="0.4">
      <c r="A117" s="2" t="s">
        <v>141</v>
      </c>
      <c r="B117" t="str">
        <f>_xlfn.TEXTAFTER(Table1[[#This Row],[VEHIDCODE]],"_")</f>
        <v>South_Africa_SAR_MD_Class</v>
      </c>
      <c r="C117" t="s">
        <v>740</v>
      </c>
      <c r="D117" t="str">
        <f>"item_"&amp;Table1[[#This Row],[VEHIDCODE]]</f>
        <v>item_steam_South_Africa_SAR_MD_Class</v>
      </c>
      <c r="E117" t="str">
        <f>"str_"&amp;Table1[[#This Row],[VEHIDCODE]]</f>
        <v>str_steam_South_Africa_SAR_MD_Class</v>
      </c>
      <c r="F117">
        <v>10</v>
      </c>
      <c r="G117" t="s">
        <v>18</v>
      </c>
      <c r="H117">
        <v>0</v>
      </c>
      <c r="I117" t="s">
        <v>23</v>
      </c>
      <c r="J117">
        <v>0</v>
      </c>
      <c r="K117">
        <v>1910</v>
      </c>
      <c r="L117">
        <v>8</v>
      </c>
      <c r="M117" s="2" t="s">
        <v>20</v>
      </c>
      <c r="N117" t="b">
        <v>1</v>
      </c>
      <c r="P117" s="2"/>
      <c r="Q117">
        <v>45</v>
      </c>
      <c r="R117">
        <v>1</v>
      </c>
      <c r="S117">
        <v>1360</v>
      </c>
      <c r="T117" t="s">
        <v>711</v>
      </c>
      <c r="U117">
        <v>65</v>
      </c>
      <c r="V117" s="2">
        <v>0.2</v>
      </c>
      <c r="AE117" t="b">
        <v>1</v>
      </c>
      <c r="AZ117" s="2"/>
      <c r="BA117" s="7">
        <v>40</v>
      </c>
      <c r="BB117" t="s">
        <v>927</v>
      </c>
      <c r="BC117" t="s">
        <v>923</v>
      </c>
      <c r="BD117" t="s">
        <v>941</v>
      </c>
      <c r="BE117" t="str">
        <f>IF(OR(Table1[[#This Row],[ENGINE_CLASS]]="STEAM",Table1[[#This Row],[ENGINE_CLASS]]="ELECTRIC",Table1[[#This Row],[ENGINE_CLASS]]="DIESEL"),Table1[[#This Row],[ENGINE_CLASS]],"DISABLE")</f>
        <v>STEAM</v>
      </c>
      <c r="BF117">
        <v>0</v>
      </c>
      <c r="BG117" t="s">
        <v>735</v>
      </c>
      <c r="BI117"/>
      <c r="BJ117">
        <v>102</v>
      </c>
      <c r="BK117">
        <v>0</v>
      </c>
      <c r="BL117" t="s">
        <v>693</v>
      </c>
      <c r="BM117" t="s">
        <v>695</v>
      </c>
      <c r="BN117" t="s">
        <v>702</v>
      </c>
      <c r="BO117" t="s">
        <v>706</v>
      </c>
      <c r="BP117" t="s">
        <v>707</v>
      </c>
      <c r="BQ117" t="s">
        <v>708</v>
      </c>
    </row>
    <row r="118" spans="1:69" x14ac:dyDescent="0.4">
      <c r="A118" s="2" t="s">
        <v>142</v>
      </c>
      <c r="B118" t="str">
        <f>_xlfn.TEXTAFTER(Table1[[#This Row],[VEHIDCODE]],"_")</f>
        <v>Angola_South_West_African_2_8_0</v>
      </c>
      <c r="C118" t="s">
        <v>740</v>
      </c>
      <c r="D118" t="str">
        <f>"item_"&amp;Table1[[#This Row],[VEHIDCODE]]</f>
        <v>item_steam_Angola_South_West_African_2_8_0</v>
      </c>
      <c r="E118" t="str">
        <f>"str_"&amp;Table1[[#This Row],[VEHIDCODE]]</f>
        <v>str_steam_Angola_South_West_African_2_8_0</v>
      </c>
      <c r="F118">
        <v>8</v>
      </c>
      <c r="G118" t="s">
        <v>18</v>
      </c>
      <c r="H118">
        <v>0</v>
      </c>
      <c r="I118" t="s">
        <v>23</v>
      </c>
      <c r="J118">
        <v>0</v>
      </c>
      <c r="K118">
        <v>1911</v>
      </c>
      <c r="L118">
        <v>6</v>
      </c>
      <c r="M118" s="2" t="s">
        <v>20</v>
      </c>
      <c r="N118" t="b">
        <v>1</v>
      </c>
      <c r="P118" s="2"/>
      <c r="Q118">
        <v>45</v>
      </c>
      <c r="R118">
        <v>1</v>
      </c>
      <c r="S118">
        <v>640</v>
      </c>
      <c r="T118" t="s">
        <v>711</v>
      </c>
      <c r="U118">
        <v>60</v>
      </c>
      <c r="V118" s="2">
        <v>0.09</v>
      </c>
      <c r="AE118" t="b">
        <v>1</v>
      </c>
      <c r="AZ118" s="2"/>
      <c r="BA118" s="7">
        <v>40</v>
      </c>
      <c r="BB118" t="s">
        <v>927</v>
      </c>
      <c r="BC118" t="s">
        <v>923</v>
      </c>
      <c r="BD118" t="s">
        <v>941</v>
      </c>
      <c r="BE118" t="str">
        <f>IF(OR(Table1[[#This Row],[ENGINE_CLASS]]="STEAM",Table1[[#This Row],[ENGINE_CLASS]]="ELECTRIC",Table1[[#This Row],[ENGINE_CLASS]]="DIESEL"),Table1[[#This Row],[ENGINE_CLASS]],"DISABLE")</f>
        <v>STEAM</v>
      </c>
      <c r="BF118">
        <v>0</v>
      </c>
      <c r="BG118" t="s">
        <v>735</v>
      </c>
      <c r="BI118"/>
      <c r="BJ118">
        <v>67</v>
      </c>
      <c r="BK118">
        <v>0</v>
      </c>
      <c r="BL118" t="s">
        <v>693</v>
      </c>
      <c r="BM118" t="s">
        <v>695</v>
      </c>
      <c r="BN118" t="s">
        <v>702</v>
      </c>
      <c r="BO118" t="s">
        <v>706</v>
      </c>
      <c r="BP118" t="s">
        <v>707</v>
      </c>
      <c r="BQ118" t="s">
        <v>708</v>
      </c>
    </row>
    <row r="119" spans="1:69" x14ac:dyDescent="0.4">
      <c r="A119" s="2" t="s">
        <v>143</v>
      </c>
      <c r="B119" t="str">
        <f>_xlfn.TEXTAFTER(Table1[[#This Row],[VEHIDCODE]],"_")</f>
        <v>UK_LNER_N7</v>
      </c>
      <c r="C119" t="s">
        <v>740</v>
      </c>
      <c r="D119" t="str">
        <f>"item_"&amp;Table1[[#This Row],[VEHIDCODE]]</f>
        <v>item_steam_UK_LNER_N7</v>
      </c>
      <c r="E119" t="str">
        <f>"str_"&amp;Table1[[#This Row],[VEHIDCODE]]</f>
        <v>str_steam_UK_LNER_N7</v>
      </c>
      <c r="F119">
        <v>6</v>
      </c>
      <c r="G119" t="s">
        <v>18</v>
      </c>
      <c r="H119">
        <v>0</v>
      </c>
      <c r="I119" t="s">
        <v>23</v>
      </c>
      <c r="J119">
        <v>0</v>
      </c>
      <c r="K119">
        <v>1915</v>
      </c>
      <c r="L119">
        <v>6</v>
      </c>
      <c r="M119" s="2" t="s">
        <v>20</v>
      </c>
      <c r="N119" t="b">
        <v>1</v>
      </c>
      <c r="P119" s="2"/>
      <c r="Q119">
        <v>45</v>
      </c>
      <c r="R119">
        <v>1</v>
      </c>
      <c r="S119">
        <v>680</v>
      </c>
      <c r="T119" t="s">
        <v>711</v>
      </c>
      <c r="U119">
        <v>90</v>
      </c>
      <c r="V119" s="2">
        <v>0.14000000000000001</v>
      </c>
      <c r="AE119" t="b">
        <v>1</v>
      </c>
      <c r="AZ119" s="2"/>
      <c r="BA119" s="7">
        <v>40</v>
      </c>
      <c r="BB119" t="s">
        <v>928</v>
      </c>
      <c r="BC119" t="s">
        <v>923</v>
      </c>
      <c r="BD119" t="s">
        <v>941</v>
      </c>
      <c r="BE119" t="str">
        <f>IF(OR(Table1[[#This Row],[ENGINE_CLASS]]="STEAM",Table1[[#This Row],[ENGINE_CLASS]]="ELECTRIC",Table1[[#This Row],[ENGINE_CLASS]]="DIESEL"),Table1[[#This Row],[ENGINE_CLASS]],"DISABLE")</f>
        <v>STEAM</v>
      </c>
      <c r="BF119">
        <v>0</v>
      </c>
      <c r="BG119" t="s">
        <v>735</v>
      </c>
      <c r="BI119"/>
      <c r="BJ119">
        <v>63</v>
      </c>
      <c r="BK119">
        <v>0</v>
      </c>
      <c r="BL119" t="s">
        <v>693</v>
      </c>
      <c r="BM119" t="s">
        <v>695</v>
      </c>
      <c r="BN119" t="s">
        <v>702</v>
      </c>
      <c r="BO119" t="s">
        <v>706</v>
      </c>
      <c r="BP119" t="s">
        <v>707</v>
      </c>
      <c r="BQ119" t="s">
        <v>708</v>
      </c>
    </row>
    <row r="120" spans="1:69" x14ac:dyDescent="0.4">
      <c r="A120" s="2" t="s">
        <v>144</v>
      </c>
      <c r="B120" t="str">
        <f>_xlfn.TEXTAFTER(Table1[[#This Row],[VEHIDCODE]],"_")</f>
        <v>Germany_Saxon_XX_HV</v>
      </c>
      <c r="C120" t="s">
        <v>740</v>
      </c>
      <c r="D120" t="str">
        <f>"item_"&amp;Table1[[#This Row],[VEHIDCODE]]</f>
        <v>item_steam_Germany_Saxon_XX_HV</v>
      </c>
      <c r="E120" t="str">
        <f>"str_"&amp;Table1[[#This Row],[VEHIDCODE]]</f>
        <v>str_steam_Germany_Saxon_XX_HV</v>
      </c>
      <c r="F120">
        <v>12</v>
      </c>
      <c r="G120" t="s">
        <v>18</v>
      </c>
      <c r="H120">
        <v>0</v>
      </c>
      <c r="I120" t="s">
        <v>23</v>
      </c>
      <c r="J120">
        <v>0</v>
      </c>
      <c r="K120">
        <v>1918</v>
      </c>
      <c r="L120">
        <v>8</v>
      </c>
      <c r="M120" s="2" t="s">
        <v>20</v>
      </c>
      <c r="N120" t="b">
        <v>1</v>
      </c>
      <c r="P120" s="2"/>
      <c r="Q120">
        <v>45</v>
      </c>
      <c r="R120">
        <v>1</v>
      </c>
      <c r="S120">
        <v>1800</v>
      </c>
      <c r="T120" t="s">
        <v>711</v>
      </c>
      <c r="U120">
        <v>120</v>
      </c>
      <c r="V120" s="2">
        <v>0.23</v>
      </c>
      <c r="AE120" t="b">
        <v>1</v>
      </c>
      <c r="AZ120" s="2"/>
      <c r="BA120" s="7">
        <v>40</v>
      </c>
      <c r="BB120" t="s">
        <v>924</v>
      </c>
      <c r="BC120" t="s">
        <v>923</v>
      </c>
      <c r="BD120" t="s">
        <v>941</v>
      </c>
      <c r="BE120" t="str">
        <f>IF(OR(Table1[[#This Row],[ENGINE_CLASS]]="STEAM",Table1[[#This Row],[ENGINE_CLASS]]="ELECTRIC",Table1[[#This Row],[ENGINE_CLASS]]="DIESEL"),Table1[[#This Row],[ENGINE_CLASS]],"DISABLE")</f>
        <v>STEAM</v>
      </c>
      <c r="BF120">
        <v>0</v>
      </c>
      <c r="BG120" t="s">
        <v>735</v>
      </c>
      <c r="BI120"/>
      <c r="BJ120">
        <v>91</v>
      </c>
      <c r="BK120">
        <v>0</v>
      </c>
      <c r="BL120" t="s">
        <v>693</v>
      </c>
      <c r="BM120" t="s">
        <v>695</v>
      </c>
      <c r="BN120" t="s">
        <v>702</v>
      </c>
      <c r="BO120" t="s">
        <v>706</v>
      </c>
      <c r="BP120" t="s">
        <v>707</v>
      </c>
      <c r="BQ120" t="s">
        <v>708</v>
      </c>
    </row>
    <row r="121" spans="1:69" x14ac:dyDescent="0.4">
      <c r="A121" s="2" t="s">
        <v>145</v>
      </c>
      <c r="B121" t="str">
        <f>_xlfn.TEXTAFTER(Table1[[#This Row],[VEHIDCODE]],"_")</f>
        <v>Belgium_NMBS_Type_7</v>
      </c>
      <c r="C121" t="s">
        <v>740</v>
      </c>
      <c r="D121" t="str">
        <f>"item_"&amp;Table1[[#This Row],[VEHIDCODE]]</f>
        <v>item_steam_Belgium_NMBS_Type_7</v>
      </c>
      <c r="E121" t="str">
        <f>"str_"&amp;Table1[[#This Row],[VEHIDCODE]]</f>
        <v>str_steam_Belgium_NMBS_Type_7</v>
      </c>
      <c r="F121">
        <v>8</v>
      </c>
      <c r="G121" t="s">
        <v>18</v>
      </c>
      <c r="H121">
        <v>0</v>
      </c>
      <c r="I121" t="s">
        <v>23</v>
      </c>
      <c r="J121">
        <v>0</v>
      </c>
      <c r="K121">
        <v>1921</v>
      </c>
      <c r="L121">
        <v>8</v>
      </c>
      <c r="M121" s="2" t="s">
        <v>20</v>
      </c>
      <c r="N121" t="b">
        <v>1</v>
      </c>
      <c r="P121" s="2"/>
      <c r="Q121">
        <v>45</v>
      </c>
      <c r="R121">
        <v>1</v>
      </c>
      <c r="S121">
        <v>2000</v>
      </c>
      <c r="T121" t="s">
        <v>711</v>
      </c>
      <c r="U121">
        <v>110</v>
      </c>
      <c r="V121" s="2">
        <v>0.12</v>
      </c>
      <c r="AE121" t="b">
        <v>1</v>
      </c>
      <c r="AZ121" s="2"/>
      <c r="BA121" s="7">
        <v>40</v>
      </c>
      <c r="BB121" t="s">
        <v>924</v>
      </c>
      <c r="BC121" t="s">
        <v>923</v>
      </c>
      <c r="BD121" t="s">
        <v>941</v>
      </c>
      <c r="BE121" t="str">
        <f>IF(OR(Table1[[#This Row],[ENGINE_CLASS]]="STEAM",Table1[[#This Row],[ENGINE_CLASS]]="ELECTRIC",Table1[[#This Row],[ENGINE_CLASS]]="DIESEL"),Table1[[#This Row],[ENGINE_CLASS]],"DISABLE")</f>
        <v>STEAM</v>
      </c>
      <c r="BF121">
        <v>0</v>
      </c>
      <c r="BG121" t="s">
        <v>735</v>
      </c>
      <c r="BI121"/>
      <c r="BJ121">
        <v>133</v>
      </c>
      <c r="BK121">
        <v>0</v>
      </c>
      <c r="BL121" t="s">
        <v>693</v>
      </c>
      <c r="BM121" t="s">
        <v>695</v>
      </c>
      <c r="BN121" t="s">
        <v>702</v>
      </c>
      <c r="BO121" t="s">
        <v>706</v>
      </c>
      <c r="BP121" t="s">
        <v>707</v>
      </c>
      <c r="BQ121" t="s">
        <v>708</v>
      </c>
    </row>
    <row r="122" spans="1:69" x14ac:dyDescent="0.4">
      <c r="A122" s="2" t="s">
        <v>146</v>
      </c>
      <c r="B122" t="str">
        <f>_xlfn.TEXTAFTER(Table1[[#This Row],[VEHIDCODE]],"_")</f>
        <v>Ireland_DSER_15</v>
      </c>
      <c r="C122" t="s">
        <v>740</v>
      </c>
      <c r="D122" t="str">
        <f>"item_"&amp;Table1[[#This Row],[VEHIDCODE]]</f>
        <v>item_steam_Ireland_DSER_15</v>
      </c>
      <c r="E122" t="str">
        <f>"str_"&amp;Table1[[#This Row],[VEHIDCODE]]</f>
        <v>str_steam_Ireland_DSER_15</v>
      </c>
      <c r="F122">
        <v>8</v>
      </c>
      <c r="G122" t="s">
        <v>18</v>
      </c>
      <c r="H122">
        <v>0</v>
      </c>
      <c r="I122" t="s">
        <v>23</v>
      </c>
      <c r="J122">
        <v>0</v>
      </c>
      <c r="K122">
        <v>1922</v>
      </c>
      <c r="L122">
        <v>7</v>
      </c>
      <c r="M122" s="2" t="s">
        <v>20</v>
      </c>
      <c r="N122" t="b">
        <v>1</v>
      </c>
      <c r="P122" s="2"/>
      <c r="Q122">
        <v>45</v>
      </c>
      <c r="R122">
        <v>0</v>
      </c>
      <c r="S122">
        <v>1160</v>
      </c>
      <c r="T122" t="s">
        <v>711</v>
      </c>
      <c r="U122">
        <v>120</v>
      </c>
      <c r="V122" s="2">
        <v>0.12</v>
      </c>
      <c r="AE122" t="b">
        <v>1</v>
      </c>
      <c r="AZ122" s="2"/>
      <c r="BA122" s="7">
        <v>40</v>
      </c>
      <c r="BB122" t="s">
        <v>928</v>
      </c>
      <c r="BC122" t="s">
        <v>923</v>
      </c>
      <c r="BD122" t="s">
        <v>941</v>
      </c>
      <c r="BE122" t="str">
        <f>IF(OR(Table1[[#This Row],[ENGINE_CLASS]]="STEAM",Table1[[#This Row],[ENGINE_CLASS]]="ELECTRIC",Table1[[#This Row],[ENGINE_CLASS]]="DIESEL"),Table1[[#This Row],[ENGINE_CLASS]],"DISABLE")</f>
        <v>STEAM</v>
      </c>
      <c r="BF122">
        <v>0</v>
      </c>
      <c r="BG122" t="s">
        <v>735</v>
      </c>
      <c r="BI122"/>
      <c r="BJ122">
        <v>84</v>
      </c>
      <c r="BK122">
        <v>0</v>
      </c>
      <c r="BL122" t="s">
        <v>693</v>
      </c>
      <c r="BM122" t="s">
        <v>695</v>
      </c>
      <c r="BN122" t="s">
        <v>702</v>
      </c>
      <c r="BO122" t="s">
        <v>706</v>
      </c>
      <c r="BP122" t="s">
        <v>707</v>
      </c>
      <c r="BQ122" t="s">
        <v>708</v>
      </c>
    </row>
    <row r="123" spans="1:69" x14ac:dyDescent="0.4">
      <c r="A123" s="2" t="s">
        <v>147</v>
      </c>
      <c r="B123" t="str">
        <f>_xlfn.TEXTAFTER(Table1[[#This Row],[VEHIDCODE]],"_")</f>
        <v>USA_Sierra_Railroad_28</v>
      </c>
      <c r="C123" t="s">
        <v>740</v>
      </c>
      <c r="D123" t="str">
        <f>"item_"&amp;Table1[[#This Row],[VEHIDCODE]]</f>
        <v>item_steam_USA_Sierra_Railroad_28</v>
      </c>
      <c r="E123" t="str">
        <f>"str_"&amp;Table1[[#This Row],[VEHIDCODE]]</f>
        <v>str_steam_USA_Sierra_Railroad_28</v>
      </c>
      <c r="F123">
        <v>8</v>
      </c>
      <c r="G123" t="s">
        <v>18</v>
      </c>
      <c r="H123">
        <v>0</v>
      </c>
      <c r="I123" t="s">
        <v>23</v>
      </c>
      <c r="J123">
        <v>0</v>
      </c>
      <c r="K123">
        <v>1922</v>
      </c>
      <c r="L123">
        <v>6</v>
      </c>
      <c r="M123" s="2" t="s">
        <v>20</v>
      </c>
      <c r="N123" t="b">
        <v>1</v>
      </c>
      <c r="P123" s="2"/>
      <c r="Q123">
        <v>45</v>
      </c>
      <c r="R123">
        <v>1</v>
      </c>
      <c r="S123">
        <v>1622</v>
      </c>
      <c r="T123" t="s">
        <v>711</v>
      </c>
      <c r="U123">
        <v>104</v>
      </c>
      <c r="V123" s="2">
        <v>0.21</v>
      </c>
      <c r="AE123" t="b">
        <v>1</v>
      </c>
      <c r="AZ123" s="2"/>
      <c r="BA123" s="7">
        <v>40</v>
      </c>
      <c r="BB123" t="s">
        <v>929</v>
      </c>
      <c r="BC123" t="s">
        <v>923</v>
      </c>
      <c r="BD123" t="s">
        <v>941</v>
      </c>
      <c r="BE123" t="str">
        <f>IF(OR(Table1[[#This Row],[ENGINE_CLASS]]="STEAM",Table1[[#This Row],[ENGINE_CLASS]]="ELECTRIC",Table1[[#This Row],[ENGINE_CLASS]]="DIESEL"),Table1[[#This Row],[ENGINE_CLASS]],"DISABLE")</f>
        <v>STEAM</v>
      </c>
      <c r="BF123">
        <v>0</v>
      </c>
      <c r="BG123" t="s">
        <v>735</v>
      </c>
      <c r="BI123"/>
      <c r="BJ123">
        <v>64</v>
      </c>
      <c r="BK123">
        <v>0</v>
      </c>
      <c r="BL123" t="s">
        <v>693</v>
      </c>
      <c r="BM123" t="s">
        <v>695</v>
      </c>
      <c r="BN123" t="s">
        <v>702</v>
      </c>
      <c r="BO123" t="s">
        <v>706</v>
      </c>
      <c r="BP123" t="s">
        <v>707</v>
      </c>
      <c r="BQ123" t="s">
        <v>708</v>
      </c>
    </row>
    <row r="124" spans="1:69" x14ac:dyDescent="0.4">
      <c r="A124" s="2" t="s">
        <v>148</v>
      </c>
      <c r="B124" t="str">
        <f>_xlfn.TEXTAFTER(Table1[[#This Row],[VEHIDCODE]],"_")</f>
        <v>Canada_CN_U_1_Class</v>
      </c>
      <c r="C124" t="s">
        <v>740</v>
      </c>
      <c r="D124" t="str">
        <f>"item_"&amp;Table1[[#This Row],[VEHIDCODE]]</f>
        <v>item_steam_Canada_CN_U_1_Class</v>
      </c>
      <c r="E124" t="str">
        <f>"str_"&amp;Table1[[#This Row],[VEHIDCODE]]</f>
        <v>str_steam_Canada_CN_U_1_Class</v>
      </c>
      <c r="F124">
        <v>12</v>
      </c>
      <c r="G124" t="s">
        <v>18</v>
      </c>
      <c r="H124">
        <v>0</v>
      </c>
      <c r="I124" t="s">
        <v>23</v>
      </c>
      <c r="J124">
        <v>0</v>
      </c>
      <c r="K124">
        <v>1923</v>
      </c>
      <c r="L124">
        <v>8</v>
      </c>
      <c r="M124" s="2" t="s">
        <v>20</v>
      </c>
      <c r="N124" t="b">
        <v>1</v>
      </c>
      <c r="P124" s="2"/>
      <c r="Q124">
        <v>45</v>
      </c>
      <c r="R124">
        <v>1</v>
      </c>
      <c r="S124">
        <v>2250</v>
      </c>
      <c r="T124" t="s">
        <v>711</v>
      </c>
      <c r="U124">
        <v>130</v>
      </c>
      <c r="V124" s="2">
        <v>0.08</v>
      </c>
      <c r="AE124" t="b">
        <v>1</v>
      </c>
      <c r="AZ124" s="2"/>
      <c r="BA124" s="7">
        <v>40</v>
      </c>
      <c r="BB124" t="s">
        <v>929</v>
      </c>
      <c r="BC124" t="s">
        <v>923</v>
      </c>
      <c r="BD124" t="s">
        <v>941</v>
      </c>
      <c r="BE124" t="str">
        <f>IF(OR(Table1[[#This Row],[ENGINE_CLASS]]="STEAM",Table1[[#This Row],[ENGINE_CLASS]]="ELECTRIC",Table1[[#This Row],[ENGINE_CLASS]]="DIESEL"),Table1[[#This Row],[ENGINE_CLASS]],"DISABLE")</f>
        <v>STEAM</v>
      </c>
      <c r="BF124">
        <v>0</v>
      </c>
      <c r="BG124" t="s">
        <v>735</v>
      </c>
      <c r="BI124"/>
      <c r="BJ124">
        <v>273</v>
      </c>
      <c r="BK124">
        <v>0</v>
      </c>
      <c r="BL124" t="s">
        <v>693</v>
      </c>
      <c r="BM124" t="s">
        <v>695</v>
      </c>
      <c r="BN124" t="s">
        <v>702</v>
      </c>
      <c r="BO124" t="s">
        <v>706</v>
      </c>
      <c r="BP124" t="s">
        <v>707</v>
      </c>
      <c r="BQ124" t="s">
        <v>708</v>
      </c>
    </row>
    <row r="125" spans="1:69" x14ac:dyDescent="0.4">
      <c r="A125" s="2" t="s">
        <v>149</v>
      </c>
      <c r="B125" t="str">
        <f>_xlfn.TEXTAFTER(Table1[[#This Row],[VEHIDCODE]],"_")</f>
        <v>India_Indian_Railways_XB_Class</v>
      </c>
      <c r="C125" t="s">
        <v>740</v>
      </c>
      <c r="D125" t="str">
        <f>"item_"&amp;Table1[[#This Row],[VEHIDCODE]]</f>
        <v>item_steam_India_Indian_Railways_XB_Class</v>
      </c>
      <c r="E125" t="str">
        <f>"str_"&amp;Table1[[#This Row],[VEHIDCODE]]</f>
        <v>str_steam_India_Indian_Railways_XB_Class</v>
      </c>
      <c r="F125">
        <v>14</v>
      </c>
      <c r="G125" t="s">
        <v>18</v>
      </c>
      <c r="H125">
        <v>0</v>
      </c>
      <c r="I125" t="s">
        <v>23</v>
      </c>
      <c r="J125">
        <v>0</v>
      </c>
      <c r="K125">
        <v>1927</v>
      </c>
      <c r="L125">
        <v>8</v>
      </c>
      <c r="M125" s="2" t="s">
        <v>20</v>
      </c>
      <c r="N125" t="b">
        <v>1</v>
      </c>
      <c r="P125" s="2"/>
      <c r="Q125">
        <v>45</v>
      </c>
      <c r="R125">
        <v>1</v>
      </c>
      <c r="S125">
        <v>1510</v>
      </c>
      <c r="T125" t="s">
        <v>711</v>
      </c>
      <c r="U125">
        <v>116</v>
      </c>
      <c r="V125" s="2">
        <v>0.08</v>
      </c>
      <c r="AE125" t="b">
        <v>1</v>
      </c>
      <c r="AZ125" s="2"/>
      <c r="BA125" s="7">
        <v>40</v>
      </c>
      <c r="BB125" t="s">
        <v>932</v>
      </c>
      <c r="BC125" t="s">
        <v>923</v>
      </c>
      <c r="BD125" t="s">
        <v>941</v>
      </c>
      <c r="BE125" t="str">
        <f>IF(OR(Table1[[#This Row],[ENGINE_CLASS]]="STEAM",Table1[[#This Row],[ENGINE_CLASS]]="ELECTRIC",Table1[[#This Row],[ENGINE_CLASS]]="DIESEL"),Table1[[#This Row],[ENGINE_CLASS]],"DISABLE")</f>
        <v>STEAM</v>
      </c>
      <c r="BF125">
        <v>0</v>
      </c>
      <c r="BG125" t="s">
        <v>735</v>
      </c>
      <c r="BI125"/>
      <c r="BJ125">
        <v>142</v>
      </c>
      <c r="BK125">
        <v>0</v>
      </c>
      <c r="BL125" t="s">
        <v>693</v>
      </c>
      <c r="BM125" t="s">
        <v>695</v>
      </c>
      <c r="BN125" t="s">
        <v>702</v>
      </c>
      <c r="BO125" t="s">
        <v>706</v>
      </c>
      <c r="BP125" t="s">
        <v>707</v>
      </c>
      <c r="BQ125" t="s">
        <v>708</v>
      </c>
    </row>
    <row r="126" spans="1:69" x14ac:dyDescent="0.4">
      <c r="A126" s="2" t="s">
        <v>150</v>
      </c>
      <c r="B126" t="str">
        <f>_xlfn.TEXTAFTER(Table1[[#This Row],[VEHIDCODE]],"_")</f>
        <v>Iraq_Iraqi_State_Railways_PC_Class</v>
      </c>
      <c r="C126" t="s">
        <v>740</v>
      </c>
      <c r="D126" t="str">
        <f>"item_"&amp;Table1[[#This Row],[VEHIDCODE]]</f>
        <v>item_steam_Iraq_Iraqi_State_Railways_PC_Class</v>
      </c>
      <c r="E126" t="str">
        <f>"str_"&amp;Table1[[#This Row],[VEHIDCODE]]</f>
        <v>str_steam_Iraq_Iraqi_State_Railways_PC_Class</v>
      </c>
      <c r="F126">
        <v>12</v>
      </c>
      <c r="G126" t="s">
        <v>18</v>
      </c>
      <c r="H126">
        <v>0</v>
      </c>
      <c r="I126" t="s">
        <v>23</v>
      </c>
      <c r="J126">
        <v>0</v>
      </c>
      <c r="K126">
        <v>1940</v>
      </c>
      <c r="L126">
        <v>8</v>
      </c>
      <c r="M126" s="2" t="s">
        <v>20</v>
      </c>
      <c r="N126" t="b">
        <v>1</v>
      </c>
      <c r="P126" s="2"/>
      <c r="Q126">
        <v>45</v>
      </c>
      <c r="R126">
        <v>1</v>
      </c>
      <c r="S126">
        <v>1640</v>
      </c>
      <c r="T126" t="s">
        <v>711</v>
      </c>
      <c r="U126">
        <v>140</v>
      </c>
      <c r="V126" s="2">
        <v>0.14000000000000001</v>
      </c>
      <c r="AE126" t="b">
        <v>1</v>
      </c>
      <c r="AZ126" s="2"/>
      <c r="BA126" s="7">
        <v>40</v>
      </c>
      <c r="BB126" t="s">
        <v>932</v>
      </c>
      <c r="BC126" t="s">
        <v>923</v>
      </c>
      <c r="BD126" t="s">
        <v>941</v>
      </c>
      <c r="BE126" t="str">
        <f>IF(OR(Table1[[#This Row],[ENGINE_CLASS]]="STEAM",Table1[[#This Row],[ENGINE_CLASS]]="ELECTRIC",Table1[[#This Row],[ENGINE_CLASS]]="DIESEL"),Table1[[#This Row],[ENGINE_CLASS]],"DISABLE")</f>
        <v>STEAM</v>
      </c>
      <c r="BF126">
        <v>0</v>
      </c>
      <c r="BG126" t="s">
        <v>735</v>
      </c>
      <c r="BI126"/>
      <c r="BJ126">
        <v>100</v>
      </c>
      <c r="BK126">
        <v>0</v>
      </c>
      <c r="BL126" t="s">
        <v>693</v>
      </c>
      <c r="BM126" t="s">
        <v>695</v>
      </c>
      <c r="BN126" t="s">
        <v>702</v>
      </c>
      <c r="BO126" t="s">
        <v>706</v>
      </c>
      <c r="BP126" t="s">
        <v>707</v>
      </c>
      <c r="BQ126" t="s">
        <v>708</v>
      </c>
    </row>
    <row r="127" spans="1:69" x14ac:dyDescent="0.4">
      <c r="A127" s="2" t="s">
        <v>151</v>
      </c>
      <c r="B127" t="str">
        <f>_xlfn.TEXTAFTER(Table1[[#This Row],[VEHIDCODE]],"_")</f>
        <v>Egypt_ENR_1100</v>
      </c>
      <c r="C127" t="s">
        <v>740</v>
      </c>
      <c r="D127" t="str">
        <f>"item_"&amp;Table1[[#This Row],[VEHIDCODE]]</f>
        <v>item_steam_Egypt_ENR_1100</v>
      </c>
      <c r="E127" t="str">
        <f>"str_"&amp;Table1[[#This Row],[VEHIDCODE]]</f>
        <v>str_steam_Egypt_ENR_1100</v>
      </c>
      <c r="F127">
        <v>6</v>
      </c>
      <c r="G127" t="s">
        <v>18</v>
      </c>
      <c r="H127">
        <v>0</v>
      </c>
      <c r="I127" t="s">
        <v>23</v>
      </c>
      <c r="J127">
        <v>0</v>
      </c>
      <c r="K127">
        <v>1942</v>
      </c>
      <c r="L127">
        <v>6</v>
      </c>
      <c r="M127" s="2" t="s">
        <v>20</v>
      </c>
      <c r="N127" t="b">
        <v>1</v>
      </c>
      <c r="P127" s="2"/>
      <c r="Q127">
        <v>45</v>
      </c>
      <c r="R127">
        <v>1</v>
      </c>
      <c r="S127">
        <v>560</v>
      </c>
      <c r="T127" t="s">
        <v>711</v>
      </c>
      <c r="U127">
        <v>65</v>
      </c>
      <c r="V127" s="2">
        <v>0.21</v>
      </c>
      <c r="AE127" t="b">
        <v>1</v>
      </c>
      <c r="AZ127" s="2"/>
      <c r="BA127" s="7">
        <v>40</v>
      </c>
      <c r="BB127" t="s">
        <v>927</v>
      </c>
      <c r="BC127" t="s">
        <v>923</v>
      </c>
      <c r="BD127" t="s">
        <v>941</v>
      </c>
      <c r="BE127" t="str">
        <f>IF(OR(Table1[[#This Row],[ENGINE_CLASS]]="STEAM",Table1[[#This Row],[ENGINE_CLASS]]="ELECTRIC",Table1[[#This Row],[ENGINE_CLASS]]="DIESEL"),Table1[[#This Row],[ENGINE_CLASS]],"DISABLE")</f>
        <v>STEAM</v>
      </c>
      <c r="BF127">
        <v>0</v>
      </c>
      <c r="BG127" t="s">
        <v>735</v>
      </c>
      <c r="BI127"/>
      <c r="BJ127">
        <v>46</v>
      </c>
      <c r="BK127">
        <v>0</v>
      </c>
      <c r="BL127" t="s">
        <v>693</v>
      </c>
      <c r="BM127" t="s">
        <v>695</v>
      </c>
      <c r="BN127" t="s">
        <v>702</v>
      </c>
      <c r="BO127" t="s">
        <v>706</v>
      </c>
      <c r="BP127" t="s">
        <v>707</v>
      </c>
      <c r="BQ127" t="s">
        <v>708</v>
      </c>
    </row>
    <row r="128" spans="1:69" x14ac:dyDescent="0.4">
      <c r="A128" s="2" t="s">
        <v>152</v>
      </c>
      <c r="B128" t="str">
        <f>_xlfn.TEXTAFTER(Table1[[#This Row],[VEHIDCODE]],"_")</f>
        <v>UK_GWR_1600_Class</v>
      </c>
      <c r="C128" t="s">
        <v>740</v>
      </c>
      <c r="D128" t="str">
        <f>"item_"&amp;Table1[[#This Row],[VEHIDCODE]]</f>
        <v>item_steam_UK_GWR_1600_Class</v>
      </c>
      <c r="E128" t="str">
        <f>"str_"&amp;Table1[[#This Row],[VEHIDCODE]]</f>
        <v>str_steam_UK_GWR_1600_Class</v>
      </c>
      <c r="F128">
        <v>6</v>
      </c>
      <c r="G128" t="s">
        <v>18</v>
      </c>
      <c r="H128">
        <v>0</v>
      </c>
      <c r="I128" t="s">
        <v>23</v>
      </c>
      <c r="J128">
        <v>0</v>
      </c>
      <c r="K128">
        <v>1949</v>
      </c>
      <c r="L128">
        <v>6</v>
      </c>
      <c r="M128" s="2" t="s">
        <v>20</v>
      </c>
      <c r="N128" t="b">
        <v>1</v>
      </c>
      <c r="P128" s="2"/>
      <c r="Q128">
        <v>45</v>
      </c>
      <c r="R128">
        <v>0</v>
      </c>
      <c r="S128">
        <v>690</v>
      </c>
      <c r="T128" t="s">
        <v>711</v>
      </c>
      <c r="U128">
        <v>80</v>
      </c>
      <c r="V128" s="2">
        <v>0.2</v>
      </c>
      <c r="AE128" t="b">
        <v>1</v>
      </c>
      <c r="AZ128" s="2"/>
      <c r="BA128" s="7">
        <v>40</v>
      </c>
      <c r="BB128" t="s">
        <v>928</v>
      </c>
      <c r="BC128" t="s">
        <v>923</v>
      </c>
      <c r="BD128" t="s">
        <v>941</v>
      </c>
      <c r="BE128" t="str">
        <f>IF(OR(Table1[[#This Row],[ENGINE_CLASS]]="STEAM",Table1[[#This Row],[ENGINE_CLASS]]="ELECTRIC",Table1[[#This Row],[ENGINE_CLASS]]="DIESEL"),Table1[[#This Row],[ENGINE_CLASS]],"DISABLE")</f>
        <v>STEAM</v>
      </c>
      <c r="BF128">
        <v>0</v>
      </c>
      <c r="BG128" t="s">
        <v>735</v>
      </c>
      <c r="BI128"/>
      <c r="BJ128">
        <v>42</v>
      </c>
      <c r="BK128">
        <v>0</v>
      </c>
      <c r="BL128" t="s">
        <v>693</v>
      </c>
      <c r="BM128" t="s">
        <v>695</v>
      </c>
      <c r="BN128" t="s">
        <v>702</v>
      </c>
      <c r="BO128" t="s">
        <v>706</v>
      </c>
      <c r="BP128" t="s">
        <v>707</v>
      </c>
      <c r="BQ128" t="s">
        <v>708</v>
      </c>
    </row>
    <row r="129" spans="1:69" x14ac:dyDescent="0.4">
      <c r="A129" s="2" t="s">
        <v>153</v>
      </c>
      <c r="B129" t="str">
        <f>_xlfn.TEXTAFTER(Table1[[#This Row],[VEHIDCODE]],"_")</f>
        <v>Australia_Victorian_Railways_R_Class</v>
      </c>
      <c r="C129" t="s">
        <v>740</v>
      </c>
      <c r="D129" t="str">
        <f>"item_"&amp;Table1[[#This Row],[VEHIDCODE]]</f>
        <v>item_steam_Australia_Victorian_Railways_R_Class</v>
      </c>
      <c r="E129" t="str">
        <f>"str_"&amp;Table1[[#This Row],[VEHIDCODE]]</f>
        <v>str_steam_Australia_Victorian_Railways_R_Class</v>
      </c>
      <c r="F129">
        <v>10</v>
      </c>
      <c r="G129" t="s">
        <v>18</v>
      </c>
      <c r="H129">
        <v>0</v>
      </c>
      <c r="I129" t="s">
        <v>23</v>
      </c>
      <c r="J129">
        <v>0</v>
      </c>
      <c r="K129">
        <v>1951</v>
      </c>
      <c r="L129">
        <v>8</v>
      </c>
      <c r="M129" s="2" t="s">
        <v>20</v>
      </c>
      <c r="N129" t="b">
        <v>1</v>
      </c>
      <c r="P129" s="2"/>
      <c r="Q129">
        <v>45</v>
      </c>
      <c r="R129">
        <v>1</v>
      </c>
      <c r="S129">
        <v>2300</v>
      </c>
      <c r="T129" t="s">
        <v>711</v>
      </c>
      <c r="U129">
        <v>120</v>
      </c>
      <c r="V129" s="2">
        <v>7.0000000000000007E-2</v>
      </c>
      <c r="AE129" t="b">
        <v>1</v>
      </c>
      <c r="AZ129" s="2"/>
      <c r="BA129" s="7">
        <v>40</v>
      </c>
      <c r="BB129" t="s">
        <v>926</v>
      </c>
      <c r="BC129" t="s">
        <v>923</v>
      </c>
      <c r="BD129" t="s">
        <v>941</v>
      </c>
      <c r="BE129" t="str">
        <f>IF(OR(Table1[[#This Row],[ENGINE_CLASS]]="STEAM",Table1[[#This Row],[ENGINE_CLASS]]="ELECTRIC",Table1[[#This Row],[ENGINE_CLASS]]="DIESEL"),Table1[[#This Row],[ENGINE_CLASS]],"DISABLE")</f>
        <v>STEAM</v>
      </c>
      <c r="BF129">
        <v>0</v>
      </c>
      <c r="BG129" t="s">
        <v>735</v>
      </c>
      <c r="BI129"/>
      <c r="BJ129">
        <v>190</v>
      </c>
      <c r="BK129">
        <v>0</v>
      </c>
      <c r="BL129" t="s">
        <v>693</v>
      </c>
      <c r="BM129" t="s">
        <v>695</v>
      </c>
      <c r="BN129" t="s">
        <v>702</v>
      </c>
      <c r="BO129" t="s">
        <v>706</v>
      </c>
      <c r="BP129" t="s">
        <v>707</v>
      </c>
      <c r="BQ129" t="s">
        <v>708</v>
      </c>
    </row>
    <row r="130" spans="1:69" x14ac:dyDescent="0.4">
      <c r="A130" s="2" t="s">
        <v>154</v>
      </c>
      <c r="B130" t="str">
        <f>_xlfn.TEXTAFTER(Table1[[#This Row],[VEHIDCODE]],"_")</f>
        <v>Germany_DB_9977_79</v>
      </c>
      <c r="C130" t="s">
        <v>740</v>
      </c>
      <c r="D130" t="str">
        <f>"item_"&amp;Table1[[#This Row],[VEHIDCODE]]</f>
        <v>item_steam_Germany_DB_9977_79</v>
      </c>
      <c r="E130" t="str">
        <f>"str_"&amp;Table1[[#This Row],[VEHIDCODE]]</f>
        <v>str_steam_Germany_DB_9977_79</v>
      </c>
      <c r="F130">
        <v>7</v>
      </c>
      <c r="G130" t="s">
        <v>18</v>
      </c>
      <c r="H130">
        <v>0</v>
      </c>
      <c r="I130" t="s">
        <v>23</v>
      </c>
      <c r="J130">
        <v>0</v>
      </c>
      <c r="K130">
        <v>1952</v>
      </c>
      <c r="L130">
        <v>7</v>
      </c>
      <c r="M130" s="2" t="s">
        <v>20</v>
      </c>
      <c r="N130" t="b">
        <v>1</v>
      </c>
      <c r="P130" s="2"/>
      <c r="Q130">
        <v>45</v>
      </c>
      <c r="R130">
        <v>1</v>
      </c>
      <c r="S130">
        <v>600</v>
      </c>
      <c r="T130" t="s">
        <v>711</v>
      </c>
      <c r="U130">
        <v>30</v>
      </c>
      <c r="V130" s="2">
        <v>0.2</v>
      </c>
      <c r="AE130" t="b">
        <v>1</v>
      </c>
      <c r="AZ130" s="2"/>
      <c r="BA130" s="7">
        <v>40</v>
      </c>
      <c r="BB130" t="s">
        <v>924</v>
      </c>
      <c r="BC130" t="s">
        <v>923</v>
      </c>
      <c r="BD130" t="s">
        <v>941</v>
      </c>
      <c r="BE130" t="str">
        <f>IF(OR(Table1[[#This Row],[ENGINE_CLASS]]="STEAM",Table1[[#This Row],[ENGINE_CLASS]]="ELECTRIC",Table1[[#This Row],[ENGINE_CLASS]]="DIESEL"),Table1[[#This Row],[ENGINE_CLASS]],"DISABLE")</f>
        <v>STEAM</v>
      </c>
      <c r="BF130">
        <v>0</v>
      </c>
      <c r="BG130" t="s">
        <v>735</v>
      </c>
      <c r="BI130"/>
      <c r="BJ130">
        <v>42</v>
      </c>
      <c r="BK130">
        <v>0</v>
      </c>
      <c r="BL130" t="s">
        <v>693</v>
      </c>
      <c r="BM130" t="s">
        <v>695</v>
      </c>
      <c r="BN130" t="s">
        <v>702</v>
      </c>
      <c r="BO130" t="s">
        <v>706</v>
      </c>
      <c r="BP130" t="s">
        <v>707</v>
      </c>
      <c r="BQ130" t="s">
        <v>708</v>
      </c>
    </row>
    <row r="131" spans="1:69" x14ac:dyDescent="0.4">
      <c r="A131" s="2" t="s">
        <v>155</v>
      </c>
      <c r="B131" t="str">
        <f>_xlfn.TEXTAFTER(Table1[[#This Row],[VEHIDCODE]],"_")</f>
        <v>Germany_DB_18_201</v>
      </c>
      <c r="C131" t="s">
        <v>740</v>
      </c>
      <c r="D131" t="str">
        <f>"item_"&amp;Table1[[#This Row],[VEHIDCODE]]</f>
        <v>item_steam_Germany_DB_18_201</v>
      </c>
      <c r="E131" t="str">
        <f>"str_"&amp;Table1[[#This Row],[VEHIDCODE]]</f>
        <v>str_steam_Germany_DB_18_201</v>
      </c>
      <c r="F131">
        <v>12</v>
      </c>
      <c r="G131" t="s">
        <v>18</v>
      </c>
      <c r="H131">
        <v>0</v>
      </c>
      <c r="I131" t="s">
        <v>23</v>
      </c>
      <c r="J131">
        <v>0</v>
      </c>
      <c r="K131">
        <v>1961</v>
      </c>
      <c r="L131">
        <v>8</v>
      </c>
      <c r="M131" s="2" t="s">
        <v>20</v>
      </c>
      <c r="N131" t="b">
        <v>1</v>
      </c>
      <c r="P131" s="2"/>
      <c r="Q131">
        <v>45</v>
      </c>
      <c r="R131">
        <v>1</v>
      </c>
      <c r="S131">
        <v>2120</v>
      </c>
      <c r="T131" t="s">
        <v>711</v>
      </c>
      <c r="U131">
        <v>180</v>
      </c>
      <c r="V131" s="2">
        <v>0.06</v>
      </c>
      <c r="AE131" t="b">
        <v>1</v>
      </c>
      <c r="AZ131" s="2"/>
      <c r="BA131" s="7">
        <v>40</v>
      </c>
      <c r="BB131" t="s">
        <v>924</v>
      </c>
      <c r="BC131" t="s">
        <v>923</v>
      </c>
      <c r="BD131" t="s">
        <v>941</v>
      </c>
      <c r="BE131" t="str">
        <f>IF(OR(Table1[[#This Row],[ENGINE_CLASS]]="STEAM",Table1[[#This Row],[ENGINE_CLASS]]="ELECTRIC",Table1[[#This Row],[ENGINE_CLASS]]="DIESEL"),Table1[[#This Row],[ENGINE_CLASS]],"DISABLE")</f>
        <v>STEAM</v>
      </c>
      <c r="BF131">
        <v>0</v>
      </c>
      <c r="BG131" t="s">
        <v>735</v>
      </c>
      <c r="BI131"/>
      <c r="BJ131">
        <v>172</v>
      </c>
      <c r="BK131">
        <v>0</v>
      </c>
      <c r="BL131" t="s">
        <v>693</v>
      </c>
      <c r="BM131" t="s">
        <v>695</v>
      </c>
      <c r="BN131" t="s">
        <v>702</v>
      </c>
      <c r="BO131" t="s">
        <v>706</v>
      </c>
      <c r="BP131" t="s">
        <v>707</v>
      </c>
      <c r="BQ131" t="s">
        <v>708</v>
      </c>
    </row>
    <row r="132" spans="1:69" x14ac:dyDescent="0.4">
      <c r="A132" s="2" t="s">
        <v>156</v>
      </c>
      <c r="B132" t="str">
        <f>_xlfn.TEXTAFTER(Table1[[#This Row],[VEHIDCODE]],"_")</f>
        <v>New_Zealand_NZR_WAB</v>
      </c>
      <c r="C132" t="s">
        <v>740</v>
      </c>
      <c r="D132" t="str">
        <f>"item_"&amp;Table1[[#This Row],[VEHIDCODE]]</f>
        <v>item_steam_New_Zealand_NZR_WAB</v>
      </c>
      <c r="E132" t="str">
        <f>"str_"&amp;Table1[[#This Row],[VEHIDCODE]]</f>
        <v>str_steam_New_Zealand_NZR_WAB</v>
      </c>
      <c r="F132">
        <v>6</v>
      </c>
      <c r="G132" t="s">
        <v>20</v>
      </c>
      <c r="H132">
        <v>0</v>
      </c>
      <c r="I132" t="s">
        <v>23</v>
      </c>
      <c r="J132">
        <v>0</v>
      </c>
      <c r="K132">
        <v>1923</v>
      </c>
      <c r="L132">
        <v>6</v>
      </c>
      <c r="M132" s="2" t="s">
        <v>24</v>
      </c>
      <c r="N132" t="b">
        <v>1</v>
      </c>
      <c r="P132" s="2"/>
      <c r="Q132">
        <v>45</v>
      </c>
      <c r="R132">
        <v>1</v>
      </c>
      <c r="S132">
        <v>1000</v>
      </c>
      <c r="T132" t="s">
        <v>711</v>
      </c>
      <c r="U132">
        <v>97</v>
      </c>
      <c r="V132" s="2">
        <v>0.14000000000000001</v>
      </c>
      <c r="AE132" t="b">
        <v>1</v>
      </c>
      <c r="AZ132" s="2"/>
      <c r="BA132" s="7">
        <v>40</v>
      </c>
      <c r="BB132" t="s">
        <v>926</v>
      </c>
      <c r="BC132" t="s">
        <v>923</v>
      </c>
      <c r="BD132" t="s">
        <v>941</v>
      </c>
      <c r="BE132" t="str">
        <f>IF(OR(Table1[[#This Row],[ENGINE_CLASS]]="STEAM",Table1[[#This Row],[ENGINE_CLASS]]="ELECTRIC",Table1[[#This Row],[ENGINE_CLASS]]="DIESEL"),Table1[[#This Row],[ENGINE_CLASS]],"DISABLE")</f>
        <v>STEAM</v>
      </c>
      <c r="BF132">
        <v>0</v>
      </c>
      <c r="BG132" t="s">
        <v>735</v>
      </c>
      <c r="BI132"/>
      <c r="BJ132">
        <v>73</v>
      </c>
      <c r="BK132">
        <v>0</v>
      </c>
      <c r="BL132" t="s">
        <v>693</v>
      </c>
      <c r="BM132" t="s">
        <v>695</v>
      </c>
      <c r="BN132" t="s">
        <v>702</v>
      </c>
      <c r="BO132" t="s">
        <v>706</v>
      </c>
      <c r="BP132" t="s">
        <v>707</v>
      </c>
      <c r="BQ132" t="s">
        <v>708</v>
      </c>
    </row>
    <row r="133" spans="1:69" x14ac:dyDescent="0.4">
      <c r="A133" s="2" t="s">
        <v>157</v>
      </c>
      <c r="B133" t="str">
        <f>_xlfn.TEXTAFTER(Table1[[#This Row],[VEHIDCODE]],"_")</f>
        <v>Australia_NSWGR_D57</v>
      </c>
      <c r="C133" t="s">
        <v>740</v>
      </c>
      <c r="D133" t="str">
        <f>"item_"&amp;Table1[[#This Row],[VEHIDCODE]]</f>
        <v>item_steam_Australia_NSWGR_D57</v>
      </c>
      <c r="E133" t="str">
        <f>"str_"&amp;Table1[[#This Row],[VEHIDCODE]]</f>
        <v>str_steam_Australia_NSWGR_D57</v>
      </c>
      <c r="F133">
        <v>10</v>
      </c>
      <c r="G133" t="s">
        <v>20</v>
      </c>
      <c r="H133">
        <v>0</v>
      </c>
      <c r="I133" t="s">
        <v>23</v>
      </c>
      <c r="J133">
        <v>0</v>
      </c>
      <c r="K133">
        <v>1929</v>
      </c>
      <c r="L133">
        <v>8</v>
      </c>
      <c r="M133" s="2" t="s">
        <v>24</v>
      </c>
      <c r="N133" t="b">
        <v>1</v>
      </c>
      <c r="P133" s="2"/>
      <c r="Q133">
        <v>45</v>
      </c>
      <c r="R133">
        <v>1</v>
      </c>
      <c r="S133">
        <v>1950</v>
      </c>
      <c r="T133" t="s">
        <v>711</v>
      </c>
      <c r="U133">
        <v>80</v>
      </c>
      <c r="V133" s="2">
        <v>0.12</v>
      </c>
      <c r="AE133" t="b">
        <v>1</v>
      </c>
      <c r="AZ133" s="2"/>
      <c r="BA133" s="7">
        <v>40</v>
      </c>
      <c r="BB133" t="s">
        <v>926</v>
      </c>
      <c r="BC133" t="s">
        <v>923</v>
      </c>
      <c r="BD133" t="s">
        <v>941</v>
      </c>
      <c r="BE133" t="str">
        <f>IF(OR(Table1[[#This Row],[ENGINE_CLASS]]="STEAM",Table1[[#This Row],[ENGINE_CLASS]]="ELECTRIC",Table1[[#This Row],[ENGINE_CLASS]]="DIESEL"),Table1[[#This Row],[ENGINE_CLASS]],"DISABLE")</f>
        <v>STEAM</v>
      </c>
      <c r="BF133">
        <v>0</v>
      </c>
      <c r="BG133" t="s">
        <v>735</v>
      </c>
      <c r="BI133"/>
      <c r="BJ133">
        <v>231</v>
      </c>
      <c r="BK133">
        <v>0</v>
      </c>
      <c r="BL133" t="s">
        <v>693</v>
      </c>
      <c r="BM133" t="s">
        <v>695</v>
      </c>
      <c r="BN133" t="s">
        <v>702</v>
      </c>
      <c r="BO133" t="s">
        <v>706</v>
      </c>
      <c r="BP133" t="s">
        <v>707</v>
      </c>
      <c r="BQ133" t="s">
        <v>708</v>
      </c>
    </row>
    <row r="134" spans="1:69" x14ac:dyDescent="0.4">
      <c r="A134" s="2" t="s">
        <v>158</v>
      </c>
      <c r="B134" t="str">
        <f>_xlfn.TEXTAFTER(Table1[[#This Row],[VEHIDCODE]],"_")</f>
        <v>Australia_South_Australian_Railways_520</v>
      </c>
      <c r="C134" t="s">
        <v>740</v>
      </c>
      <c r="D134" t="str">
        <f>"item_"&amp;Table1[[#This Row],[VEHIDCODE]]</f>
        <v>item_steam_Australia_South_Australian_Railways_520</v>
      </c>
      <c r="E134" t="str">
        <f>"str_"&amp;Table1[[#This Row],[VEHIDCODE]]</f>
        <v>str_steam_Australia_South_Australian_Railways_520</v>
      </c>
      <c r="F134">
        <v>10</v>
      </c>
      <c r="G134" t="s">
        <v>20</v>
      </c>
      <c r="H134">
        <v>0</v>
      </c>
      <c r="I134" t="s">
        <v>23</v>
      </c>
      <c r="J134">
        <v>0</v>
      </c>
      <c r="K134">
        <v>1943</v>
      </c>
      <c r="L134">
        <v>8</v>
      </c>
      <c r="M134" s="2" t="s">
        <v>24</v>
      </c>
      <c r="N134" t="b">
        <v>1</v>
      </c>
      <c r="P134" s="2"/>
      <c r="Q134">
        <v>45</v>
      </c>
      <c r="R134">
        <v>1</v>
      </c>
      <c r="S134">
        <v>2600</v>
      </c>
      <c r="T134" t="s">
        <v>711</v>
      </c>
      <c r="U134">
        <v>126</v>
      </c>
      <c r="V134" s="2">
        <v>7.0000000000000007E-2</v>
      </c>
      <c r="AE134" t="b">
        <v>1</v>
      </c>
      <c r="AZ134" s="2"/>
      <c r="BA134" s="7">
        <v>40</v>
      </c>
      <c r="BB134" t="s">
        <v>926</v>
      </c>
      <c r="BC134" t="s">
        <v>923</v>
      </c>
      <c r="BD134" t="s">
        <v>941</v>
      </c>
      <c r="BE134" t="str">
        <f>IF(OR(Table1[[#This Row],[ENGINE_CLASS]]="STEAM",Table1[[#This Row],[ENGINE_CLASS]]="ELECTRIC",Table1[[#This Row],[ENGINE_CLASS]]="DIESEL"),Table1[[#This Row],[ENGINE_CLASS]],"DISABLE")</f>
        <v>STEAM</v>
      </c>
      <c r="BF134">
        <v>0</v>
      </c>
      <c r="BG134" t="s">
        <v>735</v>
      </c>
      <c r="BI134"/>
      <c r="BJ134">
        <v>204</v>
      </c>
      <c r="BK134">
        <v>0</v>
      </c>
      <c r="BL134" t="s">
        <v>693</v>
      </c>
      <c r="BM134" t="s">
        <v>695</v>
      </c>
      <c r="BN134" t="s">
        <v>702</v>
      </c>
      <c r="BO134" t="s">
        <v>706</v>
      </c>
      <c r="BP134" t="s">
        <v>707</v>
      </c>
      <c r="BQ134" t="s">
        <v>708</v>
      </c>
    </row>
    <row r="135" spans="1:69" x14ac:dyDescent="0.4">
      <c r="A135" s="2" t="s">
        <v>159</v>
      </c>
      <c r="B135" t="str">
        <f>_xlfn.TEXTAFTER(Table1[[#This Row],[VEHIDCODE]],"_")</f>
        <v>Australia_NSWGR_AD60</v>
      </c>
      <c r="C135" t="s">
        <v>740</v>
      </c>
      <c r="D135" t="str">
        <f>"item_"&amp;Table1[[#This Row],[VEHIDCODE]]</f>
        <v>item_steam_Australia_NSWGR_AD60</v>
      </c>
      <c r="E135" t="str">
        <f>"str_"&amp;Table1[[#This Row],[VEHIDCODE]]</f>
        <v>str_steam_Australia_NSWGR_AD60</v>
      </c>
      <c r="F135">
        <v>12</v>
      </c>
      <c r="G135" t="s">
        <v>20</v>
      </c>
      <c r="H135">
        <v>0</v>
      </c>
      <c r="I135" t="s">
        <v>23</v>
      </c>
      <c r="J135">
        <v>0</v>
      </c>
      <c r="K135">
        <v>1952</v>
      </c>
      <c r="L135">
        <v>4</v>
      </c>
      <c r="M135" s="2" t="s">
        <v>24</v>
      </c>
      <c r="N135" t="b">
        <v>1</v>
      </c>
      <c r="P135" s="2"/>
      <c r="Q135">
        <v>45</v>
      </c>
      <c r="R135">
        <v>1</v>
      </c>
      <c r="S135">
        <v>2980</v>
      </c>
      <c r="T135" t="s">
        <v>711</v>
      </c>
      <c r="U135">
        <v>95</v>
      </c>
      <c r="V135" s="2">
        <v>0.11</v>
      </c>
      <c r="AE135" t="b">
        <v>1</v>
      </c>
      <c r="AZ135" s="2"/>
      <c r="BA135" s="7">
        <v>40</v>
      </c>
      <c r="BB135" t="s">
        <v>926</v>
      </c>
      <c r="BC135" t="s">
        <v>923</v>
      </c>
      <c r="BD135" t="s">
        <v>941</v>
      </c>
      <c r="BE135" t="str">
        <f>IF(OR(Table1[[#This Row],[ENGINE_CLASS]]="STEAM",Table1[[#This Row],[ENGINE_CLASS]]="ELECTRIC",Table1[[#This Row],[ENGINE_CLASS]]="DIESEL"),Table1[[#This Row],[ENGINE_CLASS]],"DISABLE")</f>
        <v>STEAM</v>
      </c>
      <c r="BF135">
        <v>0</v>
      </c>
      <c r="BG135" t="s">
        <v>735</v>
      </c>
      <c r="BI135"/>
      <c r="BJ135">
        <v>255</v>
      </c>
      <c r="BK135">
        <v>0</v>
      </c>
      <c r="BL135" t="s">
        <v>693</v>
      </c>
      <c r="BM135" t="s">
        <v>695</v>
      </c>
      <c r="BN135" t="s">
        <v>702</v>
      </c>
      <c r="BO135" t="s">
        <v>706</v>
      </c>
      <c r="BP135" t="s">
        <v>707</v>
      </c>
      <c r="BQ135" t="s">
        <v>708</v>
      </c>
    </row>
    <row r="136" spans="1:69" x14ac:dyDescent="0.4">
      <c r="A136" s="2" t="s">
        <v>160</v>
      </c>
      <c r="B136" t="str">
        <f>_xlfn.TEXTAFTER(Table1[[#This Row],[VEHIDCODE]],"_")</f>
        <v>Uruguay_AFE_N1_2_6_0</v>
      </c>
      <c r="C136" t="s">
        <v>740</v>
      </c>
      <c r="D136" t="str">
        <f>"item_"&amp;Table1[[#This Row],[VEHIDCODE]]</f>
        <v>item_steam_Uruguay_AFE_N1_2_6_0</v>
      </c>
      <c r="E136" t="str">
        <f>"str_"&amp;Table1[[#This Row],[VEHIDCODE]]</f>
        <v>str_steam_Uruguay_AFE_N1_2_6_0</v>
      </c>
      <c r="F136">
        <v>6</v>
      </c>
      <c r="G136" t="s">
        <v>20</v>
      </c>
      <c r="H136">
        <v>0</v>
      </c>
      <c r="I136" t="s">
        <v>23</v>
      </c>
      <c r="J136">
        <v>0</v>
      </c>
      <c r="K136">
        <v>1910</v>
      </c>
      <c r="L136">
        <v>5</v>
      </c>
      <c r="M136" s="2" t="s">
        <v>24</v>
      </c>
      <c r="N136" t="b">
        <v>1</v>
      </c>
      <c r="P136" s="2"/>
      <c r="Q136">
        <v>45</v>
      </c>
      <c r="R136">
        <v>1</v>
      </c>
      <c r="S136">
        <v>700</v>
      </c>
      <c r="T136" t="s">
        <v>711</v>
      </c>
      <c r="U136">
        <v>80</v>
      </c>
      <c r="V136" s="2">
        <v>0.1</v>
      </c>
      <c r="AE136" t="b">
        <v>1</v>
      </c>
      <c r="AZ136" s="2"/>
      <c r="BA136" s="7">
        <v>40</v>
      </c>
      <c r="BB136" t="s">
        <v>931</v>
      </c>
      <c r="BC136" t="s">
        <v>923</v>
      </c>
      <c r="BD136" t="s">
        <v>941</v>
      </c>
      <c r="BE136" t="str">
        <f>IF(OR(Table1[[#This Row],[ENGINE_CLASS]]="STEAM",Table1[[#This Row],[ENGINE_CLASS]]="ELECTRIC",Table1[[#This Row],[ENGINE_CLASS]]="DIESEL"),Table1[[#This Row],[ENGINE_CLASS]],"DISABLE")</f>
        <v>STEAM</v>
      </c>
      <c r="BF136">
        <v>0</v>
      </c>
      <c r="BG136" t="s">
        <v>735</v>
      </c>
      <c r="BI136"/>
      <c r="BJ136">
        <v>84</v>
      </c>
      <c r="BK136">
        <v>0</v>
      </c>
      <c r="BL136" t="s">
        <v>693</v>
      </c>
      <c r="BM136" t="s">
        <v>695</v>
      </c>
      <c r="BN136" t="s">
        <v>702</v>
      </c>
      <c r="BO136" t="s">
        <v>706</v>
      </c>
      <c r="BP136" t="s">
        <v>707</v>
      </c>
      <c r="BQ136" t="s">
        <v>708</v>
      </c>
    </row>
    <row r="137" spans="1:69" x14ac:dyDescent="0.4">
      <c r="A137" s="2" t="s">
        <v>161</v>
      </c>
      <c r="B137" t="str">
        <f>_xlfn.TEXTAFTER(Table1[[#This Row],[VEHIDCODE]],"_")</f>
        <v>Argentina_FCCA_PS11</v>
      </c>
      <c r="C137" t="s">
        <v>740</v>
      </c>
      <c r="D137" t="str">
        <f>"item_"&amp;Table1[[#This Row],[VEHIDCODE]]</f>
        <v>item_steam_Argentina_FCCA_PS11</v>
      </c>
      <c r="E137" t="str">
        <f>"str_"&amp;Table1[[#This Row],[VEHIDCODE]]</f>
        <v>str_steam_Argentina_FCCA_PS11</v>
      </c>
      <c r="F137">
        <v>10</v>
      </c>
      <c r="G137" t="s">
        <v>20</v>
      </c>
      <c r="H137">
        <v>0</v>
      </c>
      <c r="I137" t="s">
        <v>23</v>
      </c>
      <c r="J137">
        <v>0</v>
      </c>
      <c r="K137">
        <v>1930</v>
      </c>
      <c r="L137">
        <v>8</v>
      </c>
      <c r="M137" s="2" t="s">
        <v>24</v>
      </c>
      <c r="N137" t="b">
        <v>1</v>
      </c>
      <c r="P137" s="2"/>
      <c r="Q137">
        <v>45</v>
      </c>
      <c r="R137">
        <v>1</v>
      </c>
      <c r="S137">
        <v>1500</v>
      </c>
      <c r="T137" t="s">
        <v>711</v>
      </c>
      <c r="U137">
        <v>160</v>
      </c>
      <c r="V137" s="2">
        <v>0.08</v>
      </c>
      <c r="AE137" t="b">
        <v>1</v>
      </c>
      <c r="AZ137" s="2"/>
      <c r="BA137" s="7">
        <v>40</v>
      </c>
      <c r="BB137" t="s">
        <v>931</v>
      </c>
      <c r="BC137" t="s">
        <v>923</v>
      </c>
      <c r="BD137" t="s">
        <v>941</v>
      </c>
      <c r="BE137" t="str">
        <f>IF(OR(Table1[[#This Row],[ENGINE_CLASS]]="STEAM",Table1[[#This Row],[ENGINE_CLASS]]="ELECTRIC",Table1[[#This Row],[ENGINE_CLASS]]="DIESEL"),Table1[[#This Row],[ENGINE_CLASS]],"DISABLE")</f>
        <v>STEAM</v>
      </c>
      <c r="BF137">
        <v>0</v>
      </c>
      <c r="BG137" t="s">
        <v>735</v>
      </c>
      <c r="BI137"/>
      <c r="BJ137">
        <v>203</v>
      </c>
      <c r="BK137">
        <v>0</v>
      </c>
      <c r="BL137" t="s">
        <v>693</v>
      </c>
      <c r="BM137" t="s">
        <v>695</v>
      </c>
      <c r="BN137" t="s">
        <v>702</v>
      </c>
      <c r="BO137" t="s">
        <v>706</v>
      </c>
      <c r="BP137" t="s">
        <v>707</v>
      </c>
      <c r="BQ137" t="s">
        <v>708</v>
      </c>
    </row>
    <row r="138" spans="1:69" x14ac:dyDescent="0.4">
      <c r="A138" s="2" t="s">
        <v>162</v>
      </c>
      <c r="B138" t="str">
        <f>_xlfn.TEXTAFTER(Table1[[#This Row],[VEHIDCODE]],"_")</f>
        <v>South_Africa_Harbour_Board_EL_0_4_0</v>
      </c>
      <c r="C138" t="s">
        <v>740</v>
      </c>
      <c r="D138" t="str">
        <f>"item_"&amp;Table1[[#This Row],[VEHIDCODE]]</f>
        <v>item_steam_South_Africa_Harbour_Board_EL_0_4_0</v>
      </c>
      <c r="E138" t="str">
        <f>"str_"&amp;Table1[[#This Row],[VEHIDCODE]]</f>
        <v>str_steam_South_Africa_Harbour_Board_EL_0_4_0</v>
      </c>
      <c r="F138">
        <v>3</v>
      </c>
      <c r="G138" t="s">
        <v>20</v>
      </c>
      <c r="H138">
        <v>0</v>
      </c>
      <c r="I138" t="s">
        <v>23</v>
      </c>
      <c r="J138">
        <v>0</v>
      </c>
      <c r="K138">
        <v>1873</v>
      </c>
      <c r="L138">
        <v>3</v>
      </c>
      <c r="M138" s="2" t="s">
        <v>24</v>
      </c>
      <c r="N138" t="b">
        <v>1</v>
      </c>
      <c r="P138" s="2"/>
      <c r="Q138">
        <v>45</v>
      </c>
      <c r="R138">
        <v>1</v>
      </c>
      <c r="S138">
        <v>15</v>
      </c>
      <c r="T138" t="s">
        <v>711</v>
      </c>
      <c r="U138">
        <v>16</v>
      </c>
      <c r="V138" s="2">
        <v>0.06</v>
      </c>
      <c r="AE138" t="b">
        <v>1</v>
      </c>
      <c r="AZ138" s="2"/>
      <c r="BA138" s="7">
        <v>40</v>
      </c>
      <c r="BB138" t="s">
        <v>927</v>
      </c>
      <c r="BC138" t="s">
        <v>923</v>
      </c>
      <c r="BD138" t="s">
        <v>941</v>
      </c>
      <c r="BE138" t="str">
        <f>IF(OR(Table1[[#This Row],[ENGINE_CLASS]]="STEAM",Table1[[#This Row],[ENGINE_CLASS]]="ELECTRIC",Table1[[#This Row],[ENGINE_CLASS]]="DIESEL"),Table1[[#This Row],[ENGINE_CLASS]],"DISABLE")</f>
        <v>STEAM</v>
      </c>
      <c r="BF138">
        <v>0</v>
      </c>
      <c r="BG138" t="s">
        <v>735</v>
      </c>
      <c r="BI138"/>
      <c r="BJ138">
        <v>7</v>
      </c>
      <c r="BK138">
        <v>0</v>
      </c>
      <c r="BL138" t="s">
        <v>693</v>
      </c>
      <c r="BM138" t="s">
        <v>695</v>
      </c>
      <c r="BN138" t="s">
        <v>702</v>
      </c>
      <c r="BO138" t="s">
        <v>706</v>
      </c>
      <c r="BP138" t="s">
        <v>707</v>
      </c>
      <c r="BQ138" t="s">
        <v>708</v>
      </c>
    </row>
    <row r="139" spans="1:69" x14ac:dyDescent="0.4">
      <c r="A139" s="2" t="s">
        <v>163</v>
      </c>
      <c r="B139" t="str">
        <f>_xlfn.TEXTAFTER(Table1[[#This Row],[VEHIDCODE]],"_")</f>
        <v>Mozambique_Beira_Railway_BR6_F2_Falcon</v>
      </c>
      <c r="C139" t="s">
        <v>740</v>
      </c>
      <c r="D139" t="str">
        <f>"item_"&amp;Table1[[#This Row],[VEHIDCODE]]</f>
        <v>item_steam_Mozambique_Beira_Railway_BR6_F2_Falcon</v>
      </c>
      <c r="E139" t="str">
        <f>"str_"&amp;Table1[[#This Row],[VEHIDCODE]]</f>
        <v>str_steam_Mozambique_Beira_Railway_BR6_F2_Falcon</v>
      </c>
      <c r="F139">
        <v>6</v>
      </c>
      <c r="G139" t="s">
        <v>20</v>
      </c>
      <c r="H139">
        <v>0</v>
      </c>
      <c r="I139" t="s">
        <v>23</v>
      </c>
      <c r="J139">
        <v>0</v>
      </c>
      <c r="K139">
        <v>1895</v>
      </c>
      <c r="L139">
        <v>4</v>
      </c>
      <c r="M139" s="2" t="s">
        <v>24</v>
      </c>
      <c r="N139" t="b">
        <v>1</v>
      </c>
      <c r="P139" s="2"/>
      <c r="Q139">
        <v>45</v>
      </c>
      <c r="R139">
        <v>1</v>
      </c>
      <c r="S139">
        <v>140</v>
      </c>
      <c r="T139" t="s">
        <v>711</v>
      </c>
      <c r="U139">
        <v>40</v>
      </c>
      <c r="V139" s="2">
        <v>0.08</v>
      </c>
      <c r="AE139" t="b">
        <v>1</v>
      </c>
      <c r="AZ139" s="2"/>
      <c r="BA139" s="7">
        <v>40</v>
      </c>
      <c r="BB139" t="s">
        <v>927</v>
      </c>
      <c r="BC139" t="s">
        <v>923</v>
      </c>
      <c r="BD139" t="s">
        <v>941</v>
      </c>
      <c r="BE139" t="str">
        <f>IF(OR(Table1[[#This Row],[ENGINE_CLASS]]="STEAM",Table1[[#This Row],[ENGINE_CLASS]]="ELECTRIC",Table1[[#This Row],[ENGINE_CLASS]]="DIESEL"),Table1[[#This Row],[ENGINE_CLASS]],"DISABLE")</f>
        <v>STEAM</v>
      </c>
      <c r="BF139">
        <v>0</v>
      </c>
      <c r="BG139" t="s">
        <v>735</v>
      </c>
      <c r="BI139"/>
      <c r="BJ139">
        <v>18</v>
      </c>
      <c r="BK139">
        <v>0</v>
      </c>
      <c r="BL139" t="s">
        <v>693</v>
      </c>
      <c r="BM139" t="s">
        <v>695</v>
      </c>
      <c r="BN139" t="s">
        <v>702</v>
      </c>
      <c r="BO139" t="s">
        <v>706</v>
      </c>
      <c r="BP139" t="s">
        <v>707</v>
      </c>
      <c r="BQ139" t="s">
        <v>708</v>
      </c>
    </row>
    <row r="140" spans="1:69" x14ac:dyDescent="0.4">
      <c r="A140" s="2" t="s">
        <v>164</v>
      </c>
      <c r="B140" t="str">
        <f>_xlfn.TEXTAFTER(Table1[[#This Row],[VEHIDCODE]],"_")</f>
        <v>Eritrea_Eritrean_Railway_R440</v>
      </c>
      <c r="C140" t="s">
        <v>740</v>
      </c>
      <c r="D140" t="str">
        <f>"item_"&amp;Table1[[#This Row],[VEHIDCODE]]</f>
        <v>item_steam_Eritrea_Eritrean_Railway_R440</v>
      </c>
      <c r="E140" t="str">
        <f>"str_"&amp;Table1[[#This Row],[VEHIDCODE]]</f>
        <v>str_steam_Eritrea_Eritrean_Railway_R440</v>
      </c>
      <c r="F140">
        <v>5</v>
      </c>
      <c r="G140" t="s">
        <v>20</v>
      </c>
      <c r="H140">
        <v>0</v>
      </c>
      <c r="I140" t="s">
        <v>23</v>
      </c>
      <c r="J140">
        <v>0</v>
      </c>
      <c r="K140">
        <v>1911</v>
      </c>
      <c r="L140">
        <v>5</v>
      </c>
      <c r="M140" s="2" t="s">
        <v>24</v>
      </c>
      <c r="N140" t="b">
        <v>1</v>
      </c>
      <c r="P140" s="2"/>
      <c r="Q140">
        <v>45</v>
      </c>
      <c r="R140">
        <v>1</v>
      </c>
      <c r="S140">
        <v>250</v>
      </c>
      <c r="T140" t="s">
        <v>711</v>
      </c>
      <c r="U140">
        <v>40</v>
      </c>
      <c r="V140" s="2">
        <v>0.14000000000000001</v>
      </c>
      <c r="AE140" t="b">
        <v>1</v>
      </c>
      <c r="AZ140" s="2"/>
      <c r="BA140" s="7">
        <v>40</v>
      </c>
      <c r="BB140" t="s">
        <v>927</v>
      </c>
      <c r="BC140" t="s">
        <v>923</v>
      </c>
      <c r="BD140" t="s">
        <v>941</v>
      </c>
      <c r="BE140" t="str">
        <f>IF(OR(Table1[[#This Row],[ENGINE_CLASS]]="STEAM",Table1[[#This Row],[ENGINE_CLASS]]="ELECTRIC",Table1[[#This Row],[ENGINE_CLASS]]="DIESEL"),Table1[[#This Row],[ENGINE_CLASS]],"DISABLE")</f>
        <v>STEAM</v>
      </c>
      <c r="BF140">
        <v>0</v>
      </c>
      <c r="BG140" t="s">
        <v>735</v>
      </c>
      <c r="BI140"/>
      <c r="BJ140">
        <v>35</v>
      </c>
      <c r="BK140">
        <v>0</v>
      </c>
      <c r="BL140" t="s">
        <v>693</v>
      </c>
      <c r="BM140" t="s">
        <v>695</v>
      </c>
      <c r="BN140" t="s">
        <v>702</v>
      </c>
      <c r="BO140" t="s">
        <v>706</v>
      </c>
      <c r="BP140" t="s">
        <v>707</v>
      </c>
      <c r="BQ140" t="s">
        <v>708</v>
      </c>
    </row>
    <row r="141" spans="1:69" x14ac:dyDescent="0.4">
      <c r="A141" s="2" t="s">
        <v>165</v>
      </c>
      <c r="B141" t="str">
        <f>_xlfn.TEXTAFTER(Table1[[#This Row],[VEHIDCODE]],"_")</f>
        <v>Kenya_East_African_Railway_23</v>
      </c>
      <c r="C141" t="s">
        <v>740</v>
      </c>
      <c r="D141" t="str">
        <f>"item_"&amp;Table1[[#This Row],[VEHIDCODE]]</f>
        <v>item_steam_Kenya_East_African_Railway_23</v>
      </c>
      <c r="E141" t="str">
        <f>"str_"&amp;Table1[[#This Row],[VEHIDCODE]]</f>
        <v>str_steam_Kenya_East_African_Railway_23</v>
      </c>
      <c r="F141">
        <v>6</v>
      </c>
      <c r="G141" t="s">
        <v>20</v>
      </c>
      <c r="H141">
        <v>0</v>
      </c>
      <c r="I141" t="s">
        <v>23</v>
      </c>
      <c r="J141">
        <v>0</v>
      </c>
      <c r="K141">
        <v>1923</v>
      </c>
      <c r="L141">
        <v>5</v>
      </c>
      <c r="M141" s="2" t="s">
        <v>24</v>
      </c>
      <c r="N141" t="b">
        <v>1</v>
      </c>
      <c r="P141" s="2"/>
      <c r="Q141">
        <v>45</v>
      </c>
      <c r="R141">
        <v>1</v>
      </c>
      <c r="S141">
        <v>339</v>
      </c>
      <c r="T141" t="s">
        <v>711</v>
      </c>
      <c r="U141">
        <v>70</v>
      </c>
      <c r="V141" s="2">
        <v>0.14000000000000001</v>
      </c>
      <c r="AE141" t="b">
        <v>1</v>
      </c>
      <c r="AZ141" s="2"/>
      <c r="BA141" s="7">
        <v>40</v>
      </c>
      <c r="BB141" t="s">
        <v>927</v>
      </c>
      <c r="BC141" t="s">
        <v>923</v>
      </c>
      <c r="BD141" t="s">
        <v>941</v>
      </c>
      <c r="BE141" t="str">
        <f>IF(OR(Table1[[#This Row],[ENGINE_CLASS]]="STEAM",Table1[[#This Row],[ENGINE_CLASS]]="ELECTRIC",Table1[[#This Row],[ENGINE_CLASS]]="DIESEL"),Table1[[#This Row],[ENGINE_CLASS]],"DISABLE")</f>
        <v>STEAM</v>
      </c>
      <c r="BF141">
        <v>0</v>
      </c>
      <c r="BG141" t="s">
        <v>735</v>
      </c>
      <c r="BI141"/>
      <c r="BJ141">
        <v>79</v>
      </c>
      <c r="BK141">
        <v>0</v>
      </c>
      <c r="BL141" t="s">
        <v>693</v>
      </c>
      <c r="BM141" t="s">
        <v>695</v>
      </c>
      <c r="BN141" t="s">
        <v>702</v>
      </c>
      <c r="BO141" t="s">
        <v>706</v>
      </c>
      <c r="BP141" t="s">
        <v>707</v>
      </c>
      <c r="BQ141" t="s">
        <v>708</v>
      </c>
    </row>
    <row r="142" spans="1:69" x14ac:dyDescent="0.4">
      <c r="A142" s="2" t="s">
        <v>166</v>
      </c>
      <c r="B142" t="str">
        <f>_xlfn.TEXTAFTER(Table1[[#This Row],[VEHIDCODE]],"_")</f>
        <v>Kenya_East_African_Railway_21</v>
      </c>
      <c r="C142" t="s">
        <v>740</v>
      </c>
      <c r="D142" t="str">
        <f>"item_"&amp;Table1[[#This Row],[VEHIDCODE]]</f>
        <v>item_steam_Kenya_East_African_Railway_21</v>
      </c>
      <c r="E142" t="str">
        <f>"str_"&amp;Table1[[#This Row],[VEHIDCODE]]</f>
        <v>str_steam_Kenya_East_African_Railway_21</v>
      </c>
      <c r="F142">
        <v>6</v>
      </c>
      <c r="G142" t="s">
        <v>20</v>
      </c>
      <c r="H142">
        <v>0</v>
      </c>
      <c r="I142" t="s">
        <v>23</v>
      </c>
      <c r="J142">
        <v>0</v>
      </c>
      <c r="K142">
        <v>1928</v>
      </c>
      <c r="L142">
        <v>6</v>
      </c>
      <c r="M142" s="2" t="s">
        <v>24</v>
      </c>
      <c r="N142" t="b">
        <v>1</v>
      </c>
      <c r="P142" s="2"/>
      <c r="Q142">
        <v>45</v>
      </c>
      <c r="R142">
        <v>1</v>
      </c>
      <c r="S142">
        <v>565</v>
      </c>
      <c r="T142" t="s">
        <v>711</v>
      </c>
      <c r="U142">
        <v>75</v>
      </c>
      <c r="V142" s="2">
        <v>0.13</v>
      </c>
      <c r="AE142" t="b">
        <v>1</v>
      </c>
      <c r="AZ142" s="2"/>
      <c r="BA142" s="7">
        <v>40</v>
      </c>
      <c r="BB142" t="s">
        <v>927</v>
      </c>
      <c r="BC142" t="s">
        <v>923</v>
      </c>
      <c r="BD142" t="s">
        <v>941</v>
      </c>
      <c r="BE142" t="str">
        <f>IF(OR(Table1[[#This Row],[ENGINE_CLASS]]="STEAM",Table1[[#This Row],[ENGINE_CLASS]]="ELECTRIC",Table1[[#This Row],[ENGINE_CLASS]]="DIESEL"),Table1[[#This Row],[ENGINE_CLASS]],"DISABLE")</f>
        <v>STEAM</v>
      </c>
      <c r="BF142">
        <v>0</v>
      </c>
      <c r="BG142" t="s">
        <v>735</v>
      </c>
      <c r="BI142"/>
      <c r="BJ142">
        <v>85</v>
      </c>
      <c r="BK142">
        <v>0</v>
      </c>
      <c r="BL142" t="s">
        <v>693</v>
      </c>
      <c r="BM142" t="s">
        <v>695</v>
      </c>
      <c r="BN142" t="s">
        <v>702</v>
      </c>
      <c r="BO142" t="s">
        <v>706</v>
      </c>
      <c r="BP142" t="s">
        <v>707</v>
      </c>
      <c r="BQ142" t="s">
        <v>708</v>
      </c>
    </row>
    <row r="143" spans="1:69" x14ac:dyDescent="0.4">
      <c r="A143" s="2" t="s">
        <v>167</v>
      </c>
      <c r="B143" t="str">
        <f>_xlfn.TEXTAFTER(Table1[[#This Row],[VEHIDCODE]],"_")</f>
        <v>Zimbabwe_Zimbabwe_Railways_15</v>
      </c>
      <c r="C143" t="s">
        <v>740</v>
      </c>
      <c r="D143" t="str">
        <f>"item_"&amp;Table1[[#This Row],[VEHIDCODE]]</f>
        <v>item_steam_Zimbabwe_Zimbabwe_Railways_15</v>
      </c>
      <c r="E143" t="str">
        <f>"str_"&amp;Table1[[#This Row],[VEHIDCODE]]</f>
        <v>str_steam_Zimbabwe_Zimbabwe_Railways_15</v>
      </c>
      <c r="F143">
        <v>12</v>
      </c>
      <c r="G143" t="s">
        <v>20</v>
      </c>
      <c r="H143">
        <v>0</v>
      </c>
      <c r="I143" t="s">
        <v>23</v>
      </c>
      <c r="J143">
        <v>0</v>
      </c>
      <c r="K143">
        <v>1940</v>
      </c>
      <c r="L143">
        <v>4</v>
      </c>
      <c r="M143" s="2" t="s">
        <v>24</v>
      </c>
      <c r="N143" t="b">
        <v>1</v>
      </c>
      <c r="P143" s="2"/>
      <c r="Q143">
        <v>45</v>
      </c>
      <c r="R143">
        <v>1</v>
      </c>
      <c r="S143">
        <v>1150</v>
      </c>
      <c r="T143" t="s">
        <v>711</v>
      </c>
      <c r="U143">
        <v>70</v>
      </c>
      <c r="V143" s="2">
        <v>0.1</v>
      </c>
      <c r="AE143" t="b">
        <v>1</v>
      </c>
      <c r="AZ143" s="2"/>
      <c r="BA143" s="7">
        <v>40</v>
      </c>
      <c r="BB143" t="s">
        <v>927</v>
      </c>
      <c r="BC143" t="s">
        <v>923</v>
      </c>
      <c r="BD143" t="s">
        <v>941</v>
      </c>
      <c r="BE143" t="str">
        <f>IF(OR(Table1[[#This Row],[ENGINE_CLASS]]="STEAM",Table1[[#This Row],[ENGINE_CLASS]]="ELECTRIC",Table1[[#This Row],[ENGINE_CLASS]]="DIESEL"),Table1[[#This Row],[ENGINE_CLASS]],"DISABLE")</f>
        <v>STEAM</v>
      </c>
      <c r="BF143">
        <v>0</v>
      </c>
      <c r="BG143" t="s">
        <v>735</v>
      </c>
      <c r="BI143"/>
      <c r="BJ143">
        <v>183</v>
      </c>
      <c r="BK143">
        <v>0</v>
      </c>
      <c r="BL143" t="s">
        <v>693</v>
      </c>
      <c r="BM143" t="s">
        <v>695</v>
      </c>
      <c r="BN143" t="s">
        <v>702</v>
      </c>
      <c r="BO143" t="s">
        <v>706</v>
      </c>
      <c r="BP143" t="s">
        <v>707</v>
      </c>
      <c r="BQ143" t="s">
        <v>708</v>
      </c>
    </row>
    <row r="144" spans="1:69" x14ac:dyDescent="0.4">
      <c r="A144" s="2" t="s">
        <v>168</v>
      </c>
      <c r="B144" t="str">
        <f>_xlfn.TEXTAFTER(Table1[[#This Row],[VEHIDCODE]],"_")</f>
        <v>South_Africa_SAR_GMA_4_8_2_2_8_4</v>
      </c>
      <c r="C144" t="s">
        <v>740</v>
      </c>
      <c r="D144" t="str">
        <f>"item_"&amp;Table1[[#This Row],[VEHIDCODE]]</f>
        <v>item_steam_South_Africa_SAR_GMA_4_8_2_2_8_4</v>
      </c>
      <c r="E144" t="str">
        <f>"str_"&amp;Table1[[#This Row],[VEHIDCODE]]</f>
        <v>str_steam_South_Africa_SAR_GMA_4_8_2_2_8_4</v>
      </c>
      <c r="F144">
        <v>12</v>
      </c>
      <c r="G144" t="s">
        <v>20</v>
      </c>
      <c r="H144">
        <v>0</v>
      </c>
      <c r="I144" t="s">
        <v>23</v>
      </c>
      <c r="J144">
        <v>0</v>
      </c>
      <c r="K144">
        <v>1953</v>
      </c>
      <c r="L144">
        <v>7</v>
      </c>
      <c r="M144" s="2" t="s">
        <v>24</v>
      </c>
      <c r="N144" t="b">
        <v>1</v>
      </c>
      <c r="P144" s="2"/>
      <c r="Q144">
        <v>45</v>
      </c>
      <c r="R144">
        <v>1</v>
      </c>
      <c r="S144">
        <v>3390</v>
      </c>
      <c r="T144" t="s">
        <v>711</v>
      </c>
      <c r="U144">
        <v>95</v>
      </c>
      <c r="V144" s="2">
        <v>0.13</v>
      </c>
      <c r="AE144" t="b">
        <v>1</v>
      </c>
      <c r="AZ144" s="2"/>
      <c r="BA144" s="7">
        <v>40</v>
      </c>
      <c r="BB144" t="s">
        <v>927</v>
      </c>
      <c r="BC144" t="s">
        <v>923</v>
      </c>
      <c r="BD144" t="s">
        <v>941</v>
      </c>
      <c r="BE144" t="str">
        <f>IF(OR(Table1[[#This Row],[ENGINE_CLASS]]="STEAM",Table1[[#This Row],[ENGINE_CLASS]]="ELECTRIC",Table1[[#This Row],[ENGINE_CLASS]]="DIESEL"),Table1[[#This Row],[ENGINE_CLASS]],"DISABLE")</f>
        <v>STEAM</v>
      </c>
      <c r="BF144">
        <v>0</v>
      </c>
      <c r="BG144" t="s">
        <v>735</v>
      </c>
      <c r="BI144"/>
      <c r="BJ144">
        <v>212</v>
      </c>
      <c r="BK144">
        <v>0</v>
      </c>
      <c r="BL144" t="s">
        <v>693</v>
      </c>
      <c r="BM144" t="s">
        <v>695</v>
      </c>
      <c r="BN144" t="s">
        <v>702</v>
      </c>
      <c r="BO144" t="s">
        <v>706</v>
      </c>
      <c r="BP144" t="s">
        <v>707</v>
      </c>
      <c r="BQ144" t="s">
        <v>708</v>
      </c>
    </row>
    <row r="145" spans="1:69" x14ac:dyDescent="0.4">
      <c r="A145" s="2" t="s">
        <v>169</v>
      </c>
      <c r="B145" t="str">
        <f>_xlfn.TEXTAFTER(Table1[[#This Row],[VEHIDCODE]],"_")</f>
        <v>Kenya_East_African_Railway_31</v>
      </c>
      <c r="C145" t="s">
        <v>740</v>
      </c>
      <c r="D145" t="str">
        <f>"item_"&amp;Table1[[#This Row],[VEHIDCODE]]</f>
        <v>item_steam_Kenya_East_African_Railway_31</v>
      </c>
      <c r="E145" t="str">
        <f>"str_"&amp;Table1[[#This Row],[VEHIDCODE]]</f>
        <v>str_steam_Kenya_East_African_Railway_31</v>
      </c>
      <c r="F145">
        <v>8</v>
      </c>
      <c r="G145" t="s">
        <v>20</v>
      </c>
      <c r="H145">
        <v>0</v>
      </c>
      <c r="I145" t="s">
        <v>23</v>
      </c>
      <c r="J145">
        <v>0</v>
      </c>
      <c r="K145">
        <v>1955</v>
      </c>
      <c r="L145">
        <v>7</v>
      </c>
      <c r="M145" s="2" t="s">
        <v>24</v>
      </c>
      <c r="N145" t="b">
        <v>1</v>
      </c>
      <c r="P145" s="2"/>
      <c r="Q145">
        <v>45</v>
      </c>
      <c r="R145">
        <v>1</v>
      </c>
      <c r="S145">
        <v>1220</v>
      </c>
      <c r="T145" t="s">
        <v>711</v>
      </c>
      <c r="U145">
        <v>80</v>
      </c>
      <c r="V145" s="2">
        <v>0.1</v>
      </c>
      <c r="AE145" t="b">
        <v>1</v>
      </c>
      <c r="AZ145" s="2"/>
      <c r="BA145" s="7">
        <v>40</v>
      </c>
      <c r="BB145" t="s">
        <v>927</v>
      </c>
      <c r="BC145" t="s">
        <v>923</v>
      </c>
      <c r="BD145" t="s">
        <v>941</v>
      </c>
      <c r="BE145" t="str">
        <f>IF(OR(Table1[[#This Row],[ENGINE_CLASS]]="STEAM",Table1[[#This Row],[ENGINE_CLASS]]="ELECTRIC",Table1[[#This Row],[ENGINE_CLASS]]="DIESEL"),Table1[[#This Row],[ENGINE_CLASS]],"DISABLE")</f>
        <v>STEAM</v>
      </c>
      <c r="BF145">
        <v>0</v>
      </c>
      <c r="BG145" t="s">
        <v>735</v>
      </c>
      <c r="BI145"/>
      <c r="BJ145">
        <v>115</v>
      </c>
      <c r="BK145">
        <v>0</v>
      </c>
      <c r="BL145" t="s">
        <v>693</v>
      </c>
      <c r="BM145" t="s">
        <v>695</v>
      </c>
      <c r="BN145" t="s">
        <v>702</v>
      </c>
      <c r="BO145" t="s">
        <v>706</v>
      </c>
      <c r="BP145" t="s">
        <v>707</v>
      </c>
      <c r="BQ145" t="s">
        <v>708</v>
      </c>
    </row>
    <row r="146" spans="1:69" x14ac:dyDescent="0.4">
      <c r="A146" s="2" t="s">
        <v>170</v>
      </c>
      <c r="B146" t="str">
        <f>_xlfn.TEXTAFTER(Table1[[#This Row],[VEHIDCODE]],"_")</f>
        <v>India_Fairy_Queen</v>
      </c>
      <c r="C146" t="s">
        <v>740</v>
      </c>
      <c r="D146" t="str">
        <f>"item_"&amp;Table1[[#This Row],[VEHIDCODE]]</f>
        <v>item_steam_India_Fairy_Queen</v>
      </c>
      <c r="E146" t="str">
        <f>"str_"&amp;Table1[[#This Row],[VEHIDCODE]]</f>
        <v>str_steam_India_Fairy_Queen</v>
      </c>
      <c r="F146">
        <v>5</v>
      </c>
      <c r="G146" t="s">
        <v>20</v>
      </c>
      <c r="H146">
        <v>0</v>
      </c>
      <c r="I146" t="s">
        <v>23</v>
      </c>
      <c r="J146">
        <v>0</v>
      </c>
      <c r="K146">
        <v>1855</v>
      </c>
      <c r="L146">
        <v>5</v>
      </c>
      <c r="M146" s="2" t="s">
        <v>24</v>
      </c>
      <c r="N146" t="b">
        <v>1</v>
      </c>
      <c r="P146" s="2"/>
      <c r="Q146">
        <v>45</v>
      </c>
      <c r="R146">
        <v>1</v>
      </c>
      <c r="S146">
        <v>130</v>
      </c>
      <c r="T146" t="s">
        <v>711</v>
      </c>
      <c r="U146">
        <v>40</v>
      </c>
      <c r="V146" s="2">
        <v>0.16</v>
      </c>
      <c r="AE146" t="b">
        <v>1</v>
      </c>
      <c r="AZ146" s="2"/>
      <c r="BA146" s="7">
        <v>40</v>
      </c>
      <c r="BB146" t="s">
        <v>932</v>
      </c>
      <c r="BC146" t="s">
        <v>923</v>
      </c>
      <c r="BD146" t="s">
        <v>941</v>
      </c>
      <c r="BE146" t="str">
        <f>IF(OR(Table1[[#This Row],[ENGINE_CLASS]]="STEAM",Table1[[#This Row],[ENGINE_CLASS]]="ELECTRIC",Table1[[#This Row],[ENGINE_CLASS]]="DIESEL"),Table1[[#This Row],[ENGINE_CLASS]],"DISABLE")</f>
        <v>STEAM</v>
      </c>
      <c r="BF146">
        <v>0</v>
      </c>
      <c r="BG146" t="s">
        <v>735</v>
      </c>
      <c r="BI146"/>
      <c r="BJ146">
        <v>28</v>
      </c>
      <c r="BK146">
        <v>0</v>
      </c>
      <c r="BL146" t="s">
        <v>693</v>
      </c>
      <c r="BM146" t="s">
        <v>695</v>
      </c>
      <c r="BN146" t="s">
        <v>702</v>
      </c>
      <c r="BO146" t="s">
        <v>706</v>
      </c>
      <c r="BP146" t="s">
        <v>707</v>
      </c>
      <c r="BQ146" t="s">
        <v>708</v>
      </c>
    </row>
    <row r="147" spans="1:69" x14ac:dyDescent="0.4">
      <c r="A147" s="2" t="s">
        <v>171</v>
      </c>
      <c r="B147" t="str">
        <f>_xlfn.TEXTAFTER(Table1[[#This Row],[VEHIDCODE]],"_")</f>
        <v>India_DHR_B</v>
      </c>
      <c r="C147" t="s">
        <v>740</v>
      </c>
      <c r="D147" t="str">
        <f>"item_"&amp;Table1[[#This Row],[VEHIDCODE]]</f>
        <v>item_steam_India_DHR_B</v>
      </c>
      <c r="E147" t="str">
        <f>"str_"&amp;Table1[[#This Row],[VEHIDCODE]]</f>
        <v>str_steam_India_DHR_B</v>
      </c>
      <c r="F147">
        <v>4</v>
      </c>
      <c r="G147" t="s">
        <v>20</v>
      </c>
      <c r="H147">
        <v>0</v>
      </c>
      <c r="I147" t="s">
        <v>23</v>
      </c>
      <c r="J147">
        <v>0</v>
      </c>
      <c r="K147">
        <v>1889</v>
      </c>
      <c r="L147">
        <v>5</v>
      </c>
      <c r="M147" s="2" t="s">
        <v>24</v>
      </c>
      <c r="N147" t="b">
        <v>1</v>
      </c>
      <c r="P147" s="2"/>
      <c r="Q147">
        <v>45</v>
      </c>
      <c r="R147">
        <v>1</v>
      </c>
      <c r="S147">
        <v>165</v>
      </c>
      <c r="T147" t="s">
        <v>711</v>
      </c>
      <c r="U147">
        <v>42</v>
      </c>
      <c r="V147" s="2">
        <v>0.18</v>
      </c>
      <c r="AE147" t="b">
        <v>1</v>
      </c>
      <c r="AZ147" s="2"/>
      <c r="BA147" s="7">
        <v>40</v>
      </c>
      <c r="BB147" t="s">
        <v>932</v>
      </c>
      <c r="BC147" t="s">
        <v>923</v>
      </c>
      <c r="BD147" t="s">
        <v>941</v>
      </c>
      <c r="BE147" t="str">
        <f>IF(OR(Table1[[#This Row],[ENGINE_CLASS]]="STEAM",Table1[[#This Row],[ENGINE_CLASS]]="ELECTRIC",Table1[[#This Row],[ENGINE_CLASS]]="DIESEL"),Table1[[#This Row],[ENGINE_CLASS]],"DISABLE")</f>
        <v>STEAM</v>
      </c>
      <c r="BF147">
        <v>0</v>
      </c>
      <c r="BG147" t="s">
        <v>735</v>
      </c>
      <c r="BI147"/>
      <c r="BJ147">
        <v>20</v>
      </c>
      <c r="BK147">
        <v>0</v>
      </c>
      <c r="BL147" t="s">
        <v>693</v>
      </c>
      <c r="BM147" t="s">
        <v>695</v>
      </c>
      <c r="BN147" t="s">
        <v>702</v>
      </c>
      <c r="BO147" t="s">
        <v>706</v>
      </c>
      <c r="BP147" t="s">
        <v>707</v>
      </c>
      <c r="BQ147" t="s">
        <v>708</v>
      </c>
    </row>
    <row r="148" spans="1:69" x14ac:dyDescent="0.4">
      <c r="A148" s="2" t="s">
        <v>172</v>
      </c>
      <c r="B148" t="str">
        <f>_xlfn.TEXTAFTER(Table1[[#This Row],[VEHIDCODE]],"_")</f>
        <v>China_China_Railways_H</v>
      </c>
      <c r="C148" t="s">
        <v>741</v>
      </c>
      <c r="D148" t="str">
        <f>"item_"&amp;Table1[[#This Row],[VEHIDCODE]]</f>
        <v>item_steam_China_China_Railways_H</v>
      </c>
      <c r="E148" t="str">
        <f>"str_"&amp;Table1[[#This Row],[VEHIDCODE]]</f>
        <v>str_steam_China_China_Railways_H</v>
      </c>
      <c r="F148">
        <v>6</v>
      </c>
      <c r="G148" t="s">
        <v>20</v>
      </c>
      <c r="H148">
        <v>0</v>
      </c>
      <c r="I148" t="s">
        <v>23</v>
      </c>
      <c r="J148">
        <v>0</v>
      </c>
      <c r="K148">
        <v>1895</v>
      </c>
      <c r="L148">
        <v>5</v>
      </c>
      <c r="M148" s="2" t="s">
        <v>24</v>
      </c>
      <c r="N148" t="b">
        <v>1</v>
      </c>
      <c r="P148" s="2"/>
      <c r="Q148">
        <v>45</v>
      </c>
      <c r="R148">
        <v>1</v>
      </c>
      <c r="S148">
        <v>720</v>
      </c>
      <c r="T148" t="s">
        <v>711</v>
      </c>
      <c r="U148">
        <v>50</v>
      </c>
      <c r="V148" s="2">
        <v>0.16</v>
      </c>
      <c r="AE148" t="b">
        <v>1</v>
      </c>
      <c r="AZ148" s="2"/>
      <c r="BA148" s="7">
        <v>40</v>
      </c>
      <c r="BB148" t="s">
        <v>932</v>
      </c>
      <c r="BC148" t="s">
        <v>923</v>
      </c>
      <c r="BD148" t="s">
        <v>941</v>
      </c>
      <c r="BE148" t="str">
        <f>IF(OR(Table1[[#This Row],[ENGINE_CLASS]]="STEAM",Table1[[#This Row],[ENGINE_CLASS]]="ELECTRIC",Table1[[#This Row],[ENGINE_CLASS]]="DIESEL"),Table1[[#This Row],[ENGINE_CLASS]],"DISABLE")</f>
        <v>STEAM</v>
      </c>
      <c r="BF148">
        <v>0</v>
      </c>
      <c r="BG148" t="s">
        <v>735</v>
      </c>
      <c r="BI148"/>
      <c r="BJ148">
        <v>58</v>
      </c>
      <c r="BK148">
        <v>0</v>
      </c>
      <c r="BL148" t="s">
        <v>693</v>
      </c>
      <c r="BM148" t="s">
        <v>695</v>
      </c>
      <c r="BN148" t="s">
        <v>702</v>
      </c>
      <c r="BO148" t="s">
        <v>706</v>
      </c>
      <c r="BP148" t="s">
        <v>707</v>
      </c>
      <c r="BQ148" t="s">
        <v>708</v>
      </c>
    </row>
    <row r="149" spans="1:69" x14ac:dyDescent="0.4">
      <c r="A149" s="2" t="s">
        <v>173</v>
      </c>
      <c r="B149" t="str">
        <f>_xlfn.TEXTAFTER(Table1[[#This Row],[VEHIDCODE]],"_")</f>
        <v>Russia_RZD_U</v>
      </c>
      <c r="C149" t="s">
        <v>740</v>
      </c>
      <c r="D149" t="str">
        <f>"item_"&amp;Table1[[#This Row],[VEHIDCODE]]</f>
        <v>item_steam_Russia_RZD_U</v>
      </c>
      <c r="E149" t="str">
        <f>"str_"&amp;Table1[[#This Row],[VEHIDCODE]]</f>
        <v>str_steam_Russia_RZD_U</v>
      </c>
      <c r="F149">
        <v>6</v>
      </c>
      <c r="G149" t="s">
        <v>20</v>
      </c>
      <c r="H149">
        <v>0</v>
      </c>
      <c r="I149" t="s">
        <v>23</v>
      </c>
      <c r="J149">
        <v>0</v>
      </c>
      <c r="K149">
        <v>1906</v>
      </c>
      <c r="L149">
        <v>5</v>
      </c>
      <c r="M149" s="2" t="s">
        <v>24</v>
      </c>
      <c r="N149" t="b">
        <v>1</v>
      </c>
      <c r="P149" s="2"/>
      <c r="Q149">
        <v>45</v>
      </c>
      <c r="R149">
        <v>1</v>
      </c>
      <c r="S149">
        <v>820</v>
      </c>
      <c r="T149" t="s">
        <v>711</v>
      </c>
      <c r="U149">
        <v>115</v>
      </c>
      <c r="V149" s="2">
        <v>0.13</v>
      </c>
      <c r="AE149" t="b">
        <v>1</v>
      </c>
      <c r="AZ149" s="2"/>
      <c r="BA149" s="7">
        <v>40</v>
      </c>
      <c r="BB149" t="s">
        <v>932</v>
      </c>
      <c r="BC149" t="s">
        <v>923</v>
      </c>
      <c r="BD149" t="s">
        <v>941</v>
      </c>
      <c r="BE149" t="str">
        <f>IF(OR(Table1[[#This Row],[ENGINE_CLASS]]="STEAM",Table1[[#This Row],[ENGINE_CLASS]]="ELECTRIC",Table1[[#This Row],[ENGINE_CLASS]]="DIESEL"),Table1[[#This Row],[ENGINE_CLASS]],"DISABLE")</f>
        <v>STEAM</v>
      </c>
      <c r="BF149">
        <v>0</v>
      </c>
      <c r="BG149" t="s">
        <v>735</v>
      </c>
      <c r="BI149"/>
      <c r="BJ149">
        <v>72</v>
      </c>
      <c r="BK149">
        <v>0</v>
      </c>
      <c r="BL149" t="s">
        <v>693</v>
      </c>
      <c r="BM149" t="s">
        <v>695</v>
      </c>
      <c r="BN149" t="s">
        <v>702</v>
      </c>
      <c r="BO149" t="s">
        <v>706</v>
      </c>
      <c r="BP149" t="s">
        <v>707</v>
      </c>
      <c r="BQ149" t="s">
        <v>708</v>
      </c>
    </row>
    <row r="150" spans="1:69" x14ac:dyDescent="0.4">
      <c r="A150" s="2" t="s">
        <v>174</v>
      </c>
      <c r="B150" t="str">
        <f>_xlfn.TEXTAFTER(Table1[[#This Row],[VEHIDCODE]],"_")</f>
        <v>Russia_RZD_E</v>
      </c>
      <c r="C150" t="s">
        <v>741</v>
      </c>
      <c r="D150" t="str">
        <f>"item_"&amp;Table1[[#This Row],[VEHIDCODE]]</f>
        <v>item_steam_Russia_RZD_E</v>
      </c>
      <c r="E150" t="str">
        <f>"str_"&amp;Table1[[#This Row],[VEHIDCODE]]</f>
        <v>str_steam_Russia_RZD_E</v>
      </c>
      <c r="F150">
        <v>6</v>
      </c>
      <c r="G150" t="s">
        <v>20</v>
      </c>
      <c r="H150">
        <v>0</v>
      </c>
      <c r="I150" t="s">
        <v>23</v>
      </c>
      <c r="J150">
        <v>0</v>
      </c>
      <c r="K150">
        <v>1912</v>
      </c>
      <c r="L150">
        <v>5</v>
      </c>
      <c r="M150" s="2" t="s">
        <v>24</v>
      </c>
      <c r="N150" t="b">
        <v>1</v>
      </c>
      <c r="P150" s="2"/>
      <c r="Q150">
        <v>45</v>
      </c>
      <c r="R150">
        <v>1</v>
      </c>
      <c r="S150">
        <v>920</v>
      </c>
      <c r="T150" t="s">
        <v>711</v>
      </c>
      <c r="U150">
        <v>55</v>
      </c>
      <c r="V150" s="2">
        <v>0.22</v>
      </c>
      <c r="AE150" t="b">
        <v>1</v>
      </c>
      <c r="AZ150" s="2"/>
      <c r="BA150" s="7">
        <v>40</v>
      </c>
      <c r="BB150" t="s">
        <v>932</v>
      </c>
      <c r="BC150" t="s">
        <v>923</v>
      </c>
      <c r="BD150" t="s">
        <v>941</v>
      </c>
      <c r="BE150" t="str">
        <f>IF(OR(Table1[[#This Row],[ENGINE_CLASS]]="STEAM",Table1[[#This Row],[ENGINE_CLASS]]="ELECTRIC",Table1[[#This Row],[ENGINE_CLASS]]="DIESEL"),Table1[[#This Row],[ENGINE_CLASS]],"DISABLE")</f>
        <v>STEAM</v>
      </c>
      <c r="BF150">
        <v>0</v>
      </c>
      <c r="BG150" t="s">
        <v>735</v>
      </c>
      <c r="BI150"/>
      <c r="BJ150">
        <v>82</v>
      </c>
      <c r="BK150">
        <v>0</v>
      </c>
      <c r="BL150" t="s">
        <v>693</v>
      </c>
      <c r="BM150" t="s">
        <v>695</v>
      </c>
      <c r="BN150" t="s">
        <v>702</v>
      </c>
      <c r="BO150" t="s">
        <v>706</v>
      </c>
      <c r="BP150" t="s">
        <v>707</v>
      </c>
      <c r="BQ150" t="s">
        <v>708</v>
      </c>
    </row>
    <row r="151" spans="1:69" x14ac:dyDescent="0.4">
      <c r="A151" s="2" t="s">
        <v>175</v>
      </c>
      <c r="B151" t="str">
        <f>_xlfn.TEXTAFTER(Table1[[#This Row],[VEHIDCODE]],"_")</f>
        <v>Israel_Israel_Railways_H</v>
      </c>
      <c r="C151" t="s">
        <v>740</v>
      </c>
      <c r="D151" t="str">
        <f>"item_"&amp;Table1[[#This Row],[VEHIDCODE]]</f>
        <v>item_steam_Israel_Israel_Railways_H</v>
      </c>
      <c r="E151" t="str">
        <f>"str_"&amp;Table1[[#This Row],[VEHIDCODE]]</f>
        <v>str_steam_Israel_Israel_Railways_H</v>
      </c>
      <c r="F151">
        <v>6</v>
      </c>
      <c r="G151" t="s">
        <v>20</v>
      </c>
      <c r="H151">
        <v>0</v>
      </c>
      <c r="I151" t="s">
        <v>23</v>
      </c>
      <c r="J151">
        <v>0</v>
      </c>
      <c r="K151">
        <v>1918</v>
      </c>
      <c r="L151">
        <v>5</v>
      </c>
      <c r="M151" s="2" t="s">
        <v>24</v>
      </c>
      <c r="N151" t="b">
        <v>1</v>
      </c>
      <c r="P151" s="2"/>
      <c r="Q151">
        <v>45</v>
      </c>
      <c r="R151">
        <v>1</v>
      </c>
      <c r="S151">
        <v>572</v>
      </c>
      <c r="T151" t="s">
        <v>711</v>
      </c>
      <c r="U151">
        <v>68</v>
      </c>
      <c r="V151" s="2">
        <v>0.09</v>
      </c>
      <c r="AE151" t="b">
        <v>1</v>
      </c>
      <c r="AZ151" s="2"/>
      <c r="BA151" s="7">
        <v>40</v>
      </c>
      <c r="BB151" t="s">
        <v>932</v>
      </c>
      <c r="BC151" t="s">
        <v>923</v>
      </c>
      <c r="BD151" t="s">
        <v>941</v>
      </c>
      <c r="BE151" t="str">
        <f>IF(OR(Table1[[#This Row],[ENGINE_CLASS]]="STEAM",Table1[[#This Row],[ENGINE_CLASS]]="ELECTRIC",Table1[[#This Row],[ENGINE_CLASS]]="DIESEL"),Table1[[#This Row],[ENGINE_CLASS]],"DISABLE")</f>
        <v>STEAM</v>
      </c>
      <c r="BF151">
        <v>0</v>
      </c>
      <c r="BG151" t="s">
        <v>735</v>
      </c>
      <c r="BI151"/>
      <c r="BJ151">
        <v>119</v>
      </c>
      <c r="BK151">
        <v>0</v>
      </c>
      <c r="BL151" t="s">
        <v>693</v>
      </c>
      <c r="BM151" t="s">
        <v>695</v>
      </c>
      <c r="BN151" t="s">
        <v>702</v>
      </c>
      <c r="BO151" t="s">
        <v>706</v>
      </c>
      <c r="BP151" t="s">
        <v>707</v>
      </c>
      <c r="BQ151" t="s">
        <v>708</v>
      </c>
    </row>
    <row r="152" spans="1:69" x14ac:dyDescent="0.4">
      <c r="A152" s="2" t="s">
        <v>176</v>
      </c>
      <c r="B152" t="str">
        <f>_xlfn.TEXTAFTER(Table1[[#This Row],[VEHIDCODE]],"_")</f>
        <v>Italy_FS_480</v>
      </c>
      <c r="C152" t="s">
        <v>740</v>
      </c>
      <c r="D152" t="str">
        <f>"item_"&amp;Table1[[#This Row],[VEHIDCODE]]</f>
        <v>item_steam_Italy_FS_480</v>
      </c>
      <c r="E152" t="str">
        <f>"str_"&amp;Table1[[#This Row],[VEHIDCODE]]</f>
        <v>str_steam_Italy_FS_480</v>
      </c>
      <c r="F152">
        <v>8</v>
      </c>
      <c r="G152" t="s">
        <v>20</v>
      </c>
      <c r="H152">
        <v>0</v>
      </c>
      <c r="I152" t="s">
        <v>23</v>
      </c>
      <c r="J152">
        <v>0</v>
      </c>
      <c r="K152">
        <v>1923</v>
      </c>
      <c r="L152">
        <v>6</v>
      </c>
      <c r="M152" s="2" t="s">
        <v>24</v>
      </c>
      <c r="N152" t="b">
        <v>1</v>
      </c>
      <c r="P152" s="2"/>
      <c r="Q152">
        <v>45</v>
      </c>
      <c r="R152">
        <v>1</v>
      </c>
      <c r="S152">
        <v>1500</v>
      </c>
      <c r="T152" t="s">
        <v>711</v>
      </c>
      <c r="U152">
        <v>70</v>
      </c>
      <c r="V152" s="2">
        <v>0.13</v>
      </c>
      <c r="AE152" t="b">
        <v>1</v>
      </c>
      <c r="AZ152" s="2"/>
      <c r="BA152" s="7">
        <v>40</v>
      </c>
      <c r="BB152" t="s">
        <v>925</v>
      </c>
      <c r="BC152" t="s">
        <v>923</v>
      </c>
      <c r="BD152" t="s">
        <v>941</v>
      </c>
      <c r="BE152" t="str">
        <f>IF(OR(Table1[[#This Row],[ENGINE_CLASS]]="STEAM",Table1[[#This Row],[ENGINE_CLASS]]="ELECTRIC",Table1[[#This Row],[ENGINE_CLASS]]="DIESEL"),Table1[[#This Row],[ENGINE_CLASS]],"DISABLE")</f>
        <v>STEAM</v>
      </c>
      <c r="BF152">
        <v>0</v>
      </c>
      <c r="BG152" t="s">
        <v>735</v>
      </c>
      <c r="BI152"/>
      <c r="BJ152">
        <v>134</v>
      </c>
      <c r="BK152">
        <v>0</v>
      </c>
      <c r="BL152" t="s">
        <v>693</v>
      </c>
      <c r="BM152" t="s">
        <v>695</v>
      </c>
      <c r="BN152" t="s">
        <v>702</v>
      </c>
      <c r="BO152" t="s">
        <v>706</v>
      </c>
      <c r="BP152" t="s">
        <v>707</v>
      </c>
      <c r="BQ152" t="s">
        <v>708</v>
      </c>
    </row>
    <row r="153" spans="1:69" x14ac:dyDescent="0.4">
      <c r="A153" s="2" t="s">
        <v>177</v>
      </c>
      <c r="B153" t="str">
        <f>_xlfn.TEXTAFTER(Table1[[#This Row],[VEHIDCODE]],"_")</f>
        <v>Italy_FS_691</v>
      </c>
      <c r="C153" t="s">
        <v>740</v>
      </c>
      <c r="D153" t="str">
        <f>"item_"&amp;Table1[[#This Row],[VEHIDCODE]]</f>
        <v>item_steam_Italy_FS_691</v>
      </c>
      <c r="E153" t="str">
        <f>"str_"&amp;Table1[[#This Row],[VEHIDCODE]]</f>
        <v>str_steam_Italy_FS_691</v>
      </c>
      <c r="F153">
        <v>8</v>
      </c>
      <c r="G153" t="s">
        <v>20</v>
      </c>
      <c r="H153">
        <v>0</v>
      </c>
      <c r="I153" t="s">
        <v>23</v>
      </c>
      <c r="J153">
        <v>0</v>
      </c>
      <c r="K153">
        <v>1928</v>
      </c>
      <c r="L153">
        <v>6</v>
      </c>
      <c r="M153" s="2" t="s">
        <v>24</v>
      </c>
      <c r="N153" t="b">
        <v>1</v>
      </c>
      <c r="P153" s="2"/>
      <c r="Q153">
        <v>45</v>
      </c>
      <c r="R153">
        <v>1</v>
      </c>
      <c r="S153">
        <v>1820</v>
      </c>
      <c r="T153" t="s">
        <v>711</v>
      </c>
      <c r="U153">
        <v>130</v>
      </c>
      <c r="V153" s="2">
        <v>0.1</v>
      </c>
      <c r="AE153" t="b">
        <v>1</v>
      </c>
      <c r="AZ153" s="2"/>
      <c r="BA153" s="7">
        <v>40</v>
      </c>
      <c r="BB153" t="s">
        <v>925</v>
      </c>
      <c r="BC153" t="s">
        <v>923</v>
      </c>
      <c r="BD153" t="s">
        <v>941</v>
      </c>
      <c r="BE153" t="str">
        <f>IF(OR(Table1[[#This Row],[ENGINE_CLASS]]="STEAM",Table1[[#This Row],[ENGINE_CLASS]]="ELECTRIC",Table1[[#This Row],[ENGINE_CLASS]]="DIESEL"),Table1[[#This Row],[ENGINE_CLASS]],"DISABLE")</f>
        <v>STEAM</v>
      </c>
      <c r="BF153">
        <v>0</v>
      </c>
      <c r="BG153" t="s">
        <v>735</v>
      </c>
      <c r="BI153"/>
      <c r="BJ153">
        <v>144</v>
      </c>
      <c r="BK153">
        <v>0</v>
      </c>
      <c r="BL153" t="s">
        <v>693</v>
      </c>
      <c r="BM153" t="s">
        <v>695</v>
      </c>
      <c r="BN153" t="s">
        <v>702</v>
      </c>
      <c r="BO153" t="s">
        <v>706</v>
      </c>
      <c r="BP153" t="s">
        <v>707</v>
      </c>
      <c r="BQ153" t="s">
        <v>708</v>
      </c>
    </row>
    <row r="154" spans="1:69" x14ac:dyDescent="0.4">
      <c r="A154" s="2" t="s">
        <v>178</v>
      </c>
      <c r="B154" t="str">
        <f>_xlfn.TEXTAFTER(Table1[[#This Row],[VEHIDCODE]],"_")</f>
        <v>Greece_SEK_Lb</v>
      </c>
      <c r="C154" t="s">
        <v>740</v>
      </c>
      <c r="D154" t="str">
        <f>"item_"&amp;Table1[[#This Row],[VEHIDCODE]]</f>
        <v>item_steam_Greece_SEK_Lb</v>
      </c>
      <c r="E154" t="str">
        <f>"str_"&amp;Table1[[#This Row],[VEHIDCODE]]</f>
        <v>str_steam_Greece_SEK_Lb</v>
      </c>
      <c r="F154">
        <v>8</v>
      </c>
      <c r="G154" t="s">
        <v>20</v>
      </c>
      <c r="H154">
        <v>0</v>
      </c>
      <c r="I154" t="s">
        <v>23</v>
      </c>
      <c r="J154">
        <v>0</v>
      </c>
      <c r="K154">
        <v>1943</v>
      </c>
      <c r="L154">
        <v>7</v>
      </c>
      <c r="M154" s="2" t="s">
        <v>24</v>
      </c>
      <c r="N154" t="b">
        <v>1</v>
      </c>
      <c r="P154" s="2"/>
      <c r="Q154">
        <v>45</v>
      </c>
      <c r="R154">
        <v>1</v>
      </c>
      <c r="S154">
        <v>1250</v>
      </c>
      <c r="T154" t="s">
        <v>711</v>
      </c>
      <c r="U154">
        <v>65</v>
      </c>
      <c r="V154" s="2">
        <v>0.11</v>
      </c>
      <c r="AE154" t="b">
        <v>1</v>
      </c>
      <c r="AZ154" s="2"/>
      <c r="BA154" s="7">
        <v>40</v>
      </c>
      <c r="BB154" t="s">
        <v>925</v>
      </c>
      <c r="BC154" t="s">
        <v>923</v>
      </c>
      <c r="BD154" t="s">
        <v>941</v>
      </c>
      <c r="BE154" t="str">
        <f>IF(OR(Table1[[#This Row],[ENGINE_CLASS]]="STEAM",Table1[[#This Row],[ENGINE_CLASS]]="ELECTRIC",Table1[[#This Row],[ENGINE_CLASS]]="DIESEL"),Table1[[#This Row],[ENGINE_CLASS]],"DISABLE")</f>
        <v>STEAM</v>
      </c>
      <c r="BF154">
        <v>0</v>
      </c>
      <c r="BG154" t="s">
        <v>735</v>
      </c>
      <c r="BI154"/>
      <c r="BJ154">
        <v>136</v>
      </c>
      <c r="BK154">
        <v>0</v>
      </c>
      <c r="BL154" t="s">
        <v>693</v>
      </c>
      <c r="BM154" t="s">
        <v>695</v>
      </c>
      <c r="BN154" t="s">
        <v>702</v>
      </c>
      <c r="BO154" t="s">
        <v>706</v>
      </c>
      <c r="BP154" t="s">
        <v>707</v>
      </c>
      <c r="BQ154" t="s">
        <v>708</v>
      </c>
    </row>
    <row r="155" spans="1:69" x14ac:dyDescent="0.4">
      <c r="A155" s="2" t="s">
        <v>179</v>
      </c>
      <c r="B155" t="str">
        <f>_xlfn.TEXTAFTER(Table1[[#This Row],[VEHIDCODE]],"_")</f>
        <v>Albania_HSH_01</v>
      </c>
      <c r="C155" t="s">
        <v>740</v>
      </c>
      <c r="D155" t="str">
        <f>"item_"&amp;Table1[[#This Row],[VEHIDCODE]]</f>
        <v>item_steam_Albania_HSH_01</v>
      </c>
      <c r="E155" t="str">
        <f>"str_"&amp;Table1[[#This Row],[VEHIDCODE]]</f>
        <v>str_steam_Albania_HSH_01</v>
      </c>
      <c r="F155">
        <v>5</v>
      </c>
      <c r="G155" t="s">
        <v>20</v>
      </c>
      <c r="H155">
        <v>0</v>
      </c>
      <c r="I155" t="s">
        <v>23</v>
      </c>
      <c r="J155">
        <v>0</v>
      </c>
      <c r="K155">
        <v>1951</v>
      </c>
      <c r="L155">
        <v>5</v>
      </c>
      <c r="M155" s="2" t="s">
        <v>24</v>
      </c>
      <c r="N155" t="b">
        <v>1</v>
      </c>
      <c r="P155" s="2"/>
      <c r="Q155">
        <v>45</v>
      </c>
      <c r="R155">
        <v>1</v>
      </c>
      <c r="S155">
        <v>1060</v>
      </c>
      <c r="T155" t="s">
        <v>711</v>
      </c>
      <c r="U155">
        <v>80</v>
      </c>
      <c r="V155" s="2">
        <v>0.14000000000000001</v>
      </c>
      <c r="AE155" t="b">
        <v>1</v>
      </c>
      <c r="AZ155" s="2"/>
      <c r="BA155" s="7">
        <v>40</v>
      </c>
      <c r="BB155" t="s">
        <v>925</v>
      </c>
      <c r="BC155" t="s">
        <v>923</v>
      </c>
      <c r="BD155" t="s">
        <v>941</v>
      </c>
      <c r="BE155" t="str">
        <f>IF(OR(Table1[[#This Row],[ENGINE_CLASS]]="STEAM",Table1[[#This Row],[ENGINE_CLASS]]="ELECTRIC",Table1[[#This Row],[ENGINE_CLASS]]="DIESEL"),Table1[[#This Row],[ENGINE_CLASS]],"DISABLE")</f>
        <v>STEAM</v>
      </c>
      <c r="BF155">
        <v>0</v>
      </c>
      <c r="BG155" t="s">
        <v>735</v>
      </c>
      <c r="BI155"/>
      <c r="BJ155">
        <v>78</v>
      </c>
      <c r="BK155">
        <v>0</v>
      </c>
      <c r="BL155" t="s">
        <v>693</v>
      </c>
      <c r="BM155" t="s">
        <v>695</v>
      </c>
      <c r="BN155" t="s">
        <v>702</v>
      </c>
      <c r="BO155" t="s">
        <v>706</v>
      </c>
      <c r="BP155" t="s">
        <v>707</v>
      </c>
      <c r="BQ155" t="s">
        <v>708</v>
      </c>
    </row>
    <row r="156" spans="1:69" x14ac:dyDescent="0.4">
      <c r="A156" s="2" t="s">
        <v>180</v>
      </c>
      <c r="B156" t="str">
        <f>_xlfn.TEXTAFTER(Table1[[#This Row],[VEHIDCODE]],"_")</f>
        <v>Spain_RENFE_242F</v>
      </c>
      <c r="C156" t="s">
        <v>740</v>
      </c>
      <c r="D156" t="str">
        <f>"item_"&amp;Table1[[#This Row],[VEHIDCODE]]</f>
        <v>item_steam_Spain_RENFE_242F</v>
      </c>
      <c r="E156" t="str">
        <f>"str_"&amp;Table1[[#This Row],[VEHIDCODE]]</f>
        <v>str_steam_Spain_RENFE_242F</v>
      </c>
      <c r="F156">
        <v>10</v>
      </c>
      <c r="G156" t="s">
        <v>20</v>
      </c>
      <c r="H156">
        <v>0</v>
      </c>
      <c r="I156" t="s">
        <v>23</v>
      </c>
      <c r="J156">
        <v>0</v>
      </c>
      <c r="K156">
        <v>1955</v>
      </c>
      <c r="L156">
        <v>8</v>
      </c>
      <c r="M156" s="2" t="s">
        <v>24</v>
      </c>
      <c r="N156" t="b">
        <v>1</v>
      </c>
      <c r="P156" s="2"/>
      <c r="Q156">
        <v>45</v>
      </c>
      <c r="R156">
        <v>1</v>
      </c>
      <c r="S156">
        <v>2780</v>
      </c>
      <c r="T156" t="s">
        <v>711</v>
      </c>
      <c r="U156">
        <v>150</v>
      </c>
      <c r="V156" s="2">
        <v>0.11</v>
      </c>
      <c r="AE156" t="b">
        <v>1</v>
      </c>
      <c r="AZ156" s="2"/>
      <c r="BA156" s="7">
        <v>40</v>
      </c>
      <c r="BB156" t="s">
        <v>925</v>
      </c>
      <c r="BC156" t="s">
        <v>923</v>
      </c>
      <c r="BD156" t="s">
        <v>941</v>
      </c>
      <c r="BE156" t="str">
        <f>IF(OR(Table1[[#This Row],[ENGINE_CLASS]]="STEAM",Table1[[#This Row],[ENGINE_CLASS]]="ELECTRIC",Table1[[#This Row],[ENGINE_CLASS]]="DIESEL"),Table1[[#This Row],[ENGINE_CLASS]],"DISABLE")</f>
        <v>STEAM</v>
      </c>
      <c r="BF156">
        <v>0</v>
      </c>
      <c r="BG156" t="s">
        <v>735</v>
      </c>
      <c r="BI156"/>
      <c r="BJ156">
        <v>143</v>
      </c>
      <c r="BK156">
        <v>0</v>
      </c>
      <c r="BL156" t="s">
        <v>693</v>
      </c>
      <c r="BM156" t="s">
        <v>695</v>
      </c>
      <c r="BN156" t="s">
        <v>702</v>
      </c>
      <c r="BO156" t="s">
        <v>706</v>
      </c>
      <c r="BP156" t="s">
        <v>707</v>
      </c>
      <c r="BQ156" t="s">
        <v>708</v>
      </c>
    </row>
    <row r="157" spans="1:69" x14ac:dyDescent="0.4">
      <c r="A157" s="2" t="s">
        <v>181</v>
      </c>
      <c r="B157" t="str">
        <f>_xlfn.TEXTAFTER(Table1[[#This Row],[VEHIDCODE]],"_")</f>
        <v>Czech_Republic_CD_5341</v>
      </c>
      <c r="C157" t="s">
        <v>740</v>
      </c>
      <c r="D157" t="str">
        <f>"item_"&amp;Table1[[#This Row],[VEHIDCODE]]</f>
        <v>item_steam_Czech_Republic_CD_5341</v>
      </c>
      <c r="E157" t="str">
        <f>"str_"&amp;Table1[[#This Row],[VEHIDCODE]]</f>
        <v>str_steam_Czech_Republic_CD_5341</v>
      </c>
      <c r="F157">
        <v>6</v>
      </c>
      <c r="G157" t="s">
        <v>20</v>
      </c>
      <c r="H157">
        <v>0</v>
      </c>
      <c r="I157" t="s">
        <v>23</v>
      </c>
      <c r="J157">
        <v>0</v>
      </c>
      <c r="K157">
        <v>1910</v>
      </c>
      <c r="L157">
        <v>7</v>
      </c>
      <c r="M157" s="2" t="s">
        <v>24</v>
      </c>
      <c r="N157" t="b">
        <v>1</v>
      </c>
      <c r="P157" s="2"/>
      <c r="Q157">
        <v>45</v>
      </c>
      <c r="R157">
        <v>0</v>
      </c>
      <c r="S157">
        <v>1100</v>
      </c>
      <c r="T157" t="s">
        <v>711</v>
      </c>
      <c r="U157">
        <v>60</v>
      </c>
      <c r="V157" s="2">
        <v>0.31</v>
      </c>
      <c r="AE157" t="b">
        <v>1</v>
      </c>
      <c r="AZ157" s="2"/>
      <c r="BA157" s="7">
        <v>40</v>
      </c>
      <c r="BB157" t="s">
        <v>930</v>
      </c>
      <c r="BC157" t="s">
        <v>923</v>
      </c>
      <c r="BD157" t="s">
        <v>941</v>
      </c>
      <c r="BE157" t="str">
        <f>IF(OR(Table1[[#This Row],[ENGINE_CLASS]]="STEAM",Table1[[#This Row],[ENGINE_CLASS]]="ELECTRIC",Table1[[#This Row],[ENGINE_CLASS]]="DIESEL"),Table1[[#This Row],[ENGINE_CLASS]],"DISABLE")</f>
        <v>STEAM</v>
      </c>
      <c r="BF157">
        <v>0</v>
      </c>
      <c r="BG157" t="s">
        <v>735</v>
      </c>
      <c r="BI157"/>
      <c r="BJ157">
        <v>107</v>
      </c>
      <c r="BK157">
        <v>0</v>
      </c>
      <c r="BL157" t="s">
        <v>693</v>
      </c>
      <c r="BM157" t="s">
        <v>695</v>
      </c>
      <c r="BN157" t="s">
        <v>702</v>
      </c>
      <c r="BO157" t="s">
        <v>706</v>
      </c>
      <c r="BP157" t="s">
        <v>707</v>
      </c>
      <c r="BQ157" t="s">
        <v>708</v>
      </c>
    </row>
    <row r="158" spans="1:69" x14ac:dyDescent="0.4">
      <c r="A158" s="2" t="s">
        <v>182</v>
      </c>
      <c r="B158" t="str">
        <f>_xlfn.TEXTAFTER(Table1[[#This Row],[VEHIDCODE]],"_")</f>
        <v>Poland_PKP_Ok22</v>
      </c>
      <c r="C158" t="s">
        <v>740</v>
      </c>
      <c r="D158" t="str">
        <f>"item_"&amp;Table1[[#This Row],[VEHIDCODE]]</f>
        <v>item_steam_Poland_PKP_Ok22</v>
      </c>
      <c r="E158" t="str">
        <f>"str_"&amp;Table1[[#This Row],[VEHIDCODE]]</f>
        <v>str_steam_Poland_PKP_Ok22</v>
      </c>
      <c r="F158">
        <v>6</v>
      </c>
      <c r="G158" t="s">
        <v>20</v>
      </c>
      <c r="H158">
        <v>0</v>
      </c>
      <c r="I158" t="s">
        <v>23</v>
      </c>
      <c r="J158">
        <v>0</v>
      </c>
      <c r="K158">
        <v>1923</v>
      </c>
      <c r="L158">
        <v>6</v>
      </c>
      <c r="M158" s="2" t="s">
        <v>24</v>
      </c>
      <c r="N158" t="b">
        <v>1</v>
      </c>
      <c r="P158" s="2"/>
      <c r="Q158">
        <v>45</v>
      </c>
      <c r="R158">
        <v>1</v>
      </c>
      <c r="S158">
        <v>980</v>
      </c>
      <c r="T158" t="s">
        <v>711</v>
      </c>
      <c r="U158">
        <v>100</v>
      </c>
      <c r="V158" s="2">
        <v>0.06</v>
      </c>
      <c r="AE158" t="b">
        <v>1</v>
      </c>
      <c r="AZ158" s="2"/>
      <c r="BA158" s="7">
        <v>40</v>
      </c>
      <c r="BB158" t="s">
        <v>930</v>
      </c>
      <c r="BC158" t="s">
        <v>923</v>
      </c>
      <c r="BD158" t="s">
        <v>941</v>
      </c>
      <c r="BE158" t="str">
        <f>IF(OR(Table1[[#This Row],[ENGINE_CLASS]]="STEAM",Table1[[#This Row],[ENGINE_CLASS]]="ELECTRIC",Table1[[#This Row],[ENGINE_CLASS]]="DIESEL"),Table1[[#This Row],[ENGINE_CLASS]],"DISABLE")</f>
        <v>STEAM</v>
      </c>
      <c r="BF158">
        <v>0</v>
      </c>
      <c r="BG158" t="s">
        <v>735</v>
      </c>
      <c r="BI158"/>
      <c r="BJ158">
        <v>133</v>
      </c>
      <c r="BK158">
        <v>0</v>
      </c>
      <c r="BL158" t="s">
        <v>693</v>
      </c>
      <c r="BM158" t="s">
        <v>695</v>
      </c>
      <c r="BN158" t="s">
        <v>702</v>
      </c>
      <c r="BO158" t="s">
        <v>706</v>
      </c>
      <c r="BP158" t="s">
        <v>707</v>
      </c>
      <c r="BQ158" t="s">
        <v>708</v>
      </c>
    </row>
    <row r="159" spans="1:69" x14ac:dyDescent="0.4">
      <c r="A159" s="2" t="s">
        <v>183</v>
      </c>
      <c r="B159" t="str">
        <f>_xlfn.TEXTAFTER(Table1[[#This Row],[VEHIDCODE]],"_")</f>
        <v>Croatia_HZ_11</v>
      </c>
      <c r="C159" t="s">
        <v>742</v>
      </c>
      <c r="D159" t="str">
        <f>"item_"&amp;Table1[[#This Row],[VEHIDCODE]]</f>
        <v>item_steam_Croatia_HZ_11</v>
      </c>
      <c r="E159" t="str">
        <f>"str_"&amp;Table1[[#This Row],[VEHIDCODE]]</f>
        <v>str_steam_Croatia_HZ_11</v>
      </c>
      <c r="F159">
        <v>8</v>
      </c>
      <c r="G159" t="s">
        <v>20</v>
      </c>
      <c r="H159">
        <v>0</v>
      </c>
      <c r="I159" t="s">
        <v>23</v>
      </c>
      <c r="J159">
        <v>0</v>
      </c>
      <c r="K159">
        <v>1924</v>
      </c>
      <c r="L159">
        <v>7</v>
      </c>
      <c r="M159" s="2" t="s">
        <v>24</v>
      </c>
      <c r="N159" t="b">
        <v>1</v>
      </c>
      <c r="P159" s="2"/>
      <c r="Q159">
        <v>45</v>
      </c>
      <c r="R159">
        <v>1</v>
      </c>
      <c r="S159">
        <v>1160</v>
      </c>
      <c r="T159" t="s">
        <v>711</v>
      </c>
      <c r="U159">
        <v>90</v>
      </c>
      <c r="V159" s="2">
        <v>0.13</v>
      </c>
      <c r="AE159" t="b">
        <v>1</v>
      </c>
      <c r="AZ159" s="2"/>
      <c r="BA159" s="7">
        <v>40</v>
      </c>
      <c r="BB159" t="s">
        <v>930</v>
      </c>
      <c r="BC159" t="s">
        <v>923</v>
      </c>
      <c r="BD159" t="s">
        <v>941</v>
      </c>
      <c r="BE159" t="str">
        <f>IF(OR(Table1[[#This Row],[ENGINE_CLASS]]="STEAM",Table1[[#This Row],[ENGINE_CLASS]]="ELECTRIC",Table1[[#This Row],[ENGINE_CLASS]]="DIESEL"),Table1[[#This Row],[ENGINE_CLASS]],"DISABLE")</f>
        <v>STEAM</v>
      </c>
      <c r="BF159">
        <v>0</v>
      </c>
      <c r="BG159" t="s">
        <v>735</v>
      </c>
      <c r="BI159"/>
      <c r="BJ159">
        <v>137</v>
      </c>
      <c r="BK159">
        <v>0</v>
      </c>
      <c r="BL159" t="s">
        <v>693</v>
      </c>
      <c r="BM159" t="s">
        <v>695</v>
      </c>
      <c r="BN159" t="s">
        <v>702</v>
      </c>
      <c r="BO159" t="s">
        <v>706</v>
      </c>
      <c r="BP159" t="s">
        <v>707</v>
      </c>
      <c r="BQ159" t="s">
        <v>708</v>
      </c>
    </row>
    <row r="160" spans="1:69" x14ac:dyDescent="0.4">
      <c r="A160" s="2" t="s">
        <v>184</v>
      </c>
      <c r="B160" t="str">
        <f>_xlfn.TEXTAFTER(Table1[[#This Row],[VEHIDCODE]],"_")</f>
        <v>Hungary_MAV_242</v>
      </c>
      <c r="C160" t="s">
        <v>740</v>
      </c>
      <c r="D160" t="str">
        <f>"item_"&amp;Table1[[#This Row],[VEHIDCODE]]</f>
        <v>item_steam_Hungary_MAV_242</v>
      </c>
      <c r="E160" t="str">
        <f>"str_"&amp;Table1[[#This Row],[VEHIDCODE]]</f>
        <v>str_steam_Hungary_MAV_242</v>
      </c>
      <c r="F160">
        <v>7</v>
      </c>
      <c r="G160" t="s">
        <v>20</v>
      </c>
      <c r="H160">
        <v>0</v>
      </c>
      <c r="I160" t="s">
        <v>23</v>
      </c>
      <c r="J160">
        <v>0</v>
      </c>
      <c r="K160">
        <v>1936</v>
      </c>
      <c r="L160">
        <v>7</v>
      </c>
      <c r="M160" s="2" t="s">
        <v>24</v>
      </c>
      <c r="N160" t="b">
        <v>1</v>
      </c>
      <c r="P160" s="2"/>
      <c r="Q160">
        <v>45</v>
      </c>
      <c r="R160">
        <v>1</v>
      </c>
      <c r="S160">
        <v>618</v>
      </c>
      <c r="T160" t="s">
        <v>711</v>
      </c>
      <c r="U160">
        <v>120</v>
      </c>
      <c r="V160" s="2">
        <v>0.08</v>
      </c>
      <c r="AE160" t="b">
        <v>1</v>
      </c>
      <c r="AZ160" s="2"/>
      <c r="BA160" s="7">
        <v>40</v>
      </c>
      <c r="BB160" t="s">
        <v>930</v>
      </c>
      <c r="BC160" t="s">
        <v>923</v>
      </c>
      <c r="BD160" t="s">
        <v>941</v>
      </c>
      <c r="BE160" t="str">
        <f>IF(OR(Table1[[#This Row],[ENGINE_CLASS]]="STEAM",Table1[[#This Row],[ENGINE_CLASS]]="ELECTRIC",Table1[[#This Row],[ENGINE_CLASS]]="DIESEL"),Table1[[#This Row],[ENGINE_CLASS]],"DISABLE")</f>
        <v>STEAM</v>
      </c>
      <c r="BF160">
        <v>0</v>
      </c>
      <c r="BG160" t="s">
        <v>735</v>
      </c>
      <c r="BI160"/>
      <c r="BJ160">
        <v>85</v>
      </c>
      <c r="BK160">
        <v>0</v>
      </c>
      <c r="BL160" t="s">
        <v>693</v>
      </c>
      <c r="BM160" t="s">
        <v>695</v>
      </c>
      <c r="BN160" t="s">
        <v>702</v>
      </c>
      <c r="BO160" t="s">
        <v>706</v>
      </c>
      <c r="BP160" t="s">
        <v>707</v>
      </c>
      <c r="BQ160" t="s">
        <v>708</v>
      </c>
    </row>
    <row r="161" spans="1:69" x14ac:dyDescent="0.4">
      <c r="A161" s="2" t="s">
        <v>185</v>
      </c>
      <c r="B161" t="str">
        <f>_xlfn.TEXTAFTER(Table1[[#This Row],[VEHIDCODE]],"_")</f>
        <v>Czech_Republic_CD_4590</v>
      </c>
      <c r="C161" t="s">
        <v>740</v>
      </c>
      <c r="D161" t="str">
        <f>"item_"&amp;Table1[[#This Row],[VEHIDCODE]]</f>
        <v>item_steam_Czech_Republic_CD_4590</v>
      </c>
      <c r="E161" t="str">
        <f>"str_"&amp;Table1[[#This Row],[VEHIDCODE]]</f>
        <v>str_steam_Czech_Republic_CD_4590</v>
      </c>
      <c r="F161">
        <v>6</v>
      </c>
      <c r="G161" t="s">
        <v>20</v>
      </c>
      <c r="H161">
        <v>0</v>
      </c>
      <c r="I161" t="s">
        <v>23</v>
      </c>
      <c r="J161">
        <v>0</v>
      </c>
      <c r="K161">
        <v>1946</v>
      </c>
      <c r="L161">
        <v>5</v>
      </c>
      <c r="M161" s="2" t="s">
        <v>24</v>
      </c>
      <c r="N161" t="b">
        <v>1</v>
      </c>
      <c r="P161" s="2"/>
      <c r="Q161">
        <v>45</v>
      </c>
      <c r="R161">
        <v>0</v>
      </c>
      <c r="S161">
        <v>1857</v>
      </c>
      <c r="T161" t="s">
        <v>711</v>
      </c>
      <c r="U161">
        <v>80</v>
      </c>
      <c r="V161" s="2">
        <v>0.2</v>
      </c>
      <c r="AE161" t="b">
        <v>1</v>
      </c>
      <c r="AZ161" s="2"/>
      <c r="BA161" s="7">
        <v>40</v>
      </c>
      <c r="BB161" t="s">
        <v>930</v>
      </c>
      <c r="BC161" t="s">
        <v>923</v>
      </c>
      <c r="BD161" t="s">
        <v>941</v>
      </c>
      <c r="BE161" t="str">
        <f>IF(OR(Table1[[#This Row],[ENGINE_CLASS]]="STEAM",Table1[[#This Row],[ENGINE_CLASS]]="ELECTRIC",Table1[[#This Row],[ENGINE_CLASS]]="DIESEL"),Table1[[#This Row],[ENGINE_CLASS]],"DISABLE")</f>
        <v>STEAM</v>
      </c>
      <c r="BF161">
        <v>0</v>
      </c>
      <c r="BG161" t="s">
        <v>735</v>
      </c>
      <c r="BI161"/>
      <c r="BJ161">
        <v>103</v>
      </c>
      <c r="BK161">
        <v>0</v>
      </c>
      <c r="BL161" t="s">
        <v>693</v>
      </c>
      <c r="BM161" t="s">
        <v>695</v>
      </c>
      <c r="BN161" t="s">
        <v>702</v>
      </c>
      <c r="BO161" t="s">
        <v>706</v>
      </c>
      <c r="BP161" t="s">
        <v>707</v>
      </c>
      <c r="BQ161" t="s">
        <v>708</v>
      </c>
    </row>
    <row r="162" spans="1:69" x14ac:dyDescent="0.4">
      <c r="A162" s="2" t="s">
        <v>186</v>
      </c>
      <c r="B162" t="str">
        <f>_xlfn.TEXTAFTER(Table1[[#This Row],[VEHIDCODE]],"_")</f>
        <v>Poland_PKP_OI49</v>
      </c>
      <c r="C162" t="s">
        <v>740</v>
      </c>
      <c r="D162" t="str">
        <f>"item_"&amp;Table1[[#This Row],[VEHIDCODE]]</f>
        <v>item_steam_Poland_PKP_OI49</v>
      </c>
      <c r="E162" t="str">
        <f>"str_"&amp;Table1[[#This Row],[VEHIDCODE]]</f>
        <v>str_steam_Poland_PKP_OI49</v>
      </c>
      <c r="F162">
        <v>8</v>
      </c>
      <c r="G162" t="s">
        <v>20</v>
      </c>
      <c r="H162">
        <v>0</v>
      </c>
      <c r="I162" t="s">
        <v>23</v>
      </c>
      <c r="J162">
        <v>0</v>
      </c>
      <c r="K162">
        <v>1951</v>
      </c>
      <c r="L162">
        <v>7</v>
      </c>
      <c r="M162" s="2" t="s">
        <v>24</v>
      </c>
      <c r="N162" t="b">
        <v>1</v>
      </c>
      <c r="P162" s="2"/>
      <c r="Q162">
        <v>45</v>
      </c>
      <c r="R162">
        <v>1</v>
      </c>
      <c r="S162">
        <v>1290</v>
      </c>
      <c r="T162" t="s">
        <v>711</v>
      </c>
      <c r="U162">
        <v>100</v>
      </c>
      <c r="V162" s="2">
        <v>0.1</v>
      </c>
      <c r="AE162" t="b">
        <v>1</v>
      </c>
      <c r="AZ162" s="2"/>
      <c r="BA162" s="7">
        <v>40</v>
      </c>
      <c r="BB162" t="s">
        <v>930</v>
      </c>
      <c r="BC162" t="s">
        <v>923</v>
      </c>
      <c r="BD162" t="s">
        <v>941</v>
      </c>
      <c r="BE162" t="str">
        <f>IF(OR(Table1[[#This Row],[ENGINE_CLASS]]="STEAM",Table1[[#This Row],[ENGINE_CLASS]]="ELECTRIC",Table1[[#This Row],[ENGINE_CLASS]]="DIESEL"),Table1[[#This Row],[ENGINE_CLASS]],"DISABLE")</f>
        <v>STEAM</v>
      </c>
      <c r="BF162">
        <v>0</v>
      </c>
      <c r="BG162" t="s">
        <v>735</v>
      </c>
      <c r="BI162"/>
      <c r="BJ162">
        <v>125</v>
      </c>
      <c r="BK162">
        <v>0</v>
      </c>
      <c r="BL162" t="s">
        <v>693</v>
      </c>
      <c r="BM162" t="s">
        <v>695</v>
      </c>
      <c r="BN162" t="s">
        <v>702</v>
      </c>
      <c r="BO162" t="s">
        <v>706</v>
      </c>
      <c r="BP162" t="s">
        <v>707</v>
      </c>
      <c r="BQ162" t="s">
        <v>708</v>
      </c>
    </row>
    <row r="163" spans="1:69" x14ac:dyDescent="0.4">
      <c r="A163" s="2" t="s">
        <v>187</v>
      </c>
      <c r="B163" t="str">
        <f>_xlfn.TEXTAFTER(Table1[[#This Row],[VEHIDCODE]],"_")</f>
        <v>Austria_KKStB_310</v>
      </c>
      <c r="C163" t="s">
        <v>740</v>
      </c>
      <c r="D163" t="str">
        <f>"item_"&amp;Table1[[#This Row],[VEHIDCODE]]</f>
        <v>item_steam_Austria_KKStB_310</v>
      </c>
      <c r="E163" t="str">
        <f>"str_"&amp;Table1[[#This Row],[VEHIDCODE]]</f>
        <v>str_steam_Austria_KKStB_310</v>
      </c>
      <c r="F163">
        <v>8</v>
      </c>
      <c r="G163" t="s">
        <v>20</v>
      </c>
      <c r="H163">
        <v>0</v>
      </c>
      <c r="I163" t="s">
        <v>23</v>
      </c>
      <c r="J163">
        <v>0</v>
      </c>
      <c r="K163">
        <v>1911</v>
      </c>
      <c r="L163">
        <v>7</v>
      </c>
      <c r="M163" s="2" t="s">
        <v>24</v>
      </c>
      <c r="N163" t="b">
        <v>1</v>
      </c>
      <c r="P163" s="2"/>
      <c r="Q163">
        <v>45</v>
      </c>
      <c r="R163">
        <v>1</v>
      </c>
      <c r="S163">
        <v>1885</v>
      </c>
      <c r="T163" t="s">
        <v>711</v>
      </c>
      <c r="U163">
        <v>100</v>
      </c>
      <c r="V163" s="2">
        <v>0.17</v>
      </c>
      <c r="AE163" t="b">
        <v>1</v>
      </c>
      <c r="AZ163" s="2"/>
      <c r="BA163" s="7">
        <v>40</v>
      </c>
      <c r="BB163" t="s">
        <v>924</v>
      </c>
      <c r="BC163" t="s">
        <v>923</v>
      </c>
      <c r="BD163" t="s">
        <v>941</v>
      </c>
      <c r="BE163" t="str">
        <f>IF(OR(Table1[[#This Row],[ENGINE_CLASS]]="STEAM",Table1[[#This Row],[ENGINE_CLASS]]="ELECTRIC",Table1[[#This Row],[ENGINE_CLASS]]="DIESEL"),Table1[[#This Row],[ENGINE_CLASS]],"DISABLE")</f>
        <v>STEAM</v>
      </c>
      <c r="BF163">
        <v>0</v>
      </c>
      <c r="BG163" t="s">
        <v>735</v>
      </c>
      <c r="BI163"/>
      <c r="BJ163">
        <v>138</v>
      </c>
      <c r="BK163">
        <v>0</v>
      </c>
      <c r="BL163" t="s">
        <v>693</v>
      </c>
      <c r="BM163" t="s">
        <v>695</v>
      </c>
      <c r="BN163" t="s">
        <v>702</v>
      </c>
      <c r="BO163" t="s">
        <v>706</v>
      </c>
      <c r="BP163" t="s">
        <v>707</v>
      </c>
      <c r="BQ163" t="s">
        <v>708</v>
      </c>
    </row>
    <row r="164" spans="1:69" x14ac:dyDescent="0.4">
      <c r="A164" s="2" t="s">
        <v>188</v>
      </c>
      <c r="B164" t="str">
        <f>_xlfn.TEXTAFTER(Table1[[#This Row],[VEHIDCODE]],"_")</f>
        <v>USA_Southern_Pacific_GS_4_Daylight</v>
      </c>
      <c r="C164" t="s">
        <v>740</v>
      </c>
      <c r="D164" t="str">
        <f>"item_"&amp;Table1[[#This Row],[VEHIDCODE]]</f>
        <v>item_steam_USA_Southern_Pacific_GS_4_Daylight</v>
      </c>
      <c r="E164" t="str">
        <f>"str_"&amp;Table1[[#This Row],[VEHIDCODE]]</f>
        <v>str_steam_USA_Southern_Pacific_GS_4_Daylight</v>
      </c>
      <c r="F164">
        <v>12</v>
      </c>
      <c r="G164" t="s">
        <v>20</v>
      </c>
      <c r="H164">
        <v>0</v>
      </c>
      <c r="I164" t="s">
        <v>23</v>
      </c>
      <c r="J164">
        <v>0</v>
      </c>
      <c r="K164">
        <v>1941</v>
      </c>
      <c r="L164">
        <v>8</v>
      </c>
      <c r="M164" s="2" t="s">
        <v>24</v>
      </c>
      <c r="N164" t="b">
        <v>1</v>
      </c>
      <c r="P164" s="2"/>
      <c r="Q164">
        <v>45</v>
      </c>
      <c r="R164">
        <v>1</v>
      </c>
      <c r="S164">
        <v>5500</v>
      </c>
      <c r="T164" t="s">
        <v>711</v>
      </c>
      <c r="U164">
        <v>177</v>
      </c>
      <c r="V164" s="2">
        <v>0.09</v>
      </c>
      <c r="AE164" t="b">
        <v>1</v>
      </c>
      <c r="AZ164" s="2"/>
      <c r="BA164" s="7">
        <v>40</v>
      </c>
      <c r="BB164" t="s">
        <v>929</v>
      </c>
      <c r="BC164" t="s">
        <v>923</v>
      </c>
      <c r="BD164" t="s">
        <v>941</v>
      </c>
      <c r="BE164" t="str">
        <f>IF(OR(Table1[[#This Row],[ENGINE_CLASS]]="STEAM",Table1[[#This Row],[ENGINE_CLASS]]="ELECTRIC",Table1[[#This Row],[ENGINE_CLASS]]="DIESEL"),Table1[[#This Row],[ENGINE_CLASS]],"DISABLE")</f>
        <v>STEAM</v>
      </c>
      <c r="BF164">
        <v>0</v>
      </c>
      <c r="BG164" t="s">
        <v>735</v>
      </c>
      <c r="BI164"/>
      <c r="BJ164">
        <v>390</v>
      </c>
      <c r="BK164">
        <v>0</v>
      </c>
      <c r="BL164" t="s">
        <v>693</v>
      </c>
      <c r="BM164" t="s">
        <v>695</v>
      </c>
      <c r="BN164" t="s">
        <v>702</v>
      </c>
      <c r="BO164" t="s">
        <v>706</v>
      </c>
      <c r="BP164" t="s">
        <v>707</v>
      </c>
      <c r="BQ164" t="s">
        <v>708</v>
      </c>
    </row>
    <row r="165" spans="1:69" x14ac:dyDescent="0.4">
      <c r="A165" s="2" t="s">
        <v>189</v>
      </c>
      <c r="B165" t="str">
        <f>_xlfn.TEXTAFTER(Table1[[#This Row],[VEHIDCODE]],"_")</f>
        <v>Ireland_GS_WR_101</v>
      </c>
      <c r="C165" t="s">
        <v>740</v>
      </c>
      <c r="D165" t="str">
        <f>"item_"&amp;Table1[[#This Row],[VEHIDCODE]]</f>
        <v>item_steam_Ireland_GS_WR_101</v>
      </c>
      <c r="E165" t="str">
        <f>"str_"&amp;Table1[[#This Row],[VEHIDCODE]]</f>
        <v>str_steam_Ireland_GS_WR_101</v>
      </c>
      <c r="F165">
        <v>6</v>
      </c>
      <c r="G165" t="s">
        <v>20</v>
      </c>
      <c r="H165">
        <v>0</v>
      </c>
      <c r="I165" t="s">
        <v>23</v>
      </c>
      <c r="J165">
        <v>0</v>
      </c>
      <c r="K165">
        <v>1866</v>
      </c>
      <c r="L165">
        <v>5</v>
      </c>
      <c r="M165" s="2" t="s">
        <v>20</v>
      </c>
      <c r="N165" t="b">
        <v>1</v>
      </c>
      <c r="P165" s="2"/>
      <c r="Q165">
        <v>45</v>
      </c>
      <c r="R165">
        <v>0</v>
      </c>
      <c r="S165">
        <v>355</v>
      </c>
      <c r="T165" t="s">
        <v>711</v>
      </c>
      <c r="U165">
        <v>60</v>
      </c>
      <c r="V165" s="2">
        <v>0.13</v>
      </c>
      <c r="AE165" t="b">
        <v>1</v>
      </c>
      <c r="AZ165" s="2"/>
      <c r="BA165" s="7">
        <v>40</v>
      </c>
      <c r="BB165" t="s">
        <v>928</v>
      </c>
      <c r="BC165" t="s">
        <v>923</v>
      </c>
      <c r="BD165" t="s">
        <v>941</v>
      </c>
      <c r="BE165" t="str">
        <f>IF(OR(Table1[[#This Row],[ENGINE_CLASS]]="STEAM",Table1[[#This Row],[ENGINE_CLASS]]="ELECTRIC",Table1[[#This Row],[ENGINE_CLASS]]="DIESEL"),Table1[[#This Row],[ENGINE_CLASS]],"DISABLE")</f>
        <v>STEAM</v>
      </c>
      <c r="BF165">
        <v>0</v>
      </c>
      <c r="BG165" t="s">
        <v>735</v>
      </c>
      <c r="BI165"/>
      <c r="BJ165">
        <v>57</v>
      </c>
      <c r="BK165">
        <v>0</v>
      </c>
      <c r="BL165" t="s">
        <v>693</v>
      </c>
      <c r="BM165" t="s">
        <v>695</v>
      </c>
      <c r="BN165" t="s">
        <v>702</v>
      </c>
      <c r="BO165" t="s">
        <v>706</v>
      </c>
      <c r="BP165" t="s">
        <v>707</v>
      </c>
      <c r="BQ165" t="s">
        <v>708</v>
      </c>
    </row>
    <row r="166" spans="1:69" x14ac:dyDescent="0.4">
      <c r="A166" s="2" t="s">
        <v>190</v>
      </c>
      <c r="B166" t="str">
        <f>_xlfn.TEXTAFTER(Table1[[#This Row],[VEHIDCODE]],"_")</f>
        <v>USA_NYC_H_6A_Light_Mikado</v>
      </c>
      <c r="C166" t="s">
        <v>740</v>
      </c>
      <c r="D166" t="str">
        <f>"item_"&amp;Table1[[#This Row],[VEHIDCODE]]</f>
        <v>item_steam_USA_NYC_H_6A_Light_Mikado</v>
      </c>
      <c r="E166" t="str">
        <f>"str_"&amp;Table1[[#This Row],[VEHIDCODE]]</f>
        <v>str_steam_USA_NYC_H_6A_Light_Mikado</v>
      </c>
      <c r="F166">
        <v>8</v>
      </c>
      <c r="G166" t="s">
        <v>20</v>
      </c>
      <c r="H166">
        <v>0</v>
      </c>
      <c r="I166" t="s">
        <v>23</v>
      </c>
      <c r="J166">
        <v>0</v>
      </c>
      <c r="K166">
        <v>1914</v>
      </c>
      <c r="L166">
        <v>6</v>
      </c>
      <c r="M166" s="2" t="s">
        <v>20</v>
      </c>
      <c r="N166" t="b">
        <v>1</v>
      </c>
      <c r="P166" s="2"/>
      <c r="Q166">
        <v>45</v>
      </c>
      <c r="R166">
        <v>1</v>
      </c>
      <c r="S166">
        <v>2000</v>
      </c>
      <c r="T166" t="s">
        <v>711</v>
      </c>
      <c r="U166">
        <v>96</v>
      </c>
      <c r="V166" s="2">
        <v>0.11</v>
      </c>
      <c r="AE166" t="b">
        <v>1</v>
      </c>
      <c r="AZ166" s="2"/>
      <c r="BA166" s="7">
        <v>40</v>
      </c>
      <c r="BB166" t="s">
        <v>929</v>
      </c>
      <c r="BC166" t="s">
        <v>923</v>
      </c>
      <c r="BD166" t="s">
        <v>941</v>
      </c>
      <c r="BE166" t="str">
        <f>IF(OR(Table1[[#This Row],[ENGINE_CLASS]]="STEAM",Table1[[#This Row],[ENGINE_CLASS]]="ELECTRIC",Table1[[#This Row],[ENGINE_CLASS]]="DIESEL"),Table1[[#This Row],[ENGINE_CLASS]],"DISABLE")</f>
        <v>STEAM</v>
      </c>
      <c r="BF166">
        <v>0</v>
      </c>
      <c r="BG166" t="s">
        <v>735</v>
      </c>
      <c r="BI166"/>
      <c r="BJ166">
        <v>217</v>
      </c>
      <c r="BK166">
        <v>0</v>
      </c>
      <c r="BL166" t="s">
        <v>693</v>
      </c>
      <c r="BM166" t="s">
        <v>695</v>
      </c>
      <c r="BN166" t="s">
        <v>702</v>
      </c>
      <c r="BO166" t="s">
        <v>706</v>
      </c>
      <c r="BP166" t="s">
        <v>707</v>
      </c>
      <c r="BQ166" t="s">
        <v>708</v>
      </c>
    </row>
    <row r="167" spans="1:69" x14ac:dyDescent="0.4">
      <c r="A167" s="2" t="s">
        <v>191</v>
      </c>
      <c r="B167" t="str">
        <f>_xlfn.TEXTAFTER(Table1[[#This Row],[VEHIDCODE]],"_")</f>
        <v>Argentina_FCGR_315</v>
      </c>
      <c r="C167" t="s">
        <v>740</v>
      </c>
      <c r="D167" t="str">
        <f>"item_"&amp;Table1[[#This Row],[VEHIDCODE]]</f>
        <v>item_steam_Argentina_FCGR_315</v>
      </c>
      <c r="E167" t="str">
        <f>"str_"&amp;Table1[[#This Row],[VEHIDCODE]]</f>
        <v>str_steam_Argentina_FCGR_315</v>
      </c>
      <c r="F167">
        <v>4</v>
      </c>
      <c r="G167" t="s">
        <v>20</v>
      </c>
      <c r="H167">
        <v>0</v>
      </c>
      <c r="I167" t="s">
        <v>23</v>
      </c>
      <c r="J167">
        <v>0</v>
      </c>
      <c r="K167">
        <v>1871</v>
      </c>
      <c r="L167">
        <v>4</v>
      </c>
      <c r="M167" s="2" t="s">
        <v>20</v>
      </c>
      <c r="N167" t="b">
        <v>1</v>
      </c>
      <c r="P167" s="2"/>
      <c r="Q167">
        <v>45</v>
      </c>
      <c r="R167">
        <v>1</v>
      </c>
      <c r="S167">
        <v>145</v>
      </c>
      <c r="T167" t="s">
        <v>711</v>
      </c>
      <c r="U167">
        <v>45</v>
      </c>
      <c r="V167" s="2">
        <v>0.04</v>
      </c>
      <c r="AE167" t="b">
        <v>1</v>
      </c>
      <c r="AZ167" s="2"/>
      <c r="BA167" s="7">
        <v>40</v>
      </c>
      <c r="BB167" t="s">
        <v>931</v>
      </c>
      <c r="BC167" t="s">
        <v>923</v>
      </c>
      <c r="BD167" t="s">
        <v>941</v>
      </c>
      <c r="BE167" t="str">
        <f>IF(OR(Table1[[#This Row],[ENGINE_CLASS]]="STEAM",Table1[[#This Row],[ENGINE_CLASS]]="ELECTRIC",Table1[[#This Row],[ENGINE_CLASS]]="DIESEL"),Table1[[#This Row],[ENGINE_CLASS]],"DISABLE")</f>
        <v>STEAM</v>
      </c>
      <c r="BF167">
        <v>0</v>
      </c>
      <c r="BG167" t="s">
        <v>735</v>
      </c>
      <c r="BI167"/>
      <c r="BJ167">
        <v>48</v>
      </c>
      <c r="BK167">
        <v>0</v>
      </c>
      <c r="BL167" t="s">
        <v>693</v>
      </c>
      <c r="BM167" t="s">
        <v>695</v>
      </c>
      <c r="BN167" t="s">
        <v>702</v>
      </c>
      <c r="BO167" t="s">
        <v>706</v>
      </c>
      <c r="BP167" t="s">
        <v>707</v>
      </c>
      <c r="BQ167" t="s">
        <v>708</v>
      </c>
    </row>
    <row r="168" spans="1:69" x14ac:dyDescent="0.4">
      <c r="A168" s="2" t="s">
        <v>192</v>
      </c>
      <c r="B168" t="str">
        <f>_xlfn.TEXTAFTER(Table1[[#This Row],[VEHIDCODE]],"_")</f>
        <v>Australia_NSWGR_C35</v>
      </c>
      <c r="C168" t="s">
        <v>740</v>
      </c>
      <c r="D168" t="str">
        <f>"item_"&amp;Table1[[#This Row],[VEHIDCODE]]</f>
        <v>item_steam_Australia_NSWGR_C35</v>
      </c>
      <c r="E168" t="str">
        <f>"str_"&amp;Table1[[#This Row],[VEHIDCODE]]</f>
        <v>str_steam_Australia_NSWGR_C35</v>
      </c>
      <c r="F168">
        <v>8</v>
      </c>
      <c r="G168" t="s">
        <v>20</v>
      </c>
      <c r="H168">
        <v>0</v>
      </c>
      <c r="I168" t="s">
        <v>23</v>
      </c>
      <c r="J168">
        <v>0</v>
      </c>
      <c r="K168">
        <v>1914</v>
      </c>
      <c r="L168">
        <v>6</v>
      </c>
      <c r="M168" s="2" t="s">
        <v>20</v>
      </c>
      <c r="N168" t="b">
        <v>1</v>
      </c>
      <c r="P168" s="2"/>
      <c r="Q168">
        <v>45</v>
      </c>
      <c r="R168">
        <v>1</v>
      </c>
      <c r="S168">
        <v>1150</v>
      </c>
      <c r="T168" t="s">
        <v>711</v>
      </c>
      <c r="U168">
        <v>80</v>
      </c>
      <c r="V168" s="2">
        <v>0.1</v>
      </c>
      <c r="AE168" t="b">
        <v>1</v>
      </c>
      <c r="AZ168" s="2"/>
      <c r="BA168" s="7">
        <v>40</v>
      </c>
      <c r="BB168" t="s">
        <v>926</v>
      </c>
      <c r="BC168" t="s">
        <v>923</v>
      </c>
      <c r="BD168" t="s">
        <v>941</v>
      </c>
      <c r="BE168" t="str">
        <f>IF(OR(Table1[[#This Row],[ENGINE_CLASS]]="STEAM",Table1[[#This Row],[ENGINE_CLASS]]="ELECTRIC",Table1[[#This Row],[ENGINE_CLASS]]="DIESEL"),Table1[[#This Row],[ENGINE_CLASS]],"DISABLE")</f>
        <v>STEAM</v>
      </c>
      <c r="BF168">
        <v>0</v>
      </c>
      <c r="BG168" t="s">
        <v>735</v>
      </c>
      <c r="BI168"/>
      <c r="BJ168">
        <v>126</v>
      </c>
      <c r="BK168">
        <v>0</v>
      </c>
      <c r="BL168" t="s">
        <v>693</v>
      </c>
      <c r="BM168" t="s">
        <v>695</v>
      </c>
      <c r="BN168" t="s">
        <v>702</v>
      </c>
      <c r="BO168" t="s">
        <v>706</v>
      </c>
      <c r="BP168" t="s">
        <v>707</v>
      </c>
      <c r="BQ168" t="s">
        <v>708</v>
      </c>
    </row>
    <row r="169" spans="1:69" x14ac:dyDescent="0.4">
      <c r="A169" s="2" t="s">
        <v>193</v>
      </c>
      <c r="B169" t="str">
        <f>_xlfn.TEXTAFTER(Table1[[#This Row],[VEHIDCODE]],"_")</f>
        <v>Belgium_NMBS_SNCB_Type_29</v>
      </c>
      <c r="C169" t="s">
        <v>740</v>
      </c>
      <c r="D169" t="str">
        <f>"item_"&amp;Table1[[#This Row],[VEHIDCODE]]</f>
        <v>item_steam_Belgium_NMBS_SNCB_Type_29</v>
      </c>
      <c r="E169" t="str">
        <f>"str_"&amp;Table1[[#This Row],[VEHIDCODE]]</f>
        <v>str_steam_Belgium_NMBS_SNCB_Type_29</v>
      </c>
      <c r="F169">
        <v>8</v>
      </c>
      <c r="G169" t="s">
        <v>20</v>
      </c>
      <c r="H169">
        <v>0</v>
      </c>
      <c r="I169" t="s">
        <v>23</v>
      </c>
      <c r="J169">
        <v>0</v>
      </c>
      <c r="K169">
        <v>1945</v>
      </c>
      <c r="L169">
        <v>7</v>
      </c>
      <c r="M169" s="2" t="s">
        <v>20</v>
      </c>
      <c r="N169" t="b">
        <v>1</v>
      </c>
      <c r="P169" s="2"/>
      <c r="Q169">
        <v>45</v>
      </c>
      <c r="R169">
        <v>1</v>
      </c>
      <c r="S169">
        <v>2000</v>
      </c>
      <c r="T169" t="s">
        <v>711</v>
      </c>
      <c r="U169">
        <v>96</v>
      </c>
      <c r="V169" s="2">
        <v>0.15</v>
      </c>
      <c r="AE169" t="b">
        <v>1</v>
      </c>
      <c r="AZ169" s="2"/>
      <c r="BA169" s="7">
        <v>40</v>
      </c>
      <c r="BB169" t="s">
        <v>924</v>
      </c>
      <c r="BC169" t="s">
        <v>923</v>
      </c>
      <c r="BD169" t="s">
        <v>941</v>
      </c>
      <c r="BE169" t="str">
        <f>IF(OR(Table1[[#This Row],[ENGINE_CLASS]]="STEAM",Table1[[#This Row],[ENGINE_CLASS]]="ELECTRIC",Table1[[#This Row],[ENGINE_CLASS]]="DIESEL"),Table1[[#This Row],[ENGINE_CLASS]],"DISABLE")</f>
        <v>STEAM</v>
      </c>
      <c r="BF169">
        <v>0</v>
      </c>
      <c r="BG169" t="s">
        <v>735</v>
      </c>
      <c r="BI169"/>
      <c r="BJ169">
        <v>127</v>
      </c>
      <c r="BK169">
        <v>0</v>
      </c>
      <c r="BL169" t="s">
        <v>693</v>
      </c>
      <c r="BM169" t="s">
        <v>695</v>
      </c>
      <c r="BN169" t="s">
        <v>702</v>
      </c>
      <c r="BO169" t="s">
        <v>706</v>
      </c>
      <c r="BP169" t="s">
        <v>707</v>
      </c>
      <c r="BQ169" t="s">
        <v>708</v>
      </c>
    </row>
    <row r="170" spans="1:69" x14ac:dyDescent="0.4">
      <c r="A170" s="2" t="s">
        <v>194</v>
      </c>
      <c r="B170" t="str">
        <f>_xlfn.TEXTAFTER(Table1[[#This Row],[VEHIDCODE]],"_")</f>
        <v>Chile_FCAB_4_8_2</v>
      </c>
      <c r="C170" t="s">
        <v>740</v>
      </c>
      <c r="D170" t="str">
        <f>"item_"&amp;Table1[[#This Row],[VEHIDCODE]]</f>
        <v>item_steam_Chile_FCAB_4_8_2</v>
      </c>
      <c r="E170" t="str">
        <f>"str_"&amp;Table1[[#This Row],[VEHIDCODE]]</f>
        <v>str_steam_Chile_FCAB_4_8_2</v>
      </c>
      <c r="F170">
        <v>8</v>
      </c>
      <c r="G170" t="s">
        <v>20</v>
      </c>
      <c r="H170">
        <v>0</v>
      </c>
      <c r="I170" t="s">
        <v>23</v>
      </c>
      <c r="J170">
        <v>0</v>
      </c>
      <c r="K170">
        <v>1954</v>
      </c>
      <c r="L170">
        <v>7</v>
      </c>
      <c r="M170" s="2" t="s">
        <v>20</v>
      </c>
      <c r="N170" t="b">
        <v>1</v>
      </c>
      <c r="P170" s="2"/>
      <c r="Q170">
        <v>45</v>
      </c>
      <c r="R170">
        <v>1</v>
      </c>
      <c r="S170">
        <v>1457</v>
      </c>
      <c r="T170" t="s">
        <v>711</v>
      </c>
      <c r="U170">
        <v>85</v>
      </c>
      <c r="V170" s="2">
        <v>0.1</v>
      </c>
      <c r="AE170" t="b">
        <v>1</v>
      </c>
      <c r="AZ170" s="2"/>
      <c r="BA170" s="7">
        <v>40</v>
      </c>
      <c r="BB170" t="s">
        <v>931</v>
      </c>
      <c r="BC170" t="s">
        <v>923</v>
      </c>
      <c r="BD170" t="s">
        <v>941</v>
      </c>
      <c r="BE170" t="str">
        <f>IF(OR(Table1[[#This Row],[ENGINE_CLASS]]="STEAM",Table1[[#This Row],[ENGINE_CLASS]]="ELECTRIC",Table1[[#This Row],[ENGINE_CLASS]]="DIESEL"),Table1[[#This Row],[ENGINE_CLASS]],"DISABLE")</f>
        <v>STEAM</v>
      </c>
      <c r="BF170">
        <v>0</v>
      </c>
      <c r="BG170" t="s">
        <v>735</v>
      </c>
      <c r="BI170"/>
      <c r="BJ170">
        <v>146</v>
      </c>
      <c r="BK170">
        <v>0</v>
      </c>
      <c r="BL170" t="s">
        <v>693</v>
      </c>
      <c r="BM170" t="s">
        <v>695</v>
      </c>
      <c r="BN170" t="s">
        <v>702</v>
      </c>
      <c r="BO170" t="s">
        <v>706</v>
      </c>
      <c r="BP170" t="s">
        <v>707</v>
      </c>
      <c r="BQ170" t="s">
        <v>708</v>
      </c>
    </row>
    <row r="171" spans="1:69" x14ac:dyDescent="0.4">
      <c r="A171" s="2" t="s">
        <v>195</v>
      </c>
      <c r="B171" t="str">
        <f>_xlfn.TEXTAFTER(Table1[[#This Row],[VEHIDCODE]],"_")</f>
        <v>China_Railways_QJ</v>
      </c>
      <c r="C171" t="s">
        <v>740</v>
      </c>
      <c r="D171" t="str">
        <f>"item_"&amp;Table1[[#This Row],[VEHIDCODE]]</f>
        <v>item_steam_China_Railways_QJ</v>
      </c>
      <c r="E171" t="str">
        <f>"str_"&amp;Table1[[#This Row],[VEHIDCODE]]</f>
        <v>str_steam_China_Railways_QJ</v>
      </c>
      <c r="F171">
        <v>12</v>
      </c>
      <c r="G171" t="s">
        <v>20</v>
      </c>
      <c r="H171">
        <v>0</v>
      </c>
      <c r="I171" t="s">
        <v>23</v>
      </c>
      <c r="J171">
        <v>0</v>
      </c>
      <c r="K171">
        <v>1956</v>
      </c>
      <c r="L171">
        <v>8</v>
      </c>
      <c r="M171" s="2" t="s">
        <v>24</v>
      </c>
      <c r="N171" t="b">
        <v>1</v>
      </c>
      <c r="P171" s="2"/>
      <c r="Q171">
        <v>45</v>
      </c>
      <c r="R171">
        <v>1</v>
      </c>
      <c r="S171">
        <v>3580</v>
      </c>
      <c r="T171" t="s">
        <v>711</v>
      </c>
      <c r="U171">
        <v>80</v>
      </c>
      <c r="V171" s="2">
        <v>0.21</v>
      </c>
      <c r="AE171" t="b">
        <v>1</v>
      </c>
      <c r="AZ171" s="2"/>
      <c r="BA171" s="7">
        <v>40</v>
      </c>
      <c r="BB171" t="s">
        <v>932</v>
      </c>
      <c r="BC171" t="s">
        <v>923</v>
      </c>
      <c r="BD171" t="s">
        <v>941</v>
      </c>
      <c r="BE171" t="str">
        <f>IF(OR(Table1[[#This Row],[ENGINE_CLASS]]="STEAM",Table1[[#This Row],[ENGINE_CLASS]]="ELECTRIC",Table1[[#This Row],[ENGINE_CLASS]]="DIESEL"),Table1[[#This Row],[ENGINE_CLASS]],"DISABLE")</f>
        <v>STEAM</v>
      </c>
      <c r="BF171">
        <v>0</v>
      </c>
      <c r="BG171" t="s">
        <v>735</v>
      </c>
      <c r="BI171"/>
      <c r="BJ171">
        <v>133</v>
      </c>
      <c r="BK171">
        <v>0</v>
      </c>
      <c r="BL171" t="s">
        <v>693</v>
      </c>
      <c r="BM171" t="s">
        <v>695</v>
      </c>
      <c r="BN171" t="s">
        <v>702</v>
      </c>
      <c r="BO171" t="s">
        <v>706</v>
      </c>
      <c r="BP171" t="s">
        <v>707</v>
      </c>
      <c r="BQ171" t="s">
        <v>708</v>
      </c>
    </row>
    <row r="172" spans="1:69" x14ac:dyDescent="0.4">
      <c r="A172" s="2" t="s">
        <v>196</v>
      </c>
      <c r="B172" t="str">
        <f>_xlfn.TEXTAFTER(Table1[[#This Row],[VEHIDCODE]],"_")</f>
        <v>Germany_DB_Kof_II</v>
      </c>
      <c r="C172" t="s">
        <v>741</v>
      </c>
      <c r="D172" t="str">
        <f>"item_"&amp;Table1[[#This Row],[VEHIDCODE]]</f>
        <v>item_diesel_Germany_DB_Kof_II</v>
      </c>
      <c r="E172" t="str">
        <f>"str_"&amp;Table1[[#This Row],[VEHIDCODE]]</f>
        <v>str_diesel_Germany_DB_Kof_II</v>
      </c>
      <c r="F172">
        <v>4</v>
      </c>
      <c r="G172" t="s">
        <v>20</v>
      </c>
      <c r="H172">
        <v>0</v>
      </c>
      <c r="I172" t="s">
        <v>35</v>
      </c>
      <c r="J172">
        <v>0</v>
      </c>
      <c r="K172">
        <v>1930</v>
      </c>
      <c r="L172">
        <v>4</v>
      </c>
      <c r="M172" s="2" t="s">
        <v>20</v>
      </c>
      <c r="N172" t="b">
        <v>1</v>
      </c>
      <c r="P172" s="2"/>
      <c r="Q172">
        <v>45</v>
      </c>
      <c r="R172">
        <v>1</v>
      </c>
      <c r="S172">
        <v>95</v>
      </c>
      <c r="T172" t="s">
        <v>712</v>
      </c>
      <c r="U172">
        <v>30</v>
      </c>
      <c r="V172" s="2">
        <v>0.39</v>
      </c>
      <c r="AE172" t="b">
        <v>1</v>
      </c>
      <c r="AZ172" s="2"/>
      <c r="BA172" s="7">
        <v>40</v>
      </c>
      <c r="BB172" t="s">
        <v>924</v>
      </c>
      <c r="BC172" t="s">
        <v>923</v>
      </c>
      <c r="BD172" t="s">
        <v>941</v>
      </c>
      <c r="BE172" t="str">
        <f>IF(OR(Table1[[#This Row],[ENGINE_CLASS]]="STEAM",Table1[[#This Row],[ENGINE_CLASS]]="ELECTRIC",Table1[[#This Row],[ENGINE_CLASS]]="DIESEL"),Table1[[#This Row],[ENGINE_CLASS]],"DISABLE")</f>
        <v>DIESEL</v>
      </c>
      <c r="BF172">
        <v>0</v>
      </c>
      <c r="BG172" t="s">
        <v>735</v>
      </c>
      <c r="BI172"/>
      <c r="BJ172">
        <v>18</v>
      </c>
      <c r="BK172">
        <v>0</v>
      </c>
      <c r="BL172" t="s">
        <v>693</v>
      </c>
      <c r="BM172" t="s">
        <v>695</v>
      </c>
      <c r="BN172" t="s">
        <v>702</v>
      </c>
      <c r="BO172" t="s">
        <v>706</v>
      </c>
      <c r="BP172" t="s">
        <v>707</v>
      </c>
      <c r="BQ172" t="s">
        <v>708</v>
      </c>
    </row>
    <row r="173" spans="1:69" x14ac:dyDescent="0.4">
      <c r="A173" s="2" t="s">
        <v>197</v>
      </c>
      <c r="B173" t="str">
        <f>_xlfn.TEXTAFTER(Table1[[#This Row],[VEHIDCODE]],"_")</f>
        <v>USA_CNJ_ALCo_GE_IR_Boxcab</v>
      </c>
      <c r="C173" t="s">
        <v>741</v>
      </c>
      <c r="D173" t="str">
        <f>"item_"&amp;Table1[[#This Row],[VEHIDCODE]]</f>
        <v>item_diesel_USA_CNJ_ALCo_GE_IR_Boxcab</v>
      </c>
      <c r="E173" t="str">
        <f>"str_"&amp;Table1[[#This Row],[VEHIDCODE]]</f>
        <v>str_diesel_USA_CNJ_ALCo_GE_IR_Boxcab</v>
      </c>
      <c r="F173">
        <v>4</v>
      </c>
      <c r="G173" t="s">
        <v>20</v>
      </c>
      <c r="H173">
        <v>0</v>
      </c>
      <c r="I173" t="s">
        <v>35</v>
      </c>
      <c r="J173">
        <v>0</v>
      </c>
      <c r="K173">
        <v>1931</v>
      </c>
      <c r="L173">
        <v>4</v>
      </c>
      <c r="M173" s="2" t="s">
        <v>20</v>
      </c>
      <c r="N173" t="b">
        <v>1</v>
      </c>
      <c r="P173" s="2"/>
      <c r="Q173">
        <v>45</v>
      </c>
      <c r="R173">
        <v>1</v>
      </c>
      <c r="S173">
        <v>300</v>
      </c>
      <c r="T173" t="s">
        <v>712</v>
      </c>
      <c r="U173">
        <v>100</v>
      </c>
      <c r="V173" s="2">
        <v>0.11</v>
      </c>
      <c r="AE173" t="b">
        <v>1</v>
      </c>
      <c r="AZ173" s="2"/>
      <c r="BA173" s="7">
        <v>40</v>
      </c>
      <c r="BB173" t="s">
        <v>929</v>
      </c>
      <c r="BC173" t="s">
        <v>923</v>
      </c>
      <c r="BD173" t="s">
        <v>941</v>
      </c>
      <c r="BE173" t="str">
        <f>IF(OR(Table1[[#This Row],[ENGINE_CLASS]]="STEAM",Table1[[#This Row],[ENGINE_CLASS]]="ELECTRIC",Table1[[#This Row],[ENGINE_CLASS]]="DIESEL"),Table1[[#This Row],[ENGINE_CLASS]],"DISABLE")</f>
        <v>DIESEL</v>
      </c>
      <c r="BF173">
        <v>0</v>
      </c>
      <c r="BG173" t="s">
        <v>735</v>
      </c>
      <c r="BI173"/>
      <c r="BJ173">
        <v>61</v>
      </c>
      <c r="BK173">
        <v>0</v>
      </c>
      <c r="BL173" t="s">
        <v>693</v>
      </c>
      <c r="BM173" t="s">
        <v>695</v>
      </c>
      <c r="BN173" t="s">
        <v>702</v>
      </c>
      <c r="BO173" t="s">
        <v>706</v>
      </c>
      <c r="BP173" t="s">
        <v>707</v>
      </c>
      <c r="BQ173" t="s">
        <v>708</v>
      </c>
    </row>
    <row r="174" spans="1:69" x14ac:dyDescent="0.4">
      <c r="A174" s="2" t="s">
        <v>198</v>
      </c>
      <c r="B174" t="str">
        <f>_xlfn.TEXTAFTER(Table1[[#This Row],[VEHIDCODE]],"_")</f>
        <v>Netherlands_NS_200</v>
      </c>
      <c r="C174" t="s">
        <v>741</v>
      </c>
      <c r="D174" t="str">
        <f>"item_"&amp;Table1[[#This Row],[VEHIDCODE]]</f>
        <v>item_diesel_Netherlands_NS_200</v>
      </c>
      <c r="E174" t="str">
        <f>"str_"&amp;Table1[[#This Row],[VEHIDCODE]]</f>
        <v>str_diesel_Netherlands_NS_200</v>
      </c>
      <c r="F174">
        <v>4</v>
      </c>
      <c r="G174" t="s">
        <v>20</v>
      </c>
      <c r="H174">
        <v>0</v>
      </c>
      <c r="I174" t="s">
        <v>35</v>
      </c>
      <c r="J174">
        <v>0</v>
      </c>
      <c r="K174">
        <v>1934</v>
      </c>
      <c r="L174">
        <v>4</v>
      </c>
      <c r="M174" s="2" t="s">
        <v>20</v>
      </c>
      <c r="N174" t="b">
        <v>1</v>
      </c>
      <c r="P174" s="2"/>
      <c r="Q174">
        <v>45</v>
      </c>
      <c r="R174">
        <v>1</v>
      </c>
      <c r="S174">
        <v>72</v>
      </c>
      <c r="T174" t="s">
        <v>712</v>
      </c>
      <c r="U174">
        <v>60</v>
      </c>
      <c r="V174" s="2">
        <v>0.19</v>
      </c>
      <c r="AE174" t="b">
        <v>1</v>
      </c>
      <c r="AZ174" s="2"/>
      <c r="BA174" s="7">
        <v>40</v>
      </c>
      <c r="BB174" t="s">
        <v>924</v>
      </c>
      <c r="BC174" t="s">
        <v>923</v>
      </c>
      <c r="BD174" t="s">
        <v>941</v>
      </c>
      <c r="BE174" t="str">
        <f>IF(OR(Table1[[#This Row],[ENGINE_CLASS]]="STEAM",Table1[[#This Row],[ENGINE_CLASS]]="ELECTRIC",Table1[[#This Row],[ENGINE_CLASS]]="DIESEL"),Table1[[#This Row],[ENGINE_CLASS]],"DISABLE")</f>
        <v>DIESEL</v>
      </c>
      <c r="BF174">
        <v>0</v>
      </c>
      <c r="BG174" t="s">
        <v>735</v>
      </c>
      <c r="BI174"/>
      <c r="BJ174">
        <v>21</v>
      </c>
      <c r="BK174">
        <v>0</v>
      </c>
      <c r="BL174" t="s">
        <v>693</v>
      </c>
      <c r="BM174" t="s">
        <v>695</v>
      </c>
      <c r="BN174" t="s">
        <v>702</v>
      </c>
      <c r="BO174" t="s">
        <v>706</v>
      </c>
      <c r="BP174" t="s">
        <v>707</v>
      </c>
      <c r="BQ174" t="s">
        <v>708</v>
      </c>
    </row>
    <row r="175" spans="1:69" x14ac:dyDescent="0.4">
      <c r="A175" s="2" t="s">
        <v>199</v>
      </c>
      <c r="B175" t="str">
        <f>_xlfn.TEXTAFTER(Table1[[#This Row],[VEHIDCODE]],"_")</f>
        <v>Germany_DB_270</v>
      </c>
      <c r="C175" t="s">
        <v>741</v>
      </c>
      <c r="D175" t="str">
        <f>"item_"&amp;Table1[[#This Row],[VEHIDCODE]]</f>
        <v>item_diesel_Germany_DB_270</v>
      </c>
      <c r="E175" t="str">
        <f>"str_"&amp;Table1[[#This Row],[VEHIDCODE]]</f>
        <v>str_diesel_Germany_DB_270</v>
      </c>
      <c r="F175">
        <v>5</v>
      </c>
      <c r="G175" t="s">
        <v>20</v>
      </c>
      <c r="H175">
        <v>0</v>
      </c>
      <c r="I175" t="s">
        <v>35</v>
      </c>
      <c r="J175">
        <v>0</v>
      </c>
      <c r="K175">
        <v>1936</v>
      </c>
      <c r="L175">
        <v>5</v>
      </c>
      <c r="M175" s="2" t="s">
        <v>20</v>
      </c>
      <c r="N175" t="b">
        <v>1</v>
      </c>
      <c r="P175" s="2"/>
      <c r="Q175">
        <v>45</v>
      </c>
      <c r="R175">
        <v>1</v>
      </c>
      <c r="S175">
        <v>200</v>
      </c>
      <c r="T175" t="s">
        <v>712</v>
      </c>
      <c r="U175">
        <v>55</v>
      </c>
      <c r="V175" s="2">
        <v>0.31</v>
      </c>
      <c r="AE175" t="b">
        <v>1</v>
      </c>
      <c r="AZ175" s="2"/>
      <c r="BA175" s="7">
        <v>40</v>
      </c>
      <c r="BB175" t="s">
        <v>924</v>
      </c>
      <c r="BC175" t="s">
        <v>923</v>
      </c>
      <c r="BD175" t="s">
        <v>941</v>
      </c>
      <c r="BE175" t="str">
        <f>IF(OR(Table1[[#This Row],[ENGINE_CLASS]]="STEAM",Table1[[#This Row],[ENGINE_CLASS]]="ELECTRIC",Table1[[#This Row],[ENGINE_CLASS]]="DIESEL"),Table1[[#This Row],[ENGINE_CLASS]],"DISABLE")</f>
        <v>DIESEL</v>
      </c>
      <c r="BF175">
        <v>0</v>
      </c>
      <c r="BG175" t="s">
        <v>735</v>
      </c>
      <c r="BI175"/>
      <c r="BJ175">
        <v>26</v>
      </c>
      <c r="BK175">
        <v>0</v>
      </c>
      <c r="BL175" t="s">
        <v>693</v>
      </c>
      <c r="BM175" t="s">
        <v>695</v>
      </c>
      <c r="BN175" t="s">
        <v>702</v>
      </c>
      <c r="BO175" t="s">
        <v>706</v>
      </c>
      <c r="BP175" t="s">
        <v>707</v>
      </c>
      <c r="BQ175" t="s">
        <v>708</v>
      </c>
    </row>
    <row r="176" spans="1:69" x14ac:dyDescent="0.4">
      <c r="A176" s="2" t="s">
        <v>200</v>
      </c>
      <c r="B176" t="str">
        <f>_xlfn.TEXTAFTER(Table1[[#This Row],[VEHIDCODE]],"_")</f>
        <v>Switzerland_SBB_Am_4_6</v>
      </c>
      <c r="C176" t="s">
        <v>741</v>
      </c>
      <c r="D176" t="str">
        <f>"item_"&amp;Table1[[#This Row],[VEHIDCODE]]</f>
        <v>item_diesel_Switzerland_SBB_Am_4_6</v>
      </c>
      <c r="E176" t="str">
        <f>"str_"&amp;Table1[[#This Row],[VEHIDCODE]]</f>
        <v>str_diesel_Switzerland_SBB_Am_4_6</v>
      </c>
      <c r="F176">
        <v>8</v>
      </c>
      <c r="G176" t="s">
        <v>20</v>
      </c>
      <c r="H176">
        <v>0</v>
      </c>
      <c r="I176" t="s">
        <v>35</v>
      </c>
      <c r="J176">
        <v>0</v>
      </c>
      <c r="K176">
        <v>1938</v>
      </c>
      <c r="L176">
        <v>8</v>
      </c>
      <c r="M176" s="2" t="s">
        <v>20</v>
      </c>
      <c r="N176" t="b">
        <v>1</v>
      </c>
      <c r="P176" s="2"/>
      <c r="Q176">
        <v>45</v>
      </c>
      <c r="R176">
        <v>1</v>
      </c>
      <c r="S176">
        <v>2170</v>
      </c>
      <c r="T176" t="s">
        <v>712</v>
      </c>
      <c r="U176">
        <v>110</v>
      </c>
      <c r="V176" s="2">
        <v>0.14000000000000001</v>
      </c>
      <c r="AE176" t="b">
        <v>1</v>
      </c>
      <c r="AZ176" s="2"/>
      <c r="BA176" s="7">
        <v>40</v>
      </c>
      <c r="BB176" t="s">
        <v>924</v>
      </c>
      <c r="BC176" t="s">
        <v>923</v>
      </c>
      <c r="BD176" t="s">
        <v>941</v>
      </c>
      <c r="BE176" t="str">
        <f>IF(OR(Table1[[#This Row],[ENGINE_CLASS]]="STEAM",Table1[[#This Row],[ENGINE_CLASS]]="ELECTRIC",Table1[[#This Row],[ENGINE_CLASS]]="DIESEL"),Table1[[#This Row],[ENGINE_CLASS]],"DISABLE")</f>
        <v>DIESEL</v>
      </c>
      <c r="BF176">
        <v>0</v>
      </c>
      <c r="BG176" t="s">
        <v>735</v>
      </c>
      <c r="BI176"/>
      <c r="BJ176">
        <v>92</v>
      </c>
      <c r="BK176">
        <v>0</v>
      </c>
      <c r="BL176" t="s">
        <v>693</v>
      </c>
      <c r="BM176" t="s">
        <v>695</v>
      </c>
      <c r="BN176" t="s">
        <v>702</v>
      </c>
      <c r="BO176" t="s">
        <v>706</v>
      </c>
      <c r="BP176" t="s">
        <v>707</v>
      </c>
      <c r="BQ176" t="s">
        <v>708</v>
      </c>
    </row>
    <row r="177" spans="1:69" x14ac:dyDescent="0.4">
      <c r="A177" s="2" t="s">
        <v>201</v>
      </c>
      <c r="B177" t="str">
        <f>_xlfn.TEXTAFTER(Table1[[#This Row],[VEHIDCODE]],"_")</f>
        <v>Australia_NSWGR_79</v>
      </c>
      <c r="C177" t="s">
        <v>741</v>
      </c>
      <c r="D177" t="str">
        <f>"item_"&amp;Table1[[#This Row],[VEHIDCODE]]</f>
        <v>item_diesel_Australia_NSWGR_79</v>
      </c>
      <c r="E177" t="str">
        <f>"str_"&amp;Table1[[#This Row],[VEHIDCODE]]</f>
        <v>str_diesel_Australia_NSWGR_79</v>
      </c>
      <c r="F177">
        <v>5</v>
      </c>
      <c r="G177" t="s">
        <v>20</v>
      </c>
      <c r="H177">
        <v>0</v>
      </c>
      <c r="I177" t="s">
        <v>35</v>
      </c>
      <c r="J177">
        <v>0</v>
      </c>
      <c r="K177">
        <v>1940</v>
      </c>
      <c r="L177">
        <v>5</v>
      </c>
      <c r="M177" s="2" t="s">
        <v>20</v>
      </c>
      <c r="N177" t="b">
        <v>1</v>
      </c>
      <c r="P177" s="2"/>
      <c r="Q177">
        <v>45</v>
      </c>
      <c r="R177">
        <v>1</v>
      </c>
      <c r="S177">
        <v>380</v>
      </c>
      <c r="T177" t="s">
        <v>712</v>
      </c>
      <c r="U177">
        <v>56</v>
      </c>
      <c r="V177" s="2">
        <v>0.15</v>
      </c>
      <c r="AE177" t="b">
        <v>1</v>
      </c>
      <c r="AZ177" s="2"/>
      <c r="BA177" s="7">
        <v>40</v>
      </c>
      <c r="BB177" t="s">
        <v>926</v>
      </c>
      <c r="BC177" t="s">
        <v>923</v>
      </c>
      <c r="BD177" t="s">
        <v>941</v>
      </c>
      <c r="BE177" t="str">
        <f>IF(OR(Table1[[#This Row],[ENGINE_CLASS]]="STEAM",Table1[[#This Row],[ENGINE_CLASS]]="ELECTRIC",Table1[[#This Row],[ENGINE_CLASS]]="DIESEL"),Table1[[#This Row],[ENGINE_CLASS]],"DISABLE")</f>
        <v>DIESEL</v>
      </c>
      <c r="BF177">
        <v>0</v>
      </c>
      <c r="BG177" t="s">
        <v>735</v>
      </c>
      <c r="BI177"/>
      <c r="BJ177">
        <v>40</v>
      </c>
      <c r="BK177">
        <v>0</v>
      </c>
      <c r="BL177" t="s">
        <v>693</v>
      </c>
      <c r="BM177" t="s">
        <v>695</v>
      </c>
      <c r="BN177" t="s">
        <v>702</v>
      </c>
      <c r="BO177" t="s">
        <v>706</v>
      </c>
      <c r="BP177" t="s">
        <v>707</v>
      </c>
      <c r="BQ177" t="s">
        <v>708</v>
      </c>
    </row>
    <row r="178" spans="1:69" x14ac:dyDescent="0.4">
      <c r="A178" s="2" t="s">
        <v>202</v>
      </c>
      <c r="B178" t="str">
        <f>_xlfn.TEXTAFTER(Table1[[#This Row],[VEHIDCODE]],"_")</f>
        <v>USA_Western_Pacific_ALCO_S_2</v>
      </c>
      <c r="C178" t="s">
        <v>741</v>
      </c>
      <c r="D178" t="str">
        <f>"item_"&amp;Table1[[#This Row],[VEHIDCODE]]</f>
        <v>item_diesel_USA_Western_Pacific_ALCO_S_2</v>
      </c>
      <c r="E178" t="str">
        <f>"str_"&amp;Table1[[#This Row],[VEHIDCODE]]</f>
        <v>str_diesel_USA_Western_Pacific_ALCO_S_2</v>
      </c>
      <c r="F178">
        <v>6</v>
      </c>
      <c r="G178" t="s">
        <v>20</v>
      </c>
      <c r="H178">
        <v>0</v>
      </c>
      <c r="I178" t="s">
        <v>35</v>
      </c>
      <c r="J178">
        <v>0</v>
      </c>
      <c r="K178">
        <v>1940</v>
      </c>
      <c r="L178">
        <v>6</v>
      </c>
      <c r="M178" s="2" t="s">
        <v>20</v>
      </c>
      <c r="N178" t="b">
        <v>1</v>
      </c>
      <c r="P178" s="2"/>
      <c r="Q178">
        <v>45</v>
      </c>
      <c r="R178">
        <v>1</v>
      </c>
      <c r="S178">
        <v>1000</v>
      </c>
      <c r="T178" t="s">
        <v>712</v>
      </c>
      <c r="U178">
        <v>96</v>
      </c>
      <c r="V178" s="2">
        <v>0.15</v>
      </c>
      <c r="AE178" t="b">
        <v>1</v>
      </c>
      <c r="AZ178" s="2"/>
      <c r="BA178" s="7">
        <v>40</v>
      </c>
      <c r="BB178" t="s">
        <v>929</v>
      </c>
      <c r="BC178" t="s">
        <v>923</v>
      </c>
      <c r="BD178" t="s">
        <v>941</v>
      </c>
      <c r="BE178" t="str">
        <f>IF(OR(Table1[[#This Row],[ENGINE_CLASS]]="STEAM",Table1[[#This Row],[ENGINE_CLASS]]="ELECTRIC",Table1[[#This Row],[ENGINE_CLASS]]="DIESEL"),Table1[[#This Row],[ENGINE_CLASS]],"DISABLE")</f>
        <v>DIESEL</v>
      </c>
      <c r="BF178">
        <v>0</v>
      </c>
      <c r="BG178" t="s">
        <v>735</v>
      </c>
      <c r="BI178"/>
      <c r="BJ178">
        <v>104</v>
      </c>
      <c r="BK178">
        <v>0</v>
      </c>
      <c r="BL178" t="s">
        <v>693</v>
      </c>
      <c r="BM178" t="s">
        <v>695</v>
      </c>
      <c r="BN178" t="s">
        <v>702</v>
      </c>
      <c r="BO178" t="s">
        <v>706</v>
      </c>
      <c r="BP178" t="s">
        <v>707</v>
      </c>
      <c r="BQ178" t="s">
        <v>708</v>
      </c>
    </row>
    <row r="179" spans="1:69" x14ac:dyDescent="0.4">
      <c r="A179" s="2" t="s">
        <v>203</v>
      </c>
      <c r="B179" t="str">
        <f>_xlfn.TEXTAFTER(Table1[[#This Row],[VEHIDCODE]],"_")</f>
        <v>USA_AT_SF_EMD_F3</v>
      </c>
      <c r="C179" t="s">
        <v>741</v>
      </c>
      <c r="D179" t="str">
        <f>"item_"&amp;Table1[[#This Row],[VEHIDCODE]]</f>
        <v>item_diesel_USA_AT_SF_EMD_F3</v>
      </c>
      <c r="E179" t="str">
        <f>"str_"&amp;Table1[[#This Row],[VEHIDCODE]]</f>
        <v>str_diesel_USA_AT_SF_EMD_F3</v>
      </c>
      <c r="F179">
        <v>7</v>
      </c>
      <c r="G179" t="s">
        <v>20</v>
      </c>
      <c r="H179">
        <v>0</v>
      </c>
      <c r="I179" t="s">
        <v>35</v>
      </c>
      <c r="J179">
        <v>0</v>
      </c>
      <c r="K179">
        <v>1946</v>
      </c>
      <c r="L179">
        <v>7</v>
      </c>
      <c r="M179" s="2" t="s">
        <v>20</v>
      </c>
      <c r="N179" t="b">
        <v>1</v>
      </c>
      <c r="P179" s="2"/>
      <c r="Q179">
        <v>45</v>
      </c>
      <c r="R179">
        <v>1</v>
      </c>
      <c r="S179">
        <v>1500</v>
      </c>
      <c r="T179" t="s">
        <v>712</v>
      </c>
      <c r="U179">
        <v>105</v>
      </c>
      <c r="V179" s="2">
        <v>0.16</v>
      </c>
      <c r="AE179" t="b">
        <v>1</v>
      </c>
      <c r="AZ179" s="2"/>
      <c r="BA179" s="7">
        <v>40</v>
      </c>
      <c r="BB179" t="s">
        <v>929</v>
      </c>
      <c r="BC179" t="s">
        <v>923</v>
      </c>
      <c r="BD179" t="s">
        <v>941</v>
      </c>
      <c r="BE179" t="str">
        <f>IF(OR(Table1[[#This Row],[ENGINE_CLASS]]="STEAM",Table1[[#This Row],[ENGINE_CLASS]]="ELECTRIC",Table1[[#This Row],[ENGINE_CLASS]]="DIESEL"),Table1[[#This Row],[ENGINE_CLASS]],"DISABLE")</f>
        <v>DIESEL</v>
      </c>
      <c r="BF179">
        <v>-3</v>
      </c>
      <c r="BG179" t="s">
        <v>735</v>
      </c>
      <c r="BI179"/>
      <c r="BJ179">
        <v>139</v>
      </c>
      <c r="BK179">
        <v>0</v>
      </c>
      <c r="BL179" t="s">
        <v>693</v>
      </c>
      <c r="BM179" t="s">
        <v>695</v>
      </c>
      <c r="BN179" t="s">
        <v>702</v>
      </c>
      <c r="BO179" t="s">
        <v>706</v>
      </c>
      <c r="BP179" t="s">
        <v>707</v>
      </c>
      <c r="BQ179" t="s">
        <v>708</v>
      </c>
    </row>
    <row r="180" spans="1:69" x14ac:dyDescent="0.4">
      <c r="A180" s="2" t="s">
        <v>204</v>
      </c>
      <c r="B180" t="str">
        <f>_xlfn.TEXTAFTER(Table1[[#This Row],[VEHIDCODE]],"_")</f>
        <v>USA_UP_EMD_E8</v>
      </c>
      <c r="C180" t="s">
        <v>741</v>
      </c>
      <c r="D180" t="str">
        <f>"item_"&amp;Table1[[#This Row],[VEHIDCODE]]</f>
        <v>item_diesel_USA_UP_EMD_E8</v>
      </c>
      <c r="E180" t="str">
        <f>"str_"&amp;Table1[[#This Row],[VEHIDCODE]]</f>
        <v>str_diesel_USA_UP_EMD_E8</v>
      </c>
      <c r="F180">
        <v>8</v>
      </c>
      <c r="G180" t="s">
        <v>20</v>
      </c>
      <c r="H180">
        <v>0</v>
      </c>
      <c r="I180" t="s">
        <v>35</v>
      </c>
      <c r="J180">
        <v>0</v>
      </c>
      <c r="K180">
        <v>1949</v>
      </c>
      <c r="L180">
        <v>8</v>
      </c>
      <c r="M180" s="2" t="s">
        <v>20</v>
      </c>
      <c r="N180" t="b">
        <v>1</v>
      </c>
      <c r="P180" s="2"/>
      <c r="Q180">
        <v>45</v>
      </c>
      <c r="R180">
        <v>1</v>
      </c>
      <c r="S180">
        <v>2250</v>
      </c>
      <c r="T180" t="s">
        <v>712</v>
      </c>
      <c r="U180">
        <v>152</v>
      </c>
      <c r="V180" s="2">
        <v>0.13</v>
      </c>
      <c r="AE180" t="b">
        <v>1</v>
      </c>
      <c r="AZ180" s="2"/>
      <c r="BA180" s="7">
        <v>40</v>
      </c>
      <c r="BB180" t="s">
        <v>929</v>
      </c>
      <c r="BC180" t="s">
        <v>923</v>
      </c>
      <c r="BD180" t="s">
        <v>941</v>
      </c>
      <c r="BE180" t="str">
        <f>IF(OR(Table1[[#This Row],[ENGINE_CLASS]]="STEAM",Table1[[#This Row],[ENGINE_CLASS]]="ELECTRIC",Table1[[#This Row],[ENGINE_CLASS]]="DIESEL"),Table1[[#This Row],[ENGINE_CLASS]],"DISABLE")</f>
        <v>DIESEL</v>
      </c>
      <c r="BF180">
        <v>-3</v>
      </c>
      <c r="BG180" t="s">
        <v>735</v>
      </c>
      <c r="BI180"/>
      <c r="BJ180">
        <v>155</v>
      </c>
      <c r="BK180">
        <v>0</v>
      </c>
      <c r="BL180" t="s">
        <v>693</v>
      </c>
      <c r="BM180" t="s">
        <v>695</v>
      </c>
      <c r="BN180" t="s">
        <v>702</v>
      </c>
      <c r="BO180" t="s">
        <v>706</v>
      </c>
      <c r="BP180" t="s">
        <v>707</v>
      </c>
      <c r="BQ180" t="s">
        <v>708</v>
      </c>
    </row>
    <row r="181" spans="1:69" x14ac:dyDescent="0.4">
      <c r="A181" s="2" t="s">
        <v>205</v>
      </c>
      <c r="B181" t="str">
        <f>_xlfn.TEXTAFTER(Table1[[#This Row],[VEHIDCODE]],"_")</f>
        <v>Brazil_EFCB_ALCO_RS_3</v>
      </c>
      <c r="C181" t="s">
        <v>741</v>
      </c>
      <c r="D181" t="str">
        <f>"item_"&amp;Table1[[#This Row],[VEHIDCODE]]</f>
        <v>item_diesel_Brazil_EFCB_ALCO_RS_3</v>
      </c>
      <c r="E181" t="str">
        <f>"str_"&amp;Table1[[#This Row],[VEHIDCODE]]</f>
        <v>str_diesel_Brazil_EFCB_ALCO_RS_3</v>
      </c>
      <c r="F181">
        <v>7</v>
      </c>
      <c r="G181" t="s">
        <v>20</v>
      </c>
      <c r="H181">
        <v>0</v>
      </c>
      <c r="I181" t="s">
        <v>35</v>
      </c>
      <c r="J181">
        <v>0</v>
      </c>
      <c r="K181">
        <v>1950</v>
      </c>
      <c r="L181">
        <v>7</v>
      </c>
      <c r="M181" s="2" t="s">
        <v>20</v>
      </c>
      <c r="N181" t="b">
        <v>1</v>
      </c>
      <c r="P181" s="2"/>
      <c r="Q181">
        <v>45</v>
      </c>
      <c r="R181">
        <v>1</v>
      </c>
      <c r="S181">
        <v>1600</v>
      </c>
      <c r="T181" t="s">
        <v>712</v>
      </c>
      <c r="U181">
        <v>104</v>
      </c>
      <c r="V181" s="2">
        <v>0.1</v>
      </c>
      <c r="AE181" t="b">
        <v>1</v>
      </c>
      <c r="AZ181" s="2"/>
      <c r="BA181" s="7">
        <v>40</v>
      </c>
      <c r="BB181" t="s">
        <v>931</v>
      </c>
      <c r="BC181" t="s">
        <v>923</v>
      </c>
      <c r="BD181" t="s">
        <v>941</v>
      </c>
      <c r="BE181" t="str">
        <f>IF(OR(Table1[[#This Row],[ENGINE_CLASS]]="STEAM",Table1[[#This Row],[ENGINE_CLASS]]="ELECTRIC",Table1[[#This Row],[ENGINE_CLASS]]="DIESEL"),Table1[[#This Row],[ENGINE_CLASS]],"DISABLE")</f>
        <v>DIESEL</v>
      </c>
      <c r="BF181">
        <v>0</v>
      </c>
      <c r="BG181" t="s">
        <v>735</v>
      </c>
      <c r="BI181"/>
      <c r="BJ181">
        <v>103</v>
      </c>
      <c r="BK181">
        <v>0</v>
      </c>
      <c r="BL181" t="s">
        <v>693</v>
      </c>
      <c r="BM181" t="s">
        <v>695</v>
      </c>
      <c r="BN181" t="s">
        <v>702</v>
      </c>
      <c r="BO181" t="s">
        <v>706</v>
      </c>
      <c r="BP181" t="s">
        <v>707</v>
      </c>
      <c r="BQ181" t="s">
        <v>708</v>
      </c>
    </row>
    <row r="182" spans="1:69" x14ac:dyDescent="0.4">
      <c r="A182" s="2" t="s">
        <v>206</v>
      </c>
      <c r="B182" t="str">
        <f>_xlfn.TEXTAFTER(Table1[[#This Row],[VEHIDCODE]],"_")</f>
        <v>Netherlands_NS_600</v>
      </c>
      <c r="C182" t="s">
        <v>741</v>
      </c>
      <c r="D182" t="str">
        <f>"item_"&amp;Table1[[#This Row],[VEHIDCODE]]</f>
        <v>item_diesel_Netherlands_NS_600</v>
      </c>
      <c r="E182" t="str">
        <f>"str_"&amp;Table1[[#This Row],[VEHIDCODE]]</f>
        <v>str_diesel_Netherlands_NS_600</v>
      </c>
      <c r="F182">
        <v>5</v>
      </c>
      <c r="G182" t="s">
        <v>20</v>
      </c>
      <c r="H182">
        <v>0</v>
      </c>
      <c r="I182" t="s">
        <v>35</v>
      </c>
      <c r="J182">
        <v>0</v>
      </c>
      <c r="K182">
        <v>1950</v>
      </c>
      <c r="L182">
        <v>5</v>
      </c>
      <c r="M182" s="2" t="s">
        <v>20</v>
      </c>
      <c r="N182" t="b">
        <v>1</v>
      </c>
      <c r="P182" s="2"/>
      <c r="Q182">
        <v>45</v>
      </c>
      <c r="R182">
        <v>1</v>
      </c>
      <c r="S182">
        <v>400</v>
      </c>
      <c r="T182" t="s">
        <v>712</v>
      </c>
      <c r="U182">
        <v>30</v>
      </c>
      <c r="V182" s="2">
        <v>0.3</v>
      </c>
      <c r="AE182" t="b">
        <v>1</v>
      </c>
      <c r="AZ182" s="2"/>
      <c r="BA182" s="7">
        <v>40</v>
      </c>
      <c r="BB182" t="s">
        <v>924</v>
      </c>
      <c r="BC182" t="s">
        <v>923</v>
      </c>
      <c r="BD182" t="s">
        <v>941</v>
      </c>
      <c r="BE182" t="str">
        <f>IF(OR(Table1[[#This Row],[ENGINE_CLASS]]="STEAM",Table1[[#This Row],[ENGINE_CLASS]]="ELECTRIC",Table1[[#This Row],[ENGINE_CLASS]]="DIESEL"),Table1[[#This Row],[ENGINE_CLASS]],"DISABLE")</f>
        <v>DIESEL</v>
      </c>
      <c r="BF182">
        <v>0</v>
      </c>
      <c r="BG182" t="s">
        <v>735</v>
      </c>
      <c r="BI182"/>
      <c r="BJ182">
        <v>47</v>
      </c>
      <c r="BK182">
        <v>0</v>
      </c>
      <c r="BL182" t="s">
        <v>693</v>
      </c>
      <c r="BM182" t="s">
        <v>695</v>
      </c>
      <c r="BN182" t="s">
        <v>702</v>
      </c>
      <c r="BO182" t="s">
        <v>706</v>
      </c>
      <c r="BP182" t="s">
        <v>707</v>
      </c>
      <c r="BQ182" t="s">
        <v>708</v>
      </c>
    </row>
    <row r="183" spans="1:69" x14ac:dyDescent="0.4">
      <c r="A183" s="2" t="s">
        <v>207</v>
      </c>
      <c r="B183" t="str">
        <f>_xlfn.TEXTAFTER(Table1[[#This Row],[VEHIDCODE]],"_")</f>
        <v>USA_Pennsylvania_Railroad_RF_16_Sharknose</v>
      </c>
      <c r="C183" t="s">
        <v>741</v>
      </c>
      <c r="D183" t="str">
        <f>"item_"&amp;Table1[[#This Row],[VEHIDCODE]]</f>
        <v>item_diesel_USA_Pennsylvania_Railroad_RF_16_Sharknose</v>
      </c>
      <c r="E183" t="str">
        <f>"str_"&amp;Table1[[#This Row],[VEHIDCODE]]</f>
        <v>str_diesel_USA_Pennsylvania_Railroad_RF_16_Sharknose</v>
      </c>
      <c r="F183">
        <v>7</v>
      </c>
      <c r="G183" t="s">
        <v>20</v>
      </c>
      <c r="H183">
        <v>0</v>
      </c>
      <c r="I183" t="s">
        <v>35</v>
      </c>
      <c r="J183">
        <v>0</v>
      </c>
      <c r="K183">
        <v>1950</v>
      </c>
      <c r="L183">
        <v>7</v>
      </c>
      <c r="M183" s="2" t="s">
        <v>20</v>
      </c>
      <c r="N183" t="b">
        <v>1</v>
      </c>
      <c r="P183" s="2"/>
      <c r="Q183">
        <v>45</v>
      </c>
      <c r="R183">
        <v>1</v>
      </c>
      <c r="S183">
        <v>1600</v>
      </c>
      <c r="T183" t="s">
        <v>712</v>
      </c>
      <c r="U183">
        <v>140</v>
      </c>
      <c r="V183" s="2">
        <v>0.16</v>
      </c>
      <c r="AE183" t="b">
        <v>1</v>
      </c>
      <c r="AZ183" s="2"/>
      <c r="BA183" s="7">
        <v>40</v>
      </c>
      <c r="BB183" t="s">
        <v>929</v>
      </c>
      <c r="BC183" t="s">
        <v>923</v>
      </c>
      <c r="BD183" t="s">
        <v>941</v>
      </c>
      <c r="BE183" t="str">
        <f>IF(OR(Table1[[#This Row],[ENGINE_CLASS]]="STEAM",Table1[[#This Row],[ENGINE_CLASS]]="ELECTRIC",Table1[[#This Row],[ENGINE_CLASS]]="DIESEL"),Table1[[#This Row],[ENGINE_CLASS]],"DISABLE")</f>
        <v>DIESEL</v>
      </c>
      <c r="BF183">
        <v>-3</v>
      </c>
      <c r="BG183" t="s">
        <v>735</v>
      </c>
      <c r="BI183"/>
      <c r="BJ183">
        <v>121</v>
      </c>
      <c r="BK183">
        <v>0</v>
      </c>
      <c r="BL183" t="s">
        <v>693</v>
      </c>
      <c r="BM183" t="s">
        <v>695</v>
      </c>
      <c r="BN183" t="s">
        <v>702</v>
      </c>
      <c r="BO183" t="s">
        <v>706</v>
      </c>
      <c r="BP183" t="s">
        <v>707</v>
      </c>
      <c r="BQ183" t="s">
        <v>708</v>
      </c>
    </row>
    <row r="184" spans="1:69" x14ac:dyDescent="0.4">
      <c r="A184" s="2" t="s">
        <v>208</v>
      </c>
      <c r="B184" t="str">
        <f>_xlfn.TEXTAFTER(Table1[[#This Row],[VEHIDCODE]],"_")</f>
        <v>Uruguay_AFE_1500</v>
      </c>
      <c r="C184" t="s">
        <v>741</v>
      </c>
      <c r="D184" t="str">
        <f>"item_"&amp;Table1[[#This Row],[VEHIDCODE]]</f>
        <v>item_diesel_Uruguay_AFE_1500</v>
      </c>
      <c r="E184" t="str">
        <f>"str_"&amp;Table1[[#This Row],[VEHIDCODE]]</f>
        <v>str_diesel_Uruguay_AFE_1500</v>
      </c>
      <c r="F184">
        <v>8</v>
      </c>
      <c r="G184" t="s">
        <v>20</v>
      </c>
      <c r="H184">
        <v>0</v>
      </c>
      <c r="I184" t="s">
        <v>35</v>
      </c>
      <c r="J184">
        <v>0</v>
      </c>
      <c r="K184">
        <v>1952</v>
      </c>
      <c r="L184">
        <v>8</v>
      </c>
      <c r="M184" s="2" t="s">
        <v>20</v>
      </c>
      <c r="N184" t="b">
        <v>1</v>
      </c>
      <c r="P184" s="2"/>
      <c r="Q184">
        <v>45</v>
      </c>
      <c r="R184">
        <v>1</v>
      </c>
      <c r="S184">
        <v>1500</v>
      </c>
      <c r="T184" t="s">
        <v>712</v>
      </c>
      <c r="U184">
        <v>110</v>
      </c>
      <c r="V184" s="2">
        <v>0.18</v>
      </c>
      <c r="AE184" t="b">
        <v>1</v>
      </c>
      <c r="AZ184" s="2"/>
      <c r="BA184" s="7">
        <v>40</v>
      </c>
      <c r="BB184" t="s">
        <v>931</v>
      </c>
      <c r="BC184" t="s">
        <v>923</v>
      </c>
      <c r="BD184" t="s">
        <v>941</v>
      </c>
      <c r="BE184" t="str">
        <f>IF(OR(Table1[[#This Row],[ENGINE_CLASS]]="STEAM",Table1[[#This Row],[ENGINE_CLASS]]="ELECTRIC",Table1[[#This Row],[ENGINE_CLASS]]="DIESEL"),Table1[[#This Row],[ENGINE_CLASS]],"DISABLE")</f>
        <v>DIESEL</v>
      </c>
      <c r="BF184">
        <v>0</v>
      </c>
      <c r="BG184" t="s">
        <v>735</v>
      </c>
      <c r="BI184"/>
      <c r="BJ184">
        <v>112</v>
      </c>
      <c r="BK184">
        <v>0</v>
      </c>
      <c r="BL184" t="s">
        <v>693</v>
      </c>
      <c r="BM184" t="s">
        <v>695</v>
      </c>
      <c r="BN184" t="s">
        <v>702</v>
      </c>
      <c r="BO184" t="s">
        <v>706</v>
      </c>
      <c r="BP184" t="s">
        <v>707</v>
      </c>
      <c r="BQ184" t="s">
        <v>708</v>
      </c>
    </row>
    <row r="185" spans="1:69" x14ac:dyDescent="0.4">
      <c r="A185" s="2" t="s">
        <v>209</v>
      </c>
      <c r="B185" t="str">
        <f>_xlfn.TEXTAFTER(Table1[[#This Row],[VEHIDCODE]],"_")</f>
        <v>Canada_CPR_Trainmaster</v>
      </c>
      <c r="C185" t="s">
        <v>741</v>
      </c>
      <c r="D185" t="str">
        <f>"item_"&amp;Table1[[#This Row],[VEHIDCODE]]</f>
        <v>item_diesel_Canada_CPR_Trainmaster</v>
      </c>
      <c r="E185" t="str">
        <f>"str_"&amp;Table1[[#This Row],[VEHIDCODE]]</f>
        <v>str_diesel_Canada_CPR_Trainmaster</v>
      </c>
      <c r="F185">
        <v>8</v>
      </c>
      <c r="G185" t="s">
        <v>20</v>
      </c>
      <c r="H185">
        <v>0</v>
      </c>
      <c r="I185" t="s">
        <v>35</v>
      </c>
      <c r="J185">
        <v>0</v>
      </c>
      <c r="K185">
        <v>1953</v>
      </c>
      <c r="L185">
        <v>8</v>
      </c>
      <c r="M185" s="2" t="s">
        <v>20</v>
      </c>
      <c r="N185" t="b">
        <v>1</v>
      </c>
      <c r="P185" s="2"/>
      <c r="Q185">
        <v>45</v>
      </c>
      <c r="R185">
        <v>1</v>
      </c>
      <c r="S185">
        <v>2400</v>
      </c>
      <c r="T185" t="s">
        <v>712</v>
      </c>
      <c r="U185">
        <v>105</v>
      </c>
      <c r="V185" s="2">
        <v>0.28999999999999998</v>
      </c>
      <c r="AE185" t="b">
        <v>1</v>
      </c>
      <c r="AZ185" s="2"/>
      <c r="BA185" s="7">
        <v>40</v>
      </c>
      <c r="BB185" t="s">
        <v>929</v>
      </c>
      <c r="BC185" t="s">
        <v>923</v>
      </c>
      <c r="BD185" t="s">
        <v>941</v>
      </c>
      <c r="BE185" t="str">
        <f>IF(OR(Table1[[#This Row],[ENGINE_CLASS]]="STEAM",Table1[[#This Row],[ENGINE_CLASS]]="ELECTRIC",Table1[[#This Row],[ENGINE_CLASS]]="DIESEL"),Table1[[#This Row],[ENGINE_CLASS]],"DISABLE")</f>
        <v>DIESEL</v>
      </c>
      <c r="BF185">
        <v>0</v>
      </c>
      <c r="BG185" t="s">
        <v>735</v>
      </c>
      <c r="BI185"/>
      <c r="BJ185">
        <v>170</v>
      </c>
      <c r="BK185">
        <v>0</v>
      </c>
      <c r="BL185" t="s">
        <v>693</v>
      </c>
      <c r="BM185" t="s">
        <v>695</v>
      </c>
      <c r="BN185" t="s">
        <v>702</v>
      </c>
      <c r="BO185" t="s">
        <v>706</v>
      </c>
      <c r="BP185" t="s">
        <v>707</v>
      </c>
      <c r="BQ185" t="s">
        <v>708</v>
      </c>
    </row>
    <row r="186" spans="1:69" x14ac:dyDescent="0.4">
      <c r="A186" s="2" t="s">
        <v>210</v>
      </c>
      <c r="B186" t="str">
        <f>_xlfn.TEXTAFTER(Table1[[#This Row],[VEHIDCODE]],"_")</f>
        <v>Liberia_Liberia_Railways_Class_08</v>
      </c>
      <c r="C186" t="s">
        <v>741</v>
      </c>
      <c r="D186" t="str">
        <f>"item_"&amp;Table1[[#This Row],[VEHIDCODE]]</f>
        <v>item_diesel_Liberia_Liberia_Railways_Class_08</v>
      </c>
      <c r="E186" t="str">
        <f>"str_"&amp;Table1[[#This Row],[VEHIDCODE]]</f>
        <v>str_diesel_Liberia_Liberia_Railways_Class_08</v>
      </c>
      <c r="F186">
        <v>5</v>
      </c>
      <c r="G186" t="s">
        <v>20</v>
      </c>
      <c r="H186">
        <v>0</v>
      </c>
      <c r="I186" t="s">
        <v>35</v>
      </c>
      <c r="J186">
        <v>0</v>
      </c>
      <c r="K186">
        <v>1953</v>
      </c>
      <c r="L186">
        <v>5</v>
      </c>
      <c r="M186" s="2" t="s">
        <v>20</v>
      </c>
      <c r="N186" t="b">
        <v>1</v>
      </c>
      <c r="P186" s="2"/>
      <c r="Q186">
        <v>45</v>
      </c>
      <c r="R186">
        <v>1</v>
      </c>
      <c r="S186">
        <v>350</v>
      </c>
      <c r="T186" t="s">
        <v>712</v>
      </c>
      <c r="U186">
        <v>35</v>
      </c>
      <c r="V186" s="2">
        <v>0.32</v>
      </c>
      <c r="AE186" t="b">
        <v>1</v>
      </c>
      <c r="AZ186" s="2"/>
      <c r="BA186" s="7">
        <v>40</v>
      </c>
      <c r="BB186" t="s">
        <v>927</v>
      </c>
      <c r="BC186" t="s">
        <v>923</v>
      </c>
      <c r="BD186" t="s">
        <v>941</v>
      </c>
      <c r="BE186" t="str">
        <f>IF(OR(Table1[[#This Row],[ENGINE_CLASS]]="STEAM",Table1[[#This Row],[ENGINE_CLASS]]="ELECTRIC",Table1[[#This Row],[ENGINE_CLASS]]="DIESEL"),Table1[[#This Row],[ENGINE_CLASS]],"DISABLE")</f>
        <v>DIESEL</v>
      </c>
      <c r="BF186">
        <v>0</v>
      </c>
      <c r="BG186" t="s">
        <v>735</v>
      </c>
      <c r="BI186"/>
      <c r="BJ186">
        <v>50</v>
      </c>
      <c r="BK186">
        <v>0</v>
      </c>
      <c r="BL186" t="s">
        <v>693</v>
      </c>
      <c r="BM186" t="s">
        <v>695</v>
      </c>
      <c r="BN186" t="s">
        <v>702</v>
      </c>
      <c r="BO186" t="s">
        <v>706</v>
      </c>
      <c r="BP186" t="s">
        <v>707</v>
      </c>
      <c r="BQ186" t="s">
        <v>708</v>
      </c>
    </row>
    <row r="187" spans="1:69" x14ac:dyDescent="0.4">
      <c r="A187" s="2" t="s">
        <v>211</v>
      </c>
      <c r="B187" t="str">
        <f>_xlfn.TEXTAFTER(Table1[[#This Row],[VEHIDCODE]],"_")</f>
        <v>Austria_OBB_2060</v>
      </c>
      <c r="C187" t="s">
        <v>741</v>
      </c>
      <c r="D187" t="str">
        <f>"item_"&amp;Table1[[#This Row],[VEHIDCODE]]</f>
        <v>item_diesel_Austria_OBB_2060</v>
      </c>
      <c r="E187" t="str">
        <f>"str_"&amp;Table1[[#This Row],[VEHIDCODE]]</f>
        <v>str_diesel_Austria_OBB_2060</v>
      </c>
      <c r="F187">
        <v>5</v>
      </c>
      <c r="G187" t="s">
        <v>20</v>
      </c>
      <c r="H187">
        <v>0</v>
      </c>
      <c r="I187" t="s">
        <v>35</v>
      </c>
      <c r="J187">
        <v>0</v>
      </c>
      <c r="K187">
        <v>1954</v>
      </c>
      <c r="L187">
        <v>5</v>
      </c>
      <c r="M187" s="2" t="s">
        <v>20</v>
      </c>
      <c r="N187" t="b">
        <v>1</v>
      </c>
      <c r="P187" s="2"/>
      <c r="Q187">
        <v>45</v>
      </c>
      <c r="R187">
        <v>1</v>
      </c>
      <c r="S187">
        <v>200</v>
      </c>
      <c r="T187" t="s">
        <v>712</v>
      </c>
      <c r="U187">
        <v>60</v>
      </c>
      <c r="V187" s="2">
        <v>0.28000000000000003</v>
      </c>
      <c r="AE187" t="b">
        <v>1</v>
      </c>
      <c r="AZ187" s="2"/>
      <c r="BA187" s="7">
        <v>40</v>
      </c>
      <c r="BB187" t="s">
        <v>924</v>
      </c>
      <c r="BC187" t="s">
        <v>923</v>
      </c>
      <c r="BD187" t="s">
        <v>941</v>
      </c>
      <c r="BE187" t="str">
        <f>IF(OR(Table1[[#This Row],[ENGINE_CLASS]]="STEAM",Table1[[#This Row],[ENGINE_CLASS]]="ELECTRIC",Table1[[#This Row],[ENGINE_CLASS]]="DIESEL"),Table1[[#This Row],[ENGINE_CLASS]],"DISABLE")</f>
        <v>DIESEL</v>
      </c>
      <c r="BF187">
        <v>0</v>
      </c>
      <c r="BG187" t="s">
        <v>735</v>
      </c>
      <c r="BI187"/>
      <c r="BJ187">
        <v>28</v>
      </c>
      <c r="BK187">
        <v>0</v>
      </c>
      <c r="BL187" t="s">
        <v>693</v>
      </c>
      <c r="BM187" t="s">
        <v>695</v>
      </c>
      <c r="BN187" t="s">
        <v>702</v>
      </c>
      <c r="BO187" t="s">
        <v>706</v>
      </c>
      <c r="BP187" t="s">
        <v>707</v>
      </c>
      <c r="BQ187" t="s">
        <v>708</v>
      </c>
    </row>
    <row r="188" spans="1:69" x14ac:dyDescent="0.4">
      <c r="A188" s="2" t="s">
        <v>212</v>
      </c>
      <c r="B188" t="str">
        <f>_xlfn.TEXTAFTER(Table1[[#This Row],[VEHIDCODE]],"_")</f>
        <v>Canada_CNR_SW1200</v>
      </c>
      <c r="C188" t="s">
        <v>741</v>
      </c>
      <c r="D188" t="str">
        <f>"item_"&amp;Table1[[#This Row],[VEHIDCODE]]</f>
        <v>item_diesel_Canada_CNR_SW1200</v>
      </c>
      <c r="E188" t="str">
        <f>"str_"&amp;Table1[[#This Row],[VEHIDCODE]]</f>
        <v>str_diesel_Canada_CNR_SW1200</v>
      </c>
      <c r="F188">
        <v>6</v>
      </c>
      <c r="G188" t="s">
        <v>20</v>
      </c>
      <c r="H188">
        <v>0</v>
      </c>
      <c r="I188" t="s">
        <v>35</v>
      </c>
      <c r="J188">
        <v>0</v>
      </c>
      <c r="K188">
        <v>1954</v>
      </c>
      <c r="L188">
        <v>6</v>
      </c>
      <c r="M188" s="2" t="s">
        <v>20</v>
      </c>
      <c r="N188" t="b">
        <v>1</v>
      </c>
      <c r="P188" s="2"/>
      <c r="Q188">
        <v>45</v>
      </c>
      <c r="R188">
        <v>1</v>
      </c>
      <c r="S188">
        <v>1200</v>
      </c>
      <c r="T188" t="s">
        <v>712</v>
      </c>
      <c r="U188">
        <v>104</v>
      </c>
      <c r="V188" s="2">
        <v>0.14000000000000001</v>
      </c>
      <c r="AE188" t="b">
        <v>1</v>
      </c>
      <c r="AZ188" s="2"/>
      <c r="BA188" s="7">
        <v>40</v>
      </c>
      <c r="BB188" t="s">
        <v>929</v>
      </c>
      <c r="BC188" t="s">
        <v>923</v>
      </c>
      <c r="BD188" t="s">
        <v>941</v>
      </c>
      <c r="BE188" t="str">
        <f>IF(OR(Table1[[#This Row],[ENGINE_CLASS]]="STEAM",Table1[[#This Row],[ENGINE_CLASS]]="ELECTRIC",Table1[[#This Row],[ENGINE_CLASS]]="DIESEL"),Table1[[#This Row],[ENGINE_CLASS]],"DISABLE")</f>
        <v>DIESEL</v>
      </c>
      <c r="BF188">
        <v>0</v>
      </c>
      <c r="BG188" t="s">
        <v>735</v>
      </c>
      <c r="BI188"/>
      <c r="BJ188">
        <v>111</v>
      </c>
      <c r="BK188">
        <v>0</v>
      </c>
      <c r="BL188" t="s">
        <v>693</v>
      </c>
      <c r="BM188" t="s">
        <v>695</v>
      </c>
      <c r="BN188" t="s">
        <v>702</v>
      </c>
      <c r="BO188" t="s">
        <v>706</v>
      </c>
      <c r="BP188" t="s">
        <v>707</v>
      </c>
      <c r="BQ188" t="s">
        <v>708</v>
      </c>
    </row>
    <row r="189" spans="1:69" x14ac:dyDescent="0.4">
      <c r="A189" s="2" t="s">
        <v>213</v>
      </c>
      <c r="B189" t="str">
        <f>_xlfn.TEXTAFTER(Table1[[#This Row],[VEHIDCODE]],"_")</f>
        <v>Canada_VIA_Rail_FP9</v>
      </c>
      <c r="C189" t="s">
        <v>741</v>
      </c>
      <c r="D189" t="str">
        <f>"item_"&amp;Table1[[#This Row],[VEHIDCODE]]</f>
        <v>item_diesel_Canada_VIA_Rail_FP9</v>
      </c>
      <c r="E189" t="str">
        <f>"str_"&amp;Table1[[#This Row],[VEHIDCODE]]</f>
        <v>str_diesel_Canada_VIA_Rail_FP9</v>
      </c>
      <c r="F189">
        <v>8</v>
      </c>
      <c r="G189" t="s">
        <v>20</v>
      </c>
      <c r="H189">
        <v>0</v>
      </c>
      <c r="I189" t="s">
        <v>35</v>
      </c>
      <c r="J189">
        <v>0</v>
      </c>
      <c r="K189">
        <v>1954</v>
      </c>
      <c r="L189">
        <v>8</v>
      </c>
      <c r="M189" s="2" t="s">
        <v>20</v>
      </c>
      <c r="N189" t="b">
        <v>1</v>
      </c>
      <c r="P189" s="2"/>
      <c r="Q189">
        <v>45</v>
      </c>
      <c r="R189">
        <v>1</v>
      </c>
      <c r="S189">
        <v>1750</v>
      </c>
      <c r="T189" t="s">
        <v>712</v>
      </c>
      <c r="U189">
        <v>144</v>
      </c>
      <c r="V189" s="2">
        <v>0.19</v>
      </c>
      <c r="AE189" t="b">
        <v>1</v>
      </c>
      <c r="AZ189" s="2"/>
      <c r="BA189" s="7">
        <v>40</v>
      </c>
      <c r="BB189" t="s">
        <v>929</v>
      </c>
      <c r="BC189" t="s">
        <v>923</v>
      </c>
      <c r="BD189" t="s">
        <v>941</v>
      </c>
      <c r="BE189" t="str">
        <f>IF(OR(Table1[[#This Row],[ENGINE_CLASS]]="STEAM",Table1[[#This Row],[ENGINE_CLASS]]="ELECTRIC",Table1[[#This Row],[ENGINE_CLASS]]="DIESEL"),Table1[[#This Row],[ENGINE_CLASS]],"DISABLE")</f>
        <v>DIESEL</v>
      </c>
      <c r="BF189">
        <v>-3</v>
      </c>
      <c r="BG189" t="s">
        <v>735</v>
      </c>
      <c r="BI189"/>
      <c r="BJ189">
        <v>104</v>
      </c>
      <c r="BK189">
        <v>0</v>
      </c>
      <c r="BL189" t="s">
        <v>693</v>
      </c>
      <c r="BM189" t="s">
        <v>695</v>
      </c>
      <c r="BN189" t="s">
        <v>702</v>
      </c>
      <c r="BO189" t="s">
        <v>706</v>
      </c>
      <c r="BP189" t="s">
        <v>707</v>
      </c>
      <c r="BQ189" t="s">
        <v>708</v>
      </c>
    </row>
    <row r="190" spans="1:69" x14ac:dyDescent="0.4">
      <c r="A190" s="2" t="s">
        <v>214</v>
      </c>
      <c r="B190" t="str">
        <f>_xlfn.TEXTAFTER(Table1[[#This Row],[VEHIDCODE]],"_")</f>
        <v>Hungary_MAV_M44</v>
      </c>
      <c r="C190" t="s">
        <v>741</v>
      </c>
      <c r="D190" t="str">
        <f>"item_"&amp;Table1[[#This Row],[VEHIDCODE]]</f>
        <v>item_diesel_Hungary_MAV_M44</v>
      </c>
      <c r="E190" t="str">
        <f>"str_"&amp;Table1[[#This Row],[VEHIDCODE]]</f>
        <v>str_diesel_Hungary_MAV_M44</v>
      </c>
      <c r="F190">
        <v>6</v>
      </c>
      <c r="G190" t="s">
        <v>20</v>
      </c>
      <c r="H190">
        <v>0</v>
      </c>
      <c r="I190" t="s">
        <v>35</v>
      </c>
      <c r="J190">
        <v>0</v>
      </c>
      <c r="K190">
        <v>1954</v>
      </c>
      <c r="L190">
        <v>6</v>
      </c>
      <c r="M190" s="2" t="s">
        <v>20</v>
      </c>
      <c r="N190" t="b">
        <v>1</v>
      </c>
      <c r="P190" s="2"/>
      <c r="Q190">
        <v>45</v>
      </c>
      <c r="R190">
        <v>0</v>
      </c>
      <c r="S190">
        <v>590</v>
      </c>
      <c r="T190" t="s">
        <v>712</v>
      </c>
      <c r="U190">
        <v>80</v>
      </c>
      <c r="V190" s="2">
        <v>0.3</v>
      </c>
      <c r="AE190" t="b">
        <v>1</v>
      </c>
      <c r="AZ190" s="2"/>
      <c r="BA190" s="7">
        <v>40</v>
      </c>
      <c r="BB190" t="s">
        <v>930</v>
      </c>
      <c r="BC190" t="s">
        <v>923</v>
      </c>
      <c r="BD190" t="s">
        <v>941</v>
      </c>
      <c r="BE190" t="str">
        <f>IF(OR(Table1[[#This Row],[ENGINE_CLASS]]="STEAM",Table1[[#This Row],[ENGINE_CLASS]]="ELECTRIC",Table1[[#This Row],[ENGINE_CLASS]]="DIESEL"),Table1[[#This Row],[ENGINE_CLASS]],"DISABLE")</f>
        <v>DIESEL</v>
      </c>
      <c r="BF190">
        <v>0</v>
      </c>
      <c r="BG190" t="s">
        <v>735</v>
      </c>
      <c r="BI190"/>
      <c r="BJ190">
        <v>55</v>
      </c>
      <c r="BK190">
        <v>0</v>
      </c>
      <c r="BL190" t="s">
        <v>693</v>
      </c>
      <c r="BM190" t="s">
        <v>695</v>
      </c>
      <c r="BN190" t="s">
        <v>702</v>
      </c>
      <c r="BO190" t="s">
        <v>706</v>
      </c>
      <c r="BP190" t="s">
        <v>707</v>
      </c>
      <c r="BQ190" t="s">
        <v>708</v>
      </c>
    </row>
    <row r="191" spans="1:69" x14ac:dyDescent="0.4">
      <c r="A191" s="2" t="s">
        <v>215</v>
      </c>
      <c r="B191" t="str">
        <f>_xlfn.TEXTAFTER(Table1[[#This Row],[VEHIDCODE]],"_")</f>
        <v>Hungary_MAV_M28</v>
      </c>
      <c r="C191" t="s">
        <v>741</v>
      </c>
      <c r="D191" t="str">
        <f>"item_"&amp;Table1[[#This Row],[VEHIDCODE]]</f>
        <v>item_diesel_Hungary_MAV_M28</v>
      </c>
      <c r="E191" t="str">
        <f>"str_"&amp;Table1[[#This Row],[VEHIDCODE]]</f>
        <v>str_diesel_Hungary_MAV_M28</v>
      </c>
      <c r="F191">
        <v>4</v>
      </c>
      <c r="G191" t="s">
        <v>20</v>
      </c>
      <c r="H191">
        <v>0</v>
      </c>
      <c r="I191" t="s">
        <v>35</v>
      </c>
      <c r="J191">
        <v>0</v>
      </c>
      <c r="K191">
        <v>1955</v>
      </c>
      <c r="L191">
        <v>4</v>
      </c>
      <c r="M191" s="2" t="s">
        <v>20</v>
      </c>
      <c r="N191" t="b">
        <v>1</v>
      </c>
      <c r="P191" s="2"/>
      <c r="Q191">
        <v>45</v>
      </c>
      <c r="R191">
        <v>0</v>
      </c>
      <c r="S191">
        <v>197</v>
      </c>
      <c r="T191" t="s">
        <v>712</v>
      </c>
      <c r="U191">
        <v>50</v>
      </c>
      <c r="V191" s="2">
        <v>0.32</v>
      </c>
      <c r="AE191" t="b">
        <v>1</v>
      </c>
      <c r="AZ191" s="2"/>
      <c r="BA191" s="7">
        <v>40</v>
      </c>
      <c r="BB191" t="s">
        <v>930</v>
      </c>
      <c r="BC191" t="s">
        <v>923</v>
      </c>
      <c r="BD191" t="s">
        <v>941</v>
      </c>
      <c r="BE191" t="str">
        <f>IF(OR(Table1[[#This Row],[ENGINE_CLASS]]="STEAM",Table1[[#This Row],[ENGINE_CLASS]]="ELECTRIC",Table1[[#This Row],[ENGINE_CLASS]]="DIESEL"),Table1[[#This Row],[ENGINE_CLASS]],"DISABLE")</f>
        <v>DIESEL</v>
      </c>
      <c r="BF191">
        <v>0</v>
      </c>
      <c r="BG191" t="s">
        <v>735</v>
      </c>
      <c r="BI191"/>
      <c r="BJ191">
        <v>19</v>
      </c>
      <c r="BK191">
        <v>0</v>
      </c>
      <c r="BL191" t="s">
        <v>693</v>
      </c>
      <c r="BM191" t="s">
        <v>695</v>
      </c>
      <c r="BN191" t="s">
        <v>702</v>
      </c>
      <c r="BO191" t="s">
        <v>706</v>
      </c>
      <c r="BP191" t="s">
        <v>707</v>
      </c>
      <c r="BQ191" t="s">
        <v>708</v>
      </c>
    </row>
    <row r="192" spans="1:69" x14ac:dyDescent="0.4">
      <c r="A192" s="2" t="s">
        <v>216</v>
      </c>
      <c r="B192" t="str">
        <f>_xlfn.TEXTAFTER(Table1[[#This Row],[VEHIDCODE]],"_")</f>
        <v>Belgium_NMBS_SNCB_83</v>
      </c>
      <c r="C192" t="s">
        <v>741</v>
      </c>
      <c r="D192" t="str">
        <f>"item_"&amp;Table1[[#This Row],[VEHIDCODE]]</f>
        <v>item_diesel_Belgium_NMBS_SNCB_83</v>
      </c>
      <c r="E192" t="str">
        <f>"str_"&amp;Table1[[#This Row],[VEHIDCODE]]</f>
        <v>str_diesel_Belgium_NMBS_SNCB_83</v>
      </c>
      <c r="F192">
        <v>5</v>
      </c>
      <c r="G192" t="s">
        <v>20</v>
      </c>
      <c r="H192">
        <v>0</v>
      </c>
      <c r="I192" t="s">
        <v>35</v>
      </c>
      <c r="J192">
        <v>0</v>
      </c>
      <c r="K192">
        <v>1956</v>
      </c>
      <c r="L192">
        <v>5</v>
      </c>
      <c r="M192" s="2" t="s">
        <v>20</v>
      </c>
      <c r="N192" t="b">
        <v>1</v>
      </c>
      <c r="P192" s="2"/>
      <c r="Q192">
        <v>45</v>
      </c>
      <c r="R192">
        <v>1</v>
      </c>
      <c r="S192">
        <v>440</v>
      </c>
      <c r="T192" t="s">
        <v>712</v>
      </c>
      <c r="U192">
        <v>50</v>
      </c>
      <c r="V192" s="2">
        <v>0.39</v>
      </c>
      <c r="AE192" t="b">
        <v>1</v>
      </c>
      <c r="AZ192" s="2"/>
      <c r="BA192" s="7">
        <v>40</v>
      </c>
      <c r="BB192" t="s">
        <v>924</v>
      </c>
      <c r="BC192" t="s">
        <v>923</v>
      </c>
      <c r="BD192" t="s">
        <v>941</v>
      </c>
      <c r="BE192" t="str">
        <f>IF(OR(Table1[[#This Row],[ENGINE_CLASS]]="STEAM",Table1[[#This Row],[ENGINE_CLASS]]="ELECTRIC",Table1[[#This Row],[ENGINE_CLASS]]="DIESEL"),Table1[[#This Row],[ENGINE_CLASS]],"DISABLE")</f>
        <v>DIESEL</v>
      </c>
      <c r="BF192">
        <v>0</v>
      </c>
      <c r="BG192" t="s">
        <v>735</v>
      </c>
      <c r="BI192"/>
      <c r="BJ192">
        <v>40</v>
      </c>
      <c r="BK192">
        <v>0</v>
      </c>
      <c r="BL192" t="s">
        <v>693</v>
      </c>
      <c r="BM192" t="s">
        <v>695</v>
      </c>
      <c r="BN192" t="s">
        <v>702</v>
      </c>
      <c r="BO192" t="s">
        <v>706</v>
      </c>
      <c r="BP192" t="s">
        <v>707</v>
      </c>
      <c r="BQ192" t="s">
        <v>708</v>
      </c>
    </row>
    <row r="193" spans="1:69" x14ac:dyDescent="0.4">
      <c r="A193" s="2" t="s">
        <v>217</v>
      </c>
      <c r="B193" t="str">
        <f>_xlfn.TEXTAFTER(Table1[[#This Row],[VEHIDCODE]],"_")</f>
        <v>Germany_DB_220</v>
      </c>
      <c r="C193" t="s">
        <v>741</v>
      </c>
      <c r="D193" t="str">
        <f>"item_"&amp;Table1[[#This Row],[VEHIDCODE]]</f>
        <v>item_diesel_Germany_DB_220</v>
      </c>
      <c r="E193" t="str">
        <f>"str_"&amp;Table1[[#This Row],[VEHIDCODE]]</f>
        <v>str_diesel_Germany_DB_220</v>
      </c>
      <c r="F193">
        <v>8</v>
      </c>
      <c r="G193" t="s">
        <v>20</v>
      </c>
      <c r="H193">
        <v>0</v>
      </c>
      <c r="I193" t="s">
        <v>35</v>
      </c>
      <c r="J193">
        <v>0</v>
      </c>
      <c r="K193">
        <v>1956</v>
      </c>
      <c r="L193">
        <v>8</v>
      </c>
      <c r="M193" s="2" t="s">
        <v>20</v>
      </c>
      <c r="N193" t="b">
        <v>1</v>
      </c>
      <c r="P193" s="2"/>
      <c r="Q193">
        <v>45</v>
      </c>
      <c r="R193">
        <v>1</v>
      </c>
      <c r="S193">
        <v>2169</v>
      </c>
      <c r="T193" t="s">
        <v>712</v>
      </c>
      <c r="U193">
        <v>140</v>
      </c>
      <c r="V193" s="2">
        <v>0.28999999999999998</v>
      </c>
      <c r="AE193" t="b">
        <v>1</v>
      </c>
      <c r="AZ193" s="2"/>
      <c r="BA193" s="7">
        <v>40</v>
      </c>
      <c r="BB193" t="s">
        <v>924</v>
      </c>
      <c r="BC193" t="s">
        <v>923</v>
      </c>
      <c r="BD193" t="s">
        <v>941</v>
      </c>
      <c r="BE193" t="str">
        <f>IF(OR(Table1[[#This Row],[ENGINE_CLASS]]="STEAM",Table1[[#This Row],[ENGINE_CLASS]]="ELECTRIC",Table1[[#This Row],[ENGINE_CLASS]]="DIESEL"),Table1[[#This Row],[ENGINE_CLASS]],"DISABLE")</f>
        <v>DIESEL</v>
      </c>
      <c r="BF193">
        <v>0</v>
      </c>
      <c r="BG193" t="s">
        <v>735</v>
      </c>
      <c r="BI193"/>
      <c r="BJ193">
        <v>81</v>
      </c>
      <c r="BK193">
        <v>0</v>
      </c>
      <c r="BL193" t="s">
        <v>693</v>
      </c>
      <c r="BM193" t="s">
        <v>695</v>
      </c>
      <c r="BN193" t="s">
        <v>702</v>
      </c>
      <c r="BO193" t="s">
        <v>706</v>
      </c>
      <c r="BP193" t="s">
        <v>707</v>
      </c>
      <c r="BQ193" t="s">
        <v>708</v>
      </c>
    </row>
    <row r="194" spans="1:69" x14ac:dyDescent="0.4">
      <c r="A194" s="2" t="s">
        <v>218</v>
      </c>
      <c r="B194" t="str">
        <f>_xlfn.TEXTAFTER(Table1[[#This Row],[VEHIDCODE]],"_")</f>
        <v>USA_Amtrak_FL9</v>
      </c>
      <c r="C194" t="s">
        <v>741</v>
      </c>
      <c r="D194" t="str">
        <f>"item_"&amp;Table1[[#This Row],[VEHIDCODE]]</f>
        <v>item_diesel_USA_Amtrak_FL9</v>
      </c>
      <c r="E194" t="str">
        <f>"str_"&amp;Table1[[#This Row],[VEHIDCODE]]</f>
        <v>str_diesel_USA_Amtrak_FL9</v>
      </c>
      <c r="F194">
        <v>8</v>
      </c>
      <c r="G194" t="s">
        <v>20</v>
      </c>
      <c r="H194">
        <v>0</v>
      </c>
      <c r="I194" t="s">
        <v>35</v>
      </c>
      <c r="J194">
        <v>0</v>
      </c>
      <c r="K194">
        <v>1956</v>
      </c>
      <c r="L194">
        <v>8</v>
      </c>
      <c r="M194" s="2" t="s">
        <v>20</v>
      </c>
      <c r="N194" t="b">
        <v>1</v>
      </c>
      <c r="P194" s="2"/>
      <c r="Q194">
        <v>45</v>
      </c>
      <c r="R194">
        <v>1</v>
      </c>
      <c r="S194">
        <v>1750</v>
      </c>
      <c r="T194" t="s">
        <v>712</v>
      </c>
      <c r="U194">
        <v>144</v>
      </c>
      <c r="V194" s="2">
        <v>0.2</v>
      </c>
      <c r="AE194" t="b">
        <v>1</v>
      </c>
      <c r="AZ194" s="2"/>
      <c r="BA194" s="7">
        <v>40</v>
      </c>
      <c r="BB194" t="s">
        <v>929</v>
      </c>
      <c r="BC194" t="s">
        <v>923</v>
      </c>
      <c r="BD194" t="s">
        <v>941</v>
      </c>
      <c r="BE194" t="str">
        <f>IF(OR(Table1[[#This Row],[ENGINE_CLASS]]="STEAM",Table1[[#This Row],[ENGINE_CLASS]]="ELECTRIC",Table1[[#This Row],[ENGINE_CLASS]]="DIESEL"),Table1[[#This Row],[ENGINE_CLASS]],"DISABLE")</f>
        <v>DIESEL</v>
      </c>
      <c r="BF194">
        <v>0</v>
      </c>
      <c r="BG194" t="s">
        <v>735</v>
      </c>
      <c r="BI194"/>
      <c r="BJ194">
        <v>130</v>
      </c>
      <c r="BK194">
        <v>0</v>
      </c>
      <c r="BL194" t="s">
        <v>693</v>
      </c>
      <c r="BM194" t="s">
        <v>695</v>
      </c>
      <c r="BN194" t="s">
        <v>702</v>
      </c>
      <c r="BO194" t="s">
        <v>706</v>
      </c>
      <c r="BP194" t="s">
        <v>707</v>
      </c>
      <c r="BQ194" t="s">
        <v>708</v>
      </c>
    </row>
    <row r="195" spans="1:69" x14ac:dyDescent="0.4">
      <c r="A195" s="2" t="s">
        <v>219</v>
      </c>
      <c r="B195" t="str">
        <f>_xlfn.TEXTAFTER(Table1[[#This Row],[VEHIDCODE]],"_")</f>
        <v>Czech_Republic_CD_720_ChME2</v>
      </c>
      <c r="C195" t="s">
        <v>741</v>
      </c>
      <c r="D195" t="str">
        <f>"item_"&amp;Table1[[#This Row],[VEHIDCODE]]</f>
        <v>item_diesel_Czech_Republic_CD_720_ChME2</v>
      </c>
      <c r="E195" t="str">
        <f>"str_"&amp;Table1[[#This Row],[VEHIDCODE]]</f>
        <v>str_diesel_Czech_Republic_CD_720_ChME2</v>
      </c>
      <c r="F195">
        <v>6</v>
      </c>
      <c r="G195" t="s">
        <v>20</v>
      </c>
      <c r="H195">
        <v>0</v>
      </c>
      <c r="I195" t="s">
        <v>35</v>
      </c>
      <c r="J195">
        <v>0</v>
      </c>
      <c r="K195">
        <v>1958</v>
      </c>
      <c r="L195">
        <v>6</v>
      </c>
      <c r="M195" s="2" t="s">
        <v>20</v>
      </c>
      <c r="N195" t="b">
        <v>1</v>
      </c>
      <c r="P195" s="2"/>
      <c r="Q195">
        <v>45</v>
      </c>
      <c r="R195">
        <v>0</v>
      </c>
      <c r="S195">
        <v>740</v>
      </c>
      <c r="T195" t="s">
        <v>712</v>
      </c>
      <c r="U195">
        <v>80</v>
      </c>
      <c r="V195" s="2">
        <v>0.28000000000000003</v>
      </c>
      <c r="AE195" t="b">
        <v>1</v>
      </c>
      <c r="AZ195" s="2"/>
      <c r="BA195" s="7">
        <v>40</v>
      </c>
      <c r="BB195" t="s">
        <v>930</v>
      </c>
      <c r="BC195" t="s">
        <v>923</v>
      </c>
      <c r="BD195" t="s">
        <v>941</v>
      </c>
      <c r="BE195" t="str">
        <f>IF(OR(Table1[[#This Row],[ENGINE_CLASS]]="STEAM",Table1[[#This Row],[ENGINE_CLASS]]="ELECTRIC",Table1[[#This Row],[ENGINE_CLASS]]="DIESEL"),Table1[[#This Row],[ENGINE_CLASS]],"DISABLE")</f>
        <v>DIESEL</v>
      </c>
      <c r="BF195">
        <v>0</v>
      </c>
      <c r="BG195" t="s">
        <v>735</v>
      </c>
      <c r="BI195"/>
      <c r="BJ195">
        <v>61</v>
      </c>
      <c r="BK195">
        <v>0</v>
      </c>
      <c r="BL195" t="s">
        <v>693</v>
      </c>
      <c r="BM195" t="s">
        <v>695</v>
      </c>
      <c r="BN195" t="s">
        <v>702</v>
      </c>
      <c r="BO195" t="s">
        <v>706</v>
      </c>
      <c r="BP195" t="s">
        <v>707</v>
      </c>
      <c r="BQ195" t="s">
        <v>708</v>
      </c>
    </row>
    <row r="196" spans="1:69" x14ac:dyDescent="0.4">
      <c r="A196" s="2" t="s">
        <v>220</v>
      </c>
      <c r="B196" t="str">
        <f>_xlfn.TEXTAFTER(Table1[[#This Row],[VEHIDCODE]],"_")</f>
        <v>Finland_VR_Dr12</v>
      </c>
      <c r="C196" t="s">
        <v>741</v>
      </c>
      <c r="D196" t="str">
        <f>"item_"&amp;Table1[[#This Row],[VEHIDCODE]]</f>
        <v>item_diesel_Finland_VR_Dr12</v>
      </c>
      <c r="E196" t="str">
        <f>"str_"&amp;Table1[[#This Row],[VEHIDCODE]]</f>
        <v>str_diesel_Finland_VR_Dr12</v>
      </c>
      <c r="F196">
        <v>8</v>
      </c>
      <c r="G196" t="s">
        <v>20</v>
      </c>
      <c r="H196">
        <v>0</v>
      </c>
      <c r="I196" t="s">
        <v>35</v>
      </c>
      <c r="J196">
        <v>0</v>
      </c>
      <c r="K196">
        <v>1959</v>
      </c>
      <c r="L196">
        <v>8</v>
      </c>
      <c r="M196" s="2" t="s">
        <v>20</v>
      </c>
      <c r="N196" t="b">
        <v>1</v>
      </c>
      <c r="P196" s="2"/>
      <c r="Q196">
        <v>45</v>
      </c>
      <c r="R196">
        <v>1</v>
      </c>
      <c r="S196">
        <v>1900</v>
      </c>
      <c r="T196" t="s">
        <v>712</v>
      </c>
      <c r="U196">
        <v>120</v>
      </c>
      <c r="V196" s="2">
        <v>0.18</v>
      </c>
      <c r="AE196" t="b">
        <v>1</v>
      </c>
      <c r="AZ196" s="2"/>
      <c r="BA196" s="7">
        <v>40</v>
      </c>
      <c r="BB196" t="s">
        <v>928</v>
      </c>
      <c r="BC196" t="s">
        <v>923</v>
      </c>
      <c r="BD196" t="s">
        <v>941</v>
      </c>
      <c r="BE196" t="str">
        <f>IF(OR(Table1[[#This Row],[ENGINE_CLASS]]="STEAM",Table1[[#This Row],[ENGINE_CLASS]]="ELECTRIC",Table1[[#This Row],[ENGINE_CLASS]]="DIESEL"),Table1[[#This Row],[ENGINE_CLASS]],"DISABLE")</f>
        <v>DIESEL</v>
      </c>
      <c r="BF196">
        <v>0</v>
      </c>
      <c r="BG196" t="s">
        <v>735</v>
      </c>
      <c r="BI196"/>
      <c r="BJ196">
        <v>122</v>
      </c>
      <c r="BK196">
        <v>0</v>
      </c>
      <c r="BL196" t="s">
        <v>693</v>
      </c>
      <c r="BM196" t="s">
        <v>695</v>
      </c>
      <c r="BN196" t="s">
        <v>702</v>
      </c>
      <c r="BO196" t="s">
        <v>706</v>
      </c>
      <c r="BP196" t="s">
        <v>707</v>
      </c>
      <c r="BQ196" t="s">
        <v>708</v>
      </c>
    </row>
    <row r="197" spans="1:69" x14ac:dyDescent="0.4">
      <c r="A197" s="2" t="s">
        <v>221</v>
      </c>
      <c r="B197" t="str">
        <f>_xlfn.TEXTAFTER(Table1[[#This Row],[VEHIDCODE]],"_")</f>
        <v>Romania_CFR_060_DA</v>
      </c>
      <c r="C197" t="s">
        <v>741</v>
      </c>
      <c r="D197" t="str">
        <f>"item_"&amp;Table1[[#This Row],[VEHIDCODE]]</f>
        <v>item_diesel_Romania_CFR_060_DA</v>
      </c>
      <c r="E197" t="str">
        <f>"str_"&amp;Table1[[#This Row],[VEHIDCODE]]</f>
        <v>str_diesel_Romania_CFR_060_DA</v>
      </c>
      <c r="F197">
        <v>8</v>
      </c>
      <c r="G197" t="s">
        <v>20</v>
      </c>
      <c r="H197">
        <v>0</v>
      </c>
      <c r="I197" t="s">
        <v>35</v>
      </c>
      <c r="J197">
        <v>0</v>
      </c>
      <c r="K197">
        <v>1959</v>
      </c>
      <c r="L197">
        <v>8</v>
      </c>
      <c r="M197" s="2" t="s">
        <v>20</v>
      </c>
      <c r="N197" t="b">
        <v>1</v>
      </c>
      <c r="P197" s="2"/>
      <c r="Q197">
        <v>45</v>
      </c>
      <c r="R197">
        <v>0</v>
      </c>
      <c r="S197">
        <v>2070</v>
      </c>
      <c r="T197" t="s">
        <v>712</v>
      </c>
      <c r="U197">
        <v>100</v>
      </c>
      <c r="V197" s="2">
        <v>0.27</v>
      </c>
      <c r="AE197" t="b">
        <v>1</v>
      </c>
      <c r="AZ197" s="2"/>
      <c r="BA197" s="7">
        <v>40</v>
      </c>
      <c r="BB197" t="s">
        <v>930</v>
      </c>
      <c r="BC197" t="s">
        <v>923</v>
      </c>
      <c r="BD197" t="s">
        <v>941</v>
      </c>
      <c r="BE197" t="str">
        <f>IF(OR(Table1[[#This Row],[ENGINE_CLASS]]="STEAM",Table1[[#This Row],[ENGINE_CLASS]]="ELECTRIC",Table1[[#This Row],[ENGINE_CLASS]]="DIESEL"),Table1[[#This Row],[ENGINE_CLASS]],"DISABLE")</f>
        <v>DIESEL</v>
      </c>
      <c r="BF197">
        <v>0</v>
      </c>
      <c r="BG197" t="s">
        <v>735</v>
      </c>
      <c r="BI197"/>
      <c r="BJ197">
        <v>116</v>
      </c>
      <c r="BK197">
        <v>0</v>
      </c>
      <c r="BL197" t="s">
        <v>693</v>
      </c>
      <c r="BM197" t="s">
        <v>695</v>
      </c>
      <c r="BN197" t="s">
        <v>702</v>
      </c>
      <c r="BO197" t="s">
        <v>706</v>
      </c>
      <c r="BP197" t="s">
        <v>707</v>
      </c>
      <c r="BQ197" t="s">
        <v>708</v>
      </c>
    </row>
    <row r="198" spans="1:69" x14ac:dyDescent="0.4">
      <c r="A198" s="2" t="s">
        <v>222</v>
      </c>
      <c r="B198" t="str">
        <f>_xlfn.TEXTAFTER(Table1[[#This Row],[VEHIDCODE]],"_")</f>
        <v>Brazil_BF_EMD_GL8</v>
      </c>
      <c r="C198" t="s">
        <v>741</v>
      </c>
      <c r="D198" t="str">
        <f>"item_"&amp;Table1[[#This Row],[VEHIDCODE]]</f>
        <v>item_diesel_Brazil_BF_EMD_GL8</v>
      </c>
      <c r="E198" t="str">
        <f>"str_"&amp;Table1[[#This Row],[VEHIDCODE]]</f>
        <v>str_diesel_Brazil_BF_EMD_GL8</v>
      </c>
      <c r="F198">
        <v>5</v>
      </c>
      <c r="G198" t="s">
        <v>20</v>
      </c>
      <c r="H198">
        <v>0</v>
      </c>
      <c r="I198" t="s">
        <v>35</v>
      </c>
      <c r="J198">
        <v>0</v>
      </c>
      <c r="K198">
        <v>1960</v>
      </c>
      <c r="L198">
        <v>5</v>
      </c>
      <c r="M198" s="2" t="s">
        <v>20</v>
      </c>
      <c r="N198" t="b">
        <v>1</v>
      </c>
      <c r="P198" s="2"/>
      <c r="Q198">
        <v>45</v>
      </c>
      <c r="R198">
        <v>1</v>
      </c>
      <c r="S198">
        <v>875</v>
      </c>
      <c r="T198" t="s">
        <v>712</v>
      </c>
      <c r="U198">
        <v>124</v>
      </c>
      <c r="V198" s="2">
        <v>0.13</v>
      </c>
      <c r="AE198" t="b">
        <v>1</v>
      </c>
      <c r="AZ198" s="2"/>
      <c r="BA198" s="7">
        <v>40</v>
      </c>
      <c r="BB198" t="s">
        <v>931</v>
      </c>
      <c r="BC198" t="s">
        <v>923</v>
      </c>
      <c r="BD198" t="s">
        <v>941</v>
      </c>
      <c r="BE198" t="str">
        <f>IF(OR(Table1[[#This Row],[ENGINE_CLASS]]="STEAM",Table1[[#This Row],[ENGINE_CLASS]]="ELECTRIC",Table1[[#This Row],[ENGINE_CLASS]]="DIESEL"),Table1[[#This Row],[ENGINE_CLASS]],"DISABLE")</f>
        <v>DIESEL</v>
      </c>
      <c r="BF198">
        <v>0</v>
      </c>
      <c r="BG198" t="s">
        <v>735</v>
      </c>
      <c r="BI198"/>
      <c r="BJ198">
        <v>64</v>
      </c>
      <c r="BK198">
        <v>0</v>
      </c>
      <c r="BL198" t="s">
        <v>693</v>
      </c>
      <c r="BM198" t="s">
        <v>695</v>
      </c>
      <c r="BN198" t="s">
        <v>702</v>
      </c>
      <c r="BO198" t="s">
        <v>706</v>
      </c>
      <c r="BP198" t="s">
        <v>707</v>
      </c>
      <c r="BQ198" t="s">
        <v>708</v>
      </c>
    </row>
    <row r="199" spans="1:69" x14ac:dyDescent="0.4">
      <c r="A199" s="2" t="s">
        <v>223</v>
      </c>
      <c r="B199" t="str">
        <f>_xlfn.TEXTAFTER(Table1[[#This Row],[VEHIDCODE]],"_")</f>
        <v>Brazil_EFVM_ML4000</v>
      </c>
      <c r="C199" t="s">
        <v>741</v>
      </c>
      <c r="D199" t="str">
        <f>"item_"&amp;Table1[[#This Row],[VEHIDCODE]]</f>
        <v>item_diesel_Brazil_EFVM_ML4000</v>
      </c>
      <c r="E199" t="str">
        <f>"str_"&amp;Table1[[#This Row],[VEHIDCODE]]</f>
        <v>str_diesel_Brazil_EFVM_ML4000</v>
      </c>
      <c r="F199">
        <v>8</v>
      </c>
      <c r="G199" t="s">
        <v>20</v>
      </c>
      <c r="H199">
        <v>0</v>
      </c>
      <c r="I199" t="s">
        <v>35</v>
      </c>
      <c r="J199">
        <v>0</v>
      </c>
      <c r="K199">
        <v>1960</v>
      </c>
      <c r="L199">
        <v>8</v>
      </c>
      <c r="M199" s="2" t="s">
        <v>20</v>
      </c>
      <c r="N199" t="b">
        <v>1</v>
      </c>
      <c r="P199" s="2"/>
      <c r="Q199">
        <v>45</v>
      </c>
      <c r="R199">
        <v>1</v>
      </c>
      <c r="S199">
        <v>4000</v>
      </c>
      <c r="T199" t="s">
        <v>712</v>
      </c>
      <c r="U199">
        <v>110</v>
      </c>
      <c r="V199" s="2">
        <v>0.28999999999999998</v>
      </c>
      <c r="AE199" t="b">
        <v>1</v>
      </c>
      <c r="AZ199" s="2"/>
      <c r="BA199" s="7">
        <v>40</v>
      </c>
      <c r="BB199" t="s">
        <v>931</v>
      </c>
      <c r="BC199" t="s">
        <v>923</v>
      </c>
      <c r="BD199" t="s">
        <v>941</v>
      </c>
      <c r="BE199" t="str">
        <f>IF(OR(Table1[[#This Row],[ENGINE_CLASS]]="STEAM",Table1[[#This Row],[ENGINE_CLASS]]="ELECTRIC",Table1[[#This Row],[ENGINE_CLASS]]="DIESEL"),Table1[[#This Row],[ENGINE_CLASS]],"DISABLE")</f>
        <v>DIESEL</v>
      </c>
      <c r="BF199">
        <v>0</v>
      </c>
      <c r="BG199" t="s">
        <v>735</v>
      </c>
      <c r="BI199"/>
      <c r="BJ199">
        <v>156</v>
      </c>
      <c r="BK199">
        <v>0</v>
      </c>
      <c r="BL199" t="s">
        <v>693</v>
      </c>
      <c r="BM199" t="s">
        <v>695</v>
      </c>
      <c r="BN199" t="s">
        <v>702</v>
      </c>
      <c r="BO199" t="s">
        <v>706</v>
      </c>
      <c r="BP199" t="s">
        <v>707</v>
      </c>
      <c r="BQ199" t="s">
        <v>708</v>
      </c>
    </row>
    <row r="200" spans="1:69" x14ac:dyDescent="0.4">
      <c r="A200" s="2" t="s">
        <v>224</v>
      </c>
      <c r="B200" t="str">
        <f>_xlfn.TEXTAFTER(Table1[[#This Row],[VEHIDCODE]],"_")</f>
        <v>Russia_RZD_TEP60</v>
      </c>
      <c r="C200" t="s">
        <v>741</v>
      </c>
      <c r="D200" t="str">
        <f>"item_"&amp;Table1[[#This Row],[VEHIDCODE]]</f>
        <v>item_diesel_Russia_RZD_TEP60</v>
      </c>
      <c r="E200" t="str">
        <f>"str_"&amp;Table1[[#This Row],[VEHIDCODE]]</f>
        <v>str_diesel_Russia_RZD_TEP60</v>
      </c>
      <c r="F200">
        <v>8</v>
      </c>
      <c r="G200" t="s">
        <v>20</v>
      </c>
      <c r="H200">
        <v>0</v>
      </c>
      <c r="I200" t="s">
        <v>35</v>
      </c>
      <c r="J200">
        <v>0</v>
      </c>
      <c r="K200">
        <v>1960</v>
      </c>
      <c r="L200">
        <v>8</v>
      </c>
      <c r="M200" s="2" t="s">
        <v>20</v>
      </c>
      <c r="N200" t="b">
        <v>1</v>
      </c>
      <c r="P200" s="2"/>
      <c r="Q200">
        <v>45</v>
      </c>
      <c r="R200">
        <v>1</v>
      </c>
      <c r="S200">
        <v>2960</v>
      </c>
      <c r="T200" t="s">
        <v>712</v>
      </c>
      <c r="U200">
        <v>160</v>
      </c>
      <c r="V200" s="2">
        <v>0.15</v>
      </c>
      <c r="AE200" t="b">
        <v>1</v>
      </c>
      <c r="AZ200" s="2"/>
      <c r="BA200" s="7">
        <v>40</v>
      </c>
      <c r="BB200" t="s">
        <v>932</v>
      </c>
      <c r="BC200" t="s">
        <v>923</v>
      </c>
      <c r="BD200" t="s">
        <v>941</v>
      </c>
      <c r="BE200" t="str">
        <f>IF(OR(Table1[[#This Row],[ENGINE_CLASS]]="STEAM",Table1[[#This Row],[ENGINE_CLASS]]="ELECTRIC",Table1[[#This Row],[ENGINE_CLASS]]="DIESEL"),Table1[[#This Row],[ENGINE_CLASS]],"DISABLE")</f>
        <v>DIESEL</v>
      </c>
      <c r="BF200">
        <v>0</v>
      </c>
      <c r="BG200" t="s">
        <v>735</v>
      </c>
      <c r="BI200"/>
      <c r="BJ200">
        <v>130</v>
      </c>
      <c r="BK200">
        <v>0</v>
      </c>
      <c r="BL200" t="s">
        <v>693</v>
      </c>
      <c r="BM200" t="s">
        <v>695</v>
      </c>
      <c r="BN200" t="s">
        <v>702</v>
      </c>
      <c r="BO200" t="s">
        <v>706</v>
      </c>
      <c r="BP200" t="s">
        <v>707</v>
      </c>
      <c r="BQ200" t="s">
        <v>708</v>
      </c>
    </row>
    <row r="201" spans="1:69" x14ac:dyDescent="0.4">
      <c r="A201" s="2" t="s">
        <v>225</v>
      </c>
      <c r="B201" t="str">
        <f>_xlfn.TEXTAFTER(Table1[[#This Row],[VEHIDCODE]],"_")</f>
        <v>Belgium_NMBS_SNCB_62</v>
      </c>
      <c r="C201" t="s">
        <v>741</v>
      </c>
      <c r="D201" t="str">
        <f>"item_"&amp;Table1[[#This Row],[VEHIDCODE]]</f>
        <v>item_diesel_Belgium_NMBS_SNCB_62</v>
      </c>
      <c r="E201" t="str">
        <f>"str_"&amp;Table1[[#This Row],[VEHIDCODE]]</f>
        <v>str_diesel_Belgium_NMBS_SNCB_62</v>
      </c>
      <c r="F201">
        <v>8</v>
      </c>
      <c r="G201" t="s">
        <v>20</v>
      </c>
      <c r="H201">
        <v>0</v>
      </c>
      <c r="I201" t="s">
        <v>35</v>
      </c>
      <c r="J201">
        <v>0</v>
      </c>
      <c r="K201">
        <v>1961</v>
      </c>
      <c r="L201">
        <v>8</v>
      </c>
      <c r="M201" s="2" t="s">
        <v>20</v>
      </c>
      <c r="N201" t="b">
        <v>1</v>
      </c>
      <c r="P201" s="2"/>
      <c r="Q201">
        <v>45</v>
      </c>
      <c r="R201">
        <v>1</v>
      </c>
      <c r="S201">
        <v>1408</v>
      </c>
      <c r="T201" t="s">
        <v>712</v>
      </c>
      <c r="U201">
        <v>120</v>
      </c>
      <c r="V201" s="2">
        <v>0.27</v>
      </c>
      <c r="AE201" t="b">
        <v>1</v>
      </c>
      <c r="AZ201" s="2"/>
      <c r="BA201" s="7">
        <v>40</v>
      </c>
      <c r="BB201" t="s">
        <v>924</v>
      </c>
      <c r="BC201" t="s">
        <v>923</v>
      </c>
      <c r="BD201" t="s">
        <v>941</v>
      </c>
      <c r="BE201" t="str">
        <f>IF(OR(Table1[[#This Row],[ENGINE_CLASS]]="STEAM",Table1[[#This Row],[ENGINE_CLASS]]="ELECTRIC",Table1[[#This Row],[ENGINE_CLASS]]="DIESEL"),Table1[[#This Row],[ENGINE_CLASS]],"DISABLE")</f>
        <v>DIESEL</v>
      </c>
      <c r="BF201">
        <v>0</v>
      </c>
      <c r="BG201" t="s">
        <v>735</v>
      </c>
      <c r="BI201"/>
      <c r="BJ201">
        <v>80</v>
      </c>
      <c r="BK201">
        <v>0</v>
      </c>
      <c r="BL201" t="s">
        <v>693</v>
      </c>
      <c r="BM201" t="s">
        <v>695</v>
      </c>
      <c r="BN201" t="s">
        <v>702</v>
      </c>
      <c r="BO201" t="s">
        <v>706</v>
      </c>
      <c r="BP201" t="s">
        <v>707</v>
      </c>
      <c r="BQ201" t="s">
        <v>708</v>
      </c>
    </row>
    <row r="202" spans="1:69" x14ac:dyDescent="0.4">
      <c r="A202" s="2" t="s">
        <v>226</v>
      </c>
      <c r="B202" t="str">
        <f>_xlfn.TEXTAFTER(Table1[[#This Row],[VEHIDCODE]],"_")</f>
        <v>Denmark_DSB_MaK_100</v>
      </c>
      <c r="C202" t="s">
        <v>741</v>
      </c>
      <c r="D202" t="str">
        <f>"item_"&amp;Table1[[#This Row],[VEHIDCODE]]</f>
        <v>item_diesel_Denmark_DSB_MaK_100</v>
      </c>
      <c r="E202" t="str">
        <f>"str_"&amp;Table1[[#This Row],[VEHIDCODE]]</f>
        <v>str_diesel_Denmark_DSB_MaK_100</v>
      </c>
      <c r="F202">
        <v>7</v>
      </c>
      <c r="G202" t="s">
        <v>20</v>
      </c>
      <c r="H202">
        <v>0</v>
      </c>
      <c r="I202" t="s">
        <v>35</v>
      </c>
      <c r="J202">
        <v>0</v>
      </c>
      <c r="K202">
        <v>1962</v>
      </c>
      <c r="L202">
        <v>7</v>
      </c>
      <c r="M202" s="2" t="s">
        <v>20</v>
      </c>
      <c r="N202" t="b">
        <v>1</v>
      </c>
      <c r="P202" s="2"/>
      <c r="Q202">
        <v>45</v>
      </c>
      <c r="R202">
        <v>0</v>
      </c>
      <c r="S202">
        <v>650</v>
      </c>
      <c r="T202" t="s">
        <v>712</v>
      </c>
      <c r="U202">
        <v>75</v>
      </c>
      <c r="V202" s="2">
        <v>0.21</v>
      </c>
      <c r="AE202" t="b">
        <v>1</v>
      </c>
      <c r="AZ202" s="2"/>
      <c r="BA202" s="7">
        <v>40</v>
      </c>
      <c r="BB202" t="s">
        <v>928</v>
      </c>
      <c r="BC202" t="s">
        <v>923</v>
      </c>
      <c r="BD202" t="s">
        <v>941</v>
      </c>
      <c r="BE202" t="str">
        <f>IF(OR(Table1[[#This Row],[ENGINE_CLASS]]="STEAM",Table1[[#This Row],[ENGINE_CLASS]]="ELECTRIC",Table1[[#This Row],[ENGINE_CLASS]]="DIESEL"),Table1[[#This Row],[ENGINE_CLASS]],"DISABLE")</f>
        <v>DIESEL</v>
      </c>
      <c r="BF202">
        <v>0</v>
      </c>
      <c r="BG202" t="s">
        <v>735</v>
      </c>
      <c r="BI202"/>
      <c r="BJ202">
        <v>45</v>
      </c>
      <c r="BK202">
        <v>0</v>
      </c>
      <c r="BL202" t="s">
        <v>693</v>
      </c>
      <c r="BM202" t="s">
        <v>695</v>
      </c>
      <c r="BN202" t="s">
        <v>702</v>
      </c>
      <c r="BO202" t="s">
        <v>706</v>
      </c>
      <c r="BP202" t="s">
        <v>707</v>
      </c>
      <c r="BQ202" t="s">
        <v>708</v>
      </c>
    </row>
    <row r="203" spans="1:69" x14ac:dyDescent="0.4">
      <c r="A203" s="2" t="s">
        <v>227</v>
      </c>
      <c r="B203" t="str">
        <f>_xlfn.TEXTAFTER(Table1[[#This Row],[VEHIDCODE]],"_")</f>
        <v>India_Indian_Railways_WDM_2</v>
      </c>
      <c r="C203" t="s">
        <v>741</v>
      </c>
      <c r="D203" t="str">
        <f>"item_"&amp;Table1[[#This Row],[VEHIDCODE]]</f>
        <v>item_diesel_India_Indian_Railways_WDM_2</v>
      </c>
      <c r="E203" t="str">
        <f>"str_"&amp;Table1[[#This Row],[VEHIDCODE]]</f>
        <v>str_diesel_India_Indian_Railways_WDM_2</v>
      </c>
      <c r="F203">
        <v>7</v>
      </c>
      <c r="G203" t="s">
        <v>20</v>
      </c>
      <c r="H203">
        <v>0</v>
      </c>
      <c r="I203" t="s">
        <v>35</v>
      </c>
      <c r="J203">
        <v>0</v>
      </c>
      <c r="K203">
        <v>1963</v>
      </c>
      <c r="L203">
        <v>7</v>
      </c>
      <c r="M203" s="2" t="s">
        <v>20</v>
      </c>
      <c r="N203" t="b">
        <v>1</v>
      </c>
      <c r="P203" s="2"/>
      <c r="Q203">
        <v>45</v>
      </c>
      <c r="R203">
        <v>1</v>
      </c>
      <c r="S203">
        <v>2400</v>
      </c>
      <c r="T203" t="s">
        <v>712</v>
      </c>
      <c r="U203">
        <v>120</v>
      </c>
      <c r="V203" s="2">
        <v>0.27</v>
      </c>
      <c r="AE203" t="b">
        <v>1</v>
      </c>
      <c r="AZ203" s="2"/>
      <c r="BA203" s="7">
        <v>40</v>
      </c>
      <c r="BB203" t="s">
        <v>932</v>
      </c>
      <c r="BC203" t="s">
        <v>923</v>
      </c>
      <c r="BD203" t="s">
        <v>941</v>
      </c>
      <c r="BE203" t="str">
        <f>IF(OR(Table1[[#This Row],[ENGINE_CLASS]]="STEAM",Table1[[#This Row],[ENGINE_CLASS]]="ELECTRIC",Table1[[#This Row],[ENGINE_CLASS]]="DIESEL"),Table1[[#This Row],[ENGINE_CLASS]],"DISABLE")</f>
        <v>DIESEL</v>
      </c>
      <c r="BF203">
        <v>0</v>
      </c>
      <c r="BG203" t="s">
        <v>735</v>
      </c>
      <c r="BI203"/>
      <c r="BJ203">
        <v>113</v>
      </c>
      <c r="BK203">
        <v>0</v>
      </c>
      <c r="BL203" t="s">
        <v>693</v>
      </c>
      <c r="BM203" t="s">
        <v>695</v>
      </c>
      <c r="BN203" t="s">
        <v>702</v>
      </c>
      <c r="BO203" t="s">
        <v>706</v>
      </c>
      <c r="BP203" t="s">
        <v>707</v>
      </c>
      <c r="BQ203" t="s">
        <v>708</v>
      </c>
    </row>
    <row r="204" spans="1:69" x14ac:dyDescent="0.4">
      <c r="A204" s="2" t="s">
        <v>228</v>
      </c>
      <c r="B204" t="str">
        <f>_xlfn.TEXTAFTER(Table1[[#This Row],[VEHIDCODE]],"_")</f>
        <v>UK_BR_14</v>
      </c>
      <c r="C204" t="s">
        <v>741</v>
      </c>
      <c r="D204" t="str">
        <f>"item_"&amp;Table1[[#This Row],[VEHIDCODE]]</f>
        <v>item_diesel_UK_BR_14</v>
      </c>
      <c r="E204" t="str">
        <f>"str_"&amp;Table1[[#This Row],[VEHIDCODE]]</f>
        <v>str_diesel_UK_BR_14</v>
      </c>
      <c r="F204">
        <v>6</v>
      </c>
      <c r="G204" t="s">
        <v>20</v>
      </c>
      <c r="H204">
        <v>0</v>
      </c>
      <c r="I204" t="s">
        <v>35</v>
      </c>
      <c r="J204">
        <v>0</v>
      </c>
      <c r="K204">
        <v>1964</v>
      </c>
      <c r="L204">
        <v>6</v>
      </c>
      <c r="M204" s="2" t="s">
        <v>20</v>
      </c>
      <c r="N204" t="b">
        <v>1</v>
      </c>
      <c r="P204" s="2"/>
      <c r="Q204">
        <v>45</v>
      </c>
      <c r="R204">
        <v>0</v>
      </c>
      <c r="S204">
        <v>650</v>
      </c>
      <c r="T204" t="s">
        <v>712</v>
      </c>
      <c r="U204">
        <v>64</v>
      </c>
      <c r="V204" s="2">
        <v>0.28000000000000003</v>
      </c>
      <c r="AE204" t="b">
        <v>1</v>
      </c>
      <c r="AZ204" s="2"/>
      <c r="BA204" s="7">
        <v>40</v>
      </c>
      <c r="BB204" t="s">
        <v>928</v>
      </c>
      <c r="BC204" t="s">
        <v>923</v>
      </c>
      <c r="BD204" t="s">
        <v>941</v>
      </c>
      <c r="BE204" t="str">
        <f>IF(OR(Table1[[#This Row],[ENGINE_CLASS]]="STEAM",Table1[[#This Row],[ENGINE_CLASS]]="ELECTRIC",Table1[[#This Row],[ENGINE_CLASS]]="DIESEL"),Table1[[#This Row],[ENGINE_CLASS]],"DISABLE")</f>
        <v>DIESEL</v>
      </c>
      <c r="BF204">
        <v>0</v>
      </c>
      <c r="BG204" t="s">
        <v>735</v>
      </c>
      <c r="BI204"/>
      <c r="BJ204">
        <v>49</v>
      </c>
      <c r="BK204">
        <v>0</v>
      </c>
      <c r="BL204" t="s">
        <v>693</v>
      </c>
      <c r="BM204" t="s">
        <v>695</v>
      </c>
      <c r="BN204" t="s">
        <v>702</v>
      </c>
      <c r="BO204" t="s">
        <v>706</v>
      </c>
      <c r="BP204" t="s">
        <v>707</v>
      </c>
      <c r="BQ204" t="s">
        <v>708</v>
      </c>
    </row>
    <row r="205" spans="1:69" x14ac:dyDescent="0.4">
      <c r="A205" s="2" t="s">
        <v>229</v>
      </c>
      <c r="B205" t="str">
        <f>_xlfn.TEXTAFTER(Table1[[#This Row],[VEHIDCODE]],"_")</f>
        <v>Russia_RZD_ChME3</v>
      </c>
      <c r="C205" t="s">
        <v>741</v>
      </c>
      <c r="D205" t="str">
        <f>"item_"&amp;Table1[[#This Row],[VEHIDCODE]]</f>
        <v>item_diesel_Russia_RZD_ChME3</v>
      </c>
      <c r="E205" t="str">
        <f>"str_"&amp;Table1[[#This Row],[VEHIDCODE]]</f>
        <v>str_diesel_Russia_RZD_ChME3</v>
      </c>
      <c r="F205">
        <v>8</v>
      </c>
      <c r="G205" t="s">
        <v>20</v>
      </c>
      <c r="H205">
        <v>0</v>
      </c>
      <c r="I205" t="s">
        <v>35</v>
      </c>
      <c r="J205">
        <v>0</v>
      </c>
      <c r="K205">
        <v>1964</v>
      </c>
      <c r="L205">
        <v>8</v>
      </c>
      <c r="M205" s="2" t="s">
        <v>20</v>
      </c>
      <c r="N205" t="b">
        <v>1</v>
      </c>
      <c r="P205" s="2"/>
      <c r="Q205">
        <v>45</v>
      </c>
      <c r="R205">
        <v>1</v>
      </c>
      <c r="S205">
        <v>1250</v>
      </c>
      <c r="T205" t="s">
        <v>712</v>
      </c>
      <c r="U205">
        <v>95</v>
      </c>
      <c r="V205" s="2">
        <v>0.28999999999999998</v>
      </c>
      <c r="AE205" t="b">
        <v>1</v>
      </c>
      <c r="AZ205" s="2"/>
      <c r="BA205" s="7">
        <v>40</v>
      </c>
      <c r="BB205" t="s">
        <v>932</v>
      </c>
      <c r="BC205" t="s">
        <v>923</v>
      </c>
      <c r="BD205" t="s">
        <v>941</v>
      </c>
      <c r="BE205" t="str">
        <f>IF(OR(Table1[[#This Row],[ENGINE_CLASS]]="STEAM",Table1[[#This Row],[ENGINE_CLASS]]="ELECTRIC",Table1[[#This Row],[ENGINE_CLASS]]="DIESEL"),Table1[[#This Row],[ENGINE_CLASS]],"DISABLE")</f>
        <v>DIESEL</v>
      </c>
      <c r="BF205">
        <v>0</v>
      </c>
      <c r="BG205" t="s">
        <v>735</v>
      </c>
      <c r="BI205"/>
      <c r="BJ205">
        <v>123</v>
      </c>
      <c r="BK205">
        <v>0</v>
      </c>
      <c r="BL205" t="s">
        <v>693</v>
      </c>
      <c r="BM205" t="s">
        <v>695</v>
      </c>
      <c r="BN205" t="s">
        <v>702</v>
      </c>
      <c r="BO205" t="s">
        <v>706</v>
      </c>
      <c r="BP205" t="s">
        <v>707</v>
      </c>
      <c r="BQ205" t="s">
        <v>708</v>
      </c>
    </row>
    <row r="206" spans="1:69" x14ac:dyDescent="0.4">
      <c r="A206" s="2" t="s">
        <v>230</v>
      </c>
      <c r="B206" t="str">
        <f>_xlfn.TEXTAFTER(Table1[[#This Row],[VEHIDCODE]],"_")</f>
        <v>Argentina_MF_GM_EMD_J16CW_AC</v>
      </c>
      <c r="C206" t="s">
        <v>741</v>
      </c>
      <c r="D206" t="str">
        <f>"item_"&amp;Table1[[#This Row],[VEHIDCODE]]</f>
        <v>item_diesel_Argentina_MF_GM_EMD_J16CW_AC</v>
      </c>
      <c r="E206" t="str">
        <f>"str_"&amp;Table1[[#This Row],[VEHIDCODE]]</f>
        <v>str_diesel_Argentina_MF_GM_EMD_J16CW_AC</v>
      </c>
      <c r="F206">
        <v>8</v>
      </c>
      <c r="G206" t="s">
        <v>20</v>
      </c>
      <c r="H206">
        <v>0</v>
      </c>
      <c r="I206" t="s">
        <v>35</v>
      </c>
      <c r="J206">
        <v>0</v>
      </c>
      <c r="K206">
        <v>1965</v>
      </c>
      <c r="L206">
        <v>8</v>
      </c>
      <c r="M206" s="2" t="s">
        <v>20</v>
      </c>
      <c r="N206" t="b">
        <v>1</v>
      </c>
      <c r="P206" s="2"/>
      <c r="Q206">
        <v>45</v>
      </c>
      <c r="R206">
        <v>1</v>
      </c>
      <c r="S206">
        <v>1870</v>
      </c>
      <c r="T206" t="s">
        <v>712</v>
      </c>
      <c r="U206">
        <v>120</v>
      </c>
      <c r="V206" s="2">
        <v>0.21</v>
      </c>
      <c r="AE206" t="b">
        <v>1</v>
      </c>
      <c r="AZ206" s="2"/>
      <c r="BA206" s="7">
        <v>40</v>
      </c>
      <c r="BB206" t="s">
        <v>931</v>
      </c>
      <c r="BC206" t="s">
        <v>923</v>
      </c>
      <c r="BD206" t="s">
        <v>941</v>
      </c>
      <c r="BE206" t="str">
        <f>IF(OR(Table1[[#This Row],[ENGINE_CLASS]]="STEAM",Table1[[#This Row],[ENGINE_CLASS]]="ELECTRIC",Table1[[#This Row],[ENGINE_CLASS]]="DIESEL"),Table1[[#This Row],[ENGINE_CLASS]],"DISABLE")</f>
        <v>DIESEL</v>
      </c>
      <c r="BF206">
        <v>0</v>
      </c>
      <c r="BG206" t="s">
        <v>735</v>
      </c>
      <c r="BI206"/>
      <c r="BJ206">
        <v>112</v>
      </c>
      <c r="BK206">
        <v>0</v>
      </c>
      <c r="BL206" t="s">
        <v>693</v>
      </c>
      <c r="BM206" t="s">
        <v>695</v>
      </c>
      <c r="BN206" t="s">
        <v>702</v>
      </c>
      <c r="BO206" t="s">
        <v>706</v>
      </c>
      <c r="BP206" t="s">
        <v>707</v>
      </c>
      <c r="BQ206" t="s">
        <v>708</v>
      </c>
    </row>
    <row r="207" spans="1:69" x14ac:dyDescent="0.4">
      <c r="A207" s="2" t="s">
        <v>231</v>
      </c>
      <c r="B207" t="str">
        <f>_xlfn.TEXTAFTER(Table1[[#This Row],[VEHIDCODE]],"_")</f>
        <v>Russia_RZD_M62</v>
      </c>
      <c r="C207" t="s">
        <v>741</v>
      </c>
      <c r="D207" t="str">
        <f>"item_"&amp;Table1[[#This Row],[VEHIDCODE]]</f>
        <v>item_diesel_Russia_RZD_M62</v>
      </c>
      <c r="E207" t="str">
        <f>"str_"&amp;Table1[[#This Row],[VEHIDCODE]]</f>
        <v>str_diesel_Russia_RZD_M62</v>
      </c>
      <c r="F207">
        <v>8</v>
      </c>
      <c r="G207" t="s">
        <v>20</v>
      </c>
      <c r="H207">
        <v>0</v>
      </c>
      <c r="I207" t="s">
        <v>35</v>
      </c>
      <c r="J207">
        <v>0</v>
      </c>
      <c r="K207">
        <v>1965</v>
      </c>
      <c r="L207">
        <v>8</v>
      </c>
      <c r="M207" s="2" t="s">
        <v>20</v>
      </c>
      <c r="N207" t="b">
        <v>1</v>
      </c>
      <c r="P207" s="2"/>
      <c r="Q207">
        <v>45</v>
      </c>
      <c r="R207">
        <v>1</v>
      </c>
      <c r="S207">
        <v>1970</v>
      </c>
      <c r="T207" t="s">
        <v>712</v>
      </c>
      <c r="U207">
        <v>100</v>
      </c>
      <c r="V207" s="2">
        <v>0.3</v>
      </c>
      <c r="AE207" t="b">
        <v>1</v>
      </c>
      <c r="AZ207" s="2"/>
      <c r="BA207" s="7">
        <v>40</v>
      </c>
      <c r="BB207" t="s">
        <v>932</v>
      </c>
      <c r="BC207" t="s">
        <v>923</v>
      </c>
      <c r="BD207" t="s">
        <v>941</v>
      </c>
      <c r="BE207" t="str">
        <f>IF(OR(Table1[[#This Row],[ENGINE_CLASS]]="STEAM",Table1[[#This Row],[ENGINE_CLASS]]="ELECTRIC",Table1[[#This Row],[ENGINE_CLASS]]="DIESEL"),Table1[[#This Row],[ENGINE_CLASS]],"DISABLE")</f>
        <v>DIESEL</v>
      </c>
      <c r="BF207">
        <v>0</v>
      </c>
      <c r="BG207" t="s">
        <v>735</v>
      </c>
      <c r="BI207"/>
      <c r="BJ207">
        <v>116</v>
      </c>
      <c r="BK207">
        <v>0</v>
      </c>
      <c r="BL207" t="s">
        <v>693</v>
      </c>
      <c r="BM207" t="s">
        <v>695</v>
      </c>
      <c r="BN207" t="s">
        <v>702</v>
      </c>
      <c r="BO207" t="s">
        <v>706</v>
      </c>
      <c r="BP207" t="s">
        <v>707</v>
      </c>
      <c r="BQ207" t="s">
        <v>708</v>
      </c>
    </row>
    <row r="208" spans="1:69" x14ac:dyDescent="0.4">
      <c r="A208" s="2" t="s">
        <v>232</v>
      </c>
      <c r="B208" t="str">
        <f>_xlfn.TEXTAFTER(Table1[[#This Row],[VEHIDCODE]],"_")</f>
        <v>Australia_NSWGR_422</v>
      </c>
      <c r="C208" t="s">
        <v>741</v>
      </c>
      <c r="D208" t="str">
        <f>"item_"&amp;Table1[[#This Row],[VEHIDCODE]]</f>
        <v>item_diesel_Australia_NSWGR_422</v>
      </c>
      <c r="E208" t="str">
        <f>"str_"&amp;Table1[[#This Row],[VEHIDCODE]]</f>
        <v>str_diesel_Australia_NSWGR_422</v>
      </c>
      <c r="F208">
        <v>8</v>
      </c>
      <c r="G208" t="s">
        <v>20</v>
      </c>
      <c r="H208">
        <v>0</v>
      </c>
      <c r="I208" t="s">
        <v>35</v>
      </c>
      <c r="J208">
        <v>0</v>
      </c>
      <c r="K208">
        <v>1969</v>
      </c>
      <c r="L208">
        <v>8</v>
      </c>
      <c r="M208" s="2" t="s">
        <v>20</v>
      </c>
      <c r="N208" t="b">
        <v>1</v>
      </c>
      <c r="P208" s="2"/>
      <c r="Q208">
        <v>45</v>
      </c>
      <c r="R208">
        <v>1</v>
      </c>
      <c r="S208">
        <v>2200</v>
      </c>
      <c r="T208" t="s">
        <v>712</v>
      </c>
      <c r="U208">
        <v>124</v>
      </c>
      <c r="V208" s="2">
        <v>0.25</v>
      </c>
      <c r="AE208" t="b">
        <v>1</v>
      </c>
      <c r="AZ208" s="2"/>
      <c r="BA208" s="7">
        <v>40</v>
      </c>
      <c r="BB208" t="s">
        <v>926</v>
      </c>
      <c r="BC208" t="s">
        <v>923</v>
      </c>
      <c r="BD208" t="s">
        <v>941</v>
      </c>
      <c r="BE208" t="str">
        <f>IF(OR(Table1[[#This Row],[ENGINE_CLASS]]="STEAM",Table1[[#This Row],[ENGINE_CLASS]]="ELECTRIC",Table1[[#This Row],[ENGINE_CLASS]]="DIESEL"),Table1[[#This Row],[ENGINE_CLASS]],"DISABLE")</f>
        <v>DIESEL</v>
      </c>
      <c r="BF208">
        <v>0</v>
      </c>
      <c r="BG208" t="s">
        <v>735</v>
      </c>
      <c r="BI208"/>
      <c r="BJ208">
        <v>110</v>
      </c>
      <c r="BK208">
        <v>0</v>
      </c>
      <c r="BL208" t="s">
        <v>693</v>
      </c>
      <c r="BM208" t="s">
        <v>695</v>
      </c>
      <c r="BN208" t="s">
        <v>702</v>
      </c>
      <c r="BO208" t="s">
        <v>706</v>
      </c>
      <c r="BP208" t="s">
        <v>707</v>
      </c>
      <c r="BQ208" t="s">
        <v>708</v>
      </c>
    </row>
    <row r="209" spans="1:69" x14ac:dyDescent="0.4">
      <c r="A209" s="2" t="s">
        <v>233</v>
      </c>
      <c r="B209" t="str">
        <f>_xlfn.TEXTAFTER(Table1[[#This Row],[VEHIDCODE]],"_")</f>
        <v>Egypt_ENR_G22W</v>
      </c>
      <c r="C209" t="s">
        <v>741</v>
      </c>
      <c r="D209" t="str">
        <f>"item_"&amp;Table1[[#This Row],[VEHIDCODE]]</f>
        <v>item_diesel_Egypt_ENR_G22W</v>
      </c>
      <c r="E209" t="str">
        <f>"str_"&amp;Table1[[#This Row],[VEHIDCODE]]</f>
        <v>str_diesel_Egypt_ENR_G22W</v>
      </c>
      <c r="F209">
        <v>8</v>
      </c>
      <c r="G209" t="s">
        <v>20</v>
      </c>
      <c r="H209">
        <v>0</v>
      </c>
      <c r="I209" t="s">
        <v>35</v>
      </c>
      <c r="J209">
        <v>0</v>
      </c>
      <c r="K209">
        <v>1969</v>
      </c>
      <c r="L209">
        <v>8</v>
      </c>
      <c r="M209" s="2" t="s">
        <v>20</v>
      </c>
      <c r="N209" t="b">
        <v>1</v>
      </c>
      <c r="P209" s="2"/>
      <c r="Q209">
        <v>45</v>
      </c>
      <c r="R209">
        <v>1</v>
      </c>
      <c r="S209">
        <v>1650</v>
      </c>
      <c r="T209" t="s">
        <v>712</v>
      </c>
      <c r="U209">
        <v>160</v>
      </c>
      <c r="V209" s="2">
        <v>0.21</v>
      </c>
      <c r="AE209" t="b">
        <v>1</v>
      </c>
      <c r="AZ209" s="2"/>
      <c r="BA209" s="7">
        <v>40</v>
      </c>
      <c r="BB209" t="s">
        <v>927</v>
      </c>
      <c r="BC209" t="s">
        <v>923</v>
      </c>
      <c r="BD209" t="s">
        <v>941</v>
      </c>
      <c r="BE209" t="str">
        <f>IF(OR(Table1[[#This Row],[ENGINE_CLASS]]="STEAM",Table1[[#This Row],[ENGINE_CLASS]]="ELECTRIC",Table1[[#This Row],[ENGINE_CLASS]]="DIESEL"),Table1[[#This Row],[ENGINE_CLASS]],"DISABLE")</f>
        <v>DIESEL</v>
      </c>
      <c r="BF209">
        <v>0</v>
      </c>
      <c r="BG209" t="s">
        <v>735</v>
      </c>
      <c r="BI209"/>
      <c r="BJ209">
        <v>72</v>
      </c>
      <c r="BK209">
        <v>0</v>
      </c>
      <c r="BL209" t="s">
        <v>693</v>
      </c>
      <c r="BM209" t="s">
        <v>695</v>
      </c>
      <c r="BN209" t="s">
        <v>702</v>
      </c>
      <c r="BO209" t="s">
        <v>706</v>
      </c>
      <c r="BP209" t="s">
        <v>707</v>
      </c>
      <c r="BQ209" t="s">
        <v>708</v>
      </c>
    </row>
    <row r="210" spans="1:69" x14ac:dyDescent="0.4">
      <c r="A210" s="2" t="s">
        <v>234</v>
      </c>
      <c r="B210" t="str">
        <f>_xlfn.TEXTAFTER(Table1[[#This Row],[VEHIDCODE]],"_")</f>
        <v>USA_UP_EMD_DDA40X</v>
      </c>
      <c r="C210" t="s">
        <v>741</v>
      </c>
      <c r="D210" t="str">
        <f>"item_"&amp;Table1[[#This Row],[VEHIDCODE]]</f>
        <v>item_diesel_USA_UP_EMD_DDA40X</v>
      </c>
      <c r="E210" t="str">
        <f>"str_"&amp;Table1[[#This Row],[VEHIDCODE]]</f>
        <v>str_diesel_USA_UP_EMD_DDA40X</v>
      </c>
      <c r="F210">
        <v>4</v>
      </c>
      <c r="G210" t="s">
        <v>20</v>
      </c>
      <c r="H210">
        <v>0</v>
      </c>
      <c r="I210" t="s">
        <v>35</v>
      </c>
      <c r="J210">
        <v>0</v>
      </c>
      <c r="K210">
        <v>1969</v>
      </c>
      <c r="L210">
        <v>8</v>
      </c>
      <c r="M210" s="2" t="s">
        <v>20</v>
      </c>
      <c r="N210" t="b">
        <v>1</v>
      </c>
      <c r="P210" s="2"/>
      <c r="Q210">
        <v>45</v>
      </c>
      <c r="R210">
        <v>1</v>
      </c>
      <c r="S210">
        <v>6600</v>
      </c>
      <c r="T210" t="s">
        <v>712</v>
      </c>
      <c r="U210">
        <v>144</v>
      </c>
      <c r="V210" s="2">
        <v>0.19</v>
      </c>
      <c r="AE210" t="b">
        <v>1</v>
      </c>
      <c r="AZ210" s="2"/>
      <c r="BA210" s="7">
        <v>40</v>
      </c>
      <c r="BB210" t="s">
        <v>929</v>
      </c>
      <c r="BC210" t="s">
        <v>923</v>
      </c>
      <c r="BD210" t="s">
        <v>941</v>
      </c>
      <c r="BE210" t="str">
        <f>IF(OR(Table1[[#This Row],[ENGINE_CLASS]]="STEAM",Table1[[#This Row],[ENGINE_CLASS]]="ELECTRIC",Table1[[#This Row],[ENGINE_CLASS]]="DIESEL"),Table1[[#This Row],[ENGINE_CLASS]],"DISABLE")</f>
        <v>DIESEL</v>
      </c>
      <c r="BF210">
        <v>0</v>
      </c>
      <c r="BG210" t="s">
        <v>735</v>
      </c>
      <c r="BI210"/>
      <c r="BJ210">
        <v>261</v>
      </c>
      <c r="BK210">
        <v>0</v>
      </c>
      <c r="BL210" t="s">
        <v>693</v>
      </c>
      <c r="BM210" t="s">
        <v>695</v>
      </c>
      <c r="BN210" t="s">
        <v>702</v>
      </c>
      <c r="BO210" t="s">
        <v>706</v>
      </c>
      <c r="BP210" t="s">
        <v>707</v>
      </c>
      <c r="BQ210" t="s">
        <v>708</v>
      </c>
    </row>
    <row r="211" spans="1:69" x14ac:dyDescent="0.4">
      <c r="A211" s="2" t="s">
        <v>235</v>
      </c>
      <c r="B211" t="str">
        <f>_xlfn.TEXTAFTER(Table1[[#This Row],[VEHIDCODE]],"_")</f>
        <v>Australia_Queensland_Rail_2100</v>
      </c>
      <c r="C211" t="s">
        <v>741</v>
      </c>
      <c r="D211" t="str">
        <f>"item_"&amp;Table1[[#This Row],[VEHIDCODE]]</f>
        <v>item_diesel_Australia_Queensland_Rail_2100</v>
      </c>
      <c r="E211" t="str">
        <f>"str_"&amp;Table1[[#This Row],[VEHIDCODE]]</f>
        <v>str_diesel_Australia_Queensland_Rail_2100</v>
      </c>
      <c r="F211">
        <v>8</v>
      </c>
      <c r="G211" t="s">
        <v>20</v>
      </c>
      <c r="H211">
        <v>0</v>
      </c>
      <c r="I211" t="s">
        <v>35</v>
      </c>
      <c r="J211">
        <v>0</v>
      </c>
      <c r="K211">
        <v>1970</v>
      </c>
      <c r="L211">
        <v>8</v>
      </c>
      <c r="M211" s="2" t="s">
        <v>20</v>
      </c>
      <c r="N211" t="b">
        <v>1</v>
      </c>
      <c r="P211" s="2"/>
      <c r="Q211">
        <v>45</v>
      </c>
      <c r="R211">
        <v>1</v>
      </c>
      <c r="S211">
        <v>1950</v>
      </c>
      <c r="T211" t="s">
        <v>712</v>
      </c>
      <c r="U211">
        <v>80</v>
      </c>
      <c r="V211" s="2">
        <v>0.28999999999999998</v>
      </c>
      <c r="AE211" t="b">
        <v>1</v>
      </c>
      <c r="AZ211" s="2"/>
      <c r="BA211" s="7">
        <v>40</v>
      </c>
      <c r="BB211" t="s">
        <v>926</v>
      </c>
      <c r="BC211" t="s">
        <v>923</v>
      </c>
      <c r="BD211" t="s">
        <v>941</v>
      </c>
      <c r="BE211" t="str">
        <f>IF(OR(Table1[[#This Row],[ENGINE_CLASS]]="STEAM",Table1[[#This Row],[ENGINE_CLASS]]="ELECTRIC",Table1[[#This Row],[ENGINE_CLASS]]="DIESEL"),Table1[[#This Row],[ENGINE_CLASS]],"DISABLE")</f>
        <v>DIESEL</v>
      </c>
      <c r="BF211">
        <v>0</v>
      </c>
      <c r="BG211" t="s">
        <v>735</v>
      </c>
      <c r="BI211"/>
      <c r="BJ211">
        <v>98</v>
      </c>
      <c r="BK211">
        <v>0</v>
      </c>
      <c r="BL211" t="s">
        <v>693</v>
      </c>
      <c r="BM211" t="s">
        <v>695</v>
      </c>
      <c r="BN211" t="s">
        <v>702</v>
      </c>
      <c r="BO211" t="s">
        <v>706</v>
      </c>
      <c r="BP211" t="s">
        <v>707</v>
      </c>
      <c r="BQ211" t="s">
        <v>708</v>
      </c>
    </row>
    <row r="212" spans="1:69" x14ac:dyDescent="0.4">
      <c r="A212" s="2" t="s">
        <v>236</v>
      </c>
      <c r="B212" t="str">
        <f>_xlfn.TEXTAFTER(Table1[[#This Row],[VEHIDCODE]],"_")</f>
        <v>Croatia_HZ_2062</v>
      </c>
      <c r="C212" t="s">
        <v>741</v>
      </c>
      <c r="D212" t="str">
        <f>"item_"&amp;Table1[[#This Row],[VEHIDCODE]]</f>
        <v>item_diesel_Croatia_HZ_2062</v>
      </c>
      <c r="E212" t="str">
        <f>"str_"&amp;Table1[[#This Row],[VEHIDCODE]]</f>
        <v>str_diesel_Croatia_HZ_2062</v>
      </c>
      <c r="F212">
        <v>8</v>
      </c>
      <c r="G212" t="s">
        <v>20</v>
      </c>
      <c r="H212">
        <v>0</v>
      </c>
      <c r="I212" t="s">
        <v>35</v>
      </c>
      <c r="J212">
        <v>0</v>
      </c>
      <c r="K212">
        <v>1972</v>
      </c>
      <c r="L212">
        <v>8</v>
      </c>
      <c r="M212" s="2" t="s">
        <v>20</v>
      </c>
      <c r="N212" t="b">
        <v>1</v>
      </c>
      <c r="P212" s="2"/>
      <c r="Q212">
        <v>45</v>
      </c>
      <c r="R212">
        <v>1</v>
      </c>
      <c r="S212">
        <v>2200</v>
      </c>
      <c r="T212" t="s">
        <v>712</v>
      </c>
      <c r="U212">
        <v>124</v>
      </c>
      <c r="V212" s="2">
        <v>0.26</v>
      </c>
      <c r="AE212" t="b">
        <v>1</v>
      </c>
      <c r="AZ212" s="2"/>
      <c r="BA212" s="7">
        <v>40</v>
      </c>
      <c r="BB212" t="s">
        <v>930</v>
      </c>
      <c r="BC212" t="s">
        <v>923</v>
      </c>
      <c r="BD212" t="s">
        <v>941</v>
      </c>
      <c r="BE212" t="str">
        <f>IF(OR(Table1[[#This Row],[ENGINE_CLASS]]="STEAM",Table1[[#This Row],[ENGINE_CLASS]]="ELECTRIC",Table1[[#This Row],[ENGINE_CLASS]]="DIESEL"),Table1[[#This Row],[ENGINE_CLASS]],"DISABLE")</f>
        <v>DIESEL</v>
      </c>
      <c r="BF212">
        <v>0</v>
      </c>
      <c r="BG212" t="s">
        <v>735</v>
      </c>
      <c r="BI212"/>
      <c r="BJ212">
        <v>103</v>
      </c>
      <c r="BK212">
        <v>0</v>
      </c>
      <c r="BL212" t="s">
        <v>693</v>
      </c>
      <c r="BM212" t="s">
        <v>695</v>
      </c>
      <c r="BN212" t="s">
        <v>702</v>
      </c>
      <c r="BO212" t="s">
        <v>706</v>
      </c>
      <c r="BP212" t="s">
        <v>707</v>
      </c>
      <c r="BQ212" t="s">
        <v>708</v>
      </c>
    </row>
    <row r="213" spans="1:69" x14ac:dyDescent="0.4">
      <c r="A213" s="2" t="s">
        <v>237</v>
      </c>
      <c r="B213" t="str">
        <f>_xlfn.TEXTAFTER(Table1[[#This Row],[VEHIDCODE]],"_")</f>
        <v>Sweden_SJ_V4</v>
      </c>
      <c r="C213" t="s">
        <v>741</v>
      </c>
      <c r="D213" t="str">
        <f>"item_"&amp;Table1[[#This Row],[VEHIDCODE]]</f>
        <v>item_diesel_Sweden_SJ_V4</v>
      </c>
      <c r="E213" t="str">
        <f>"str_"&amp;Table1[[#This Row],[VEHIDCODE]]</f>
        <v>str_diesel_Sweden_SJ_V4</v>
      </c>
      <c r="F213">
        <v>6</v>
      </c>
      <c r="G213" t="s">
        <v>20</v>
      </c>
      <c r="H213">
        <v>0</v>
      </c>
      <c r="I213" t="s">
        <v>35</v>
      </c>
      <c r="J213">
        <v>0</v>
      </c>
      <c r="K213">
        <v>1972</v>
      </c>
      <c r="L213">
        <v>6</v>
      </c>
      <c r="M213" s="2" t="s">
        <v>20</v>
      </c>
      <c r="N213" t="b">
        <v>1</v>
      </c>
      <c r="P213" s="2"/>
      <c r="Q213">
        <v>45</v>
      </c>
      <c r="R213">
        <v>0</v>
      </c>
      <c r="S213">
        <v>620</v>
      </c>
      <c r="T213" t="s">
        <v>712</v>
      </c>
      <c r="U213">
        <v>70</v>
      </c>
      <c r="V213" s="2">
        <v>0.3</v>
      </c>
      <c r="AE213" t="b">
        <v>1</v>
      </c>
      <c r="AZ213" s="2"/>
      <c r="BA213" s="7">
        <v>40</v>
      </c>
      <c r="BB213" t="s">
        <v>928</v>
      </c>
      <c r="BC213" t="s">
        <v>923</v>
      </c>
      <c r="BD213" t="s">
        <v>941</v>
      </c>
      <c r="BE213" t="str">
        <f>IF(OR(Table1[[#This Row],[ENGINE_CLASS]]="STEAM",Table1[[#This Row],[ENGINE_CLASS]]="ELECTRIC",Table1[[#This Row],[ENGINE_CLASS]]="DIESEL"),Table1[[#This Row],[ENGINE_CLASS]],"DISABLE")</f>
        <v>DIESEL</v>
      </c>
      <c r="BF213">
        <v>0</v>
      </c>
      <c r="BG213" t="s">
        <v>735</v>
      </c>
      <c r="BI213"/>
      <c r="BJ213">
        <v>46</v>
      </c>
      <c r="BK213">
        <v>0</v>
      </c>
      <c r="BL213" t="s">
        <v>693</v>
      </c>
      <c r="BM213" t="s">
        <v>695</v>
      </c>
      <c r="BN213" t="s">
        <v>702</v>
      </c>
      <c r="BO213" t="s">
        <v>706</v>
      </c>
      <c r="BP213" t="s">
        <v>707</v>
      </c>
      <c r="BQ213" t="s">
        <v>708</v>
      </c>
    </row>
    <row r="214" spans="1:69" x14ac:dyDescent="0.4">
      <c r="A214" s="2" t="s">
        <v>238</v>
      </c>
      <c r="B214" t="str">
        <f>_xlfn.TEXTAFTER(Table1[[#This Row],[VEHIDCODE]],"_")</f>
        <v>Canada_CNR_MLW_M420W</v>
      </c>
      <c r="C214" t="s">
        <v>741</v>
      </c>
      <c r="D214" t="str">
        <f>"item_"&amp;Table1[[#This Row],[VEHIDCODE]]</f>
        <v>item_diesel_Canada_CNR_MLW_M420W</v>
      </c>
      <c r="E214" t="str">
        <f>"str_"&amp;Table1[[#This Row],[VEHIDCODE]]</f>
        <v>str_diesel_Canada_CNR_MLW_M420W</v>
      </c>
      <c r="F214">
        <v>8</v>
      </c>
      <c r="G214" t="s">
        <v>20</v>
      </c>
      <c r="H214">
        <v>0</v>
      </c>
      <c r="I214" t="s">
        <v>35</v>
      </c>
      <c r="J214">
        <v>0</v>
      </c>
      <c r="K214">
        <v>1973</v>
      </c>
      <c r="L214">
        <v>8</v>
      </c>
      <c r="M214" s="2" t="s">
        <v>20</v>
      </c>
      <c r="N214" t="b">
        <v>1</v>
      </c>
      <c r="P214" s="2"/>
      <c r="Q214">
        <v>45</v>
      </c>
      <c r="R214">
        <v>1</v>
      </c>
      <c r="S214">
        <v>2400</v>
      </c>
      <c r="T214" t="s">
        <v>712</v>
      </c>
      <c r="U214">
        <v>108</v>
      </c>
      <c r="V214" s="2">
        <v>0.13</v>
      </c>
      <c r="AE214" t="b">
        <v>1</v>
      </c>
      <c r="AZ214" s="2"/>
      <c r="BA214" s="7">
        <v>40</v>
      </c>
      <c r="BB214" t="s">
        <v>929</v>
      </c>
      <c r="BC214" t="s">
        <v>923</v>
      </c>
      <c r="BD214" t="s">
        <v>941</v>
      </c>
      <c r="BE214" t="str">
        <f>IF(OR(Table1[[#This Row],[ENGINE_CLASS]]="STEAM",Table1[[#This Row],[ENGINE_CLASS]]="ELECTRIC",Table1[[#This Row],[ENGINE_CLASS]]="DIESEL"),Table1[[#This Row],[ENGINE_CLASS]],"DISABLE")</f>
        <v>DIESEL</v>
      </c>
      <c r="BF214">
        <v>0</v>
      </c>
      <c r="BG214" t="s">
        <v>735</v>
      </c>
      <c r="BI214"/>
      <c r="BJ214">
        <v>125</v>
      </c>
      <c r="BK214">
        <v>0</v>
      </c>
      <c r="BL214" t="s">
        <v>693</v>
      </c>
      <c r="BM214" t="s">
        <v>695</v>
      </c>
      <c r="BN214" t="s">
        <v>702</v>
      </c>
      <c r="BO214" t="s">
        <v>706</v>
      </c>
      <c r="BP214" t="s">
        <v>707</v>
      </c>
      <c r="BQ214" t="s">
        <v>708</v>
      </c>
    </row>
    <row r="215" spans="1:69" x14ac:dyDescent="0.4">
      <c r="A215" s="2" t="s">
        <v>239</v>
      </c>
      <c r="B215" t="str">
        <f>_xlfn.TEXTAFTER(Table1[[#This Row],[VEHIDCODE]],"_")</f>
        <v>USA_Amtrack_SDP_40F</v>
      </c>
      <c r="C215" t="s">
        <v>741</v>
      </c>
      <c r="D215" t="str">
        <f>"item_"&amp;Table1[[#This Row],[VEHIDCODE]]</f>
        <v>item_diesel_USA_Amtrack_SDP_40F</v>
      </c>
      <c r="E215" t="str">
        <f>"str_"&amp;Table1[[#This Row],[VEHIDCODE]]</f>
        <v>str_diesel_USA_Amtrack_SDP_40F</v>
      </c>
      <c r="F215">
        <v>8</v>
      </c>
      <c r="G215" t="s">
        <v>20</v>
      </c>
      <c r="H215">
        <v>0</v>
      </c>
      <c r="I215" t="s">
        <v>35</v>
      </c>
      <c r="J215">
        <v>0</v>
      </c>
      <c r="K215">
        <v>1973</v>
      </c>
      <c r="L215">
        <v>8</v>
      </c>
      <c r="M215" s="2" t="s">
        <v>20</v>
      </c>
      <c r="N215" t="b">
        <v>1</v>
      </c>
      <c r="P215" s="2"/>
      <c r="Q215">
        <v>45</v>
      </c>
      <c r="R215">
        <v>1</v>
      </c>
      <c r="S215">
        <v>3000</v>
      </c>
      <c r="T215" t="s">
        <v>712</v>
      </c>
      <c r="U215">
        <v>153</v>
      </c>
      <c r="V215" s="2">
        <v>0.15</v>
      </c>
      <c r="AE215" t="b">
        <v>1</v>
      </c>
      <c r="AZ215" s="2"/>
      <c r="BA215" s="7">
        <v>40</v>
      </c>
      <c r="BB215" t="s">
        <v>929</v>
      </c>
      <c r="BC215" t="s">
        <v>923</v>
      </c>
      <c r="BD215" t="s">
        <v>941</v>
      </c>
      <c r="BE215" t="str">
        <f>IF(OR(Table1[[#This Row],[ENGINE_CLASS]]="STEAM",Table1[[#This Row],[ENGINE_CLASS]]="ELECTRIC",Table1[[#This Row],[ENGINE_CLASS]]="DIESEL"),Table1[[#This Row],[ENGINE_CLASS]],"DISABLE")</f>
        <v>DIESEL</v>
      </c>
      <c r="BF215">
        <v>-3</v>
      </c>
      <c r="BG215" t="s">
        <v>735</v>
      </c>
      <c r="BI215"/>
      <c r="BJ215">
        <v>131</v>
      </c>
      <c r="BK215">
        <v>0</v>
      </c>
      <c r="BL215" t="s">
        <v>693</v>
      </c>
      <c r="BM215" t="s">
        <v>695</v>
      </c>
      <c r="BN215" t="s">
        <v>702</v>
      </c>
      <c r="BO215" t="s">
        <v>706</v>
      </c>
      <c r="BP215" t="s">
        <v>707</v>
      </c>
      <c r="BQ215" t="s">
        <v>708</v>
      </c>
    </row>
    <row r="216" spans="1:69" x14ac:dyDescent="0.4">
      <c r="A216" s="2" t="s">
        <v>240</v>
      </c>
      <c r="B216" t="str">
        <f>_xlfn.TEXTAFTER(Table1[[#This Row],[VEHIDCODE]],"_")</f>
        <v>China_China_Railways_DFH3</v>
      </c>
      <c r="C216" t="s">
        <v>741</v>
      </c>
      <c r="D216" t="str">
        <f>"item_"&amp;Table1[[#This Row],[VEHIDCODE]]</f>
        <v>item_diesel_China_China_Railways_DFH3</v>
      </c>
      <c r="E216" t="str">
        <f>"str_"&amp;Table1[[#This Row],[VEHIDCODE]]</f>
        <v>str_diesel_China_China_Railways_DFH3</v>
      </c>
      <c r="F216">
        <v>8</v>
      </c>
      <c r="G216" t="s">
        <v>20</v>
      </c>
      <c r="H216">
        <v>0</v>
      </c>
      <c r="I216" t="s">
        <v>35</v>
      </c>
      <c r="J216">
        <v>0</v>
      </c>
      <c r="K216">
        <v>1976</v>
      </c>
      <c r="L216">
        <v>8</v>
      </c>
      <c r="M216" s="2" t="s">
        <v>20</v>
      </c>
      <c r="N216" t="b">
        <v>1</v>
      </c>
      <c r="P216" s="2"/>
      <c r="Q216">
        <v>45</v>
      </c>
      <c r="R216">
        <v>1</v>
      </c>
      <c r="S216">
        <v>2200</v>
      </c>
      <c r="T216" t="s">
        <v>712</v>
      </c>
      <c r="U216">
        <v>120</v>
      </c>
      <c r="V216" s="2">
        <v>0.28999999999999998</v>
      </c>
      <c r="AE216" t="b">
        <v>1</v>
      </c>
      <c r="AZ216" s="2"/>
      <c r="BA216" s="7">
        <v>40</v>
      </c>
      <c r="BB216" t="s">
        <v>932</v>
      </c>
      <c r="BC216" t="s">
        <v>923</v>
      </c>
      <c r="BD216" t="s">
        <v>941</v>
      </c>
      <c r="BE216" t="str">
        <f>IF(OR(Table1[[#This Row],[ENGINE_CLASS]]="STEAM",Table1[[#This Row],[ENGINE_CLASS]]="ELECTRIC",Table1[[#This Row],[ENGINE_CLASS]]="DIESEL"),Table1[[#This Row],[ENGINE_CLASS]],"DISABLE")</f>
        <v>DIESEL</v>
      </c>
      <c r="BF216">
        <v>0</v>
      </c>
      <c r="BG216" t="s">
        <v>735</v>
      </c>
      <c r="BI216"/>
      <c r="BJ216">
        <v>92</v>
      </c>
      <c r="BK216">
        <v>0</v>
      </c>
      <c r="BL216" t="s">
        <v>693</v>
      </c>
      <c r="BM216" t="s">
        <v>695</v>
      </c>
      <c r="BN216" t="s">
        <v>702</v>
      </c>
      <c r="BO216" t="s">
        <v>706</v>
      </c>
      <c r="BP216" t="s">
        <v>707</v>
      </c>
      <c r="BQ216" t="s">
        <v>708</v>
      </c>
    </row>
    <row r="217" spans="1:69" x14ac:dyDescent="0.4">
      <c r="A217" s="2" t="s">
        <v>241</v>
      </c>
      <c r="B217" t="str">
        <f>_xlfn.TEXTAFTER(Table1[[#This Row],[VEHIDCODE]],"_")</f>
        <v>Panama_Panama_Canal_Railway_EMD_F40PH</v>
      </c>
      <c r="C217" t="s">
        <v>741</v>
      </c>
      <c r="D217" t="str">
        <f>"item_"&amp;Table1[[#This Row],[VEHIDCODE]]</f>
        <v>item_diesel_Panama_Panama_Canal_Railway_EMD_F40PH</v>
      </c>
      <c r="E217" t="str">
        <f>"str_"&amp;Table1[[#This Row],[VEHIDCODE]]</f>
        <v>str_diesel_Panama_Panama_Canal_Railway_EMD_F40PH</v>
      </c>
      <c r="F217">
        <v>7</v>
      </c>
      <c r="G217" t="s">
        <v>20</v>
      </c>
      <c r="H217">
        <v>0</v>
      </c>
      <c r="I217" t="s">
        <v>35</v>
      </c>
      <c r="J217">
        <v>0</v>
      </c>
      <c r="K217">
        <v>1977</v>
      </c>
      <c r="L217">
        <v>7</v>
      </c>
      <c r="M217" s="2" t="s">
        <v>20</v>
      </c>
      <c r="N217" t="b">
        <v>1</v>
      </c>
      <c r="P217" s="2"/>
      <c r="Q217">
        <v>45</v>
      </c>
      <c r="R217">
        <v>1</v>
      </c>
      <c r="S217">
        <v>3000</v>
      </c>
      <c r="T217" t="s">
        <v>712</v>
      </c>
      <c r="U217">
        <v>165</v>
      </c>
      <c r="V217" s="2">
        <v>0.1</v>
      </c>
      <c r="AE217" t="b">
        <v>1</v>
      </c>
      <c r="AZ217" s="2"/>
      <c r="BA217" s="7">
        <v>40</v>
      </c>
      <c r="BB217" t="s">
        <v>929</v>
      </c>
      <c r="BC217" t="s">
        <v>923</v>
      </c>
      <c r="BD217" t="s">
        <v>941</v>
      </c>
      <c r="BE217" t="str">
        <f>IF(OR(Table1[[#This Row],[ENGINE_CLASS]]="STEAM",Table1[[#This Row],[ENGINE_CLASS]]="ELECTRIC",Table1[[#This Row],[ENGINE_CLASS]]="DIESEL"),Table1[[#This Row],[ENGINE_CLASS]],"DISABLE")</f>
        <v>DIESEL</v>
      </c>
      <c r="BF217">
        <v>0</v>
      </c>
      <c r="BG217" t="s">
        <v>735</v>
      </c>
      <c r="BI217"/>
      <c r="BJ217">
        <v>115</v>
      </c>
      <c r="BK217">
        <v>0</v>
      </c>
      <c r="BL217" t="s">
        <v>693</v>
      </c>
      <c r="BM217" t="s">
        <v>695</v>
      </c>
      <c r="BN217" t="s">
        <v>702</v>
      </c>
      <c r="BO217" t="s">
        <v>706</v>
      </c>
      <c r="BP217" t="s">
        <v>707</v>
      </c>
      <c r="BQ217" t="s">
        <v>708</v>
      </c>
    </row>
    <row r="218" spans="1:69" x14ac:dyDescent="0.4">
      <c r="A218" s="2" t="s">
        <v>242</v>
      </c>
      <c r="B218" t="str">
        <f>_xlfn.TEXTAFTER(Table1[[#This Row],[VEHIDCODE]],"_")</f>
        <v>Portugal_CP_1900</v>
      </c>
      <c r="C218" t="s">
        <v>741</v>
      </c>
      <c r="D218" t="str">
        <f>"item_"&amp;Table1[[#This Row],[VEHIDCODE]]</f>
        <v>item_diesel_Portugal_CP_1900</v>
      </c>
      <c r="E218" t="str">
        <f>"str_"&amp;Table1[[#This Row],[VEHIDCODE]]</f>
        <v>str_diesel_Portugal_CP_1900</v>
      </c>
      <c r="F218">
        <v>8</v>
      </c>
      <c r="G218" t="s">
        <v>20</v>
      </c>
      <c r="H218">
        <v>0</v>
      </c>
      <c r="I218" t="s">
        <v>35</v>
      </c>
      <c r="J218">
        <v>0</v>
      </c>
      <c r="K218">
        <v>1981</v>
      </c>
      <c r="L218">
        <v>8</v>
      </c>
      <c r="M218" s="2" t="s">
        <v>20</v>
      </c>
      <c r="N218" t="b">
        <v>1</v>
      </c>
      <c r="P218" s="2"/>
      <c r="Q218">
        <v>45</v>
      </c>
      <c r="R218">
        <v>1</v>
      </c>
      <c r="S218">
        <v>2260</v>
      </c>
      <c r="T218" t="s">
        <v>712</v>
      </c>
      <c r="U218">
        <v>100</v>
      </c>
      <c r="V218" s="2">
        <v>0.34</v>
      </c>
      <c r="AE218" t="b">
        <v>1</v>
      </c>
      <c r="AZ218" s="2"/>
      <c r="BA218" s="7">
        <v>40</v>
      </c>
      <c r="BB218" t="s">
        <v>925</v>
      </c>
      <c r="BC218" t="s">
        <v>923</v>
      </c>
      <c r="BD218" t="s">
        <v>941</v>
      </c>
      <c r="BE218" t="str">
        <f>IF(OR(Table1[[#This Row],[ENGINE_CLASS]]="STEAM",Table1[[#This Row],[ENGINE_CLASS]]="ELECTRIC",Table1[[#This Row],[ENGINE_CLASS]]="DIESEL"),Table1[[#This Row],[ENGINE_CLASS]],"DISABLE")</f>
        <v>DIESEL</v>
      </c>
      <c r="BF218">
        <v>0</v>
      </c>
      <c r="BG218" t="s">
        <v>735</v>
      </c>
      <c r="BI218"/>
      <c r="BJ218">
        <v>115</v>
      </c>
      <c r="BK218">
        <v>0</v>
      </c>
      <c r="BL218" t="s">
        <v>693</v>
      </c>
      <c r="BM218" t="s">
        <v>695</v>
      </c>
      <c r="BN218" t="s">
        <v>702</v>
      </c>
      <c r="BO218" t="s">
        <v>706</v>
      </c>
      <c r="BP218" t="s">
        <v>707</v>
      </c>
      <c r="BQ218" t="s">
        <v>708</v>
      </c>
    </row>
    <row r="219" spans="1:69" x14ac:dyDescent="0.4">
      <c r="A219" s="2" t="s">
        <v>243</v>
      </c>
      <c r="B219" t="str">
        <f>_xlfn.TEXTAFTER(Table1[[#This Row],[VEHIDCODE]],"_")</f>
        <v>Finland_VR_Dr16</v>
      </c>
      <c r="C219" t="s">
        <v>741</v>
      </c>
      <c r="D219" t="str">
        <f>"item_"&amp;Table1[[#This Row],[VEHIDCODE]]</f>
        <v>item_diesel_Finland_VR_Dr16</v>
      </c>
      <c r="E219" t="str">
        <f>"str_"&amp;Table1[[#This Row],[VEHIDCODE]]</f>
        <v>str_diesel_Finland_VR_Dr16</v>
      </c>
      <c r="F219">
        <v>8</v>
      </c>
      <c r="G219" t="s">
        <v>20</v>
      </c>
      <c r="H219">
        <v>0</v>
      </c>
      <c r="I219" t="s">
        <v>35</v>
      </c>
      <c r="J219">
        <v>0</v>
      </c>
      <c r="K219">
        <v>1985</v>
      </c>
      <c r="L219">
        <v>8</v>
      </c>
      <c r="M219" s="2" t="s">
        <v>20</v>
      </c>
      <c r="N219" t="b">
        <v>1</v>
      </c>
      <c r="P219" s="2"/>
      <c r="Q219">
        <v>45</v>
      </c>
      <c r="R219">
        <v>0</v>
      </c>
      <c r="S219">
        <v>2250</v>
      </c>
      <c r="T219" t="s">
        <v>712</v>
      </c>
      <c r="U219">
        <v>140</v>
      </c>
      <c r="V219" s="2">
        <v>0.33</v>
      </c>
      <c r="AE219" t="b">
        <v>1</v>
      </c>
      <c r="AZ219" s="2"/>
      <c r="BA219" s="7">
        <v>40</v>
      </c>
      <c r="BB219" t="s">
        <v>928</v>
      </c>
      <c r="BC219" t="s">
        <v>923</v>
      </c>
      <c r="BD219" t="s">
        <v>941</v>
      </c>
      <c r="BE219" t="str">
        <f>IF(OR(Table1[[#This Row],[ENGINE_CLASS]]="STEAM",Table1[[#This Row],[ENGINE_CLASS]]="ELECTRIC",Table1[[#This Row],[ENGINE_CLASS]]="DIESEL"),Table1[[#This Row],[ENGINE_CLASS]],"DISABLE")</f>
        <v>DIESEL</v>
      </c>
      <c r="BF219">
        <v>0</v>
      </c>
      <c r="BG219" t="s">
        <v>735</v>
      </c>
      <c r="BI219"/>
      <c r="BJ219">
        <v>82</v>
      </c>
      <c r="BK219">
        <v>0</v>
      </c>
      <c r="BL219" t="s">
        <v>693</v>
      </c>
      <c r="BM219" t="s">
        <v>695</v>
      </c>
      <c r="BN219" t="s">
        <v>702</v>
      </c>
      <c r="BO219" t="s">
        <v>706</v>
      </c>
      <c r="BP219" t="s">
        <v>707</v>
      </c>
      <c r="BQ219" t="s">
        <v>708</v>
      </c>
    </row>
    <row r="220" spans="1:69" x14ac:dyDescent="0.4">
      <c r="A220" s="2" t="s">
        <v>244</v>
      </c>
      <c r="B220" t="str">
        <f>_xlfn.TEXTAFTER(Table1[[#This Row],[VEHIDCODE]],"_")</f>
        <v>Russia_RZD_TEP80</v>
      </c>
      <c r="C220" t="s">
        <v>741</v>
      </c>
      <c r="D220" t="str">
        <f>"item_"&amp;Table1[[#This Row],[VEHIDCODE]]</f>
        <v>item_diesel_Russia_RZD_TEP80</v>
      </c>
      <c r="E220" t="str">
        <f>"str_"&amp;Table1[[#This Row],[VEHIDCODE]]</f>
        <v>str_diesel_Russia_RZD_TEP80</v>
      </c>
      <c r="F220">
        <v>8</v>
      </c>
      <c r="G220" t="s">
        <v>20</v>
      </c>
      <c r="H220">
        <v>0</v>
      </c>
      <c r="I220" t="s">
        <v>35</v>
      </c>
      <c r="J220">
        <v>0</v>
      </c>
      <c r="K220">
        <v>1988</v>
      </c>
      <c r="L220">
        <v>8</v>
      </c>
      <c r="M220" s="2" t="s">
        <v>20</v>
      </c>
      <c r="N220" t="b">
        <v>1</v>
      </c>
      <c r="P220" s="2"/>
      <c r="Q220" t="s">
        <v>21</v>
      </c>
      <c r="R220">
        <v>1</v>
      </c>
      <c r="S220">
        <v>6000</v>
      </c>
      <c r="T220" t="s">
        <v>712</v>
      </c>
      <c r="U220">
        <v>160</v>
      </c>
      <c r="V220" s="2">
        <v>0.13</v>
      </c>
      <c r="AE220" t="b">
        <v>1</v>
      </c>
      <c r="AZ220" s="2"/>
      <c r="BA220" s="7">
        <v>40</v>
      </c>
      <c r="BB220" t="s">
        <v>932</v>
      </c>
      <c r="BC220" t="s">
        <v>923</v>
      </c>
      <c r="BD220" t="s">
        <v>941</v>
      </c>
      <c r="BE220" t="str">
        <f>IF(OR(Table1[[#This Row],[ENGINE_CLASS]]="STEAM",Table1[[#This Row],[ENGINE_CLASS]]="ELECTRIC",Table1[[#This Row],[ENGINE_CLASS]]="DIESEL"),Table1[[#This Row],[ENGINE_CLASS]],"DISABLE")</f>
        <v>DIESEL</v>
      </c>
      <c r="BF220">
        <v>0</v>
      </c>
      <c r="BG220" t="s">
        <v>735</v>
      </c>
      <c r="BI220"/>
      <c r="BJ220">
        <v>180</v>
      </c>
      <c r="BK220">
        <v>0</v>
      </c>
      <c r="BL220" t="s">
        <v>693</v>
      </c>
      <c r="BM220" t="s">
        <v>695</v>
      </c>
      <c r="BN220" t="s">
        <v>702</v>
      </c>
      <c r="BO220" t="s">
        <v>706</v>
      </c>
      <c r="BP220" t="s">
        <v>707</v>
      </c>
      <c r="BQ220" t="s">
        <v>708</v>
      </c>
    </row>
    <row r="221" spans="1:69" x14ac:dyDescent="0.4">
      <c r="A221" s="2" t="s">
        <v>245</v>
      </c>
      <c r="B221" t="str">
        <f>_xlfn.TEXTAFTER(Table1[[#This Row],[VEHIDCODE]],"_")</f>
        <v>Australia_Australian_National_AN</v>
      </c>
      <c r="C221" t="s">
        <v>741</v>
      </c>
      <c r="D221" t="str">
        <f>"item_"&amp;Table1[[#This Row],[VEHIDCODE]]</f>
        <v>item_diesel_Australia_Australian_National_AN</v>
      </c>
      <c r="E221" t="str">
        <f>"str_"&amp;Table1[[#This Row],[VEHIDCODE]]</f>
        <v>str_diesel_Australia_Australian_National_AN</v>
      </c>
      <c r="F221">
        <v>8</v>
      </c>
      <c r="G221" t="s">
        <v>20</v>
      </c>
      <c r="H221">
        <v>0</v>
      </c>
      <c r="I221" t="s">
        <v>35</v>
      </c>
      <c r="J221">
        <v>0</v>
      </c>
      <c r="K221">
        <v>1992</v>
      </c>
      <c r="L221">
        <v>8</v>
      </c>
      <c r="M221" s="2" t="s">
        <v>20</v>
      </c>
      <c r="N221" t="b">
        <v>1</v>
      </c>
      <c r="P221" s="2"/>
      <c r="Q221">
        <v>45</v>
      </c>
      <c r="R221">
        <v>1</v>
      </c>
      <c r="S221">
        <v>4120</v>
      </c>
      <c r="T221" t="s">
        <v>712</v>
      </c>
      <c r="U221">
        <v>150</v>
      </c>
      <c r="V221" s="2">
        <v>0.25</v>
      </c>
      <c r="AE221" t="b">
        <v>1</v>
      </c>
      <c r="AZ221" s="2"/>
      <c r="BA221" s="7">
        <v>40</v>
      </c>
      <c r="BB221" t="s">
        <v>926</v>
      </c>
      <c r="BC221" t="s">
        <v>923</v>
      </c>
      <c r="BD221" t="s">
        <v>941</v>
      </c>
      <c r="BE221" t="str">
        <f>IF(OR(Table1[[#This Row],[ENGINE_CLASS]]="STEAM",Table1[[#This Row],[ENGINE_CLASS]]="ELECTRIC",Table1[[#This Row],[ENGINE_CLASS]]="DIESEL"),Table1[[#This Row],[ENGINE_CLASS]],"DISABLE")</f>
        <v>DIESEL</v>
      </c>
      <c r="BF221">
        <v>0</v>
      </c>
      <c r="BG221" t="s">
        <v>735</v>
      </c>
      <c r="BI221"/>
      <c r="BJ221">
        <v>128</v>
      </c>
      <c r="BK221">
        <v>0</v>
      </c>
      <c r="BL221" t="s">
        <v>693</v>
      </c>
      <c r="BM221" t="s">
        <v>695</v>
      </c>
      <c r="BN221" t="s">
        <v>702</v>
      </c>
      <c r="BO221" t="s">
        <v>706</v>
      </c>
      <c r="BP221" t="s">
        <v>707</v>
      </c>
      <c r="BQ221" t="s">
        <v>708</v>
      </c>
    </row>
    <row r="222" spans="1:69" x14ac:dyDescent="0.4">
      <c r="A222" s="2" t="s">
        <v>246</v>
      </c>
      <c r="B222" t="str">
        <f>_xlfn.TEXTAFTER(Table1[[#This Row],[VEHIDCODE]],"_")</f>
        <v>USA_Amtrak_P42DC_Genesis</v>
      </c>
      <c r="C222" t="s">
        <v>741</v>
      </c>
      <c r="D222" t="str">
        <f>"item_"&amp;Table1[[#This Row],[VEHIDCODE]]</f>
        <v>item_diesel_USA_Amtrak_P42DC_Genesis</v>
      </c>
      <c r="E222" t="str">
        <f>"str_"&amp;Table1[[#This Row],[VEHIDCODE]]</f>
        <v>str_diesel_USA_Amtrak_P42DC_Genesis</v>
      </c>
      <c r="F222">
        <v>8</v>
      </c>
      <c r="G222" t="s">
        <v>20</v>
      </c>
      <c r="H222">
        <v>0</v>
      </c>
      <c r="I222" t="s">
        <v>35</v>
      </c>
      <c r="J222">
        <v>0</v>
      </c>
      <c r="K222">
        <v>1992</v>
      </c>
      <c r="L222">
        <v>8</v>
      </c>
      <c r="M222" s="2" t="s">
        <v>20</v>
      </c>
      <c r="N222" t="b">
        <v>1</v>
      </c>
      <c r="P222" s="2"/>
      <c r="Q222" t="s">
        <v>21</v>
      </c>
      <c r="R222">
        <v>1</v>
      </c>
      <c r="S222">
        <v>4250</v>
      </c>
      <c r="T222" t="s">
        <v>712</v>
      </c>
      <c r="U222">
        <v>177</v>
      </c>
      <c r="V222" s="2">
        <v>0.19</v>
      </c>
      <c r="AE222" t="b">
        <v>1</v>
      </c>
      <c r="AZ222" s="2"/>
      <c r="BA222" s="7">
        <v>40</v>
      </c>
      <c r="BB222" t="s">
        <v>929</v>
      </c>
      <c r="BC222" t="s">
        <v>923</v>
      </c>
      <c r="BD222" t="s">
        <v>941</v>
      </c>
      <c r="BE222" t="str">
        <f>IF(OR(Table1[[#This Row],[ENGINE_CLASS]]="STEAM",Table1[[#This Row],[ENGINE_CLASS]]="ELECTRIC",Table1[[#This Row],[ENGINE_CLASS]]="DIESEL"),Table1[[#This Row],[ENGINE_CLASS]],"DISABLE")</f>
        <v>DIESEL</v>
      </c>
      <c r="BF222">
        <v>0</v>
      </c>
      <c r="BG222" t="s">
        <v>735</v>
      </c>
      <c r="BI222"/>
      <c r="BJ222">
        <v>134</v>
      </c>
      <c r="BK222">
        <v>0</v>
      </c>
      <c r="BL222" t="s">
        <v>693</v>
      </c>
      <c r="BM222" t="s">
        <v>695</v>
      </c>
      <c r="BN222" t="s">
        <v>702</v>
      </c>
      <c r="BO222" t="s">
        <v>706</v>
      </c>
      <c r="BP222" t="s">
        <v>707</v>
      </c>
      <c r="BQ222" t="s">
        <v>708</v>
      </c>
    </row>
    <row r="223" spans="1:69" x14ac:dyDescent="0.4">
      <c r="A223" s="2" t="s">
        <v>247</v>
      </c>
      <c r="B223" t="str">
        <f>_xlfn.TEXTAFTER(Table1[[#This Row],[VEHIDCODE]],"_")</f>
        <v>Turkey_TCDD_DH7000</v>
      </c>
      <c r="C223" t="s">
        <v>741</v>
      </c>
      <c r="D223" t="str">
        <f>"item_"&amp;Table1[[#This Row],[VEHIDCODE]]</f>
        <v>item_diesel_Turkey_TCDD_DH7000</v>
      </c>
      <c r="E223" t="str">
        <f>"str_"&amp;Table1[[#This Row],[VEHIDCODE]]</f>
        <v>str_diesel_Turkey_TCDD_DH7000</v>
      </c>
      <c r="F223">
        <v>6</v>
      </c>
      <c r="G223" t="s">
        <v>20</v>
      </c>
      <c r="H223">
        <v>0</v>
      </c>
      <c r="I223" t="s">
        <v>35</v>
      </c>
      <c r="J223">
        <v>0</v>
      </c>
      <c r="K223">
        <v>1994</v>
      </c>
      <c r="L223">
        <v>6</v>
      </c>
      <c r="M223" s="2" t="s">
        <v>20</v>
      </c>
      <c r="N223" t="b">
        <v>1</v>
      </c>
      <c r="P223" s="2"/>
      <c r="Q223">
        <v>45</v>
      </c>
      <c r="R223">
        <v>1</v>
      </c>
      <c r="S223">
        <v>700</v>
      </c>
      <c r="T223" t="s">
        <v>712</v>
      </c>
      <c r="U223">
        <v>40</v>
      </c>
      <c r="V223" s="2">
        <v>0.28000000000000003</v>
      </c>
      <c r="AE223" t="b">
        <v>1</v>
      </c>
      <c r="AZ223" s="2"/>
      <c r="BA223" s="7">
        <v>40</v>
      </c>
      <c r="BB223" t="s">
        <v>932</v>
      </c>
      <c r="BC223" t="s">
        <v>923</v>
      </c>
      <c r="BD223" t="s">
        <v>941</v>
      </c>
      <c r="BE223" t="str">
        <f>IF(OR(Table1[[#This Row],[ENGINE_CLASS]]="STEAM",Table1[[#This Row],[ENGINE_CLASS]]="ELECTRIC",Table1[[#This Row],[ENGINE_CLASS]]="DIESEL"),Table1[[#This Row],[ENGINE_CLASS]],"DISABLE")</f>
        <v>DIESEL</v>
      </c>
      <c r="BF223">
        <v>0</v>
      </c>
      <c r="BG223" t="s">
        <v>735</v>
      </c>
      <c r="BI223"/>
      <c r="BJ223">
        <v>51</v>
      </c>
      <c r="BK223">
        <v>0</v>
      </c>
      <c r="BL223" t="s">
        <v>693</v>
      </c>
      <c r="BM223" t="s">
        <v>695</v>
      </c>
      <c r="BN223" t="s">
        <v>702</v>
      </c>
      <c r="BO223" t="s">
        <v>706</v>
      </c>
      <c r="BP223" t="s">
        <v>707</v>
      </c>
      <c r="BQ223" t="s">
        <v>708</v>
      </c>
    </row>
    <row r="224" spans="1:69" x14ac:dyDescent="0.4">
      <c r="A224" s="2" t="s">
        <v>248</v>
      </c>
      <c r="B224" t="str">
        <f>_xlfn.TEXTAFTER(Table1[[#This Row],[VEHIDCODE]],"_")</f>
        <v>Argentina_MF_GE_U20C</v>
      </c>
      <c r="C224" t="s">
        <v>741</v>
      </c>
      <c r="D224" t="str">
        <f>"item_"&amp;Table1[[#This Row],[VEHIDCODE]]</f>
        <v>item_diesel_Argentina_MF_GE_U20C</v>
      </c>
      <c r="E224" t="str">
        <f>"str_"&amp;Table1[[#This Row],[VEHIDCODE]]</f>
        <v>str_diesel_Argentina_MF_GE_U20C</v>
      </c>
      <c r="F224">
        <v>8</v>
      </c>
      <c r="G224" t="s">
        <v>20</v>
      </c>
      <c r="H224">
        <v>0</v>
      </c>
      <c r="I224" t="s">
        <v>35</v>
      </c>
      <c r="J224">
        <v>0</v>
      </c>
      <c r="K224">
        <v>1995</v>
      </c>
      <c r="L224">
        <v>8</v>
      </c>
      <c r="M224" s="2" t="s">
        <v>20</v>
      </c>
      <c r="N224" t="b">
        <v>1</v>
      </c>
      <c r="P224" s="2"/>
      <c r="Q224" t="s">
        <v>21</v>
      </c>
      <c r="R224">
        <v>1</v>
      </c>
      <c r="S224">
        <v>2000</v>
      </c>
      <c r="T224" t="s">
        <v>712</v>
      </c>
      <c r="U224">
        <v>104</v>
      </c>
      <c r="V224" s="2">
        <v>0.28999999999999998</v>
      </c>
      <c r="AE224" t="b">
        <v>1</v>
      </c>
      <c r="AZ224" s="2"/>
      <c r="BA224" s="7">
        <v>40</v>
      </c>
      <c r="BB224" t="s">
        <v>931</v>
      </c>
      <c r="BC224" t="s">
        <v>923</v>
      </c>
      <c r="BD224" t="s">
        <v>941</v>
      </c>
      <c r="BE224" t="str">
        <f>IF(OR(Table1[[#This Row],[ENGINE_CLASS]]="STEAM",Table1[[#This Row],[ENGINE_CLASS]]="ELECTRIC",Table1[[#This Row],[ENGINE_CLASS]]="DIESEL"),Table1[[#This Row],[ENGINE_CLASS]],"DISABLE")</f>
        <v>DIESEL</v>
      </c>
      <c r="BF224">
        <v>0</v>
      </c>
      <c r="BG224" t="s">
        <v>735</v>
      </c>
      <c r="BI224"/>
      <c r="BJ224">
        <v>89</v>
      </c>
      <c r="BK224">
        <v>0</v>
      </c>
      <c r="BL224" t="s">
        <v>693</v>
      </c>
      <c r="BM224" t="s">
        <v>695</v>
      </c>
      <c r="BN224" t="s">
        <v>702</v>
      </c>
      <c r="BO224" t="s">
        <v>706</v>
      </c>
      <c r="BP224" t="s">
        <v>707</v>
      </c>
      <c r="BQ224" t="s">
        <v>708</v>
      </c>
    </row>
    <row r="225" spans="1:69" x14ac:dyDescent="0.4">
      <c r="A225" s="2" t="s">
        <v>249</v>
      </c>
      <c r="B225" t="str">
        <f>_xlfn.TEXTAFTER(Table1[[#This Row],[VEHIDCODE]],"_")</f>
        <v>Belgium_NMBS_SNCB_7800</v>
      </c>
      <c r="C225" t="s">
        <v>741</v>
      </c>
      <c r="D225" t="str">
        <f>"item_"&amp;Table1[[#This Row],[VEHIDCODE]]</f>
        <v>item_diesel_Belgium_NMBS_SNCB_7800</v>
      </c>
      <c r="E225" t="str">
        <f>"str_"&amp;Table1[[#This Row],[VEHIDCODE]]</f>
        <v>str_diesel_Belgium_NMBS_SNCB_7800</v>
      </c>
      <c r="F225">
        <v>7</v>
      </c>
      <c r="G225" t="s">
        <v>20</v>
      </c>
      <c r="H225">
        <v>0</v>
      </c>
      <c r="I225" t="s">
        <v>35</v>
      </c>
      <c r="J225">
        <v>0</v>
      </c>
      <c r="K225">
        <v>1997</v>
      </c>
      <c r="L225">
        <v>7</v>
      </c>
      <c r="M225" s="2" t="s">
        <v>20</v>
      </c>
      <c r="N225" t="b">
        <v>1</v>
      </c>
      <c r="P225" s="2"/>
      <c r="Q225">
        <v>45</v>
      </c>
      <c r="R225">
        <v>1</v>
      </c>
      <c r="S225">
        <v>1500</v>
      </c>
      <c r="T225" t="s">
        <v>712</v>
      </c>
      <c r="U225">
        <v>80</v>
      </c>
      <c r="V225" s="2">
        <v>0.34</v>
      </c>
      <c r="AE225" t="b">
        <v>1</v>
      </c>
      <c r="AZ225" s="2"/>
      <c r="BA225" s="7">
        <v>40</v>
      </c>
      <c r="BB225" t="s">
        <v>924</v>
      </c>
      <c r="BC225" t="s">
        <v>923</v>
      </c>
      <c r="BD225" t="s">
        <v>941</v>
      </c>
      <c r="BE225" t="str">
        <f>IF(OR(Table1[[#This Row],[ENGINE_CLASS]]="STEAM",Table1[[#This Row],[ENGINE_CLASS]]="ELECTRIC",Table1[[#This Row],[ENGINE_CLASS]]="DIESEL"),Table1[[#This Row],[ENGINE_CLASS]],"DISABLE")</f>
        <v>DIESEL</v>
      </c>
      <c r="BF225">
        <v>0</v>
      </c>
      <c r="BG225" t="s">
        <v>735</v>
      </c>
      <c r="BI225"/>
      <c r="BJ225">
        <v>83</v>
      </c>
      <c r="BK225">
        <v>0</v>
      </c>
      <c r="BL225" t="s">
        <v>693</v>
      </c>
      <c r="BM225" t="s">
        <v>695</v>
      </c>
      <c r="BN225" t="s">
        <v>702</v>
      </c>
      <c r="BO225" t="s">
        <v>706</v>
      </c>
      <c r="BP225" t="s">
        <v>707</v>
      </c>
      <c r="BQ225" t="s">
        <v>708</v>
      </c>
    </row>
    <row r="226" spans="1:69" x14ac:dyDescent="0.4">
      <c r="A226" s="2" t="s">
        <v>250</v>
      </c>
      <c r="B226" t="str">
        <f>_xlfn.TEXTAFTER(Table1[[#This Row],[VEHIDCODE]],"_")</f>
        <v>UK_BR_66</v>
      </c>
      <c r="C226" t="s">
        <v>741</v>
      </c>
      <c r="D226" t="str">
        <f>"item_"&amp;Table1[[#This Row],[VEHIDCODE]]</f>
        <v>item_diesel_UK_BR_66</v>
      </c>
      <c r="E226" t="str">
        <f>"str_"&amp;Table1[[#This Row],[VEHIDCODE]]</f>
        <v>str_diesel_UK_BR_66</v>
      </c>
      <c r="F226">
        <v>8</v>
      </c>
      <c r="G226" t="s">
        <v>20</v>
      </c>
      <c r="H226">
        <v>0</v>
      </c>
      <c r="I226" t="s">
        <v>35</v>
      </c>
      <c r="J226">
        <v>0</v>
      </c>
      <c r="K226">
        <v>1998</v>
      </c>
      <c r="L226">
        <v>8</v>
      </c>
      <c r="M226" s="2" t="s">
        <v>20</v>
      </c>
      <c r="N226" t="b">
        <v>1</v>
      </c>
      <c r="P226" s="2"/>
      <c r="Q226" t="s">
        <v>21</v>
      </c>
      <c r="R226">
        <v>0</v>
      </c>
      <c r="S226">
        <v>3298</v>
      </c>
      <c r="T226" t="s">
        <v>712</v>
      </c>
      <c r="U226">
        <v>120</v>
      </c>
      <c r="V226" s="2">
        <v>0.32</v>
      </c>
      <c r="AE226" t="b">
        <v>1</v>
      </c>
      <c r="AZ226" s="2"/>
      <c r="BA226" s="7">
        <v>40</v>
      </c>
      <c r="BB226" t="s">
        <v>928</v>
      </c>
      <c r="BC226" t="s">
        <v>923</v>
      </c>
      <c r="BD226" t="s">
        <v>941</v>
      </c>
      <c r="BE226" t="str">
        <f>IF(OR(Table1[[#This Row],[ENGINE_CLASS]]="STEAM",Table1[[#This Row],[ENGINE_CLASS]]="ELECTRIC",Table1[[#This Row],[ENGINE_CLASS]]="DIESEL"),Table1[[#This Row],[ENGINE_CLASS]],"DISABLE")</f>
        <v>DIESEL</v>
      </c>
      <c r="BF226">
        <v>0</v>
      </c>
      <c r="BG226" t="s">
        <v>735</v>
      </c>
      <c r="BI226"/>
      <c r="BJ226">
        <v>126</v>
      </c>
      <c r="BK226">
        <v>0</v>
      </c>
      <c r="BL226" t="s">
        <v>693</v>
      </c>
      <c r="BM226" t="s">
        <v>695</v>
      </c>
      <c r="BN226" t="s">
        <v>702</v>
      </c>
      <c r="BO226" t="s">
        <v>706</v>
      </c>
      <c r="BP226" t="s">
        <v>707</v>
      </c>
      <c r="BQ226" t="s">
        <v>708</v>
      </c>
    </row>
    <row r="227" spans="1:69" x14ac:dyDescent="0.4">
      <c r="A227" s="2" t="s">
        <v>251</v>
      </c>
      <c r="B227" t="str">
        <f>_xlfn.TEXTAFTER(Table1[[#This Row],[VEHIDCODE]],"_")</f>
        <v>UK_BR_67</v>
      </c>
      <c r="C227" t="s">
        <v>741</v>
      </c>
      <c r="D227" t="str">
        <f>"item_"&amp;Table1[[#This Row],[VEHIDCODE]]</f>
        <v>item_diesel_UK_BR_67</v>
      </c>
      <c r="E227" t="str">
        <f>"str_"&amp;Table1[[#This Row],[VEHIDCODE]]</f>
        <v>str_diesel_UK_BR_67</v>
      </c>
      <c r="F227">
        <v>8</v>
      </c>
      <c r="G227" t="s">
        <v>20</v>
      </c>
      <c r="H227">
        <v>0</v>
      </c>
      <c r="I227" t="s">
        <v>35</v>
      </c>
      <c r="J227">
        <v>0</v>
      </c>
      <c r="K227">
        <v>1999</v>
      </c>
      <c r="L227">
        <v>8</v>
      </c>
      <c r="M227" s="2" t="s">
        <v>20</v>
      </c>
      <c r="N227" t="b">
        <v>1</v>
      </c>
      <c r="P227" s="2"/>
      <c r="Q227" t="s">
        <v>21</v>
      </c>
      <c r="R227">
        <v>1</v>
      </c>
      <c r="S227">
        <v>3200</v>
      </c>
      <c r="T227" t="s">
        <v>712</v>
      </c>
      <c r="U227">
        <v>200</v>
      </c>
      <c r="V227" s="2">
        <v>0.2</v>
      </c>
      <c r="AE227" t="b">
        <v>1</v>
      </c>
      <c r="AZ227" s="2"/>
      <c r="BA227" s="7">
        <v>40</v>
      </c>
      <c r="BB227" t="s">
        <v>928</v>
      </c>
      <c r="BC227" t="s">
        <v>923</v>
      </c>
      <c r="BD227" t="s">
        <v>941</v>
      </c>
      <c r="BE227" t="str">
        <f>IF(OR(Table1[[#This Row],[ENGINE_CLASS]]="STEAM",Table1[[#This Row],[ENGINE_CLASS]]="ELECTRIC",Table1[[#This Row],[ENGINE_CLASS]]="DIESEL"),Table1[[#This Row],[ENGINE_CLASS]],"DISABLE")</f>
        <v>DIESEL</v>
      </c>
      <c r="BF227">
        <v>0</v>
      </c>
      <c r="BG227" t="s">
        <v>735</v>
      </c>
      <c r="BI227"/>
      <c r="BJ227">
        <v>88</v>
      </c>
      <c r="BK227">
        <v>0</v>
      </c>
      <c r="BL227" t="s">
        <v>693</v>
      </c>
      <c r="BM227" t="s">
        <v>695</v>
      </c>
      <c r="BN227" t="s">
        <v>702</v>
      </c>
      <c r="BO227" t="s">
        <v>706</v>
      </c>
      <c r="BP227" t="s">
        <v>707</v>
      </c>
      <c r="BQ227" t="s">
        <v>708</v>
      </c>
    </row>
    <row r="228" spans="1:69" x14ac:dyDescent="0.4">
      <c r="A228" s="2" t="s">
        <v>252</v>
      </c>
      <c r="B228" t="str">
        <f>_xlfn.TEXTAFTER(Table1[[#This Row],[VEHIDCODE]],"_")</f>
        <v>Iran_RAI_DE43CA_Prima</v>
      </c>
      <c r="C228" t="s">
        <v>741</v>
      </c>
      <c r="D228" t="str">
        <f>"item_"&amp;Table1[[#This Row],[VEHIDCODE]]</f>
        <v>item_diesel_Iran_RAI_DE43CA_Prima</v>
      </c>
      <c r="E228" t="str">
        <f>"str_"&amp;Table1[[#This Row],[VEHIDCODE]]</f>
        <v>str_diesel_Iran_RAI_DE43CA_Prima</v>
      </c>
      <c r="F228">
        <v>8</v>
      </c>
      <c r="G228" t="s">
        <v>20</v>
      </c>
      <c r="H228">
        <v>0</v>
      </c>
      <c r="I228" t="s">
        <v>35</v>
      </c>
      <c r="J228">
        <v>0</v>
      </c>
      <c r="K228">
        <v>2002</v>
      </c>
      <c r="L228">
        <v>8</v>
      </c>
      <c r="M228" s="2" t="s">
        <v>20</v>
      </c>
      <c r="N228" t="b">
        <v>1</v>
      </c>
      <c r="P228" s="2"/>
      <c r="Q228" t="s">
        <v>21</v>
      </c>
      <c r="R228">
        <v>1</v>
      </c>
      <c r="S228">
        <v>4300</v>
      </c>
      <c r="T228" t="s">
        <v>712</v>
      </c>
      <c r="U228">
        <v>160</v>
      </c>
      <c r="V228" s="2">
        <v>0.21</v>
      </c>
      <c r="AE228" t="b">
        <v>1</v>
      </c>
      <c r="AZ228" s="2"/>
      <c r="BA228" s="7">
        <v>40</v>
      </c>
      <c r="BB228" t="s">
        <v>932</v>
      </c>
      <c r="BC228" t="s">
        <v>923</v>
      </c>
      <c r="BD228" t="s">
        <v>941</v>
      </c>
      <c r="BE228" t="str">
        <f>IF(OR(Table1[[#This Row],[ENGINE_CLASS]]="STEAM",Table1[[#This Row],[ENGINE_CLASS]]="ELECTRIC",Table1[[#This Row],[ENGINE_CLASS]]="DIESEL"),Table1[[#This Row],[ENGINE_CLASS]],"DISABLE")</f>
        <v>DIESEL</v>
      </c>
      <c r="BF228">
        <v>0</v>
      </c>
      <c r="BG228" t="s">
        <v>735</v>
      </c>
      <c r="BI228"/>
      <c r="BJ228">
        <v>108</v>
      </c>
      <c r="BK228">
        <v>0</v>
      </c>
      <c r="BL228" t="s">
        <v>693</v>
      </c>
      <c r="BM228" t="s">
        <v>695</v>
      </c>
      <c r="BN228" t="s">
        <v>702</v>
      </c>
      <c r="BO228" t="s">
        <v>706</v>
      </c>
      <c r="BP228" t="s">
        <v>707</v>
      </c>
      <c r="BQ228" t="s">
        <v>708</v>
      </c>
    </row>
    <row r="229" spans="1:69" x14ac:dyDescent="0.4">
      <c r="A229" s="2" t="s">
        <v>253</v>
      </c>
      <c r="B229" t="str">
        <f>_xlfn.TEXTAFTER(Table1[[#This Row],[VEHIDCODE]],"_")</f>
        <v>Ukraine_UZ_TEP150</v>
      </c>
      <c r="C229" t="s">
        <v>741</v>
      </c>
      <c r="D229" t="str">
        <f>"item_"&amp;Table1[[#This Row],[VEHIDCODE]]</f>
        <v>item_diesel_Ukraine_UZ_TEP150</v>
      </c>
      <c r="E229" t="str">
        <f>"str_"&amp;Table1[[#This Row],[VEHIDCODE]]</f>
        <v>str_diesel_Ukraine_UZ_TEP150</v>
      </c>
      <c r="F229">
        <v>8</v>
      </c>
      <c r="G229" t="s">
        <v>20</v>
      </c>
      <c r="H229">
        <v>0</v>
      </c>
      <c r="I229" t="s">
        <v>35</v>
      </c>
      <c r="J229">
        <v>0</v>
      </c>
      <c r="K229">
        <v>2006</v>
      </c>
      <c r="L229">
        <v>8</v>
      </c>
      <c r="M229" s="2" t="s">
        <v>20</v>
      </c>
      <c r="N229" t="b">
        <v>1</v>
      </c>
      <c r="P229" s="2"/>
      <c r="Q229" t="s">
        <v>21</v>
      </c>
      <c r="R229">
        <v>1</v>
      </c>
      <c r="S229">
        <v>4216</v>
      </c>
      <c r="T229" t="s">
        <v>712</v>
      </c>
      <c r="U229">
        <v>160</v>
      </c>
      <c r="V229" s="2">
        <v>0.12</v>
      </c>
      <c r="AE229" t="b">
        <v>1</v>
      </c>
      <c r="AZ229" s="2"/>
      <c r="BA229" s="7">
        <v>40</v>
      </c>
      <c r="BB229" t="s">
        <v>930</v>
      </c>
      <c r="BC229" t="s">
        <v>923</v>
      </c>
      <c r="BD229" t="s">
        <v>941</v>
      </c>
      <c r="BE229" t="str">
        <f>IF(OR(Table1[[#This Row],[ENGINE_CLASS]]="STEAM",Table1[[#This Row],[ENGINE_CLASS]]="ELECTRIC",Table1[[#This Row],[ENGINE_CLASS]]="DIESEL"),Table1[[#This Row],[ENGINE_CLASS]],"DISABLE")</f>
        <v>DIESEL</v>
      </c>
      <c r="BF229">
        <v>0</v>
      </c>
      <c r="BG229" t="s">
        <v>735</v>
      </c>
      <c r="BI229"/>
      <c r="BJ229">
        <v>135</v>
      </c>
      <c r="BK229">
        <v>0</v>
      </c>
      <c r="BL229" t="s">
        <v>693</v>
      </c>
      <c r="BM229" t="s">
        <v>695</v>
      </c>
      <c r="BN229" t="s">
        <v>702</v>
      </c>
      <c r="BO229" t="s">
        <v>706</v>
      </c>
      <c r="BP229" t="s">
        <v>707</v>
      </c>
      <c r="BQ229" t="s">
        <v>708</v>
      </c>
    </row>
    <row r="230" spans="1:69" x14ac:dyDescent="0.4">
      <c r="A230" s="2" t="s">
        <v>254</v>
      </c>
      <c r="B230" t="str">
        <f>_xlfn.TEXTAFTER(Table1[[#This Row],[VEHIDCODE]],"_")</f>
        <v>China_China_Railways_HXN5</v>
      </c>
      <c r="C230" t="s">
        <v>741</v>
      </c>
      <c r="D230" t="str">
        <f>"item_"&amp;Table1[[#This Row],[VEHIDCODE]]</f>
        <v>item_diesel_China_China_Railways_HXN5</v>
      </c>
      <c r="E230" t="str">
        <f>"str_"&amp;Table1[[#This Row],[VEHIDCODE]]</f>
        <v>str_diesel_China_China_Railways_HXN5</v>
      </c>
      <c r="F230">
        <v>8</v>
      </c>
      <c r="G230" t="s">
        <v>20</v>
      </c>
      <c r="H230">
        <v>0</v>
      </c>
      <c r="I230" t="s">
        <v>35</v>
      </c>
      <c r="J230">
        <v>0</v>
      </c>
      <c r="K230">
        <v>2008</v>
      </c>
      <c r="L230">
        <v>8</v>
      </c>
      <c r="M230" s="2" t="s">
        <v>20</v>
      </c>
      <c r="N230" t="b">
        <v>1</v>
      </c>
      <c r="P230" s="2"/>
      <c r="Q230" t="s">
        <v>21</v>
      </c>
      <c r="R230">
        <v>1</v>
      </c>
      <c r="S230">
        <v>6250</v>
      </c>
      <c r="T230" t="s">
        <v>712</v>
      </c>
      <c r="U230">
        <v>120</v>
      </c>
      <c r="V230" s="2">
        <v>0.41</v>
      </c>
      <c r="AE230" t="b">
        <v>1</v>
      </c>
      <c r="AZ230" s="2"/>
      <c r="BA230" s="7">
        <v>40</v>
      </c>
      <c r="BB230" t="s">
        <v>932</v>
      </c>
      <c r="BC230" t="s">
        <v>923</v>
      </c>
      <c r="BD230" t="s">
        <v>941</v>
      </c>
      <c r="BE230" t="str">
        <f>IF(OR(Table1[[#This Row],[ENGINE_CLASS]]="STEAM",Table1[[#This Row],[ENGINE_CLASS]]="ELECTRIC",Table1[[#This Row],[ENGINE_CLASS]]="DIESEL"),Table1[[#This Row],[ENGINE_CLASS]],"DISABLE")</f>
        <v>DIESEL</v>
      </c>
      <c r="BF230">
        <v>0</v>
      </c>
      <c r="BG230" t="s">
        <v>735</v>
      </c>
      <c r="BI230"/>
      <c r="BJ230">
        <v>150</v>
      </c>
      <c r="BK230">
        <v>0</v>
      </c>
      <c r="BL230" t="s">
        <v>693</v>
      </c>
      <c r="BM230" t="s">
        <v>695</v>
      </c>
      <c r="BN230" t="s">
        <v>702</v>
      </c>
      <c r="BO230" t="s">
        <v>706</v>
      </c>
      <c r="BP230" t="s">
        <v>707</v>
      </c>
      <c r="BQ230" t="s">
        <v>708</v>
      </c>
    </row>
    <row r="231" spans="1:69" x14ac:dyDescent="0.4">
      <c r="A231" s="2" t="s">
        <v>255</v>
      </c>
      <c r="B231" t="str">
        <f>_xlfn.TEXTAFTER(Table1[[#This Row],[VEHIDCODE]],"_")</f>
        <v>Germany_DB_261_Gravita_10BB</v>
      </c>
      <c r="C231" t="s">
        <v>741</v>
      </c>
      <c r="D231" t="str">
        <f>"item_"&amp;Table1[[#This Row],[VEHIDCODE]]</f>
        <v>item_diesel_Germany_DB_261_Gravita_10BB</v>
      </c>
      <c r="E231" t="str">
        <f>"str_"&amp;Table1[[#This Row],[VEHIDCODE]]</f>
        <v>str_diesel_Germany_DB_261_Gravita_10BB</v>
      </c>
      <c r="F231">
        <v>8</v>
      </c>
      <c r="G231" t="s">
        <v>20</v>
      </c>
      <c r="H231">
        <v>0</v>
      </c>
      <c r="I231" t="s">
        <v>35</v>
      </c>
      <c r="J231">
        <v>0</v>
      </c>
      <c r="K231">
        <v>2010</v>
      </c>
      <c r="L231">
        <v>8</v>
      </c>
      <c r="M231" s="2" t="s">
        <v>20</v>
      </c>
      <c r="N231" t="b">
        <v>1</v>
      </c>
      <c r="P231" s="2"/>
      <c r="Q231" t="s">
        <v>21</v>
      </c>
      <c r="R231">
        <v>1</v>
      </c>
      <c r="S231">
        <v>1350</v>
      </c>
      <c r="T231" t="s">
        <v>712</v>
      </c>
      <c r="U231">
        <v>100</v>
      </c>
      <c r="V231" s="2">
        <v>0.32</v>
      </c>
      <c r="AE231" t="b">
        <v>1</v>
      </c>
      <c r="AZ231" s="2"/>
      <c r="BA231" s="7">
        <v>40</v>
      </c>
      <c r="BB231" t="s">
        <v>924</v>
      </c>
      <c r="BC231" t="s">
        <v>923</v>
      </c>
      <c r="BD231" t="s">
        <v>941</v>
      </c>
      <c r="BE231" t="str">
        <f>IF(OR(Table1[[#This Row],[ENGINE_CLASS]]="STEAM",Table1[[#This Row],[ENGINE_CLASS]]="ELECTRIC",Table1[[#This Row],[ENGINE_CLASS]]="DIESEL"),Table1[[#This Row],[ENGINE_CLASS]],"DISABLE")</f>
        <v>DIESEL</v>
      </c>
      <c r="BF231">
        <v>0</v>
      </c>
      <c r="BG231" t="s">
        <v>735</v>
      </c>
      <c r="BI231"/>
      <c r="BJ231">
        <v>80</v>
      </c>
      <c r="BK231">
        <v>0</v>
      </c>
      <c r="BL231" t="s">
        <v>693</v>
      </c>
      <c r="BM231" t="s">
        <v>695</v>
      </c>
      <c r="BN231" t="s">
        <v>702</v>
      </c>
      <c r="BO231" t="s">
        <v>706</v>
      </c>
      <c r="BP231" t="s">
        <v>707</v>
      </c>
      <c r="BQ231" t="s">
        <v>708</v>
      </c>
    </row>
    <row r="232" spans="1:69" x14ac:dyDescent="0.4">
      <c r="A232" s="2" t="s">
        <v>256</v>
      </c>
      <c r="B232" t="str">
        <f>_xlfn.TEXTAFTER(Table1[[#This Row],[VEHIDCODE]],"_")</f>
        <v>Russia_RZD_GT1</v>
      </c>
      <c r="C232" t="s">
        <v>741</v>
      </c>
      <c r="D232" t="str">
        <f>"item_"&amp;Table1[[#This Row],[VEHIDCODE]]</f>
        <v>item_diesel_Russia_RZD_GT1</v>
      </c>
      <c r="E232" t="str">
        <f>"str_"&amp;Table1[[#This Row],[VEHIDCODE]]</f>
        <v>str_diesel_Russia_RZD_GT1</v>
      </c>
      <c r="F232">
        <v>16</v>
      </c>
      <c r="G232" t="s">
        <v>20</v>
      </c>
      <c r="H232">
        <v>0</v>
      </c>
      <c r="I232" t="s">
        <v>35</v>
      </c>
      <c r="J232">
        <v>0</v>
      </c>
      <c r="K232">
        <v>2011</v>
      </c>
      <c r="L232">
        <v>8</v>
      </c>
      <c r="M232" s="2" t="s">
        <v>20</v>
      </c>
      <c r="N232" t="b">
        <v>1</v>
      </c>
      <c r="P232" s="2"/>
      <c r="Q232" t="s">
        <v>21</v>
      </c>
      <c r="R232">
        <v>1</v>
      </c>
      <c r="S232">
        <v>11130</v>
      </c>
      <c r="T232" t="s">
        <v>712</v>
      </c>
      <c r="U232">
        <v>100</v>
      </c>
      <c r="V232" s="2">
        <v>0.23</v>
      </c>
      <c r="AE232" t="b">
        <v>1</v>
      </c>
      <c r="AZ232" s="2"/>
      <c r="BA232" s="7">
        <v>40</v>
      </c>
      <c r="BB232" t="s">
        <v>932</v>
      </c>
      <c r="BC232" t="s">
        <v>923</v>
      </c>
      <c r="BD232" t="s">
        <v>941</v>
      </c>
      <c r="BE232" t="str">
        <f>IF(OR(Table1[[#This Row],[ENGINE_CLASS]]="STEAM",Table1[[#This Row],[ENGINE_CLASS]]="ELECTRIC",Table1[[#This Row],[ENGINE_CLASS]]="DIESEL"),Table1[[#This Row],[ENGINE_CLASS]],"DISABLE")</f>
        <v>DIESEL</v>
      </c>
      <c r="BF232">
        <v>0</v>
      </c>
      <c r="BG232" t="s">
        <v>735</v>
      </c>
      <c r="BI232"/>
      <c r="BJ232">
        <v>300</v>
      </c>
      <c r="BK232">
        <v>0</v>
      </c>
      <c r="BL232" t="s">
        <v>693</v>
      </c>
      <c r="BM232" t="s">
        <v>695</v>
      </c>
      <c r="BN232" t="s">
        <v>702</v>
      </c>
      <c r="BO232" t="s">
        <v>706</v>
      </c>
      <c r="BP232" t="s">
        <v>707</v>
      </c>
      <c r="BQ232" t="s">
        <v>708</v>
      </c>
    </row>
    <row r="233" spans="1:69" x14ac:dyDescent="0.4">
      <c r="A233" s="2" t="s">
        <v>257</v>
      </c>
      <c r="B233" t="str">
        <f>_xlfn.TEXTAFTER(Table1[[#This Row],[VEHIDCODE]],"_")</f>
        <v>China_MTR_8000</v>
      </c>
      <c r="C233" t="s">
        <v>741</v>
      </c>
      <c r="D233" t="str">
        <f>"item_"&amp;Table1[[#This Row],[VEHIDCODE]]</f>
        <v>item_diesel_China_MTR_8000</v>
      </c>
      <c r="E233" t="str">
        <f>"str_"&amp;Table1[[#This Row],[VEHIDCODE]]</f>
        <v>str_diesel_China_MTR_8000</v>
      </c>
      <c r="F233">
        <v>8</v>
      </c>
      <c r="G233" t="s">
        <v>20</v>
      </c>
      <c r="H233">
        <v>0</v>
      </c>
      <c r="I233" t="s">
        <v>35</v>
      </c>
      <c r="J233">
        <v>0</v>
      </c>
      <c r="K233">
        <v>2003</v>
      </c>
      <c r="L233">
        <v>8</v>
      </c>
      <c r="M233" s="2" t="s">
        <v>20</v>
      </c>
      <c r="N233" t="b">
        <v>1</v>
      </c>
      <c r="P233" s="2"/>
      <c r="Q233" t="s">
        <v>21</v>
      </c>
      <c r="R233">
        <v>1</v>
      </c>
      <c r="S233">
        <v>2680</v>
      </c>
      <c r="T233" t="s">
        <v>712</v>
      </c>
      <c r="U233">
        <v>140</v>
      </c>
      <c r="V233" s="2">
        <v>0.28999999999999998</v>
      </c>
      <c r="AE233" t="b">
        <v>1</v>
      </c>
      <c r="AZ233" s="2"/>
      <c r="BA233" s="7">
        <v>40</v>
      </c>
      <c r="BB233" t="s">
        <v>932</v>
      </c>
      <c r="BC233" t="s">
        <v>923</v>
      </c>
      <c r="BD233" t="s">
        <v>941</v>
      </c>
      <c r="BE233" t="str">
        <f>IF(OR(Table1[[#This Row],[ENGINE_CLASS]]="STEAM",Table1[[#This Row],[ENGINE_CLASS]]="ELECTRIC",Table1[[#This Row],[ENGINE_CLASS]]="DIESEL"),Table1[[#This Row],[ENGINE_CLASS]],"DISABLE")</f>
        <v>DIESEL</v>
      </c>
      <c r="BF233">
        <v>0</v>
      </c>
      <c r="BG233" t="s">
        <v>735</v>
      </c>
      <c r="BI233"/>
      <c r="BJ233">
        <v>80</v>
      </c>
      <c r="BK233">
        <v>0</v>
      </c>
      <c r="BL233" t="s">
        <v>693</v>
      </c>
      <c r="BM233" t="s">
        <v>695</v>
      </c>
      <c r="BN233" t="s">
        <v>702</v>
      </c>
      <c r="BO233" t="s">
        <v>706</v>
      </c>
      <c r="BP233" t="s">
        <v>707</v>
      </c>
      <c r="BQ233" t="s">
        <v>708</v>
      </c>
    </row>
    <row r="234" spans="1:69" x14ac:dyDescent="0.4">
      <c r="A234" s="2" t="s">
        <v>258</v>
      </c>
      <c r="B234" t="str">
        <f>_xlfn.TEXTAFTER(Table1[[#This Row],[VEHIDCODE]],"_")</f>
        <v>Germany_HVLE_V490</v>
      </c>
      <c r="C234" t="s">
        <v>741</v>
      </c>
      <c r="D234" t="str">
        <f>"item_"&amp;Table1[[#This Row],[VEHIDCODE]]</f>
        <v>item_diesel_Germany_HVLE_V490</v>
      </c>
      <c r="E234" t="str">
        <f>"str_"&amp;Table1[[#This Row],[VEHIDCODE]]</f>
        <v>str_diesel_Germany_HVLE_V490</v>
      </c>
      <c r="F234">
        <v>8</v>
      </c>
      <c r="G234" t="s">
        <v>20</v>
      </c>
      <c r="H234">
        <v>0</v>
      </c>
      <c r="I234" t="s">
        <v>35</v>
      </c>
      <c r="J234">
        <v>0</v>
      </c>
      <c r="K234">
        <v>2010</v>
      </c>
      <c r="L234">
        <v>8</v>
      </c>
      <c r="M234" s="2" t="s">
        <v>20</v>
      </c>
      <c r="N234" t="b">
        <v>1</v>
      </c>
      <c r="P234" s="2"/>
      <c r="Q234" t="s">
        <v>21</v>
      </c>
      <c r="R234">
        <v>1</v>
      </c>
      <c r="S234">
        <v>4900</v>
      </c>
      <c r="T234" t="s">
        <v>712</v>
      </c>
      <c r="U234">
        <v>140</v>
      </c>
      <c r="V234" s="2">
        <v>0.35</v>
      </c>
      <c r="AE234" t="b">
        <v>1</v>
      </c>
      <c r="AZ234" s="2"/>
      <c r="BA234" s="7">
        <v>40</v>
      </c>
      <c r="BB234" t="s">
        <v>924</v>
      </c>
      <c r="BC234" t="s">
        <v>923</v>
      </c>
      <c r="BD234" t="s">
        <v>941</v>
      </c>
      <c r="BE234" t="str">
        <f>IF(OR(Table1[[#This Row],[ENGINE_CLASS]]="STEAM",Table1[[#This Row],[ENGINE_CLASS]]="ELECTRIC",Table1[[#This Row],[ENGINE_CLASS]]="DIESEL"),Table1[[#This Row],[ENGINE_CLASS]],"DISABLE")</f>
        <v>DIESEL</v>
      </c>
      <c r="BF234">
        <v>0</v>
      </c>
      <c r="BG234" t="s">
        <v>735</v>
      </c>
      <c r="BI234"/>
      <c r="BJ234">
        <v>130</v>
      </c>
      <c r="BK234">
        <v>0</v>
      </c>
      <c r="BL234" t="s">
        <v>693</v>
      </c>
      <c r="BM234" t="s">
        <v>695</v>
      </c>
      <c r="BN234" t="s">
        <v>702</v>
      </c>
      <c r="BO234" t="s">
        <v>706</v>
      </c>
      <c r="BP234" t="s">
        <v>707</v>
      </c>
      <c r="BQ234" t="s">
        <v>708</v>
      </c>
    </row>
    <row r="235" spans="1:69" x14ac:dyDescent="0.4">
      <c r="A235" s="2" t="s">
        <v>259</v>
      </c>
      <c r="B235" t="str">
        <f>_xlfn.TEXTAFTER(Table1[[#This Row],[VEHIDCODE]],"_")</f>
        <v>Russia_RZD_Emch_3</v>
      </c>
      <c r="C235" t="s">
        <v>741</v>
      </c>
      <c r="D235" t="str">
        <f>"item_"&amp;Table1[[#This Row],[VEHIDCODE]]</f>
        <v>item_diesel_Russia_RZD_Emch_3</v>
      </c>
      <c r="E235" t="str">
        <f>"str_"&amp;Table1[[#This Row],[VEHIDCODE]]</f>
        <v>str_diesel_Russia_RZD_Emch_3</v>
      </c>
      <c r="F235">
        <v>7</v>
      </c>
      <c r="G235" t="s">
        <v>20</v>
      </c>
      <c r="H235">
        <v>0</v>
      </c>
      <c r="I235" t="s">
        <v>35</v>
      </c>
      <c r="J235">
        <v>0</v>
      </c>
      <c r="K235">
        <v>1926</v>
      </c>
      <c r="L235">
        <v>7</v>
      </c>
      <c r="M235" s="2" t="s">
        <v>20</v>
      </c>
      <c r="N235" t="b">
        <v>1</v>
      </c>
      <c r="P235" s="2"/>
      <c r="Q235">
        <v>45</v>
      </c>
      <c r="R235">
        <v>1</v>
      </c>
      <c r="S235">
        <v>1200</v>
      </c>
      <c r="T235" t="s">
        <v>712</v>
      </c>
      <c r="U235">
        <v>55</v>
      </c>
      <c r="V235" s="2">
        <v>0.12</v>
      </c>
      <c r="AE235" t="b">
        <v>1</v>
      </c>
      <c r="AZ235" s="2"/>
      <c r="BA235" s="7">
        <v>40</v>
      </c>
      <c r="BB235" t="s">
        <v>932</v>
      </c>
      <c r="BC235" t="s">
        <v>923</v>
      </c>
      <c r="BD235" t="s">
        <v>941</v>
      </c>
      <c r="BE235" t="str">
        <f>IF(OR(Table1[[#This Row],[ENGINE_CLASS]]="STEAM",Table1[[#This Row],[ENGINE_CLASS]]="ELECTRIC",Table1[[#This Row],[ENGINE_CLASS]]="DIESEL"),Table1[[#This Row],[ENGINE_CLASS]],"DISABLE")</f>
        <v>DIESEL</v>
      </c>
      <c r="BF235">
        <v>0</v>
      </c>
      <c r="BG235" t="s">
        <v>735</v>
      </c>
      <c r="BI235"/>
      <c r="BJ235">
        <v>125</v>
      </c>
      <c r="BK235">
        <v>0</v>
      </c>
      <c r="BL235" t="s">
        <v>693</v>
      </c>
      <c r="BM235" t="s">
        <v>695</v>
      </c>
      <c r="BN235" t="s">
        <v>702</v>
      </c>
      <c r="BO235" t="s">
        <v>706</v>
      </c>
      <c r="BP235" t="s">
        <v>707</v>
      </c>
      <c r="BQ235" t="s">
        <v>708</v>
      </c>
    </row>
    <row r="236" spans="1:69" x14ac:dyDescent="0.4">
      <c r="A236" s="2" t="s">
        <v>260</v>
      </c>
      <c r="B236" t="str">
        <f>_xlfn.TEXTAFTER(Table1[[#This Row],[VEHIDCODE]],"_")</f>
        <v>Canada_CNR_9000</v>
      </c>
      <c r="C236" t="s">
        <v>741</v>
      </c>
      <c r="D236" t="str">
        <f>"item_"&amp;Table1[[#This Row],[VEHIDCODE]]</f>
        <v>item_diesel_Canada_CNR_9000</v>
      </c>
      <c r="E236" t="str">
        <f>"str_"&amp;Table1[[#This Row],[VEHIDCODE]]</f>
        <v>str_diesel_Canada_CNR_9000</v>
      </c>
      <c r="F236">
        <v>14</v>
      </c>
      <c r="G236" t="s">
        <v>20</v>
      </c>
      <c r="H236">
        <v>0</v>
      </c>
      <c r="I236" t="s">
        <v>35</v>
      </c>
      <c r="J236">
        <v>0</v>
      </c>
      <c r="K236">
        <v>1928</v>
      </c>
      <c r="L236">
        <v>7</v>
      </c>
      <c r="M236" s="2" t="s">
        <v>20</v>
      </c>
      <c r="N236" t="b">
        <v>1</v>
      </c>
      <c r="P236" s="2"/>
      <c r="Q236">
        <v>45</v>
      </c>
      <c r="R236">
        <v>1</v>
      </c>
      <c r="S236">
        <v>2660</v>
      </c>
      <c r="T236" t="s">
        <v>712</v>
      </c>
      <c r="U236">
        <v>112</v>
      </c>
      <c r="V236" s="2">
        <v>0.11</v>
      </c>
      <c r="AE236" t="b">
        <v>1</v>
      </c>
      <c r="AZ236" s="2"/>
      <c r="BA236" s="7">
        <v>40</v>
      </c>
      <c r="BB236" t="s">
        <v>929</v>
      </c>
      <c r="BC236" t="s">
        <v>923</v>
      </c>
      <c r="BD236" t="s">
        <v>941</v>
      </c>
      <c r="BE236" t="str">
        <f>IF(OR(Table1[[#This Row],[ENGINE_CLASS]]="STEAM",Table1[[#This Row],[ENGINE_CLASS]]="ELECTRIC",Table1[[#This Row],[ENGINE_CLASS]]="DIESEL"),Table1[[#This Row],[ENGINE_CLASS]],"DISABLE")</f>
        <v>DIESEL</v>
      </c>
      <c r="BF236">
        <v>0</v>
      </c>
      <c r="BG236" t="s">
        <v>735</v>
      </c>
      <c r="BI236"/>
      <c r="BJ236">
        <v>335</v>
      </c>
      <c r="BK236">
        <v>0</v>
      </c>
      <c r="BL236" t="s">
        <v>693</v>
      </c>
      <c r="BM236" t="s">
        <v>695</v>
      </c>
      <c r="BN236" t="s">
        <v>702</v>
      </c>
      <c r="BO236" t="s">
        <v>706</v>
      </c>
      <c r="BP236" t="s">
        <v>707</v>
      </c>
      <c r="BQ236" t="s">
        <v>708</v>
      </c>
    </row>
    <row r="237" spans="1:69" x14ac:dyDescent="0.4">
      <c r="A237" s="2" t="s">
        <v>261</v>
      </c>
      <c r="B237" t="str">
        <f>_xlfn.TEXTAFTER(Table1[[#This Row],[VEHIDCODE]],"_")</f>
        <v>UK_LMS_7051_Diesel_Shunter</v>
      </c>
      <c r="C237" t="s">
        <v>741</v>
      </c>
      <c r="D237" t="str">
        <f>"item_"&amp;Table1[[#This Row],[VEHIDCODE]]</f>
        <v>item_diesel_UK_LMS_7051_Diesel_Shunter</v>
      </c>
      <c r="E237" t="str">
        <f>"str_"&amp;Table1[[#This Row],[VEHIDCODE]]</f>
        <v>str_diesel_UK_LMS_7051_Diesel_Shunter</v>
      </c>
      <c r="F237">
        <v>4</v>
      </c>
      <c r="G237" t="s">
        <v>20</v>
      </c>
      <c r="H237">
        <v>0</v>
      </c>
      <c r="I237" t="s">
        <v>35</v>
      </c>
      <c r="J237">
        <v>0</v>
      </c>
      <c r="K237">
        <v>1932</v>
      </c>
      <c r="L237">
        <v>4</v>
      </c>
      <c r="M237" s="2" t="s">
        <v>20</v>
      </c>
      <c r="N237" t="b">
        <v>1</v>
      </c>
      <c r="P237" s="2"/>
      <c r="Q237">
        <v>45</v>
      </c>
      <c r="R237">
        <v>0</v>
      </c>
      <c r="S237">
        <v>150</v>
      </c>
      <c r="T237" t="s">
        <v>712</v>
      </c>
      <c r="U237">
        <v>48</v>
      </c>
      <c r="V237" s="2">
        <v>0.21</v>
      </c>
      <c r="AE237" t="b">
        <v>1</v>
      </c>
      <c r="AZ237" s="2"/>
      <c r="BA237" s="7">
        <v>40</v>
      </c>
      <c r="BB237" t="s">
        <v>928</v>
      </c>
      <c r="BC237" t="s">
        <v>923</v>
      </c>
      <c r="BD237" t="s">
        <v>941</v>
      </c>
      <c r="BE237" t="str">
        <f>IF(OR(Table1[[#This Row],[ENGINE_CLASS]]="STEAM",Table1[[#This Row],[ENGINE_CLASS]]="ELECTRIC",Table1[[#This Row],[ENGINE_CLASS]]="DIESEL"),Table1[[#This Row],[ENGINE_CLASS]],"DISABLE")</f>
        <v>DIESEL</v>
      </c>
      <c r="BF237">
        <v>0</v>
      </c>
      <c r="BG237" t="s">
        <v>735</v>
      </c>
      <c r="BI237"/>
      <c r="BJ237">
        <v>22</v>
      </c>
      <c r="BK237">
        <v>0</v>
      </c>
      <c r="BL237" t="s">
        <v>693</v>
      </c>
      <c r="BM237" t="s">
        <v>695</v>
      </c>
      <c r="BN237" t="s">
        <v>702</v>
      </c>
      <c r="BO237" t="s">
        <v>706</v>
      </c>
      <c r="BP237" t="s">
        <v>707</v>
      </c>
      <c r="BQ237" t="s">
        <v>708</v>
      </c>
    </row>
    <row r="238" spans="1:69" x14ac:dyDescent="0.4">
      <c r="A238" s="2" t="s">
        <v>262</v>
      </c>
      <c r="B238" t="str">
        <f>_xlfn.TEXTAFTER(Table1[[#This Row],[VEHIDCODE]],"_")</f>
        <v>USA_Rock_Island_EMC_TA</v>
      </c>
      <c r="C238" t="s">
        <v>741</v>
      </c>
      <c r="D238" t="str">
        <f>"item_"&amp;Table1[[#This Row],[VEHIDCODE]]</f>
        <v>item_diesel_USA_Rock_Island_EMC_TA</v>
      </c>
      <c r="E238" t="str">
        <f>"str_"&amp;Table1[[#This Row],[VEHIDCODE]]</f>
        <v>str_diesel_USA_Rock_Island_EMC_TA</v>
      </c>
      <c r="F238">
        <v>8</v>
      </c>
      <c r="G238" t="s">
        <v>20</v>
      </c>
      <c r="H238">
        <v>0</v>
      </c>
      <c r="I238" t="s">
        <v>35</v>
      </c>
      <c r="J238">
        <v>0</v>
      </c>
      <c r="K238">
        <v>1937</v>
      </c>
      <c r="L238">
        <v>8</v>
      </c>
      <c r="M238" s="2" t="s">
        <v>20</v>
      </c>
      <c r="N238" t="b">
        <v>1</v>
      </c>
      <c r="P238" s="2"/>
      <c r="Q238">
        <v>45</v>
      </c>
      <c r="R238">
        <v>1</v>
      </c>
      <c r="S238">
        <v>1200</v>
      </c>
      <c r="T238" t="s">
        <v>712</v>
      </c>
      <c r="U238">
        <v>180</v>
      </c>
      <c r="V238" s="2">
        <v>0.12</v>
      </c>
      <c r="AE238" t="b">
        <v>1</v>
      </c>
      <c r="AZ238" s="2"/>
      <c r="BA238" s="7">
        <v>40</v>
      </c>
      <c r="BB238" t="s">
        <v>929</v>
      </c>
      <c r="BC238" t="s">
        <v>923</v>
      </c>
      <c r="BD238" t="s">
        <v>941</v>
      </c>
      <c r="BE238" t="str">
        <f>IF(OR(Table1[[#This Row],[ENGINE_CLASS]]="STEAM",Table1[[#This Row],[ENGINE_CLASS]]="ELECTRIC",Table1[[#This Row],[ENGINE_CLASS]]="DIESEL"),Table1[[#This Row],[ENGINE_CLASS]],"DISABLE")</f>
        <v>DIESEL</v>
      </c>
      <c r="BF238">
        <v>0</v>
      </c>
      <c r="BG238" t="s">
        <v>735</v>
      </c>
      <c r="BI238"/>
      <c r="BJ238">
        <v>132</v>
      </c>
      <c r="BK238">
        <v>0</v>
      </c>
      <c r="BL238" t="s">
        <v>693</v>
      </c>
      <c r="BM238" t="s">
        <v>695</v>
      </c>
      <c r="BN238" t="s">
        <v>702</v>
      </c>
      <c r="BO238" t="s">
        <v>706</v>
      </c>
      <c r="BP238" t="s">
        <v>707</v>
      </c>
      <c r="BQ238" t="s">
        <v>708</v>
      </c>
    </row>
    <row r="239" spans="1:69" x14ac:dyDescent="0.4">
      <c r="A239" s="2" t="s">
        <v>263</v>
      </c>
      <c r="B239" t="str">
        <f>_xlfn.TEXTAFTER(Table1[[#This Row],[VEHIDCODE]],"_")</f>
        <v>USA_NYC_Baldwin_VO_660</v>
      </c>
      <c r="C239" t="s">
        <v>741</v>
      </c>
      <c r="D239" t="str">
        <f>"item_"&amp;Table1[[#This Row],[VEHIDCODE]]</f>
        <v>item_diesel_USA_NYC_Baldwin_VO_660</v>
      </c>
      <c r="E239" t="str">
        <f>"str_"&amp;Table1[[#This Row],[VEHIDCODE]]</f>
        <v>str_diesel_USA_NYC_Baldwin_VO_660</v>
      </c>
      <c r="F239">
        <v>6</v>
      </c>
      <c r="G239" t="s">
        <v>20</v>
      </c>
      <c r="H239">
        <v>0</v>
      </c>
      <c r="I239" t="s">
        <v>35</v>
      </c>
      <c r="J239">
        <v>0</v>
      </c>
      <c r="K239">
        <v>1939</v>
      </c>
      <c r="L239">
        <v>6</v>
      </c>
      <c r="M239" s="2" t="s">
        <v>20</v>
      </c>
      <c r="N239" t="b">
        <v>1</v>
      </c>
      <c r="P239" s="2"/>
      <c r="Q239">
        <v>45</v>
      </c>
      <c r="R239">
        <v>1</v>
      </c>
      <c r="S239">
        <v>660</v>
      </c>
      <c r="T239" t="s">
        <v>712</v>
      </c>
      <c r="U239">
        <v>64</v>
      </c>
      <c r="V239" s="2">
        <v>0.24</v>
      </c>
      <c r="AE239" t="b">
        <v>1</v>
      </c>
      <c r="AZ239" s="2"/>
      <c r="BA239" s="7">
        <v>40</v>
      </c>
      <c r="BB239" t="s">
        <v>929</v>
      </c>
      <c r="BC239" t="s">
        <v>923</v>
      </c>
      <c r="BD239" t="s">
        <v>941</v>
      </c>
      <c r="BE239" t="str">
        <f>IF(OR(Table1[[#This Row],[ENGINE_CLASS]]="STEAM",Table1[[#This Row],[ENGINE_CLASS]]="ELECTRIC",Table1[[#This Row],[ENGINE_CLASS]]="DIESEL"),Table1[[#This Row],[ENGINE_CLASS]],"DISABLE")</f>
        <v>DIESEL</v>
      </c>
      <c r="BF239">
        <v>0</v>
      </c>
      <c r="BG239" t="s">
        <v>735</v>
      </c>
      <c r="BI239"/>
      <c r="BJ239">
        <v>92</v>
      </c>
      <c r="BK239">
        <v>0</v>
      </c>
      <c r="BL239" t="s">
        <v>693</v>
      </c>
      <c r="BM239" t="s">
        <v>695</v>
      </c>
      <c r="BN239" t="s">
        <v>702</v>
      </c>
      <c r="BO239" t="s">
        <v>706</v>
      </c>
      <c r="BP239" t="s">
        <v>707</v>
      </c>
      <c r="BQ239" t="s">
        <v>708</v>
      </c>
    </row>
    <row r="240" spans="1:69" x14ac:dyDescent="0.4">
      <c r="A240" s="2" t="s">
        <v>264</v>
      </c>
      <c r="B240" t="str">
        <f>_xlfn.TEXTAFTER(Table1[[#This Row],[VEHIDCODE]],"_")</f>
        <v>UK_BR_Class_D3_7</v>
      </c>
      <c r="C240" t="s">
        <v>741</v>
      </c>
      <c r="D240" t="str">
        <f>"item_"&amp;Table1[[#This Row],[VEHIDCODE]]</f>
        <v>item_diesel_UK_BR_Class_D3_7</v>
      </c>
      <c r="E240" t="str">
        <f>"str_"&amp;Table1[[#This Row],[VEHIDCODE]]</f>
        <v>str_diesel_UK_BR_Class_D3_7</v>
      </c>
      <c r="F240">
        <v>5</v>
      </c>
      <c r="G240" t="s">
        <v>20</v>
      </c>
      <c r="H240">
        <v>0</v>
      </c>
      <c r="I240" t="s">
        <v>35</v>
      </c>
      <c r="J240">
        <v>0</v>
      </c>
      <c r="K240">
        <v>1939</v>
      </c>
      <c r="L240">
        <v>5</v>
      </c>
      <c r="M240" s="2" t="s">
        <v>20</v>
      </c>
      <c r="N240" t="b">
        <v>1</v>
      </c>
      <c r="P240" s="2"/>
      <c r="Q240">
        <v>45</v>
      </c>
      <c r="R240">
        <v>0</v>
      </c>
      <c r="S240">
        <v>350</v>
      </c>
      <c r="T240" t="s">
        <v>712</v>
      </c>
      <c r="U240">
        <v>32</v>
      </c>
      <c r="V240" s="2">
        <v>0.28999999999999998</v>
      </c>
      <c r="AE240" t="b">
        <v>1</v>
      </c>
      <c r="AZ240" s="2"/>
      <c r="BA240" s="7">
        <v>40</v>
      </c>
      <c r="BB240" t="s">
        <v>928</v>
      </c>
      <c r="BC240" t="s">
        <v>923</v>
      </c>
      <c r="BD240" t="s">
        <v>941</v>
      </c>
      <c r="BE240" t="str">
        <f>IF(OR(Table1[[#This Row],[ENGINE_CLASS]]="STEAM",Table1[[#This Row],[ENGINE_CLASS]]="ELECTRIC",Table1[[#This Row],[ENGINE_CLASS]]="DIESEL"),Table1[[#This Row],[ENGINE_CLASS]],"DISABLE")</f>
        <v>DIESEL</v>
      </c>
      <c r="BF240">
        <v>0</v>
      </c>
      <c r="BG240" t="s">
        <v>735</v>
      </c>
      <c r="BI240"/>
      <c r="BJ240">
        <v>55</v>
      </c>
      <c r="BK240">
        <v>0</v>
      </c>
      <c r="BL240" t="s">
        <v>693</v>
      </c>
      <c r="BM240" t="s">
        <v>695</v>
      </c>
      <c r="BN240" t="s">
        <v>702</v>
      </c>
      <c r="BO240" t="s">
        <v>706</v>
      </c>
      <c r="BP240" t="s">
        <v>707</v>
      </c>
      <c r="BQ240" t="s">
        <v>708</v>
      </c>
    </row>
    <row r="241" spans="1:69" x14ac:dyDescent="0.4">
      <c r="A241" s="2" t="s">
        <v>265</v>
      </c>
      <c r="B241" t="str">
        <f>_xlfn.TEXTAFTER(Table1[[#This Row],[VEHIDCODE]],"_")</f>
        <v>Australia_Queensland_Railways_DL_Class</v>
      </c>
      <c r="C241" t="s">
        <v>741</v>
      </c>
      <c r="D241" t="str">
        <f>"item_"&amp;Table1[[#This Row],[VEHIDCODE]]</f>
        <v>item_diesel_Australia_Queensland_Railways_DL_Class</v>
      </c>
      <c r="E241" t="str">
        <f>"str_"&amp;Table1[[#This Row],[VEHIDCODE]]</f>
        <v>str_diesel_Australia_Queensland_Railways_DL_Class</v>
      </c>
      <c r="F241">
        <v>5</v>
      </c>
      <c r="G241" t="s">
        <v>20</v>
      </c>
      <c r="H241">
        <v>0</v>
      </c>
      <c r="I241" t="s">
        <v>35</v>
      </c>
      <c r="J241">
        <v>0</v>
      </c>
      <c r="K241">
        <v>1939</v>
      </c>
      <c r="L241">
        <v>5</v>
      </c>
      <c r="M241" s="2" t="s">
        <v>20</v>
      </c>
      <c r="N241" t="b">
        <v>1</v>
      </c>
      <c r="P241" s="2"/>
      <c r="Q241">
        <v>45</v>
      </c>
      <c r="R241">
        <v>1</v>
      </c>
      <c r="S241">
        <v>150</v>
      </c>
      <c r="T241" t="s">
        <v>712</v>
      </c>
      <c r="U241">
        <v>50</v>
      </c>
      <c r="V241" s="2">
        <v>0.17</v>
      </c>
      <c r="AE241" t="b">
        <v>1</v>
      </c>
      <c r="AZ241" s="2"/>
      <c r="BA241" s="7">
        <v>40</v>
      </c>
      <c r="BB241" t="s">
        <v>926</v>
      </c>
      <c r="BC241" t="s">
        <v>923</v>
      </c>
      <c r="BD241" t="s">
        <v>941</v>
      </c>
      <c r="BE241" t="str">
        <f>IF(OR(Table1[[#This Row],[ENGINE_CLASS]]="STEAM",Table1[[#This Row],[ENGINE_CLASS]]="ELECTRIC",Table1[[#This Row],[ENGINE_CLASS]]="DIESEL"),Table1[[#This Row],[ENGINE_CLASS]],"DISABLE")</f>
        <v>DIESEL</v>
      </c>
      <c r="BF241">
        <v>0</v>
      </c>
      <c r="BG241" t="s">
        <v>735</v>
      </c>
      <c r="BI241"/>
      <c r="BJ241">
        <v>18</v>
      </c>
      <c r="BK241">
        <v>0</v>
      </c>
      <c r="BL241" t="s">
        <v>693</v>
      </c>
      <c r="BM241" t="s">
        <v>695</v>
      </c>
      <c r="BN241" t="s">
        <v>702</v>
      </c>
      <c r="BO241" t="s">
        <v>706</v>
      </c>
      <c r="BP241" t="s">
        <v>707</v>
      </c>
      <c r="BQ241" t="s">
        <v>708</v>
      </c>
    </row>
    <row r="242" spans="1:69" x14ac:dyDescent="0.4">
      <c r="A242" s="2" t="s">
        <v>266</v>
      </c>
      <c r="B242" t="str">
        <f>_xlfn.TEXTAFTER(Table1[[#This Row],[VEHIDCODE]],"_")</f>
        <v>USA_PRR_FM_H_10_44</v>
      </c>
      <c r="C242" t="s">
        <v>741</v>
      </c>
      <c r="D242" t="str">
        <f>"item_"&amp;Table1[[#This Row],[VEHIDCODE]]</f>
        <v>item_diesel_USA_PRR_FM_H_10_44</v>
      </c>
      <c r="E242" t="str">
        <f>"str_"&amp;Table1[[#This Row],[VEHIDCODE]]</f>
        <v>str_diesel_USA_PRR_FM_H_10_44</v>
      </c>
      <c r="F242">
        <v>6</v>
      </c>
      <c r="G242" t="s">
        <v>20</v>
      </c>
      <c r="H242">
        <v>0</v>
      </c>
      <c r="I242" t="s">
        <v>35</v>
      </c>
      <c r="J242">
        <v>0</v>
      </c>
      <c r="K242">
        <v>1944</v>
      </c>
      <c r="L242">
        <v>6</v>
      </c>
      <c r="M242" s="2" t="s">
        <v>20</v>
      </c>
      <c r="N242" t="b">
        <v>1</v>
      </c>
      <c r="P242" s="2"/>
      <c r="Q242">
        <v>45</v>
      </c>
      <c r="R242">
        <v>1</v>
      </c>
      <c r="S242">
        <v>1000</v>
      </c>
      <c r="T242" t="s">
        <v>712</v>
      </c>
      <c r="U242">
        <v>97</v>
      </c>
      <c r="V242" s="2">
        <v>0.17</v>
      </c>
      <c r="AE242" t="b">
        <v>1</v>
      </c>
      <c r="AZ242" s="2"/>
      <c r="BA242" s="7">
        <v>40</v>
      </c>
      <c r="BB242" t="s">
        <v>929</v>
      </c>
      <c r="BC242" t="s">
        <v>923</v>
      </c>
      <c r="BD242" t="s">
        <v>941</v>
      </c>
      <c r="BE242" t="str">
        <f>IF(OR(Table1[[#This Row],[ENGINE_CLASS]]="STEAM",Table1[[#This Row],[ENGINE_CLASS]]="ELECTRIC",Table1[[#This Row],[ENGINE_CLASS]]="DIESEL"),Table1[[#This Row],[ENGINE_CLASS]],"DISABLE")</f>
        <v>DIESEL</v>
      </c>
      <c r="BF242">
        <v>0</v>
      </c>
      <c r="BG242" t="s">
        <v>735</v>
      </c>
      <c r="BI242"/>
      <c r="BJ242">
        <v>109</v>
      </c>
      <c r="BK242">
        <v>0</v>
      </c>
      <c r="BL242" t="s">
        <v>693</v>
      </c>
      <c r="BM242" t="s">
        <v>695</v>
      </c>
      <c r="BN242" t="s">
        <v>702</v>
      </c>
      <c r="BO242" t="s">
        <v>706</v>
      </c>
      <c r="BP242" t="s">
        <v>707</v>
      </c>
      <c r="BQ242" t="s">
        <v>708</v>
      </c>
    </row>
    <row r="243" spans="1:69" x14ac:dyDescent="0.4">
      <c r="A243" s="2" t="s">
        <v>267</v>
      </c>
      <c r="B243" t="str">
        <f>_xlfn.TEXTAFTER(Table1[[#This Row],[VEHIDCODE]],"_")</f>
        <v>Algeria_SNTF_Baldwin_DRS6_4_1000</v>
      </c>
      <c r="C243" t="s">
        <v>741</v>
      </c>
      <c r="D243" t="str">
        <f>"item_"&amp;Table1[[#This Row],[VEHIDCODE]]</f>
        <v>item_diesel_Algeria_SNTF_Baldwin_DRS6_4_1000</v>
      </c>
      <c r="E243" t="str">
        <f>"str_"&amp;Table1[[#This Row],[VEHIDCODE]]</f>
        <v>str_diesel_Algeria_SNTF_Baldwin_DRS6_4_1000</v>
      </c>
      <c r="F243">
        <v>7</v>
      </c>
      <c r="G243" t="s">
        <v>20</v>
      </c>
      <c r="H243">
        <v>0</v>
      </c>
      <c r="I243" t="s">
        <v>35</v>
      </c>
      <c r="J243">
        <v>0</v>
      </c>
      <c r="K243">
        <v>1948</v>
      </c>
      <c r="L243">
        <v>7</v>
      </c>
      <c r="M243" s="2" t="s">
        <v>20</v>
      </c>
      <c r="N243" t="b">
        <v>1</v>
      </c>
      <c r="P243" s="2"/>
      <c r="Q243">
        <v>45</v>
      </c>
      <c r="R243">
        <v>1</v>
      </c>
      <c r="S243">
        <v>1000</v>
      </c>
      <c r="T243" t="s">
        <v>712</v>
      </c>
      <c r="U243">
        <v>80</v>
      </c>
      <c r="V243" s="2">
        <v>0.14000000000000001</v>
      </c>
      <c r="AE243" t="b">
        <v>1</v>
      </c>
      <c r="AZ243" s="2"/>
      <c r="BA243" s="7">
        <v>40</v>
      </c>
      <c r="BB243" t="s">
        <v>927</v>
      </c>
      <c r="BC243" t="s">
        <v>923</v>
      </c>
      <c r="BD243" t="s">
        <v>941</v>
      </c>
      <c r="BE243" t="str">
        <f>IF(OR(Table1[[#This Row],[ENGINE_CLASS]]="STEAM",Table1[[#This Row],[ENGINE_CLASS]]="ELECTRIC",Table1[[#This Row],[ENGINE_CLASS]]="DIESEL"),Table1[[#This Row],[ENGINE_CLASS]],"DISABLE")</f>
        <v>DIESEL</v>
      </c>
      <c r="BF243">
        <v>0</v>
      </c>
      <c r="BG243" t="s">
        <v>735</v>
      </c>
      <c r="BI243"/>
      <c r="BJ243">
        <v>92</v>
      </c>
      <c r="BK243">
        <v>0</v>
      </c>
      <c r="BL243" t="s">
        <v>693</v>
      </c>
      <c r="BM243" t="s">
        <v>695</v>
      </c>
      <c r="BN243" t="s">
        <v>702</v>
      </c>
      <c r="BO243" t="s">
        <v>706</v>
      </c>
      <c r="BP243" t="s">
        <v>707</v>
      </c>
      <c r="BQ243" t="s">
        <v>708</v>
      </c>
    </row>
    <row r="244" spans="1:69" x14ac:dyDescent="0.4">
      <c r="A244" s="2" t="s">
        <v>268</v>
      </c>
      <c r="B244" t="str">
        <f>_xlfn.TEXTAFTER(Table1[[#This Row],[VEHIDCODE]],"_")</f>
        <v>Ireland_CIE_113</v>
      </c>
      <c r="C244" t="s">
        <v>741</v>
      </c>
      <c r="D244" t="str">
        <f>"item_"&amp;Table1[[#This Row],[VEHIDCODE]]</f>
        <v>item_diesel_Ireland_CIE_113</v>
      </c>
      <c r="E244" t="str">
        <f>"str_"&amp;Table1[[#This Row],[VEHIDCODE]]</f>
        <v>str_diesel_Ireland_CIE_113</v>
      </c>
      <c r="F244">
        <v>8</v>
      </c>
      <c r="G244" t="s">
        <v>20</v>
      </c>
      <c r="H244">
        <v>0</v>
      </c>
      <c r="I244" t="s">
        <v>35</v>
      </c>
      <c r="J244">
        <v>0</v>
      </c>
      <c r="K244">
        <v>1950</v>
      </c>
      <c r="L244">
        <v>8</v>
      </c>
      <c r="M244" s="2" t="s">
        <v>20</v>
      </c>
      <c r="N244" t="b">
        <v>1</v>
      </c>
      <c r="P244" s="2"/>
      <c r="Q244">
        <v>45</v>
      </c>
      <c r="R244">
        <v>0</v>
      </c>
      <c r="S244">
        <v>915</v>
      </c>
      <c r="T244" t="s">
        <v>712</v>
      </c>
      <c r="U244">
        <v>88</v>
      </c>
      <c r="V244" s="2">
        <v>0.25</v>
      </c>
      <c r="AE244" t="b">
        <v>1</v>
      </c>
      <c r="AZ244" s="2"/>
      <c r="BA244" s="7">
        <v>40</v>
      </c>
      <c r="BB244" t="s">
        <v>928</v>
      </c>
      <c r="BC244" t="s">
        <v>923</v>
      </c>
      <c r="BD244" t="s">
        <v>941</v>
      </c>
      <c r="BE244" t="str">
        <f>IF(OR(Table1[[#This Row],[ENGINE_CLASS]]="STEAM",Table1[[#This Row],[ENGINE_CLASS]]="ELECTRIC",Table1[[#This Row],[ENGINE_CLASS]]="DIESEL"),Table1[[#This Row],[ENGINE_CLASS]],"DISABLE")</f>
        <v>DIESEL</v>
      </c>
      <c r="BF244">
        <v>0</v>
      </c>
      <c r="BG244" t="s">
        <v>735</v>
      </c>
      <c r="BI244"/>
      <c r="BJ244">
        <v>81</v>
      </c>
      <c r="BK244">
        <v>0</v>
      </c>
      <c r="BL244" t="s">
        <v>693</v>
      </c>
      <c r="BM244" t="s">
        <v>695</v>
      </c>
      <c r="BN244" t="s">
        <v>702</v>
      </c>
      <c r="BO244" t="s">
        <v>706</v>
      </c>
      <c r="BP244" t="s">
        <v>707</v>
      </c>
      <c r="BQ244" t="s">
        <v>708</v>
      </c>
    </row>
    <row r="245" spans="1:69" x14ac:dyDescent="0.4">
      <c r="A245" s="2" t="s">
        <v>269</v>
      </c>
      <c r="B245" t="str">
        <f>_xlfn.TEXTAFTER(Table1[[#This Row],[VEHIDCODE]],"_")</f>
        <v>Brazil_EFC_3300_Baldwin_AS_616</v>
      </c>
      <c r="C245" t="s">
        <v>741</v>
      </c>
      <c r="D245" t="str">
        <f>"item_"&amp;Table1[[#This Row],[VEHIDCODE]]</f>
        <v>item_diesel_Brazil_EFC_3300_Baldwin_AS_616</v>
      </c>
      <c r="E245" t="str">
        <f>"str_"&amp;Table1[[#This Row],[VEHIDCODE]]</f>
        <v>str_diesel_Brazil_EFC_3300_Baldwin_AS_616</v>
      </c>
      <c r="F245">
        <v>8</v>
      </c>
      <c r="G245" t="s">
        <v>20</v>
      </c>
      <c r="H245">
        <v>0</v>
      </c>
      <c r="I245" t="s">
        <v>35</v>
      </c>
      <c r="J245">
        <v>0</v>
      </c>
      <c r="K245">
        <v>1950</v>
      </c>
      <c r="L245">
        <v>8</v>
      </c>
      <c r="M245" s="2" t="s">
        <v>20</v>
      </c>
      <c r="N245" t="b">
        <v>1</v>
      </c>
      <c r="P245" s="2"/>
      <c r="Q245">
        <v>45</v>
      </c>
      <c r="R245">
        <v>1</v>
      </c>
      <c r="S245">
        <v>1600</v>
      </c>
      <c r="T245" t="s">
        <v>712</v>
      </c>
      <c r="U245">
        <v>100</v>
      </c>
      <c r="V245" s="2">
        <v>0.24</v>
      </c>
      <c r="AE245" t="b">
        <v>1</v>
      </c>
      <c r="AZ245" s="2"/>
      <c r="BA245" s="7">
        <v>40</v>
      </c>
      <c r="BB245" t="s">
        <v>931</v>
      </c>
      <c r="BC245" t="s">
        <v>923</v>
      </c>
      <c r="BD245" t="s">
        <v>941</v>
      </c>
      <c r="BE245" t="str">
        <f>IF(OR(Table1[[#This Row],[ENGINE_CLASS]]="STEAM",Table1[[#This Row],[ENGINE_CLASS]]="ELECTRIC",Table1[[#This Row],[ENGINE_CLASS]]="DIESEL"),Table1[[#This Row],[ENGINE_CLASS]],"DISABLE")</f>
        <v>DIESEL</v>
      </c>
      <c r="BF245">
        <v>0</v>
      </c>
      <c r="BG245" t="s">
        <v>735</v>
      </c>
      <c r="BI245"/>
      <c r="BJ245">
        <v>148</v>
      </c>
      <c r="BK245">
        <v>0</v>
      </c>
      <c r="BL245" t="s">
        <v>693</v>
      </c>
      <c r="BM245" t="s">
        <v>695</v>
      </c>
      <c r="BN245" t="s">
        <v>702</v>
      </c>
      <c r="BO245" t="s">
        <v>706</v>
      </c>
      <c r="BP245" t="s">
        <v>707</v>
      </c>
      <c r="BQ245" t="s">
        <v>708</v>
      </c>
    </row>
    <row r="246" spans="1:69" x14ac:dyDescent="0.4">
      <c r="A246" s="2" t="s">
        <v>270</v>
      </c>
      <c r="B246" t="str">
        <f>_xlfn.TEXTAFTER(Table1[[#This Row],[VEHIDCODE]],"_")</f>
        <v>Mexico_CHP_500_FM_H_16_44</v>
      </c>
      <c r="C246" t="s">
        <v>741</v>
      </c>
      <c r="D246" t="str">
        <f>"item_"&amp;Table1[[#This Row],[VEHIDCODE]]</f>
        <v>item_diesel_Mexico_CHP_500_FM_H_16_44</v>
      </c>
      <c r="E246" t="str">
        <f>"str_"&amp;Table1[[#This Row],[VEHIDCODE]]</f>
        <v>str_diesel_Mexico_CHP_500_FM_H_16_44</v>
      </c>
      <c r="F246">
        <v>8</v>
      </c>
      <c r="G246" t="s">
        <v>20</v>
      </c>
      <c r="H246">
        <v>0</v>
      </c>
      <c r="I246" t="s">
        <v>35</v>
      </c>
      <c r="J246">
        <v>0</v>
      </c>
      <c r="K246">
        <v>1950</v>
      </c>
      <c r="L246">
        <v>8</v>
      </c>
      <c r="M246" s="2" t="s">
        <v>20</v>
      </c>
      <c r="N246" t="b">
        <v>1</v>
      </c>
      <c r="P246" s="2"/>
      <c r="Q246">
        <v>45</v>
      </c>
      <c r="R246">
        <v>1</v>
      </c>
      <c r="S246">
        <v>1600</v>
      </c>
      <c r="T246" t="s">
        <v>712</v>
      </c>
      <c r="U246">
        <v>105</v>
      </c>
      <c r="V246" s="2">
        <v>0.17</v>
      </c>
      <c r="AE246" t="b">
        <v>1</v>
      </c>
      <c r="AZ246" s="2"/>
      <c r="BA246" s="7">
        <v>40</v>
      </c>
      <c r="BB246" t="s">
        <v>929</v>
      </c>
      <c r="BC246" t="s">
        <v>923</v>
      </c>
      <c r="BD246" t="s">
        <v>941</v>
      </c>
      <c r="BE246" t="str">
        <f>IF(OR(Table1[[#This Row],[ENGINE_CLASS]]="STEAM",Table1[[#This Row],[ENGINE_CLASS]]="ELECTRIC",Table1[[#This Row],[ENGINE_CLASS]]="DIESEL"),Table1[[#This Row],[ENGINE_CLASS]],"DISABLE")</f>
        <v>DIESEL</v>
      </c>
      <c r="BF246">
        <v>0</v>
      </c>
      <c r="BG246" t="s">
        <v>735</v>
      </c>
      <c r="BI246"/>
      <c r="BJ246">
        <v>113</v>
      </c>
      <c r="BK246">
        <v>0</v>
      </c>
      <c r="BL246" t="s">
        <v>693</v>
      </c>
      <c r="BM246" t="s">
        <v>695</v>
      </c>
      <c r="BN246" t="s">
        <v>702</v>
      </c>
      <c r="BO246" t="s">
        <v>706</v>
      </c>
      <c r="BP246" t="s">
        <v>707</v>
      </c>
      <c r="BQ246" t="s">
        <v>708</v>
      </c>
    </row>
    <row r="247" spans="1:69" x14ac:dyDescent="0.4">
      <c r="A247" s="2" t="s">
        <v>271</v>
      </c>
      <c r="B247" t="str">
        <f>_xlfn.TEXTAFTER(Table1[[#This Row],[VEHIDCODE]],"_")</f>
        <v>Australia_South_Australian_Railways_900</v>
      </c>
      <c r="C247" t="s">
        <v>741</v>
      </c>
      <c r="D247" t="str">
        <f>"item_"&amp;Table1[[#This Row],[VEHIDCODE]]</f>
        <v>item_diesel_Australia_South_Australian_Railways_900</v>
      </c>
      <c r="E247" t="str">
        <f>"str_"&amp;Table1[[#This Row],[VEHIDCODE]]</f>
        <v>str_diesel_Australia_South_Australian_Railways_900</v>
      </c>
      <c r="F247">
        <v>8</v>
      </c>
      <c r="G247" t="s">
        <v>20</v>
      </c>
      <c r="H247">
        <v>0</v>
      </c>
      <c r="I247" t="s">
        <v>35</v>
      </c>
      <c r="J247">
        <v>0</v>
      </c>
      <c r="K247">
        <v>1951</v>
      </c>
      <c r="L247">
        <v>8</v>
      </c>
      <c r="M247" s="2" t="s">
        <v>20</v>
      </c>
      <c r="N247" t="b">
        <v>1</v>
      </c>
      <c r="P247" s="2"/>
      <c r="Q247">
        <v>45</v>
      </c>
      <c r="R247">
        <v>1</v>
      </c>
      <c r="S247">
        <v>1590</v>
      </c>
      <c r="T247" t="s">
        <v>712</v>
      </c>
      <c r="U247">
        <v>119</v>
      </c>
      <c r="V247" s="2">
        <v>0.12</v>
      </c>
      <c r="AE247" t="b">
        <v>1</v>
      </c>
      <c r="AZ247" s="2"/>
      <c r="BA247" s="7">
        <v>40</v>
      </c>
      <c r="BB247" t="s">
        <v>926</v>
      </c>
      <c r="BC247" t="s">
        <v>923</v>
      </c>
      <c r="BD247" t="s">
        <v>941</v>
      </c>
      <c r="BE247" t="str">
        <f>IF(OR(Table1[[#This Row],[ENGINE_CLASS]]="STEAM",Table1[[#This Row],[ENGINE_CLASS]]="ELECTRIC",Table1[[#This Row],[ENGINE_CLASS]]="DIESEL"),Table1[[#This Row],[ENGINE_CLASS]],"DISABLE")</f>
        <v>DIESEL</v>
      </c>
      <c r="BF247">
        <v>0</v>
      </c>
      <c r="BG247" t="s">
        <v>735</v>
      </c>
      <c r="BI247"/>
      <c r="BJ247">
        <v>128</v>
      </c>
      <c r="BK247">
        <v>0</v>
      </c>
      <c r="BL247" t="s">
        <v>693</v>
      </c>
      <c r="BM247" t="s">
        <v>695</v>
      </c>
      <c r="BN247" t="s">
        <v>702</v>
      </c>
      <c r="BO247" t="s">
        <v>706</v>
      </c>
      <c r="BP247" t="s">
        <v>707</v>
      </c>
      <c r="BQ247" t="s">
        <v>708</v>
      </c>
    </row>
    <row r="248" spans="1:69" x14ac:dyDescent="0.4">
      <c r="A248" s="2" t="s">
        <v>272</v>
      </c>
      <c r="B248" t="str">
        <f>_xlfn.TEXTAFTER(Table1[[#This Row],[VEHIDCODE]],"_")</f>
        <v>Sri_Lanka_Sri_Lanka_Railways_M2</v>
      </c>
      <c r="C248" t="s">
        <v>741</v>
      </c>
      <c r="D248" t="str">
        <f>"item_"&amp;Table1[[#This Row],[VEHIDCODE]]</f>
        <v>item_diesel_Sri_Lanka_Sri_Lanka_Railways_M2</v>
      </c>
      <c r="E248" t="str">
        <f>"str_"&amp;Table1[[#This Row],[VEHIDCODE]]</f>
        <v>str_diesel_Sri_Lanka_Sri_Lanka_Railways_M2</v>
      </c>
      <c r="F248">
        <v>6</v>
      </c>
      <c r="G248" t="s">
        <v>20</v>
      </c>
      <c r="H248">
        <v>0</v>
      </c>
      <c r="I248" t="s">
        <v>35</v>
      </c>
      <c r="J248">
        <v>0</v>
      </c>
      <c r="K248">
        <v>1954</v>
      </c>
      <c r="L248">
        <v>6</v>
      </c>
      <c r="M248" s="2" t="s">
        <v>20</v>
      </c>
      <c r="N248" t="b">
        <v>1</v>
      </c>
      <c r="P248" s="2"/>
      <c r="Q248">
        <v>45</v>
      </c>
      <c r="R248">
        <v>1</v>
      </c>
      <c r="S248">
        <v>1425</v>
      </c>
      <c r="T248" t="s">
        <v>712</v>
      </c>
      <c r="U248">
        <v>112</v>
      </c>
      <c r="V248" s="2">
        <v>0.24</v>
      </c>
      <c r="AE248" t="b">
        <v>1</v>
      </c>
      <c r="AZ248" s="2"/>
      <c r="BA248" s="7">
        <v>40</v>
      </c>
      <c r="BB248" t="s">
        <v>932</v>
      </c>
      <c r="BC248" t="s">
        <v>923</v>
      </c>
      <c r="BD248" t="s">
        <v>941</v>
      </c>
      <c r="BE248" t="str">
        <f>IF(OR(Table1[[#This Row],[ENGINE_CLASS]]="STEAM",Table1[[#This Row],[ENGINE_CLASS]]="ELECTRIC",Table1[[#This Row],[ENGINE_CLASS]]="DIESEL"),Table1[[#This Row],[ENGINE_CLASS]],"DISABLE")</f>
        <v>DIESEL</v>
      </c>
      <c r="BF248">
        <v>0</v>
      </c>
      <c r="BG248" t="s">
        <v>735</v>
      </c>
      <c r="BI248"/>
      <c r="BJ248">
        <v>79</v>
      </c>
      <c r="BK248">
        <v>0</v>
      </c>
      <c r="BL248" t="s">
        <v>693</v>
      </c>
      <c r="BM248" t="s">
        <v>695</v>
      </c>
      <c r="BN248" t="s">
        <v>702</v>
      </c>
      <c r="BO248" t="s">
        <v>706</v>
      </c>
      <c r="BP248" t="s">
        <v>707</v>
      </c>
      <c r="BQ248" t="s">
        <v>708</v>
      </c>
    </row>
    <row r="249" spans="1:69" x14ac:dyDescent="0.4">
      <c r="A249" s="2" t="s">
        <v>273</v>
      </c>
      <c r="B249" t="str">
        <f>_xlfn.TEXTAFTER(Table1[[#This Row],[VEHIDCODE]],"_")</f>
        <v>Ireland_CIE_001</v>
      </c>
      <c r="C249" t="s">
        <v>741</v>
      </c>
      <c r="D249" t="str">
        <f>"item_"&amp;Table1[[#This Row],[VEHIDCODE]]</f>
        <v>item_diesel_Ireland_CIE_001</v>
      </c>
      <c r="E249" t="str">
        <f>"str_"&amp;Table1[[#This Row],[VEHIDCODE]]</f>
        <v>str_diesel_Ireland_CIE_001</v>
      </c>
      <c r="F249">
        <v>7</v>
      </c>
      <c r="G249" t="s">
        <v>20</v>
      </c>
      <c r="H249">
        <v>0</v>
      </c>
      <c r="I249" t="s">
        <v>35</v>
      </c>
      <c r="J249">
        <v>0</v>
      </c>
      <c r="K249">
        <v>1955</v>
      </c>
      <c r="L249">
        <v>7</v>
      </c>
      <c r="M249" s="2" t="s">
        <v>20</v>
      </c>
      <c r="N249" t="b">
        <v>1</v>
      </c>
      <c r="P249" s="2"/>
      <c r="Q249">
        <v>45</v>
      </c>
      <c r="R249">
        <v>0</v>
      </c>
      <c r="S249">
        <v>1325</v>
      </c>
      <c r="T249" t="s">
        <v>712</v>
      </c>
      <c r="U249">
        <v>120</v>
      </c>
      <c r="V249" s="2">
        <v>0.33</v>
      </c>
      <c r="AE249" t="b">
        <v>1</v>
      </c>
      <c r="AZ249" s="2"/>
      <c r="BA249" s="7">
        <v>40</v>
      </c>
      <c r="BB249" t="s">
        <v>928</v>
      </c>
      <c r="BC249" t="s">
        <v>923</v>
      </c>
      <c r="BD249" t="s">
        <v>941</v>
      </c>
      <c r="BE249" t="str">
        <f>IF(OR(Table1[[#This Row],[ENGINE_CLASS]]="STEAM",Table1[[#This Row],[ENGINE_CLASS]]="ELECTRIC",Table1[[#This Row],[ENGINE_CLASS]]="DIESEL"),Table1[[#This Row],[ENGINE_CLASS]],"DISABLE")</f>
        <v>DIESEL</v>
      </c>
      <c r="BF249">
        <v>0</v>
      </c>
      <c r="BG249" t="s">
        <v>735</v>
      </c>
      <c r="BI249"/>
      <c r="BJ249">
        <v>84</v>
      </c>
      <c r="BK249">
        <v>0</v>
      </c>
      <c r="BL249" t="s">
        <v>693</v>
      </c>
      <c r="BM249" t="s">
        <v>695</v>
      </c>
      <c r="BN249" t="s">
        <v>702</v>
      </c>
      <c r="BO249" t="s">
        <v>706</v>
      </c>
      <c r="BP249" t="s">
        <v>707</v>
      </c>
      <c r="BQ249" t="s">
        <v>708</v>
      </c>
    </row>
    <row r="250" spans="1:69" x14ac:dyDescent="0.4">
      <c r="A250" s="2" t="s">
        <v>274</v>
      </c>
      <c r="B250" t="str">
        <f>_xlfn.TEXTAFTER(Table1[[#This Row],[VEHIDCODE]],"_")</f>
        <v>Italy_FS_D341</v>
      </c>
      <c r="C250" t="s">
        <v>741</v>
      </c>
      <c r="D250" t="str">
        <f>"item_"&amp;Table1[[#This Row],[VEHIDCODE]]</f>
        <v>item_diesel_Italy_FS_D341</v>
      </c>
      <c r="E250" t="str">
        <f>"str_"&amp;Table1[[#This Row],[VEHIDCODE]]</f>
        <v>str_diesel_Italy_FS_D341</v>
      </c>
      <c r="F250">
        <v>8</v>
      </c>
      <c r="G250" t="s">
        <v>20</v>
      </c>
      <c r="H250">
        <v>0</v>
      </c>
      <c r="I250" t="s">
        <v>35</v>
      </c>
      <c r="J250">
        <v>0</v>
      </c>
      <c r="K250">
        <v>1957</v>
      </c>
      <c r="L250">
        <v>8</v>
      </c>
      <c r="M250" s="2" t="s">
        <v>20</v>
      </c>
      <c r="N250" t="b">
        <v>1</v>
      </c>
      <c r="P250" s="2"/>
      <c r="Q250">
        <v>45</v>
      </c>
      <c r="R250">
        <v>1</v>
      </c>
      <c r="S250">
        <v>1380</v>
      </c>
      <c r="T250" t="s">
        <v>712</v>
      </c>
      <c r="U250">
        <v>110</v>
      </c>
      <c r="V250" s="2">
        <v>0.26</v>
      </c>
      <c r="AE250" t="b">
        <v>1</v>
      </c>
      <c r="AZ250" s="2"/>
      <c r="BA250" s="7">
        <v>40</v>
      </c>
      <c r="BB250" t="s">
        <v>925</v>
      </c>
      <c r="BC250" t="s">
        <v>923</v>
      </c>
      <c r="BD250" t="s">
        <v>941</v>
      </c>
      <c r="BE250" t="str">
        <f>IF(OR(Table1[[#This Row],[ENGINE_CLASS]]="STEAM",Table1[[#This Row],[ENGINE_CLASS]]="ELECTRIC",Table1[[#This Row],[ENGINE_CLASS]]="DIESEL"),Table1[[#This Row],[ENGINE_CLASS]],"DISABLE")</f>
        <v>DIESEL</v>
      </c>
      <c r="BF250">
        <v>0</v>
      </c>
      <c r="BG250" t="s">
        <v>735</v>
      </c>
      <c r="BI250"/>
      <c r="BJ250">
        <v>67</v>
      </c>
      <c r="BK250">
        <v>0</v>
      </c>
      <c r="BL250" t="s">
        <v>693</v>
      </c>
      <c r="BM250" t="s">
        <v>695</v>
      </c>
      <c r="BN250" t="s">
        <v>702</v>
      </c>
      <c r="BO250" t="s">
        <v>706</v>
      </c>
      <c r="BP250" t="s">
        <v>707</v>
      </c>
      <c r="BQ250" t="s">
        <v>708</v>
      </c>
    </row>
    <row r="251" spans="1:69" x14ac:dyDescent="0.4">
      <c r="A251" s="2" t="s">
        <v>275</v>
      </c>
      <c r="B251" t="str">
        <f>_xlfn.TEXTAFTER(Table1[[#This Row],[VEHIDCODE]],"_")</f>
        <v>Australia_NSWGR_44</v>
      </c>
      <c r="C251" t="s">
        <v>741</v>
      </c>
      <c r="D251" t="str">
        <f>"item_"&amp;Table1[[#This Row],[VEHIDCODE]]</f>
        <v>item_diesel_Australia_NSWGR_44</v>
      </c>
      <c r="E251" t="str">
        <f>"str_"&amp;Table1[[#This Row],[VEHIDCODE]]</f>
        <v>str_diesel_Australia_NSWGR_44</v>
      </c>
      <c r="F251">
        <v>8</v>
      </c>
      <c r="G251" t="s">
        <v>20</v>
      </c>
      <c r="H251">
        <v>0</v>
      </c>
      <c r="I251" t="s">
        <v>35</v>
      </c>
      <c r="J251">
        <v>0</v>
      </c>
      <c r="K251">
        <v>1957</v>
      </c>
      <c r="L251">
        <v>8</v>
      </c>
      <c r="M251" s="2" t="s">
        <v>20</v>
      </c>
      <c r="N251" t="b">
        <v>1</v>
      </c>
      <c r="P251" s="2"/>
      <c r="Q251">
        <v>45</v>
      </c>
      <c r="R251">
        <v>1</v>
      </c>
      <c r="S251">
        <v>1950</v>
      </c>
      <c r="T251" t="s">
        <v>712</v>
      </c>
      <c r="U251">
        <v>129</v>
      </c>
      <c r="V251" s="2">
        <v>0.19</v>
      </c>
      <c r="AE251" t="b">
        <v>1</v>
      </c>
      <c r="AZ251" s="2"/>
      <c r="BA251" s="7">
        <v>40</v>
      </c>
      <c r="BB251" t="s">
        <v>926</v>
      </c>
      <c r="BC251" t="s">
        <v>923</v>
      </c>
      <c r="BD251" t="s">
        <v>941</v>
      </c>
      <c r="BE251" t="str">
        <f>IF(OR(Table1[[#This Row],[ENGINE_CLASS]]="STEAM",Table1[[#This Row],[ENGINE_CLASS]]="ELECTRIC",Table1[[#This Row],[ENGINE_CLASS]]="DIESEL"),Table1[[#This Row],[ENGINE_CLASS]],"DISABLE")</f>
        <v>DIESEL</v>
      </c>
      <c r="BF251">
        <v>0</v>
      </c>
      <c r="BG251" t="s">
        <v>735</v>
      </c>
      <c r="BI251"/>
      <c r="BJ251">
        <v>112</v>
      </c>
      <c r="BK251">
        <v>0</v>
      </c>
      <c r="BL251" t="s">
        <v>693</v>
      </c>
      <c r="BM251" t="s">
        <v>695</v>
      </c>
      <c r="BN251" t="s">
        <v>702</v>
      </c>
      <c r="BO251" t="s">
        <v>706</v>
      </c>
      <c r="BP251" t="s">
        <v>707</v>
      </c>
      <c r="BQ251" t="s">
        <v>708</v>
      </c>
    </row>
    <row r="252" spans="1:69" x14ac:dyDescent="0.4">
      <c r="A252" s="2" t="s">
        <v>276</v>
      </c>
      <c r="B252" t="str">
        <f>_xlfn.TEXTAFTER(Table1[[#This Row],[VEHIDCODE]],"_")</f>
        <v>Zimbabwe_Zimbabwe_Railways_DH_1</v>
      </c>
      <c r="C252" t="s">
        <v>741</v>
      </c>
      <c r="D252" t="str">
        <f>"item_"&amp;Table1[[#This Row],[VEHIDCODE]]</f>
        <v>item_diesel_Zimbabwe_Zimbabwe_Railways_DH_1</v>
      </c>
      <c r="E252" t="str">
        <f>"str_"&amp;Table1[[#This Row],[VEHIDCODE]]</f>
        <v>str_diesel_Zimbabwe_Zimbabwe_Railways_DH_1</v>
      </c>
      <c r="F252">
        <v>8</v>
      </c>
      <c r="G252" t="s">
        <v>20</v>
      </c>
      <c r="H252">
        <v>0</v>
      </c>
      <c r="I252" t="s">
        <v>35</v>
      </c>
      <c r="J252">
        <v>0</v>
      </c>
      <c r="K252">
        <v>1959</v>
      </c>
      <c r="L252">
        <v>8</v>
      </c>
      <c r="M252" s="2" t="s">
        <v>20</v>
      </c>
      <c r="N252" t="b">
        <v>1</v>
      </c>
      <c r="P252" s="2"/>
      <c r="Q252">
        <v>45</v>
      </c>
      <c r="R252">
        <v>1</v>
      </c>
      <c r="S252">
        <v>1316</v>
      </c>
      <c r="T252" t="s">
        <v>712</v>
      </c>
      <c r="U252">
        <v>89</v>
      </c>
      <c r="V252" s="2">
        <v>0.26</v>
      </c>
      <c r="AE252" t="b">
        <v>1</v>
      </c>
      <c r="AZ252" s="2"/>
      <c r="BA252" s="7">
        <v>40</v>
      </c>
      <c r="BB252" t="s">
        <v>927</v>
      </c>
      <c r="BC252" t="s">
        <v>923</v>
      </c>
      <c r="BD252" t="s">
        <v>941</v>
      </c>
      <c r="BE252" t="str">
        <f>IF(OR(Table1[[#This Row],[ENGINE_CLASS]]="STEAM",Table1[[#This Row],[ENGINE_CLASS]]="ELECTRIC",Table1[[#This Row],[ENGINE_CLASS]]="DIESEL"),Table1[[#This Row],[ENGINE_CLASS]],"DISABLE")</f>
        <v>DIESEL</v>
      </c>
      <c r="BF252">
        <v>0</v>
      </c>
      <c r="BG252" t="s">
        <v>735</v>
      </c>
      <c r="BI252"/>
      <c r="BJ252">
        <v>76</v>
      </c>
      <c r="BK252">
        <v>0</v>
      </c>
      <c r="BL252" t="s">
        <v>693</v>
      </c>
      <c r="BM252" t="s">
        <v>695</v>
      </c>
      <c r="BN252" t="s">
        <v>702</v>
      </c>
      <c r="BO252" t="s">
        <v>706</v>
      </c>
      <c r="BP252" t="s">
        <v>707</v>
      </c>
      <c r="BQ252" t="s">
        <v>708</v>
      </c>
    </row>
    <row r="253" spans="1:69" x14ac:dyDescent="0.4">
      <c r="A253" s="2" t="s">
        <v>277</v>
      </c>
      <c r="B253" t="str">
        <f>_xlfn.TEXTAFTER(Table1[[#This Row],[VEHIDCODE]],"_")</f>
        <v>South_Korea_Korail_6000_EMD_SD18</v>
      </c>
      <c r="C253" t="s">
        <v>741</v>
      </c>
      <c r="D253" t="str">
        <f>"item_"&amp;Table1[[#This Row],[VEHIDCODE]]</f>
        <v>item_diesel_South_Korea_Korail_6000_EMD_SD18</v>
      </c>
      <c r="E253" t="str">
        <f>"str_"&amp;Table1[[#This Row],[VEHIDCODE]]</f>
        <v>str_diesel_South_Korea_Korail_6000_EMD_SD18</v>
      </c>
      <c r="F253">
        <v>8</v>
      </c>
      <c r="G253" t="s">
        <v>20</v>
      </c>
      <c r="H253">
        <v>0</v>
      </c>
      <c r="I253" t="s">
        <v>35</v>
      </c>
      <c r="J253">
        <v>0</v>
      </c>
      <c r="K253">
        <v>1960</v>
      </c>
      <c r="L253">
        <v>8</v>
      </c>
      <c r="M253" s="2" t="s">
        <v>20</v>
      </c>
      <c r="N253" t="b">
        <v>1</v>
      </c>
      <c r="P253" s="2"/>
      <c r="Q253">
        <v>45</v>
      </c>
      <c r="R253">
        <v>1</v>
      </c>
      <c r="S253">
        <v>1800</v>
      </c>
      <c r="T253" t="s">
        <v>712</v>
      </c>
      <c r="U253">
        <v>104</v>
      </c>
      <c r="V253" s="2">
        <v>0.09</v>
      </c>
      <c r="AE253" t="b">
        <v>1</v>
      </c>
      <c r="AZ253" s="2"/>
      <c r="BA253" s="7">
        <v>40</v>
      </c>
      <c r="BB253" t="s">
        <v>932</v>
      </c>
      <c r="BC253" t="s">
        <v>923</v>
      </c>
      <c r="BD253" t="s">
        <v>941</v>
      </c>
      <c r="BE253" t="str">
        <f>IF(OR(Table1[[#This Row],[ENGINE_CLASS]]="STEAM",Table1[[#This Row],[ENGINE_CLASS]]="ELECTRIC",Table1[[#This Row],[ENGINE_CLASS]]="DIESEL"),Table1[[#This Row],[ENGINE_CLASS]],"DISABLE")</f>
        <v>DIESEL</v>
      </c>
      <c r="BF253">
        <v>0</v>
      </c>
      <c r="BG253" t="s">
        <v>735</v>
      </c>
      <c r="BI253"/>
      <c r="BJ253">
        <v>163</v>
      </c>
      <c r="BK253">
        <v>0</v>
      </c>
      <c r="BL253" t="s">
        <v>693</v>
      </c>
      <c r="BM253" t="s">
        <v>695</v>
      </c>
      <c r="BN253" t="s">
        <v>702</v>
      </c>
      <c r="BO253" t="s">
        <v>706</v>
      </c>
      <c r="BP253" t="s">
        <v>707</v>
      </c>
      <c r="BQ253" t="s">
        <v>708</v>
      </c>
    </row>
    <row r="254" spans="1:69" x14ac:dyDescent="0.4">
      <c r="A254" s="2" t="s">
        <v>278</v>
      </c>
      <c r="B254" t="str">
        <f>_xlfn.TEXTAFTER(Table1[[#This Row],[VEHIDCODE]],"_")</f>
        <v>Italy_FS_D345</v>
      </c>
      <c r="C254" t="s">
        <v>741</v>
      </c>
      <c r="D254" t="str">
        <f>"item_"&amp;Table1[[#This Row],[VEHIDCODE]]</f>
        <v>item_diesel_Italy_FS_D345</v>
      </c>
      <c r="E254" t="str">
        <f>"str_"&amp;Table1[[#This Row],[VEHIDCODE]]</f>
        <v>str_diesel_Italy_FS_D345</v>
      </c>
      <c r="F254">
        <v>8</v>
      </c>
      <c r="G254" t="s">
        <v>20</v>
      </c>
      <c r="H254">
        <v>0</v>
      </c>
      <c r="I254" t="s">
        <v>35</v>
      </c>
      <c r="J254">
        <v>0</v>
      </c>
      <c r="K254">
        <v>1971</v>
      </c>
      <c r="L254">
        <v>8</v>
      </c>
      <c r="M254" s="2" t="s">
        <v>20</v>
      </c>
      <c r="N254" t="b">
        <v>1</v>
      </c>
      <c r="P254" s="2"/>
      <c r="Q254">
        <v>45</v>
      </c>
      <c r="R254">
        <v>1</v>
      </c>
      <c r="S254">
        <v>1010</v>
      </c>
      <c r="T254" t="s">
        <v>712</v>
      </c>
      <c r="U254">
        <v>130</v>
      </c>
      <c r="V254" s="2">
        <v>0.3</v>
      </c>
      <c r="AE254" t="b">
        <v>1</v>
      </c>
      <c r="AZ254" s="2"/>
      <c r="BA254" s="7">
        <v>40</v>
      </c>
      <c r="BB254" t="s">
        <v>925</v>
      </c>
      <c r="BC254" t="s">
        <v>923</v>
      </c>
      <c r="BD254" t="s">
        <v>941</v>
      </c>
      <c r="BE254" t="str">
        <f>IF(OR(Table1[[#This Row],[ENGINE_CLASS]]="STEAM",Table1[[#This Row],[ENGINE_CLASS]]="ELECTRIC",Table1[[#This Row],[ENGINE_CLASS]]="DIESEL"),Table1[[#This Row],[ENGINE_CLASS]],"DISABLE")</f>
        <v>DIESEL</v>
      </c>
      <c r="BF254">
        <v>0</v>
      </c>
      <c r="BG254" t="s">
        <v>735</v>
      </c>
      <c r="BI254"/>
      <c r="BJ254">
        <v>62</v>
      </c>
      <c r="BK254">
        <v>0</v>
      </c>
      <c r="BL254" t="s">
        <v>693</v>
      </c>
      <c r="BM254" t="s">
        <v>695</v>
      </c>
      <c r="BN254" t="s">
        <v>702</v>
      </c>
      <c r="BO254" t="s">
        <v>706</v>
      </c>
      <c r="BP254" t="s">
        <v>707</v>
      </c>
      <c r="BQ254" t="s">
        <v>708</v>
      </c>
    </row>
    <row r="255" spans="1:69" x14ac:dyDescent="0.4">
      <c r="A255" s="2" t="s">
        <v>279</v>
      </c>
      <c r="B255" t="str">
        <f>_xlfn.TEXTAFTER(Table1[[#This Row],[VEHIDCODE]],"_")</f>
        <v>Norway_NSB_Di4</v>
      </c>
      <c r="C255" t="s">
        <v>741</v>
      </c>
      <c r="D255" t="str">
        <f>"item_"&amp;Table1[[#This Row],[VEHIDCODE]]</f>
        <v>item_diesel_Norway_NSB_Di4</v>
      </c>
      <c r="E255" t="str">
        <f>"str_"&amp;Table1[[#This Row],[VEHIDCODE]]</f>
        <v>str_diesel_Norway_NSB_Di4</v>
      </c>
      <c r="F255">
        <v>8</v>
      </c>
      <c r="G255" t="s">
        <v>20</v>
      </c>
      <c r="H255">
        <v>0</v>
      </c>
      <c r="I255" t="s">
        <v>35</v>
      </c>
      <c r="J255">
        <v>0</v>
      </c>
      <c r="K255">
        <v>1980</v>
      </c>
      <c r="L255">
        <v>8</v>
      </c>
      <c r="M255" s="2" t="s">
        <v>20</v>
      </c>
      <c r="N255" t="b">
        <v>1</v>
      </c>
      <c r="P255" s="2"/>
      <c r="Q255">
        <v>45</v>
      </c>
      <c r="R255">
        <v>1</v>
      </c>
      <c r="S255">
        <v>3290</v>
      </c>
      <c r="T255" t="s">
        <v>712</v>
      </c>
      <c r="U255">
        <v>140</v>
      </c>
      <c r="V255" s="2">
        <v>0.32</v>
      </c>
      <c r="AE255" t="b">
        <v>1</v>
      </c>
      <c r="AZ255" s="2"/>
      <c r="BA255" s="7">
        <v>40</v>
      </c>
      <c r="BB255" t="s">
        <v>928</v>
      </c>
      <c r="BC255" t="s">
        <v>923</v>
      </c>
      <c r="BD255" t="s">
        <v>941</v>
      </c>
      <c r="BE255" t="str">
        <f>IF(OR(Table1[[#This Row],[ENGINE_CLASS]]="STEAM",Table1[[#This Row],[ENGINE_CLASS]]="ELECTRIC",Table1[[#This Row],[ENGINE_CLASS]]="DIESEL"),Table1[[#This Row],[ENGINE_CLASS]],"DISABLE")</f>
        <v>DIESEL</v>
      </c>
      <c r="BF255">
        <v>0</v>
      </c>
      <c r="BG255" t="s">
        <v>735</v>
      </c>
      <c r="BI255"/>
      <c r="BJ255">
        <v>114</v>
      </c>
      <c r="BK255">
        <v>0</v>
      </c>
      <c r="BL255" t="s">
        <v>693</v>
      </c>
      <c r="BM255" t="s">
        <v>695</v>
      </c>
      <c r="BN255" t="s">
        <v>702</v>
      </c>
      <c r="BO255" t="s">
        <v>706</v>
      </c>
      <c r="BP255" t="s">
        <v>707</v>
      </c>
      <c r="BQ255" t="s">
        <v>708</v>
      </c>
    </row>
    <row r="256" spans="1:69" x14ac:dyDescent="0.4">
      <c r="A256" s="2" t="s">
        <v>280</v>
      </c>
      <c r="B256" t="str">
        <f>_xlfn.TEXTAFTER(Table1[[#This Row],[VEHIDCODE]],"_")</f>
        <v>China_China_Railways_DF8</v>
      </c>
      <c r="C256" t="s">
        <v>741</v>
      </c>
      <c r="D256" t="str">
        <f>"item_"&amp;Table1[[#This Row],[VEHIDCODE]]</f>
        <v>item_diesel_China_China_Railways_DF8</v>
      </c>
      <c r="E256" t="str">
        <f>"str_"&amp;Table1[[#This Row],[VEHIDCODE]]</f>
        <v>str_diesel_China_China_Railways_DF8</v>
      </c>
      <c r="F256">
        <v>8</v>
      </c>
      <c r="G256" t="s">
        <v>20</v>
      </c>
      <c r="H256">
        <v>0</v>
      </c>
      <c r="I256" t="s">
        <v>35</v>
      </c>
      <c r="J256">
        <v>0</v>
      </c>
      <c r="K256">
        <v>1984</v>
      </c>
      <c r="L256">
        <v>8</v>
      </c>
      <c r="M256" s="2" t="s">
        <v>20</v>
      </c>
      <c r="N256" t="b">
        <v>1</v>
      </c>
      <c r="P256" s="2"/>
      <c r="Q256">
        <v>45</v>
      </c>
      <c r="R256">
        <v>1</v>
      </c>
      <c r="S256">
        <v>4930</v>
      </c>
      <c r="T256" t="s">
        <v>712</v>
      </c>
      <c r="U256">
        <v>100</v>
      </c>
      <c r="V256" s="2">
        <v>0.35</v>
      </c>
      <c r="AE256" t="b">
        <v>1</v>
      </c>
      <c r="AZ256" s="2"/>
      <c r="BA256" s="7">
        <v>40</v>
      </c>
      <c r="BB256" t="s">
        <v>932</v>
      </c>
      <c r="BC256" t="s">
        <v>923</v>
      </c>
      <c r="BD256" t="s">
        <v>941</v>
      </c>
      <c r="BE256" t="str">
        <f>IF(OR(Table1[[#This Row],[ENGINE_CLASS]]="STEAM",Table1[[#This Row],[ENGINE_CLASS]]="ELECTRIC",Table1[[#This Row],[ENGINE_CLASS]]="DIESEL"),Table1[[#This Row],[ENGINE_CLASS]],"DISABLE")</f>
        <v>DIESEL</v>
      </c>
      <c r="BF256">
        <v>0</v>
      </c>
      <c r="BG256" t="s">
        <v>735</v>
      </c>
      <c r="BI256"/>
      <c r="BJ256">
        <v>138</v>
      </c>
      <c r="BK256">
        <v>0</v>
      </c>
      <c r="BL256" t="s">
        <v>693</v>
      </c>
      <c r="BM256" t="s">
        <v>695</v>
      </c>
      <c r="BN256" t="s">
        <v>702</v>
      </c>
      <c r="BO256" t="s">
        <v>706</v>
      </c>
      <c r="BP256" t="s">
        <v>707</v>
      </c>
      <c r="BQ256" t="s">
        <v>708</v>
      </c>
    </row>
    <row r="257" spans="1:69" x14ac:dyDescent="0.4">
      <c r="A257" s="2" t="s">
        <v>281</v>
      </c>
      <c r="B257" t="str">
        <f>_xlfn.TEXTAFTER(Table1[[#This Row],[VEHIDCODE]],"_")</f>
        <v>Australia_Pacific_National_G_Class</v>
      </c>
      <c r="C257" t="s">
        <v>741</v>
      </c>
      <c r="D257" t="str">
        <f>"item_"&amp;Table1[[#This Row],[VEHIDCODE]]</f>
        <v>item_diesel_Australia_Pacific_National_G_Class</v>
      </c>
      <c r="E257" t="str">
        <f>"str_"&amp;Table1[[#This Row],[VEHIDCODE]]</f>
        <v>str_diesel_Australia_Pacific_National_G_Class</v>
      </c>
      <c r="F257">
        <v>8</v>
      </c>
      <c r="G257" t="s">
        <v>20</v>
      </c>
      <c r="H257">
        <v>0</v>
      </c>
      <c r="I257" t="s">
        <v>35</v>
      </c>
      <c r="J257">
        <v>0</v>
      </c>
      <c r="K257">
        <v>1984</v>
      </c>
      <c r="L257">
        <v>8</v>
      </c>
      <c r="M257" s="2" t="s">
        <v>20</v>
      </c>
      <c r="N257" t="b">
        <v>1</v>
      </c>
      <c r="P257" s="2"/>
      <c r="Q257">
        <v>45</v>
      </c>
      <c r="R257">
        <v>1</v>
      </c>
      <c r="S257">
        <v>3790</v>
      </c>
      <c r="T257" t="s">
        <v>712</v>
      </c>
      <c r="U257">
        <v>114</v>
      </c>
      <c r="V257" s="2">
        <v>0.27</v>
      </c>
      <c r="AE257" t="b">
        <v>1</v>
      </c>
      <c r="AZ257" s="2"/>
      <c r="BA257" s="7">
        <v>40</v>
      </c>
      <c r="BB257" t="s">
        <v>926</v>
      </c>
      <c r="BC257" t="s">
        <v>923</v>
      </c>
      <c r="BD257" t="s">
        <v>941</v>
      </c>
      <c r="BE257" t="str">
        <f>IF(OR(Table1[[#This Row],[ENGINE_CLASS]]="STEAM",Table1[[#This Row],[ENGINE_CLASS]]="ELECTRIC",Table1[[#This Row],[ENGINE_CLASS]]="DIESEL"),Table1[[#This Row],[ENGINE_CLASS]],"DISABLE")</f>
        <v>DIESEL</v>
      </c>
      <c r="BF257">
        <v>0</v>
      </c>
      <c r="BG257" t="s">
        <v>735</v>
      </c>
      <c r="BI257"/>
      <c r="BJ257">
        <v>127</v>
      </c>
      <c r="BK257">
        <v>0</v>
      </c>
      <c r="BL257" t="s">
        <v>693</v>
      </c>
      <c r="BM257" t="s">
        <v>695</v>
      </c>
      <c r="BN257" t="s">
        <v>702</v>
      </c>
      <c r="BO257" t="s">
        <v>706</v>
      </c>
      <c r="BP257" t="s">
        <v>707</v>
      </c>
      <c r="BQ257" t="s">
        <v>708</v>
      </c>
    </row>
    <row r="258" spans="1:69" x14ac:dyDescent="0.4">
      <c r="A258" s="2" t="s">
        <v>282</v>
      </c>
      <c r="B258" t="str">
        <f>_xlfn.TEXTAFTER(Table1[[#This Row],[VEHIDCODE]],"_")</f>
        <v>UK_BR_60</v>
      </c>
      <c r="C258" t="s">
        <v>741</v>
      </c>
      <c r="D258" t="str">
        <f>"item_"&amp;Table1[[#This Row],[VEHIDCODE]]</f>
        <v>item_diesel_UK_BR_60</v>
      </c>
      <c r="E258" t="str">
        <f>"str_"&amp;Table1[[#This Row],[VEHIDCODE]]</f>
        <v>str_diesel_UK_BR_60</v>
      </c>
      <c r="F258">
        <v>8</v>
      </c>
      <c r="G258" t="s">
        <v>20</v>
      </c>
      <c r="H258">
        <v>0</v>
      </c>
      <c r="I258" t="s">
        <v>35</v>
      </c>
      <c r="J258">
        <v>0</v>
      </c>
      <c r="K258">
        <v>1989</v>
      </c>
      <c r="L258">
        <v>8</v>
      </c>
      <c r="M258" s="2" t="s">
        <v>20</v>
      </c>
      <c r="N258" t="b">
        <v>1</v>
      </c>
      <c r="P258" s="2"/>
      <c r="Q258">
        <v>45</v>
      </c>
      <c r="R258">
        <v>0</v>
      </c>
      <c r="S258">
        <v>3100</v>
      </c>
      <c r="T258" t="s">
        <v>712</v>
      </c>
      <c r="U258">
        <v>97</v>
      </c>
      <c r="V258" s="2">
        <v>0.36</v>
      </c>
      <c r="AE258" t="b">
        <v>1</v>
      </c>
      <c r="AZ258" s="2"/>
      <c r="BA258" s="7">
        <v>40</v>
      </c>
      <c r="BB258" t="s">
        <v>928</v>
      </c>
      <c r="BC258" t="s">
        <v>923</v>
      </c>
      <c r="BD258" t="s">
        <v>941</v>
      </c>
      <c r="BE258" t="str">
        <f>IF(OR(Table1[[#This Row],[ENGINE_CLASS]]="STEAM",Table1[[#This Row],[ENGINE_CLASS]]="ELECTRIC",Table1[[#This Row],[ENGINE_CLASS]]="DIESEL"),Table1[[#This Row],[ENGINE_CLASS]],"DISABLE")</f>
        <v>DIESEL</v>
      </c>
      <c r="BF258">
        <v>0</v>
      </c>
      <c r="BG258" t="s">
        <v>735</v>
      </c>
      <c r="BI258"/>
      <c r="BJ258">
        <v>130</v>
      </c>
      <c r="BK258">
        <v>0</v>
      </c>
      <c r="BL258" t="s">
        <v>693</v>
      </c>
      <c r="BM258" t="s">
        <v>695</v>
      </c>
      <c r="BN258" t="s">
        <v>702</v>
      </c>
      <c r="BO258" t="s">
        <v>706</v>
      </c>
      <c r="BP258" t="s">
        <v>707</v>
      </c>
      <c r="BQ258" t="s">
        <v>708</v>
      </c>
    </row>
    <row r="259" spans="1:69" x14ac:dyDescent="0.4">
      <c r="A259" s="2" t="s">
        <v>283</v>
      </c>
      <c r="B259" t="str">
        <f>_xlfn.TEXTAFTER(Table1[[#This Row],[VEHIDCODE]],"_")</f>
        <v>Australia_Westrail_P_Class</v>
      </c>
      <c r="C259" t="s">
        <v>741</v>
      </c>
      <c r="D259" t="str">
        <f>"item_"&amp;Table1[[#This Row],[VEHIDCODE]]</f>
        <v>item_diesel_Australia_Westrail_P_Class</v>
      </c>
      <c r="E259" t="str">
        <f>"str_"&amp;Table1[[#This Row],[VEHIDCODE]]</f>
        <v>str_diesel_Australia_Westrail_P_Class</v>
      </c>
      <c r="F259">
        <v>7</v>
      </c>
      <c r="G259" t="s">
        <v>20</v>
      </c>
      <c r="H259">
        <v>0</v>
      </c>
      <c r="I259" t="s">
        <v>35</v>
      </c>
      <c r="J259">
        <v>0</v>
      </c>
      <c r="K259">
        <v>1989</v>
      </c>
      <c r="L259">
        <v>7</v>
      </c>
      <c r="M259" s="2" t="s">
        <v>20</v>
      </c>
      <c r="N259" t="b">
        <v>1</v>
      </c>
      <c r="P259" s="2"/>
      <c r="Q259">
        <v>45</v>
      </c>
      <c r="R259">
        <v>1</v>
      </c>
      <c r="S259">
        <v>2450</v>
      </c>
      <c r="T259" t="s">
        <v>712</v>
      </c>
      <c r="U259">
        <v>90</v>
      </c>
      <c r="V259" s="2">
        <v>0.38</v>
      </c>
      <c r="AE259" t="b">
        <v>1</v>
      </c>
      <c r="AZ259" s="2"/>
      <c r="BA259" s="7">
        <v>40</v>
      </c>
      <c r="BB259" t="s">
        <v>926</v>
      </c>
      <c r="BC259" t="s">
        <v>923</v>
      </c>
      <c r="BD259" t="s">
        <v>941</v>
      </c>
      <c r="BE259" t="str">
        <f>IF(OR(Table1[[#This Row],[ENGINE_CLASS]]="STEAM",Table1[[#This Row],[ENGINE_CLASS]]="ELECTRIC",Table1[[#This Row],[ENGINE_CLASS]]="DIESEL"),Table1[[#This Row],[ENGINE_CLASS]],"DISABLE")</f>
        <v>DIESEL</v>
      </c>
      <c r="BF259">
        <v>0</v>
      </c>
      <c r="BG259" t="s">
        <v>735</v>
      </c>
      <c r="BI259"/>
      <c r="BJ259">
        <v>99</v>
      </c>
      <c r="BK259">
        <v>0</v>
      </c>
      <c r="BL259" t="s">
        <v>693</v>
      </c>
      <c r="BM259" t="s">
        <v>695</v>
      </c>
      <c r="BN259" t="s">
        <v>702</v>
      </c>
      <c r="BO259" t="s">
        <v>706</v>
      </c>
      <c r="BP259" t="s">
        <v>707</v>
      </c>
      <c r="BQ259" t="s">
        <v>708</v>
      </c>
    </row>
    <row r="260" spans="1:69" x14ac:dyDescent="0.4">
      <c r="A260" s="2" t="s">
        <v>284</v>
      </c>
      <c r="B260" t="str">
        <f>_xlfn.TEXTAFTER(Table1[[#This Row],[VEHIDCODE]],"_")</f>
        <v>Saudi_Arabia_Saudi_Railways_4000_EMD_SD70ACS</v>
      </c>
      <c r="C260" t="s">
        <v>741</v>
      </c>
      <c r="D260" t="str">
        <f>"item_"&amp;Table1[[#This Row],[VEHIDCODE]]</f>
        <v>item_diesel_Saudi_Arabia_Saudi_Railways_4000_EMD_SD70ACS</v>
      </c>
      <c r="E260" t="str">
        <f>"str_"&amp;Table1[[#This Row],[VEHIDCODE]]</f>
        <v>str_diesel_Saudi_Arabia_Saudi_Railways_4000_EMD_SD70ACS</v>
      </c>
      <c r="F260">
        <v>8</v>
      </c>
      <c r="G260" t="s">
        <v>20</v>
      </c>
      <c r="H260">
        <v>0</v>
      </c>
      <c r="I260" t="s">
        <v>35</v>
      </c>
      <c r="J260">
        <v>0</v>
      </c>
      <c r="K260">
        <v>1992</v>
      </c>
      <c r="L260">
        <v>8</v>
      </c>
      <c r="M260" s="2" t="s">
        <v>20</v>
      </c>
      <c r="N260" t="b">
        <v>1</v>
      </c>
      <c r="P260" s="2"/>
      <c r="Q260">
        <v>45</v>
      </c>
      <c r="R260">
        <v>1</v>
      </c>
      <c r="S260">
        <v>4500</v>
      </c>
      <c r="T260" t="s">
        <v>712</v>
      </c>
      <c r="U260">
        <v>110</v>
      </c>
      <c r="V260" s="2">
        <v>0.5</v>
      </c>
      <c r="AE260" t="b">
        <v>1</v>
      </c>
      <c r="AZ260" s="2"/>
      <c r="BA260" s="7">
        <v>40</v>
      </c>
      <c r="BB260" t="s">
        <v>932</v>
      </c>
      <c r="BC260" t="s">
        <v>923</v>
      </c>
      <c r="BD260" t="s">
        <v>941</v>
      </c>
      <c r="BE260" t="str">
        <f>IF(OR(Table1[[#This Row],[ENGINE_CLASS]]="STEAM",Table1[[#This Row],[ENGINE_CLASS]]="ELECTRIC",Table1[[#This Row],[ENGINE_CLASS]]="DIESEL"),Table1[[#This Row],[ENGINE_CLASS]],"DISABLE")</f>
        <v>DIESEL</v>
      </c>
      <c r="BF260">
        <v>0</v>
      </c>
      <c r="BG260" t="s">
        <v>735</v>
      </c>
      <c r="BI260"/>
      <c r="BJ260">
        <v>170</v>
      </c>
      <c r="BK260">
        <v>0</v>
      </c>
      <c r="BL260" t="s">
        <v>693</v>
      </c>
      <c r="BM260" t="s">
        <v>695</v>
      </c>
      <c r="BN260" t="s">
        <v>702</v>
      </c>
      <c r="BO260" t="s">
        <v>706</v>
      </c>
      <c r="BP260" t="s">
        <v>707</v>
      </c>
      <c r="BQ260" t="s">
        <v>708</v>
      </c>
    </row>
    <row r="261" spans="1:69" x14ac:dyDescent="0.4">
      <c r="A261" s="2" t="s">
        <v>285</v>
      </c>
      <c r="B261" t="str">
        <f>_xlfn.TEXTAFTER(Table1[[#This Row],[VEHIDCODE]],"_")</f>
        <v>Ireland_IE_201</v>
      </c>
      <c r="C261" t="s">
        <v>741</v>
      </c>
      <c r="D261" t="str">
        <f>"item_"&amp;Table1[[#This Row],[VEHIDCODE]]</f>
        <v>item_diesel_Ireland_IE_201</v>
      </c>
      <c r="E261" t="str">
        <f>"str_"&amp;Table1[[#This Row],[VEHIDCODE]]</f>
        <v>str_diesel_Ireland_IE_201</v>
      </c>
      <c r="F261">
        <v>8</v>
      </c>
      <c r="G261" t="s">
        <v>20</v>
      </c>
      <c r="H261">
        <v>0</v>
      </c>
      <c r="I261" t="s">
        <v>35</v>
      </c>
      <c r="J261">
        <v>0</v>
      </c>
      <c r="K261">
        <v>1994</v>
      </c>
      <c r="L261">
        <v>8</v>
      </c>
      <c r="M261" s="2" t="s">
        <v>20</v>
      </c>
      <c r="N261" t="b">
        <v>1</v>
      </c>
      <c r="P261" s="2"/>
      <c r="Q261">
        <v>45</v>
      </c>
      <c r="R261">
        <v>1</v>
      </c>
      <c r="S261">
        <v>3200</v>
      </c>
      <c r="T261" t="s">
        <v>712</v>
      </c>
      <c r="U261">
        <v>164</v>
      </c>
      <c r="V261" s="2">
        <v>0.17</v>
      </c>
      <c r="AE261" t="b">
        <v>1</v>
      </c>
      <c r="AZ261" s="2"/>
      <c r="BA261" s="7">
        <v>40</v>
      </c>
      <c r="BB261" t="s">
        <v>928</v>
      </c>
      <c r="BC261" t="s">
        <v>923</v>
      </c>
      <c r="BD261" t="s">
        <v>941</v>
      </c>
      <c r="BE261" t="str">
        <f>IF(OR(Table1[[#This Row],[ENGINE_CLASS]]="STEAM",Table1[[#This Row],[ENGINE_CLASS]]="ELECTRIC",Table1[[#This Row],[ENGINE_CLASS]]="DIESEL"),Table1[[#This Row],[ENGINE_CLASS]],"DISABLE")</f>
        <v>DIESEL</v>
      </c>
      <c r="BF261">
        <v>0</v>
      </c>
      <c r="BG261" t="s">
        <v>735</v>
      </c>
      <c r="BI261"/>
      <c r="BJ261">
        <v>112</v>
      </c>
      <c r="BK261">
        <v>0</v>
      </c>
      <c r="BL261" t="s">
        <v>693</v>
      </c>
      <c r="BM261" t="s">
        <v>695</v>
      </c>
      <c r="BN261" t="s">
        <v>702</v>
      </c>
      <c r="BO261" t="s">
        <v>706</v>
      </c>
      <c r="BP261" t="s">
        <v>707</v>
      </c>
      <c r="BQ261" t="s">
        <v>708</v>
      </c>
    </row>
    <row r="262" spans="1:69" x14ac:dyDescent="0.4">
      <c r="A262" s="2" t="s">
        <v>286</v>
      </c>
      <c r="B262" t="str">
        <f>_xlfn.TEXTAFTER(Table1[[#This Row],[VEHIDCODE]],"_")</f>
        <v>USA_Metrolink_EMD_F59PH</v>
      </c>
      <c r="C262" t="s">
        <v>741</v>
      </c>
      <c r="D262" t="str">
        <f>"item_"&amp;Table1[[#This Row],[VEHIDCODE]]</f>
        <v>item_diesel_USA_Metrolink_EMD_F59PH</v>
      </c>
      <c r="E262" t="str">
        <f>"str_"&amp;Table1[[#This Row],[VEHIDCODE]]</f>
        <v>str_diesel_USA_Metrolink_EMD_F59PH</v>
      </c>
      <c r="F262">
        <v>8</v>
      </c>
      <c r="G262" t="s">
        <v>20</v>
      </c>
      <c r="H262">
        <v>0</v>
      </c>
      <c r="I262" t="s">
        <v>35</v>
      </c>
      <c r="J262">
        <v>0</v>
      </c>
      <c r="K262">
        <v>1988</v>
      </c>
      <c r="L262">
        <v>8</v>
      </c>
      <c r="M262" s="2" t="s">
        <v>20</v>
      </c>
      <c r="N262" t="b">
        <v>1</v>
      </c>
      <c r="P262" s="2"/>
      <c r="Q262">
        <v>45</v>
      </c>
      <c r="R262">
        <v>1</v>
      </c>
      <c r="S262">
        <v>3200</v>
      </c>
      <c r="T262" t="s">
        <v>712</v>
      </c>
      <c r="U262">
        <v>177</v>
      </c>
      <c r="V262" s="2">
        <v>0.22</v>
      </c>
      <c r="AE262" t="b">
        <v>1</v>
      </c>
      <c r="AZ262" s="2"/>
      <c r="BA262" s="7">
        <v>40</v>
      </c>
      <c r="BB262" t="s">
        <v>929</v>
      </c>
      <c r="BC262" t="s">
        <v>923</v>
      </c>
      <c r="BD262" t="s">
        <v>941</v>
      </c>
      <c r="BE262" t="str">
        <f>IF(OR(Table1[[#This Row],[ENGINE_CLASS]]="STEAM",Table1[[#This Row],[ENGINE_CLASS]]="ELECTRIC",Table1[[#This Row],[ENGINE_CLASS]]="DIESEL"),Table1[[#This Row],[ENGINE_CLASS]],"DISABLE")</f>
        <v>DIESEL</v>
      </c>
      <c r="BF262">
        <v>0</v>
      </c>
      <c r="BG262" t="s">
        <v>735</v>
      </c>
      <c r="BI262"/>
      <c r="BJ262">
        <v>130</v>
      </c>
      <c r="BK262">
        <v>0</v>
      </c>
      <c r="BL262" t="s">
        <v>693</v>
      </c>
      <c r="BM262" t="s">
        <v>695</v>
      </c>
      <c r="BN262" t="s">
        <v>702</v>
      </c>
      <c r="BO262" t="s">
        <v>706</v>
      </c>
      <c r="BP262" t="s">
        <v>707</v>
      </c>
      <c r="BQ262" t="s">
        <v>708</v>
      </c>
    </row>
    <row r="263" spans="1:69" x14ac:dyDescent="0.4">
      <c r="A263" s="2" t="s">
        <v>287</v>
      </c>
      <c r="B263" t="str">
        <f>_xlfn.TEXTAFTER(Table1[[#This Row],[VEHIDCODE]],"_")</f>
        <v>France_SNCF_461000</v>
      </c>
      <c r="C263" t="s">
        <v>741</v>
      </c>
      <c r="D263" t="str">
        <f>"item_"&amp;Table1[[#This Row],[VEHIDCODE]]</f>
        <v>item_diesel_France_SNCF_461000</v>
      </c>
      <c r="E263" t="str">
        <f>"str_"&amp;Table1[[#This Row],[VEHIDCODE]]</f>
        <v>str_diesel_France_SNCF_461000</v>
      </c>
      <c r="F263">
        <v>7</v>
      </c>
      <c r="G263" t="s">
        <v>20</v>
      </c>
      <c r="H263">
        <v>0</v>
      </c>
      <c r="I263" t="s">
        <v>35</v>
      </c>
      <c r="J263">
        <v>0</v>
      </c>
      <c r="K263">
        <v>2002</v>
      </c>
      <c r="L263">
        <v>7</v>
      </c>
      <c r="M263" s="2" t="s">
        <v>20</v>
      </c>
      <c r="N263" t="b">
        <v>1</v>
      </c>
      <c r="P263" s="2"/>
      <c r="Q263" t="s">
        <v>21</v>
      </c>
      <c r="R263">
        <v>1</v>
      </c>
      <c r="S263">
        <v>2010</v>
      </c>
      <c r="T263" t="s">
        <v>712</v>
      </c>
      <c r="U263">
        <v>50</v>
      </c>
      <c r="V263" s="2">
        <v>0.33</v>
      </c>
      <c r="AE263" t="b">
        <v>1</v>
      </c>
      <c r="AZ263" s="2"/>
      <c r="BA263" s="7">
        <v>40</v>
      </c>
      <c r="BB263" t="s">
        <v>924</v>
      </c>
      <c r="BC263" t="s">
        <v>923</v>
      </c>
      <c r="BD263" t="s">
        <v>941</v>
      </c>
      <c r="BE263" t="str">
        <f>IF(OR(Table1[[#This Row],[ENGINE_CLASS]]="STEAM",Table1[[#This Row],[ENGINE_CLASS]]="ELECTRIC",Table1[[#This Row],[ENGINE_CLASS]]="DIESEL"),Table1[[#This Row],[ENGINE_CLASS]],"DISABLE")</f>
        <v>DIESEL</v>
      </c>
      <c r="BF263">
        <v>0</v>
      </c>
      <c r="BG263" t="s">
        <v>735</v>
      </c>
      <c r="BI263"/>
      <c r="BJ263">
        <v>86</v>
      </c>
      <c r="BK263">
        <v>0</v>
      </c>
      <c r="BL263" t="s">
        <v>693</v>
      </c>
      <c r="BM263" t="s">
        <v>695</v>
      </c>
      <c r="BN263" t="s">
        <v>702</v>
      </c>
      <c r="BO263" t="s">
        <v>706</v>
      </c>
      <c r="BP263" t="s">
        <v>707</v>
      </c>
      <c r="BQ263" t="s">
        <v>708</v>
      </c>
    </row>
    <row r="264" spans="1:69" x14ac:dyDescent="0.4">
      <c r="A264" s="2" t="s">
        <v>288</v>
      </c>
      <c r="B264" t="str">
        <f>_xlfn.TEXTAFTER(Table1[[#This Row],[VEHIDCODE]],"_")</f>
        <v>Italy_ACT_D_200</v>
      </c>
      <c r="C264" t="s">
        <v>741</v>
      </c>
      <c r="D264" t="str">
        <f>"item_"&amp;Table1[[#This Row],[VEHIDCODE]]</f>
        <v>item_diesel_Italy_ACT_D_200</v>
      </c>
      <c r="E264" t="str">
        <f>"str_"&amp;Table1[[#This Row],[VEHIDCODE]]</f>
        <v>str_diesel_Italy_ACT_D_200</v>
      </c>
      <c r="F264">
        <v>7</v>
      </c>
      <c r="G264" t="s">
        <v>20</v>
      </c>
      <c r="H264">
        <v>0</v>
      </c>
      <c r="I264" t="s">
        <v>35</v>
      </c>
      <c r="J264">
        <v>0</v>
      </c>
      <c r="K264">
        <v>2003</v>
      </c>
      <c r="L264">
        <v>7</v>
      </c>
      <c r="M264" s="2" t="s">
        <v>20</v>
      </c>
      <c r="N264" t="b">
        <v>1</v>
      </c>
      <c r="P264" s="2"/>
      <c r="Q264" t="s">
        <v>21</v>
      </c>
      <c r="R264">
        <v>1</v>
      </c>
      <c r="S264">
        <v>3000</v>
      </c>
      <c r="T264" t="s">
        <v>712</v>
      </c>
      <c r="U264">
        <v>120</v>
      </c>
      <c r="V264" s="2">
        <v>0.32</v>
      </c>
      <c r="AE264" t="b">
        <v>1</v>
      </c>
      <c r="AZ264" s="2"/>
      <c r="BA264" s="7">
        <v>40</v>
      </c>
      <c r="BB264" t="s">
        <v>925</v>
      </c>
      <c r="BC264" t="s">
        <v>923</v>
      </c>
      <c r="BD264" t="s">
        <v>941</v>
      </c>
      <c r="BE264" t="str">
        <f>IF(OR(Table1[[#This Row],[ENGINE_CLASS]]="STEAM",Table1[[#This Row],[ENGINE_CLASS]]="ELECTRIC",Table1[[#This Row],[ENGINE_CLASS]]="DIESEL"),Table1[[#This Row],[ENGINE_CLASS]],"DISABLE")</f>
        <v>DIESEL</v>
      </c>
      <c r="BF264">
        <v>0</v>
      </c>
      <c r="BG264" t="s">
        <v>735</v>
      </c>
      <c r="BI264"/>
      <c r="BJ264">
        <v>89</v>
      </c>
      <c r="BK264">
        <v>0</v>
      </c>
      <c r="BL264" t="s">
        <v>693</v>
      </c>
      <c r="BM264" t="s">
        <v>695</v>
      </c>
      <c r="BN264" t="s">
        <v>702</v>
      </c>
      <c r="BO264" t="s">
        <v>706</v>
      </c>
      <c r="BP264" t="s">
        <v>707</v>
      </c>
      <c r="BQ264" t="s">
        <v>708</v>
      </c>
    </row>
    <row r="265" spans="1:69" x14ac:dyDescent="0.4">
      <c r="A265" s="2" t="s">
        <v>289</v>
      </c>
      <c r="B265" t="str">
        <f>_xlfn.TEXTAFTER(Table1[[#This Row],[VEHIDCODE]],"_")</f>
        <v>Canada_GO_Transit_MP40PH_3C</v>
      </c>
      <c r="C265" t="s">
        <v>741</v>
      </c>
      <c r="D265" t="str">
        <f>"item_"&amp;Table1[[#This Row],[VEHIDCODE]]</f>
        <v>item_diesel_Canada_GO_Transit_MP40PH_3C</v>
      </c>
      <c r="E265" t="str">
        <f>"str_"&amp;Table1[[#This Row],[VEHIDCODE]]</f>
        <v>str_diesel_Canada_GO_Transit_MP40PH_3C</v>
      </c>
      <c r="F265">
        <v>8</v>
      </c>
      <c r="G265" t="s">
        <v>20</v>
      </c>
      <c r="H265">
        <v>0</v>
      </c>
      <c r="I265" t="s">
        <v>35</v>
      </c>
      <c r="J265">
        <v>0</v>
      </c>
      <c r="K265">
        <v>2003</v>
      </c>
      <c r="L265">
        <v>8</v>
      </c>
      <c r="M265" s="2" t="s">
        <v>20</v>
      </c>
      <c r="N265" t="b">
        <v>1</v>
      </c>
      <c r="P265" s="2"/>
      <c r="Q265" t="s">
        <v>21</v>
      </c>
      <c r="R265">
        <v>1</v>
      </c>
      <c r="S265">
        <v>4000</v>
      </c>
      <c r="T265" t="s">
        <v>712</v>
      </c>
      <c r="U265">
        <v>174</v>
      </c>
      <c r="V265" s="2">
        <v>0.3</v>
      </c>
      <c r="AE265" t="b">
        <v>1</v>
      </c>
      <c r="AZ265" s="2"/>
      <c r="BA265" s="7">
        <v>40</v>
      </c>
      <c r="BB265" t="s">
        <v>929</v>
      </c>
      <c r="BC265" t="s">
        <v>923</v>
      </c>
      <c r="BD265" t="s">
        <v>941</v>
      </c>
      <c r="BE265" t="str">
        <f>IF(OR(Table1[[#This Row],[ENGINE_CLASS]]="STEAM",Table1[[#This Row],[ENGINE_CLASS]]="ELECTRIC",Table1[[#This Row],[ENGINE_CLASS]]="DIESEL"),Table1[[#This Row],[ENGINE_CLASS]],"DISABLE")</f>
        <v>DIESEL</v>
      </c>
      <c r="BF265">
        <v>0</v>
      </c>
      <c r="BG265" t="s">
        <v>735</v>
      </c>
      <c r="BI265"/>
      <c r="BJ265">
        <v>130</v>
      </c>
      <c r="BK265">
        <v>0</v>
      </c>
      <c r="BL265" t="s">
        <v>693</v>
      </c>
      <c r="BM265" t="s">
        <v>695</v>
      </c>
      <c r="BN265" t="s">
        <v>702</v>
      </c>
      <c r="BO265" t="s">
        <v>706</v>
      </c>
      <c r="BP265" t="s">
        <v>707</v>
      </c>
      <c r="BQ265" t="s">
        <v>708</v>
      </c>
    </row>
    <row r="266" spans="1:69" x14ac:dyDescent="0.4">
      <c r="A266" s="2" t="s">
        <v>290</v>
      </c>
      <c r="B266" t="str">
        <f>_xlfn.TEXTAFTER(Table1[[#This Row],[VEHIDCODE]],"_")</f>
        <v>Spain_RENFE_Class_334</v>
      </c>
      <c r="C266" t="s">
        <v>741</v>
      </c>
      <c r="D266" t="str">
        <f>"item_"&amp;Table1[[#This Row],[VEHIDCODE]]</f>
        <v>item_diesel_Spain_RENFE_Class_334</v>
      </c>
      <c r="E266" t="str">
        <f>"str_"&amp;Table1[[#This Row],[VEHIDCODE]]</f>
        <v>str_diesel_Spain_RENFE_Class_334</v>
      </c>
      <c r="F266">
        <v>8</v>
      </c>
      <c r="G266" t="s">
        <v>20</v>
      </c>
      <c r="H266">
        <v>0</v>
      </c>
      <c r="I266" t="s">
        <v>35</v>
      </c>
      <c r="J266">
        <v>0</v>
      </c>
      <c r="K266">
        <v>2006</v>
      </c>
      <c r="L266">
        <v>8</v>
      </c>
      <c r="M266" s="2" t="s">
        <v>20</v>
      </c>
      <c r="N266" t="b">
        <v>1</v>
      </c>
      <c r="P266" s="2"/>
      <c r="Q266" t="s">
        <v>21</v>
      </c>
      <c r="R266">
        <v>1</v>
      </c>
      <c r="S266">
        <v>3300</v>
      </c>
      <c r="T266" t="s">
        <v>712</v>
      </c>
      <c r="U266">
        <v>200</v>
      </c>
      <c r="V266" s="2">
        <v>0.2</v>
      </c>
      <c r="AE266" t="b">
        <v>1</v>
      </c>
      <c r="AZ266" s="2"/>
      <c r="BA266" s="7">
        <v>40</v>
      </c>
      <c r="BB266" t="s">
        <v>925</v>
      </c>
      <c r="BC266" t="s">
        <v>923</v>
      </c>
      <c r="BD266" t="s">
        <v>941</v>
      </c>
      <c r="BE266" t="str">
        <f>IF(OR(Table1[[#This Row],[ENGINE_CLASS]]="STEAM",Table1[[#This Row],[ENGINE_CLASS]]="ELECTRIC",Table1[[#This Row],[ENGINE_CLASS]]="DIESEL"),Table1[[#This Row],[ENGINE_CLASS]],"DISABLE")</f>
        <v>DIESEL</v>
      </c>
      <c r="BF266">
        <v>0</v>
      </c>
      <c r="BG266" t="s">
        <v>735</v>
      </c>
      <c r="BI266"/>
      <c r="BJ266">
        <v>90</v>
      </c>
      <c r="BK266">
        <v>0</v>
      </c>
      <c r="BL266" t="s">
        <v>693</v>
      </c>
      <c r="BM266" t="s">
        <v>695</v>
      </c>
      <c r="BN266" t="s">
        <v>702</v>
      </c>
      <c r="BO266" t="s">
        <v>706</v>
      </c>
      <c r="BP266" t="s">
        <v>707</v>
      </c>
      <c r="BQ266" t="s">
        <v>708</v>
      </c>
    </row>
    <row r="267" spans="1:69" x14ac:dyDescent="0.4">
      <c r="A267" s="2" t="s">
        <v>291</v>
      </c>
      <c r="B267" t="str">
        <f>_xlfn.TEXTAFTER(Table1[[#This Row],[VEHIDCODE]],"_")</f>
        <v>Indonesia_Indonesia_Railways_CC300</v>
      </c>
      <c r="C267" t="s">
        <v>741</v>
      </c>
      <c r="D267" t="str">
        <f>"item_"&amp;Table1[[#This Row],[VEHIDCODE]]</f>
        <v>item_diesel_Indonesia_Indonesia_Railways_CC300</v>
      </c>
      <c r="E267" t="str">
        <f>"str_"&amp;Table1[[#This Row],[VEHIDCODE]]</f>
        <v>str_diesel_Indonesia_Indonesia_Railways_CC300</v>
      </c>
      <c r="F267">
        <v>8</v>
      </c>
      <c r="G267" t="s">
        <v>20</v>
      </c>
      <c r="H267">
        <v>0</v>
      </c>
      <c r="I267" t="s">
        <v>35</v>
      </c>
      <c r="J267">
        <v>0</v>
      </c>
      <c r="K267">
        <v>2011</v>
      </c>
      <c r="L267">
        <v>8</v>
      </c>
      <c r="M267" s="2" t="s">
        <v>20</v>
      </c>
      <c r="N267" t="b">
        <v>1</v>
      </c>
      <c r="P267" s="2"/>
      <c r="Q267" t="s">
        <v>21</v>
      </c>
      <c r="R267">
        <v>1</v>
      </c>
      <c r="S267">
        <v>2500</v>
      </c>
      <c r="T267" t="s">
        <v>712</v>
      </c>
      <c r="U267">
        <v>120</v>
      </c>
      <c r="V267" s="2">
        <v>0.3</v>
      </c>
      <c r="AE267" t="b">
        <v>1</v>
      </c>
      <c r="AZ267" s="2"/>
      <c r="BA267" s="7">
        <v>40</v>
      </c>
      <c r="BB267" t="s">
        <v>926</v>
      </c>
      <c r="BC267" t="s">
        <v>923</v>
      </c>
      <c r="BD267" t="s">
        <v>941</v>
      </c>
      <c r="BE267" t="str">
        <f>IF(OR(Table1[[#This Row],[ENGINE_CLASS]]="STEAM",Table1[[#This Row],[ENGINE_CLASS]]="ELECTRIC",Table1[[#This Row],[ENGINE_CLASS]]="DIESEL"),Table1[[#This Row],[ENGINE_CLASS]],"DISABLE")</f>
        <v>DIESEL</v>
      </c>
      <c r="BF267">
        <v>0</v>
      </c>
      <c r="BG267" t="s">
        <v>735</v>
      </c>
      <c r="BI267"/>
      <c r="BJ267">
        <v>90</v>
      </c>
      <c r="BK267">
        <v>0</v>
      </c>
      <c r="BL267" t="s">
        <v>693</v>
      </c>
      <c r="BM267" t="s">
        <v>695</v>
      </c>
      <c r="BN267" t="s">
        <v>702</v>
      </c>
      <c r="BO267" t="s">
        <v>706</v>
      </c>
      <c r="BP267" t="s">
        <v>707</v>
      </c>
      <c r="BQ267" t="s">
        <v>708</v>
      </c>
    </row>
    <row r="268" spans="1:69" x14ac:dyDescent="0.4">
      <c r="A268" s="2" t="s">
        <v>292</v>
      </c>
      <c r="B268" t="str">
        <f>_xlfn.TEXTAFTER(Table1[[#This Row],[VEHIDCODE]],"_")</f>
        <v>Argentina_Great_Southern_Railway_DH501</v>
      </c>
      <c r="C268" t="s">
        <v>741</v>
      </c>
      <c r="D268" t="str">
        <f>"item_"&amp;Table1[[#This Row],[VEHIDCODE]]</f>
        <v>item_diesel_Argentina_Great_Southern_Railway_DH501</v>
      </c>
      <c r="E268" t="str">
        <f>"str_"&amp;Table1[[#This Row],[VEHIDCODE]]</f>
        <v>str_diesel_Argentina_Great_Southern_Railway_DH501</v>
      </c>
      <c r="F268">
        <v>6</v>
      </c>
      <c r="G268" t="s">
        <v>20</v>
      </c>
      <c r="H268">
        <v>0</v>
      </c>
      <c r="I268" t="s">
        <v>35</v>
      </c>
      <c r="J268">
        <v>0</v>
      </c>
      <c r="K268">
        <v>1930</v>
      </c>
      <c r="L268">
        <v>6</v>
      </c>
      <c r="M268" s="2" t="s">
        <v>20</v>
      </c>
      <c r="N268" t="b">
        <v>1</v>
      </c>
      <c r="P268" s="2"/>
      <c r="Q268">
        <v>45</v>
      </c>
      <c r="R268">
        <v>1</v>
      </c>
      <c r="S268">
        <v>592</v>
      </c>
      <c r="T268" t="s">
        <v>712</v>
      </c>
      <c r="U268">
        <v>45</v>
      </c>
      <c r="V268" s="2">
        <v>0.15</v>
      </c>
      <c r="AE268" t="b">
        <v>1</v>
      </c>
      <c r="AZ268" s="2"/>
      <c r="BA268" s="7">
        <v>40</v>
      </c>
      <c r="BB268" t="s">
        <v>931</v>
      </c>
      <c r="BC268" t="s">
        <v>923</v>
      </c>
      <c r="BD268" t="s">
        <v>941</v>
      </c>
      <c r="BE268" t="str">
        <f>IF(OR(Table1[[#This Row],[ENGINE_CLASS]]="STEAM",Table1[[#This Row],[ENGINE_CLASS]]="ELECTRIC",Table1[[#This Row],[ENGINE_CLASS]]="DIESEL"),Table1[[#This Row],[ENGINE_CLASS]],"DISABLE")</f>
        <v>DIESEL</v>
      </c>
      <c r="BF268">
        <v>0</v>
      </c>
      <c r="BG268" t="s">
        <v>735</v>
      </c>
      <c r="BI268"/>
      <c r="BJ268">
        <v>72</v>
      </c>
      <c r="BK268">
        <v>0</v>
      </c>
      <c r="BL268" t="s">
        <v>693</v>
      </c>
      <c r="BM268" t="s">
        <v>695</v>
      </c>
      <c r="BN268" t="s">
        <v>702</v>
      </c>
      <c r="BO268" t="s">
        <v>706</v>
      </c>
      <c r="BP268" t="s">
        <v>707</v>
      </c>
      <c r="BQ268" t="s">
        <v>708</v>
      </c>
    </row>
    <row r="269" spans="1:69" x14ac:dyDescent="0.4">
      <c r="A269" s="2" t="s">
        <v>293</v>
      </c>
      <c r="B269" t="str">
        <f>_xlfn.TEXTAFTER(Table1[[#This Row],[VEHIDCODE]],"_")</f>
        <v>Brazil_EE_VFFLB</v>
      </c>
      <c r="C269" t="s">
        <v>741</v>
      </c>
      <c r="D269" t="str">
        <f>"item_"&amp;Table1[[#This Row],[VEHIDCODE]]</f>
        <v>item_diesel_Brazil_EE_VFFLB</v>
      </c>
      <c r="E269" t="str">
        <f>"str_"&amp;Table1[[#This Row],[VEHIDCODE]]</f>
        <v>str_diesel_Brazil_EE_VFFLB</v>
      </c>
      <c r="F269">
        <v>4</v>
      </c>
      <c r="G269" t="s">
        <v>20</v>
      </c>
      <c r="H269">
        <v>0</v>
      </c>
      <c r="I269" t="s">
        <v>35</v>
      </c>
      <c r="J269">
        <v>0</v>
      </c>
      <c r="K269">
        <v>1938</v>
      </c>
      <c r="L269">
        <v>4</v>
      </c>
      <c r="M269" s="2" t="s">
        <v>20</v>
      </c>
      <c r="N269" t="b">
        <v>1</v>
      </c>
      <c r="P269" s="2"/>
      <c r="Q269">
        <v>45</v>
      </c>
      <c r="R269">
        <v>1</v>
      </c>
      <c r="S269">
        <v>450</v>
      </c>
      <c r="T269" t="s">
        <v>712</v>
      </c>
      <c r="U269">
        <v>76</v>
      </c>
      <c r="V269" s="2">
        <v>0.22</v>
      </c>
      <c r="AE269" t="b">
        <v>1</v>
      </c>
      <c r="AZ269" s="2"/>
      <c r="BA269" s="7">
        <v>40</v>
      </c>
      <c r="BB269" t="s">
        <v>931</v>
      </c>
      <c r="BC269" t="s">
        <v>923</v>
      </c>
      <c r="BD269" t="s">
        <v>941</v>
      </c>
      <c r="BE269" t="str">
        <f>IF(OR(Table1[[#This Row],[ENGINE_CLASS]]="STEAM",Table1[[#This Row],[ENGINE_CLASS]]="ELECTRIC",Table1[[#This Row],[ENGINE_CLASS]]="DIESEL"),Table1[[#This Row],[ENGINE_CLASS]],"DISABLE")</f>
        <v>DIESEL</v>
      </c>
      <c r="BF269">
        <v>0</v>
      </c>
      <c r="BG269" t="s">
        <v>735</v>
      </c>
      <c r="BI269"/>
      <c r="BJ269">
        <v>39</v>
      </c>
      <c r="BK269">
        <v>0</v>
      </c>
      <c r="BL269" t="s">
        <v>693</v>
      </c>
      <c r="BM269" t="s">
        <v>695</v>
      </c>
      <c r="BN269" t="s">
        <v>702</v>
      </c>
      <c r="BO269" t="s">
        <v>706</v>
      </c>
      <c r="BP269" t="s">
        <v>707</v>
      </c>
      <c r="BQ269" t="s">
        <v>708</v>
      </c>
    </row>
    <row r="270" spans="1:69" x14ac:dyDescent="0.4">
      <c r="A270" s="2" t="s">
        <v>294</v>
      </c>
      <c r="B270" t="str">
        <f>_xlfn.TEXTAFTER(Table1[[#This Row],[VEHIDCODE]],"_")</f>
        <v>Chile_EFE_GE_U5B</v>
      </c>
      <c r="C270" t="s">
        <v>741</v>
      </c>
      <c r="D270" t="str">
        <f>"item_"&amp;Table1[[#This Row],[VEHIDCODE]]</f>
        <v>item_diesel_Chile_EFE_GE_U5B</v>
      </c>
      <c r="E270" t="str">
        <f>"str_"&amp;Table1[[#This Row],[VEHIDCODE]]</f>
        <v>str_diesel_Chile_EFE_GE_U5B</v>
      </c>
      <c r="F270">
        <v>5</v>
      </c>
      <c r="G270" t="s">
        <v>20</v>
      </c>
      <c r="H270">
        <v>0</v>
      </c>
      <c r="I270" t="s">
        <v>35</v>
      </c>
      <c r="J270">
        <v>0</v>
      </c>
      <c r="K270">
        <v>1961</v>
      </c>
      <c r="L270">
        <v>5</v>
      </c>
      <c r="M270" s="2" t="s">
        <v>20</v>
      </c>
      <c r="N270" t="b">
        <v>1</v>
      </c>
      <c r="P270" s="2"/>
      <c r="Q270">
        <v>45</v>
      </c>
      <c r="R270">
        <v>1</v>
      </c>
      <c r="S270">
        <v>600</v>
      </c>
      <c r="T270" t="s">
        <v>712</v>
      </c>
      <c r="U270">
        <v>64</v>
      </c>
      <c r="V270" s="2">
        <v>0.18</v>
      </c>
      <c r="AE270" t="b">
        <v>1</v>
      </c>
      <c r="AZ270" s="2"/>
      <c r="BA270" s="7">
        <v>40</v>
      </c>
      <c r="BB270" t="s">
        <v>931</v>
      </c>
      <c r="BC270" t="s">
        <v>923</v>
      </c>
      <c r="BD270" t="s">
        <v>941</v>
      </c>
      <c r="BE270" t="str">
        <f>IF(OR(Table1[[#This Row],[ENGINE_CLASS]]="STEAM",Table1[[#This Row],[ENGINE_CLASS]]="ELECTRIC",Table1[[#This Row],[ENGINE_CLASS]]="DIESEL"),Table1[[#This Row],[ENGINE_CLASS]],"DISABLE")</f>
        <v>DIESEL</v>
      </c>
      <c r="BF270">
        <v>0</v>
      </c>
      <c r="BG270" t="s">
        <v>735</v>
      </c>
      <c r="BI270"/>
      <c r="BJ270">
        <v>50</v>
      </c>
      <c r="BK270">
        <v>0</v>
      </c>
      <c r="BL270" t="s">
        <v>693</v>
      </c>
      <c r="BM270" t="s">
        <v>695</v>
      </c>
      <c r="BN270" t="s">
        <v>702</v>
      </c>
      <c r="BO270" t="s">
        <v>706</v>
      </c>
      <c r="BP270" t="s">
        <v>707</v>
      </c>
      <c r="BQ270" t="s">
        <v>708</v>
      </c>
    </row>
    <row r="271" spans="1:69" x14ac:dyDescent="0.4">
      <c r="A271" s="2" t="s">
        <v>295</v>
      </c>
      <c r="B271" t="str">
        <f>_xlfn.TEXTAFTER(Table1[[#This Row],[VEHIDCODE]],"_")</f>
        <v>Peru_Ferrocarril_Central_Andino_Alco_RSD_39</v>
      </c>
      <c r="C271" t="s">
        <v>741</v>
      </c>
      <c r="D271" t="str">
        <f>"item_"&amp;Table1[[#This Row],[VEHIDCODE]]</f>
        <v>item_diesel_Peru_Ferrocarril_Central_Andino_Alco_RSD_39</v>
      </c>
      <c r="E271" t="str">
        <f>"str_"&amp;Table1[[#This Row],[VEHIDCODE]]</f>
        <v>str_diesel_Peru_Ferrocarril_Central_Andino_Alco_RSD_39</v>
      </c>
      <c r="F271">
        <v>6</v>
      </c>
      <c r="G271" t="s">
        <v>20</v>
      </c>
      <c r="H271">
        <v>0</v>
      </c>
      <c r="I271" t="s">
        <v>35</v>
      </c>
      <c r="J271">
        <v>0</v>
      </c>
      <c r="K271">
        <v>1965</v>
      </c>
      <c r="L271">
        <v>6</v>
      </c>
      <c r="M271" s="2" t="s">
        <v>20</v>
      </c>
      <c r="N271" t="b">
        <v>1</v>
      </c>
      <c r="P271" s="2"/>
      <c r="Q271">
        <v>45</v>
      </c>
      <c r="R271">
        <v>1</v>
      </c>
      <c r="S271">
        <v>1350</v>
      </c>
      <c r="T271" t="s">
        <v>712</v>
      </c>
      <c r="U271">
        <v>120</v>
      </c>
      <c r="V271" s="2">
        <v>0.17</v>
      </c>
      <c r="AE271" t="b">
        <v>1</v>
      </c>
      <c r="AZ271" s="2"/>
      <c r="BA271" s="7">
        <v>40</v>
      </c>
      <c r="BB271" t="s">
        <v>931</v>
      </c>
      <c r="BC271" t="s">
        <v>923</v>
      </c>
      <c r="BD271" t="s">
        <v>941</v>
      </c>
      <c r="BE271" t="str">
        <f>IF(OR(Table1[[#This Row],[ENGINE_CLASS]]="STEAM",Table1[[#This Row],[ENGINE_CLASS]]="ELECTRIC",Table1[[#This Row],[ENGINE_CLASS]]="DIESEL"),Table1[[#This Row],[ENGINE_CLASS]],"DISABLE")</f>
        <v>DIESEL</v>
      </c>
      <c r="BF271">
        <v>0</v>
      </c>
      <c r="BG271" t="s">
        <v>735</v>
      </c>
      <c r="BI271"/>
      <c r="BJ271">
        <v>111</v>
      </c>
      <c r="BK271">
        <v>0</v>
      </c>
      <c r="BL271" t="s">
        <v>693</v>
      </c>
      <c r="BM271" t="s">
        <v>695</v>
      </c>
      <c r="BN271" t="s">
        <v>702</v>
      </c>
      <c r="BO271" t="s">
        <v>706</v>
      </c>
      <c r="BP271" t="s">
        <v>707</v>
      </c>
      <c r="BQ271" t="s">
        <v>708</v>
      </c>
    </row>
    <row r="272" spans="1:69" x14ac:dyDescent="0.4">
      <c r="A272" s="2" t="s">
        <v>296</v>
      </c>
      <c r="B272" t="str">
        <f>_xlfn.TEXTAFTER(Table1[[#This Row],[VEHIDCODE]],"_")</f>
        <v>Brazil_EFVM_EMD_DDM45</v>
      </c>
      <c r="C272" t="s">
        <v>741</v>
      </c>
      <c r="D272" t="str">
        <f>"item_"&amp;Table1[[#This Row],[VEHIDCODE]]</f>
        <v>item_diesel_Brazil_EFVM_EMD_DDM45</v>
      </c>
      <c r="E272" t="str">
        <f>"str_"&amp;Table1[[#This Row],[VEHIDCODE]]</f>
        <v>str_diesel_Brazil_EFVM_EMD_DDM45</v>
      </c>
      <c r="F272">
        <v>8</v>
      </c>
      <c r="G272" t="s">
        <v>20</v>
      </c>
      <c r="H272">
        <v>0</v>
      </c>
      <c r="I272" t="s">
        <v>35</v>
      </c>
      <c r="J272">
        <v>0</v>
      </c>
      <c r="K272">
        <v>1970</v>
      </c>
      <c r="L272">
        <v>8</v>
      </c>
      <c r="M272" s="2" t="s">
        <v>20</v>
      </c>
      <c r="N272" t="b">
        <v>1</v>
      </c>
      <c r="P272" s="2"/>
      <c r="Q272">
        <v>45</v>
      </c>
      <c r="R272">
        <v>1</v>
      </c>
      <c r="S272">
        <v>3600</v>
      </c>
      <c r="T272" t="s">
        <v>712</v>
      </c>
      <c r="U272">
        <v>85</v>
      </c>
      <c r="V272" s="2">
        <v>0.24</v>
      </c>
      <c r="AE272" t="b">
        <v>1</v>
      </c>
      <c r="AZ272" s="2"/>
      <c r="BA272" s="7">
        <v>40</v>
      </c>
      <c r="BB272" t="s">
        <v>931</v>
      </c>
      <c r="BC272" t="s">
        <v>923</v>
      </c>
      <c r="BD272" t="s">
        <v>941</v>
      </c>
      <c r="BE272" t="str">
        <f>IF(OR(Table1[[#This Row],[ENGINE_CLASS]]="STEAM",Table1[[#This Row],[ENGINE_CLASS]]="ELECTRIC",Table1[[#This Row],[ENGINE_CLASS]]="DIESEL"),Table1[[#This Row],[ENGINE_CLASS]],"DISABLE")</f>
        <v>DIESEL</v>
      </c>
      <c r="BF272">
        <v>0</v>
      </c>
      <c r="BG272" t="s">
        <v>735</v>
      </c>
      <c r="BI272"/>
      <c r="BJ272">
        <v>162</v>
      </c>
      <c r="BK272">
        <v>0</v>
      </c>
      <c r="BL272" t="s">
        <v>693</v>
      </c>
      <c r="BM272" t="s">
        <v>695</v>
      </c>
      <c r="BN272" t="s">
        <v>702</v>
      </c>
      <c r="BO272" t="s">
        <v>706</v>
      </c>
      <c r="BP272" t="s">
        <v>707</v>
      </c>
      <c r="BQ272" t="s">
        <v>708</v>
      </c>
    </row>
    <row r="273" spans="1:69" x14ac:dyDescent="0.4">
      <c r="A273" s="2" t="s">
        <v>297</v>
      </c>
      <c r="B273" t="str">
        <f>_xlfn.TEXTAFTER(Table1[[#This Row],[VEHIDCODE]],"_")</f>
        <v>Peru_Ferrocarril_Central_Andino_GE_C39_8</v>
      </c>
      <c r="C273" t="s">
        <v>741</v>
      </c>
      <c r="D273" t="str">
        <f>"item_"&amp;Table1[[#This Row],[VEHIDCODE]]</f>
        <v>item_diesel_Peru_Ferrocarril_Central_Andino_GE_C39_8</v>
      </c>
      <c r="E273" t="str">
        <f>"str_"&amp;Table1[[#This Row],[VEHIDCODE]]</f>
        <v>str_diesel_Peru_Ferrocarril_Central_Andino_GE_C39_8</v>
      </c>
      <c r="F273">
        <v>8</v>
      </c>
      <c r="G273" t="s">
        <v>20</v>
      </c>
      <c r="H273">
        <v>0</v>
      </c>
      <c r="I273" t="s">
        <v>35</v>
      </c>
      <c r="J273">
        <v>0</v>
      </c>
      <c r="K273">
        <v>1984</v>
      </c>
      <c r="L273">
        <v>8</v>
      </c>
      <c r="M273" s="2" t="s">
        <v>20</v>
      </c>
      <c r="N273" t="b">
        <v>1</v>
      </c>
      <c r="P273" s="2"/>
      <c r="Q273">
        <v>45</v>
      </c>
      <c r="R273">
        <v>1</v>
      </c>
      <c r="S273">
        <v>3900</v>
      </c>
      <c r="T273" t="s">
        <v>712</v>
      </c>
      <c r="U273">
        <v>110</v>
      </c>
      <c r="V273" s="2">
        <v>0.28999999999999998</v>
      </c>
      <c r="AE273" t="b">
        <v>1</v>
      </c>
      <c r="AZ273" s="2"/>
      <c r="BA273" s="7">
        <v>40</v>
      </c>
      <c r="BB273" t="s">
        <v>931</v>
      </c>
      <c r="BC273" t="s">
        <v>923</v>
      </c>
      <c r="BD273" t="s">
        <v>941</v>
      </c>
      <c r="BE273" t="str">
        <f>IF(OR(Table1[[#This Row],[ENGINE_CLASS]]="STEAM",Table1[[#This Row],[ENGINE_CLASS]]="ELECTRIC",Table1[[#This Row],[ENGINE_CLASS]]="DIESEL"),Table1[[#This Row],[ENGINE_CLASS]],"DISABLE")</f>
        <v>DIESEL</v>
      </c>
      <c r="BF273">
        <v>0</v>
      </c>
      <c r="BG273" t="s">
        <v>735</v>
      </c>
      <c r="BI273"/>
      <c r="BJ273">
        <v>166</v>
      </c>
      <c r="BK273">
        <v>0</v>
      </c>
      <c r="BL273" t="s">
        <v>693</v>
      </c>
      <c r="BM273" t="s">
        <v>695</v>
      </c>
      <c r="BN273" t="s">
        <v>702</v>
      </c>
      <c r="BO273" t="s">
        <v>706</v>
      </c>
      <c r="BP273" t="s">
        <v>707</v>
      </c>
      <c r="BQ273" t="s">
        <v>708</v>
      </c>
    </row>
    <row r="274" spans="1:69" x14ac:dyDescent="0.4">
      <c r="A274" s="2" t="s">
        <v>298</v>
      </c>
      <c r="B274" t="str">
        <f>_xlfn.TEXTAFTER(Table1[[#This Row],[VEHIDCODE]],"_")</f>
        <v>Argentina_SOFSE_3193</v>
      </c>
      <c r="C274" t="s">
        <v>741</v>
      </c>
      <c r="D274" t="str">
        <f>"item_"&amp;Table1[[#This Row],[VEHIDCODE]]</f>
        <v>item_diesel_Argentina_SOFSE_3193</v>
      </c>
      <c r="E274" t="str">
        <f>"str_"&amp;Table1[[#This Row],[VEHIDCODE]]</f>
        <v>str_diesel_Argentina_SOFSE_3193</v>
      </c>
      <c r="F274">
        <v>7</v>
      </c>
      <c r="G274" t="s">
        <v>20</v>
      </c>
      <c r="H274">
        <v>0</v>
      </c>
      <c r="I274" t="s">
        <v>35</v>
      </c>
      <c r="J274">
        <v>0</v>
      </c>
      <c r="K274">
        <v>1991</v>
      </c>
      <c r="L274">
        <v>7</v>
      </c>
      <c r="M274" s="2" t="s">
        <v>20</v>
      </c>
      <c r="N274" t="b">
        <v>1</v>
      </c>
      <c r="P274" s="2"/>
      <c r="Q274">
        <v>45</v>
      </c>
      <c r="R274">
        <v>1</v>
      </c>
      <c r="S274">
        <v>1876</v>
      </c>
      <c r="T274" t="s">
        <v>712</v>
      </c>
      <c r="U274">
        <v>140</v>
      </c>
      <c r="V274" s="2">
        <v>0.18</v>
      </c>
      <c r="AE274" t="b">
        <v>1</v>
      </c>
      <c r="AZ274" s="2"/>
      <c r="BA274" s="7">
        <v>40</v>
      </c>
      <c r="BB274" t="s">
        <v>931</v>
      </c>
      <c r="BC274" t="s">
        <v>923</v>
      </c>
      <c r="BD274" t="s">
        <v>941</v>
      </c>
      <c r="BE274" t="str">
        <f>IF(OR(Table1[[#This Row],[ENGINE_CLASS]]="STEAM",Table1[[#This Row],[ENGINE_CLASS]]="ELECTRIC",Table1[[#This Row],[ENGINE_CLASS]]="DIESEL"),Table1[[#This Row],[ENGINE_CLASS]],"DISABLE")</f>
        <v>DIESEL</v>
      </c>
      <c r="BF274">
        <v>0</v>
      </c>
      <c r="BG274" t="s">
        <v>735</v>
      </c>
      <c r="BI274"/>
      <c r="BJ274">
        <v>117</v>
      </c>
      <c r="BK274">
        <v>0</v>
      </c>
      <c r="BL274" t="s">
        <v>693</v>
      </c>
      <c r="BM274" t="s">
        <v>695</v>
      </c>
      <c r="BN274" t="s">
        <v>702</v>
      </c>
      <c r="BO274" t="s">
        <v>706</v>
      </c>
      <c r="BP274" t="s">
        <v>707</v>
      </c>
      <c r="BQ274" t="s">
        <v>708</v>
      </c>
    </row>
    <row r="275" spans="1:69" x14ac:dyDescent="0.4">
      <c r="A275" s="2" t="s">
        <v>299</v>
      </c>
      <c r="B275" t="str">
        <f>_xlfn.TEXTAFTER(Table1[[#This Row],[VEHIDCODE]],"_")</f>
        <v>Argentina_SOFSE_CNR_CKD8</v>
      </c>
      <c r="C275" t="s">
        <v>741</v>
      </c>
      <c r="D275" t="str">
        <f>"item_"&amp;Table1[[#This Row],[VEHIDCODE]]</f>
        <v>item_diesel_Argentina_SOFSE_CNR_CKD8</v>
      </c>
      <c r="E275" t="str">
        <f>"str_"&amp;Table1[[#This Row],[VEHIDCODE]]</f>
        <v>str_diesel_Argentina_SOFSE_CNR_CKD8</v>
      </c>
      <c r="F275">
        <v>8</v>
      </c>
      <c r="G275" t="s">
        <v>20</v>
      </c>
      <c r="H275">
        <v>0</v>
      </c>
      <c r="I275" t="s">
        <v>35</v>
      </c>
      <c r="J275">
        <v>0</v>
      </c>
      <c r="K275">
        <v>2013</v>
      </c>
      <c r="L275">
        <v>8</v>
      </c>
      <c r="M275" s="2" t="s">
        <v>20</v>
      </c>
      <c r="N275" t="b">
        <v>1</v>
      </c>
      <c r="P275" s="2"/>
      <c r="Q275" t="s">
        <v>21</v>
      </c>
      <c r="R275">
        <v>1</v>
      </c>
      <c r="S275">
        <v>2950</v>
      </c>
      <c r="T275" t="s">
        <v>712</v>
      </c>
      <c r="U275">
        <v>160</v>
      </c>
      <c r="V275" s="2">
        <v>0.32</v>
      </c>
      <c r="AE275" t="b">
        <v>1</v>
      </c>
      <c r="AZ275" s="2"/>
      <c r="BA275" s="7">
        <v>40</v>
      </c>
      <c r="BB275" t="s">
        <v>931</v>
      </c>
      <c r="BC275" t="s">
        <v>923</v>
      </c>
      <c r="BD275" t="s">
        <v>941</v>
      </c>
      <c r="BE275" t="str">
        <f>IF(OR(Table1[[#This Row],[ENGINE_CLASS]]="STEAM",Table1[[#This Row],[ENGINE_CLASS]]="ELECTRIC",Table1[[#This Row],[ENGINE_CLASS]]="DIESEL"),Table1[[#This Row],[ENGINE_CLASS]],"DISABLE")</f>
        <v>DIESEL</v>
      </c>
      <c r="BF275">
        <v>0</v>
      </c>
      <c r="BG275" t="s">
        <v>735</v>
      </c>
      <c r="BI275"/>
      <c r="BJ275">
        <v>120</v>
      </c>
      <c r="BK275">
        <v>0</v>
      </c>
      <c r="BL275" t="s">
        <v>693</v>
      </c>
      <c r="BM275" t="s">
        <v>695</v>
      </c>
      <c r="BN275" t="s">
        <v>702</v>
      </c>
      <c r="BO275" t="s">
        <v>706</v>
      </c>
      <c r="BP275" t="s">
        <v>707</v>
      </c>
      <c r="BQ275" t="s">
        <v>708</v>
      </c>
    </row>
    <row r="276" spans="1:69" x14ac:dyDescent="0.4">
      <c r="A276" s="2" t="s">
        <v>300</v>
      </c>
      <c r="B276" t="str">
        <f>_xlfn.TEXTAFTER(Table1[[#This Row],[VEHIDCODE]],"_")</f>
        <v>South_Africa_SAR_DS</v>
      </c>
      <c r="C276" t="s">
        <v>741</v>
      </c>
      <c r="D276" t="str">
        <f>"item_"&amp;Table1[[#This Row],[VEHIDCODE]]</f>
        <v>item_diesel_South_Africa_SAR_DS</v>
      </c>
      <c r="E276" t="str">
        <f>"str_"&amp;Table1[[#This Row],[VEHIDCODE]]</f>
        <v>str_diesel_South_Africa_SAR_DS</v>
      </c>
      <c r="F276">
        <v>5</v>
      </c>
      <c r="G276" t="s">
        <v>20</v>
      </c>
      <c r="H276">
        <v>0</v>
      </c>
      <c r="I276" t="s">
        <v>35</v>
      </c>
      <c r="J276">
        <v>0</v>
      </c>
      <c r="K276">
        <v>1939</v>
      </c>
      <c r="L276">
        <v>5</v>
      </c>
      <c r="M276" s="2" t="s">
        <v>20</v>
      </c>
      <c r="N276" t="b">
        <v>1</v>
      </c>
      <c r="P276" s="2"/>
      <c r="Q276">
        <v>45</v>
      </c>
      <c r="R276">
        <v>1</v>
      </c>
      <c r="S276">
        <v>410</v>
      </c>
      <c r="T276" t="s">
        <v>712</v>
      </c>
      <c r="U276">
        <v>60</v>
      </c>
      <c r="V276" s="2">
        <v>0.23</v>
      </c>
      <c r="AE276" t="b">
        <v>1</v>
      </c>
      <c r="AZ276" s="2"/>
      <c r="BA276" s="7">
        <v>40</v>
      </c>
      <c r="BB276" t="s">
        <v>927</v>
      </c>
      <c r="BC276" t="s">
        <v>923</v>
      </c>
      <c r="BD276" t="s">
        <v>941</v>
      </c>
      <c r="BE276" t="str">
        <f>IF(OR(Table1[[#This Row],[ENGINE_CLASS]]="STEAM",Table1[[#This Row],[ENGINE_CLASS]]="ELECTRIC",Table1[[#This Row],[ENGINE_CLASS]]="DIESEL"),Table1[[#This Row],[ENGINE_CLASS]],"DISABLE")</f>
        <v>DIESEL</v>
      </c>
      <c r="BF276">
        <v>0</v>
      </c>
      <c r="BG276" t="s">
        <v>735</v>
      </c>
      <c r="BI276"/>
      <c r="BJ276">
        <v>68</v>
      </c>
      <c r="BK276">
        <v>0</v>
      </c>
      <c r="BL276" t="s">
        <v>693</v>
      </c>
      <c r="BM276" t="s">
        <v>695</v>
      </c>
      <c r="BN276" t="s">
        <v>702</v>
      </c>
      <c r="BO276" t="s">
        <v>706</v>
      </c>
      <c r="BP276" t="s">
        <v>707</v>
      </c>
      <c r="BQ276" t="s">
        <v>708</v>
      </c>
    </row>
    <row r="277" spans="1:69" x14ac:dyDescent="0.4">
      <c r="A277" s="2" t="s">
        <v>301</v>
      </c>
      <c r="B277" t="str">
        <f>_xlfn.TEXTAFTER(Table1[[#This Row],[VEHIDCODE]],"_")</f>
        <v>Algeria_SNTF_040_DG</v>
      </c>
      <c r="C277" t="s">
        <v>741</v>
      </c>
      <c r="D277" t="str">
        <f>"item_"&amp;Table1[[#This Row],[VEHIDCODE]]</f>
        <v>item_diesel_Algeria_SNTF_040_DG</v>
      </c>
      <c r="E277" t="str">
        <f>"str_"&amp;Table1[[#This Row],[VEHIDCODE]]</f>
        <v>str_diesel_Algeria_SNTF_040_DG</v>
      </c>
      <c r="F277">
        <v>6</v>
      </c>
      <c r="G277" t="s">
        <v>20</v>
      </c>
      <c r="H277">
        <v>0</v>
      </c>
      <c r="I277" t="s">
        <v>35</v>
      </c>
      <c r="J277">
        <v>0</v>
      </c>
      <c r="K277">
        <v>1950</v>
      </c>
      <c r="L277">
        <v>6</v>
      </c>
      <c r="M277" s="2" t="s">
        <v>20</v>
      </c>
      <c r="N277" t="b">
        <v>1</v>
      </c>
      <c r="P277" s="2"/>
      <c r="Q277">
        <v>45</v>
      </c>
      <c r="R277">
        <v>1</v>
      </c>
      <c r="S277">
        <v>1600</v>
      </c>
      <c r="T277" t="s">
        <v>712</v>
      </c>
      <c r="U277">
        <v>105</v>
      </c>
      <c r="V277" s="2">
        <v>0.16</v>
      </c>
      <c r="AE277" t="b">
        <v>1</v>
      </c>
      <c r="AZ277" s="2"/>
      <c r="BA277" s="7">
        <v>40</v>
      </c>
      <c r="BB277" t="s">
        <v>927</v>
      </c>
      <c r="BC277" t="s">
        <v>923</v>
      </c>
      <c r="BD277" t="s">
        <v>941</v>
      </c>
      <c r="BE277" t="str">
        <f>IF(OR(Table1[[#This Row],[ENGINE_CLASS]]="STEAM",Table1[[#This Row],[ENGINE_CLASS]]="ELECTRIC",Table1[[#This Row],[ENGINE_CLASS]]="DIESEL"),Table1[[#This Row],[ENGINE_CLASS]],"DISABLE")</f>
        <v>DIESEL</v>
      </c>
      <c r="BF277">
        <v>0</v>
      </c>
      <c r="BG277" t="s">
        <v>735</v>
      </c>
      <c r="BI277"/>
      <c r="BJ277">
        <v>115</v>
      </c>
      <c r="BK277">
        <v>0</v>
      </c>
      <c r="BL277" t="s">
        <v>693</v>
      </c>
      <c r="BM277" t="s">
        <v>695</v>
      </c>
      <c r="BN277" t="s">
        <v>702</v>
      </c>
      <c r="BO277" t="s">
        <v>706</v>
      </c>
      <c r="BP277" t="s">
        <v>707</v>
      </c>
      <c r="BQ277" t="s">
        <v>708</v>
      </c>
    </row>
    <row r="278" spans="1:69" x14ac:dyDescent="0.4">
      <c r="A278" s="2" t="s">
        <v>302</v>
      </c>
      <c r="B278" t="str">
        <f>_xlfn.TEXTAFTER(Table1[[#This Row],[VEHIDCODE]],"_")</f>
        <v>Tunisia_SNCFT_040_DF</v>
      </c>
      <c r="C278" t="s">
        <v>741</v>
      </c>
      <c r="D278" t="str">
        <f>"item_"&amp;Table1[[#This Row],[VEHIDCODE]]</f>
        <v>item_diesel_Tunisia_SNCFT_040_DF</v>
      </c>
      <c r="E278" t="str">
        <f>"str_"&amp;Table1[[#This Row],[VEHIDCODE]]</f>
        <v>str_diesel_Tunisia_SNCFT_040_DF</v>
      </c>
      <c r="F278">
        <v>5</v>
      </c>
      <c r="G278" t="s">
        <v>20</v>
      </c>
      <c r="H278">
        <v>0</v>
      </c>
      <c r="I278" t="s">
        <v>35</v>
      </c>
      <c r="J278">
        <v>0</v>
      </c>
      <c r="K278">
        <v>1960</v>
      </c>
      <c r="L278">
        <v>5</v>
      </c>
      <c r="M278" s="2" t="s">
        <v>20</v>
      </c>
      <c r="N278" t="b">
        <v>1</v>
      </c>
      <c r="P278" s="2"/>
      <c r="Q278">
        <v>45</v>
      </c>
      <c r="R278">
        <v>1</v>
      </c>
      <c r="S278">
        <v>875</v>
      </c>
      <c r="T278" t="s">
        <v>712</v>
      </c>
      <c r="U278">
        <v>100</v>
      </c>
      <c r="V278" s="2">
        <v>0.25</v>
      </c>
      <c r="AE278" t="b">
        <v>1</v>
      </c>
      <c r="AZ278" s="2"/>
      <c r="BA278" s="7">
        <v>40</v>
      </c>
      <c r="BB278" t="s">
        <v>927</v>
      </c>
      <c r="BC278" t="s">
        <v>923</v>
      </c>
      <c r="BD278" t="s">
        <v>941</v>
      </c>
      <c r="BE278" t="str">
        <f>IF(OR(Table1[[#This Row],[ENGINE_CLASS]]="STEAM",Table1[[#This Row],[ENGINE_CLASS]]="ELECTRIC",Table1[[#This Row],[ENGINE_CLASS]]="DIESEL"),Table1[[#This Row],[ENGINE_CLASS]],"DISABLE")</f>
        <v>DIESEL</v>
      </c>
      <c r="BF278">
        <v>0</v>
      </c>
      <c r="BG278" t="s">
        <v>735</v>
      </c>
      <c r="BI278"/>
      <c r="BJ278">
        <v>62</v>
      </c>
      <c r="BK278">
        <v>0</v>
      </c>
      <c r="BL278" t="s">
        <v>693</v>
      </c>
      <c r="BM278" t="s">
        <v>695</v>
      </c>
      <c r="BN278" t="s">
        <v>702</v>
      </c>
      <c r="BO278" t="s">
        <v>706</v>
      </c>
      <c r="BP278" t="s">
        <v>707</v>
      </c>
      <c r="BQ278" t="s">
        <v>708</v>
      </c>
    </row>
    <row r="279" spans="1:69" x14ac:dyDescent="0.4">
      <c r="A279" s="2" t="s">
        <v>303</v>
      </c>
      <c r="B279" t="str">
        <f>_xlfn.TEXTAFTER(Table1[[#This Row],[VEHIDCODE]],"_")</f>
        <v>Egypt_ENR_TE114E</v>
      </c>
      <c r="C279" t="s">
        <v>741</v>
      </c>
      <c r="D279" t="str">
        <f>"item_"&amp;Table1[[#This Row],[VEHIDCODE]]</f>
        <v>item_diesel_Egypt_ENR_TE114E</v>
      </c>
      <c r="E279" t="str">
        <f>"str_"&amp;Table1[[#This Row],[VEHIDCODE]]</f>
        <v>str_diesel_Egypt_ENR_TE114E</v>
      </c>
      <c r="F279">
        <v>7</v>
      </c>
      <c r="G279" t="s">
        <v>20</v>
      </c>
      <c r="H279">
        <v>0</v>
      </c>
      <c r="I279" t="s">
        <v>35</v>
      </c>
      <c r="J279">
        <v>0</v>
      </c>
      <c r="K279">
        <v>1974</v>
      </c>
      <c r="L279">
        <v>7</v>
      </c>
      <c r="M279" s="2" t="s">
        <v>20</v>
      </c>
      <c r="N279" t="b">
        <v>1</v>
      </c>
      <c r="P279" s="2"/>
      <c r="Q279">
        <v>45</v>
      </c>
      <c r="R279">
        <v>1</v>
      </c>
      <c r="S279">
        <v>2600</v>
      </c>
      <c r="T279" t="s">
        <v>712</v>
      </c>
      <c r="U279">
        <v>120</v>
      </c>
      <c r="V279" s="2">
        <v>0.17</v>
      </c>
      <c r="AE279" t="b">
        <v>1</v>
      </c>
      <c r="AZ279" s="2"/>
      <c r="BA279" s="7">
        <v>40</v>
      </c>
      <c r="BB279" t="s">
        <v>927</v>
      </c>
      <c r="BC279" t="s">
        <v>923</v>
      </c>
      <c r="BD279" t="s">
        <v>941</v>
      </c>
      <c r="BE279" t="str">
        <f>IF(OR(Table1[[#This Row],[ENGINE_CLASS]]="STEAM",Table1[[#This Row],[ENGINE_CLASS]]="ELECTRIC",Table1[[#This Row],[ENGINE_CLASS]]="DIESEL"),Table1[[#This Row],[ENGINE_CLASS]],"DISABLE")</f>
        <v>DIESEL</v>
      </c>
      <c r="BF279">
        <v>0</v>
      </c>
      <c r="BG279" t="s">
        <v>735</v>
      </c>
      <c r="BI279"/>
      <c r="BJ279">
        <v>120</v>
      </c>
      <c r="BK279">
        <v>0</v>
      </c>
      <c r="BL279" t="s">
        <v>693</v>
      </c>
      <c r="BM279" t="s">
        <v>695</v>
      </c>
      <c r="BN279" t="s">
        <v>702</v>
      </c>
      <c r="BO279" t="s">
        <v>706</v>
      </c>
      <c r="BP279" t="s">
        <v>707</v>
      </c>
      <c r="BQ279" t="s">
        <v>708</v>
      </c>
    </row>
    <row r="280" spans="1:69" x14ac:dyDescent="0.4">
      <c r="A280" s="2" t="s">
        <v>304</v>
      </c>
      <c r="B280" t="str">
        <f>_xlfn.TEXTAFTER(Table1[[#This Row],[VEHIDCODE]],"_")</f>
        <v>Tunisia_SNCFT_040_DJ</v>
      </c>
      <c r="C280" t="s">
        <v>741</v>
      </c>
      <c r="D280" t="str">
        <f>"item_"&amp;Table1[[#This Row],[VEHIDCODE]]</f>
        <v>item_diesel_Tunisia_SNCFT_040_DJ</v>
      </c>
      <c r="E280" t="str">
        <f>"str_"&amp;Table1[[#This Row],[VEHIDCODE]]</f>
        <v>str_diesel_Tunisia_SNCFT_040_DJ</v>
      </c>
      <c r="F280">
        <v>5</v>
      </c>
      <c r="G280" t="s">
        <v>20</v>
      </c>
      <c r="H280">
        <v>0</v>
      </c>
      <c r="I280" t="s">
        <v>35</v>
      </c>
      <c r="J280">
        <v>0</v>
      </c>
      <c r="K280">
        <v>1977</v>
      </c>
      <c r="L280">
        <v>5</v>
      </c>
      <c r="M280" s="2" t="s">
        <v>20</v>
      </c>
      <c r="N280" t="b">
        <v>1</v>
      </c>
      <c r="P280" s="2"/>
      <c r="Q280">
        <v>45</v>
      </c>
      <c r="R280">
        <v>1</v>
      </c>
      <c r="S280">
        <v>700</v>
      </c>
      <c r="T280" t="s">
        <v>712</v>
      </c>
      <c r="U280">
        <v>100</v>
      </c>
      <c r="V280" s="2">
        <v>0.28000000000000003</v>
      </c>
      <c r="AE280" t="b">
        <v>1</v>
      </c>
      <c r="AZ280" s="2"/>
      <c r="BA280" s="7">
        <v>40</v>
      </c>
      <c r="BB280" t="s">
        <v>927</v>
      </c>
      <c r="BC280" t="s">
        <v>923</v>
      </c>
      <c r="BD280" t="s">
        <v>941</v>
      </c>
      <c r="BE280" t="str">
        <f>IF(OR(Table1[[#This Row],[ENGINE_CLASS]]="STEAM",Table1[[#This Row],[ENGINE_CLASS]]="ELECTRIC",Table1[[#This Row],[ENGINE_CLASS]]="DIESEL"),Table1[[#This Row],[ENGINE_CLASS]],"DISABLE")</f>
        <v>DIESEL</v>
      </c>
      <c r="BF280">
        <v>0</v>
      </c>
      <c r="BG280" t="s">
        <v>735</v>
      </c>
      <c r="BI280"/>
      <c r="BJ280">
        <v>53</v>
      </c>
      <c r="BK280">
        <v>0</v>
      </c>
      <c r="BL280" t="s">
        <v>693</v>
      </c>
      <c r="BM280" t="s">
        <v>695</v>
      </c>
      <c r="BN280" t="s">
        <v>702</v>
      </c>
      <c r="BO280" t="s">
        <v>706</v>
      </c>
      <c r="BP280" t="s">
        <v>707</v>
      </c>
      <c r="BQ280" t="s">
        <v>708</v>
      </c>
    </row>
    <row r="281" spans="1:69" x14ac:dyDescent="0.4">
      <c r="A281" s="2" t="s">
        <v>305</v>
      </c>
      <c r="B281" t="str">
        <f>_xlfn.TEXTAFTER(Table1[[#This Row],[VEHIDCODE]],"_")</f>
        <v>Morocco_ONCF_DF_100</v>
      </c>
      <c r="C281" t="s">
        <v>741</v>
      </c>
      <c r="D281" t="str">
        <f>"item_"&amp;Table1[[#This Row],[VEHIDCODE]]</f>
        <v>item_diesel_Morocco_ONCF_DF_100</v>
      </c>
      <c r="E281" t="str">
        <f>"str_"&amp;Table1[[#This Row],[VEHIDCODE]]</f>
        <v>str_diesel_Morocco_ONCF_DF_100</v>
      </c>
      <c r="F281">
        <v>8</v>
      </c>
      <c r="G281" t="s">
        <v>20</v>
      </c>
      <c r="H281">
        <v>0</v>
      </c>
      <c r="I281" t="s">
        <v>35</v>
      </c>
      <c r="J281">
        <v>0</v>
      </c>
      <c r="K281">
        <v>1989</v>
      </c>
      <c r="L281">
        <v>8</v>
      </c>
      <c r="M281" s="2" t="s">
        <v>20</v>
      </c>
      <c r="N281" t="b">
        <v>1</v>
      </c>
      <c r="P281" s="2"/>
      <c r="Q281">
        <v>45</v>
      </c>
      <c r="R281">
        <v>1</v>
      </c>
      <c r="S281">
        <v>3400</v>
      </c>
      <c r="T281" t="s">
        <v>712</v>
      </c>
      <c r="U281">
        <v>135</v>
      </c>
      <c r="V281" s="2">
        <v>0.33</v>
      </c>
      <c r="AE281" t="b">
        <v>1</v>
      </c>
      <c r="AZ281" s="2"/>
      <c r="BA281" s="7">
        <v>40</v>
      </c>
      <c r="BB281" t="s">
        <v>927</v>
      </c>
      <c r="BC281" t="s">
        <v>923</v>
      </c>
      <c r="BD281" t="s">
        <v>941</v>
      </c>
      <c r="BE281" t="str">
        <f>IF(OR(Table1[[#This Row],[ENGINE_CLASS]]="STEAM",Table1[[#This Row],[ENGINE_CLASS]]="ELECTRIC",Table1[[#This Row],[ENGINE_CLASS]]="DIESEL"),Table1[[#This Row],[ENGINE_CLASS]],"DISABLE")</f>
        <v>DIESEL</v>
      </c>
      <c r="BF281">
        <v>0</v>
      </c>
      <c r="BG281" t="s">
        <v>735</v>
      </c>
      <c r="BI281"/>
      <c r="BJ281">
        <v>108</v>
      </c>
      <c r="BK281">
        <v>0</v>
      </c>
      <c r="BL281" t="s">
        <v>693</v>
      </c>
      <c r="BM281" t="s">
        <v>695</v>
      </c>
      <c r="BN281" t="s">
        <v>702</v>
      </c>
      <c r="BO281" t="s">
        <v>706</v>
      </c>
      <c r="BP281" t="s">
        <v>707</v>
      </c>
      <c r="BQ281" t="s">
        <v>708</v>
      </c>
    </row>
    <row r="282" spans="1:69" x14ac:dyDescent="0.4">
      <c r="A282" s="2" t="s">
        <v>306</v>
      </c>
      <c r="B282" t="str">
        <f>_xlfn.TEXTAFTER(Table1[[#This Row],[VEHIDCODE]],"_")</f>
        <v>Ukraine_UZ_TEP10L</v>
      </c>
      <c r="C282" t="s">
        <v>741</v>
      </c>
      <c r="D282" t="str">
        <f>"item_"&amp;Table1[[#This Row],[VEHIDCODE]]</f>
        <v>item_diesel_Ukraine_UZ_TEP10L</v>
      </c>
      <c r="E282" t="str">
        <f>"str_"&amp;Table1[[#This Row],[VEHIDCODE]]</f>
        <v>str_diesel_Ukraine_UZ_TEP10L</v>
      </c>
      <c r="F282">
        <v>8</v>
      </c>
      <c r="G282" t="s">
        <v>20</v>
      </c>
      <c r="H282">
        <v>0</v>
      </c>
      <c r="I282" t="s">
        <v>35</v>
      </c>
      <c r="J282">
        <v>0</v>
      </c>
      <c r="K282">
        <v>1964</v>
      </c>
      <c r="L282">
        <v>8</v>
      </c>
      <c r="M282" s="2" t="s">
        <v>20</v>
      </c>
      <c r="N282" t="b">
        <v>1</v>
      </c>
      <c r="P282" s="2"/>
      <c r="Q282">
        <v>45</v>
      </c>
      <c r="R282">
        <v>1</v>
      </c>
      <c r="S282">
        <v>2290</v>
      </c>
      <c r="T282" t="s">
        <v>712</v>
      </c>
      <c r="U282">
        <v>140</v>
      </c>
      <c r="V282" s="2">
        <v>0.13</v>
      </c>
      <c r="AE282" t="b">
        <v>1</v>
      </c>
      <c r="AZ282" s="2"/>
      <c r="BA282" s="7">
        <v>40</v>
      </c>
      <c r="BB282" t="s">
        <v>930</v>
      </c>
      <c r="BC282" t="s">
        <v>923</v>
      </c>
      <c r="BD282" t="s">
        <v>941</v>
      </c>
      <c r="BE282" t="str">
        <f>IF(OR(Table1[[#This Row],[ENGINE_CLASS]]="STEAM",Table1[[#This Row],[ENGINE_CLASS]]="ELECTRIC",Table1[[#This Row],[ENGINE_CLASS]]="DIESEL"),Table1[[#This Row],[ENGINE_CLASS]],"DISABLE")</f>
        <v>DIESEL</v>
      </c>
      <c r="BF282">
        <v>0</v>
      </c>
      <c r="BG282" t="s">
        <v>735</v>
      </c>
      <c r="BI282"/>
      <c r="BJ282">
        <v>129</v>
      </c>
      <c r="BK282">
        <v>0</v>
      </c>
      <c r="BL282" t="s">
        <v>693</v>
      </c>
      <c r="BM282" t="s">
        <v>695</v>
      </c>
      <c r="BN282" t="s">
        <v>702</v>
      </c>
      <c r="BO282" t="s">
        <v>706</v>
      </c>
      <c r="BP282" t="s">
        <v>707</v>
      </c>
      <c r="BQ282" t="s">
        <v>708</v>
      </c>
    </row>
    <row r="283" spans="1:69" x14ac:dyDescent="0.4">
      <c r="A283" s="2" t="s">
        <v>307</v>
      </c>
      <c r="B283" t="str">
        <f>_xlfn.TEXTAFTER(Table1[[#This Row],[VEHIDCODE]],"_")</f>
        <v>Belarus_BCh_2TE10M</v>
      </c>
      <c r="C283" t="s">
        <v>741</v>
      </c>
      <c r="D283" t="str">
        <f>"item_"&amp;Table1[[#This Row],[VEHIDCODE]]</f>
        <v>item_diesel_Belarus_BCh_2TE10M</v>
      </c>
      <c r="E283" t="str">
        <f>"str_"&amp;Table1[[#This Row],[VEHIDCODE]]</f>
        <v>str_diesel_Belarus_BCh_2TE10M</v>
      </c>
      <c r="F283">
        <v>16</v>
      </c>
      <c r="G283" t="s">
        <v>20</v>
      </c>
      <c r="H283">
        <v>0</v>
      </c>
      <c r="I283" t="s">
        <v>35</v>
      </c>
      <c r="J283">
        <v>0</v>
      </c>
      <c r="K283">
        <v>1981</v>
      </c>
      <c r="L283">
        <v>8</v>
      </c>
      <c r="M283" s="2" t="s">
        <v>20</v>
      </c>
      <c r="N283" t="b">
        <v>1</v>
      </c>
      <c r="P283" s="2"/>
      <c r="Q283">
        <v>45</v>
      </c>
      <c r="R283">
        <v>0</v>
      </c>
      <c r="S283">
        <v>6160</v>
      </c>
      <c r="T283" t="s">
        <v>712</v>
      </c>
      <c r="U283">
        <v>100</v>
      </c>
      <c r="V283" s="2">
        <v>0.18</v>
      </c>
      <c r="AE283" t="b">
        <v>1</v>
      </c>
      <c r="AZ283" s="2"/>
      <c r="BA283" s="7">
        <v>40</v>
      </c>
      <c r="BB283" t="s">
        <v>930</v>
      </c>
      <c r="BC283" t="s">
        <v>923</v>
      </c>
      <c r="BD283" t="s">
        <v>941</v>
      </c>
      <c r="BE283" t="str">
        <f>IF(OR(Table1[[#This Row],[ENGINE_CLASS]]="STEAM",Table1[[#This Row],[ENGINE_CLASS]]="ELECTRIC",Table1[[#This Row],[ENGINE_CLASS]]="DIESEL"),Table1[[#This Row],[ENGINE_CLASS]],"DISABLE")</f>
        <v>DIESEL</v>
      </c>
      <c r="BF283">
        <v>0</v>
      </c>
      <c r="BG283" t="s">
        <v>735</v>
      </c>
      <c r="BI283"/>
      <c r="BJ283">
        <v>276</v>
      </c>
      <c r="BK283">
        <v>0</v>
      </c>
      <c r="BL283" t="s">
        <v>693</v>
      </c>
      <c r="BM283" t="s">
        <v>695</v>
      </c>
      <c r="BN283" t="s">
        <v>702</v>
      </c>
      <c r="BO283" t="s">
        <v>706</v>
      </c>
      <c r="BP283" t="s">
        <v>707</v>
      </c>
      <c r="BQ283" t="s">
        <v>708</v>
      </c>
    </row>
    <row r="284" spans="1:69" x14ac:dyDescent="0.4">
      <c r="A284" s="2" t="s">
        <v>308</v>
      </c>
      <c r="B284" t="str">
        <f>_xlfn.TEXTAFTER(Table1[[#This Row],[VEHIDCODE]],"_")</f>
        <v>Poland_PKP_SP32</v>
      </c>
      <c r="C284" t="s">
        <v>741</v>
      </c>
      <c r="D284" t="str">
        <f>"item_"&amp;Table1[[#This Row],[VEHIDCODE]]</f>
        <v>item_diesel_Poland_PKP_SP32</v>
      </c>
      <c r="E284" t="str">
        <f>"str_"&amp;Table1[[#This Row],[VEHIDCODE]]</f>
        <v>str_diesel_Poland_PKP_SP32</v>
      </c>
      <c r="F284">
        <v>6</v>
      </c>
      <c r="G284" t="s">
        <v>20</v>
      </c>
      <c r="H284">
        <v>0</v>
      </c>
      <c r="I284" t="s">
        <v>35</v>
      </c>
      <c r="J284">
        <v>0</v>
      </c>
      <c r="K284">
        <v>1985</v>
      </c>
      <c r="L284">
        <v>6</v>
      </c>
      <c r="M284" s="2" t="s">
        <v>20</v>
      </c>
      <c r="N284" t="b">
        <v>1</v>
      </c>
      <c r="P284" s="2"/>
      <c r="Q284">
        <v>45</v>
      </c>
      <c r="R284">
        <v>1</v>
      </c>
      <c r="S284">
        <v>1340</v>
      </c>
      <c r="T284" t="s">
        <v>712</v>
      </c>
      <c r="U284">
        <v>100</v>
      </c>
      <c r="V284" s="2">
        <v>0.25</v>
      </c>
      <c r="AE284" t="b">
        <v>1</v>
      </c>
      <c r="AZ284" s="2"/>
      <c r="BA284" s="7">
        <v>40</v>
      </c>
      <c r="BB284" t="s">
        <v>930</v>
      </c>
      <c r="BC284" t="s">
        <v>923</v>
      </c>
      <c r="BD284" t="s">
        <v>941</v>
      </c>
      <c r="BE284" t="str">
        <f>IF(OR(Table1[[#This Row],[ENGINE_CLASS]]="STEAM",Table1[[#This Row],[ENGINE_CLASS]]="ELECTRIC",Table1[[#This Row],[ENGINE_CLASS]]="DIESEL"),Table1[[#This Row],[ENGINE_CLASS]],"DISABLE")</f>
        <v>DIESEL</v>
      </c>
      <c r="BF284">
        <v>0</v>
      </c>
      <c r="BG284" t="s">
        <v>735</v>
      </c>
      <c r="BI284"/>
      <c r="BJ284">
        <v>74</v>
      </c>
      <c r="BK284">
        <v>0</v>
      </c>
      <c r="BL284" t="s">
        <v>693</v>
      </c>
      <c r="BM284" t="s">
        <v>695</v>
      </c>
      <c r="BN284" t="s">
        <v>702</v>
      </c>
      <c r="BO284" t="s">
        <v>706</v>
      </c>
      <c r="BP284" t="s">
        <v>707</v>
      </c>
      <c r="BQ284" t="s">
        <v>708</v>
      </c>
    </row>
    <row r="285" spans="1:69" x14ac:dyDescent="0.4">
      <c r="A285" s="2" t="s">
        <v>309</v>
      </c>
      <c r="B285" t="str">
        <f>_xlfn.TEXTAFTER(Table1[[#This Row],[VEHIDCODE]],"_")</f>
        <v>Ukraine_UZ_2TE126</v>
      </c>
      <c r="C285" t="s">
        <v>741</v>
      </c>
      <c r="D285" t="str">
        <f>"item_"&amp;Table1[[#This Row],[VEHIDCODE]]</f>
        <v>item_diesel_Ukraine_UZ_2TE126</v>
      </c>
      <c r="E285" t="str">
        <f>"str_"&amp;Table1[[#This Row],[VEHIDCODE]]</f>
        <v>str_diesel_Ukraine_UZ_2TE126</v>
      </c>
      <c r="F285">
        <v>8</v>
      </c>
      <c r="G285" t="s">
        <v>20</v>
      </c>
      <c r="H285">
        <v>0</v>
      </c>
      <c r="I285" t="s">
        <v>35</v>
      </c>
      <c r="J285">
        <v>0</v>
      </c>
      <c r="K285">
        <v>1987</v>
      </c>
      <c r="L285">
        <v>8</v>
      </c>
      <c r="M285" s="2" t="s">
        <v>20</v>
      </c>
      <c r="N285" t="b">
        <v>1</v>
      </c>
      <c r="P285" s="2"/>
      <c r="Q285">
        <v>45</v>
      </c>
      <c r="R285">
        <v>0</v>
      </c>
      <c r="S285">
        <v>12000</v>
      </c>
      <c r="T285" t="s">
        <v>712</v>
      </c>
      <c r="U285">
        <v>100</v>
      </c>
      <c r="V285" s="2">
        <v>0.2</v>
      </c>
      <c r="AE285" t="b">
        <v>1</v>
      </c>
      <c r="AZ285" s="2"/>
      <c r="BA285" s="7">
        <v>40</v>
      </c>
      <c r="BB285" t="s">
        <v>930</v>
      </c>
      <c r="BC285" t="s">
        <v>923</v>
      </c>
      <c r="BD285" t="s">
        <v>941</v>
      </c>
      <c r="BE285" t="str">
        <f>IF(OR(Table1[[#This Row],[ENGINE_CLASS]]="STEAM",Table1[[#This Row],[ENGINE_CLASS]]="ELECTRIC",Table1[[#This Row],[ENGINE_CLASS]]="DIESEL"),Table1[[#This Row],[ENGINE_CLASS]],"DISABLE")</f>
        <v>DIESEL</v>
      </c>
      <c r="BF285">
        <v>0</v>
      </c>
      <c r="BG285" t="s">
        <v>735</v>
      </c>
      <c r="BI285"/>
      <c r="BJ285">
        <v>460</v>
      </c>
      <c r="BK285">
        <v>0</v>
      </c>
      <c r="BL285" t="s">
        <v>693</v>
      </c>
      <c r="BM285" t="s">
        <v>695</v>
      </c>
      <c r="BN285" t="s">
        <v>702</v>
      </c>
      <c r="BO285" t="s">
        <v>706</v>
      </c>
      <c r="BP285" t="s">
        <v>707</v>
      </c>
      <c r="BQ285" t="s">
        <v>708</v>
      </c>
    </row>
    <row r="286" spans="1:69" x14ac:dyDescent="0.4">
      <c r="A286" s="2" t="s">
        <v>310</v>
      </c>
      <c r="B286" t="str">
        <f>_xlfn.TEXTAFTER(Table1[[#This Row],[VEHIDCODE]],"_")</f>
        <v>Ukraine_UZ_2TE10Ut</v>
      </c>
      <c r="C286" t="s">
        <v>741</v>
      </c>
      <c r="D286" t="str">
        <f>"item_"&amp;Table1[[#This Row],[VEHIDCODE]]</f>
        <v>item_diesel_Ukraine_UZ_2TE10Ut</v>
      </c>
      <c r="E286" t="str">
        <f>"str_"&amp;Table1[[#This Row],[VEHIDCODE]]</f>
        <v>str_diesel_Ukraine_UZ_2TE10Ut</v>
      </c>
      <c r="F286">
        <v>16</v>
      </c>
      <c r="G286" t="s">
        <v>20</v>
      </c>
      <c r="H286">
        <v>0</v>
      </c>
      <c r="I286" t="s">
        <v>35</v>
      </c>
      <c r="J286">
        <v>0</v>
      </c>
      <c r="K286">
        <v>1989</v>
      </c>
      <c r="L286">
        <v>8</v>
      </c>
      <c r="M286" s="2" t="s">
        <v>20</v>
      </c>
      <c r="N286" t="b">
        <v>1</v>
      </c>
      <c r="P286" s="2"/>
      <c r="Q286">
        <v>45</v>
      </c>
      <c r="R286">
        <v>0</v>
      </c>
      <c r="S286">
        <v>4560</v>
      </c>
      <c r="T286" t="s">
        <v>712</v>
      </c>
      <c r="U286">
        <v>120</v>
      </c>
      <c r="V286" s="2">
        <v>0.15</v>
      </c>
      <c r="AE286" t="b">
        <v>1</v>
      </c>
      <c r="AZ286" s="2"/>
      <c r="BA286" s="7">
        <v>40</v>
      </c>
      <c r="BB286" t="s">
        <v>930</v>
      </c>
      <c r="BC286" t="s">
        <v>923</v>
      </c>
      <c r="BD286" t="s">
        <v>941</v>
      </c>
      <c r="BE286" t="str">
        <f>IF(OR(Table1[[#This Row],[ENGINE_CLASS]]="STEAM",Table1[[#This Row],[ENGINE_CLASS]]="ELECTRIC",Table1[[#This Row],[ENGINE_CLASS]]="DIESEL"),Table1[[#This Row],[ENGINE_CLASS]],"DISABLE")</f>
        <v>DIESEL</v>
      </c>
      <c r="BF286">
        <v>0</v>
      </c>
      <c r="BG286" t="s">
        <v>735</v>
      </c>
      <c r="BI286"/>
      <c r="BJ286">
        <v>276</v>
      </c>
      <c r="BK286">
        <v>0</v>
      </c>
      <c r="BL286" t="s">
        <v>693</v>
      </c>
      <c r="BM286" t="s">
        <v>695</v>
      </c>
      <c r="BN286" t="s">
        <v>702</v>
      </c>
      <c r="BO286" t="s">
        <v>706</v>
      </c>
      <c r="BP286" t="s">
        <v>707</v>
      </c>
      <c r="BQ286" t="s">
        <v>708</v>
      </c>
    </row>
    <row r="287" spans="1:69" x14ac:dyDescent="0.4">
      <c r="A287" s="2" t="s">
        <v>311</v>
      </c>
      <c r="B287" t="str">
        <f>_xlfn.TEXTAFTER(Table1[[#This Row],[VEHIDCODE]],"_")</f>
        <v>Serbia_ZS_621</v>
      </c>
      <c r="C287" t="s">
        <v>741</v>
      </c>
      <c r="D287" t="str">
        <f>"item_"&amp;Table1[[#This Row],[VEHIDCODE]]</f>
        <v>item_diesel_Serbia_ZS_621</v>
      </c>
      <c r="E287" t="str">
        <f>"str_"&amp;Table1[[#This Row],[VEHIDCODE]]</f>
        <v>str_diesel_Serbia_ZS_621</v>
      </c>
      <c r="F287">
        <v>4</v>
      </c>
      <c r="G287" t="s">
        <v>20</v>
      </c>
      <c r="H287">
        <v>0</v>
      </c>
      <c r="I287" t="s">
        <v>35</v>
      </c>
      <c r="J287">
        <v>0</v>
      </c>
      <c r="K287">
        <v>1992</v>
      </c>
      <c r="L287">
        <v>4</v>
      </c>
      <c r="M287" s="2" t="s">
        <v>20</v>
      </c>
      <c r="N287" t="b">
        <v>1</v>
      </c>
      <c r="P287" s="2"/>
      <c r="Q287">
        <v>45</v>
      </c>
      <c r="R287">
        <v>0</v>
      </c>
      <c r="S287">
        <v>530</v>
      </c>
      <c r="T287" t="s">
        <v>712</v>
      </c>
      <c r="U287">
        <v>80</v>
      </c>
      <c r="V287" s="2">
        <v>0.3</v>
      </c>
      <c r="AE287" t="b">
        <v>1</v>
      </c>
      <c r="AZ287" s="2"/>
      <c r="BA287" s="7">
        <v>40</v>
      </c>
      <c r="BB287" t="s">
        <v>930</v>
      </c>
      <c r="BC287" t="s">
        <v>923</v>
      </c>
      <c r="BD287" t="s">
        <v>941</v>
      </c>
      <c r="BE287" t="str">
        <f>IF(OR(Table1[[#This Row],[ENGINE_CLASS]]="STEAM",Table1[[#This Row],[ENGINE_CLASS]]="ELECTRIC",Table1[[#This Row],[ENGINE_CLASS]]="DIESEL"),Table1[[#This Row],[ENGINE_CLASS]],"DISABLE")</f>
        <v>DIESEL</v>
      </c>
      <c r="BF287">
        <v>0</v>
      </c>
      <c r="BG287" t="s">
        <v>735</v>
      </c>
      <c r="BI287"/>
      <c r="BJ287">
        <v>36</v>
      </c>
      <c r="BK287">
        <v>0</v>
      </c>
      <c r="BL287" t="s">
        <v>693</v>
      </c>
      <c r="BM287" t="s">
        <v>695</v>
      </c>
      <c r="BN287" t="s">
        <v>702</v>
      </c>
      <c r="BO287" t="s">
        <v>706</v>
      </c>
      <c r="BP287" t="s">
        <v>707</v>
      </c>
      <c r="BQ287" t="s">
        <v>708</v>
      </c>
    </row>
    <row r="288" spans="1:69" x14ac:dyDescent="0.4">
      <c r="A288" s="2" t="s">
        <v>312</v>
      </c>
      <c r="B288" t="str">
        <f>_xlfn.TEXTAFTER(Table1[[#This Row],[VEHIDCODE]],"_")</f>
        <v>Italy_FS_207</v>
      </c>
      <c r="C288" t="s">
        <v>741</v>
      </c>
      <c r="D288" t="str">
        <f>"item_"&amp;Table1[[#This Row],[VEHIDCODE]]</f>
        <v>item_diesel_Italy_FS_207</v>
      </c>
      <c r="E288" t="str">
        <f>"str_"&amp;Table1[[#This Row],[VEHIDCODE]]</f>
        <v>str_diesel_Italy_FS_207</v>
      </c>
      <c r="F288">
        <v>2</v>
      </c>
      <c r="G288" t="s">
        <v>20</v>
      </c>
      <c r="H288">
        <v>0</v>
      </c>
      <c r="I288" t="s">
        <v>35</v>
      </c>
      <c r="J288">
        <v>0</v>
      </c>
      <c r="K288">
        <v>1931</v>
      </c>
      <c r="L288">
        <v>2</v>
      </c>
      <c r="M288" s="2" t="s">
        <v>20</v>
      </c>
      <c r="N288" t="b">
        <v>1</v>
      </c>
      <c r="P288" s="2"/>
      <c r="Q288">
        <v>45</v>
      </c>
      <c r="R288">
        <v>1</v>
      </c>
      <c r="S288">
        <v>75</v>
      </c>
      <c r="T288" t="s">
        <v>712</v>
      </c>
      <c r="U288">
        <v>30</v>
      </c>
      <c r="V288" s="2">
        <v>0.27</v>
      </c>
      <c r="AE288" t="b">
        <v>1</v>
      </c>
      <c r="AZ288" s="2"/>
      <c r="BA288" s="7">
        <v>40</v>
      </c>
      <c r="BB288" t="s">
        <v>925</v>
      </c>
      <c r="BC288" t="s">
        <v>923</v>
      </c>
      <c r="BD288" t="s">
        <v>941</v>
      </c>
      <c r="BE288" t="str">
        <f>IF(OR(Table1[[#This Row],[ENGINE_CLASS]]="STEAM",Table1[[#This Row],[ENGINE_CLASS]]="ELECTRIC",Table1[[#This Row],[ENGINE_CLASS]]="DIESEL"),Table1[[#This Row],[ENGINE_CLASS]],"DISABLE")</f>
        <v>DIESEL</v>
      </c>
      <c r="BF288">
        <v>0</v>
      </c>
      <c r="BG288" t="s">
        <v>735</v>
      </c>
      <c r="BI288"/>
      <c r="BJ288">
        <v>6</v>
      </c>
      <c r="BK288">
        <v>0</v>
      </c>
      <c r="BL288" t="s">
        <v>693</v>
      </c>
      <c r="BM288" t="s">
        <v>695</v>
      </c>
      <c r="BN288" t="s">
        <v>702</v>
      </c>
      <c r="BO288" t="s">
        <v>706</v>
      </c>
      <c r="BP288" t="s">
        <v>707</v>
      </c>
      <c r="BQ288" t="s">
        <v>708</v>
      </c>
    </row>
    <row r="289" spans="1:69" x14ac:dyDescent="0.4">
      <c r="A289" s="2" t="s">
        <v>313</v>
      </c>
      <c r="B289" t="str">
        <f>_xlfn.TEXTAFTER(Table1[[#This Row],[VEHIDCODE]],"_")</f>
        <v>Russia_RZD_Db</v>
      </c>
      <c r="C289" t="s">
        <v>741</v>
      </c>
      <c r="D289" t="str">
        <f>"item_"&amp;Table1[[#This Row],[VEHIDCODE]]</f>
        <v>item_diesel_Russia_RZD_Db</v>
      </c>
      <c r="E289" t="str">
        <f>"str_"&amp;Table1[[#This Row],[VEHIDCODE]]</f>
        <v>str_diesel_Russia_RZD_Db</v>
      </c>
      <c r="F289">
        <v>8</v>
      </c>
      <c r="G289" t="s">
        <v>20</v>
      </c>
      <c r="H289">
        <v>0</v>
      </c>
      <c r="I289" t="s">
        <v>35</v>
      </c>
      <c r="J289">
        <v>0</v>
      </c>
      <c r="K289">
        <v>1945</v>
      </c>
      <c r="L289">
        <v>8</v>
      </c>
      <c r="M289" s="2" t="s">
        <v>20</v>
      </c>
      <c r="N289" t="b">
        <v>1</v>
      </c>
      <c r="P289" s="2"/>
      <c r="Q289">
        <v>45</v>
      </c>
      <c r="R289">
        <v>1</v>
      </c>
      <c r="S289">
        <v>1000</v>
      </c>
      <c r="T289" t="s">
        <v>712</v>
      </c>
      <c r="U289">
        <v>97</v>
      </c>
      <c r="V289" s="2">
        <v>0.15</v>
      </c>
      <c r="AE289" t="b">
        <v>1</v>
      </c>
      <c r="AZ289" s="2"/>
      <c r="BA289" s="7">
        <v>40</v>
      </c>
      <c r="BB289" t="s">
        <v>932</v>
      </c>
      <c r="BC289" t="s">
        <v>923</v>
      </c>
      <c r="BD289" t="s">
        <v>941</v>
      </c>
      <c r="BE289" t="str">
        <f>IF(OR(Table1[[#This Row],[ENGINE_CLASS]]="STEAM",Table1[[#This Row],[ENGINE_CLASS]]="ELECTRIC",Table1[[#This Row],[ENGINE_CLASS]]="DIESEL"),Table1[[#This Row],[ENGINE_CLASS]],"DISABLE")</f>
        <v>DIESEL</v>
      </c>
      <c r="BF289">
        <v>0</v>
      </c>
      <c r="BG289" t="s">
        <v>735</v>
      </c>
      <c r="BI289"/>
      <c r="BJ289">
        <v>117</v>
      </c>
      <c r="BK289">
        <v>0</v>
      </c>
      <c r="BL289" t="s">
        <v>693</v>
      </c>
      <c r="BM289" t="s">
        <v>695</v>
      </c>
      <c r="BN289" t="s">
        <v>702</v>
      </c>
      <c r="BO289" t="s">
        <v>706</v>
      </c>
      <c r="BP289" t="s">
        <v>707</v>
      </c>
      <c r="BQ289" t="s">
        <v>708</v>
      </c>
    </row>
    <row r="290" spans="1:69" x14ac:dyDescent="0.4">
      <c r="A290" s="2" t="s">
        <v>314</v>
      </c>
      <c r="B290" t="str">
        <f>_xlfn.TEXTAFTER(Table1[[#This Row],[VEHIDCODE]],"_")</f>
        <v>Portugal_CP_1500</v>
      </c>
      <c r="C290" t="s">
        <v>741</v>
      </c>
      <c r="D290" t="str">
        <f>"item_"&amp;Table1[[#This Row],[VEHIDCODE]]</f>
        <v>item_diesel_Portugal_CP_1500</v>
      </c>
      <c r="E290" t="str">
        <f>"str_"&amp;Table1[[#This Row],[VEHIDCODE]]</f>
        <v>str_diesel_Portugal_CP_1500</v>
      </c>
      <c r="F290">
        <v>6</v>
      </c>
      <c r="G290" t="s">
        <v>20</v>
      </c>
      <c r="H290">
        <v>0</v>
      </c>
      <c r="I290" t="s">
        <v>35</v>
      </c>
      <c r="J290">
        <v>0</v>
      </c>
      <c r="K290">
        <v>1948</v>
      </c>
      <c r="L290">
        <v>6</v>
      </c>
      <c r="M290" s="2" t="s">
        <v>20</v>
      </c>
      <c r="N290" t="b">
        <v>1</v>
      </c>
      <c r="P290" s="2"/>
      <c r="Q290">
        <v>45</v>
      </c>
      <c r="R290">
        <v>1</v>
      </c>
      <c r="S290">
        <v>1700</v>
      </c>
      <c r="T290" t="s">
        <v>712</v>
      </c>
      <c r="U290">
        <v>120</v>
      </c>
      <c r="V290" s="2">
        <v>0.15</v>
      </c>
      <c r="AE290" t="b">
        <v>1</v>
      </c>
      <c r="AZ290" s="2"/>
      <c r="BA290" s="7">
        <v>40</v>
      </c>
      <c r="BB290" t="s">
        <v>925</v>
      </c>
      <c r="BC290" t="s">
        <v>923</v>
      </c>
      <c r="BD290" t="s">
        <v>941</v>
      </c>
      <c r="BE290" t="str">
        <f>IF(OR(Table1[[#This Row],[ENGINE_CLASS]]="STEAM",Table1[[#This Row],[ENGINE_CLASS]]="ELECTRIC",Table1[[#This Row],[ENGINE_CLASS]]="DIESEL"),Table1[[#This Row],[ENGINE_CLASS]],"DISABLE")</f>
        <v>DIESEL</v>
      </c>
      <c r="BF290">
        <v>0</v>
      </c>
      <c r="BG290" t="s">
        <v>735</v>
      </c>
      <c r="BI290"/>
      <c r="BJ290">
        <v>111</v>
      </c>
      <c r="BK290">
        <v>0</v>
      </c>
      <c r="BL290" t="s">
        <v>693</v>
      </c>
      <c r="BM290" t="s">
        <v>695</v>
      </c>
      <c r="BN290" t="s">
        <v>702</v>
      </c>
      <c r="BO290" t="s">
        <v>706</v>
      </c>
      <c r="BP290" t="s">
        <v>707</v>
      </c>
      <c r="BQ290" t="s">
        <v>708</v>
      </c>
    </row>
    <row r="291" spans="1:69" x14ac:dyDescent="0.4">
      <c r="A291" s="2" t="s">
        <v>315</v>
      </c>
      <c r="B291" t="str">
        <f>_xlfn.TEXTAFTER(Table1[[#This Row],[VEHIDCODE]],"_")</f>
        <v>France_SNCF_BB_67400</v>
      </c>
      <c r="C291" t="s">
        <v>741</v>
      </c>
      <c r="D291" t="str">
        <f>"item_"&amp;Table1[[#This Row],[VEHIDCODE]]</f>
        <v>item_diesel_France_SNCF_BB_67400</v>
      </c>
      <c r="E291" t="str">
        <f>"str_"&amp;Table1[[#This Row],[VEHIDCODE]]</f>
        <v>str_diesel_France_SNCF_BB_67400</v>
      </c>
      <c r="F291">
        <v>8</v>
      </c>
      <c r="G291" t="s">
        <v>20</v>
      </c>
      <c r="H291">
        <v>0</v>
      </c>
      <c r="I291" t="s">
        <v>35</v>
      </c>
      <c r="J291">
        <v>0</v>
      </c>
      <c r="K291">
        <v>1969</v>
      </c>
      <c r="L291">
        <v>8</v>
      </c>
      <c r="M291" s="2" t="s">
        <v>20</v>
      </c>
      <c r="N291" t="b">
        <v>1</v>
      </c>
      <c r="P291" s="2"/>
      <c r="Q291">
        <v>45</v>
      </c>
      <c r="R291">
        <v>1</v>
      </c>
      <c r="S291">
        <v>2245</v>
      </c>
      <c r="T291" t="s">
        <v>712</v>
      </c>
      <c r="U291">
        <v>140</v>
      </c>
      <c r="V291" s="2">
        <v>0.34</v>
      </c>
      <c r="AE291" t="b">
        <v>1</v>
      </c>
      <c r="AZ291" s="2"/>
      <c r="BA291" s="7">
        <v>40</v>
      </c>
      <c r="BB291" t="s">
        <v>924</v>
      </c>
      <c r="BC291" t="s">
        <v>923</v>
      </c>
      <c r="BD291" t="s">
        <v>941</v>
      </c>
      <c r="BE291" t="str">
        <f>IF(OR(Table1[[#This Row],[ENGINE_CLASS]]="STEAM",Table1[[#This Row],[ENGINE_CLASS]]="ELECTRIC",Table1[[#This Row],[ENGINE_CLASS]]="DIESEL"),Table1[[#This Row],[ENGINE_CLASS]],"DISABLE")</f>
        <v>DIESEL</v>
      </c>
      <c r="BF291">
        <v>0</v>
      </c>
      <c r="BG291" t="s">
        <v>735</v>
      </c>
      <c r="BI291"/>
      <c r="BJ291">
        <v>83</v>
      </c>
      <c r="BK291">
        <v>0</v>
      </c>
      <c r="BL291" t="s">
        <v>693</v>
      </c>
      <c r="BM291" t="s">
        <v>695</v>
      </c>
      <c r="BN291" t="s">
        <v>702</v>
      </c>
      <c r="BO291" t="s">
        <v>706</v>
      </c>
      <c r="BP291" t="s">
        <v>707</v>
      </c>
      <c r="BQ291" t="s">
        <v>708</v>
      </c>
    </row>
    <row r="292" spans="1:69" x14ac:dyDescent="0.4">
      <c r="A292" s="2" t="s">
        <v>316</v>
      </c>
      <c r="B292" t="str">
        <f>_xlfn.TEXTAFTER(Table1[[#This Row],[VEHIDCODE]],"_")</f>
        <v>Netherlands_NS_6400</v>
      </c>
      <c r="C292" t="s">
        <v>741</v>
      </c>
      <c r="D292" t="str">
        <f>"item_"&amp;Table1[[#This Row],[VEHIDCODE]]</f>
        <v>item_diesel_Netherlands_NS_6400</v>
      </c>
      <c r="E292" t="str">
        <f>"str_"&amp;Table1[[#This Row],[VEHIDCODE]]</f>
        <v>str_diesel_Netherlands_NS_6400</v>
      </c>
      <c r="F292">
        <v>6</v>
      </c>
      <c r="G292" t="s">
        <v>20</v>
      </c>
      <c r="H292">
        <v>0</v>
      </c>
      <c r="I292" t="s">
        <v>35</v>
      </c>
      <c r="J292">
        <v>0</v>
      </c>
      <c r="K292">
        <v>1988</v>
      </c>
      <c r="L292">
        <v>6</v>
      </c>
      <c r="M292" s="2" t="s">
        <v>20</v>
      </c>
      <c r="N292" t="b">
        <v>1</v>
      </c>
      <c r="P292" s="2"/>
      <c r="Q292">
        <v>45</v>
      </c>
      <c r="R292">
        <v>1</v>
      </c>
      <c r="S292">
        <v>1581</v>
      </c>
      <c r="T292" t="s">
        <v>712</v>
      </c>
      <c r="U292">
        <v>120</v>
      </c>
      <c r="V292" s="2">
        <v>0.38</v>
      </c>
      <c r="AE292" t="b">
        <v>1</v>
      </c>
      <c r="AZ292" s="2"/>
      <c r="BA292" s="7">
        <v>40</v>
      </c>
      <c r="BB292" t="s">
        <v>924</v>
      </c>
      <c r="BC292" t="s">
        <v>923</v>
      </c>
      <c r="BD292" t="s">
        <v>941</v>
      </c>
      <c r="BE292" t="str">
        <f>IF(OR(Table1[[#This Row],[ENGINE_CLASS]]="STEAM",Table1[[#This Row],[ENGINE_CLASS]]="ELECTRIC",Table1[[#This Row],[ENGINE_CLASS]]="DIESEL"),Table1[[#This Row],[ENGINE_CLASS]],"DISABLE")</f>
        <v>DIESEL</v>
      </c>
      <c r="BF292">
        <v>0</v>
      </c>
      <c r="BG292" t="s">
        <v>735</v>
      </c>
      <c r="BI292"/>
      <c r="BJ292">
        <v>80</v>
      </c>
      <c r="BK292">
        <v>0</v>
      </c>
      <c r="BL292" t="s">
        <v>693</v>
      </c>
      <c r="BM292" t="s">
        <v>695</v>
      </c>
      <c r="BN292" t="s">
        <v>702</v>
      </c>
      <c r="BO292" t="s">
        <v>706</v>
      </c>
      <c r="BP292" t="s">
        <v>707</v>
      </c>
      <c r="BQ292" t="s">
        <v>708</v>
      </c>
    </row>
    <row r="293" spans="1:69" x14ac:dyDescent="0.4">
      <c r="A293" s="2" t="s">
        <v>317</v>
      </c>
      <c r="B293" t="str">
        <f>_xlfn.TEXTAFTER(Table1[[#This Row],[VEHIDCODE]],"_")</f>
        <v>Egypt_ENR_2400_GE_ES40ACi</v>
      </c>
      <c r="C293" t="s">
        <v>741</v>
      </c>
      <c r="D293" t="str">
        <f>"item_"&amp;Table1[[#This Row],[VEHIDCODE]]</f>
        <v>item_diesel_Egypt_ENR_2400_GE_ES40ACi</v>
      </c>
      <c r="E293" t="str">
        <f>"str_"&amp;Table1[[#This Row],[VEHIDCODE]]</f>
        <v>str_diesel_Egypt_ENR_2400_GE_ES40ACi</v>
      </c>
      <c r="F293">
        <v>8</v>
      </c>
      <c r="G293" t="s">
        <v>20</v>
      </c>
      <c r="H293">
        <v>0</v>
      </c>
      <c r="I293" t="s">
        <v>35</v>
      </c>
      <c r="J293">
        <v>0</v>
      </c>
      <c r="K293">
        <v>2009</v>
      </c>
      <c r="L293">
        <v>8</v>
      </c>
      <c r="M293" s="2" t="s">
        <v>20</v>
      </c>
      <c r="N293" t="b">
        <v>1</v>
      </c>
      <c r="P293" s="2"/>
      <c r="Q293">
        <v>45</v>
      </c>
      <c r="R293">
        <v>1</v>
      </c>
      <c r="S293">
        <v>4000</v>
      </c>
      <c r="T293" t="s">
        <v>712</v>
      </c>
      <c r="U293">
        <v>120</v>
      </c>
      <c r="V293" s="2">
        <v>0.53</v>
      </c>
      <c r="AE293" t="b">
        <v>1</v>
      </c>
      <c r="AZ293" s="2"/>
      <c r="BA293" s="7">
        <v>40</v>
      </c>
      <c r="BB293" t="s">
        <v>927</v>
      </c>
      <c r="BC293" t="s">
        <v>923</v>
      </c>
      <c r="BD293" t="s">
        <v>941</v>
      </c>
      <c r="BE293" t="str">
        <f>IF(OR(Table1[[#This Row],[ENGINE_CLASS]]="STEAM",Table1[[#This Row],[ENGINE_CLASS]]="ELECTRIC",Table1[[#This Row],[ENGINE_CLASS]]="DIESEL"),Table1[[#This Row],[ENGINE_CLASS]],"DISABLE")</f>
        <v>DIESEL</v>
      </c>
      <c r="BF293">
        <v>0</v>
      </c>
      <c r="BG293" t="s">
        <v>735</v>
      </c>
      <c r="BI293"/>
      <c r="BJ293">
        <v>138</v>
      </c>
      <c r="BK293">
        <v>0</v>
      </c>
      <c r="BL293" t="s">
        <v>693</v>
      </c>
      <c r="BM293" t="s">
        <v>695</v>
      </c>
      <c r="BN293" t="s">
        <v>702</v>
      </c>
      <c r="BO293" t="s">
        <v>706</v>
      </c>
      <c r="BP293" t="s">
        <v>707</v>
      </c>
      <c r="BQ293" t="s">
        <v>708</v>
      </c>
    </row>
    <row r="294" spans="1:69" x14ac:dyDescent="0.4">
      <c r="A294" s="2" t="s">
        <v>318</v>
      </c>
      <c r="B294" t="str">
        <f>_xlfn.TEXTAFTER(Table1[[#This Row],[VEHIDCODE]],"_")</f>
        <v>South_Africa_SAR_Afro_4000</v>
      </c>
      <c r="C294" t="s">
        <v>741</v>
      </c>
      <c r="D294" t="str">
        <f>"item_"&amp;Table1[[#This Row],[VEHIDCODE]]</f>
        <v>item_diesel_South_Africa_SAR_Afro_4000</v>
      </c>
      <c r="E294" t="str">
        <f>"str_"&amp;Table1[[#This Row],[VEHIDCODE]]</f>
        <v>str_diesel_South_Africa_SAR_Afro_4000</v>
      </c>
      <c r="F294">
        <v>8</v>
      </c>
      <c r="G294" t="s">
        <v>20</v>
      </c>
      <c r="H294">
        <v>0</v>
      </c>
      <c r="I294" t="s">
        <v>35</v>
      </c>
      <c r="J294">
        <v>0</v>
      </c>
      <c r="K294">
        <v>2014</v>
      </c>
      <c r="L294">
        <v>8</v>
      </c>
      <c r="M294" s="2" t="s">
        <v>20</v>
      </c>
      <c r="N294" t="b">
        <v>1</v>
      </c>
      <c r="P294" s="2"/>
      <c r="Q294" t="s">
        <v>21</v>
      </c>
      <c r="R294">
        <v>1</v>
      </c>
      <c r="S294">
        <v>4262</v>
      </c>
      <c r="T294" t="s">
        <v>712</v>
      </c>
      <c r="U294">
        <v>130</v>
      </c>
      <c r="V294" s="2">
        <v>0.26</v>
      </c>
      <c r="AE294" t="b">
        <v>1</v>
      </c>
      <c r="AZ294" s="2"/>
      <c r="BA294" s="7">
        <v>40</v>
      </c>
      <c r="BB294" t="s">
        <v>927</v>
      </c>
      <c r="BC294" t="s">
        <v>923</v>
      </c>
      <c r="BD294" t="s">
        <v>941</v>
      </c>
      <c r="BE294" t="str">
        <f>IF(OR(Table1[[#This Row],[ENGINE_CLASS]]="STEAM",Table1[[#This Row],[ENGINE_CLASS]]="ELECTRIC",Table1[[#This Row],[ENGINE_CLASS]]="DIESEL"),Table1[[#This Row],[ENGINE_CLASS]],"DISABLE")</f>
        <v>DIESEL</v>
      </c>
      <c r="BF294">
        <v>0</v>
      </c>
      <c r="BG294" t="s">
        <v>735</v>
      </c>
      <c r="BI294"/>
      <c r="BJ294">
        <v>123</v>
      </c>
      <c r="BK294">
        <v>0</v>
      </c>
      <c r="BL294" t="s">
        <v>693</v>
      </c>
      <c r="BM294" t="s">
        <v>695</v>
      </c>
      <c r="BN294" t="s">
        <v>702</v>
      </c>
      <c r="BO294" t="s">
        <v>706</v>
      </c>
      <c r="BP294" t="s">
        <v>707</v>
      </c>
      <c r="BQ294" t="s">
        <v>708</v>
      </c>
    </row>
    <row r="295" spans="1:69" x14ac:dyDescent="0.4">
      <c r="A295" s="2" t="s">
        <v>319</v>
      </c>
      <c r="B295" t="str">
        <f>_xlfn.TEXTAFTER(Table1[[#This Row],[VEHIDCODE]],"_")</f>
        <v>Spain_RENFE_308</v>
      </c>
      <c r="C295" t="s">
        <v>741</v>
      </c>
      <c r="D295" t="str">
        <f>"item_"&amp;Table1[[#This Row],[VEHIDCODE]]</f>
        <v>item_diesel_Spain_RENFE_308</v>
      </c>
      <c r="E295" t="str">
        <f>"str_"&amp;Table1[[#This Row],[VEHIDCODE]]</f>
        <v>str_diesel_Spain_RENFE_308</v>
      </c>
      <c r="F295">
        <v>5</v>
      </c>
      <c r="G295" t="s">
        <v>20</v>
      </c>
      <c r="H295">
        <v>0</v>
      </c>
      <c r="I295" t="s">
        <v>35</v>
      </c>
      <c r="J295">
        <v>0</v>
      </c>
      <c r="K295">
        <v>1966</v>
      </c>
      <c r="L295">
        <v>5</v>
      </c>
      <c r="M295" s="2" t="s">
        <v>20</v>
      </c>
      <c r="N295" t="b">
        <v>1</v>
      </c>
      <c r="P295" s="2"/>
      <c r="Q295">
        <v>45</v>
      </c>
      <c r="R295">
        <v>1</v>
      </c>
      <c r="S295">
        <v>710</v>
      </c>
      <c r="T295" t="s">
        <v>712</v>
      </c>
      <c r="U295">
        <v>120</v>
      </c>
      <c r="V295" s="2">
        <v>0.2</v>
      </c>
      <c r="AE295" t="b">
        <v>1</v>
      </c>
      <c r="AZ295" s="2"/>
      <c r="BA295" s="7">
        <v>40</v>
      </c>
      <c r="BB295" t="s">
        <v>925</v>
      </c>
      <c r="BC295" t="s">
        <v>923</v>
      </c>
      <c r="BD295" t="s">
        <v>941</v>
      </c>
      <c r="BE295" t="str">
        <f>IF(OR(Table1[[#This Row],[ENGINE_CLASS]]="STEAM",Table1[[#This Row],[ENGINE_CLASS]]="ELECTRIC",Table1[[#This Row],[ENGINE_CLASS]]="DIESEL"),Table1[[#This Row],[ENGINE_CLASS]],"DISABLE")</f>
        <v>DIESEL</v>
      </c>
      <c r="BF295">
        <v>0</v>
      </c>
      <c r="BG295" t="s">
        <v>735</v>
      </c>
      <c r="BI295"/>
      <c r="BJ295">
        <v>64</v>
      </c>
      <c r="BK295">
        <v>0</v>
      </c>
      <c r="BL295" t="s">
        <v>693</v>
      </c>
      <c r="BM295" t="s">
        <v>695</v>
      </c>
      <c r="BN295" t="s">
        <v>702</v>
      </c>
      <c r="BO295" t="s">
        <v>706</v>
      </c>
      <c r="BP295" t="s">
        <v>707</v>
      </c>
      <c r="BQ295" t="s">
        <v>708</v>
      </c>
    </row>
    <row r="296" spans="1:69" x14ac:dyDescent="0.4">
      <c r="A296" s="2" t="s">
        <v>320</v>
      </c>
      <c r="B296" t="str">
        <f>_xlfn.TEXTAFTER(Table1[[#This Row],[VEHIDCODE]],"_")</f>
        <v>Australia_Pacific_National_XR_XRB</v>
      </c>
      <c r="C296" t="s">
        <v>741</v>
      </c>
      <c r="D296" t="str">
        <f>"item_"&amp;Table1[[#This Row],[VEHIDCODE]]</f>
        <v>item_diesel_Australia_Pacific_National_XR_XRB</v>
      </c>
      <c r="E296" t="str">
        <f>"str_"&amp;Table1[[#This Row],[VEHIDCODE]]</f>
        <v>str_diesel_Australia_Pacific_National_XR_XRB</v>
      </c>
      <c r="F296">
        <v>7</v>
      </c>
      <c r="G296" t="s">
        <v>20</v>
      </c>
      <c r="H296">
        <v>0</v>
      </c>
      <c r="I296" t="s">
        <v>35</v>
      </c>
      <c r="J296">
        <v>0</v>
      </c>
      <c r="K296">
        <v>2002</v>
      </c>
      <c r="L296">
        <v>7</v>
      </c>
      <c r="M296" s="2" t="s">
        <v>24</v>
      </c>
      <c r="N296" t="b">
        <v>1</v>
      </c>
      <c r="P296" s="2"/>
      <c r="Q296">
        <v>45</v>
      </c>
      <c r="R296">
        <v>1</v>
      </c>
      <c r="S296">
        <v>3300</v>
      </c>
      <c r="T296" t="s">
        <v>712</v>
      </c>
      <c r="U296">
        <v>115</v>
      </c>
      <c r="V296" s="2">
        <v>0.34</v>
      </c>
      <c r="AE296" t="b">
        <v>1</v>
      </c>
      <c r="AZ296" s="2"/>
      <c r="BA296" s="7">
        <v>40</v>
      </c>
      <c r="BB296" t="s">
        <v>926</v>
      </c>
      <c r="BC296" t="s">
        <v>923</v>
      </c>
      <c r="BD296" t="s">
        <v>941</v>
      </c>
      <c r="BE296" t="str">
        <f>IF(OR(Table1[[#This Row],[ENGINE_CLASS]]="STEAM",Table1[[#This Row],[ENGINE_CLASS]]="ELECTRIC",Table1[[#This Row],[ENGINE_CLASS]]="DIESEL"),Table1[[#This Row],[ENGINE_CLASS]],"DISABLE")</f>
        <v>DIESEL</v>
      </c>
      <c r="BF296">
        <v>0</v>
      </c>
      <c r="BG296" t="s">
        <v>735</v>
      </c>
      <c r="BI296"/>
      <c r="BJ296">
        <v>124</v>
      </c>
      <c r="BK296">
        <v>0</v>
      </c>
      <c r="BL296" t="s">
        <v>693</v>
      </c>
      <c r="BM296" t="s">
        <v>695</v>
      </c>
      <c r="BN296" t="s">
        <v>702</v>
      </c>
      <c r="BO296" t="s">
        <v>706</v>
      </c>
      <c r="BP296" t="s">
        <v>707</v>
      </c>
      <c r="BQ296" t="s">
        <v>708</v>
      </c>
    </row>
    <row r="297" spans="1:69" x14ac:dyDescent="0.4">
      <c r="A297" s="2" t="s">
        <v>321</v>
      </c>
      <c r="B297" t="str">
        <f>_xlfn.TEXTAFTER(Table1[[#This Row],[VEHIDCODE]],"_")</f>
        <v>Norway_CargoNet_312</v>
      </c>
      <c r="C297" t="s">
        <v>741</v>
      </c>
      <c r="D297" t="str">
        <f>"item_"&amp;Table1[[#This Row],[VEHIDCODE]]</f>
        <v>item_diesel_Norway_CargoNet_312</v>
      </c>
      <c r="E297" t="str">
        <f>"str_"&amp;Table1[[#This Row],[VEHIDCODE]]</f>
        <v>str_diesel_Norway_CargoNet_312</v>
      </c>
      <c r="F297">
        <v>8</v>
      </c>
      <c r="G297" t="s">
        <v>20</v>
      </c>
      <c r="H297">
        <v>0</v>
      </c>
      <c r="I297" t="s">
        <v>35</v>
      </c>
      <c r="J297">
        <v>0</v>
      </c>
      <c r="K297">
        <v>2006</v>
      </c>
      <c r="L297">
        <v>8</v>
      </c>
      <c r="M297" s="2" t="s">
        <v>20</v>
      </c>
      <c r="N297" t="b">
        <v>1</v>
      </c>
      <c r="P297" s="2"/>
      <c r="Q297">
        <v>45</v>
      </c>
      <c r="R297">
        <v>0</v>
      </c>
      <c r="S297">
        <v>4262</v>
      </c>
      <c r="T297" t="s">
        <v>712</v>
      </c>
      <c r="U297">
        <v>120</v>
      </c>
      <c r="V297" s="2">
        <v>0.33</v>
      </c>
      <c r="AE297" t="b">
        <v>1</v>
      </c>
      <c r="AZ297" s="2"/>
      <c r="BA297" s="7">
        <v>40</v>
      </c>
      <c r="BB297" t="s">
        <v>928</v>
      </c>
      <c r="BC297" t="s">
        <v>923</v>
      </c>
      <c r="BD297" t="s">
        <v>941</v>
      </c>
      <c r="BE297" t="str">
        <f>IF(OR(Table1[[#This Row],[ENGINE_CLASS]]="STEAM",Table1[[#This Row],[ENGINE_CLASS]]="ELECTRIC",Table1[[#This Row],[ENGINE_CLASS]]="DIESEL"),Table1[[#This Row],[ENGINE_CLASS]],"DISABLE")</f>
        <v>DIESEL</v>
      </c>
      <c r="BF297">
        <v>0</v>
      </c>
      <c r="BG297" t="s">
        <v>735</v>
      </c>
      <c r="BI297"/>
      <c r="BJ297">
        <v>123</v>
      </c>
      <c r="BK297">
        <v>0</v>
      </c>
      <c r="BL297" t="s">
        <v>693</v>
      </c>
      <c r="BM297" t="s">
        <v>695</v>
      </c>
      <c r="BN297" t="s">
        <v>702</v>
      </c>
      <c r="BO297" t="s">
        <v>706</v>
      </c>
      <c r="BP297" t="s">
        <v>707</v>
      </c>
      <c r="BQ297" t="s">
        <v>708</v>
      </c>
    </row>
    <row r="298" spans="1:69" x14ac:dyDescent="0.4">
      <c r="A298" s="2" t="s">
        <v>322</v>
      </c>
      <c r="B298" t="str">
        <f>_xlfn.TEXTAFTER(Table1[[#This Row],[VEHIDCODE]],"_")</f>
        <v>Australia_Pacific_National_92</v>
      </c>
      <c r="C298" t="s">
        <v>741</v>
      </c>
      <c r="D298" t="str">
        <f>"item_"&amp;Table1[[#This Row],[VEHIDCODE]]</f>
        <v>item_diesel_Australia_Pacific_National_92</v>
      </c>
      <c r="E298" t="str">
        <f>"str_"&amp;Table1[[#This Row],[VEHIDCODE]]</f>
        <v>str_diesel_Australia_Pacific_National_92</v>
      </c>
      <c r="F298">
        <v>8</v>
      </c>
      <c r="G298" t="s">
        <v>20</v>
      </c>
      <c r="H298">
        <v>0</v>
      </c>
      <c r="I298" t="s">
        <v>35</v>
      </c>
      <c r="J298">
        <v>0</v>
      </c>
      <c r="K298">
        <v>2008</v>
      </c>
      <c r="L298">
        <v>8</v>
      </c>
      <c r="M298" s="2" t="s">
        <v>24</v>
      </c>
      <c r="N298" t="b">
        <v>1</v>
      </c>
      <c r="P298" s="2"/>
      <c r="Q298" t="s">
        <v>21</v>
      </c>
      <c r="R298">
        <v>1</v>
      </c>
      <c r="S298">
        <v>4520</v>
      </c>
      <c r="T298" t="s">
        <v>712</v>
      </c>
      <c r="U298">
        <v>115</v>
      </c>
      <c r="V298" s="2">
        <v>0.38</v>
      </c>
      <c r="AE298" t="b">
        <v>1</v>
      </c>
      <c r="AZ298" s="2"/>
      <c r="BA298" s="7">
        <v>40</v>
      </c>
      <c r="BB298" t="s">
        <v>926</v>
      </c>
      <c r="BC298" t="s">
        <v>923</v>
      </c>
      <c r="BD298" t="s">
        <v>941</v>
      </c>
      <c r="BE298" t="str">
        <f>IF(OR(Table1[[#This Row],[ENGINE_CLASS]]="STEAM",Table1[[#This Row],[ENGINE_CLASS]]="ELECTRIC",Table1[[#This Row],[ENGINE_CLASS]]="DIESEL"),Table1[[#This Row],[ENGINE_CLASS]],"DISABLE")</f>
        <v>DIESEL</v>
      </c>
      <c r="BF298">
        <v>0</v>
      </c>
      <c r="BG298" t="s">
        <v>735</v>
      </c>
      <c r="BI298"/>
      <c r="BJ298">
        <v>140</v>
      </c>
      <c r="BK298">
        <v>0</v>
      </c>
      <c r="BL298" t="s">
        <v>693</v>
      </c>
      <c r="BM298" t="s">
        <v>695</v>
      </c>
      <c r="BN298" t="s">
        <v>702</v>
      </c>
      <c r="BO298" t="s">
        <v>706</v>
      </c>
      <c r="BP298" t="s">
        <v>707</v>
      </c>
      <c r="BQ298" t="s">
        <v>708</v>
      </c>
    </row>
    <row r="299" spans="1:69" x14ac:dyDescent="0.4">
      <c r="A299" s="2" t="s">
        <v>323</v>
      </c>
      <c r="B299" t="str">
        <f>_xlfn.TEXTAFTER(Table1[[#This Row],[VEHIDCODE]],"_")</f>
        <v>UK_BR_68</v>
      </c>
      <c r="C299" t="s">
        <v>741</v>
      </c>
      <c r="D299" t="str">
        <f>"item_"&amp;Table1[[#This Row],[VEHIDCODE]]</f>
        <v>item_diesel_UK_BR_68</v>
      </c>
      <c r="E299" t="str">
        <f>"str_"&amp;Table1[[#This Row],[VEHIDCODE]]</f>
        <v>str_diesel_UK_BR_68</v>
      </c>
      <c r="F299">
        <v>8</v>
      </c>
      <c r="G299" t="s">
        <v>20</v>
      </c>
      <c r="H299">
        <v>0</v>
      </c>
      <c r="I299" t="s">
        <v>35</v>
      </c>
      <c r="J299">
        <v>0</v>
      </c>
      <c r="K299">
        <v>2014</v>
      </c>
      <c r="L299">
        <v>8</v>
      </c>
      <c r="M299" s="2" t="s">
        <v>20</v>
      </c>
      <c r="N299" t="b">
        <v>1</v>
      </c>
      <c r="P299" s="2"/>
      <c r="Q299" t="s">
        <v>21</v>
      </c>
      <c r="R299">
        <v>1</v>
      </c>
      <c r="S299">
        <v>3800</v>
      </c>
      <c r="T299" t="s">
        <v>712</v>
      </c>
      <c r="U299">
        <v>160</v>
      </c>
      <c r="V299" s="2">
        <v>0.37</v>
      </c>
      <c r="AE299" t="b">
        <v>1</v>
      </c>
      <c r="AZ299" s="2"/>
      <c r="BA299" s="7">
        <v>40</v>
      </c>
      <c r="BB299" t="s">
        <v>928</v>
      </c>
      <c r="BC299" t="s">
        <v>923</v>
      </c>
      <c r="BD299" t="s">
        <v>941</v>
      </c>
      <c r="BE299" t="str">
        <f>IF(OR(Table1[[#This Row],[ENGINE_CLASS]]="STEAM",Table1[[#This Row],[ENGINE_CLASS]]="ELECTRIC",Table1[[#This Row],[ENGINE_CLASS]]="DIESEL"),Table1[[#This Row],[ENGINE_CLASS]],"DISABLE")</f>
        <v>DIESEL</v>
      </c>
      <c r="BF299">
        <v>0</v>
      </c>
      <c r="BG299" t="s">
        <v>735</v>
      </c>
      <c r="BI299"/>
      <c r="BJ299">
        <v>85</v>
      </c>
      <c r="BK299">
        <v>0</v>
      </c>
      <c r="BL299" t="s">
        <v>693</v>
      </c>
      <c r="BM299" t="s">
        <v>695</v>
      </c>
      <c r="BN299" t="s">
        <v>702</v>
      </c>
      <c r="BO299" t="s">
        <v>706</v>
      </c>
      <c r="BP299" t="s">
        <v>707</v>
      </c>
      <c r="BQ299" t="s">
        <v>708</v>
      </c>
    </row>
    <row r="300" spans="1:69" x14ac:dyDescent="0.4">
      <c r="A300" s="2" t="s">
        <v>324</v>
      </c>
      <c r="B300" t="str">
        <f>_xlfn.TEXTAFTER(Table1[[#This Row],[VEHIDCODE]],"_")</f>
        <v>USA_Amtrak_Charger</v>
      </c>
      <c r="C300" t="s">
        <v>741</v>
      </c>
      <c r="D300" t="str">
        <f>"item_"&amp;Table1[[#This Row],[VEHIDCODE]]</f>
        <v>item_diesel_USA_Amtrak_Charger</v>
      </c>
      <c r="E300" t="str">
        <f>"str_"&amp;Table1[[#This Row],[VEHIDCODE]]</f>
        <v>str_diesel_USA_Amtrak_Charger</v>
      </c>
      <c r="F300">
        <v>8</v>
      </c>
      <c r="G300" t="s">
        <v>20</v>
      </c>
      <c r="H300">
        <v>0</v>
      </c>
      <c r="I300" t="s">
        <v>35</v>
      </c>
      <c r="J300">
        <v>0</v>
      </c>
      <c r="K300">
        <v>2015</v>
      </c>
      <c r="L300">
        <v>8</v>
      </c>
      <c r="M300" s="2" t="s">
        <v>20</v>
      </c>
      <c r="N300" t="b">
        <v>1</v>
      </c>
      <c r="P300" s="2"/>
      <c r="Q300" t="s">
        <v>21</v>
      </c>
      <c r="R300">
        <v>1</v>
      </c>
      <c r="S300">
        <v>4400</v>
      </c>
      <c r="T300" t="s">
        <v>712</v>
      </c>
      <c r="U300">
        <v>201</v>
      </c>
      <c r="V300" s="2">
        <v>0.24</v>
      </c>
      <c r="AE300" t="b">
        <v>1</v>
      </c>
      <c r="AZ300" s="2"/>
      <c r="BA300" s="7">
        <v>40</v>
      </c>
      <c r="BB300" t="s">
        <v>929</v>
      </c>
      <c r="BC300" t="s">
        <v>923</v>
      </c>
      <c r="BD300" t="s">
        <v>941</v>
      </c>
      <c r="BE300" t="str">
        <f>IF(OR(Table1[[#This Row],[ENGINE_CLASS]]="STEAM",Table1[[#This Row],[ENGINE_CLASS]]="ELECTRIC",Table1[[#This Row],[ENGINE_CLASS]]="DIESEL"),Table1[[#This Row],[ENGINE_CLASS]],"DISABLE")</f>
        <v>DIESEL</v>
      </c>
      <c r="BF300">
        <v>0</v>
      </c>
      <c r="BG300" t="s">
        <v>735</v>
      </c>
      <c r="BI300"/>
      <c r="BJ300">
        <v>120</v>
      </c>
      <c r="BK300">
        <v>0</v>
      </c>
      <c r="BL300" t="s">
        <v>693</v>
      </c>
      <c r="BM300" t="s">
        <v>695</v>
      </c>
      <c r="BN300" t="s">
        <v>702</v>
      </c>
      <c r="BO300" t="s">
        <v>706</v>
      </c>
      <c r="BP300" t="s">
        <v>707</v>
      </c>
      <c r="BQ300" t="s">
        <v>708</v>
      </c>
    </row>
    <row r="301" spans="1:69" x14ac:dyDescent="0.4">
      <c r="A301" s="2" t="s">
        <v>325</v>
      </c>
      <c r="B301" t="str">
        <f>_xlfn.TEXTAFTER(Table1[[#This Row],[VEHIDCODE]],"_")</f>
        <v>Argentina_Le_Brugeoise</v>
      </c>
      <c r="C301" t="s">
        <v>742</v>
      </c>
      <c r="D301" t="str">
        <f>"item_"&amp;Table1[[#This Row],[VEHIDCODE]]</f>
        <v>item_mtro_Argentina_Le_Brugeoise</v>
      </c>
      <c r="E301" t="str">
        <f>"str_"&amp;Table1[[#This Row],[VEHIDCODE]]</f>
        <v>str_mtro_Argentina_Le_Brugeoise</v>
      </c>
      <c r="F301">
        <v>7</v>
      </c>
      <c r="G301" t="s">
        <v>326</v>
      </c>
      <c r="H301">
        <v>1</v>
      </c>
      <c r="I301" t="s">
        <v>19</v>
      </c>
      <c r="J301">
        <v>142</v>
      </c>
      <c r="K301">
        <v>1911</v>
      </c>
      <c r="L301">
        <v>7</v>
      </c>
      <c r="M301" s="2" t="s">
        <v>327</v>
      </c>
      <c r="N301" t="b">
        <v>1</v>
      </c>
      <c r="O301" t="b">
        <v>1</v>
      </c>
      <c r="P301" s="2"/>
      <c r="Q301">
        <v>45</v>
      </c>
      <c r="R301">
        <v>1</v>
      </c>
      <c r="S301">
        <v>230</v>
      </c>
      <c r="T301" t="s">
        <v>710</v>
      </c>
      <c r="U301">
        <v>50</v>
      </c>
      <c r="V301" s="2">
        <v>0.16</v>
      </c>
      <c r="AE301"/>
      <c r="AZ301" s="2"/>
      <c r="BA301" s="7">
        <v>60</v>
      </c>
      <c r="BB301" t="s">
        <v>931</v>
      </c>
      <c r="BC301" t="s">
        <v>923</v>
      </c>
      <c r="BD301" t="s">
        <v>941</v>
      </c>
      <c r="BE301" t="str">
        <f>IF(OR(Table1[[#This Row],[ENGINE_CLASS]]="STEAM",Table1[[#This Row],[ENGINE_CLASS]]="ELECTRIC",Table1[[#This Row],[ENGINE_CLASS]]="DIESEL"),Table1[[#This Row],[ENGINE_CLASS]],"DISABLE")</f>
        <v>DISABLE</v>
      </c>
      <c r="BF301">
        <v>0</v>
      </c>
      <c r="BG301" t="s">
        <v>735</v>
      </c>
      <c r="BH301">
        <v>142</v>
      </c>
      <c r="BI301">
        <v>7</v>
      </c>
      <c r="BJ301">
        <v>50</v>
      </c>
      <c r="BK301">
        <v>0</v>
      </c>
      <c r="BL301" t="s">
        <v>693</v>
      </c>
      <c r="BM301" t="s">
        <v>695</v>
      </c>
      <c r="BN301" t="s">
        <v>702</v>
      </c>
      <c r="BO301" t="s">
        <v>706</v>
      </c>
      <c r="BP301" t="s">
        <v>707</v>
      </c>
      <c r="BQ301" t="s">
        <v>708</v>
      </c>
    </row>
    <row r="302" spans="1:69" x14ac:dyDescent="0.4">
      <c r="A302" s="2" t="s">
        <v>328</v>
      </c>
      <c r="B302" t="str">
        <f>_xlfn.TEXTAFTER(Table1[[#This Row],[VEHIDCODE]],"_")</f>
        <v>USA_NY_R1</v>
      </c>
      <c r="C302" t="s">
        <v>742</v>
      </c>
      <c r="D302" t="str">
        <f>"item_"&amp;Table1[[#This Row],[VEHIDCODE]]</f>
        <v>item_mtro_USA_NY_R1</v>
      </c>
      <c r="E302" t="str">
        <f>"str_"&amp;Table1[[#This Row],[VEHIDCODE]]</f>
        <v>str_mtro_USA_NY_R1</v>
      </c>
      <c r="F302">
        <v>8</v>
      </c>
      <c r="G302" t="s">
        <v>326</v>
      </c>
      <c r="H302">
        <v>1</v>
      </c>
      <c r="I302" t="s">
        <v>19</v>
      </c>
      <c r="J302">
        <v>156</v>
      </c>
      <c r="K302">
        <v>1930</v>
      </c>
      <c r="L302">
        <v>8</v>
      </c>
      <c r="M302" s="2" t="s">
        <v>327</v>
      </c>
      <c r="N302" t="b">
        <v>1</v>
      </c>
      <c r="O302" t="b">
        <v>1</v>
      </c>
      <c r="P302" s="2"/>
      <c r="Q302">
        <v>45</v>
      </c>
      <c r="R302">
        <v>1</v>
      </c>
      <c r="S302">
        <v>380</v>
      </c>
      <c r="T302" t="s">
        <v>710</v>
      </c>
      <c r="U302">
        <v>90</v>
      </c>
      <c r="V302" s="2">
        <v>0.32</v>
      </c>
      <c r="AE302"/>
      <c r="AZ302" s="2"/>
      <c r="BA302" s="7">
        <v>60</v>
      </c>
      <c r="BB302" t="s">
        <v>929</v>
      </c>
      <c r="BC302" t="s">
        <v>923</v>
      </c>
      <c r="BD302" t="s">
        <v>941</v>
      </c>
      <c r="BE302" t="str">
        <f>IF(OR(Table1[[#This Row],[ENGINE_CLASS]]="STEAM",Table1[[#This Row],[ENGINE_CLASS]]="ELECTRIC",Table1[[#This Row],[ENGINE_CLASS]]="DIESEL"),Table1[[#This Row],[ENGINE_CLASS]],"DISABLE")</f>
        <v>DISABLE</v>
      </c>
      <c r="BF302">
        <v>0</v>
      </c>
      <c r="BG302" t="s">
        <v>735</v>
      </c>
      <c r="BH302">
        <v>156</v>
      </c>
      <c r="BI302">
        <v>8</v>
      </c>
      <c r="BJ302">
        <v>38</v>
      </c>
      <c r="BK302">
        <v>0</v>
      </c>
      <c r="BL302" t="s">
        <v>693</v>
      </c>
      <c r="BM302" t="s">
        <v>695</v>
      </c>
      <c r="BN302" t="s">
        <v>702</v>
      </c>
      <c r="BO302" t="s">
        <v>706</v>
      </c>
      <c r="BP302" t="s">
        <v>707</v>
      </c>
      <c r="BQ302" t="s">
        <v>708</v>
      </c>
    </row>
    <row r="303" spans="1:69" x14ac:dyDescent="0.4">
      <c r="A303" s="2" t="s">
        <v>329</v>
      </c>
      <c r="B303" t="str">
        <f>_xlfn.TEXTAFTER(Table1[[#This Row],[VEHIDCODE]],"_")</f>
        <v>Germany_DB_ET_171</v>
      </c>
      <c r="C303" t="s">
        <v>742</v>
      </c>
      <c r="D303" t="str">
        <f>"item_"&amp;Table1[[#This Row],[VEHIDCODE]]</f>
        <v>item_mtro_Germany_DB_ET_171</v>
      </c>
      <c r="E303" t="str">
        <f>"str_"&amp;Table1[[#This Row],[VEHIDCODE]]</f>
        <v>str_mtro_Germany_DB_ET_171</v>
      </c>
      <c r="F303">
        <v>8</v>
      </c>
      <c r="G303" t="s">
        <v>326</v>
      </c>
      <c r="H303">
        <v>1</v>
      </c>
      <c r="I303" t="s">
        <v>19</v>
      </c>
      <c r="J303">
        <v>160</v>
      </c>
      <c r="K303">
        <v>1942</v>
      </c>
      <c r="L303">
        <v>8</v>
      </c>
      <c r="M303" s="2" t="s">
        <v>327</v>
      </c>
      <c r="N303" t="b">
        <v>1</v>
      </c>
      <c r="O303" t="b">
        <v>1</v>
      </c>
      <c r="P303" s="2"/>
      <c r="Q303">
        <v>45</v>
      </c>
      <c r="R303">
        <v>1</v>
      </c>
      <c r="S303">
        <v>520</v>
      </c>
      <c r="T303" t="s">
        <v>710</v>
      </c>
      <c r="U303">
        <v>80</v>
      </c>
      <c r="V303" s="2">
        <v>0.32</v>
      </c>
      <c r="AE303"/>
      <c r="AZ303" s="2"/>
      <c r="BA303" s="7">
        <v>60</v>
      </c>
      <c r="BB303" t="s">
        <v>924</v>
      </c>
      <c r="BC303" t="s">
        <v>923</v>
      </c>
      <c r="BD303" t="s">
        <v>941</v>
      </c>
      <c r="BE303" t="str">
        <f>IF(OR(Table1[[#This Row],[ENGINE_CLASS]]="STEAM",Table1[[#This Row],[ENGINE_CLASS]]="ELECTRIC",Table1[[#This Row],[ENGINE_CLASS]]="DIESEL"),Table1[[#This Row],[ENGINE_CLASS]],"DISABLE")</f>
        <v>DISABLE</v>
      </c>
      <c r="BF303">
        <v>0</v>
      </c>
      <c r="BG303" t="s">
        <v>735</v>
      </c>
      <c r="BH303">
        <v>160</v>
      </c>
      <c r="BI303">
        <v>8</v>
      </c>
      <c r="BJ303">
        <v>44</v>
      </c>
      <c r="BK303">
        <v>0</v>
      </c>
      <c r="BL303" t="s">
        <v>693</v>
      </c>
      <c r="BM303" t="s">
        <v>695</v>
      </c>
      <c r="BN303" t="s">
        <v>702</v>
      </c>
      <c r="BO303" t="s">
        <v>706</v>
      </c>
      <c r="BP303" t="s">
        <v>707</v>
      </c>
      <c r="BQ303" t="s">
        <v>708</v>
      </c>
    </row>
    <row r="304" spans="1:69" x14ac:dyDescent="0.4">
      <c r="A304" s="2" t="s">
        <v>330</v>
      </c>
      <c r="B304" t="str">
        <f>_xlfn.TEXTAFTER(Table1[[#This Row],[VEHIDCODE]],"_")</f>
        <v>France_Paris_M2_840</v>
      </c>
      <c r="C304" t="s">
        <v>742</v>
      </c>
      <c r="D304" t="str">
        <f>"item_"&amp;Table1[[#This Row],[VEHIDCODE]]</f>
        <v>item_mtro_France_Paris_M2_840</v>
      </c>
      <c r="E304" t="str">
        <f>"str_"&amp;Table1[[#This Row],[VEHIDCODE]]</f>
        <v>str_mtro_France_Paris_M2_840</v>
      </c>
      <c r="F304">
        <v>7</v>
      </c>
      <c r="G304" t="s">
        <v>326</v>
      </c>
      <c r="H304">
        <v>1</v>
      </c>
      <c r="I304" t="s">
        <v>19</v>
      </c>
      <c r="J304">
        <v>140</v>
      </c>
      <c r="K304">
        <v>1957</v>
      </c>
      <c r="L304">
        <v>7</v>
      </c>
      <c r="M304" s="2" t="s">
        <v>327</v>
      </c>
      <c r="N304" t="b">
        <v>1</v>
      </c>
      <c r="O304" t="b">
        <v>1</v>
      </c>
      <c r="P304" s="2"/>
      <c r="Q304">
        <v>45</v>
      </c>
      <c r="R304">
        <v>1</v>
      </c>
      <c r="S304">
        <v>450</v>
      </c>
      <c r="T304" t="s">
        <v>710</v>
      </c>
      <c r="U304">
        <v>80</v>
      </c>
      <c r="V304" s="2">
        <v>0.32</v>
      </c>
      <c r="AE304"/>
      <c r="AZ304" s="2"/>
      <c r="BA304" s="7">
        <v>60</v>
      </c>
      <c r="BB304" t="s">
        <v>924</v>
      </c>
      <c r="BC304" t="s">
        <v>923</v>
      </c>
      <c r="BD304" t="s">
        <v>941</v>
      </c>
      <c r="BE304" t="str">
        <f>IF(OR(Table1[[#This Row],[ENGINE_CLASS]]="STEAM",Table1[[#This Row],[ENGINE_CLASS]]="ELECTRIC",Table1[[#This Row],[ENGINE_CLASS]]="DIESEL"),Table1[[#This Row],[ENGINE_CLASS]],"DISABLE")</f>
        <v>DISABLE</v>
      </c>
      <c r="BF304">
        <v>0</v>
      </c>
      <c r="BG304" t="s">
        <v>735</v>
      </c>
      <c r="BH304">
        <v>140</v>
      </c>
      <c r="BI304">
        <v>7</v>
      </c>
      <c r="BJ304">
        <v>37</v>
      </c>
      <c r="BK304">
        <v>0</v>
      </c>
      <c r="BL304" t="s">
        <v>693</v>
      </c>
      <c r="BM304" t="s">
        <v>695</v>
      </c>
      <c r="BN304" t="s">
        <v>702</v>
      </c>
      <c r="BO304" t="s">
        <v>706</v>
      </c>
      <c r="BP304" t="s">
        <v>707</v>
      </c>
      <c r="BQ304" t="s">
        <v>708</v>
      </c>
    </row>
    <row r="305" spans="1:69" x14ac:dyDescent="0.4">
      <c r="A305" s="2" t="s">
        <v>331</v>
      </c>
      <c r="B305" t="str">
        <f>_xlfn.TEXTAFTER(Table1[[#This Row],[VEHIDCODE]],"_")</f>
        <v>Portugal_Lisbon_ML7</v>
      </c>
      <c r="C305" t="s">
        <v>742</v>
      </c>
      <c r="D305" t="str">
        <f>"item_"&amp;Table1[[#This Row],[VEHIDCODE]]</f>
        <v>item_mtro_Portugal_Lisbon_ML7</v>
      </c>
      <c r="E305" t="str">
        <f>"str_"&amp;Table1[[#This Row],[VEHIDCODE]]</f>
        <v>str_mtro_Portugal_Lisbon_ML7</v>
      </c>
      <c r="F305">
        <v>8</v>
      </c>
      <c r="G305" t="s">
        <v>326</v>
      </c>
      <c r="H305">
        <v>1</v>
      </c>
      <c r="I305" t="s">
        <v>19</v>
      </c>
      <c r="J305">
        <v>160</v>
      </c>
      <c r="K305">
        <v>1959</v>
      </c>
      <c r="L305">
        <v>8</v>
      </c>
      <c r="M305" s="2" t="s">
        <v>327</v>
      </c>
      <c r="N305" t="b">
        <v>1</v>
      </c>
      <c r="O305" t="b">
        <v>1</v>
      </c>
      <c r="P305" s="2"/>
      <c r="Q305">
        <v>45</v>
      </c>
      <c r="R305">
        <v>1</v>
      </c>
      <c r="S305">
        <v>535</v>
      </c>
      <c r="T305" t="s">
        <v>710</v>
      </c>
      <c r="U305">
        <v>60</v>
      </c>
      <c r="V305" s="2">
        <v>0.48</v>
      </c>
      <c r="AE305"/>
      <c r="AZ305" s="2"/>
      <c r="BA305" s="7">
        <v>60</v>
      </c>
      <c r="BB305" t="s">
        <v>925</v>
      </c>
      <c r="BC305" t="s">
        <v>923</v>
      </c>
      <c r="BD305" t="s">
        <v>941</v>
      </c>
      <c r="BE305" t="str">
        <f>IF(OR(Table1[[#This Row],[ENGINE_CLASS]]="STEAM",Table1[[#This Row],[ENGINE_CLASS]]="ELECTRIC",Table1[[#This Row],[ENGINE_CLASS]]="DIESEL"),Table1[[#This Row],[ENGINE_CLASS]],"DISABLE")</f>
        <v>DISABLE</v>
      </c>
      <c r="BF305">
        <v>0</v>
      </c>
      <c r="BG305" t="s">
        <v>735</v>
      </c>
      <c r="BH305">
        <v>160</v>
      </c>
      <c r="BI305">
        <v>8</v>
      </c>
      <c r="BJ305">
        <v>35</v>
      </c>
      <c r="BK305">
        <v>0</v>
      </c>
      <c r="BL305" t="s">
        <v>693</v>
      </c>
      <c r="BM305" t="s">
        <v>695</v>
      </c>
      <c r="BN305" t="s">
        <v>702</v>
      </c>
      <c r="BO305" t="s">
        <v>706</v>
      </c>
      <c r="BP305" t="s">
        <v>707</v>
      </c>
      <c r="BQ305" t="s">
        <v>708</v>
      </c>
    </row>
    <row r="306" spans="1:69" x14ac:dyDescent="0.4">
      <c r="A306" s="2" t="s">
        <v>332</v>
      </c>
      <c r="B306" t="str">
        <f>_xlfn.TEXTAFTER(Table1[[#This Row],[VEHIDCODE]],"_")</f>
        <v>Hungary_Budapest_Ev3_200</v>
      </c>
      <c r="C306" t="s">
        <v>742</v>
      </c>
      <c r="D306" t="str">
        <f>"item_"&amp;Table1[[#This Row],[VEHIDCODE]]</f>
        <v>item_mtro_Hungary_Budapest_Ev3_200</v>
      </c>
      <c r="E306" t="str">
        <f>"str_"&amp;Table1[[#This Row],[VEHIDCODE]]</f>
        <v>str_mtro_Hungary_Budapest_Ev3_200</v>
      </c>
      <c r="F306">
        <v>8</v>
      </c>
      <c r="G306" t="s">
        <v>326</v>
      </c>
      <c r="H306">
        <v>1</v>
      </c>
      <c r="I306" t="s">
        <v>19</v>
      </c>
      <c r="J306">
        <v>150</v>
      </c>
      <c r="K306">
        <v>1960</v>
      </c>
      <c r="L306">
        <v>8</v>
      </c>
      <c r="M306" s="2" t="s">
        <v>327</v>
      </c>
      <c r="N306" t="b">
        <v>1</v>
      </c>
      <c r="O306" t="b">
        <v>1</v>
      </c>
      <c r="P306" s="2"/>
      <c r="Q306">
        <v>45</v>
      </c>
      <c r="R306">
        <v>1</v>
      </c>
      <c r="S306">
        <v>500</v>
      </c>
      <c r="T306" t="s">
        <v>710</v>
      </c>
      <c r="U306">
        <v>100</v>
      </c>
      <c r="V306" s="2">
        <v>0.22</v>
      </c>
      <c r="AE306"/>
      <c r="AZ306" s="2"/>
      <c r="BA306" s="7">
        <v>60</v>
      </c>
      <c r="BB306" t="s">
        <v>930</v>
      </c>
      <c r="BC306" t="s">
        <v>923</v>
      </c>
      <c r="BD306" t="s">
        <v>941</v>
      </c>
      <c r="BE306" t="str">
        <f>IF(OR(Table1[[#This Row],[ENGINE_CLASS]]="STEAM",Table1[[#This Row],[ENGINE_CLASS]]="ELECTRIC",Table1[[#This Row],[ENGINE_CLASS]]="DIESEL"),Table1[[#This Row],[ENGINE_CLASS]],"DISABLE")</f>
        <v>DISABLE</v>
      </c>
      <c r="BF306">
        <v>0</v>
      </c>
      <c r="BG306" t="s">
        <v>735</v>
      </c>
      <c r="BH306">
        <v>150</v>
      </c>
      <c r="BI306">
        <v>8</v>
      </c>
      <c r="BJ306">
        <v>45</v>
      </c>
      <c r="BK306">
        <v>0</v>
      </c>
      <c r="BL306" t="s">
        <v>693</v>
      </c>
      <c r="BM306" t="s">
        <v>695</v>
      </c>
      <c r="BN306" t="s">
        <v>702</v>
      </c>
      <c r="BO306" t="s">
        <v>706</v>
      </c>
      <c r="BP306" t="s">
        <v>707</v>
      </c>
      <c r="BQ306" t="s">
        <v>708</v>
      </c>
    </row>
    <row r="307" spans="1:69" x14ac:dyDescent="0.4">
      <c r="A307" s="2" t="s">
        <v>333</v>
      </c>
      <c r="B307" t="str">
        <f>_xlfn.TEXTAFTER(Table1[[#This Row],[VEHIDCODE]],"_")</f>
        <v>Norway_Oslo_T1000</v>
      </c>
      <c r="C307" t="s">
        <v>742</v>
      </c>
      <c r="D307" t="str">
        <f>"item_"&amp;Table1[[#This Row],[VEHIDCODE]]</f>
        <v>item_mtro_Norway_Oslo_T1000</v>
      </c>
      <c r="E307" t="str">
        <f>"str_"&amp;Table1[[#This Row],[VEHIDCODE]]</f>
        <v>str_mtro_Norway_Oslo_T1000</v>
      </c>
      <c r="F307">
        <v>7</v>
      </c>
      <c r="G307" t="s">
        <v>326</v>
      </c>
      <c r="H307">
        <v>1</v>
      </c>
      <c r="I307" t="s">
        <v>19</v>
      </c>
      <c r="J307">
        <v>180</v>
      </c>
      <c r="K307">
        <v>1964</v>
      </c>
      <c r="L307">
        <v>7</v>
      </c>
      <c r="M307" s="2" t="s">
        <v>327</v>
      </c>
      <c r="N307" t="b">
        <v>1</v>
      </c>
      <c r="O307" t="b">
        <v>1</v>
      </c>
      <c r="P307" s="2"/>
      <c r="Q307">
        <v>45</v>
      </c>
      <c r="R307">
        <v>1</v>
      </c>
      <c r="S307">
        <v>131</v>
      </c>
      <c r="T307" t="s">
        <v>710</v>
      </c>
      <c r="U307">
        <v>70</v>
      </c>
      <c r="V307" s="2">
        <v>0.55000000000000004</v>
      </c>
      <c r="AE307"/>
      <c r="AZ307" s="2"/>
      <c r="BA307" s="7">
        <v>60</v>
      </c>
      <c r="BB307" t="s">
        <v>928</v>
      </c>
      <c r="BC307" t="s">
        <v>923</v>
      </c>
      <c r="BD307" t="s">
        <v>941</v>
      </c>
      <c r="BE307" t="str">
        <f>IF(OR(Table1[[#This Row],[ENGINE_CLASS]]="STEAM",Table1[[#This Row],[ENGINE_CLASS]]="ELECTRIC",Table1[[#This Row],[ENGINE_CLASS]]="DIESEL"),Table1[[#This Row],[ENGINE_CLASS]],"DISABLE")</f>
        <v>DISABLE</v>
      </c>
      <c r="BF307">
        <v>0</v>
      </c>
      <c r="BG307" t="s">
        <v>735</v>
      </c>
      <c r="BH307">
        <v>180</v>
      </c>
      <c r="BI307">
        <v>7</v>
      </c>
      <c r="BJ307">
        <v>28</v>
      </c>
      <c r="BK307">
        <v>0</v>
      </c>
      <c r="BL307" t="s">
        <v>693</v>
      </c>
      <c r="BM307" t="s">
        <v>695</v>
      </c>
      <c r="BN307" t="s">
        <v>702</v>
      </c>
      <c r="BO307" t="s">
        <v>706</v>
      </c>
      <c r="BP307" t="s">
        <v>707</v>
      </c>
      <c r="BQ307" t="s">
        <v>708</v>
      </c>
    </row>
    <row r="308" spans="1:69" x14ac:dyDescent="0.4">
      <c r="A308" s="2" t="s">
        <v>334</v>
      </c>
      <c r="B308" t="str">
        <f>_xlfn.TEXTAFTER(Table1[[#This Row],[VEHIDCODE]],"_")</f>
        <v>Canada_Toronto_H_series</v>
      </c>
      <c r="C308" t="s">
        <v>742</v>
      </c>
      <c r="D308" t="str">
        <f>"item_"&amp;Table1[[#This Row],[VEHIDCODE]]</f>
        <v>item_mtro_Canada_Toronto_H_series</v>
      </c>
      <c r="E308" t="str">
        <f>"str_"&amp;Table1[[#This Row],[VEHIDCODE]]</f>
        <v>str_mtro_Canada_Toronto_H_series</v>
      </c>
      <c r="F308">
        <v>8</v>
      </c>
      <c r="G308" t="s">
        <v>326</v>
      </c>
      <c r="H308">
        <v>1</v>
      </c>
      <c r="I308" t="s">
        <v>19</v>
      </c>
      <c r="J308">
        <v>210</v>
      </c>
      <c r="K308">
        <v>1965</v>
      </c>
      <c r="L308">
        <v>8</v>
      </c>
      <c r="M308" s="2" t="s">
        <v>327</v>
      </c>
      <c r="N308" t="b">
        <v>1</v>
      </c>
      <c r="O308" t="b">
        <v>1</v>
      </c>
      <c r="P308" s="2"/>
      <c r="Q308">
        <v>45</v>
      </c>
      <c r="R308">
        <v>1</v>
      </c>
      <c r="S308">
        <v>484</v>
      </c>
      <c r="T308" t="s">
        <v>710</v>
      </c>
      <c r="U308">
        <v>88</v>
      </c>
      <c r="V308" s="2">
        <v>0.31</v>
      </c>
      <c r="AE308"/>
      <c r="AZ308" s="2"/>
      <c r="BA308" s="7">
        <v>60</v>
      </c>
      <c r="BB308" t="s">
        <v>929</v>
      </c>
      <c r="BC308" t="s">
        <v>923</v>
      </c>
      <c r="BD308" t="s">
        <v>941</v>
      </c>
      <c r="BE308" t="str">
        <f>IF(OR(Table1[[#This Row],[ENGINE_CLASS]]="STEAM",Table1[[#This Row],[ENGINE_CLASS]]="ELECTRIC",Table1[[#This Row],[ENGINE_CLASS]]="DIESEL"),Table1[[#This Row],[ENGINE_CLASS]],"DISABLE")</f>
        <v>DISABLE</v>
      </c>
      <c r="BF308">
        <v>0</v>
      </c>
      <c r="BG308" t="s">
        <v>735</v>
      </c>
      <c r="BH308">
        <v>210</v>
      </c>
      <c r="BI308">
        <v>8</v>
      </c>
      <c r="BJ308">
        <v>51</v>
      </c>
      <c r="BK308">
        <v>0</v>
      </c>
      <c r="BL308" t="s">
        <v>693</v>
      </c>
      <c r="BM308" t="s">
        <v>695</v>
      </c>
      <c r="BN308" t="s">
        <v>702</v>
      </c>
      <c r="BO308" t="s">
        <v>706</v>
      </c>
      <c r="BP308" t="s">
        <v>707</v>
      </c>
      <c r="BQ308" t="s">
        <v>708</v>
      </c>
    </row>
    <row r="309" spans="1:69" x14ac:dyDescent="0.4">
      <c r="A309" s="2" t="s">
        <v>335</v>
      </c>
      <c r="B309" t="str">
        <f>_xlfn.TEXTAFTER(Table1[[#This Row],[VEHIDCODE]],"_")</f>
        <v>Germany_Munchen_MVG_A2</v>
      </c>
      <c r="C309" t="s">
        <v>742</v>
      </c>
      <c r="D309" t="str">
        <f>"item_"&amp;Table1[[#This Row],[VEHIDCODE]]</f>
        <v>item_mtro_Germany_Munchen_MVG_A2</v>
      </c>
      <c r="E309" t="str">
        <f>"str_"&amp;Table1[[#This Row],[VEHIDCODE]]</f>
        <v>str_mtro_Germany_Munchen_MVG_A2</v>
      </c>
      <c r="F309">
        <v>8</v>
      </c>
      <c r="G309" t="s">
        <v>326</v>
      </c>
      <c r="H309">
        <v>1</v>
      </c>
      <c r="I309" t="s">
        <v>19</v>
      </c>
      <c r="J309">
        <v>195</v>
      </c>
      <c r="K309">
        <v>1967</v>
      </c>
      <c r="L309">
        <v>8</v>
      </c>
      <c r="M309" s="2" t="s">
        <v>327</v>
      </c>
      <c r="N309" t="b">
        <v>1</v>
      </c>
      <c r="O309" t="b">
        <v>1</v>
      </c>
      <c r="P309" s="2"/>
      <c r="Q309">
        <v>45</v>
      </c>
      <c r="R309">
        <v>1</v>
      </c>
      <c r="S309">
        <v>480</v>
      </c>
      <c r="T309" t="s">
        <v>710</v>
      </c>
      <c r="U309">
        <v>80</v>
      </c>
      <c r="V309" s="2">
        <v>0.38</v>
      </c>
      <c r="AE309"/>
      <c r="AZ309" s="2"/>
      <c r="BA309" s="7">
        <v>60</v>
      </c>
      <c r="BB309" t="s">
        <v>924</v>
      </c>
      <c r="BC309" t="s">
        <v>923</v>
      </c>
      <c r="BD309" t="s">
        <v>941</v>
      </c>
      <c r="BE309" t="str">
        <f>IF(OR(Table1[[#This Row],[ENGINE_CLASS]]="STEAM",Table1[[#This Row],[ENGINE_CLASS]]="ELECTRIC",Table1[[#This Row],[ENGINE_CLASS]]="DIESEL"),Table1[[#This Row],[ENGINE_CLASS]],"DISABLE")</f>
        <v>DISABLE</v>
      </c>
      <c r="BF309">
        <v>0</v>
      </c>
      <c r="BG309" t="s">
        <v>735</v>
      </c>
      <c r="BH309">
        <v>195</v>
      </c>
      <c r="BI309">
        <v>8</v>
      </c>
      <c r="BJ309">
        <v>26</v>
      </c>
      <c r="BK309">
        <v>0</v>
      </c>
      <c r="BL309" t="s">
        <v>693</v>
      </c>
      <c r="BM309" t="s">
        <v>695</v>
      </c>
      <c r="BN309" t="s">
        <v>702</v>
      </c>
      <c r="BO309" t="s">
        <v>706</v>
      </c>
      <c r="BP309" t="s">
        <v>707</v>
      </c>
      <c r="BQ309" t="s">
        <v>708</v>
      </c>
    </row>
    <row r="310" spans="1:69" x14ac:dyDescent="0.4">
      <c r="A310" s="2" t="s">
        <v>336</v>
      </c>
      <c r="B310" t="str">
        <f>_xlfn.TEXTAFTER(Table1[[#This Row],[VEHIDCODE]],"_")</f>
        <v>USA_NY_R44</v>
      </c>
      <c r="C310" t="s">
        <v>742</v>
      </c>
      <c r="D310" t="str">
        <f>"item_"&amp;Table1[[#This Row],[VEHIDCODE]]</f>
        <v>item_mtro_USA_NY_R44</v>
      </c>
      <c r="E310" t="str">
        <f>"str_"&amp;Table1[[#This Row],[VEHIDCODE]]</f>
        <v>str_mtro_USA_NY_R44</v>
      </c>
      <c r="F310">
        <v>8</v>
      </c>
      <c r="G310" t="s">
        <v>326</v>
      </c>
      <c r="H310">
        <v>1</v>
      </c>
      <c r="I310" t="s">
        <v>19</v>
      </c>
      <c r="J310">
        <v>162</v>
      </c>
      <c r="K310">
        <v>1971</v>
      </c>
      <c r="L310">
        <v>8</v>
      </c>
      <c r="M310" s="2" t="s">
        <v>327</v>
      </c>
      <c r="N310" t="b">
        <v>1</v>
      </c>
      <c r="O310" t="b">
        <v>1</v>
      </c>
      <c r="P310" s="2"/>
      <c r="Q310">
        <v>45</v>
      </c>
      <c r="R310">
        <v>1</v>
      </c>
      <c r="S310">
        <v>460</v>
      </c>
      <c r="T310" t="s">
        <v>710</v>
      </c>
      <c r="U310">
        <v>90</v>
      </c>
      <c r="V310" s="2">
        <v>0.32</v>
      </c>
      <c r="AE310"/>
      <c r="AZ310" s="2"/>
      <c r="BA310" s="7">
        <v>60</v>
      </c>
      <c r="BB310" t="s">
        <v>929</v>
      </c>
      <c r="BC310" t="s">
        <v>923</v>
      </c>
      <c r="BD310" t="s">
        <v>941</v>
      </c>
      <c r="BE310" t="str">
        <f>IF(OR(Table1[[#This Row],[ENGINE_CLASS]]="STEAM",Table1[[#This Row],[ENGINE_CLASS]]="ELECTRIC",Table1[[#This Row],[ENGINE_CLASS]]="DIESEL"),Table1[[#This Row],[ENGINE_CLASS]],"DISABLE")</f>
        <v>DISABLE</v>
      </c>
      <c r="BF310">
        <v>0</v>
      </c>
      <c r="BG310" t="s">
        <v>735</v>
      </c>
      <c r="BH310">
        <v>162</v>
      </c>
      <c r="BI310">
        <v>8</v>
      </c>
      <c r="BJ310">
        <v>40</v>
      </c>
      <c r="BK310">
        <v>0</v>
      </c>
      <c r="BL310" t="s">
        <v>693</v>
      </c>
      <c r="BM310" t="s">
        <v>695</v>
      </c>
      <c r="BN310" t="s">
        <v>702</v>
      </c>
      <c r="BO310" t="s">
        <v>706</v>
      </c>
      <c r="BP310" t="s">
        <v>707</v>
      </c>
      <c r="BQ310" t="s">
        <v>708</v>
      </c>
    </row>
    <row r="311" spans="1:69" x14ac:dyDescent="0.4">
      <c r="A311" s="2" t="s">
        <v>337</v>
      </c>
      <c r="B311" t="str">
        <f>_xlfn.TEXTAFTER(Table1[[#This Row],[VEHIDCODE]],"_")</f>
        <v>Netherlands_Amsterdam_Type_M1</v>
      </c>
      <c r="C311" t="s">
        <v>742</v>
      </c>
      <c r="D311" t="str">
        <f>"item_"&amp;Table1[[#This Row],[VEHIDCODE]]</f>
        <v>item_mtro_Netherlands_Amsterdam_Type_M1</v>
      </c>
      <c r="E311" t="str">
        <f>"str_"&amp;Table1[[#This Row],[VEHIDCODE]]</f>
        <v>str_mtro_Netherlands_Amsterdam_Type_M1</v>
      </c>
      <c r="F311">
        <v>8</v>
      </c>
      <c r="G311" t="s">
        <v>326</v>
      </c>
      <c r="H311">
        <v>1</v>
      </c>
      <c r="I311" t="s">
        <v>19</v>
      </c>
      <c r="J311">
        <v>174</v>
      </c>
      <c r="K311">
        <v>1973</v>
      </c>
      <c r="L311">
        <v>8</v>
      </c>
      <c r="M311" s="2" t="s">
        <v>327</v>
      </c>
      <c r="N311" t="b">
        <v>1</v>
      </c>
      <c r="O311" t="b">
        <v>1</v>
      </c>
      <c r="P311" s="2"/>
      <c r="Q311">
        <v>45</v>
      </c>
      <c r="R311">
        <v>1</v>
      </c>
      <c r="S311">
        <v>580</v>
      </c>
      <c r="T311" t="s">
        <v>710</v>
      </c>
      <c r="U311">
        <v>90</v>
      </c>
      <c r="V311" s="2">
        <v>0.73</v>
      </c>
      <c r="AE311"/>
      <c r="AZ311" s="2"/>
      <c r="BA311" s="7">
        <v>60</v>
      </c>
      <c r="BB311" t="s">
        <v>924</v>
      </c>
      <c r="BC311" t="s">
        <v>923</v>
      </c>
      <c r="BD311" t="s">
        <v>941</v>
      </c>
      <c r="BE311" t="str">
        <f>IF(OR(Table1[[#This Row],[ENGINE_CLASS]]="STEAM",Table1[[#This Row],[ENGINE_CLASS]]="ELECTRIC",Table1[[#This Row],[ENGINE_CLASS]]="DIESEL"),Table1[[#This Row],[ENGINE_CLASS]],"DISABLE")</f>
        <v>DISABLE</v>
      </c>
      <c r="BF311">
        <v>0</v>
      </c>
      <c r="BG311" t="s">
        <v>735</v>
      </c>
      <c r="BH311">
        <v>174</v>
      </c>
      <c r="BI311">
        <v>7</v>
      </c>
      <c r="BJ311">
        <v>31</v>
      </c>
      <c r="BK311">
        <v>0</v>
      </c>
      <c r="BL311" t="s">
        <v>693</v>
      </c>
      <c r="BM311" t="s">
        <v>695</v>
      </c>
      <c r="BN311" t="s">
        <v>702</v>
      </c>
      <c r="BO311" t="s">
        <v>706</v>
      </c>
      <c r="BP311" t="s">
        <v>707</v>
      </c>
      <c r="BQ311" t="s">
        <v>708</v>
      </c>
    </row>
    <row r="312" spans="1:69" x14ac:dyDescent="0.4">
      <c r="A312" s="2" t="s">
        <v>338</v>
      </c>
      <c r="B312" t="str">
        <f>_xlfn.TEXTAFTER(Table1[[#This Row],[VEHIDCODE]],"_")</f>
        <v>Sweden_Stockholm_C8</v>
      </c>
      <c r="C312" t="s">
        <v>742</v>
      </c>
      <c r="D312" t="str">
        <f>"item_"&amp;Table1[[#This Row],[VEHIDCODE]]</f>
        <v>item_mtro_Sweden_Stockholm_C8</v>
      </c>
      <c r="E312" t="str">
        <f>"str_"&amp;Table1[[#This Row],[VEHIDCODE]]</f>
        <v>str_mtro_Sweden_Stockholm_C8</v>
      </c>
      <c r="F312">
        <v>8</v>
      </c>
      <c r="G312" t="s">
        <v>326</v>
      </c>
      <c r="H312">
        <v>1</v>
      </c>
      <c r="I312" t="s">
        <v>19</v>
      </c>
      <c r="J312">
        <v>158</v>
      </c>
      <c r="K312">
        <v>1974</v>
      </c>
      <c r="L312">
        <v>8</v>
      </c>
      <c r="M312" s="2" t="s">
        <v>327</v>
      </c>
      <c r="N312" t="b">
        <v>1</v>
      </c>
      <c r="O312" t="b">
        <v>1</v>
      </c>
      <c r="P312" s="2"/>
      <c r="Q312">
        <v>45</v>
      </c>
      <c r="R312">
        <v>1</v>
      </c>
      <c r="S312">
        <v>470</v>
      </c>
      <c r="T312" t="s">
        <v>710</v>
      </c>
      <c r="U312">
        <v>90</v>
      </c>
      <c r="V312" s="2">
        <v>0.38</v>
      </c>
      <c r="AE312"/>
      <c r="AZ312" s="2"/>
      <c r="BA312" s="7">
        <v>60</v>
      </c>
      <c r="BB312" t="s">
        <v>928</v>
      </c>
      <c r="BC312" t="s">
        <v>923</v>
      </c>
      <c r="BD312" t="s">
        <v>941</v>
      </c>
      <c r="BE312" t="str">
        <f>IF(OR(Table1[[#This Row],[ENGINE_CLASS]]="STEAM",Table1[[#This Row],[ENGINE_CLASS]]="ELECTRIC",Table1[[#This Row],[ENGINE_CLASS]]="DIESEL"),Table1[[#This Row],[ENGINE_CLASS]],"DISABLE")</f>
        <v>DISABLE</v>
      </c>
      <c r="BF312">
        <v>0</v>
      </c>
      <c r="BG312" t="s">
        <v>735</v>
      </c>
      <c r="BH312">
        <v>158</v>
      </c>
      <c r="BI312">
        <v>8</v>
      </c>
      <c r="BJ312">
        <v>23</v>
      </c>
      <c r="BK312">
        <v>0</v>
      </c>
      <c r="BL312" t="s">
        <v>693</v>
      </c>
      <c r="BM312" t="s">
        <v>695</v>
      </c>
      <c r="BN312" t="s">
        <v>702</v>
      </c>
      <c r="BO312" t="s">
        <v>706</v>
      </c>
      <c r="BP312" t="s">
        <v>707</v>
      </c>
      <c r="BQ312" t="s">
        <v>708</v>
      </c>
    </row>
    <row r="313" spans="1:69" x14ac:dyDescent="0.4">
      <c r="A313" s="2" t="s">
        <v>339</v>
      </c>
      <c r="B313" t="str">
        <f>_xlfn.TEXTAFTER(Table1[[#This Row],[VEHIDCODE]],"_")</f>
        <v>North_Korea_Pyongyang_D_stock</v>
      </c>
      <c r="C313" t="s">
        <v>742</v>
      </c>
      <c r="D313" t="str">
        <f>"item_"&amp;Table1[[#This Row],[VEHIDCODE]]</f>
        <v>item_mtro_North_Korea_Pyongyang_D_stock</v>
      </c>
      <c r="E313" t="str">
        <f>"str_"&amp;Table1[[#This Row],[VEHIDCODE]]</f>
        <v>str_mtro_North_Korea_Pyongyang_D_stock</v>
      </c>
      <c r="F313">
        <v>8</v>
      </c>
      <c r="G313" t="s">
        <v>326</v>
      </c>
      <c r="H313">
        <v>1</v>
      </c>
      <c r="I313" t="s">
        <v>19</v>
      </c>
      <c r="J313">
        <v>180</v>
      </c>
      <c r="K313">
        <v>1975</v>
      </c>
      <c r="L313">
        <v>8</v>
      </c>
      <c r="M313" s="2" t="s">
        <v>327</v>
      </c>
      <c r="N313" t="b">
        <v>1</v>
      </c>
      <c r="O313" t="b">
        <v>1</v>
      </c>
      <c r="P313" s="2"/>
      <c r="Q313">
        <v>45</v>
      </c>
      <c r="R313">
        <v>1</v>
      </c>
      <c r="S313">
        <v>350</v>
      </c>
      <c r="T313" t="s">
        <v>710</v>
      </c>
      <c r="U313">
        <v>100</v>
      </c>
      <c r="V313" s="2">
        <v>0.38</v>
      </c>
      <c r="AE313"/>
      <c r="AZ313" s="2"/>
      <c r="BA313" s="7">
        <v>60</v>
      </c>
      <c r="BB313" t="s">
        <v>932</v>
      </c>
      <c r="BC313" t="s">
        <v>923</v>
      </c>
      <c r="BD313" t="s">
        <v>941</v>
      </c>
      <c r="BE313" t="str">
        <f>IF(OR(Table1[[#This Row],[ENGINE_CLASS]]="STEAM",Table1[[#This Row],[ENGINE_CLASS]]="ELECTRIC",Table1[[#This Row],[ENGINE_CLASS]]="DIESEL"),Table1[[#This Row],[ENGINE_CLASS]],"DISABLE")</f>
        <v>DISABLE</v>
      </c>
      <c r="BF313">
        <v>0</v>
      </c>
      <c r="BG313" t="s">
        <v>735</v>
      </c>
      <c r="BH313">
        <v>180</v>
      </c>
      <c r="BI313">
        <v>8</v>
      </c>
      <c r="BJ313">
        <v>40</v>
      </c>
      <c r="BK313">
        <v>0</v>
      </c>
      <c r="BL313" t="s">
        <v>693</v>
      </c>
      <c r="BM313" t="s">
        <v>695</v>
      </c>
      <c r="BN313" t="s">
        <v>702</v>
      </c>
      <c r="BO313" t="s">
        <v>706</v>
      </c>
      <c r="BP313" t="s">
        <v>707</v>
      </c>
      <c r="BQ313" t="s">
        <v>708</v>
      </c>
    </row>
    <row r="314" spans="1:69" x14ac:dyDescent="0.4">
      <c r="A314" s="2" t="s">
        <v>340</v>
      </c>
      <c r="B314" t="str">
        <f>_xlfn.TEXTAFTER(Table1[[#This Row],[VEHIDCODE]],"_")</f>
        <v>Finland_Helsinki_M100</v>
      </c>
      <c r="C314" t="s">
        <v>742</v>
      </c>
      <c r="D314" t="str">
        <f>"item_"&amp;Table1[[#This Row],[VEHIDCODE]]</f>
        <v>item_mtro_Finland_Helsinki_M100</v>
      </c>
      <c r="E314" t="str">
        <f>"str_"&amp;Table1[[#This Row],[VEHIDCODE]]</f>
        <v>str_mtro_Finland_Helsinki_M100</v>
      </c>
      <c r="F314">
        <v>8</v>
      </c>
      <c r="G314" t="s">
        <v>326</v>
      </c>
      <c r="H314">
        <v>1</v>
      </c>
      <c r="I314" t="s">
        <v>19</v>
      </c>
      <c r="J314">
        <v>165</v>
      </c>
      <c r="K314">
        <v>1977</v>
      </c>
      <c r="L314">
        <v>8</v>
      </c>
      <c r="M314" s="2" t="s">
        <v>327</v>
      </c>
      <c r="N314" t="b">
        <v>1</v>
      </c>
      <c r="O314" t="b">
        <v>1</v>
      </c>
      <c r="P314" s="2"/>
      <c r="Q314">
        <v>45</v>
      </c>
      <c r="R314">
        <v>1</v>
      </c>
      <c r="S314">
        <v>680</v>
      </c>
      <c r="T314" t="s">
        <v>710</v>
      </c>
      <c r="U314">
        <v>90</v>
      </c>
      <c r="V314" s="2">
        <v>0.48</v>
      </c>
      <c r="AE314"/>
      <c r="AZ314" s="2"/>
      <c r="BA314" s="7">
        <v>60</v>
      </c>
      <c r="BB314" t="s">
        <v>928</v>
      </c>
      <c r="BC314" t="s">
        <v>923</v>
      </c>
      <c r="BD314" t="s">
        <v>941</v>
      </c>
      <c r="BE314" t="str">
        <f>IF(OR(Table1[[#This Row],[ENGINE_CLASS]]="STEAM",Table1[[#This Row],[ENGINE_CLASS]]="ELECTRIC",Table1[[#This Row],[ENGINE_CLASS]]="DIESEL"),Table1[[#This Row],[ENGINE_CLASS]],"DISABLE")</f>
        <v>DISABLE</v>
      </c>
      <c r="BF314">
        <v>0</v>
      </c>
      <c r="BG314" t="s">
        <v>735</v>
      </c>
      <c r="BH314">
        <v>165</v>
      </c>
      <c r="BI314">
        <v>8</v>
      </c>
      <c r="BJ314">
        <v>31</v>
      </c>
      <c r="BK314">
        <v>0</v>
      </c>
      <c r="BL314" t="s">
        <v>693</v>
      </c>
      <c r="BM314" t="s">
        <v>695</v>
      </c>
      <c r="BN314" t="s">
        <v>702</v>
      </c>
      <c r="BO314" t="s">
        <v>706</v>
      </c>
      <c r="BP314" t="s">
        <v>707</v>
      </c>
      <c r="BQ314" t="s">
        <v>708</v>
      </c>
    </row>
    <row r="315" spans="1:69" x14ac:dyDescent="0.4">
      <c r="A315" s="2" t="s">
        <v>341</v>
      </c>
      <c r="B315" t="str">
        <f>_xlfn.TEXTAFTER(Table1[[#This Row],[VEHIDCODE]],"_")</f>
        <v>Brazil_Sao_Paulo_Serie_5500</v>
      </c>
      <c r="C315" t="s">
        <v>742</v>
      </c>
      <c r="D315" t="str">
        <f>"item_"&amp;Table1[[#This Row],[VEHIDCODE]]</f>
        <v>item_mtro_Brazil_Sao_Paulo_Serie_5500</v>
      </c>
      <c r="E315" t="str">
        <f>"str_"&amp;Table1[[#This Row],[VEHIDCODE]]</f>
        <v>str_mtro_Brazil_Sao_Paulo_Serie_5500</v>
      </c>
      <c r="F315">
        <v>8</v>
      </c>
      <c r="G315" t="s">
        <v>326</v>
      </c>
      <c r="H315">
        <v>1</v>
      </c>
      <c r="I315" t="s">
        <v>19</v>
      </c>
      <c r="J315">
        <v>230</v>
      </c>
      <c r="K315">
        <v>1979</v>
      </c>
      <c r="L315">
        <v>8</v>
      </c>
      <c r="M315" s="2" t="s">
        <v>327</v>
      </c>
      <c r="N315" t="b">
        <v>1</v>
      </c>
      <c r="O315" t="b">
        <v>1</v>
      </c>
      <c r="P315" s="2"/>
      <c r="Q315">
        <v>45</v>
      </c>
      <c r="R315">
        <v>1</v>
      </c>
      <c r="S315">
        <v>250</v>
      </c>
      <c r="T315" t="s">
        <v>710</v>
      </c>
      <c r="U315">
        <v>90</v>
      </c>
      <c r="V315" s="2">
        <v>0.38</v>
      </c>
      <c r="AE315"/>
      <c r="AZ315" s="2"/>
      <c r="BA315" s="7">
        <v>60</v>
      </c>
      <c r="BB315" t="s">
        <v>931</v>
      </c>
      <c r="BC315" t="s">
        <v>923</v>
      </c>
      <c r="BD315" t="s">
        <v>941</v>
      </c>
      <c r="BE315" t="str">
        <f>IF(OR(Table1[[#This Row],[ENGINE_CLASS]]="STEAM",Table1[[#This Row],[ENGINE_CLASS]]="ELECTRIC",Table1[[#This Row],[ENGINE_CLASS]]="DIESEL"),Table1[[#This Row],[ENGINE_CLASS]],"DISABLE")</f>
        <v>DISABLE</v>
      </c>
      <c r="BF315">
        <v>0</v>
      </c>
      <c r="BG315" t="s">
        <v>735</v>
      </c>
      <c r="BH315">
        <v>230</v>
      </c>
      <c r="BI315">
        <v>8</v>
      </c>
      <c r="BJ315">
        <v>37</v>
      </c>
      <c r="BK315">
        <v>0</v>
      </c>
      <c r="BL315" t="s">
        <v>693</v>
      </c>
      <c r="BM315" t="s">
        <v>695</v>
      </c>
      <c r="BN315" t="s">
        <v>702</v>
      </c>
      <c r="BO315" t="s">
        <v>706</v>
      </c>
      <c r="BP315" t="s">
        <v>707</v>
      </c>
      <c r="BQ315" t="s">
        <v>708</v>
      </c>
    </row>
    <row r="316" spans="1:69" x14ac:dyDescent="0.4">
      <c r="A316" s="2" t="s">
        <v>342</v>
      </c>
      <c r="B316" t="str">
        <f>_xlfn.TEXTAFTER(Table1[[#This Row],[VEHIDCODE]],"_")</f>
        <v>Russia_Moscow_81_720</v>
      </c>
      <c r="C316" t="s">
        <v>742</v>
      </c>
      <c r="D316" t="str">
        <f>"item_"&amp;Table1[[#This Row],[VEHIDCODE]]</f>
        <v>item_mtro_Russia_Moscow_81_720</v>
      </c>
      <c r="E316" t="str">
        <f>"str_"&amp;Table1[[#This Row],[VEHIDCODE]]</f>
        <v>str_mtro_Russia_Moscow_81_720</v>
      </c>
      <c r="F316">
        <v>8</v>
      </c>
      <c r="G316" t="s">
        <v>326</v>
      </c>
      <c r="H316">
        <v>1</v>
      </c>
      <c r="I316" t="s">
        <v>19</v>
      </c>
      <c r="J316">
        <v>144</v>
      </c>
      <c r="K316">
        <v>1981</v>
      </c>
      <c r="L316">
        <v>8</v>
      </c>
      <c r="M316" s="2" t="s">
        <v>327</v>
      </c>
      <c r="N316" t="b">
        <v>1</v>
      </c>
      <c r="O316" t="b">
        <v>1</v>
      </c>
      <c r="P316" s="2"/>
      <c r="Q316">
        <v>45</v>
      </c>
      <c r="R316">
        <v>1</v>
      </c>
      <c r="S316">
        <v>616</v>
      </c>
      <c r="T316" t="s">
        <v>710</v>
      </c>
      <c r="U316">
        <v>100</v>
      </c>
      <c r="V316" s="2">
        <v>0.67</v>
      </c>
      <c r="AE316"/>
      <c r="AZ316" s="2"/>
      <c r="BA316" s="7">
        <v>60</v>
      </c>
      <c r="BB316" t="s">
        <v>932</v>
      </c>
      <c r="BC316" t="s">
        <v>923</v>
      </c>
      <c r="BD316" t="s">
        <v>941</v>
      </c>
      <c r="BE316" t="str">
        <f>IF(OR(Table1[[#This Row],[ENGINE_CLASS]]="STEAM",Table1[[#This Row],[ENGINE_CLASS]]="ELECTRIC",Table1[[#This Row],[ENGINE_CLASS]]="DIESEL"),Table1[[#This Row],[ENGINE_CLASS]],"DISABLE")</f>
        <v>DISABLE</v>
      </c>
      <c r="BF316">
        <v>0</v>
      </c>
      <c r="BG316" t="s">
        <v>735</v>
      </c>
      <c r="BH316">
        <v>144</v>
      </c>
      <c r="BI316">
        <v>8</v>
      </c>
      <c r="BJ316">
        <v>34</v>
      </c>
      <c r="BK316">
        <v>0</v>
      </c>
      <c r="BL316" t="s">
        <v>693</v>
      </c>
      <c r="BM316" t="s">
        <v>695</v>
      </c>
      <c r="BN316" t="s">
        <v>702</v>
      </c>
      <c r="BO316" t="s">
        <v>706</v>
      </c>
      <c r="BP316" t="s">
        <v>707</v>
      </c>
      <c r="BQ316" t="s">
        <v>708</v>
      </c>
    </row>
    <row r="317" spans="1:69" x14ac:dyDescent="0.4">
      <c r="A317" s="2" t="s">
        <v>343</v>
      </c>
      <c r="B317" t="str">
        <f>_xlfn.TEXTAFTER(Table1[[#This Row],[VEHIDCODE]],"_")</f>
        <v>Japan_Tokyo_S01</v>
      </c>
      <c r="C317" t="s">
        <v>742</v>
      </c>
      <c r="D317" t="str">
        <f>"item_"&amp;Table1[[#This Row],[VEHIDCODE]]</f>
        <v>item_mtro_Japan_Tokyo_S01</v>
      </c>
      <c r="E317" t="str">
        <f>"str_"&amp;Table1[[#This Row],[VEHIDCODE]]</f>
        <v>str_mtro_Japan_Tokyo_S01</v>
      </c>
      <c r="F317">
        <v>8</v>
      </c>
      <c r="G317" t="s">
        <v>326</v>
      </c>
      <c r="H317">
        <v>1</v>
      </c>
      <c r="I317" t="s">
        <v>19</v>
      </c>
      <c r="J317">
        <v>120</v>
      </c>
      <c r="K317">
        <v>1985</v>
      </c>
      <c r="L317">
        <v>8</v>
      </c>
      <c r="M317" s="2" t="s">
        <v>327</v>
      </c>
      <c r="N317" t="b">
        <v>1</v>
      </c>
      <c r="O317" t="b">
        <v>1</v>
      </c>
      <c r="P317" s="2"/>
      <c r="Q317">
        <v>45</v>
      </c>
      <c r="R317">
        <v>1</v>
      </c>
      <c r="S317">
        <v>700</v>
      </c>
      <c r="T317" t="s">
        <v>710</v>
      </c>
      <c r="U317">
        <v>120</v>
      </c>
      <c r="V317" s="2">
        <v>0.95</v>
      </c>
      <c r="AE317"/>
      <c r="AZ317" s="2"/>
      <c r="BA317" s="7">
        <v>60</v>
      </c>
      <c r="BB317" t="s">
        <v>932</v>
      </c>
      <c r="BC317" t="s">
        <v>923</v>
      </c>
      <c r="BD317" t="s">
        <v>941</v>
      </c>
      <c r="BE317" t="str">
        <f>IF(OR(Table1[[#This Row],[ENGINE_CLASS]]="STEAM",Table1[[#This Row],[ENGINE_CLASS]]="ELECTRIC",Table1[[#This Row],[ENGINE_CLASS]]="DIESEL"),Table1[[#This Row],[ENGINE_CLASS]],"DISABLE")</f>
        <v>DISABLE</v>
      </c>
      <c r="BF317">
        <v>0</v>
      </c>
      <c r="BG317" t="s">
        <v>735</v>
      </c>
      <c r="BH317">
        <v>120</v>
      </c>
      <c r="BI317">
        <v>8</v>
      </c>
      <c r="BJ317">
        <v>35</v>
      </c>
      <c r="BK317">
        <v>0</v>
      </c>
      <c r="BL317" t="s">
        <v>693</v>
      </c>
      <c r="BM317" t="s">
        <v>695</v>
      </c>
      <c r="BN317" t="s">
        <v>702</v>
      </c>
      <c r="BO317" t="s">
        <v>706</v>
      </c>
      <c r="BP317" t="s">
        <v>707</v>
      </c>
      <c r="BQ317" t="s">
        <v>708</v>
      </c>
    </row>
    <row r="318" spans="1:69" x14ac:dyDescent="0.4">
      <c r="A318" s="2" t="s">
        <v>344</v>
      </c>
      <c r="B318" t="str">
        <f>_xlfn.TEXTAFTER(Table1[[#This Row],[VEHIDCODE]],"_")</f>
        <v>Egypt_Cairo_1987_Stock</v>
      </c>
      <c r="C318" t="s">
        <v>742</v>
      </c>
      <c r="D318" t="str">
        <f>"item_"&amp;Table1[[#This Row],[VEHIDCODE]]</f>
        <v>item_mtro_Egypt_Cairo_1987_Stock</v>
      </c>
      <c r="E318" t="str">
        <f>"str_"&amp;Table1[[#This Row],[VEHIDCODE]]</f>
        <v>str_mtro_Egypt_Cairo_1987_Stock</v>
      </c>
      <c r="F318">
        <v>8</v>
      </c>
      <c r="G318" t="s">
        <v>326</v>
      </c>
      <c r="H318">
        <v>1</v>
      </c>
      <c r="I318" t="s">
        <v>19</v>
      </c>
      <c r="J318">
        <v>250</v>
      </c>
      <c r="K318">
        <v>1987</v>
      </c>
      <c r="L318">
        <v>8</v>
      </c>
      <c r="M318" s="2" t="s">
        <v>327</v>
      </c>
      <c r="N318" t="b">
        <v>1</v>
      </c>
      <c r="O318" t="b">
        <v>1</v>
      </c>
      <c r="P318" s="2"/>
      <c r="Q318">
        <v>45</v>
      </c>
      <c r="R318">
        <v>1</v>
      </c>
      <c r="S318">
        <v>590</v>
      </c>
      <c r="T318" t="s">
        <v>710</v>
      </c>
      <c r="U318">
        <v>90</v>
      </c>
      <c r="V318" s="2">
        <v>0.59</v>
      </c>
      <c r="AE318"/>
      <c r="AZ318" s="2"/>
      <c r="BA318" s="7">
        <v>60</v>
      </c>
      <c r="BB318" t="s">
        <v>927</v>
      </c>
      <c r="BC318" t="s">
        <v>923</v>
      </c>
      <c r="BD318" t="s">
        <v>941</v>
      </c>
      <c r="BE318" t="str">
        <f>IF(OR(Table1[[#This Row],[ENGINE_CLASS]]="STEAM",Table1[[#This Row],[ENGINE_CLASS]]="ELECTRIC",Table1[[#This Row],[ENGINE_CLASS]]="DIESEL"),Table1[[#This Row],[ENGINE_CLASS]],"DISABLE")</f>
        <v>DISABLE</v>
      </c>
      <c r="BF318">
        <v>0</v>
      </c>
      <c r="BG318" t="s">
        <v>735</v>
      </c>
      <c r="BH318">
        <v>250</v>
      </c>
      <c r="BI318">
        <v>8</v>
      </c>
      <c r="BJ318">
        <v>34</v>
      </c>
      <c r="BK318">
        <v>0</v>
      </c>
      <c r="BL318" t="s">
        <v>693</v>
      </c>
      <c r="BM318" t="s">
        <v>695</v>
      </c>
      <c r="BN318" t="s">
        <v>702</v>
      </c>
      <c r="BO318" t="s">
        <v>706</v>
      </c>
      <c r="BP318" t="s">
        <v>707</v>
      </c>
      <c r="BQ318" t="s">
        <v>708</v>
      </c>
    </row>
    <row r="319" spans="1:69" x14ac:dyDescent="0.4">
      <c r="A319" s="2" t="s">
        <v>345</v>
      </c>
      <c r="B319" t="str">
        <f>_xlfn.TEXTAFTER(Table1[[#This Row],[VEHIDCODE]],"_")</f>
        <v>UK_DLR_P86</v>
      </c>
      <c r="C319" t="s">
        <v>742</v>
      </c>
      <c r="D319" t="str">
        <f>"item_"&amp;Table1[[#This Row],[VEHIDCODE]]</f>
        <v>item_mtro_UK_DLR_P86</v>
      </c>
      <c r="E319" t="str">
        <f>"str_"&amp;Table1[[#This Row],[VEHIDCODE]]</f>
        <v>str_mtro_UK_DLR_P86</v>
      </c>
      <c r="F319">
        <v>6</v>
      </c>
      <c r="G319" t="s">
        <v>326</v>
      </c>
      <c r="H319">
        <v>1</v>
      </c>
      <c r="I319" t="s">
        <v>19</v>
      </c>
      <c r="J319">
        <v>200</v>
      </c>
      <c r="K319">
        <v>1987</v>
      </c>
      <c r="L319">
        <v>6</v>
      </c>
      <c r="M319" s="2" t="s">
        <v>327</v>
      </c>
      <c r="N319" t="b">
        <v>1</v>
      </c>
      <c r="O319" t="b">
        <v>1</v>
      </c>
      <c r="P319" s="2"/>
      <c r="Q319">
        <v>45</v>
      </c>
      <c r="R319">
        <v>1</v>
      </c>
      <c r="S319">
        <v>500</v>
      </c>
      <c r="T319" t="s">
        <v>710</v>
      </c>
      <c r="U319">
        <v>80</v>
      </c>
      <c r="V319" s="2">
        <v>0.31</v>
      </c>
      <c r="AE319"/>
      <c r="AZ319" s="2"/>
      <c r="BA319" s="7">
        <v>60</v>
      </c>
      <c r="BB319" t="s">
        <v>928</v>
      </c>
      <c r="BC319" t="s">
        <v>923</v>
      </c>
      <c r="BD319" t="s">
        <v>941</v>
      </c>
      <c r="BE319" t="str">
        <f>IF(OR(Table1[[#This Row],[ENGINE_CLASS]]="STEAM",Table1[[#This Row],[ENGINE_CLASS]]="ELECTRIC",Table1[[#This Row],[ENGINE_CLASS]]="DIESEL"),Table1[[#This Row],[ENGINE_CLASS]],"DISABLE")</f>
        <v>DISABLE</v>
      </c>
      <c r="BF319">
        <v>0</v>
      </c>
      <c r="BG319" t="s">
        <v>735</v>
      </c>
      <c r="BH319">
        <v>200</v>
      </c>
      <c r="BI319">
        <v>6</v>
      </c>
      <c r="BJ319">
        <v>40</v>
      </c>
      <c r="BK319">
        <v>0</v>
      </c>
      <c r="BL319" t="s">
        <v>693</v>
      </c>
      <c r="BM319" t="s">
        <v>695</v>
      </c>
      <c r="BN319" t="s">
        <v>702</v>
      </c>
      <c r="BO319" t="s">
        <v>706</v>
      </c>
      <c r="BP319" t="s">
        <v>707</v>
      </c>
      <c r="BQ319" t="s">
        <v>708</v>
      </c>
    </row>
    <row r="320" spans="1:69" x14ac:dyDescent="0.4">
      <c r="A320" s="2" t="s">
        <v>346</v>
      </c>
      <c r="B320" t="str">
        <f>_xlfn.TEXTAFTER(Table1[[#This Row],[VEHIDCODE]],"_")</f>
        <v>Russia_Moscow_81_7175M</v>
      </c>
      <c r="C320" t="s">
        <v>742</v>
      </c>
      <c r="D320" t="str">
        <f>"item_"&amp;Table1[[#This Row],[VEHIDCODE]]</f>
        <v>item_mtro_Russia_Moscow_81_7175M</v>
      </c>
      <c r="E320" t="str">
        <f>"str_"&amp;Table1[[#This Row],[VEHIDCODE]]</f>
        <v>str_mtro_Russia_Moscow_81_7175M</v>
      </c>
      <c r="F320">
        <v>8</v>
      </c>
      <c r="G320" t="s">
        <v>326</v>
      </c>
      <c r="H320">
        <v>1</v>
      </c>
      <c r="I320" t="s">
        <v>19</v>
      </c>
      <c r="J320">
        <v>147</v>
      </c>
      <c r="K320">
        <v>1987</v>
      </c>
      <c r="L320">
        <v>8</v>
      </c>
      <c r="M320" s="2" t="s">
        <v>327</v>
      </c>
      <c r="N320" t="b">
        <v>1</v>
      </c>
      <c r="O320" t="b">
        <v>1</v>
      </c>
      <c r="P320" s="2"/>
      <c r="Q320">
        <v>45</v>
      </c>
      <c r="R320">
        <v>1</v>
      </c>
      <c r="S320">
        <v>600</v>
      </c>
      <c r="T320" t="s">
        <v>710</v>
      </c>
      <c r="U320">
        <v>80</v>
      </c>
      <c r="V320" s="2">
        <v>0.83</v>
      </c>
      <c r="AE320"/>
      <c r="AZ320" s="2"/>
      <c r="BA320" s="7">
        <v>60</v>
      </c>
      <c r="BB320" t="s">
        <v>932</v>
      </c>
      <c r="BC320" t="s">
        <v>923</v>
      </c>
      <c r="BD320" t="s">
        <v>941</v>
      </c>
      <c r="BE320" t="str">
        <f>IF(OR(Table1[[#This Row],[ENGINE_CLASS]]="STEAM",Table1[[#This Row],[ENGINE_CLASS]]="ELECTRIC",Table1[[#This Row],[ENGINE_CLASS]]="DIESEL"),Table1[[#This Row],[ENGINE_CLASS]],"DISABLE")</f>
        <v>DISABLE</v>
      </c>
      <c r="BF320">
        <v>0</v>
      </c>
      <c r="BG320" t="s">
        <v>735</v>
      </c>
      <c r="BH320">
        <v>147</v>
      </c>
      <c r="BI320">
        <v>8</v>
      </c>
      <c r="BJ320">
        <v>18</v>
      </c>
      <c r="BK320">
        <v>0</v>
      </c>
      <c r="BL320" t="s">
        <v>693</v>
      </c>
      <c r="BM320" t="s">
        <v>695</v>
      </c>
      <c r="BN320" t="s">
        <v>702</v>
      </c>
      <c r="BO320" t="s">
        <v>706</v>
      </c>
      <c r="BP320" t="s">
        <v>707</v>
      </c>
      <c r="BQ320" t="s">
        <v>708</v>
      </c>
    </row>
    <row r="321" spans="1:69" x14ac:dyDescent="0.4">
      <c r="A321" s="2" t="s">
        <v>347</v>
      </c>
      <c r="B321" t="str">
        <f>_xlfn.TEXTAFTER(Table1[[#This Row],[VEHIDCODE]],"_")</f>
        <v>USA_Boston_01800</v>
      </c>
      <c r="C321" t="s">
        <v>742</v>
      </c>
      <c r="D321" t="str">
        <f>"item_"&amp;Table1[[#This Row],[VEHIDCODE]]</f>
        <v>item_mtro_USA_Boston_01800</v>
      </c>
      <c r="E321" t="str">
        <f>"str_"&amp;Table1[[#This Row],[VEHIDCODE]]</f>
        <v>str_mtro_USA_Boston_01800</v>
      </c>
      <c r="F321">
        <v>8</v>
      </c>
      <c r="G321" t="s">
        <v>326</v>
      </c>
      <c r="H321">
        <v>1</v>
      </c>
      <c r="I321" t="s">
        <v>19</v>
      </c>
      <c r="J321">
        <v>150</v>
      </c>
      <c r="K321">
        <v>1993</v>
      </c>
      <c r="L321">
        <v>8</v>
      </c>
      <c r="M321" s="2" t="s">
        <v>327</v>
      </c>
      <c r="N321" t="b">
        <v>1</v>
      </c>
      <c r="O321" t="b">
        <v>1</v>
      </c>
      <c r="P321" s="2"/>
      <c r="Q321">
        <v>45</v>
      </c>
      <c r="R321">
        <v>1</v>
      </c>
      <c r="S321">
        <v>700</v>
      </c>
      <c r="T321" t="s">
        <v>710</v>
      </c>
      <c r="U321">
        <v>80</v>
      </c>
      <c r="V321" s="2">
        <v>0.51</v>
      </c>
      <c r="AE321"/>
      <c r="AZ321" s="2"/>
      <c r="BA321" s="7">
        <v>60</v>
      </c>
      <c r="BB321" t="s">
        <v>929</v>
      </c>
      <c r="BC321" t="s">
        <v>923</v>
      </c>
      <c r="BD321" t="s">
        <v>941</v>
      </c>
      <c r="BE321" t="str">
        <f>IF(OR(Table1[[#This Row],[ENGINE_CLASS]]="STEAM",Table1[[#This Row],[ENGINE_CLASS]]="ELECTRIC",Table1[[#This Row],[ENGINE_CLASS]]="DIESEL"),Table1[[#This Row],[ENGINE_CLASS]],"DISABLE")</f>
        <v>DISABLE</v>
      </c>
      <c r="BF321">
        <v>0</v>
      </c>
      <c r="BG321" t="s">
        <v>735</v>
      </c>
      <c r="BH321">
        <v>150</v>
      </c>
      <c r="BI321">
        <v>8</v>
      </c>
      <c r="BJ321">
        <v>31</v>
      </c>
      <c r="BK321">
        <v>0</v>
      </c>
      <c r="BL321" t="s">
        <v>693</v>
      </c>
      <c r="BM321" t="s">
        <v>695</v>
      </c>
      <c r="BN321" t="s">
        <v>702</v>
      </c>
      <c r="BO321" t="s">
        <v>706</v>
      </c>
      <c r="BP321" t="s">
        <v>707</v>
      </c>
      <c r="BQ321" t="s">
        <v>708</v>
      </c>
    </row>
    <row r="322" spans="1:69" x14ac:dyDescent="0.4">
      <c r="A322" s="2" t="s">
        <v>348</v>
      </c>
      <c r="B322" t="str">
        <f>_xlfn.TEXTAFTER(Table1[[#This Row],[VEHIDCODE]],"_")</f>
        <v>USA_LA_A650</v>
      </c>
      <c r="C322" t="s">
        <v>742</v>
      </c>
      <c r="D322" t="str">
        <f>"item_"&amp;Table1[[#This Row],[VEHIDCODE]]</f>
        <v>item_mtro_USA_LA_A650</v>
      </c>
      <c r="E322" t="str">
        <f>"str_"&amp;Table1[[#This Row],[VEHIDCODE]]</f>
        <v>str_mtro_USA_LA_A650</v>
      </c>
      <c r="F322">
        <v>8</v>
      </c>
      <c r="G322" t="s">
        <v>326</v>
      </c>
      <c r="H322">
        <v>1</v>
      </c>
      <c r="I322" t="s">
        <v>19</v>
      </c>
      <c r="J322">
        <v>170</v>
      </c>
      <c r="K322">
        <v>1993</v>
      </c>
      <c r="L322">
        <v>8</v>
      </c>
      <c r="M322" s="2" t="s">
        <v>327</v>
      </c>
      <c r="N322" t="b">
        <v>1</v>
      </c>
      <c r="O322" t="b">
        <v>1</v>
      </c>
      <c r="P322" s="2"/>
      <c r="Q322" t="s">
        <v>21</v>
      </c>
      <c r="R322">
        <v>1</v>
      </c>
      <c r="S322">
        <v>530</v>
      </c>
      <c r="T322" t="s">
        <v>710</v>
      </c>
      <c r="U322">
        <v>112</v>
      </c>
      <c r="V322" s="2">
        <v>0.47</v>
      </c>
      <c r="AE322"/>
      <c r="AZ322" s="2"/>
      <c r="BA322" s="7">
        <v>60</v>
      </c>
      <c r="BB322" t="s">
        <v>929</v>
      </c>
      <c r="BC322" t="s">
        <v>923</v>
      </c>
      <c r="BD322" t="s">
        <v>941</v>
      </c>
      <c r="BE322" t="str">
        <f>IF(OR(Table1[[#This Row],[ENGINE_CLASS]]="STEAM",Table1[[#This Row],[ENGINE_CLASS]]="ELECTRIC",Table1[[#This Row],[ENGINE_CLASS]]="DIESEL"),Table1[[#This Row],[ENGINE_CLASS]],"DISABLE")</f>
        <v>DISABLE</v>
      </c>
      <c r="BF322">
        <v>0</v>
      </c>
      <c r="BG322" t="s">
        <v>735</v>
      </c>
      <c r="BH322">
        <v>170</v>
      </c>
      <c r="BI322">
        <v>8</v>
      </c>
      <c r="BJ322">
        <v>37</v>
      </c>
      <c r="BK322">
        <v>0</v>
      </c>
      <c r="BL322" t="s">
        <v>693</v>
      </c>
      <c r="BM322" t="s">
        <v>695</v>
      </c>
      <c r="BN322" t="s">
        <v>702</v>
      </c>
      <c r="BO322" t="s">
        <v>706</v>
      </c>
      <c r="BP322" t="s">
        <v>707</v>
      </c>
      <c r="BQ322" t="s">
        <v>708</v>
      </c>
    </row>
    <row r="323" spans="1:69" x14ac:dyDescent="0.4">
      <c r="A323" s="2" t="s">
        <v>349</v>
      </c>
      <c r="B323" t="str">
        <f>_xlfn.TEXTAFTER(Table1[[#This Row],[VEHIDCODE]],"_")</f>
        <v>Taiwan_Taipei_C301</v>
      </c>
      <c r="C323" t="s">
        <v>742</v>
      </c>
      <c r="D323" t="str">
        <f>"item_"&amp;Table1[[#This Row],[VEHIDCODE]]</f>
        <v>item_mtro_Taiwan_Taipei_C301</v>
      </c>
      <c r="E323" t="str">
        <f>"str_"&amp;Table1[[#This Row],[VEHIDCODE]]</f>
        <v>str_mtro_Taiwan_Taipei_C301</v>
      </c>
      <c r="F323">
        <v>8</v>
      </c>
      <c r="G323" t="s">
        <v>326</v>
      </c>
      <c r="H323">
        <v>1</v>
      </c>
      <c r="I323" t="s">
        <v>19</v>
      </c>
      <c r="J323">
        <v>250</v>
      </c>
      <c r="K323">
        <v>1996</v>
      </c>
      <c r="L323">
        <v>8</v>
      </c>
      <c r="M323" s="2" t="s">
        <v>327</v>
      </c>
      <c r="N323" t="b">
        <v>1</v>
      </c>
      <c r="O323" t="b">
        <v>1</v>
      </c>
      <c r="P323" s="2"/>
      <c r="Q323" t="s">
        <v>21</v>
      </c>
      <c r="R323">
        <v>1</v>
      </c>
      <c r="S323">
        <v>200</v>
      </c>
      <c r="T323" t="s">
        <v>710</v>
      </c>
      <c r="U323">
        <v>90</v>
      </c>
      <c r="V323" s="2">
        <v>0.3</v>
      </c>
      <c r="AE323"/>
      <c r="AZ323" s="2"/>
      <c r="BA323" s="7">
        <v>60</v>
      </c>
      <c r="BB323" t="s">
        <v>932</v>
      </c>
      <c r="BC323" t="s">
        <v>923</v>
      </c>
      <c r="BD323" t="s">
        <v>941</v>
      </c>
      <c r="BE323" t="str">
        <f>IF(OR(Table1[[#This Row],[ENGINE_CLASS]]="STEAM",Table1[[#This Row],[ENGINE_CLASS]]="ELECTRIC",Table1[[#This Row],[ENGINE_CLASS]]="DIESEL"),Table1[[#This Row],[ENGINE_CLASS]],"DISABLE")</f>
        <v>DISABLE</v>
      </c>
      <c r="BF323">
        <v>0</v>
      </c>
      <c r="BG323" t="s">
        <v>735</v>
      </c>
      <c r="BH323">
        <v>250</v>
      </c>
      <c r="BI323">
        <v>8</v>
      </c>
      <c r="BJ323">
        <v>39</v>
      </c>
      <c r="BK323">
        <v>0</v>
      </c>
      <c r="BL323" t="s">
        <v>693</v>
      </c>
      <c r="BM323" t="s">
        <v>695</v>
      </c>
      <c r="BN323" t="s">
        <v>702</v>
      </c>
      <c r="BO323" t="s">
        <v>706</v>
      </c>
      <c r="BP323" t="s">
        <v>707</v>
      </c>
      <c r="BQ323" t="s">
        <v>708</v>
      </c>
    </row>
    <row r="324" spans="1:69" x14ac:dyDescent="0.4">
      <c r="A324" s="2" t="s">
        <v>350</v>
      </c>
      <c r="B324" t="str">
        <f>_xlfn.TEXTAFTER(Table1[[#This Row],[VEHIDCODE]],"_")</f>
        <v>Netherlands_Amsterdam_CAF_90</v>
      </c>
      <c r="C324" t="s">
        <v>742</v>
      </c>
      <c r="D324" t="str">
        <f>"item_"&amp;Table1[[#This Row],[VEHIDCODE]]</f>
        <v>item_mtro_Netherlands_Amsterdam_CAF_90</v>
      </c>
      <c r="E324" t="str">
        <f>"str_"&amp;Table1[[#This Row],[VEHIDCODE]]</f>
        <v>str_mtro_Netherlands_Amsterdam_CAF_90</v>
      </c>
      <c r="F324">
        <v>8</v>
      </c>
      <c r="G324" t="s">
        <v>326</v>
      </c>
      <c r="H324">
        <v>1</v>
      </c>
      <c r="I324" t="s">
        <v>19</v>
      </c>
      <c r="J324">
        <v>250</v>
      </c>
      <c r="K324">
        <v>1997</v>
      </c>
      <c r="L324">
        <v>8</v>
      </c>
      <c r="M324" s="2" t="s">
        <v>327</v>
      </c>
      <c r="N324" t="b">
        <v>1</v>
      </c>
      <c r="O324" t="b">
        <v>1</v>
      </c>
      <c r="P324" s="2"/>
      <c r="Q324" t="s">
        <v>21</v>
      </c>
      <c r="R324">
        <v>1</v>
      </c>
      <c r="S324">
        <v>700</v>
      </c>
      <c r="T324" t="s">
        <v>710</v>
      </c>
      <c r="U324">
        <v>70</v>
      </c>
      <c r="V324" s="2">
        <v>0.26</v>
      </c>
      <c r="AE324"/>
      <c r="AZ324" s="2"/>
      <c r="BA324" s="7">
        <v>60</v>
      </c>
      <c r="BB324" t="s">
        <v>924</v>
      </c>
      <c r="BC324" t="s">
        <v>923</v>
      </c>
      <c r="BD324" t="s">
        <v>941</v>
      </c>
      <c r="BE324" t="str">
        <f>IF(OR(Table1[[#This Row],[ENGINE_CLASS]]="STEAM",Table1[[#This Row],[ENGINE_CLASS]]="ELECTRIC",Table1[[#This Row],[ENGINE_CLASS]]="DIESEL"),Table1[[#This Row],[ENGINE_CLASS]],"DISABLE")</f>
        <v>DISABLE</v>
      </c>
      <c r="BF324">
        <v>0</v>
      </c>
      <c r="BG324" t="s">
        <v>735</v>
      </c>
      <c r="BH324">
        <v>250</v>
      </c>
      <c r="BI324">
        <v>8</v>
      </c>
      <c r="BJ324">
        <v>47</v>
      </c>
      <c r="BK324">
        <v>0</v>
      </c>
      <c r="BL324" t="s">
        <v>693</v>
      </c>
      <c r="BM324" t="s">
        <v>695</v>
      </c>
      <c r="BN324" t="s">
        <v>702</v>
      </c>
      <c r="BO324" t="s">
        <v>706</v>
      </c>
      <c r="BP324" t="s">
        <v>707</v>
      </c>
      <c r="BQ324" t="s">
        <v>708</v>
      </c>
    </row>
    <row r="325" spans="1:69" x14ac:dyDescent="0.4">
      <c r="A325" s="2" t="s">
        <v>351</v>
      </c>
      <c r="B325" t="str">
        <f>_xlfn.TEXTAFTER(Table1[[#This Row],[VEHIDCODE]],"_")</f>
        <v>France_Paris_MP89</v>
      </c>
      <c r="C325" t="s">
        <v>742</v>
      </c>
      <c r="D325" t="str">
        <f>"item_"&amp;Table1[[#This Row],[VEHIDCODE]]</f>
        <v>item_mtro_France_Paris_MP89</v>
      </c>
      <c r="E325" t="str">
        <f>"str_"&amp;Table1[[#This Row],[VEHIDCODE]]</f>
        <v>str_mtro_France_Paris_MP89</v>
      </c>
      <c r="F325">
        <v>7</v>
      </c>
      <c r="G325" t="s">
        <v>326</v>
      </c>
      <c r="H325">
        <v>1</v>
      </c>
      <c r="I325" t="s">
        <v>19</v>
      </c>
      <c r="J325">
        <v>120</v>
      </c>
      <c r="K325">
        <v>1997</v>
      </c>
      <c r="L325">
        <v>7</v>
      </c>
      <c r="M325" s="2" t="s">
        <v>327</v>
      </c>
      <c r="N325" t="b">
        <v>1</v>
      </c>
      <c r="O325" t="b">
        <v>1</v>
      </c>
      <c r="P325" s="2"/>
      <c r="Q325" t="s">
        <v>21</v>
      </c>
      <c r="R325">
        <v>1</v>
      </c>
      <c r="S325">
        <v>634</v>
      </c>
      <c r="T325" t="s">
        <v>710</v>
      </c>
      <c r="U325">
        <v>100</v>
      </c>
      <c r="V325" s="2">
        <v>0.36</v>
      </c>
      <c r="AE325"/>
      <c r="AZ325" s="2"/>
      <c r="BA325" s="7">
        <v>60</v>
      </c>
      <c r="BB325" t="s">
        <v>924</v>
      </c>
      <c r="BC325" t="s">
        <v>923</v>
      </c>
      <c r="BD325" t="s">
        <v>941</v>
      </c>
      <c r="BE325" t="str">
        <f>IF(OR(Table1[[#This Row],[ENGINE_CLASS]]="STEAM",Table1[[#This Row],[ENGINE_CLASS]]="ELECTRIC",Table1[[#This Row],[ENGINE_CLASS]]="DIESEL"),Table1[[#This Row],[ENGINE_CLASS]],"DISABLE")</f>
        <v>DISABLE</v>
      </c>
      <c r="BF325">
        <v>0</v>
      </c>
      <c r="BG325" t="s">
        <v>735</v>
      </c>
      <c r="BH325">
        <v>120</v>
      </c>
      <c r="BI325">
        <v>7</v>
      </c>
      <c r="BJ325">
        <v>28</v>
      </c>
      <c r="BK325">
        <v>0</v>
      </c>
      <c r="BL325" t="s">
        <v>693</v>
      </c>
      <c r="BM325" t="s">
        <v>695</v>
      </c>
      <c r="BN325" t="s">
        <v>702</v>
      </c>
      <c r="BO325" t="s">
        <v>706</v>
      </c>
      <c r="BP325" t="s">
        <v>707</v>
      </c>
      <c r="BQ325" t="s">
        <v>708</v>
      </c>
    </row>
    <row r="326" spans="1:69" x14ac:dyDescent="0.4">
      <c r="A326" s="2" t="s">
        <v>352</v>
      </c>
      <c r="B326" t="str">
        <f>_xlfn.TEXTAFTER(Table1[[#This Row],[VEHIDCODE]],"_")</f>
        <v>Russia_Moscow_81_740</v>
      </c>
      <c r="C326" t="s">
        <v>742</v>
      </c>
      <c r="D326" t="str">
        <f>"item_"&amp;Table1[[#This Row],[VEHIDCODE]]</f>
        <v>item_mtro_Russia_Moscow_81_740</v>
      </c>
      <c r="E326" t="str">
        <f>"str_"&amp;Table1[[#This Row],[VEHIDCODE]]</f>
        <v>str_mtro_Russia_Moscow_81_740</v>
      </c>
      <c r="F326">
        <v>7</v>
      </c>
      <c r="G326" t="s">
        <v>326</v>
      </c>
      <c r="H326">
        <v>1</v>
      </c>
      <c r="I326" t="s">
        <v>19</v>
      </c>
      <c r="J326">
        <v>120</v>
      </c>
      <c r="K326">
        <v>2003</v>
      </c>
      <c r="L326">
        <v>7</v>
      </c>
      <c r="M326" s="2" t="s">
        <v>327</v>
      </c>
      <c r="N326" t="b">
        <v>1</v>
      </c>
      <c r="O326" t="b">
        <v>1</v>
      </c>
      <c r="P326" s="2"/>
      <c r="Q326" t="s">
        <v>21</v>
      </c>
      <c r="R326">
        <v>1</v>
      </c>
      <c r="S326">
        <v>860</v>
      </c>
      <c r="T326" t="s">
        <v>710</v>
      </c>
      <c r="U326">
        <v>90</v>
      </c>
      <c r="V326" s="2">
        <v>0.36</v>
      </c>
      <c r="AE326"/>
      <c r="AZ326" s="2"/>
      <c r="BA326" s="7">
        <v>60</v>
      </c>
      <c r="BB326" t="s">
        <v>932</v>
      </c>
      <c r="BC326" t="s">
        <v>923</v>
      </c>
      <c r="BD326" t="s">
        <v>941</v>
      </c>
      <c r="BE326" t="str">
        <f>IF(OR(Table1[[#This Row],[ENGINE_CLASS]]="STEAM",Table1[[#This Row],[ENGINE_CLASS]]="ELECTRIC",Table1[[#This Row],[ENGINE_CLASS]]="DIESEL"),Table1[[#This Row],[ENGINE_CLASS]],"DISABLE")</f>
        <v>DISABLE</v>
      </c>
      <c r="BF326">
        <v>0</v>
      </c>
      <c r="BG326" t="s">
        <v>735</v>
      </c>
      <c r="BH326">
        <v>120</v>
      </c>
      <c r="BI326">
        <v>6</v>
      </c>
      <c r="BJ326">
        <v>47</v>
      </c>
      <c r="BK326">
        <v>0</v>
      </c>
      <c r="BL326" t="s">
        <v>693</v>
      </c>
      <c r="BM326" t="s">
        <v>695</v>
      </c>
      <c r="BN326" t="s">
        <v>702</v>
      </c>
      <c r="BO326" t="s">
        <v>706</v>
      </c>
      <c r="BP326" t="s">
        <v>707</v>
      </c>
      <c r="BQ326" t="s">
        <v>708</v>
      </c>
    </row>
    <row r="327" spans="1:69" x14ac:dyDescent="0.4">
      <c r="A327" s="2" t="s">
        <v>353</v>
      </c>
      <c r="B327" t="str">
        <f>_xlfn.TEXTAFTER(Table1[[#This Row],[VEHIDCODE]],"_")</f>
        <v>Singapore_Singapore_C830_Metropolis</v>
      </c>
      <c r="C327" t="s">
        <v>742</v>
      </c>
      <c r="D327" t="str">
        <f>"item_"&amp;Table1[[#This Row],[VEHIDCODE]]</f>
        <v>item_mtro_Singapore_Singapore_C830_Metropolis</v>
      </c>
      <c r="E327" t="str">
        <f>"str_"&amp;Table1[[#This Row],[VEHIDCODE]]</f>
        <v>str_mtro_Singapore_Singapore_C830_Metropolis</v>
      </c>
      <c r="F327">
        <v>8</v>
      </c>
      <c r="G327" t="s">
        <v>326</v>
      </c>
      <c r="H327">
        <v>1</v>
      </c>
      <c r="I327" t="s">
        <v>19</v>
      </c>
      <c r="J327">
        <v>250</v>
      </c>
      <c r="K327">
        <v>2003</v>
      </c>
      <c r="L327">
        <v>8</v>
      </c>
      <c r="M327" s="2" t="s">
        <v>327</v>
      </c>
      <c r="N327" t="b">
        <v>1</v>
      </c>
      <c r="O327" t="b">
        <v>1</v>
      </c>
      <c r="P327" s="2"/>
      <c r="Q327" t="s">
        <v>21</v>
      </c>
      <c r="R327">
        <v>1</v>
      </c>
      <c r="S327">
        <v>740</v>
      </c>
      <c r="T327" t="s">
        <v>710</v>
      </c>
      <c r="U327">
        <v>100</v>
      </c>
      <c r="V327" s="2">
        <v>0.86</v>
      </c>
      <c r="AE327"/>
      <c r="AZ327" s="2"/>
      <c r="BA327" s="7">
        <v>60</v>
      </c>
      <c r="BB327" t="s">
        <v>932</v>
      </c>
      <c r="BC327" t="s">
        <v>923</v>
      </c>
      <c r="BD327" t="s">
        <v>941</v>
      </c>
      <c r="BE327" t="str">
        <f>IF(OR(Table1[[#This Row],[ENGINE_CLASS]]="STEAM",Table1[[#This Row],[ENGINE_CLASS]]="ELECTRIC",Table1[[#This Row],[ENGINE_CLASS]]="DIESEL"),Table1[[#This Row],[ENGINE_CLASS]],"DISABLE")</f>
        <v>DISABLE</v>
      </c>
      <c r="BF327">
        <v>0</v>
      </c>
      <c r="BG327" t="s">
        <v>735</v>
      </c>
      <c r="BH327">
        <v>250</v>
      </c>
      <c r="BI327">
        <v>8</v>
      </c>
      <c r="BJ327">
        <v>35</v>
      </c>
      <c r="BK327">
        <v>0</v>
      </c>
      <c r="BL327" t="s">
        <v>693</v>
      </c>
      <c r="BM327" t="s">
        <v>695</v>
      </c>
      <c r="BN327" t="s">
        <v>702</v>
      </c>
      <c r="BO327" t="s">
        <v>706</v>
      </c>
      <c r="BP327" t="s">
        <v>707</v>
      </c>
      <c r="BQ327" t="s">
        <v>708</v>
      </c>
    </row>
    <row r="328" spans="1:69" x14ac:dyDescent="0.4">
      <c r="A328" s="2" t="s">
        <v>354</v>
      </c>
      <c r="B328" t="str">
        <f>_xlfn.TEXTAFTER(Table1[[#This Row],[VEHIDCODE]],"_")</f>
        <v>Norway_Oslo_MX3000</v>
      </c>
      <c r="C328" t="s">
        <v>742</v>
      </c>
      <c r="D328" t="str">
        <f>"item_"&amp;Table1[[#This Row],[VEHIDCODE]]</f>
        <v>item_mtro_Norway_Oslo_MX3000</v>
      </c>
      <c r="E328" t="str">
        <f>"str_"&amp;Table1[[#This Row],[VEHIDCODE]]</f>
        <v>str_mtro_Norway_Oslo_MX3000</v>
      </c>
      <c r="F328">
        <v>7</v>
      </c>
      <c r="G328" t="s">
        <v>326</v>
      </c>
      <c r="H328">
        <v>1</v>
      </c>
      <c r="I328" t="s">
        <v>19</v>
      </c>
      <c r="J328">
        <v>164</v>
      </c>
      <c r="K328">
        <v>2007</v>
      </c>
      <c r="L328">
        <v>7</v>
      </c>
      <c r="M328" s="2" t="s">
        <v>327</v>
      </c>
      <c r="N328" t="b">
        <v>1</v>
      </c>
      <c r="O328" t="b">
        <v>1</v>
      </c>
      <c r="P328" s="2"/>
      <c r="Q328" t="s">
        <v>21</v>
      </c>
      <c r="R328">
        <v>1</v>
      </c>
      <c r="S328">
        <v>760</v>
      </c>
      <c r="T328" t="s">
        <v>710</v>
      </c>
      <c r="U328">
        <v>80</v>
      </c>
      <c r="V328" s="2">
        <v>0.3</v>
      </c>
      <c r="AE328"/>
      <c r="AZ328" s="2"/>
      <c r="BA328" s="7">
        <v>60</v>
      </c>
      <c r="BB328" t="s">
        <v>928</v>
      </c>
      <c r="BC328" t="s">
        <v>923</v>
      </c>
      <c r="BD328" t="s">
        <v>941</v>
      </c>
      <c r="BE328" t="str">
        <f>IF(OR(Table1[[#This Row],[ENGINE_CLASS]]="STEAM",Table1[[#This Row],[ENGINE_CLASS]]="ELECTRIC",Table1[[#This Row],[ENGINE_CLASS]]="DIESEL"),Table1[[#This Row],[ENGINE_CLASS]],"DISABLE")</f>
        <v>DISABLE</v>
      </c>
      <c r="BF328">
        <v>0</v>
      </c>
      <c r="BG328" t="s">
        <v>735</v>
      </c>
      <c r="BH328">
        <v>164</v>
      </c>
      <c r="BI328">
        <v>7</v>
      </c>
      <c r="BJ328">
        <v>33</v>
      </c>
      <c r="BK328">
        <v>0</v>
      </c>
      <c r="BL328" t="s">
        <v>693</v>
      </c>
      <c r="BM328" t="s">
        <v>695</v>
      </c>
      <c r="BN328" t="s">
        <v>702</v>
      </c>
      <c r="BO328" t="s">
        <v>706</v>
      </c>
      <c r="BP328" t="s">
        <v>707</v>
      </c>
      <c r="BQ328" t="s">
        <v>708</v>
      </c>
    </row>
    <row r="329" spans="1:69" x14ac:dyDescent="0.4">
      <c r="A329" s="2" t="s">
        <v>355</v>
      </c>
      <c r="B329" t="str">
        <f>_xlfn.TEXTAFTER(Table1[[#This Row],[VEHIDCODE]],"_")</f>
        <v>Japan_Osaka_30000</v>
      </c>
      <c r="C329" t="s">
        <v>742</v>
      </c>
      <c r="D329" t="str">
        <f>"item_"&amp;Table1[[#This Row],[VEHIDCODE]]</f>
        <v>item_mtro_Japan_Osaka_30000</v>
      </c>
      <c r="E329" t="str">
        <f>"str_"&amp;Table1[[#This Row],[VEHIDCODE]]</f>
        <v>str_mtro_Japan_Osaka_30000</v>
      </c>
      <c r="F329">
        <v>8</v>
      </c>
      <c r="G329" t="s">
        <v>326</v>
      </c>
      <c r="H329">
        <v>1</v>
      </c>
      <c r="I329" t="s">
        <v>19</v>
      </c>
      <c r="J329">
        <v>140</v>
      </c>
      <c r="K329">
        <v>2009</v>
      </c>
      <c r="L329">
        <v>8</v>
      </c>
      <c r="M329" s="2" t="s">
        <v>327</v>
      </c>
      <c r="N329" t="b">
        <v>1</v>
      </c>
      <c r="O329" t="b">
        <v>1</v>
      </c>
      <c r="P329" s="2"/>
      <c r="Q329" t="s">
        <v>21</v>
      </c>
      <c r="R329">
        <v>1</v>
      </c>
      <c r="S329">
        <v>750</v>
      </c>
      <c r="T329" t="s">
        <v>710</v>
      </c>
      <c r="U329">
        <v>70</v>
      </c>
      <c r="V329" s="2">
        <v>0.62</v>
      </c>
      <c r="AE329"/>
      <c r="AZ329" s="2"/>
      <c r="BA329" s="7">
        <v>60</v>
      </c>
      <c r="BB329" t="s">
        <v>932</v>
      </c>
      <c r="BC329" t="s">
        <v>923</v>
      </c>
      <c r="BD329" t="s">
        <v>941</v>
      </c>
      <c r="BE329" t="str">
        <f>IF(OR(Table1[[#This Row],[ENGINE_CLASS]]="STEAM",Table1[[#This Row],[ENGINE_CLASS]]="ELECTRIC",Table1[[#This Row],[ENGINE_CLASS]]="DIESEL"),Table1[[#This Row],[ENGINE_CLASS]],"DISABLE")</f>
        <v>DISABLE</v>
      </c>
      <c r="BF329">
        <v>0</v>
      </c>
      <c r="BG329" t="s">
        <v>735</v>
      </c>
      <c r="BH329">
        <v>140</v>
      </c>
      <c r="BI329">
        <v>8</v>
      </c>
      <c r="BJ329">
        <v>30</v>
      </c>
      <c r="BK329">
        <v>0</v>
      </c>
      <c r="BL329" t="s">
        <v>693</v>
      </c>
      <c r="BM329" t="s">
        <v>695</v>
      </c>
      <c r="BN329" t="s">
        <v>702</v>
      </c>
      <c r="BO329" t="s">
        <v>706</v>
      </c>
      <c r="BP329" t="s">
        <v>707</v>
      </c>
      <c r="BQ329" t="s">
        <v>708</v>
      </c>
    </row>
    <row r="330" spans="1:69" x14ac:dyDescent="0.4">
      <c r="A330" s="2" t="s">
        <v>356</v>
      </c>
      <c r="B330" t="str">
        <f>_xlfn.TEXTAFTER(Table1[[#This Row],[VEHIDCODE]],"_")</f>
        <v>Singapore_Singapore_C151A</v>
      </c>
      <c r="C330" t="s">
        <v>742</v>
      </c>
      <c r="D330" t="str">
        <f>"item_"&amp;Table1[[#This Row],[VEHIDCODE]]</f>
        <v>item_mtro_Singapore_Singapore_C151A</v>
      </c>
      <c r="E330" t="str">
        <f>"str_"&amp;Table1[[#This Row],[VEHIDCODE]]</f>
        <v>str_mtro_Singapore_Singapore_C151A</v>
      </c>
      <c r="F330">
        <v>8</v>
      </c>
      <c r="G330" t="s">
        <v>326</v>
      </c>
      <c r="H330">
        <v>1</v>
      </c>
      <c r="I330" t="s">
        <v>19</v>
      </c>
      <c r="J330">
        <v>250</v>
      </c>
      <c r="K330">
        <v>2012</v>
      </c>
      <c r="L330">
        <v>8</v>
      </c>
      <c r="M330" s="2" t="s">
        <v>327</v>
      </c>
      <c r="N330" t="b">
        <v>1</v>
      </c>
      <c r="O330" t="b">
        <v>1</v>
      </c>
      <c r="P330" s="2"/>
      <c r="Q330" t="s">
        <v>21</v>
      </c>
      <c r="R330">
        <v>1</v>
      </c>
      <c r="S330">
        <v>720</v>
      </c>
      <c r="T330" t="s">
        <v>710</v>
      </c>
      <c r="U330">
        <v>90</v>
      </c>
      <c r="V330" s="2">
        <v>0.81</v>
      </c>
      <c r="AE330"/>
      <c r="AZ330" s="2"/>
      <c r="BA330" s="7">
        <v>60</v>
      </c>
      <c r="BB330" t="s">
        <v>932</v>
      </c>
      <c r="BC330" t="s">
        <v>923</v>
      </c>
      <c r="BD330" t="s">
        <v>941</v>
      </c>
      <c r="BE330" t="str">
        <f>IF(OR(Table1[[#This Row],[ENGINE_CLASS]]="STEAM",Table1[[#This Row],[ENGINE_CLASS]]="ELECTRIC",Table1[[#This Row],[ENGINE_CLASS]]="DIESEL"),Table1[[#This Row],[ENGINE_CLASS]],"DISABLE")</f>
        <v>DISABLE</v>
      </c>
      <c r="BF330">
        <v>0</v>
      </c>
      <c r="BG330" t="s">
        <v>735</v>
      </c>
      <c r="BH330">
        <v>250</v>
      </c>
      <c r="BI330">
        <v>8</v>
      </c>
      <c r="BJ330">
        <v>35</v>
      </c>
      <c r="BK330">
        <v>0</v>
      </c>
      <c r="BL330" t="s">
        <v>693</v>
      </c>
      <c r="BM330" t="s">
        <v>695</v>
      </c>
      <c r="BN330" t="s">
        <v>702</v>
      </c>
      <c r="BO330" t="s">
        <v>706</v>
      </c>
      <c r="BP330" t="s">
        <v>707</v>
      </c>
      <c r="BQ330" t="s">
        <v>708</v>
      </c>
    </row>
    <row r="331" spans="1:69" x14ac:dyDescent="0.4">
      <c r="A331" s="2" t="s">
        <v>357</v>
      </c>
      <c r="B331" t="str">
        <f>_xlfn.TEXTAFTER(Table1[[#This Row],[VEHIDCODE]],"_")</f>
        <v>USA_Washington_7000</v>
      </c>
      <c r="C331" t="s">
        <v>742</v>
      </c>
      <c r="D331" t="str">
        <f>"item_"&amp;Table1[[#This Row],[VEHIDCODE]]</f>
        <v>item_mtro_USA_Washington_7000</v>
      </c>
      <c r="E331" t="str">
        <f>"str_"&amp;Table1[[#This Row],[VEHIDCODE]]</f>
        <v>str_mtro_USA_Washington_7000</v>
      </c>
      <c r="F331">
        <v>8</v>
      </c>
      <c r="G331" t="s">
        <v>326</v>
      </c>
      <c r="H331">
        <v>1</v>
      </c>
      <c r="I331" t="s">
        <v>19</v>
      </c>
      <c r="J331">
        <v>184</v>
      </c>
      <c r="K331">
        <v>2013</v>
      </c>
      <c r="L331">
        <v>8</v>
      </c>
      <c r="M331" s="2" t="s">
        <v>327</v>
      </c>
      <c r="N331" t="b">
        <v>1</v>
      </c>
      <c r="O331" t="b">
        <v>1</v>
      </c>
      <c r="P331" s="2"/>
      <c r="Q331" t="s">
        <v>21</v>
      </c>
      <c r="R331">
        <v>1</v>
      </c>
      <c r="S331">
        <v>720</v>
      </c>
      <c r="T331" t="s">
        <v>710</v>
      </c>
      <c r="U331">
        <v>126</v>
      </c>
      <c r="V331" s="2">
        <v>0.64</v>
      </c>
      <c r="AE331"/>
      <c r="AZ331" s="2"/>
      <c r="BA331" s="7">
        <v>60</v>
      </c>
      <c r="BB331" t="s">
        <v>929</v>
      </c>
      <c r="BC331" t="s">
        <v>923</v>
      </c>
      <c r="BD331" t="s">
        <v>941</v>
      </c>
      <c r="BE331" t="str">
        <f>IF(OR(Table1[[#This Row],[ENGINE_CLASS]]="STEAM",Table1[[#This Row],[ENGINE_CLASS]]="ELECTRIC",Table1[[#This Row],[ENGINE_CLASS]]="DIESEL"),Table1[[#This Row],[ENGINE_CLASS]],"DISABLE")</f>
        <v>DISABLE</v>
      </c>
      <c r="BF331">
        <v>0</v>
      </c>
      <c r="BG331" t="s">
        <v>735</v>
      </c>
      <c r="BH331">
        <v>184</v>
      </c>
      <c r="BI331">
        <v>8</v>
      </c>
      <c r="BJ331">
        <v>36</v>
      </c>
      <c r="BK331">
        <v>0</v>
      </c>
      <c r="BL331" t="s">
        <v>693</v>
      </c>
      <c r="BM331" t="s">
        <v>695</v>
      </c>
      <c r="BN331" t="s">
        <v>702</v>
      </c>
      <c r="BO331" t="s">
        <v>706</v>
      </c>
      <c r="BP331" t="s">
        <v>707</v>
      </c>
      <c r="BQ331" t="s">
        <v>708</v>
      </c>
    </row>
    <row r="332" spans="1:69" x14ac:dyDescent="0.4">
      <c r="A332" s="2" t="s">
        <v>358</v>
      </c>
      <c r="B332" t="str">
        <f>_xlfn.TEXTAFTER(Table1[[#This Row],[VEHIDCODE]],"_")</f>
        <v>Greece_Thessaloniki_2014</v>
      </c>
      <c r="C332" t="s">
        <v>742</v>
      </c>
      <c r="D332" t="str">
        <f>"item_"&amp;Table1[[#This Row],[VEHIDCODE]]</f>
        <v>item_mtro_Greece_Thessaloniki_2014</v>
      </c>
      <c r="E332" t="str">
        <f>"str_"&amp;Table1[[#This Row],[VEHIDCODE]]</f>
        <v>str_mtro_Greece_Thessaloniki_2014</v>
      </c>
      <c r="F332">
        <v>6</v>
      </c>
      <c r="G332" t="s">
        <v>326</v>
      </c>
      <c r="H332">
        <v>1</v>
      </c>
      <c r="I332" t="s">
        <v>19</v>
      </c>
      <c r="J332">
        <v>110</v>
      </c>
      <c r="K332">
        <v>2014</v>
      </c>
      <c r="L332">
        <v>6</v>
      </c>
      <c r="M332" s="2" t="s">
        <v>327</v>
      </c>
      <c r="N332" t="b">
        <v>1</v>
      </c>
      <c r="O332" t="b">
        <v>1</v>
      </c>
      <c r="P332" s="2"/>
      <c r="Q332" t="s">
        <v>21</v>
      </c>
      <c r="R332">
        <v>1</v>
      </c>
      <c r="S332">
        <v>255</v>
      </c>
      <c r="T332" t="s">
        <v>710</v>
      </c>
      <c r="U332">
        <v>90</v>
      </c>
      <c r="V332" s="2">
        <v>0.97</v>
      </c>
      <c r="AE332"/>
      <c r="AZ332" s="2"/>
      <c r="BA332" s="7">
        <v>60</v>
      </c>
      <c r="BB332" t="s">
        <v>925</v>
      </c>
      <c r="BC332" t="s">
        <v>923</v>
      </c>
      <c r="BD332" t="s">
        <v>941</v>
      </c>
      <c r="BE332" t="str">
        <f>IF(OR(Table1[[#This Row],[ENGINE_CLASS]]="STEAM",Table1[[#This Row],[ENGINE_CLASS]]="ELECTRIC",Table1[[#This Row],[ENGINE_CLASS]]="DIESEL"),Table1[[#This Row],[ENGINE_CLASS]],"DISABLE")</f>
        <v>DISABLE</v>
      </c>
      <c r="BF332">
        <v>0</v>
      </c>
      <c r="BG332" t="s">
        <v>735</v>
      </c>
      <c r="BH332">
        <v>110</v>
      </c>
      <c r="BI332">
        <v>6</v>
      </c>
      <c r="BJ332">
        <v>18</v>
      </c>
      <c r="BK332">
        <v>0</v>
      </c>
      <c r="BL332" t="s">
        <v>693</v>
      </c>
      <c r="BM332" t="s">
        <v>695</v>
      </c>
      <c r="BN332" t="s">
        <v>702</v>
      </c>
      <c r="BO332" t="s">
        <v>706</v>
      </c>
      <c r="BP332" t="s">
        <v>707</v>
      </c>
      <c r="BQ332" t="s">
        <v>708</v>
      </c>
    </row>
    <row r="333" spans="1:69" x14ac:dyDescent="0.4">
      <c r="A333" s="2" t="s">
        <v>359</v>
      </c>
      <c r="B333" t="str">
        <f>_xlfn.TEXTAFTER(Table1[[#This Row],[VEHIDCODE]],"_")</f>
        <v>Germany_Berlin_U_Bahn_A_I</v>
      </c>
      <c r="C333" t="s">
        <v>742</v>
      </c>
      <c r="D333" t="str">
        <f>"item_"&amp;Table1[[#This Row],[VEHIDCODE]]</f>
        <v>item_mtro_Germany_Berlin_U_Bahn_A_I</v>
      </c>
      <c r="E333" t="str">
        <f>"str_"&amp;Table1[[#This Row],[VEHIDCODE]]</f>
        <v>str_mtro_Germany_Berlin_U_Bahn_A_I</v>
      </c>
      <c r="F333">
        <v>5</v>
      </c>
      <c r="G333" t="s">
        <v>326</v>
      </c>
      <c r="H333">
        <v>1</v>
      </c>
      <c r="I333" t="s">
        <v>19</v>
      </c>
      <c r="J333">
        <v>88</v>
      </c>
      <c r="K333">
        <v>1901</v>
      </c>
      <c r="L333">
        <v>5</v>
      </c>
      <c r="M333" s="2" t="s">
        <v>327</v>
      </c>
      <c r="N333" t="b">
        <v>1</v>
      </c>
      <c r="O333" t="b">
        <v>1</v>
      </c>
      <c r="P333" s="2"/>
      <c r="Q333">
        <v>45</v>
      </c>
      <c r="R333">
        <v>1</v>
      </c>
      <c r="S333">
        <v>321</v>
      </c>
      <c r="T333" t="s">
        <v>710</v>
      </c>
      <c r="U333">
        <v>50</v>
      </c>
      <c r="V333" s="2">
        <v>0.14000000000000001</v>
      </c>
      <c r="AE333"/>
      <c r="AZ333" s="2"/>
      <c r="BA333" s="7">
        <v>60</v>
      </c>
      <c r="BB333" t="s">
        <v>924</v>
      </c>
      <c r="BC333" t="s">
        <v>923</v>
      </c>
      <c r="BD333" t="s">
        <v>941</v>
      </c>
      <c r="BE333" t="str">
        <f>IF(OR(Table1[[#This Row],[ENGINE_CLASS]]="STEAM",Table1[[#This Row],[ENGINE_CLASS]]="ELECTRIC",Table1[[#This Row],[ENGINE_CLASS]]="DIESEL"),Table1[[#This Row],[ENGINE_CLASS]],"DISABLE")</f>
        <v>DISABLE</v>
      </c>
      <c r="BF333">
        <v>0</v>
      </c>
      <c r="BG333" t="s">
        <v>735</v>
      </c>
      <c r="BH333">
        <v>88</v>
      </c>
      <c r="BI333">
        <v>5</v>
      </c>
      <c r="BJ333">
        <v>29</v>
      </c>
      <c r="BK333">
        <v>0</v>
      </c>
      <c r="BL333" t="s">
        <v>693</v>
      </c>
      <c r="BM333" t="s">
        <v>695</v>
      </c>
      <c r="BN333" t="s">
        <v>702</v>
      </c>
      <c r="BO333" t="s">
        <v>706</v>
      </c>
      <c r="BP333" t="s">
        <v>707</v>
      </c>
      <c r="BQ333" t="s">
        <v>708</v>
      </c>
    </row>
    <row r="334" spans="1:69" x14ac:dyDescent="0.4">
      <c r="A334" s="2" t="s">
        <v>360</v>
      </c>
      <c r="B334" t="str">
        <f>_xlfn.TEXTAFTER(Table1[[#This Row],[VEHIDCODE]],"_")</f>
        <v>USA_NY_Hedley_Hi_V</v>
      </c>
      <c r="C334" t="s">
        <v>742</v>
      </c>
      <c r="D334" t="str">
        <f>"item_"&amp;Table1[[#This Row],[VEHIDCODE]]</f>
        <v>item_mtro_USA_NY_Hedley_Hi_V</v>
      </c>
      <c r="E334" t="str">
        <f>"str_"&amp;Table1[[#This Row],[VEHIDCODE]]</f>
        <v>str_mtro_USA_NY_Hedley_Hi_V</v>
      </c>
      <c r="F334">
        <v>8</v>
      </c>
      <c r="G334" t="s">
        <v>326</v>
      </c>
      <c r="H334">
        <v>1</v>
      </c>
      <c r="I334" t="s">
        <v>19</v>
      </c>
      <c r="J334">
        <v>128</v>
      </c>
      <c r="K334">
        <v>1910</v>
      </c>
      <c r="L334">
        <v>8</v>
      </c>
      <c r="M334" s="2" t="s">
        <v>327</v>
      </c>
      <c r="N334" t="b">
        <v>1</v>
      </c>
      <c r="O334" t="b">
        <v>1</v>
      </c>
      <c r="P334" s="2"/>
      <c r="Q334">
        <v>45</v>
      </c>
      <c r="R334">
        <v>1</v>
      </c>
      <c r="S334">
        <v>400</v>
      </c>
      <c r="T334" t="s">
        <v>710</v>
      </c>
      <c r="U334">
        <v>90</v>
      </c>
      <c r="V334" s="2">
        <v>0.2</v>
      </c>
      <c r="AE334"/>
      <c r="AZ334" s="2"/>
      <c r="BA334" s="7">
        <v>60</v>
      </c>
      <c r="BB334" t="s">
        <v>929</v>
      </c>
      <c r="BC334" t="s">
        <v>923</v>
      </c>
      <c r="BD334" t="s">
        <v>941</v>
      </c>
      <c r="BE334" t="str">
        <f>IF(OR(Table1[[#This Row],[ENGINE_CLASS]]="STEAM",Table1[[#This Row],[ENGINE_CLASS]]="ELECTRIC",Table1[[#This Row],[ENGINE_CLASS]]="DIESEL"),Table1[[#This Row],[ENGINE_CLASS]],"DISABLE")</f>
        <v>DISABLE</v>
      </c>
      <c r="BF334">
        <v>0</v>
      </c>
      <c r="BG334" t="s">
        <v>735</v>
      </c>
      <c r="BH334">
        <v>128</v>
      </c>
      <c r="BI334">
        <v>8</v>
      </c>
      <c r="BJ334">
        <v>36</v>
      </c>
      <c r="BK334">
        <v>0</v>
      </c>
      <c r="BL334" t="s">
        <v>693</v>
      </c>
      <c r="BM334" t="s">
        <v>695</v>
      </c>
      <c r="BN334" t="s">
        <v>702</v>
      </c>
      <c r="BO334" t="s">
        <v>706</v>
      </c>
      <c r="BP334" t="s">
        <v>707</v>
      </c>
      <c r="BQ334" t="s">
        <v>708</v>
      </c>
    </row>
    <row r="335" spans="1:69" x14ac:dyDescent="0.4">
      <c r="A335" s="2" t="s">
        <v>361</v>
      </c>
      <c r="B335" t="str">
        <f>_xlfn.TEXTAFTER(Table1[[#This Row],[VEHIDCODE]],"_")</f>
        <v>Japan_Osaka_1000</v>
      </c>
      <c r="C335" t="s">
        <v>742</v>
      </c>
      <c r="D335" t="str">
        <f>"item_"&amp;Table1[[#This Row],[VEHIDCODE]]</f>
        <v>item_mtro_Japan_Osaka_1000</v>
      </c>
      <c r="E335" t="str">
        <f>"str_"&amp;Table1[[#This Row],[VEHIDCODE]]</f>
        <v>str_mtro_Japan_Osaka_1000</v>
      </c>
      <c r="F335">
        <v>7</v>
      </c>
      <c r="G335" t="s">
        <v>326</v>
      </c>
      <c r="H335">
        <v>1</v>
      </c>
      <c r="I335" t="s">
        <v>19</v>
      </c>
      <c r="J335">
        <v>145</v>
      </c>
      <c r="K335">
        <v>1933</v>
      </c>
      <c r="L335">
        <v>7</v>
      </c>
      <c r="M335" s="2" t="s">
        <v>327</v>
      </c>
      <c r="N335" t="b">
        <v>1</v>
      </c>
      <c r="O335" t="b">
        <v>1</v>
      </c>
      <c r="P335" s="2"/>
      <c r="Q335">
        <v>45</v>
      </c>
      <c r="R335">
        <v>1</v>
      </c>
      <c r="S335">
        <v>200</v>
      </c>
      <c r="T335" t="s">
        <v>710</v>
      </c>
      <c r="U335">
        <v>65</v>
      </c>
      <c r="V335" s="2">
        <v>0.24</v>
      </c>
      <c r="AE335"/>
      <c r="AZ335" s="2"/>
      <c r="BA335" s="7">
        <v>60</v>
      </c>
      <c r="BB335" t="s">
        <v>932</v>
      </c>
      <c r="BC335" t="s">
        <v>923</v>
      </c>
      <c r="BD335" t="s">
        <v>941</v>
      </c>
      <c r="BE335" t="str">
        <f>IF(OR(Table1[[#This Row],[ENGINE_CLASS]]="STEAM",Table1[[#This Row],[ENGINE_CLASS]]="ELECTRIC",Table1[[#This Row],[ENGINE_CLASS]]="DIESEL"),Table1[[#This Row],[ENGINE_CLASS]],"DISABLE")</f>
        <v>DISABLE</v>
      </c>
      <c r="BF335">
        <v>0</v>
      </c>
      <c r="BG335" t="s">
        <v>735</v>
      </c>
      <c r="BH335">
        <v>145</v>
      </c>
      <c r="BI335">
        <v>7</v>
      </c>
      <c r="BJ335">
        <v>35</v>
      </c>
      <c r="BK335">
        <v>0</v>
      </c>
      <c r="BL335" t="s">
        <v>693</v>
      </c>
      <c r="BM335" t="s">
        <v>695</v>
      </c>
      <c r="BN335" t="s">
        <v>702</v>
      </c>
      <c r="BO335" t="s">
        <v>706</v>
      </c>
      <c r="BP335" t="s">
        <v>707</v>
      </c>
      <c r="BQ335" t="s">
        <v>708</v>
      </c>
    </row>
    <row r="336" spans="1:69" x14ac:dyDescent="0.4">
      <c r="A336" s="2" t="s">
        <v>362</v>
      </c>
      <c r="B336" t="str">
        <f>_xlfn.TEXTAFTER(Table1[[#This Row],[VEHIDCODE]],"_")</f>
        <v>Russia_Moscow_Type_A</v>
      </c>
      <c r="C336" t="s">
        <v>742</v>
      </c>
      <c r="D336" t="str">
        <f>"item_"&amp;Table1[[#This Row],[VEHIDCODE]]</f>
        <v>item_mtro_Russia_Moscow_Type_A</v>
      </c>
      <c r="E336" t="str">
        <f>"str_"&amp;Table1[[#This Row],[VEHIDCODE]]</f>
        <v>str_mtro_Russia_Moscow_Type_A</v>
      </c>
      <c r="F336">
        <v>7</v>
      </c>
      <c r="G336" t="s">
        <v>326</v>
      </c>
      <c r="H336">
        <v>1</v>
      </c>
      <c r="I336" t="s">
        <v>19</v>
      </c>
      <c r="J336">
        <v>131</v>
      </c>
      <c r="K336">
        <v>1934</v>
      </c>
      <c r="L336">
        <v>7</v>
      </c>
      <c r="M336" s="2" t="s">
        <v>327</v>
      </c>
      <c r="N336" t="b">
        <v>1</v>
      </c>
      <c r="O336" t="b">
        <v>1</v>
      </c>
      <c r="P336" s="2"/>
      <c r="Q336">
        <v>45</v>
      </c>
      <c r="R336">
        <v>1</v>
      </c>
      <c r="S336">
        <v>205</v>
      </c>
      <c r="T336" t="s">
        <v>710</v>
      </c>
      <c r="U336">
        <v>65</v>
      </c>
      <c r="V336" s="2">
        <v>0.14000000000000001</v>
      </c>
      <c r="AE336"/>
      <c r="AZ336" s="2"/>
      <c r="BA336" s="7">
        <v>60</v>
      </c>
      <c r="BB336" t="s">
        <v>932</v>
      </c>
      <c r="BC336" t="s">
        <v>923</v>
      </c>
      <c r="BD336" t="s">
        <v>941</v>
      </c>
      <c r="BE336" t="str">
        <f>IF(OR(Table1[[#This Row],[ENGINE_CLASS]]="STEAM",Table1[[#This Row],[ENGINE_CLASS]]="ELECTRIC",Table1[[#This Row],[ENGINE_CLASS]]="DIESEL"),Table1[[#This Row],[ENGINE_CLASS]],"DISABLE")</f>
        <v>DISABLE</v>
      </c>
      <c r="BF336">
        <v>0</v>
      </c>
      <c r="BG336" t="s">
        <v>735</v>
      </c>
      <c r="BH336">
        <v>131</v>
      </c>
      <c r="BI336">
        <v>7</v>
      </c>
      <c r="BJ336">
        <v>51</v>
      </c>
      <c r="BK336">
        <v>0</v>
      </c>
      <c r="BL336" t="s">
        <v>693</v>
      </c>
      <c r="BM336" t="s">
        <v>695</v>
      </c>
      <c r="BN336" t="s">
        <v>702</v>
      </c>
      <c r="BO336" t="s">
        <v>706</v>
      </c>
      <c r="BP336" t="s">
        <v>707</v>
      </c>
      <c r="BQ336" t="s">
        <v>708</v>
      </c>
    </row>
    <row r="337" spans="1:69" x14ac:dyDescent="0.4">
      <c r="A337" s="2" t="s">
        <v>363</v>
      </c>
      <c r="B337" t="str">
        <f>_xlfn.TEXTAFTER(Table1[[#This Row],[VEHIDCODE]],"_")</f>
        <v>USA_NY_R10</v>
      </c>
      <c r="C337" t="s">
        <v>742</v>
      </c>
      <c r="D337" t="str">
        <f>"item_"&amp;Table1[[#This Row],[VEHIDCODE]]</f>
        <v>item_mtro_USA_NY_R10</v>
      </c>
      <c r="E337" t="str">
        <f>"str_"&amp;Table1[[#This Row],[VEHIDCODE]]</f>
        <v>str_mtro_USA_NY_R10</v>
      </c>
      <c r="F337">
        <v>8</v>
      </c>
      <c r="G337" t="s">
        <v>326</v>
      </c>
      <c r="H337">
        <v>1</v>
      </c>
      <c r="I337" t="s">
        <v>19</v>
      </c>
      <c r="J337">
        <v>160</v>
      </c>
      <c r="K337">
        <v>1948</v>
      </c>
      <c r="L337">
        <v>8</v>
      </c>
      <c r="M337" s="2" t="s">
        <v>327</v>
      </c>
      <c r="N337" t="b">
        <v>1</v>
      </c>
      <c r="O337" t="b">
        <v>1</v>
      </c>
      <c r="P337" s="2"/>
      <c r="Q337">
        <v>45</v>
      </c>
      <c r="R337">
        <v>1</v>
      </c>
      <c r="S337">
        <v>400</v>
      </c>
      <c r="T337" t="s">
        <v>710</v>
      </c>
      <c r="U337">
        <v>90</v>
      </c>
      <c r="V337" s="2">
        <v>0.2</v>
      </c>
      <c r="AE337"/>
      <c r="AZ337" s="2"/>
      <c r="BA337" s="7">
        <v>60</v>
      </c>
      <c r="BB337" t="s">
        <v>929</v>
      </c>
      <c r="BC337" t="s">
        <v>923</v>
      </c>
      <c r="BD337" t="s">
        <v>941</v>
      </c>
      <c r="BE337" t="str">
        <f>IF(OR(Table1[[#This Row],[ENGINE_CLASS]]="STEAM",Table1[[#This Row],[ENGINE_CLASS]]="ELECTRIC",Table1[[#This Row],[ENGINE_CLASS]]="DIESEL"),Table1[[#This Row],[ENGINE_CLASS]],"DISABLE")</f>
        <v>DISABLE</v>
      </c>
      <c r="BF337">
        <v>0</v>
      </c>
      <c r="BG337" t="s">
        <v>735</v>
      </c>
      <c r="BH337">
        <v>160</v>
      </c>
      <c r="BI337">
        <v>8</v>
      </c>
      <c r="BJ337">
        <v>36</v>
      </c>
      <c r="BK337">
        <v>0</v>
      </c>
      <c r="BL337" t="s">
        <v>693</v>
      </c>
      <c r="BM337" t="s">
        <v>695</v>
      </c>
      <c r="BN337" t="s">
        <v>702</v>
      </c>
      <c r="BO337" t="s">
        <v>706</v>
      </c>
      <c r="BP337" t="s">
        <v>707</v>
      </c>
      <c r="BQ337" t="s">
        <v>708</v>
      </c>
    </row>
    <row r="338" spans="1:69" x14ac:dyDescent="0.4">
      <c r="A338" s="2" t="s">
        <v>364</v>
      </c>
      <c r="B338" t="str">
        <f>_xlfn.TEXTAFTER(Table1[[#This Row],[VEHIDCODE]],"_")</f>
        <v>Italy_Rome_MR_100</v>
      </c>
      <c r="C338" t="s">
        <v>742</v>
      </c>
      <c r="D338" t="str">
        <f>"item_"&amp;Table1[[#This Row],[VEHIDCODE]]</f>
        <v>item_mtro_Italy_Rome_MR_100</v>
      </c>
      <c r="E338" t="str">
        <f>"str_"&amp;Table1[[#This Row],[VEHIDCODE]]</f>
        <v>str_mtro_Italy_Rome_MR_100</v>
      </c>
      <c r="F338">
        <v>7</v>
      </c>
      <c r="G338" t="s">
        <v>326</v>
      </c>
      <c r="H338">
        <v>1</v>
      </c>
      <c r="I338" t="s">
        <v>19</v>
      </c>
      <c r="J338">
        <v>156</v>
      </c>
      <c r="K338">
        <v>1954</v>
      </c>
      <c r="L338">
        <v>7</v>
      </c>
      <c r="M338" s="2" t="s">
        <v>327</v>
      </c>
      <c r="N338" t="b">
        <v>1</v>
      </c>
      <c r="O338" t="b">
        <v>1</v>
      </c>
      <c r="P338" s="2"/>
      <c r="Q338">
        <v>45</v>
      </c>
      <c r="R338">
        <v>1</v>
      </c>
      <c r="S338">
        <v>237</v>
      </c>
      <c r="T338" t="s">
        <v>710</v>
      </c>
      <c r="U338">
        <v>100</v>
      </c>
      <c r="V338" s="2">
        <v>0.15</v>
      </c>
      <c r="AE338"/>
      <c r="AZ338" s="2"/>
      <c r="BA338" s="7">
        <v>60</v>
      </c>
      <c r="BB338" t="s">
        <v>925</v>
      </c>
      <c r="BC338" t="s">
        <v>923</v>
      </c>
      <c r="BD338" t="s">
        <v>941</v>
      </c>
      <c r="BE338" t="str">
        <f>IF(OR(Table1[[#This Row],[ENGINE_CLASS]]="STEAM",Table1[[#This Row],[ENGINE_CLASS]]="ELECTRIC",Table1[[#This Row],[ENGINE_CLASS]]="DIESEL"),Table1[[#This Row],[ENGINE_CLASS]],"DISABLE")</f>
        <v>DISABLE</v>
      </c>
      <c r="BF338">
        <v>0</v>
      </c>
      <c r="BG338" t="s">
        <v>735</v>
      </c>
      <c r="BH338">
        <v>156</v>
      </c>
      <c r="BI338">
        <v>7</v>
      </c>
      <c r="BJ338">
        <v>40</v>
      </c>
      <c r="BK338">
        <v>0</v>
      </c>
      <c r="BL338" t="s">
        <v>693</v>
      </c>
      <c r="BM338" t="s">
        <v>695</v>
      </c>
      <c r="BN338" t="s">
        <v>702</v>
      </c>
      <c r="BO338" t="s">
        <v>706</v>
      </c>
      <c r="BP338" t="s">
        <v>707</v>
      </c>
      <c r="BQ338" t="s">
        <v>708</v>
      </c>
    </row>
    <row r="339" spans="1:69" x14ac:dyDescent="0.4">
      <c r="A339" s="2" t="s">
        <v>365</v>
      </c>
      <c r="B339" t="str">
        <f>_xlfn.TEXTAFTER(Table1[[#This Row],[VEHIDCODE]],"_")</f>
        <v>Russia_Moscow_Type_D</v>
      </c>
      <c r="C339" t="s">
        <v>742</v>
      </c>
      <c r="D339" t="str">
        <f>"item_"&amp;Table1[[#This Row],[VEHIDCODE]]</f>
        <v>item_mtro_Russia_Moscow_Type_D</v>
      </c>
      <c r="E339" t="str">
        <f>"str_"&amp;Table1[[#This Row],[VEHIDCODE]]</f>
        <v>str_mtro_Russia_Moscow_Type_D</v>
      </c>
      <c r="F339">
        <v>8</v>
      </c>
      <c r="G339" t="s">
        <v>326</v>
      </c>
      <c r="H339">
        <v>1</v>
      </c>
      <c r="I339" t="s">
        <v>19</v>
      </c>
      <c r="J339">
        <v>132</v>
      </c>
      <c r="K339">
        <v>1955</v>
      </c>
      <c r="L339">
        <v>8</v>
      </c>
      <c r="M339" s="2" t="s">
        <v>327</v>
      </c>
      <c r="N339" t="b">
        <v>1</v>
      </c>
      <c r="O339" t="b">
        <v>1</v>
      </c>
      <c r="P339" s="2"/>
      <c r="Q339">
        <v>45</v>
      </c>
      <c r="R339">
        <v>1</v>
      </c>
      <c r="S339">
        <v>192</v>
      </c>
      <c r="T339" t="s">
        <v>710</v>
      </c>
      <c r="U339">
        <v>75</v>
      </c>
      <c r="V339" s="2">
        <v>0.21</v>
      </c>
      <c r="AE339"/>
      <c r="AZ339" s="2"/>
      <c r="BA339" s="7">
        <v>60</v>
      </c>
      <c r="BB339" t="s">
        <v>932</v>
      </c>
      <c r="BC339" t="s">
        <v>923</v>
      </c>
      <c r="BD339" t="s">
        <v>941</v>
      </c>
      <c r="BE339" t="str">
        <f>IF(OR(Table1[[#This Row],[ENGINE_CLASS]]="STEAM",Table1[[#This Row],[ENGINE_CLASS]]="ELECTRIC",Table1[[#This Row],[ENGINE_CLASS]]="DIESEL"),Table1[[#This Row],[ENGINE_CLASS]],"DISABLE")</f>
        <v>DISABLE</v>
      </c>
      <c r="BF339">
        <v>0</v>
      </c>
      <c r="BG339" t="s">
        <v>735</v>
      </c>
      <c r="BH339">
        <v>132</v>
      </c>
      <c r="BI339">
        <v>8</v>
      </c>
      <c r="BJ339">
        <v>36</v>
      </c>
      <c r="BK339">
        <v>0</v>
      </c>
      <c r="BL339" t="s">
        <v>693</v>
      </c>
      <c r="BM339" t="s">
        <v>695</v>
      </c>
      <c r="BN339" t="s">
        <v>702</v>
      </c>
      <c r="BO339" t="s">
        <v>706</v>
      </c>
      <c r="BP339" t="s">
        <v>707</v>
      </c>
      <c r="BQ339" t="s">
        <v>708</v>
      </c>
    </row>
    <row r="340" spans="1:69" x14ac:dyDescent="0.4">
      <c r="A340" s="2" t="s">
        <v>366</v>
      </c>
      <c r="B340" t="str">
        <f>_xlfn.TEXTAFTER(Table1[[#This Row],[VEHIDCODE]],"_")</f>
        <v>Netherlands_Rotterdam_MG2_Type_M</v>
      </c>
      <c r="C340" t="s">
        <v>742</v>
      </c>
      <c r="D340" t="str">
        <f>"item_"&amp;Table1[[#This Row],[VEHIDCODE]]</f>
        <v>item_mtro_Netherlands_Rotterdam_MG2_Type_M</v>
      </c>
      <c r="E340" t="str">
        <f>"str_"&amp;Table1[[#This Row],[VEHIDCODE]]</f>
        <v>str_mtro_Netherlands_Rotterdam_MG2_Type_M</v>
      </c>
      <c r="F340">
        <v>7</v>
      </c>
      <c r="G340" t="s">
        <v>326</v>
      </c>
      <c r="H340">
        <v>1</v>
      </c>
      <c r="I340" t="s">
        <v>19</v>
      </c>
      <c r="J340">
        <v>235</v>
      </c>
      <c r="K340">
        <v>1968</v>
      </c>
      <c r="L340">
        <v>7</v>
      </c>
      <c r="M340" s="2" t="s">
        <v>327</v>
      </c>
      <c r="N340" t="b">
        <v>1</v>
      </c>
      <c r="O340" t="b">
        <v>1</v>
      </c>
      <c r="P340" s="2"/>
      <c r="Q340">
        <v>45</v>
      </c>
      <c r="R340">
        <v>1</v>
      </c>
      <c r="S340">
        <v>197</v>
      </c>
      <c r="T340" t="s">
        <v>710</v>
      </c>
      <c r="U340">
        <v>80</v>
      </c>
      <c r="V340" s="2">
        <v>0.3</v>
      </c>
      <c r="AE340"/>
      <c r="AZ340" s="2"/>
      <c r="BA340" s="7">
        <v>60</v>
      </c>
      <c r="BB340" t="s">
        <v>924</v>
      </c>
      <c r="BC340" t="s">
        <v>923</v>
      </c>
      <c r="BD340" t="s">
        <v>941</v>
      </c>
      <c r="BE340" t="str">
        <f>IF(OR(Table1[[#This Row],[ENGINE_CLASS]]="STEAM",Table1[[#This Row],[ENGINE_CLASS]]="ELECTRIC",Table1[[#This Row],[ENGINE_CLASS]]="DIESEL"),Table1[[#This Row],[ENGINE_CLASS]],"DISABLE")</f>
        <v>DISABLE</v>
      </c>
      <c r="BF340">
        <v>0</v>
      </c>
      <c r="BG340" t="s">
        <v>735</v>
      </c>
      <c r="BH340">
        <v>235</v>
      </c>
      <c r="BI340">
        <v>7</v>
      </c>
      <c r="BJ340">
        <v>20</v>
      </c>
      <c r="BK340">
        <v>0</v>
      </c>
      <c r="BL340" t="s">
        <v>693</v>
      </c>
      <c r="BM340" t="s">
        <v>695</v>
      </c>
      <c r="BN340" t="s">
        <v>702</v>
      </c>
      <c r="BO340" t="s">
        <v>706</v>
      </c>
      <c r="BP340" t="s">
        <v>707</v>
      </c>
      <c r="BQ340" t="s">
        <v>708</v>
      </c>
    </row>
    <row r="341" spans="1:69" x14ac:dyDescent="0.4">
      <c r="A341" s="2" t="s">
        <v>367</v>
      </c>
      <c r="B341" t="str">
        <f>_xlfn.TEXTAFTER(Table1[[#This Row],[VEHIDCODE]],"_")</f>
        <v>Czech_Republic_Prague_ECS_Set</v>
      </c>
      <c r="C341" t="s">
        <v>742</v>
      </c>
      <c r="D341" t="str">
        <f>"item_"&amp;Table1[[#This Row],[VEHIDCODE]]</f>
        <v>item_mtro_Czech_Republic_Prague_ECS_Set</v>
      </c>
      <c r="E341" t="str">
        <f>"str_"&amp;Table1[[#This Row],[VEHIDCODE]]</f>
        <v>str_mtro_Czech_Republic_Prague_ECS_Set</v>
      </c>
      <c r="F341">
        <v>8</v>
      </c>
      <c r="G341" t="s">
        <v>326</v>
      </c>
      <c r="H341">
        <v>1</v>
      </c>
      <c r="I341" t="s">
        <v>19</v>
      </c>
      <c r="J341">
        <v>150</v>
      </c>
      <c r="K341">
        <v>1972</v>
      </c>
      <c r="L341">
        <v>8</v>
      </c>
      <c r="M341" s="2" t="s">
        <v>327</v>
      </c>
      <c r="N341" t="b">
        <v>1</v>
      </c>
      <c r="O341" t="b">
        <v>1</v>
      </c>
      <c r="P341" s="2"/>
      <c r="Q341">
        <v>45</v>
      </c>
      <c r="R341">
        <v>1</v>
      </c>
      <c r="S341">
        <v>192</v>
      </c>
      <c r="T341" t="s">
        <v>710</v>
      </c>
      <c r="U341">
        <v>80</v>
      </c>
      <c r="V341" s="2">
        <v>0.16</v>
      </c>
      <c r="AE341"/>
      <c r="AZ341" s="2"/>
      <c r="BA341" s="7">
        <v>60</v>
      </c>
      <c r="BB341" t="s">
        <v>930</v>
      </c>
      <c r="BC341" t="s">
        <v>923</v>
      </c>
      <c r="BD341" t="s">
        <v>941</v>
      </c>
      <c r="BE341" t="str">
        <f>IF(OR(Table1[[#This Row],[ENGINE_CLASS]]="STEAM",Table1[[#This Row],[ENGINE_CLASS]]="ELECTRIC",Table1[[#This Row],[ENGINE_CLASS]]="DIESEL"),Table1[[#This Row],[ENGINE_CLASS]],"DISABLE")</f>
        <v>DISABLE</v>
      </c>
      <c r="BF341">
        <v>0</v>
      </c>
      <c r="BG341" t="s">
        <v>735</v>
      </c>
      <c r="BH341">
        <v>150</v>
      </c>
      <c r="BI341">
        <v>8</v>
      </c>
      <c r="BJ341">
        <v>33</v>
      </c>
      <c r="BK341">
        <v>0</v>
      </c>
      <c r="BL341" t="s">
        <v>693</v>
      </c>
      <c r="BM341" t="s">
        <v>695</v>
      </c>
      <c r="BN341" t="s">
        <v>702</v>
      </c>
      <c r="BO341" t="s">
        <v>706</v>
      </c>
      <c r="BP341" t="s">
        <v>707</v>
      </c>
      <c r="BQ341" t="s">
        <v>708</v>
      </c>
    </row>
    <row r="342" spans="1:69" x14ac:dyDescent="0.4">
      <c r="A342" s="2" t="s">
        <v>368</v>
      </c>
      <c r="B342" t="str">
        <f>_xlfn.TEXTAFTER(Table1[[#This Row],[VEHIDCODE]],"_")</f>
        <v>Argentina_Buenos_Aires_Serie_1200</v>
      </c>
      <c r="C342" t="s">
        <v>742</v>
      </c>
      <c r="D342" t="str">
        <f>"item_"&amp;Table1[[#This Row],[VEHIDCODE]]</f>
        <v>item_mtro_Argentina_Buenos_Aires_Serie_1200</v>
      </c>
      <c r="E342" t="str">
        <f>"str_"&amp;Table1[[#This Row],[VEHIDCODE]]</f>
        <v>str_mtro_Argentina_Buenos_Aires_Serie_1200</v>
      </c>
      <c r="F342">
        <v>7</v>
      </c>
      <c r="G342" t="s">
        <v>326</v>
      </c>
      <c r="H342">
        <v>1</v>
      </c>
      <c r="I342" t="s">
        <v>19</v>
      </c>
      <c r="J342">
        <v>162</v>
      </c>
      <c r="K342">
        <v>1954</v>
      </c>
      <c r="L342">
        <v>7</v>
      </c>
      <c r="M342" s="2" t="s">
        <v>327</v>
      </c>
      <c r="N342" t="b">
        <v>1</v>
      </c>
      <c r="O342" t="b">
        <v>1</v>
      </c>
      <c r="P342" s="2"/>
      <c r="Q342">
        <v>45</v>
      </c>
      <c r="R342">
        <v>1</v>
      </c>
      <c r="S342">
        <v>224</v>
      </c>
      <c r="T342" t="s">
        <v>710</v>
      </c>
      <c r="U342">
        <v>75</v>
      </c>
      <c r="V342" s="2">
        <v>0.25</v>
      </c>
      <c r="AE342"/>
      <c r="AZ342" s="2"/>
      <c r="BA342" s="7">
        <v>40</v>
      </c>
      <c r="BB342" t="s">
        <v>931</v>
      </c>
      <c r="BC342" t="s">
        <v>923</v>
      </c>
      <c r="BD342" t="s">
        <v>941</v>
      </c>
      <c r="BE342" t="str">
        <f>IF(OR(Table1[[#This Row],[ENGINE_CLASS]]="STEAM",Table1[[#This Row],[ENGINE_CLASS]]="ELECTRIC",Table1[[#This Row],[ENGINE_CLASS]]="DIESEL"),Table1[[#This Row],[ENGINE_CLASS]],"DISABLE")</f>
        <v>DISABLE</v>
      </c>
      <c r="BF342">
        <v>0</v>
      </c>
      <c r="BG342" t="s">
        <v>735</v>
      </c>
      <c r="BH342">
        <v>162</v>
      </c>
      <c r="BI342">
        <v>7</v>
      </c>
      <c r="BJ342">
        <v>21</v>
      </c>
      <c r="BK342">
        <v>0</v>
      </c>
      <c r="BL342" t="s">
        <v>693</v>
      </c>
      <c r="BM342" t="s">
        <v>695</v>
      </c>
      <c r="BN342" t="s">
        <v>702</v>
      </c>
      <c r="BO342" t="s">
        <v>706</v>
      </c>
      <c r="BP342" t="s">
        <v>707</v>
      </c>
      <c r="BQ342" t="s">
        <v>708</v>
      </c>
    </row>
    <row r="343" spans="1:69" x14ac:dyDescent="0.4">
      <c r="A343" s="2" t="s">
        <v>369</v>
      </c>
      <c r="B343" t="str">
        <f>_xlfn.TEXTAFTER(Table1[[#This Row],[VEHIDCODE]],"_")</f>
        <v>Chile_Santiago_NS_93</v>
      </c>
      <c r="C343" t="s">
        <v>742</v>
      </c>
      <c r="D343" t="str">
        <f>"item_"&amp;Table1[[#This Row],[VEHIDCODE]]</f>
        <v>item_mtro_Chile_Santiago_NS_93</v>
      </c>
      <c r="E343" t="str">
        <f>"str_"&amp;Table1[[#This Row],[VEHIDCODE]]</f>
        <v>str_mtro_Chile_Santiago_NS_93</v>
      </c>
      <c r="F343">
        <v>7</v>
      </c>
      <c r="G343" t="s">
        <v>326</v>
      </c>
      <c r="H343">
        <v>1</v>
      </c>
      <c r="I343" t="s">
        <v>19</v>
      </c>
      <c r="J343">
        <v>116</v>
      </c>
      <c r="K343">
        <v>1996</v>
      </c>
      <c r="L343">
        <v>7</v>
      </c>
      <c r="M343" s="2" t="s">
        <v>327</v>
      </c>
      <c r="N343" t="b">
        <v>1</v>
      </c>
      <c r="O343" t="b">
        <v>1</v>
      </c>
      <c r="P343" s="2"/>
      <c r="Q343">
        <v>45</v>
      </c>
      <c r="R343">
        <v>1</v>
      </c>
      <c r="S343">
        <v>1270</v>
      </c>
      <c r="T343" t="s">
        <v>710</v>
      </c>
      <c r="U343">
        <v>100</v>
      </c>
      <c r="V343" s="2">
        <v>0.42</v>
      </c>
      <c r="AE343"/>
      <c r="AZ343" s="2"/>
      <c r="BA343" s="7">
        <v>40</v>
      </c>
      <c r="BB343" t="s">
        <v>931</v>
      </c>
      <c r="BC343" t="s">
        <v>923</v>
      </c>
      <c r="BD343" t="s">
        <v>941</v>
      </c>
      <c r="BE343" t="str">
        <f>IF(OR(Table1[[#This Row],[ENGINE_CLASS]]="STEAM",Table1[[#This Row],[ENGINE_CLASS]]="ELECTRIC",Table1[[#This Row],[ENGINE_CLASS]]="DIESEL"),Table1[[#This Row],[ENGINE_CLASS]],"DISABLE")</f>
        <v>DISABLE</v>
      </c>
      <c r="BF343">
        <v>0</v>
      </c>
      <c r="BG343" t="s">
        <v>735</v>
      </c>
      <c r="BH343">
        <v>116</v>
      </c>
      <c r="BI343">
        <v>7</v>
      </c>
      <c r="BJ343">
        <v>44</v>
      </c>
      <c r="BK343">
        <v>0</v>
      </c>
      <c r="BL343" t="s">
        <v>693</v>
      </c>
      <c r="BM343" t="s">
        <v>695</v>
      </c>
      <c r="BN343" t="s">
        <v>702</v>
      </c>
      <c r="BO343" t="s">
        <v>706</v>
      </c>
      <c r="BP343" t="s">
        <v>707</v>
      </c>
      <c r="BQ343" t="s">
        <v>708</v>
      </c>
    </row>
    <row r="344" spans="1:69" x14ac:dyDescent="0.4">
      <c r="A344" s="2" t="s">
        <v>370</v>
      </c>
      <c r="B344" t="str">
        <f>_xlfn.TEXTAFTER(Table1[[#This Row],[VEHIDCODE]],"_")</f>
        <v>Chile_Santiago_AS_2002</v>
      </c>
      <c r="C344" t="s">
        <v>742</v>
      </c>
      <c r="D344" t="str">
        <f>"item_"&amp;Table1[[#This Row],[VEHIDCODE]]</f>
        <v>item_mtro_Chile_Santiago_AS_2002</v>
      </c>
      <c r="E344" t="str">
        <f>"str_"&amp;Table1[[#This Row],[VEHIDCODE]]</f>
        <v>str_mtro_Chile_Santiago_AS_2002</v>
      </c>
      <c r="F344">
        <v>8</v>
      </c>
      <c r="G344" t="s">
        <v>326</v>
      </c>
      <c r="H344">
        <v>1</v>
      </c>
      <c r="I344" t="s">
        <v>19</v>
      </c>
      <c r="J344">
        <v>196</v>
      </c>
      <c r="K344">
        <v>2004</v>
      </c>
      <c r="L344">
        <v>8</v>
      </c>
      <c r="M344" s="2" t="s">
        <v>327</v>
      </c>
      <c r="N344" t="b">
        <v>1</v>
      </c>
      <c r="O344" t="b">
        <v>1</v>
      </c>
      <c r="P344" s="2"/>
      <c r="Q344" t="s">
        <v>21</v>
      </c>
      <c r="R344">
        <v>1</v>
      </c>
      <c r="S344">
        <v>1500</v>
      </c>
      <c r="T344" t="s">
        <v>710</v>
      </c>
      <c r="U344">
        <v>100</v>
      </c>
      <c r="V344" s="2">
        <v>0.92</v>
      </c>
      <c r="AE344"/>
      <c r="AZ344" s="2"/>
      <c r="BA344" s="7">
        <v>40</v>
      </c>
      <c r="BB344" t="s">
        <v>931</v>
      </c>
      <c r="BC344" t="s">
        <v>923</v>
      </c>
      <c r="BD344" t="s">
        <v>941</v>
      </c>
      <c r="BE344" t="str">
        <f>IF(OR(Table1[[#This Row],[ENGINE_CLASS]]="STEAM",Table1[[#This Row],[ENGINE_CLASS]]="ELECTRIC",Table1[[#This Row],[ENGINE_CLASS]]="DIESEL"),Table1[[#This Row],[ENGINE_CLASS]],"DISABLE")</f>
        <v>DISABLE</v>
      </c>
      <c r="BF344">
        <v>0</v>
      </c>
      <c r="BG344" t="s">
        <v>735</v>
      </c>
      <c r="BH344">
        <v>196</v>
      </c>
      <c r="BI344">
        <v>8</v>
      </c>
      <c r="BJ344">
        <v>42</v>
      </c>
      <c r="BK344">
        <v>0</v>
      </c>
      <c r="BL344" t="s">
        <v>693</v>
      </c>
      <c r="BM344" t="s">
        <v>695</v>
      </c>
      <c r="BN344" t="s">
        <v>702</v>
      </c>
      <c r="BO344" t="s">
        <v>706</v>
      </c>
      <c r="BP344" t="s">
        <v>707</v>
      </c>
      <c r="BQ344" t="s">
        <v>708</v>
      </c>
    </row>
    <row r="345" spans="1:69" x14ac:dyDescent="0.4">
      <c r="A345" s="2" t="s">
        <v>371</v>
      </c>
      <c r="B345" t="str">
        <f>_xlfn.TEXTAFTER(Table1[[#This Row],[VEHIDCODE]],"_")</f>
        <v>Brazil_Recife_VLT_Mobile_3</v>
      </c>
      <c r="C345" t="s">
        <v>742</v>
      </c>
      <c r="D345" t="str">
        <f>"item_"&amp;Table1[[#This Row],[VEHIDCODE]]</f>
        <v>item_mtro_Brazil_Recife_VLT_Mobile_3</v>
      </c>
      <c r="E345" t="str">
        <f>"str_"&amp;Table1[[#This Row],[VEHIDCODE]]</f>
        <v>str_mtro_Brazil_Recife_VLT_Mobile_3</v>
      </c>
      <c r="F345">
        <v>8</v>
      </c>
      <c r="G345" t="s">
        <v>326</v>
      </c>
      <c r="H345">
        <v>1</v>
      </c>
      <c r="I345" t="s">
        <v>19</v>
      </c>
      <c r="J345">
        <v>182</v>
      </c>
      <c r="K345">
        <v>2008</v>
      </c>
      <c r="L345">
        <v>8</v>
      </c>
      <c r="M345" s="2" t="s">
        <v>327</v>
      </c>
      <c r="N345" t="b">
        <v>1</v>
      </c>
      <c r="O345" t="b">
        <v>1</v>
      </c>
      <c r="P345" s="2"/>
      <c r="Q345" t="s">
        <v>21</v>
      </c>
      <c r="R345">
        <v>1</v>
      </c>
      <c r="S345">
        <v>946</v>
      </c>
      <c r="T345" t="s">
        <v>710</v>
      </c>
      <c r="U345">
        <v>80</v>
      </c>
      <c r="V345" s="2">
        <v>0.97</v>
      </c>
      <c r="AE345"/>
      <c r="AZ345" s="2"/>
      <c r="BA345" s="7">
        <v>40</v>
      </c>
      <c r="BB345" t="s">
        <v>931</v>
      </c>
      <c r="BC345" t="s">
        <v>923</v>
      </c>
      <c r="BD345" t="s">
        <v>941</v>
      </c>
      <c r="BE345" t="str">
        <f>IF(OR(Table1[[#This Row],[ENGINE_CLASS]]="STEAM",Table1[[#This Row],[ENGINE_CLASS]]="ELECTRIC",Table1[[#This Row],[ENGINE_CLASS]]="DIESEL"),Table1[[#This Row],[ENGINE_CLASS]],"DISABLE")</f>
        <v>DISABLE</v>
      </c>
      <c r="BF345">
        <v>0</v>
      </c>
      <c r="BG345" t="s">
        <v>735</v>
      </c>
      <c r="BH345">
        <v>182</v>
      </c>
      <c r="BI345">
        <v>8</v>
      </c>
      <c r="BJ345">
        <v>27</v>
      </c>
      <c r="BK345">
        <v>0</v>
      </c>
      <c r="BL345" t="s">
        <v>693</v>
      </c>
      <c r="BM345" t="s">
        <v>695</v>
      </c>
      <c r="BN345" t="s">
        <v>702</v>
      </c>
      <c r="BO345" t="s">
        <v>706</v>
      </c>
      <c r="BP345" t="s">
        <v>707</v>
      </c>
      <c r="BQ345" t="s">
        <v>708</v>
      </c>
    </row>
    <row r="346" spans="1:69" x14ac:dyDescent="0.4">
      <c r="A346" s="2" t="s">
        <v>372</v>
      </c>
      <c r="B346" t="str">
        <f>_xlfn.TEXTAFTER(Table1[[#This Row],[VEHIDCODE]],"_")</f>
        <v>Spain_Madrid_Series_5000</v>
      </c>
      <c r="C346" t="s">
        <v>742</v>
      </c>
      <c r="D346" t="str">
        <f>"item_"&amp;Table1[[#This Row],[VEHIDCODE]]</f>
        <v>item_mtro_Spain_Madrid_Series_5000</v>
      </c>
      <c r="E346" t="str">
        <f>"str_"&amp;Table1[[#This Row],[VEHIDCODE]]</f>
        <v>str_mtro_Spain_Madrid_Series_5000</v>
      </c>
      <c r="F346">
        <v>8</v>
      </c>
      <c r="G346" t="s">
        <v>326</v>
      </c>
      <c r="H346">
        <v>1</v>
      </c>
      <c r="I346" t="s">
        <v>19</v>
      </c>
      <c r="J346">
        <v>192</v>
      </c>
      <c r="K346">
        <v>1974</v>
      </c>
      <c r="L346">
        <v>8</v>
      </c>
      <c r="M346" s="2" t="s">
        <v>24</v>
      </c>
      <c r="N346" t="b">
        <v>1</v>
      </c>
      <c r="O346" t="b">
        <v>1</v>
      </c>
      <c r="P346" s="2"/>
      <c r="Q346">
        <v>45</v>
      </c>
      <c r="R346">
        <v>1</v>
      </c>
      <c r="S346">
        <v>530</v>
      </c>
      <c r="T346" t="s">
        <v>710</v>
      </c>
      <c r="U346">
        <v>80</v>
      </c>
      <c r="V346" s="2">
        <v>0.46</v>
      </c>
      <c r="AE346"/>
      <c r="AZ346" s="2"/>
      <c r="BA346" s="7">
        <v>40</v>
      </c>
      <c r="BB346" t="s">
        <v>925</v>
      </c>
      <c r="BC346" t="s">
        <v>923</v>
      </c>
      <c r="BD346" t="s">
        <v>941</v>
      </c>
      <c r="BE346" t="str">
        <f>IF(OR(Table1[[#This Row],[ENGINE_CLASS]]="STEAM",Table1[[#This Row],[ENGINE_CLASS]]="ELECTRIC",Table1[[#This Row],[ENGINE_CLASS]]="DIESEL"),Table1[[#This Row],[ENGINE_CLASS]],"DISABLE")</f>
        <v>DISABLE</v>
      </c>
      <c r="BF346">
        <v>0</v>
      </c>
      <c r="BG346" t="s">
        <v>735</v>
      </c>
      <c r="BH346">
        <v>192</v>
      </c>
      <c r="BI346">
        <v>8</v>
      </c>
      <c r="BJ346">
        <v>41</v>
      </c>
      <c r="BK346">
        <v>0</v>
      </c>
      <c r="BL346" t="s">
        <v>693</v>
      </c>
      <c r="BM346" t="s">
        <v>695</v>
      </c>
      <c r="BN346" t="s">
        <v>702</v>
      </c>
      <c r="BO346" t="s">
        <v>706</v>
      </c>
      <c r="BP346" t="s">
        <v>707</v>
      </c>
      <c r="BQ346" t="s">
        <v>708</v>
      </c>
    </row>
    <row r="347" spans="1:69" x14ac:dyDescent="0.4">
      <c r="A347" s="2" t="s">
        <v>373</v>
      </c>
      <c r="B347" t="str">
        <f>_xlfn.TEXTAFTER(Table1[[#This Row],[VEHIDCODE]],"_")</f>
        <v>Italy_Rome_S_300</v>
      </c>
      <c r="C347" t="s">
        <v>742</v>
      </c>
      <c r="D347" t="str">
        <f>"item_"&amp;Table1[[#This Row],[VEHIDCODE]]</f>
        <v>item_mtro_Italy_Rome_S_300</v>
      </c>
      <c r="E347" t="str">
        <f>"str_"&amp;Table1[[#This Row],[VEHIDCODE]]</f>
        <v>str_mtro_Italy_Rome_S_300</v>
      </c>
      <c r="F347">
        <v>8</v>
      </c>
      <c r="G347" t="s">
        <v>326</v>
      </c>
      <c r="H347">
        <v>1</v>
      </c>
      <c r="I347" t="s">
        <v>19</v>
      </c>
      <c r="J347">
        <v>194</v>
      </c>
      <c r="K347">
        <v>1999</v>
      </c>
      <c r="L347">
        <v>8</v>
      </c>
      <c r="M347" s="2" t="s">
        <v>24</v>
      </c>
      <c r="N347" t="b">
        <v>1</v>
      </c>
      <c r="O347" t="b">
        <v>1</v>
      </c>
      <c r="P347" s="2"/>
      <c r="Q347">
        <v>45</v>
      </c>
      <c r="R347">
        <v>1</v>
      </c>
      <c r="S347">
        <v>1876</v>
      </c>
      <c r="T347" t="s">
        <v>710</v>
      </c>
      <c r="U347">
        <v>90</v>
      </c>
      <c r="V347" s="2">
        <v>1</v>
      </c>
      <c r="AE347"/>
      <c r="AZ347" s="2"/>
      <c r="BA347" s="7">
        <v>40</v>
      </c>
      <c r="BB347" t="s">
        <v>925</v>
      </c>
      <c r="BC347" t="s">
        <v>923</v>
      </c>
      <c r="BD347" t="s">
        <v>941</v>
      </c>
      <c r="BE347" t="str">
        <f>IF(OR(Table1[[#This Row],[ENGINE_CLASS]]="STEAM",Table1[[#This Row],[ENGINE_CLASS]]="ELECTRIC",Table1[[#This Row],[ENGINE_CLASS]]="DIESEL"),Table1[[#This Row],[ENGINE_CLASS]],"DISABLE")</f>
        <v>DISABLE</v>
      </c>
      <c r="BF347">
        <v>0</v>
      </c>
      <c r="BG347" t="s">
        <v>735</v>
      </c>
      <c r="BH347">
        <v>194</v>
      </c>
      <c r="BI347">
        <v>8</v>
      </c>
      <c r="BJ347">
        <v>30</v>
      </c>
      <c r="BK347">
        <v>0</v>
      </c>
      <c r="BL347" t="s">
        <v>693</v>
      </c>
      <c r="BM347" t="s">
        <v>695</v>
      </c>
      <c r="BN347" t="s">
        <v>702</v>
      </c>
      <c r="BO347" t="s">
        <v>706</v>
      </c>
      <c r="BP347" t="s">
        <v>707</v>
      </c>
      <c r="BQ347" t="s">
        <v>708</v>
      </c>
    </row>
    <row r="348" spans="1:69" x14ac:dyDescent="0.4">
      <c r="A348" s="2" t="s">
        <v>374</v>
      </c>
      <c r="B348" t="str">
        <f>_xlfn.TEXTAFTER(Table1[[#This Row],[VEHIDCODE]],"_")</f>
        <v>Algeria_Algiers_CAF_2011_Stock</v>
      </c>
      <c r="C348" t="s">
        <v>742</v>
      </c>
      <c r="D348" t="str">
        <f>"item_"&amp;Table1[[#This Row],[VEHIDCODE]]</f>
        <v>item_mtro_Algeria_Algiers_CAF_2011_Stock</v>
      </c>
      <c r="E348" t="str">
        <f>"str_"&amp;Table1[[#This Row],[VEHIDCODE]]</f>
        <v>str_mtro_Algeria_Algiers_CAF_2011_Stock</v>
      </c>
      <c r="F348">
        <v>7</v>
      </c>
      <c r="G348" t="s">
        <v>326</v>
      </c>
      <c r="H348">
        <v>1</v>
      </c>
      <c r="I348" t="s">
        <v>19</v>
      </c>
      <c r="J348">
        <v>215</v>
      </c>
      <c r="K348">
        <v>2011</v>
      </c>
      <c r="L348">
        <v>7</v>
      </c>
      <c r="M348" s="2" t="s">
        <v>24</v>
      </c>
      <c r="N348" t="b">
        <v>1</v>
      </c>
      <c r="O348" t="b">
        <v>1</v>
      </c>
      <c r="P348" s="2"/>
      <c r="Q348" t="s">
        <v>21</v>
      </c>
      <c r="R348">
        <v>1</v>
      </c>
      <c r="S348">
        <v>1400</v>
      </c>
      <c r="T348" t="s">
        <v>710</v>
      </c>
      <c r="U348">
        <v>72</v>
      </c>
      <c r="V348" s="2">
        <v>0.51</v>
      </c>
      <c r="AE348"/>
      <c r="AZ348" s="2"/>
      <c r="BA348" s="7">
        <v>40</v>
      </c>
      <c r="BB348" t="s">
        <v>927</v>
      </c>
      <c r="BC348" t="s">
        <v>923</v>
      </c>
      <c r="BD348" t="s">
        <v>941</v>
      </c>
      <c r="BE348" t="str">
        <f>IF(OR(Table1[[#This Row],[ENGINE_CLASS]]="STEAM",Table1[[#This Row],[ENGINE_CLASS]]="ELECTRIC",Table1[[#This Row],[ENGINE_CLASS]]="DIESEL"),Table1[[#This Row],[ENGINE_CLASS]],"DISABLE")</f>
        <v>DISABLE</v>
      </c>
      <c r="BF348">
        <v>0</v>
      </c>
      <c r="BG348" t="s">
        <v>735</v>
      </c>
      <c r="BH348">
        <v>215</v>
      </c>
      <c r="BI348">
        <v>7</v>
      </c>
      <c r="BJ348">
        <v>47</v>
      </c>
      <c r="BK348">
        <v>0</v>
      </c>
      <c r="BL348" t="s">
        <v>693</v>
      </c>
      <c r="BM348" t="s">
        <v>695</v>
      </c>
      <c r="BN348" t="s">
        <v>702</v>
      </c>
      <c r="BO348" t="s">
        <v>706</v>
      </c>
      <c r="BP348" t="s">
        <v>707</v>
      </c>
      <c r="BQ348" t="s">
        <v>708</v>
      </c>
    </row>
    <row r="349" spans="1:69" x14ac:dyDescent="0.4">
      <c r="A349" s="2" t="s">
        <v>375</v>
      </c>
      <c r="B349" t="str">
        <f>_xlfn.TEXTAFTER(Table1[[#This Row],[VEHIDCODE]],"_")</f>
        <v>Germany_Berlin_U_Bahn_IK</v>
      </c>
      <c r="C349" t="s">
        <v>742</v>
      </c>
      <c r="D349" t="str">
        <f>"item_"&amp;Table1[[#This Row],[VEHIDCODE]]</f>
        <v>item_mtro_Germany_Berlin_U_Bahn_IK</v>
      </c>
      <c r="E349" t="str">
        <f>"str_"&amp;Table1[[#This Row],[VEHIDCODE]]</f>
        <v>str_mtro_Germany_Berlin_U_Bahn_IK</v>
      </c>
      <c r="F349">
        <v>8</v>
      </c>
      <c r="G349" t="s">
        <v>326</v>
      </c>
      <c r="H349">
        <v>1</v>
      </c>
      <c r="I349" t="s">
        <v>19</v>
      </c>
      <c r="J349">
        <v>145</v>
      </c>
      <c r="K349">
        <v>2015</v>
      </c>
      <c r="L349">
        <v>8</v>
      </c>
      <c r="M349" s="2" t="s">
        <v>24</v>
      </c>
      <c r="N349" t="b">
        <v>1</v>
      </c>
      <c r="O349" t="b">
        <v>1</v>
      </c>
      <c r="P349" s="2"/>
      <c r="Q349" t="s">
        <v>21</v>
      </c>
      <c r="R349">
        <v>1</v>
      </c>
      <c r="S349">
        <v>1448</v>
      </c>
      <c r="T349" t="s">
        <v>710</v>
      </c>
      <c r="U349">
        <v>70</v>
      </c>
      <c r="V349" s="2">
        <v>0.87</v>
      </c>
      <c r="AE349"/>
      <c r="AZ349" s="2"/>
      <c r="BA349" s="7">
        <v>40</v>
      </c>
      <c r="BB349" t="s">
        <v>924</v>
      </c>
      <c r="BC349" t="s">
        <v>923</v>
      </c>
      <c r="BD349" t="s">
        <v>941</v>
      </c>
      <c r="BE349" t="str">
        <f>IF(OR(Table1[[#This Row],[ENGINE_CLASS]]="STEAM",Table1[[#This Row],[ENGINE_CLASS]]="ELECTRIC",Table1[[#This Row],[ENGINE_CLASS]]="DIESEL"),Table1[[#This Row],[ENGINE_CLASS]],"DISABLE")</f>
        <v>DISABLE</v>
      </c>
      <c r="BF349">
        <v>0</v>
      </c>
      <c r="BG349" t="s">
        <v>735</v>
      </c>
      <c r="BH349">
        <v>145</v>
      </c>
      <c r="BI349">
        <v>8</v>
      </c>
      <c r="BJ349">
        <v>27</v>
      </c>
      <c r="BK349">
        <v>0</v>
      </c>
      <c r="BL349" t="s">
        <v>693</v>
      </c>
      <c r="BM349" t="s">
        <v>695</v>
      </c>
      <c r="BN349" t="s">
        <v>702</v>
      </c>
      <c r="BO349" t="s">
        <v>706</v>
      </c>
      <c r="BP349" t="s">
        <v>707</v>
      </c>
      <c r="BQ349" t="s">
        <v>708</v>
      </c>
    </row>
    <row r="350" spans="1:69" x14ac:dyDescent="0.4">
      <c r="A350" s="2" t="s">
        <v>376</v>
      </c>
      <c r="B350" t="str">
        <f>_xlfn.TEXTAFTER(Table1[[#This Row],[VEHIDCODE]],"_")</f>
        <v>USA_Chicago_L_6000</v>
      </c>
      <c r="C350" t="s">
        <v>742</v>
      </c>
      <c r="D350" t="str">
        <f>"item_"&amp;Table1[[#This Row],[VEHIDCODE]]</f>
        <v>item_mtro_USA_Chicago_L_6000</v>
      </c>
      <c r="E350" t="str">
        <f>"str_"&amp;Table1[[#This Row],[VEHIDCODE]]</f>
        <v>str_mtro_USA_Chicago_L_6000</v>
      </c>
      <c r="F350">
        <v>7</v>
      </c>
      <c r="G350" t="s">
        <v>326</v>
      </c>
      <c r="H350">
        <v>1</v>
      </c>
      <c r="I350" t="s">
        <v>19</v>
      </c>
      <c r="J350">
        <v>130</v>
      </c>
      <c r="K350">
        <v>1950</v>
      </c>
      <c r="L350">
        <v>7</v>
      </c>
      <c r="M350" s="2" t="s">
        <v>327</v>
      </c>
      <c r="N350" t="b">
        <v>1</v>
      </c>
      <c r="O350" t="b">
        <v>1</v>
      </c>
      <c r="P350" s="2"/>
      <c r="Q350">
        <v>45</v>
      </c>
      <c r="R350">
        <v>1</v>
      </c>
      <c r="S350">
        <v>440</v>
      </c>
      <c r="T350" t="s">
        <v>710</v>
      </c>
      <c r="U350">
        <v>80</v>
      </c>
      <c r="V350" s="2">
        <v>1</v>
      </c>
      <c r="AE350"/>
      <c r="AZ350" s="2"/>
      <c r="BA350" s="7">
        <v>60</v>
      </c>
      <c r="BB350" t="s">
        <v>929</v>
      </c>
      <c r="BC350" t="s">
        <v>923</v>
      </c>
      <c r="BD350" t="s">
        <v>941</v>
      </c>
      <c r="BE350" t="str">
        <f>IF(OR(Table1[[#This Row],[ENGINE_CLASS]]="STEAM",Table1[[#This Row],[ENGINE_CLASS]]="ELECTRIC",Table1[[#This Row],[ENGINE_CLASS]]="DIESEL"),Table1[[#This Row],[ENGINE_CLASS]],"DISABLE")</f>
        <v>DISABLE</v>
      </c>
      <c r="BF350">
        <v>0</v>
      </c>
      <c r="BG350" t="s">
        <v>735</v>
      </c>
      <c r="BH350">
        <v>130</v>
      </c>
      <c r="BI350">
        <v>7</v>
      </c>
      <c r="BJ350">
        <v>10</v>
      </c>
      <c r="BK350">
        <v>0</v>
      </c>
      <c r="BL350" t="s">
        <v>693</v>
      </c>
      <c r="BM350" t="s">
        <v>695</v>
      </c>
      <c r="BN350" t="s">
        <v>702</v>
      </c>
      <c r="BO350" t="s">
        <v>706</v>
      </c>
      <c r="BP350" t="s">
        <v>707</v>
      </c>
      <c r="BQ350" t="s">
        <v>708</v>
      </c>
    </row>
    <row r="351" spans="1:69" x14ac:dyDescent="0.4">
      <c r="A351" s="2" t="s">
        <v>377</v>
      </c>
      <c r="B351" t="str">
        <f>_xlfn.TEXTAFTER(Table1[[#This Row],[VEHIDCODE]],"_")</f>
        <v>UK_London_1903_Stock</v>
      </c>
      <c r="C351" t="s">
        <v>742</v>
      </c>
      <c r="D351" t="str">
        <f>"item_"&amp;Table1[[#This Row],[VEHIDCODE]]</f>
        <v>item_mtro_UK_London_1903_Stock</v>
      </c>
      <c r="E351" t="str">
        <f>"str_"&amp;Table1[[#This Row],[VEHIDCODE]]</f>
        <v>str_mtro_UK_London_1903_Stock</v>
      </c>
      <c r="F351">
        <v>8</v>
      </c>
      <c r="G351" t="s">
        <v>326</v>
      </c>
      <c r="H351">
        <v>1</v>
      </c>
      <c r="I351" t="s">
        <v>19</v>
      </c>
      <c r="J351">
        <v>125</v>
      </c>
      <c r="K351">
        <v>1903</v>
      </c>
      <c r="L351">
        <v>8</v>
      </c>
      <c r="M351" s="2" t="s">
        <v>327</v>
      </c>
      <c r="N351" t="b">
        <v>1</v>
      </c>
      <c r="O351" t="b">
        <v>1</v>
      </c>
      <c r="P351" s="2"/>
      <c r="Q351">
        <v>45</v>
      </c>
      <c r="R351">
        <v>1</v>
      </c>
      <c r="S351">
        <v>300</v>
      </c>
      <c r="T351" t="s">
        <v>710</v>
      </c>
      <c r="U351">
        <v>70</v>
      </c>
      <c r="V351" s="2">
        <v>0.22</v>
      </c>
      <c r="AE351"/>
      <c r="AZ351" s="2"/>
      <c r="BA351" s="7">
        <v>60</v>
      </c>
      <c r="BB351" t="s">
        <v>928</v>
      </c>
      <c r="BC351" t="s">
        <v>923</v>
      </c>
      <c r="BD351" t="s">
        <v>941</v>
      </c>
      <c r="BE351" t="str">
        <f>IF(OR(Table1[[#This Row],[ENGINE_CLASS]]="STEAM",Table1[[#This Row],[ENGINE_CLASS]]="ELECTRIC",Table1[[#This Row],[ENGINE_CLASS]]="DIESEL"),Table1[[#This Row],[ENGINE_CLASS]],"DISABLE")</f>
        <v>DISABLE</v>
      </c>
      <c r="BF351">
        <v>0</v>
      </c>
      <c r="BG351" t="s">
        <v>735</v>
      </c>
      <c r="BH351">
        <v>125</v>
      </c>
      <c r="BI351">
        <v>8</v>
      </c>
      <c r="BJ351">
        <v>45</v>
      </c>
      <c r="BK351">
        <v>0</v>
      </c>
      <c r="BL351" t="s">
        <v>693</v>
      </c>
      <c r="BM351" t="s">
        <v>695</v>
      </c>
      <c r="BN351" t="s">
        <v>702</v>
      </c>
      <c r="BO351" t="s">
        <v>706</v>
      </c>
      <c r="BP351" t="s">
        <v>707</v>
      </c>
      <c r="BQ351" t="s">
        <v>708</v>
      </c>
    </row>
    <row r="352" spans="1:69" x14ac:dyDescent="0.4">
      <c r="A352" s="2" t="s">
        <v>378</v>
      </c>
      <c r="B352" t="str">
        <f>_xlfn.TEXTAFTER(Table1[[#This Row],[VEHIDCODE]],"_")</f>
        <v>UK_London_1938_Stock</v>
      </c>
      <c r="C352" t="s">
        <v>742</v>
      </c>
      <c r="D352" t="str">
        <f>"item_"&amp;Table1[[#This Row],[VEHIDCODE]]</f>
        <v>item_mtro_UK_London_1938_Stock</v>
      </c>
      <c r="E352" t="str">
        <f>"str_"&amp;Table1[[#This Row],[VEHIDCODE]]</f>
        <v>str_mtro_UK_London_1938_Stock</v>
      </c>
      <c r="F352">
        <v>7</v>
      </c>
      <c r="G352" t="s">
        <v>326</v>
      </c>
      <c r="H352">
        <v>1</v>
      </c>
      <c r="I352" t="s">
        <v>19</v>
      </c>
      <c r="J352">
        <v>120</v>
      </c>
      <c r="K352">
        <v>1938</v>
      </c>
      <c r="L352">
        <v>7</v>
      </c>
      <c r="M352" s="2" t="s">
        <v>327</v>
      </c>
      <c r="N352" t="b">
        <v>1</v>
      </c>
      <c r="O352" t="b">
        <v>1</v>
      </c>
      <c r="P352" s="2"/>
      <c r="Q352">
        <v>45</v>
      </c>
      <c r="R352">
        <v>1</v>
      </c>
      <c r="S352">
        <v>600</v>
      </c>
      <c r="T352" t="s">
        <v>710</v>
      </c>
      <c r="U352">
        <v>70</v>
      </c>
      <c r="V352" s="2">
        <v>0.77</v>
      </c>
      <c r="AE352"/>
      <c r="AZ352" s="2"/>
      <c r="BA352" s="7">
        <v>60</v>
      </c>
      <c r="BB352" t="s">
        <v>928</v>
      </c>
      <c r="BC352" t="s">
        <v>923</v>
      </c>
      <c r="BD352" t="s">
        <v>941</v>
      </c>
      <c r="BE352" t="str">
        <f>IF(OR(Table1[[#This Row],[ENGINE_CLASS]]="STEAM",Table1[[#This Row],[ENGINE_CLASS]]="ELECTRIC",Table1[[#This Row],[ENGINE_CLASS]]="DIESEL"),Table1[[#This Row],[ENGINE_CLASS]],"DISABLE")</f>
        <v>DISABLE</v>
      </c>
      <c r="BF352">
        <v>0</v>
      </c>
      <c r="BG352" t="s">
        <v>735</v>
      </c>
      <c r="BH352">
        <v>120</v>
      </c>
      <c r="BI352">
        <v>7</v>
      </c>
      <c r="BJ352">
        <v>26</v>
      </c>
      <c r="BK352">
        <v>0</v>
      </c>
      <c r="BL352" t="s">
        <v>693</v>
      </c>
      <c r="BM352" t="s">
        <v>695</v>
      </c>
      <c r="BN352" t="s">
        <v>702</v>
      </c>
      <c r="BO352" t="s">
        <v>706</v>
      </c>
      <c r="BP352" t="s">
        <v>707</v>
      </c>
      <c r="BQ352" t="s">
        <v>708</v>
      </c>
    </row>
    <row r="353" spans="1:69" x14ac:dyDescent="0.4">
      <c r="A353" s="2" t="s">
        <v>379</v>
      </c>
      <c r="B353" t="str">
        <f>_xlfn.TEXTAFTER(Table1[[#This Row],[VEHIDCODE]],"_")</f>
        <v>UK_NER_EF1</v>
      </c>
      <c r="C353" t="s">
        <v>742</v>
      </c>
      <c r="D353" t="str">
        <f>"item_"&amp;Table1[[#This Row],[VEHIDCODE]]</f>
        <v>item_electric_UK_NER_EF1</v>
      </c>
      <c r="E353" t="str">
        <f>"str_"&amp;Table1[[#This Row],[VEHIDCODE]]</f>
        <v>str_electric_UK_NER_EF1</v>
      </c>
      <c r="F353">
        <v>7</v>
      </c>
      <c r="G353" t="s">
        <v>20</v>
      </c>
      <c r="H353">
        <v>0</v>
      </c>
      <c r="I353" t="s">
        <v>74</v>
      </c>
      <c r="J353">
        <v>0</v>
      </c>
      <c r="K353">
        <v>1914</v>
      </c>
      <c r="L353">
        <v>7</v>
      </c>
      <c r="M353" s="2" t="s">
        <v>20</v>
      </c>
      <c r="N353" t="b">
        <v>1</v>
      </c>
      <c r="P353" s="2"/>
      <c r="Q353">
        <v>45</v>
      </c>
      <c r="R353">
        <v>0</v>
      </c>
      <c r="S353">
        <v>1100</v>
      </c>
      <c r="T353" t="s">
        <v>710</v>
      </c>
      <c r="U353">
        <v>40</v>
      </c>
      <c r="V353" s="2">
        <v>0.18</v>
      </c>
      <c r="AA353" t="b">
        <v>1</v>
      </c>
      <c r="AE353"/>
      <c r="AZ353" s="2"/>
      <c r="BA353" s="7">
        <v>40</v>
      </c>
      <c r="BB353" t="s">
        <v>928</v>
      </c>
      <c r="BC353" t="s">
        <v>923</v>
      </c>
      <c r="BD353" t="s">
        <v>941</v>
      </c>
      <c r="BE353" t="str">
        <f>IF(OR(Table1[[#This Row],[ENGINE_CLASS]]="STEAM",Table1[[#This Row],[ENGINE_CLASS]]="ELECTRIC",Table1[[#This Row],[ENGINE_CLASS]]="DIESEL"),Table1[[#This Row],[ENGINE_CLASS]],"DISABLE")</f>
        <v>ELECTRIC</v>
      </c>
      <c r="BF353">
        <v>-3</v>
      </c>
      <c r="BG353" t="s">
        <v>735</v>
      </c>
      <c r="BI353"/>
      <c r="BJ353">
        <v>74</v>
      </c>
      <c r="BK353">
        <v>0</v>
      </c>
      <c r="BL353" t="s">
        <v>693</v>
      </c>
      <c r="BM353" t="s">
        <v>695</v>
      </c>
      <c r="BN353" t="s">
        <v>702</v>
      </c>
      <c r="BO353" t="s">
        <v>706</v>
      </c>
      <c r="BP353" t="s">
        <v>707</v>
      </c>
      <c r="BQ353" t="s">
        <v>708</v>
      </c>
    </row>
    <row r="354" spans="1:69" x14ac:dyDescent="0.4">
      <c r="A354" s="2" t="s">
        <v>380</v>
      </c>
      <c r="B354" t="str">
        <f>_xlfn.TEXTAFTER(Table1[[#This Row],[VEHIDCODE]],"_")</f>
        <v>Japan_JNR_EB10</v>
      </c>
      <c r="C354" t="s">
        <v>742</v>
      </c>
      <c r="D354" t="str">
        <f>"item_"&amp;Table1[[#This Row],[VEHIDCODE]]</f>
        <v>item_electric_Japan_JNR_EB10</v>
      </c>
      <c r="E354" t="str">
        <f>"str_"&amp;Table1[[#This Row],[VEHIDCODE]]</f>
        <v>str_electric_Japan_JNR_EB10</v>
      </c>
      <c r="F354">
        <v>5</v>
      </c>
      <c r="G354" t="s">
        <v>20</v>
      </c>
      <c r="H354">
        <v>0</v>
      </c>
      <c r="I354" t="s">
        <v>74</v>
      </c>
      <c r="J354">
        <v>0</v>
      </c>
      <c r="K354">
        <v>1931</v>
      </c>
      <c r="L354">
        <v>5</v>
      </c>
      <c r="M354" s="2" t="s">
        <v>20</v>
      </c>
      <c r="N354" t="b">
        <v>1</v>
      </c>
      <c r="P354" s="2"/>
      <c r="Q354">
        <v>45</v>
      </c>
      <c r="R354">
        <v>1</v>
      </c>
      <c r="S354">
        <v>180</v>
      </c>
      <c r="T354" t="s">
        <v>710</v>
      </c>
      <c r="U354">
        <v>40</v>
      </c>
      <c r="V354" s="2">
        <v>0.3</v>
      </c>
      <c r="AA354" t="b">
        <v>1</v>
      </c>
      <c r="AE354"/>
      <c r="AZ354" s="2"/>
      <c r="BA354" s="7">
        <v>40</v>
      </c>
      <c r="BB354" t="s">
        <v>932</v>
      </c>
      <c r="BC354" t="s">
        <v>923</v>
      </c>
      <c r="BD354" t="s">
        <v>941</v>
      </c>
      <c r="BE354" t="str">
        <f>IF(OR(Table1[[#This Row],[ENGINE_CLASS]]="STEAM",Table1[[#This Row],[ENGINE_CLASS]]="ELECTRIC",Table1[[#This Row],[ENGINE_CLASS]]="DIESEL"),Table1[[#This Row],[ENGINE_CLASS]],"DISABLE")</f>
        <v>ELECTRIC</v>
      </c>
      <c r="BF354">
        <v>-3</v>
      </c>
      <c r="BG354" t="s">
        <v>735</v>
      </c>
      <c r="BI354"/>
      <c r="BJ354">
        <v>22</v>
      </c>
      <c r="BK354">
        <v>0</v>
      </c>
      <c r="BL354" t="s">
        <v>693</v>
      </c>
      <c r="BM354" t="s">
        <v>695</v>
      </c>
      <c r="BN354" t="s">
        <v>702</v>
      </c>
      <c r="BO354" t="s">
        <v>706</v>
      </c>
      <c r="BP354" t="s">
        <v>707</v>
      </c>
      <c r="BQ354" t="s">
        <v>708</v>
      </c>
    </row>
    <row r="355" spans="1:69" x14ac:dyDescent="0.4">
      <c r="A355" s="2" t="s">
        <v>381</v>
      </c>
      <c r="B355" t="str">
        <f>_xlfn.TEXTAFTER(Table1[[#This Row],[VEHIDCODE]],"_")</f>
        <v>Japan_JNR_EF55</v>
      </c>
      <c r="C355" t="s">
        <v>742</v>
      </c>
      <c r="D355" t="str">
        <f>"item_"&amp;Table1[[#This Row],[VEHIDCODE]]</f>
        <v>item_electric_Japan_JNR_EF55</v>
      </c>
      <c r="E355" t="str">
        <f>"str_"&amp;Table1[[#This Row],[VEHIDCODE]]</f>
        <v>str_electric_Japan_JNR_EF55</v>
      </c>
      <c r="F355">
        <v>8</v>
      </c>
      <c r="G355" t="s">
        <v>20</v>
      </c>
      <c r="H355">
        <v>0</v>
      </c>
      <c r="I355" t="s">
        <v>74</v>
      </c>
      <c r="J355">
        <v>0</v>
      </c>
      <c r="K355">
        <v>1936</v>
      </c>
      <c r="L355">
        <v>8</v>
      </c>
      <c r="M355" s="2" t="s">
        <v>20</v>
      </c>
      <c r="N355" t="b">
        <v>1</v>
      </c>
      <c r="P355" s="2"/>
      <c r="Q355">
        <v>45</v>
      </c>
      <c r="R355">
        <v>1</v>
      </c>
      <c r="S355">
        <v>1810</v>
      </c>
      <c r="T355" t="s">
        <v>710</v>
      </c>
      <c r="U355">
        <v>75</v>
      </c>
      <c r="V355" s="2">
        <v>0.06</v>
      </c>
      <c r="AA355" t="b">
        <v>1</v>
      </c>
      <c r="AE355"/>
      <c r="AZ355" s="2"/>
      <c r="BA355" s="7">
        <v>40</v>
      </c>
      <c r="BB355" t="s">
        <v>932</v>
      </c>
      <c r="BC355" t="s">
        <v>923</v>
      </c>
      <c r="BD355" t="s">
        <v>941</v>
      </c>
      <c r="BE355" t="str">
        <f>IF(OR(Table1[[#This Row],[ENGINE_CLASS]]="STEAM",Table1[[#This Row],[ENGINE_CLASS]]="ELECTRIC",Table1[[#This Row],[ENGINE_CLASS]]="DIESEL"),Table1[[#This Row],[ENGINE_CLASS]],"DISABLE")</f>
        <v>ELECTRIC</v>
      </c>
      <c r="BF355">
        <v>-3</v>
      </c>
      <c r="BG355" t="s">
        <v>735</v>
      </c>
      <c r="BI355"/>
      <c r="BJ355">
        <v>100</v>
      </c>
      <c r="BK355">
        <v>0</v>
      </c>
      <c r="BL355" t="s">
        <v>693</v>
      </c>
      <c r="BM355" t="s">
        <v>695</v>
      </c>
      <c r="BN355" t="s">
        <v>702</v>
      </c>
      <c r="BO355" t="s">
        <v>706</v>
      </c>
      <c r="BP355" t="s">
        <v>707</v>
      </c>
      <c r="BQ355" t="s">
        <v>708</v>
      </c>
    </row>
    <row r="356" spans="1:69" x14ac:dyDescent="0.4">
      <c r="A356" s="2" t="s">
        <v>382</v>
      </c>
      <c r="B356" t="str">
        <f>_xlfn.TEXTAFTER(Table1[[#This Row],[VEHIDCODE]],"_")</f>
        <v>Netherlands_NS_1000</v>
      </c>
      <c r="C356" t="s">
        <v>742</v>
      </c>
      <c r="D356" t="str">
        <f>"item_"&amp;Table1[[#This Row],[VEHIDCODE]]</f>
        <v>item_electric_Netherlands_NS_1000</v>
      </c>
      <c r="E356" t="str">
        <f>"str_"&amp;Table1[[#This Row],[VEHIDCODE]]</f>
        <v>str_electric_Netherlands_NS_1000</v>
      </c>
      <c r="F356">
        <v>8</v>
      </c>
      <c r="G356" t="s">
        <v>20</v>
      </c>
      <c r="H356">
        <v>0</v>
      </c>
      <c r="I356" t="s">
        <v>74</v>
      </c>
      <c r="J356">
        <v>0</v>
      </c>
      <c r="K356">
        <v>1948</v>
      </c>
      <c r="L356">
        <v>8</v>
      </c>
      <c r="M356" s="2" t="s">
        <v>20</v>
      </c>
      <c r="N356" t="b">
        <v>1</v>
      </c>
      <c r="P356" s="2"/>
      <c r="Q356">
        <v>45</v>
      </c>
      <c r="R356">
        <v>1</v>
      </c>
      <c r="S356">
        <v>3749</v>
      </c>
      <c r="T356" t="s">
        <v>710</v>
      </c>
      <c r="U356">
        <v>135</v>
      </c>
      <c r="V356" s="2">
        <v>0.18</v>
      </c>
      <c r="AA356" t="b">
        <v>1</v>
      </c>
      <c r="AE356"/>
      <c r="AZ356" s="2"/>
      <c r="BA356" s="7">
        <v>40</v>
      </c>
      <c r="BB356" t="s">
        <v>924</v>
      </c>
      <c r="BC356" t="s">
        <v>923</v>
      </c>
      <c r="BD356" t="s">
        <v>941</v>
      </c>
      <c r="BE356" t="str">
        <f>IF(OR(Table1[[#This Row],[ENGINE_CLASS]]="STEAM",Table1[[#This Row],[ENGINE_CLASS]]="ELECTRIC",Table1[[#This Row],[ENGINE_CLASS]]="DIESEL"),Table1[[#This Row],[ENGINE_CLASS]],"DISABLE")</f>
        <v>ELECTRIC</v>
      </c>
      <c r="BF356">
        <v>-3</v>
      </c>
      <c r="BG356" t="s">
        <v>735</v>
      </c>
      <c r="BI356"/>
      <c r="BJ356">
        <v>100</v>
      </c>
      <c r="BK356">
        <v>0</v>
      </c>
      <c r="BL356" t="s">
        <v>693</v>
      </c>
      <c r="BM356" t="s">
        <v>695</v>
      </c>
      <c r="BN356" t="s">
        <v>702</v>
      </c>
      <c r="BO356" t="s">
        <v>706</v>
      </c>
      <c r="BP356" t="s">
        <v>707</v>
      </c>
      <c r="BQ356" t="s">
        <v>708</v>
      </c>
    </row>
    <row r="357" spans="1:69" x14ac:dyDescent="0.4">
      <c r="A357" s="2" t="s">
        <v>383</v>
      </c>
      <c r="B357" t="str">
        <f>_xlfn.TEXTAFTER(Table1[[#This Row],[VEHIDCODE]],"_")</f>
        <v>Netherlands_NS_1600</v>
      </c>
      <c r="C357" t="s">
        <v>742</v>
      </c>
      <c r="D357" t="str">
        <f>"item_"&amp;Table1[[#This Row],[VEHIDCODE]]</f>
        <v>item_electric_Netherlands_NS_1600</v>
      </c>
      <c r="E357" t="str">
        <f>"str_"&amp;Table1[[#This Row],[VEHIDCODE]]</f>
        <v>str_electric_Netherlands_NS_1600</v>
      </c>
      <c r="F357">
        <v>8</v>
      </c>
      <c r="G357" t="s">
        <v>20</v>
      </c>
      <c r="H357">
        <v>0</v>
      </c>
      <c r="I357" t="s">
        <v>74</v>
      </c>
      <c r="J357">
        <v>0</v>
      </c>
      <c r="K357">
        <v>1980</v>
      </c>
      <c r="L357">
        <v>8</v>
      </c>
      <c r="M357" s="2" t="s">
        <v>20</v>
      </c>
      <c r="N357" t="b">
        <v>1</v>
      </c>
      <c r="P357" s="2"/>
      <c r="Q357">
        <v>45</v>
      </c>
      <c r="R357">
        <v>1</v>
      </c>
      <c r="S357">
        <v>4539</v>
      </c>
      <c r="T357" t="s">
        <v>710</v>
      </c>
      <c r="U357">
        <v>180</v>
      </c>
      <c r="V357" s="2">
        <v>0.31</v>
      </c>
      <c r="AA357" t="b">
        <v>1</v>
      </c>
      <c r="AE357"/>
      <c r="AZ357" s="2"/>
      <c r="BA357" s="7">
        <v>40</v>
      </c>
      <c r="BB357" t="s">
        <v>924</v>
      </c>
      <c r="BC357" t="s">
        <v>923</v>
      </c>
      <c r="BD357" t="s">
        <v>941</v>
      </c>
      <c r="BE357" t="str">
        <f>IF(OR(Table1[[#This Row],[ENGINE_CLASS]]="STEAM",Table1[[#This Row],[ENGINE_CLASS]]="ELECTRIC",Table1[[#This Row],[ENGINE_CLASS]]="DIESEL"),Table1[[#This Row],[ENGINE_CLASS]],"DISABLE")</f>
        <v>ELECTRIC</v>
      </c>
      <c r="BF357">
        <v>-3</v>
      </c>
      <c r="BG357" t="s">
        <v>735</v>
      </c>
      <c r="BI357"/>
      <c r="BJ357">
        <v>84</v>
      </c>
      <c r="BK357">
        <v>0</v>
      </c>
      <c r="BL357" t="s">
        <v>693</v>
      </c>
      <c r="BM357" t="s">
        <v>695</v>
      </c>
      <c r="BN357" t="s">
        <v>702</v>
      </c>
      <c r="BO357" t="s">
        <v>706</v>
      </c>
      <c r="BP357" t="s">
        <v>707</v>
      </c>
      <c r="BQ357" t="s">
        <v>708</v>
      </c>
    </row>
    <row r="358" spans="1:69" x14ac:dyDescent="0.4">
      <c r="A358" s="2" t="s">
        <v>384</v>
      </c>
      <c r="B358" t="str">
        <f>_xlfn.TEXTAFTER(Table1[[#This Row],[VEHIDCODE]],"_")</f>
        <v>Australia_Victorian_Railways_E_Class</v>
      </c>
      <c r="C358" t="s">
        <v>742</v>
      </c>
      <c r="D358" t="str">
        <f>"item_"&amp;Table1[[#This Row],[VEHIDCODE]]</f>
        <v>item_electric_Australia_Victorian_Railways_E_Class</v>
      </c>
      <c r="E358" t="str">
        <f>"str_"&amp;Table1[[#This Row],[VEHIDCODE]]</f>
        <v>str_electric_Australia_Victorian_Railways_E_Class</v>
      </c>
      <c r="F358">
        <v>7</v>
      </c>
      <c r="G358" t="s">
        <v>20</v>
      </c>
      <c r="H358">
        <v>0</v>
      </c>
      <c r="I358" t="s">
        <v>74</v>
      </c>
      <c r="J358">
        <v>0</v>
      </c>
      <c r="K358">
        <v>1923</v>
      </c>
      <c r="L358">
        <v>7</v>
      </c>
      <c r="M358" s="2" t="s">
        <v>20</v>
      </c>
      <c r="N358" t="b">
        <v>1</v>
      </c>
      <c r="P358" s="2"/>
      <c r="Q358">
        <v>45</v>
      </c>
      <c r="R358">
        <v>1</v>
      </c>
      <c r="S358">
        <v>620</v>
      </c>
      <c r="T358" t="s">
        <v>710</v>
      </c>
      <c r="U358">
        <v>65</v>
      </c>
      <c r="V358" s="2">
        <v>0.11</v>
      </c>
      <c r="AA358" t="b">
        <v>1</v>
      </c>
      <c r="AE358"/>
      <c r="AZ358" s="2"/>
      <c r="BA358" s="7">
        <v>40</v>
      </c>
      <c r="BB358" t="s">
        <v>926</v>
      </c>
      <c r="BC358" t="s">
        <v>923</v>
      </c>
      <c r="BD358" t="s">
        <v>941</v>
      </c>
      <c r="BE358" t="str">
        <f>IF(OR(Table1[[#This Row],[ENGINE_CLASS]]="STEAM",Table1[[#This Row],[ENGINE_CLASS]]="ELECTRIC",Table1[[#This Row],[ENGINE_CLASS]]="DIESEL"),Table1[[#This Row],[ENGINE_CLASS]],"DISABLE")</f>
        <v>ELECTRIC</v>
      </c>
      <c r="BF358">
        <v>0</v>
      </c>
      <c r="BG358" t="s">
        <v>735</v>
      </c>
      <c r="BI358"/>
      <c r="BJ358">
        <v>56</v>
      </c>
      <c r="BK358">
        <v>0</v>
      </c>
      <c r="BL358" t="s">
        <v>693</v>
      </c>
      <c r="BM358" t="s">
        <v>695</v>
      </c>
      <c r="BN358" t="s">
        <v>702</v>
      </c>
      <c r="BO358" t="s">
        <v>706</v>
      </c>
      <c r="BP358" t="s">
        <v>707</v>
      </c>
      <c r="BQ358" t="s">
        <v>708</v>
      </c>
    </row>
    <row r="359" spans="1:69" x14ac:dyDescent="0.4">
      <c r="A359" s="2" t="s">
        <v>385</v>
      </c>
      <c r="B359" t="str">
        <f>_xlfn.TEXTAFTER(Table1[[#This Row],[VEHIDCODE]],"_")</f>
        <v>UK_NER_ES1</v>
      </c>
      <c r="C359" t="s">
        <v>742</v>
      </c>
      <c r="D359" t="str">
        <f>"item_"&amp;Table1[[#This Row],[VEHIDCODE]]</f>
        <v>item_electric_UK_NER_ES1</v>
      </c>
      <c r="E359" t="str">
        <f>"str_"&amp;Table1[[#This Row],[VEHIDCODE]]</f>
        <v>str_electric_UK_NER_ES1</v>
      </c>
      <c r="F359">
        <v>6</v>
      </c>
      <c r="G359" t="s">
        <v>20</v>
      </c>
      <c r="H359">
        <v>0</v>
      </c>
      <c r="I359" t="s">
        <v>74</v>
      </c>
      <c r="J359">
        <v>0</v>
      </c>
      <c r="K359">
        <v>1903</v>
      </c>
      <c r="L359">
        <v>6</v>
      </c>
      <c r="M359" s="2" t="s">
        <v>20</v>
      </c>
      <c r="N359" t="b">
        <v>1</v>
      </c>
      <c r="P359" s="2"/>
      <c r="Q359">
        <v>45</v>
      </c>
      <c r="R359">
        <v>0</v>
      </c>
      <c r="S359">
        <v>640</v>
      </c>
      <c r="T359" t="s">
        <v>710</v>
      </c>
      <c r="U359">
        <v>43</v>
      </c>
      <c r="V359" s="2">
        <v>0.19</v>
      </c>
      <c r="AA359" t="b">
        <v>1</v>
      </c>
      <c r="AE359"/>
      <c r="AZ359" s="2"/>
      <c r="BA359" s="7">
        <v>40</v>
      </c>
      <c r="BB359" t="s">
        <v>928</v>
      </c>
      <c r="BC359" t="s">
        <v>923</v>
      </c>
      <c r="BD359" t="s">
        <v>941</v>
      </c>
      <c r="BE359" t="str">
        <f>IF(OR(Table1[[#This Row],[ENGINE_CLASS]]="STEAM",Table1[[#This Row],[ENGINE_CLASS]]="ELECTRIC",Table1[[#This Row],[ENGINE_CLASS]]="DIESEL"),Table1[[#This Row],[ENGINE_CLASS]],"DISABLE")</f>
        <v>ELECTRIC</v>
      </c>
      <c r="BF359">
        <v>0</v>
      </c>
      <c r="BG359" t="s">
        <v>735</v>
      </c>
      <c r="BI359"/>
      <c r="BJ359">
        <v>57</v>
      </c>
      <c r="BK359">
        <v>0</v>
      </c>
      <c r="BL359" t="s">
        <v>693</v>
      </c>
      <c r="BM359" t="s">
        <v>695</v>
      </c>
      <c r="BN359" t="s">
        <v>702</v>
      </c>
      <c r="BO359" t="s">
        <v>706</v>
      </c>
      <c r="BP359" t="s">
        <v>707</v>
      </c>
      <c r="BQ359" t="s">
        <v>708</v>
      </c>
    </row>
    <row r="360" spans="1:69" x14ac:dyDescent="0.4">
      <c r="A360" s="2" t="s">
        <v>386</v>
      </c>
      <c r="B360" t="str">
        <f>_xlfn.TEXTAFTER(Table1[[#This Row],[VEHIDCODE]],"_")</f>
        <v>USA_NYC_S_motor</v>
      </c>
      <c r="C360" t="s">
        <v>742</v>
      </c>
      <c r="D360" t="str">
        <f>"item_"&amp;Table1[[#This Row],[VEHIDCODE]]</f>
        <v>item_electric_USA_NYC_S_motor</v>
      </c>
      <c r="E360" t="str">
        <f>"str_"&amp;Table1[[#This Row],[VEHIDCODE]]</f>
        <v>str_electric_USA_NYC_S_motor</v>
      </c>
      <c r="F360">
        <v>7</v>
      </c>
      <c r="G360" t="s">
        <v>20</v>
      </c>
      <c r="H360">
        <v>0</v>
      </c>
      <c r="I360" t="s">
        <v>74</v>
      </c>
      <c r="J360">
        <v>0</v>
      </c>
      <c r="K360">
        <v>1903</v>
      </c>
      <c r="L360">
        <v>7</v>
      </c>
      <c r="M360" s="2" t="s">
        <v>20</v>
      </c>
      <c r="N360" t="b">
        <v>1</v>
      </c>
      <c r="P360" s="2"/>
      <c r="Q360">
        <v>45</v>
      </c>
      <c r="R360">
        <v>1</v>
      </c>
      <c r="S360">
        <v>1264</v>
      </c>
      <c r="T360" t="s">
        <v>710</v>
      </c>
      <c r="U360">
        <v>97</v>
      </c>
      <c r="V360" s="2">
        <v>0.16</v>
      </c>
      <c r="AA360" t="b">
        <v>1</v>
      </c>
      <c r="AE360"/>
      <c r="AZ360" s="2"/>
      <c r="BA360" s="7">
        <v>40</v>
      </c>
      <c r="BB360" t="s">
        <v>929</v>
      </c>
      <c r="BC360" t="s">
        <v>923</v>
      </c>
      <c r="BD360" t="s">
        <v>941</v>
      </c>
      <c r="BE360" t="str">
        <f>IF(OR(Table1[[#This Row],[ENGINE_CLASS]]="STEAM",Table1[[#This Row],[ENGINE_CLASS]]="ELECTRIC",Table1[[#This Row],[ENGINE_CLASS]]="DIESEL"),Table1[[#This Row],[ENGINE_CLASS]],"DISABLE")</f>
        <v>ELECTRIC</v>
      </c>
      <c r="BF360">
        <v>0</v>
      </c>
      <c r="BG360" t="s">
        <v>735</v>
      </c>
      <c r="BI360"/>
      <c r="BJ360">
        <v>103</v>
      </c>
      <c r="BK360">
        <v>0</v>
      </c>
      <c r="BL360" t="s">
        <v>693</v>
      </c>
      <c r="BM360" t="s">
        <v>695</v>
      </c>
      <c r="BN360" t="s">
        <v>702</v>
      </c>
      <c r="BO360" t="s">
        <v>706</v>
      </c>
      <c r="BP360" t="s">
        <v>707</v>
      </c>
      <c r="BQ360" t="s">
        <v>708</v>
      </c>
    </row>
    <row r="361" spans="1:69" x14ac:dyDescent="0.4">
      <c r="A361" s="2" t="s">
        <v>387</v>
      </c>
      <c r="B361" t="str">
        <f>_xlfn.TEXTAFTER(Table1[[#This Row],[VEHIDCODE]],"_")</f>
        <v>Japan_Aichi_Railroad_DeKi_400</v>
      </c>
      <c r="C361" t="s">
        <v>742</v>
      </c>
      <c r="D361" t="str">
        <f>"item_"&amp;Table1[[#This Row],[VEHIDCODE]]</f>
        <v>item_electric_Japan_Aichi_Railroad_DeKi_400</v>
      </c>
      <c r="E361" t="str">
        <f>"str_"&amp;Table1[[#This Row],[VEHIDCODE]]</f>
        <v>str_electric_Japan_Aichi_Railroad_DeKi_400</v>
      </c>
      <c r="F361">
        <v>6</v>
      </c>
      <c r="G361" t="s">
        <v>20</v>
      </c>
      <c r="H361">
        <v>0</v>
      </c>
      <c r="I361" t="s">
        <v>74</v>
      </c>
      <c r="J361">
        <v>0</v>
      </c>
      <c r="K361">
        <v>1930</v>
      </c>
      <c r="L361">
        <v>6</v>
      </c>
      <c r="M361" s="2" t="s">
        <v>20</v>
      </c>
      <c r="N361" t="b">
        <v>1</v>
      </c>
      <c r="P361" s="2"/>
      <c r="Q361">
        <v>45</v>
      </c>
      <c r="R361">
        <v>1</v>
      </c>
      <c r="S361">
        <v>482</v>
      </c>
      <c r="T361" t="s">
        <v>710</v>
      </c>
      <c r="U361">
        <v>28</v>
      </c>
      <c r="V361" s="2">
        <v>0.12</v>
      </c>
      <c r="AA361" t="b">
        <v>1</v>
      </c>
      <c r="AE361"/>
      <c r="AZ361" s="2"/>
      <c r="BA361" s="7">
        <v>40</v>
      </c>
      <c r="BB361" t="s">
        <v>932</v>
      </c>
      <c r="BC361" t="s">
        <v>923</v>
      </c>
      <c r="BD361" t="s">
        <v>941</v>
      </c>
      <c r="BE361" t="str">
        <f>IF(OR(Table1[[#This Row],[ENGINE_CLASS]]="STEAM",Table1[[#This Row],[ENGINE_CLASS]]="ELECTRIC",Table1[[#This Row],[ENGINE_CLASS]]="DIESEL"),Table1[[#This Row],[ENGINE_CLASS]],"DISABLE")</f>
        <v>ELECTRIC</v>
      </c>
      <c r="BF361">
        <v>0</v>
      </c>
      <c r="BG361" t="s">
        <v>735</v>
      </c>
      <c r="BI361"/>
      <c r="BJ361">
        <v>40</v>
      </c>
      <c r="BK361">
        <v>0</v>
      </c>
      <c r="BL361" t="s">
        <v>693</v>
      </c>
      <c r="BM361" t="s">
        <v>695</v>
      </c>
      <c r="BN361" t="s">
        <v>702</v>
      </c>
      <c r="BO361" t="s">
        <v>706</v>
      </c>
      <c r="BP361" t="s">
        <v>707</v>
      </c>
      <c r="BQ361" t="s">
        <v>708</v>
      </c>
    </row>
    <row r="362" spans="1:69" x14ac:dyDescent="0.4">
      <c r="A362" s="2" t="s">
        <v>388</v>
      </c>
      <c r="B362" t="str">
        <f>_xlfn.TEXTAFTER(Table1[[#This Row],[VEHIDCODE]],"_")</f>
        <v>India_Indian_Railways_WCG_1</v>
      </c>
      <c r="C362" t="s">
        <v>742</v>
      </c>
      <c r="D362" t="str">
        <f>"item_"&amp;Table1[[#This Row],[VEHIDCODE]]</f>
        <v>item_electric_India_Indian_Railways_WCG_1</v>
      </c>
      <c r="E362" t="str">
        <f>"str_"&amp;Table1[[#This Row],[VEHIDCODE]]</f>
        <v>str_electric_India_Indian_Railways_WCG_1</v>
      </c>
      <c r="F362">
        <v>8</v>
      </c>
      <c r="G362" t="s">
        <v>20</v>
      </c>
      <c r="H362">
        <v>0</v>
      </c>
      <c r="I362" t="s">
        <v>74</v>
      </c>
      <c r="J362">
        <v>0</v>
      </c>
      <c r="K362">
        <v>1928</v>
      </c>
      <c r="L362">
        <v>8</v>
      </c>
      <c r="M362" s="2" t="s">
        <v>20</v>
      </c>
      <c r="N362" t="b">
        <v>1</v>
      </c>
      <c r="P362" s="2"/>
      <c r="Q362">
        <v>45</v>
      </c>
      <c r="R362">
        <v>1</v>
      </c>
      <c r="S362">
        <v>2610</v>
      </c>
      <c r="T362" t="s">
        <v>710</v>
      </c>
      <c r="U362">
        <v>90</v>
      </c>
      <c r="V362" s="2">
        <v>0.6</v>
      </c>
      <c r="AA362" t="b">
        <v>1</v>
      </c>
      <c r="AE362"/>
      <c r="AZ362" s="2"/>
      <c r="BA362" s="7">
        <v>40</v>
      </c>
      <c r="BB362" t="s">
        <v>932</v>
      </c>
      <c r="BC362" t="s">
        <v>923</v>
      </c>
      <c r="BD362" t="s">
        <v>941</v>
      </c>
      <c r="BE362" t="str">
        <f>IF(OR(Table1[[#This Row],[ENGINE_CLASS]]="STEAM",Table1[[#This Row],[ENGINE_CLASS]]="ELECTRIC",Table1[[#This Row],[ENGINE_CLASS]]="DIESEL"),Table1[[#This Row],[ENGINE_CLASS]],"DISABLE")</f>
        <v>ELECTRIC</v>
      </c>
      <c r="BF362">
        <v>-3</v>
      </c>
      <c r="BG362" t="s">
        <v>735</v>
      </c>
      <c r="BI362"/>
      <c r="BJ362">
        <v>55</v>
      </c>
      <c r="BK362">
        <v>0</v>
      </c>
      <c r="BL362" t="s">
        <v>693</v>
      </c>
      <c r="BM362" t="s">
        <v>695</v>
      </c>
      <c r="BN362" t="s">
        <v>702</v>
      </c>
      <c r="BO362" t="s">
        <v>706</v>
      </c>
      <c r="BP362" t="s">
        <v>707</v>
      </c>
      <c r="BQ362" t="s">
        <v>708</v>
      </c>
    </row>
    <row r="363" spans="1:69" x14ac:dyDescent="0.4">
      <c r="A363" s="2" t="s">
        <v>389</v>
      </c>
      <c r="B363" t="str">
        <f>_xlfn.TEXTAFTER(Table1[[#This Row],[VEHIDCODE]],"_")</f>
        <v>France_SNCF_BB_9004</v>
      </c>
      <c r="C363" t="s">
        <v>742</v>
      </c>
      <c r="D363" t="str">
        <f>"item_"&amp;Table1[[#This Row],[VEHIDCODE]]</f>
        <v>item_electric_France_SNCF_BB_9004</v>
      </c>
      <c r="E363" t="str">
        <f>"str_"&amp;Table1[[#This Row],[VEHIDCODE]]</f>
        <v>str_electric_France_SNCF_BB_9004</v>
      </c>
      <c r="F363">
        <v>8</v>
      </c>
      <c r="G363" t="s">
        <v>20</v>
      </c>
      <c r="H363">
        <v>0</v>
      </c>
      <c r="I363" t="s">
        <v>74</v>
      </c>
      <c r="J363">
        <v>0</v>
      </c>
      <c r="K363">
        <v>1954</v>
      </c>
      <c r="L363">
        <v>8</v>
      </c>
      <c r="M363" s="2" t="s">
        <v>20</v>
      </c>
      <c r="N363" t="b">
        <v>1</v>
      </c>
      <c r="P363" s="2"/>
      <c r="Q363">
        <v>45</v>
      </c>
      <c r="R363">
        <v>1</v>
      </c>
      <c r="S363">
        <v>4000</v>
      </c>
      <c r="T363" t="s">
        <v>710</v>
      </c>
      <c r="U363">
        <v>140</v>
      </c>
      <c r="V363" s="2">
        <v>0.25</v>
      </c>
      <c r="AA363" t="b">
        <v>1</v>
      </c>
      <c r="AE363"/>
      <c r="AZ363" s="2"/>
      <c r="BA363" s="7">
        <v>40</v>
      </c>
      <c r="BB363" t="s">
        <v>924</v>
      </c>
      <c r="BC363" t="s">
        <v>923</v>
      </c>
      <c r="BD363" t="s">
        <v>941</v>
      </c>
      <c r="BE363" t="str">
        <f>IF(OR(Table1[[#This Row],[ENGINE_CLASS]]="STEAM",Table1[[#This Row],[ENGINE_CLASS]]="ELECTRIC",Table1[[#This Row],[ENGINE_CLASS]]="DIESEL"),Table1[[#This Row],[ENGINE_CLASS]],"DISABLE")</f>
        <v>ELECTRIC</v>
      </c>
      <c r="BF363">
        <v>-3</v>
      </c>
      <c r="BG363" t="s">
        <v>735</v>
      </c>
      <c r="BI363"/>
      <c r="BJ363">
        <v>83</v>
      </c>
      <c r="BK363">
        <v>0</v>
      </c>
      <c r="BL363" t="s">
        <v>693</v>
      </c>
      <c r="BM363" t="s">
        <v>695</v>
      </c>
      <c r="BN363" t="s">
        <v>702</v>
      </c>
      <c r="BO363" t="s">
        <v>706</v>
      </c>
      <c r="BP363" t="s">
        <v>707</v>
      </c>
      <c r="BQ363" t="s">
        <v>708</v>
      </c>
    </row>
    <row r="364" spans="1:69" x14ac:dyDescent="0.4">
      <c r="A364" s="2" t="s">
        <v>390</v>
      </c>
      <c r="B364" t="str">
        <f>_xlfn.TEXTAFTER(Table1[[#This Row],[VEHIDCODE]],"_")</f>
        <v>Indonesia_ESS_3200</v>
      </c>
      <c r="C364" t="s">
        <v>742</v>
      </c>
      <c r="D364" t="str">
        <f>"item_"&amp;Table1[[#This Row],[VEHIDCODE]]</f>
        <v>item_electric_Indonesia_ESS_3200</v>
      </c>
      <c r="E364" t="str">
        <f>"str_"&amp;Table1[[#This Row],[VEHIDCODE]]</f>
        <v>str_electric_Indonesia_ESS_3200</v>
      </c>
      <c r="F364">
        <v>6</v>
      </c>
      <c r="G364" t="s">
        <v>20</v>
      </c>
      <c r="H364">
        <v>0</v>
      </c>
      <c r="I364" t="s">
        <v>74</v>
      </c>
      <c r="J364">
        <v>0</v>
      </c>
      <c r="K364">
        <v>1925</v>
      </c>
      <c r="L364">
        <v>6</v>
      </c>
      <c r="M364" s="2" t="s">
        <v>20</v>
      </c>
      <c r="N364" t="b">
        <v>1</v>
      </c>
      <c r="P364" s="2"/>
      <c r="Q364">
        <v>45</v>
      </c>
      <c r="R364">
        <v>1</v>
      </c>
      <c r="S364">
        <v>765</v>
      </c>
      <c r="T364" t="s">
        <v>710</v>
      </c>
      <c r="U364">
        <v>120</v>
      </c>
      <c r="V364" s="2">
        <v>0.23</v>
      </c>
      <c r="AA364" t="b">
        <v>1</v>
      </c>
      <c r="AE364"/>
      <c r="AZ364" s="2"/>
      <c r="BA364" s="7">
        <v>40</v>
      </c>
      <c r="BB364" t="s">
        <v>926</v>
      </c>
      <c r="BC364" t="s">
        <v>923</v>
      </c>
      <c r="BD364" t="s">
        <v>941</v>
      </c>
      <c r="BE364" t="str">
        <f>IF(OR(Table1[[#This Row],[ENGINE_CLASS]]="STEAM",Table1[[#This Row],[ENGINE_CLASS]]="ELECTRIC",Table1[[#This Row],[ENGINE_CLASS]]="DIESEL"),Table1[[#This Row],[ENGINE_CLASS]],"DISABLE")</f>
        <v>ELECTRIC</v>
      </c>
      <c r="BF364">
        <v>0</v>
      </c>
      <c r="BG364" t="s">
        <v>735</v>
      </c>
      <c r="BI364"/>
      <c r="BJ364">
        <v>69</v>
      </c>
      <c r="BK364">
        <v>0</v>
      </c>
      <c r="BL364" t="s">
        <v>693</v>
      </c>
      <c r="BM364" t="s">
        <v>695</v>
      </c>
      <c r="BN364" t="s">
        <v>702</v>
      </c>
      <c r="BO364" t="s">
        <v>706</v>
      </c>
      <c r="BP364" t="s">
        <v>707</v>
      </c>
      <c r="BQ364" t="s">
        <v>708</v>
      </c>
    </row>
    <row r="365" spans="1:69" x14ac:dyDescent="0.4">
      <c r="A365" s="2" t="s">
        <v>391</v>
      </c>
      <c r="B365" t="str">
        <f>_xlfn.TEXTAFTER(Table1[[#This Row],[VEHIDCODE]],"_")</f>
        <v>UK_BR_77_Metrovic</v>
      </c>
      <c r="C365" t="s">
        <v>742</v>
      </c>
      <c r="D365" t="str">
        <f>"item_"&amp;Table1[[#This Row],[VEHIDCODE]]</f>
        <v>item_electric_UK_BR_77_Metrovic</v>
      </c>
      <c r="E365" t="str">
        <f>"str_"&amp;Table1[[#This Row],[VEHIDCODE]]</f>
        <v>str_electric_UK_BR_77_Metrovic</v>
      </c>
      <c r="F365">
        <v>8</v>
      </c>
      <c r="G365" t="s">
        <v>20</v>
      </c>
      <c r="H365">
        <v>0</v>
      </c>
      <c r="I365" t="s">
        <v>74</v>
      </c>
      <c r="J365">
        <v>0</v>
      </c>
      <c r="K365">
        <v>1953</v>
      </c>
      <c r="L365">
        <v>8</v>
      </c>
      <c r="M365" s="2" t="s">
        <v>20</v>
      </c>
      <c r="N365" t="b">
        <v>1</v>
      </c>
      <c r="P365" s="2"/>
      <c r="Q365">
        <v>45</v>
      </c>
      <c r="R365">
        <v>1</v>
      </c>
      <c r="S365">
        <v>2490</v>
      </c>
      <c r="T365" t="s">
        <v>710</v>
      </c>
      <c r="U365">
        <v>145</v>
      </c>
      <c r="V365" s="2">
        <v>0.2</v>
      </c>
      <c r="AA365" t="b">
        <v>1</v>
      </c>
      <c r="AE365"/>
      <c r="AZ365" s="2"/>
      <c r="BA365" s="7">
        <v>40</v>
      </c>
      <c r="BB365" t="s">
        <v>928</v>
      </c>
      <c r="BC365" t="s">
        <v>923</v>
      </c>
      <c r="BD365" t="s">
        <v>941</v>
      </c>
      <c r="BE365" t="str">
        <f>IF(OR(Table1[[#This Row],[ENGINE_CLASS]]="STEAM",Table1[[#This Row],[ENGINE_CLASS]]="ELECTRIC",Table1[[#This Row],[ENGINE_CLASS]]="DIESEL"),Table1[[#This Row],[ENGINE_CLASS]],"DISABLE")</f>
        <v>ELECTRIC</v>
      </c>
      <c r="BF365">
        <v>-3</v>
      </c>
      <c r="BG365" t="s">
        <v>735</v>
      </c>
      <c r="BI365"/>
      <c r="BJ365">
        <v>102</v>
      </c>
      <c r="BK365">
        <v>0</v>
      </c>
      <c r="BL365" t="s">
        <v>693</v>
      </c>
      <c r="BM365" t="s">
        <v>695</v>
      </c>
      <c r="BN365" t="s">
        <v>702</v>
      </c>
      <c r="BO365" t="s">
        <v>706</v>
      </c>
      <c r="BP365" t="s">
        <v>707</v>
      </c>
      <c r="BQ365" t="s">
        <v>708</v>
      </c>
    </row>
    <row r="366" spans="1:69" x14ac:dyDescent="0.4">
      <c r="A366" s="2" t="s">
        <v>392</v>
      </c>
      <c r="B366" t="str">
        <f>_xlfn.TEXTAFTER(Table1[[#This Row],[VEHIDCODE]],"_")</f>
        <v>UK_NER_EE1</v>
      </c>
      <c r="C366" t="s">
        <v>742</v>
      </c>
      <c r="D366" t="str">
        <f>"item_"&amp;Table1[[#This Row],[VEHIDCODE]]</f>
        <v>item_electric_UK_NER_EE1</v>
      </c>
      <c r="E366" t="str">
        <f>"str_"&amp;Table1[[#This Row],[VEHIDCODE]]</f>
        <v>str_electric_UK_NER_EE1</v>
      </c>
      <c r="F366">
        <v>8</v>
      </c>
      <c r="G366" t="s">
        <v>20</v>
      </c>
      <c r="H366">
        <v>0</v>
      </c>
      <c r="I366" t="s">
        <v>74</v>
      </c>
      <c r="J366">
        <v>0</v>
      </c>
      <c r="K366">
        <v>1922</v>
      </c>
      <c r="L366">
        <v>8</v>
      </c>
      <c r="M366" s="2" t="s">
        <v>20</v>
      </c>
      <c r="N366" t="b">
        <v>1</v>
      </c>
      <c r="P366" s="2"/>
      <c r="Q366">
        <v>45</v>
      </c>
      <c r="R366">
        <v>1</v>
      </c>
      <c r="S366">
        <v>1800</v>
      </c>
      <c r="T366" t="s">
        <v>710</v>
      </c>
      <c r="U366">
        <v>105</v>
      </c>
      <c r="V366" s="2">
        <v>0.11</v>
      </c>
      <c r="AA366" t="b">
        <v>1</v>
      </c>
      <c r="AE366"/>
      <c r="AZ366" s="2"/>
      <c r="BA366" s="7">
        <v>40</v>
      </c>
      <c r="BB366" t="s">
        <v>928</v>
      </c>
      <c r="BC366" t="s">
        <v>923</v>
      </c>
      <c r="BD366" t="s">
        <v>941</v>
      </c>
      <c r="BE366" t="str">
        <f>IF(OR(Table1[[#This Row],[ENGINE_CLASS]]="STEAM",Table1[[#This Row],[ENGINE_CLASS]]="ELECTRIC",Table1[[#This Row],[ENGINE_CLASS]]="DIESEL"),Table1[[#This Row],[ENGINE_CLASS]],"DISABLE")</f>
        <v>ELECTRIC</v>
      </c>
      <c r="BF366">
        <v>0</v>
      </c>
      <c r="BG366" t="s">
        <v>735</v>
      </c>
      <c r="BI366"/>
      <c r="BJ366">
        <v>111</v>
      </c>
      <c r="BK366">
        <v>0</v>
      </c>
      <c r="BL366" t="s">
        <v>693</v>
      </c>
      <c r="BM366" t="s">
        <v>695</v>
      </c>
      <c r="BN366" t="s">
        <v>702</v>
      </c>
      <c r="BO366" t="s">
        <v>706</v>
      </c>
      <c r="BP366" t="s">
        <v>707</v>
      </c>
      <c r="BQ366" t="s">
        <v>708</v>
      </c>
    </row>
    <row r="367" spans="1:69" x14ac:dyDescent="0.4">
      <c r="A367" s="2" t="s">
        <v>393</v>
      </c>
      <c r="B367" t="str">
        <f>_xlfn.TEXTAFTER(Table1[[#This Row],[VEHIDCODE]],"_")</f>
        <v>USA_Milwaukee_Road_ES_2</v>
      </c>
      <c r="C367" t="s">
        <v>742</v>
      </c>
      <c r="D367" t="str">
        <f>"item_"&amp;Table1[[#This Row],[VEHIDCODE]]</f>
        <v>item_electric_USA_Milwaukee_Road_ES_2</v>
      </c>
      <c r="E367" t="str">
        <f>"str_"&amp;Table1[[#This Row],[VEHIDCODE]]</f>
        <v>str_electric_USA_Milwaukee_Road_ES_2</v>
      </c>
      <c r="F367">
        <v>6</v>
      </c>
      <c r="G367" t="s">
        <v>20</v>
      </c>
      <c r="H367">
        <v>0</v>
      </c>
      <c r="I367" t="s">
        <v>74</v>
      </c>
      <c r="J367">
        <v>0</v>
      </c>
      <c r="K367">
        <v>1916</v>
      </c>
      <c r="L367">
        <v>6</v>
      </c>
      <c r="M367" s="2" t="s">
        <v>20</v>
      </c>
      <c r="N367" t="b">
        <v>1</v>
      </c>
      <c r="P367" s="2"/>
      <c r="Q367">
        <v>45</v>
      </c>
      <c r="R367">
        <v>1</v>
      </c>
      <c r="S367">
        <v>670</v>
      </c>
      <c r="T367" t="s">
        <v>710</v>
      </c>
      <c r="U367">
        <v>72</v>
      </c>
      <c r="V367" s="2">
        <v>0.18</v>
      </c>
      <c r="AE367"/>
      <c r="AZ367" s="2"/>
      <c r="BA367" s="7">
        <v>40</v>
      </c>
      <c r="BB367" t="s">
        <v>929</v>
      </c>
      <c r="BC367" t="s">
        <v>923</v>
      </c>
      <c r="BD367" t="s">
        <v>941</v>
      </c>
      <c r="BE367" t="str">
        <f>IF(OR(Table1[[#This Row],[ENGINE_CLASS]]="STEAM",Table1[[#This Row],[ENGINE_CLASS]]="ELECTRIC",Table1[[#This Row],[ENGINE_CLASS]]="DIESEL"),Table1[[#This Row],[ENGINE_CLASS]],"DISABLE")</f>
        <v>ELECTRIC</v>
      </c>
      <c r="BF367">
        <v>-3</v>
      </c>
      <c r="BG367" t="s">
        <v>735</v>
      </c>
      <c r="BI367"/>
      <c r="BJ367">
        <v>74</v>
      </c>
      <c r="BK367">
        <v>0</v>
      </c>
      <c r="BL367" t="s">
        <v>693</v>
      </c>
      <c r="BM367" t="s">
        <v>695</v>
      </c>
      <c r="BN367" t="s">
        <v>702</v>
      </c>
      <c r="BO367" t="s">
        <v>706</v>
      </c>
      <c r="BP367" t="s">
        <v>707</v>
      </c>
      <c r="BQ367" t="s">
        <v>708</v>
      </c>
    </row>
    <row r="368" spans="1:69" x14ac:dyDescent="0.4">
      <c r="A368" s="2" t="s">
        <v>394</v>
      </c>
      <c r="B368" t="str">
        <f>_xlfn.TEXTAFTER(Table1[[#This Row],[VEHIDCODE]],"_")</f>
        <v>USA_Milwaukee_Road_EP_2_Bipolar</v>
      </c>
      <c r="C368" t="s">
        <v>742</v>
      </c>
      <c r="D368" t="str">
        <f>"item_"&amp;Table1[[#This Row],[VEHIDCODE]]</f>
        <v>item_electric_USA_Milwaukee_Road_EP_2_Bipolar</v>
      </c>
      <c r="E368" t="str">
        <f>"str_"&amp;Table1[[#This Row],[VEHIDCODE]]</f>
        <v>str_electric_USA_Milwaukee_Road_EP_2_Bipolar</v>
      </c>
      <c r="F368">
        <v>4</v>
      </c>
      <c r="G368" t="s">
        <v>20</v>
      </c>
      <c r="H368">
        <v>0</v>
      </c>
      <c r="I368" t="s">
        <v>74</v>
      </c>
      <c r="J368">
        <v>0</v>
      </c>
      <c r="K368">
        <v>1919</v>
      </c>
      <c r="L368">
        <v>8</v>
      </c>
      <c r="M368" s="2" t="s">
        <v>20</v>
      </c>
      <c r="N368" t="b">
        <v>1</v>
      </c>
      <c r="P368" s="2"/>
      <c r="Q368">
        <v>45</v>
      </c>
      <c r="R368">
        <v>1</v>
      </c>
      <c r="S368">
        <v>4400</v>
      </c>
      <c r="T368" t="s">
        <v>710</v>
      </c>
      <c r="U368">
        <v>144</v>
      </c>
      <c r="V368" s="2">
        <v>0.17</v>
      </c>
      <c r="AE368"/>
      <c r="AZ368" s="2"/>
      <c r="BA368" s="7">
        <v>40</v>
      </c>
      <c r="BB368" t="s">
        <v>929</v>
      </c>
      <c r="BC368" t="s">
        <v>923</v>
      </c>
      <c r="BD368" t="s">
        <v>941</v>
      </c>
      <c r="BE368" t="str">
        <f>IF(OR(Table1[[#This Row],[ENGINE_CLASS]]="STEAM",Table1[[#This Row],[ENGINE_CLASS]]="ELECTRIC",Table1[[#This Row],[ENGINE_CLASS]]="DIESEL"),Table1[[#This Row],[ENGINE_CLASS]],"DISABLE")</f>
        <v>ELECTRIC</v>
      </c>
      <c r="BF368">
        <v>0</v>
      </c>
      <c r="BG368" t="s">
        <v>735</v>
      </c>
      <c r="BI368"/>
      <c r="BJ368">
        <v>240</v>
      </c>
      <c r="BK368">
        <v>0</v>
      </c>
      <c r="BL368" t="s">
        <v>693</v>
      </c>
      <c r="BM368" t="s">
        <v>695</v>
      </c>
      <c r="BN368" t="s">
        <v>702</v>
      </c>
      <c r="BO368" t="s">
        <v>706</v>
      </c>
      <c r="BP368" t="s">
        <v>707</v>
      </c>
      <c r="BQ368" t="s">
        <v>708</v>
      </c>
    </row>
    <row r="369" spans="1:69" x14ac:dyDescent="0.4">
      <c r="A369" s="2" t="s">
        <v>395</v>
      </c>
      <c r="B369" t="str">
        <f>_xlfn.TEXTAFTER(Table1[[#This Row],[VEHIDCODE]],"_")</f>
        <v>Chile_EFE_E_28</v>
      </c>
      <c r="C369" t="s">
        <v>742</v>
      </c>
      <c r="D369" t="str">
        <f>"item_"&amp;Table1[[#This Row],[VEHIDCODE]]</f>
        <v>item_electric_Chile_EFE_E_28</v>
      </c>
      <c r="E369" t="str">
        <f>"str_"&amp;Table1[[#This Row],[VEHIDCODE]]</f>
        <v>str_electric_Chile_EFE_E_28</v>
      </c>
      <c r="F369">
        <v>8</v>
      </c>
      <c r="G369" t="s">
        <v>20</v>
      </c>
      <c r="H369">
        <v>0</v>
      </c>
      <c r="I369" t="s">
        <v>74</v>
      </c>
      <c r="J369">
        <v>0</v>
      </c>
      <c r="K369">
        <v>1922</v>
      </c>
      <c r="L369">
        <v>8</v>
      </c>
      <c r="M369" s="2" t="s">
        <v>20</v>
      </c>
      <c r="N369" t="b">
        <v>1</v>
      </c>
      <c r="P369" s="2"/>
      <c r="Q369">
        <v>45</v>
      </c>
      <c r="R369">
        <v>1</v>
      </c>
      <c r="S369">
        <v>2250</v>
      </c>
      <c r="T369" t="s">
        <v>710</v>
      </c>
      <c r="U369">
        <v>110</v>
      </c>
      <c r="V369" s="2">
        <v>0.19</v>
      </c>
      <c r="AE369"/>
      <c r="AZ369" s="2"/>
      <c r="BA369" s="7">
        <v>40</v>
      </c>
      <c r="BB369" t="s">
        <v>931</v>
      </c>
      <c r="BC369" t="s">
        <v>923</v>
      </c>
      <c r="BD369" t="s">
        <v>941</v>
      </c>
      <c r="BE369" t="str">
        <f>IF(OR(Table1[[#This Row],[ENGINE_CLASS]]="STEAM",Table1[[#This Row],[ENGINE_CLASS]]="ELECTRIC",Table1[[#This Row],[ENGINE_CLASS]]="DIESEL"),Table1[[#This Row],[ENGINE_CLASS]],"DISABLE")</f>
        <v>ELECTRIC</v>
      </c>
      <c r="BF369">
        <v>-3</v>
      </c>
      <c r="BG369" t="s">
        <v>735</v>
      </c>
      <c r="BI369"/>
      <c r="BJ369">
        <v>115</v>
      </c>
      <c r="BK369">
        <v>0</v>
      </c>
      <c r="BL369" t="s">
        <v>693</v>
      </c>
      <c r="BM369" t="s">
        <v>695</v>
      </c>
      <c r="BN369" t="s">
        <v>702</v>
      </c>
      <c r="BO369" t="s">
        <v>706</v>
      </c>
      <c r="BP369" t="s">
        <v>707</v>
      </c>
      <c r="BQ369" t="s">
        <v>708</v>
      </c>
    </row>
    <row r="370" spans="1:69" x14ac:dyDescent="0.4">
      <c r="A370" s="2" t="s">
        <v>396</v>
      </c>
      <c r="B370" t="str">
        <f>_xlfn.TEXTAFTER(Table1[[#This Row],[VEHIDCODE]],"_")</f>
        <v>Italy_FS_E428</v>
      </c>
      <c r="C370" t="s">
        <v>742</v>
      </c>
      <c r="D370" t="str">
        <f>"item_"&amp;Table1[[#This Row],[VEHIDCODE]]</f>
        <v>item_electric_Italy_FS_E428</v>
      </c>
      <c r="E370" t="str">
        <f>"str_"&amp;Table1[[#This Row],[VEHIDCODE]]</f>
        <v>str_electric_Italy_FS_E428</v>
      </c>
      <c r="F370">
        <v>8</v>
      </c>
      <c r="G370" t="s">
        <v>20</v>
      </c>
      <c r="H370">
        <v>0</v>
      </c>
      <c r="I370" t="s">
        <v>74</v>
      </c>
      <c r="J370">
        <v>0</v>
      </c>
      <c r="K370">
        <v>1934</v>
      </c>
      <c r="L370">
        <v>8</v>
      </c>
      <c r="M370" s="2" t="s">
        <v>20</v>
      </c>
      <c r="N370" t="b">
        <v>1</v>
      </c>
      <c r="P370" s="2"/>
      <c r="Q370">
        <v>45</v>
      </c>
      <c r="R370">
        <v>1</v>
      </c>
      <c r="S370">
        <v>3750</v>
      </c>
      <c r="T370" t="s">
        <v>710</v>
      </c>
      <c r="U370">
        <v>130</v>
      </c>
      <c r="V370" s="2">
        <v>0.1</v>
      </c>
      <c r="AE370"/>
      <c r="AZ370" s="2"/>
      <c r="BA370" s="7">
        <v>40</v>
      </c>
      <c r="BB370" t="s">
        <v>925</v>
      </c>
      <c r="BC370" t="s">
        <v>923</v>
      </c>
      <c r="BD370" t="s">
        <v>941</v>
      </c>
      <c r="BE370" t="str">
        <f>IF(OR(Table1[[#This Row],[ENGINE_CLASS]]="STEAM",Table1[[#This Row],[ENGINE_CLASS]]="ELECTRIC",Table1[[#This Row],[ENGINE_CLASS]]="DIESEL"),Table1[[#This Row],[ENGINE_CLASS]],"DISABLE")</f>
        <v>ELECTRIC</v>
      </c>
      <c r="BF370">
        <v>-3</v>
      </c>
      <c r="BG370" t="s">
        <v>735</v>
      </c>
      <c r="BI370"/>
      <c r="BJ370">
        <v>135</v>
      </c>
      <c r="BK370">
        <v>0</v>
      </c>
      <c r="BL370" t="s">
        <v>693</v>
      </c>
      <c r="BM370" t="s">
        <v>695</v>
      </c>
      <c r="BN370" t="s">
        <v>702</v>
      </c>
      <c r="BO370" t="s">
        <v>706</v>
      </c>
      <c r="BP370" t="s">
        <v>707</v>
      </c>
      <c r="BQ370" t="s">
        <v>708</v>
      </c>
    </row>
    <row r="371" spans="1:69" x14ac:dyDescent="0.4">
      <c r="A371" s="2" t="s">
        <v>397</v>
      </c>
      <c r="B371" t="str">
        <f>_xlfn.TEXTAFTER(Table1[[#This Row],[VEHIDCODE]],"_")</f>
        <v>South_Africa_SAR_ES_Class</v>
      </c>
      <c r="C371" t="s">
        <v>742</v>
      </c>
      <c r="D371" t="str">
        <f>"item_"&amp;Table1[[#This Row],[VEHIDCODE]]</f>
        <v>item_electric_South_Africa_SAR_ES_Class</v>
      </c>
      <c r="E371" t="str">
        <f>"str_"&amp;Table1[[#This Row],[VEHIDCODE]]</f>
        <v>str_electric_South_Africa_SAR_ES_Class</v>
      </c>
      <c r="F371">
        <v>8</v>
      </c>
      <c r="G371" t="s">
        <v>20</v>
      </c>
      <c r="H371">
        <v>0</v>
      </c>
      <c r="I371" t="s">
        <v>74</v>
      </c>
      <c r="J371">
        <v>0</v>
      </c>
      <c r="K371">
        <v>1936</v>
      </c>
      <c r="L371">
        <v>8</v>
      </c>
      <c r="M371" s="2" t="s">
        <v>20</v>
      </c>
      <c r="N371" t="b">
        <v>1</v>
      </c>
      <c r="P371" s="2"/>
      <c r="Q371">
        <v>45</v>
      </c>
      <c r="R371">
        <v>1</v>
      </c>
      <c r="S371">
        <v>1200</v>
      </c>
      <c r="T371" t="s">
        <v>710</v>
      </c>
      <c r="U371">
        <v>40</v>
      </c>
      <c r="V371" s="2">
        <v>0.26</v>
      </c>
      <c r="AE371"/>
      <c r="AZ371" s="2"/>
      <c r="BA371" s="7">
        <v>40</v>
      </c>
      <c r="BB371" t="s">
        <v>927</v>
      </c>
      <c r="BC371" t="s">
        <v>923</v>
      </c>
      <c r="BD371" t="s">
        <v>941</v>
      </c>
      <c r="BE371" t="str">
        <f>IF(OR(Table1[[#This Row],[ENGINE_CLASS]]="STEAM",Table1[[#This Row],[ENGINE_CLASS]]="ELECTRIC",Table1[[#This Row],[ENGINE_CLASS]]="DIESEL"),Table1[[#This Row],[ENGINE_CLASS]],"DISABLE")</f>
        <v>ELECTRIC</v>
      </c>
      <c r="BF371">
        <v>-3</v>
      </c>
      <c r="BG371" t="s">
        <v>735</v>
      </c>
      <c r="BI371"/>
      <c r="BJ371">
        <v>68</v>
      </c>
      <c r="BK371">
        <v>0</v>
      </c>
      <c r="BL371" t="s">
        <v>693</v>
      </c>
      <c r="BM371" t="s">
        <v>695</v>
      </c>
      <c r="BN371" t="s">
        <v>702</v>
      </c>
      <c r="BO371" t="s">
        <v>706</v>
      </c>
      <c r="BP371" t="s">
        <v>707</v>
      </c>
      <c r="BQ371" t="s">
        <v>708</v>
      </c>
    </row>
    <row r="372" spans="1:69" x14ac:dyDescent="0.4">
      <c r="A372" s="2" t="s">
        <v>398</v>
      </c>
      <c r="B372" t="str">
        <f>_xlfn.TEXTAFTER(Table1[[#This Row],[VEHIDCODE]],"_")</f>
        <v>Poland_PKP_EU06</v>
      </c>
      <c r="C372" t="s">
        <v>742</v>
      </c>
      <c r="D372" t="str">
        <f>"item_"&amp;Table1[[#This Row],[VEHIDCODE]]</f>
        <v>item_electric_Poland_PKP_EU06</v>
      </c>
      <c r="E372" t="str">
        <f>"str_"&amp;Table1[[#This Row],[VEHIDCODE]]</f>
        <v>str_electric_Poland_PKP_EU06</v>
      </c>
      <c r="F372">
        <v>7</v>
      </c>
      <c r="G372" t="s">
        <v>20</v>
      </c>
      <c r="H372">
        <v>0</v>
      </c>
      <c r="I372" t="s">
        <v>74</v>
      </c>
      <c r="J372">
        <v>0</v>
      </c>
      <c r="K372">
        <v>1962</v>
      </c>
      <c r="L372">
        <v>7</v>
      </c>
      <c r="M372" s="2" t="s">
        <v>20</v>
      </c>
      <c r="N372" t="b">
        <v>1</v>
      </c>
      <c r="P372" s="2"/>
      <c r="Q372">
        <v>45</v>
      </c>
      <c r="R372">
        <v>1</v>
      </c>
      <c r="S372">
        <v>1500</v>
      </c>
      <c r="T372" t="s">
        <v>710</v>
      </c>
      <c r="U372">
        <v>126</v>
      </c>
      <c r="V372" s="2">
        <v>0.35</v>
      </c>
      <c r="AE372"/>
      <c r="AZ372" s="2"/>
      <c r="BA372" s="7">
        <v>40</v>
      </c>
      <c r="BB372" t="s">
        <v>930</v>
      </c>
      <c r="BC372" t="s">
        <v>923</v>
      </c>
      <c r="BD372" t="s">
        <v>941</v>
      </c>
      <c r="BE372" t="str">
        <f>IF(OR(Table1[[#This Row],[ENGINE_CLASS]]="STEAM",Table1[[#This Row],[ENGINE_CLASS]]="ELECTRIC",Table1[[#This Row],[ENGINE_CLASS]]="DIESEL"),Table1[[#This Row],[ENGINE_CLASS]],"DISABLE")</f>
        <v>ELECTRIC</v>
      </c>
      <c r="BF372">
        <v>0</v>
      </c>
      <c r="BG372" t="s">
        <v>735</v>
      </c>
      <c r="BI372"/>
      <c r="BJ372">
        <v>81</v>
      </c>
      <c r="BK372">
        <v>0</v>
      </c>
      <c r="BL372" t="s">
        <v>693</v>
      </c>
      <c r="BM372" t="s">
        <v>695</v>
      </c>
      <c r="BN372" t="s">
        <v>702</v>
      </c>
      <c r="BO372" t="s">
        <v>706</v>
      </c>
      <c r="BP372" t="s">
        <v>707</v>
      </c>
      <c r="BQ372" t="s">
        <v>708</v>
      </c>
    </row>
    <row r="373" spans="1:69" x14ac:dyDescent="0.4">
      <c r="A373" s="2" t="s">
        <v>399</v>
      </c>
      <c r="B373" t="str">
        <f>_xlfn.TEXTAFTER(Table1[[#This Row],[VEHIDCODE]],"_")</f>
        <v>Poland_PKP_ET41</v>
      </c>
      <c r="C373" t="s">
        <v>742</v>
      </c>
      <c r="D373" t="str">
        <f>"item_"&amp;Table1[[#This Row],[VEHIDCODE]]</f>
        <v>item_electric_Poland_PKP_ET41</v>
      </c>
      <c r="E373" t="str">
        <f>"str_"&amp;Table1[[#This Row],[VEHIDCODE]]</f>
        <v>str_electric_Poland_PKP_ET41</v>
      </c>
      <c r="F373">
        <v>14</v>
      </c>
      <c r="G373" t="s">
        <v>20</v>
      </c>
      <c r="H373">
        <v>0</v>
      </c>
      <c r="I373" t="s">
        <v>74</v>
      </c>
      <c r="J373">
        <v>0</v>
      </c>
      <c r="K373">
        <v>1977</v>
      </c>
      <c r="L373">
        <v>7</v>
      </c>
      <c r="M373" s="2" t="s">
        <v>20</v>
      </c>
      <c r="N373" t="b">
        <v>1</v>
      </c>
      <c r="P373" s="2"/>
      <c r="Q373">
        <v>45</v>
      </c>
      <c r="R373">
        <v>0</v>
      </c>
      <c r="S373">
        <v>5400</v>
      </c>
      <c r="T373" t="s">
        <v>710</v>
      </c>
      <c r="U373">
        <v>125</v>
      </c>
      <c r="V373" s="2">
        <v>0.6</v>
      </c>
      <c r="AE373"/>
      <c r="AZ373" s="2"/>
      <c r="BA373" s="7">
        <v>40</v>
      </c>
      <c r="BB373" t="s">
        <v>930</v>
      </c>
      <c r="BC373" t="s">
        <v>923</v>
      </c>
      <c r="BD373" t="s">
        <v>941</v>
      </c>
      <c r="BE373" t="str">
        <f>IF(OR(Table1[[#This Row],[ENGINE_CLASS]]="STEAM",Table1[[#This Row],[ENGINE_CLASS]]="ELECTRIC",Table1[[#This Row],[ENGINE_CLASS]]="DIESEL"),Table1[[#This Row],[ENGINE_CLASS]],"DISABLE")</f>
        <v>ELECTRIC</v>
      </c>
      <c r="BF373">
        <v>0</v>
      </c>
      <c r="BG373" t="s">
        <v>735</v>
      </c>
      <c r="BI373"/>
      <c r="BJ373">
        <v>167</v>
      </c>
      <c r="BK373">
        <v>0</v>
      </c>
      <c r="BL373" t="s">
        <v>693</v>
      </c>
      <c r="BM373" t="s">
        <v>695</v>
      </c>
      <c r="BN373" t="s">
        <v>702</v>
      </c>
      <c r="BO373" t="s">
        <v>706</v>
      </c>
      <c r="BP373" t="s">
        <v>707</v>
      </c>
      <c r="BQ373" t="s">
        <v>708</v>
      </c>
    </row>
    <row r="374" spans="1:69" x14ac:dyDescent="0.4">
      <c r="A374" s="2" t="s">
        <v>400</v>
      </c>
      <c r="B374" t="str">
        <f>_xlfn.TEXTAFTER(Table1[[#This Row],[VEHIDCODE]],"_")</f>
        <v>Poland_PKP_EP09</v>
      </c>
      <c r="C374" t="s">
        <v>742</v>
      </c>
      <c r="D374" t="str">
        <f>"item_"&amp;Table1[[#This Row],[VEHIDCODE]]</f>
        <v>item_electric_Poland_PKP_EP09</v>
      </c>
      <c r="E374" t="str">
        <f>"str_"&amp;Table1[[#This Row],[VEHIDCODE]]</f>
        <v>str_electric_Poland_PKP_EP09</v>
      </c>
      <c r="F374">
        <v>7</v>
      </c>
      <c r="G374" t="s">
        <v>20</v>
      </c>
      <c r="H374">
        <v>0</v>
      </c>
      <c r="I374" t="s">
        <v>74</v>
      </c>
      <c r="J374">
        <v>0</v>
      </c>
      <c r="K374">
        <v>1986</v>
      </c>
      <c r="L374">
        <v>7</v>
      </c>
      <c r="M374" s="2" t="s">
        <v>20</v>
      </c>
      <c r="N374" t="b">
        <v>1</v>
      </c>
      <c r="P374" s="2"/>
      <c r="Q374">
        <v>45</v>
      </c>
      <c r="R374">
        <v>1</v>
      </c>
      <c r="S374">
        <v>4452</v>
      </c>
      <c r="T374" t="s">
        <v>710</v>
      </c>
      <c r="U374">
        <v>160</v>
      </c>
      <c r="V374" s="2">
        <v>0.23</v>
      </c>
      <c r="AE374"/>
      <c r="AZ374" s="2"/>
      <c r="BA374" s="7">
        <v>40</v>
      </c>
      <c r="BB374" t="s">
        <v>930</v>
      </c>
      <c r="BC374" t="s">
        <v>923</v>
      </c>
      <c r="BD374" t="s">
        <v>941</v>
      </c>
      <c r="BE374" t="str">
        <f>IF(OR(Table1[[#This Row],[ENGINE_CLASS]]="STEAM",Table1[[#This Row],[ENGINE_CLASS]]="ELECTRIC",Table1[[#This Row],[ENGINE_CLASS]]="DIESEL"),Table1[[#This Row],[ENGINE_CLASS]],"DISABLE")</f>
        <v>ELECTRIC</v>
      </c>
      <c r="BF374">
        <v>0</v>
      </c>
      <c r="BG374" t="s">
        <v>735</v>
      </c>
      <c r="BI374"/>
      <c r="BJ374">
        <v>84</v>
      </c>
      <c r="BK374">
        <v>0</v>
      </c>
      <c r="BL374" t="s">
        <v>693</v>
      </c>
      <c r="BM374" t="s">
        <v>695</v>
      </c>
      <c r="BN374" t="s">
        <v>702</v>
      </c>
      <c r="BO374" t="s">
        <v>706</v>
      </c>
      <c r="BP374" t="s">
        <v>707</v>
      </c>
      <c r="BQ374" t="s">
        <v>708</v>
      </c>
    </row>
    <row r="375" spans="1:69" x14ac:dyDescent="0.4">
      <c r="A375" s="2" t="s">
        <v>401</v>
      </c>
      <c r="B375" t="str">
        <f>_xlfn.TEXTAFTER(Table1[[#This Row],[VEHIDCODE]],"_")</f>
        <v>Slovakia_ZSSK_162</v>
      </c>
      <c r="C375" t="s">
        <v>742</v>
      </c>
      <c r="D375" t="str">
        <f>"item_"&amp;Table1[[#This Row],[VEHIDCODE]]</f>
        <v>item_electric_Slovakia_ZSSK_162</v>
      </c>
      <c r="E375" t="str">
        <f>"str_"&amp;Table1[[#This Row],[VEHIDCODE]]</f>
        <v>str_electric_Slovakia_ZSSK_162</v>
      </c>
      <c r="F375">
        <v>7</v>
      </c>
      <c r="G375" t="s">
        <v>20</v>
      </c>
      <c r="H375">
        <v>0</v>
      </c>
      <c r="I375" t="s">
        <v>74</v>
      </c>
      <c r="J375">
        <v>0</v>
      </c>
      <c r="K375">
        <v>1991</v>
      </c>
      <c r="L375">
        <v>7</v>
      </c>
      <c r="M375" s="2" t="s">
        <v>20</v>
      </c>
      <c r="N375" t="b">
        <v>1</v>
      </c>
      <c r="P375" s="2"/>
      <c r="Q375">
        <v>45</v>
      </c>
      <c r="R375">
        <v>1</v>
      </c>
      <c r="S375">
        <v>4872</v>
      </c>
      <c r="T375" t="s">
        <v>710</v>
      </c>
      <c r="U375">
        <v>140</v>
      </c>
      <c r="V375" s="2">
        <v>0.3</v>
      </c>
      <c r="AE375"/>
      <c r="AZ375" s="2"/>
      <c r="BA375" s="7">
        <v>40</v>
      </c>
      <c r="BB375" t="s">
        <v>930</v>
      </c>
      <c r="BC375" t="s">
        <v>923</v>
      </c>
      <c r="BD375" t="s">
        <v>941</v>
      </c>
      <c r="BE375" t="str">
        <f>IF(OR(Table1[[#This Row],[ENGINE_CLASS]]="STEAM",Table1[[#This Row],[ENGINE_CLASS]]="ELECTRIC",Table1[[#This Row],[ENGINE_CLASS]]="DIESEL"),Table1[[#This Row],[ENGINE_CLASS]],"DISABLE")</f>
        <v>ELECTRIC</v>
      </c>
      <c r="BF375">
        <v>0</v>
      </c>
      <c r="BG375" t="s">
        <v>735</v>
      </c>
      <c r="BI375"/>
      <c r="BJ375">
        <v>85</v>
      </c>
      <c r="BK375">
        <v>0</v>
      </c>
      <c r="BL375" t="s">
        <v>693</v>
      </c>
      <c r="BM375" t="s">
        <v>695</v>
      </c>
      <c r="BN375" t="s">
        <v>702</v>
      </c>
      <c r="BO375" t="s">
        <v>706</v>
      </c>
      <c r="BP375" t="s">
        <v>707</v>
      </c>
      <c r="BQ375" t="s">
        <v>708</v>
      </c>
    </row>
    <row r="376" spans="1:69" x14ac:dyDescent="0.4">
      <c r="A376" s="2" t="s">
        <v>402</v>
      </c>
      <c r="B376" t="str">
        <f>_xlfn.TEXTAFTER(Table1[[#This Row],[VEHIDCODE]],"_")</f>
        <v>Italy_FS_E646</v>
      </c>
      <c r="C376" t="s">
        <v>742</v>
      </c>
      <c r="D376" t="str">
        <f>"item_"&amp;Table1[[#This Row],[VEHIDCODE]]</f>
        <v>item_electric_Italy_FS_E646</v>
      </c>
      <c r="E376" t="str">
        <f>"str_"&amp;Table1[[#This Row],[VEHIDCODE]]</f>
        <v>str_electric_Italy_FS_E646</v>
      </c>
      <c r="F376">
        <v>10</v>
      </c>
      <c r="G376" t="s">
        <v>20</v>
      </c>
      <c r="H376">
        <v>0</v>
      </c>
      <c r="I376" t="s">
        <v>74</v>
      </c>
      <c r="J376">
        <v>0</v>
      </c>
      <c r="K376">
        <v>1961</v>
      </c>
      <c r="L376">
        <v>5</v>
      </c>
      <c r="M376" s="2" t="s">
        <v>20</v>
      </c>
      <c r="N376" t="b">
        <v>1</v>
      </c>
      <c r="P376" s="2"/>
      <c r="Q376">
        <v>45</v>
      </c>
      <c r="R376">
        <v>1</v>
      </c>
      <c r="S376">
        <v>6610</v>
      </c>
      <c r="T376" t="s">
        <v>710</v>
      </c>
      <c r="U376">
        <v>140</v>
      </c>
      <c r="V376" s="2">
        <v>0.21</v>
      </c>
      <c r="AE376"/>
      <c r="AZ376" s="2"/>
      <c r="BA376" s="7">
        <v>40</v>
      </c>
      <c r="BB376" t="s">
        <v>925</v>
      </c>
      <c r="BC376" t="s">
        <v>923</v>
      </c>
      <c r="BD376" t="s">
        <v>941</v>
      </c>
      <c r="BE376" t="str">
        <f>IF(OR(Table1[[#This Row],[ENGINE_CLASS]]="STEAM",Table1[[#This Row],[ENGINE_CLASS]]="ELECTRIC",Table1[[#This Row],[ENGINE_CLASS]]="DIESEL"),Table1[[#This Row],[ENGINE_CLASS]],"DISABLE")</f>
        <v>ELECTRIC</v>
      </c>
      <c r="BF376">
        <v>0</v>
      </c>
      <c r="BG376" t="s">
        <v>735</v>
      </c>
      <c r="BI376"/>
      <c r="BJ376">
        <v>110</v>
      </c>
      <c r="BK376">
        <v>0</v>
      </c>
      <c r="BL376" t="s">
        <v>693</v>
      </c>
      <c r="BM376" t="s">
        <v>695</v>
      </c>
      <c r="BN376" t="s">
        <v>702</v>
      </c>
      <c r="BO376" t="s">
        <v>706</v>
      </c>
      <c r="BP376" t="s">
        <v>707</v>
      </c>
      <c r="BQ376" t="s">
        <v>708</v>
      </c>
    </row>
    <row r="377" spans="1:69" x14ac:dyDescent="0.4">
      <c r="A377" s="2" t="s">
        <v>403</v>
      </c>
      <c r="B377" t="str">
        <f>_xlfn.TEXTAFTER(Table1[[#This Row],[VEHIDCODE]],"_")</f>
        <v>Italy_FS_E424</v>
      </c>
      <c r="C377" t="s">
        <v>742</v>
      </c>
      <c r="D377" t="str">
        <f>"item_"&amp;Table1[[#This Row],[VEHIDCODE]]</f>
        <v>item_electric_Italy_FS_E424</v>
      </c>
      <c r="E377" t="str">
        <f>"str_"&amp;Table1[[#This Row],[VEHIDCODE]]</f>
        <v>str_electric_Italy_FS_E424</v>
      </c>
      <c r="F377">
        <v>8</v>
      </c>
      <c r="G377" t="s">
        <v>20</v>
      </c>
      <c r="H377">
        <v>0</v>
      </c>
      <c r="I377" t="s">
        <v>74</v>
      </c>
      <c r="J377">
        <v>0</v>
      </c>
      <c r="K377">
        <v>1943</v>
      </c>
      <c r="L377">
        <v>8</v>
      </c>
      <c r="M377" s="2" t="s">
        <v>20</v>
      </c>
      <c r="N377" t="b">
        <v>1</v>
      </c>
      <c r="P377" s="2"/>
      <c r="Q377">
        <v>45</v>
      </c>
      <c r="R377">
        <v>1</v>
      </c>
      <c r="S377">
        <v>2000</v>
      </c>
      <c r="T377" t="s">
        <v>710</v>
      </c>
      <c r="U377">
        <v>120</v>
      </c>
      <c r="V377" s="2">
        <v>0.26</v>
      </c>
      <c r="AE377"/>
      <c r="AZ377" s="2"/>
      <c r="BA377" s="7">
        <v>40</v>
      </c>
      <c r="BB377" t="s">
        <v>925</v>
      </c>
      <c r="BC377" t="s">
        <v>923</v>
      </c>
      <c r="BD377" t="s">
        <v>941</v>
      </c>
      <c r="BE377" t="str">
        <f>IF(OR(Table1[[#This Row],[ENGINE_CLASS]]="STEAM",Table1[[#This Row],[ENGINE_CLASS]]="ELECTRIC",Table1[[#This Row],[ENGINE_CLASS]]="DIESEL"),Table1[[#This Row],[ENGINE_CLASS]],"DISABLE")</f>
        <v>ELECTRIC</v>
      </c>
      <c r="BF377">
        <v>0</v>
      </c>
      <c r="BG377" t="s">
        <v>735</v>
      </c>
      <c r="BI377"/>
      <c r="BJ377">
        <v>65</v>
      </c>
      <c r="BK377">
        <v>0</v>
      </c>
      <c r="BL377" t="s">
        <v>693</v>
      </c>
      <c r="BM377" t="s">
        <v>695</v>
      </c>
      <c r="BN377" t="s">
        <v>702</v>
      </c>
      <c r="BO377" t="s">
        <v>706</v>
      </c>
      <c r="BP377" t="s">
        <v>707</v>
      </c>
      <c r="BQ377" t="s">
        <v>708</v>
      </c>
    </row>
    <row r="378" spans="1:69" x14ac:dyDescent="0.4">
      <c r="A378" s="2" t="s">
        <v>404</v>
      </c>
      <c r="B378" t="str">
        <f>_xlfn.TEXTAFTER(Table1[[#This Row],[VEHIDCODE]],"_")</f>
        <v>Italy_FS_E444</v>
      </c>
      <c r="C378" t="s">
        <v>742</v>
      </c>
      <c r="D378" t="str">
        <f>"item_"&amp;Table1[[#This Row],[VEHIDCODE]]</f>
        <v>item_electric_Italy_FS_E444</v>
      </c>
      <c r="E378" t="str">
        <f>"str_"&amp;Table1[[#This Row],[VEHIDCODE]]</f>
        <v>str_electric_Italy_FS_E444</v>
      </c>
      <c r="F378">
        <v>8</v>
      </c>
      <c r="G378" t="s">
        <v>20</v>
      </c>
      <c r="H378">
        <v>0</v>
      </c>
      <c r="I378" t="s">
        <v>74</v>
      </c>
      <c r="J378">
        <v>0</v>
      </c>
      <c r="K378">
        <v>1967</v>
      </c>
      <c r="L378">
        <v>8</v>
      </c>
      <c r="M378" s="2" t="s">
        <v>20</v>
      </c>
      <c r="N378" t="b">
        <v>1</v>
      </c>
      <c r="P378" s="2"/>
      <c r="Q378">
        <v>45</v>
      </c>
      <c r="R378">
        <v>1</v>
      </c>
      <c r="S378">
        <v>5729</v>
      </c>
      <c r="T378" t="s">
        <v>710</v>
      </c>
      <c r="U378">
        <v>200</v>
      </c>
      <c r="V378" s="2">
        <v>0.24</v>
      </c>
      <c r="AE378"/>
      <c r="AZ378" s="2"/>
      <c r="BA378" s="7">
        <v>40</v>
      </c>
      <c r="BB378" t="s">
        <v>925</v>
      </c>
      <c r="BC378" t="s">
        <v>923</v>
      </c>
      <c r="BD378" t="s">
        <v>941</v>
      </c>
      <c r="BE378" t="str">
        <f>IF(OR(Table1[[#This Row],[ENGINE_CLASS]]="STEAM",Table1[[#This Row],[ENGINE_CLASS]]="ELECTRIC",Table1[[#This Row],[ENGINE_CLASS]]="DIESEL"),Table1[[#This Row],[ENGINE_CLASS]],"DISABLE")</f>
        <v>ELECTRIC</v>
      </c>
      <c r="BF378">
        <v>0</v>
      </c>
      <c r="BG378" t="s">
        <v>735</v>
      </c>
      <c r="BI378"/>
      <c r="BJ378">
        <v>83</v>
      </c>
      <c r="BK378">
        <v>0</v>
      </c>
      <c r="BL378" t="s">
        <v>693</v>
      </c>
      <c r="BM378" t="s">
        <v>695</v>
      </c>
      <c r="BN378" t="s">
        <v>702</v>
      </c>
      <c r="BO378" t="s">
        <v>706</v>
      </c>
      <c r="BP378" t="s">
        <v>707</v>
      </c>
      <c r="BQ378" t="s">
        <v>708</v>
      </c>
    </row>
    <row r="379" spans="1:69" x14ac:dyDescent="0.4">
      <c r="A379" s="2" t="s">
        <v>405</v>
      </c>
      <c r="B379" t="str">
        <f>_xlfn.TEXTAFTER(Table1[[#This Row],[VEHIDCODE]],"_")</f>
        <v>Italy_FS_E633</v>
      </c>
      <c r="C379" t="s">
        <v>742</v>
      </c>
      <c r="D379" t="str">
        <f>"item_"&amp;Table1[[#This Row],[VEHIDCODE]]</f>
        <v>item_electric_Italy_FS_E633</v>
      </c>
      <c r="E379" t="str">
        <f>"str_"&amp;Table1[[#This Row],[VEHIDCODE]]</f>
        <v>str_electric_Italy_FS_E633</v>
      </c>
      <c r="F379">
        <v>8</v>
      </c>
      <c r="G379" t="s">
        <v>20</v>
      </c>
      <c r="H379">
        <v>0</v>
      </c>
      <c r="I379" t="s">
        <v>74</v>
      </c>
      <c r="J379">
        <v>0</v>
      </c>
      <c r="K379">
        <v>1979</v>
      </c>
      <c r="L379">
        <v>8</v>
      </c>
      <c r="M379" s="2" t="s">
        <v>20</v>
      </c>
      <c r="N379" t="b">
        <v>1</v>
      </c>
      <c r="P379" s="2"/>
      <c r="Q379">
        <v>45</v>
      </c>
      <c r="R379">
        <v>1</v>
      </c>
      <c r="S379">
        <v>5600</v>
      </c>
      <c r="T379" t="s">
        <v>710</v>
      </c>
      <c r="U379">
        <v>130</v>
      </c>
      <c r="V379" s="2">
        <v>0.27</v>
      </c>
      <c r="AE379"/>
      <c r="AZ379" s="2"/>
      <c r="BA379" s="7">
        <v>40</v>
      </c>
      <c r="BB379" t="s">
        <v>925</v>
      </c>
      <c r="BC379" t="s">
        <v>923</v>
      </c>
      <c r="BD379" t="s">
        <v>941</v>
      </c>
      <c r="BE379" t="str">
        <f>IF(OR(Table1[[#This Row],[ENGINE_CLASS]]="STEAM",Table1[[#This Row],[ENGINE_CLASS]]="ELECTRIC",Table1[[#This Row],[ENGINE_CLASS]]="DIESEL"),Table1[[#This Row],[ENGINE_CLASS]],"DISABLE")</f>
        <v>ELECTRIC</v>
      </c>
      <c r="BF379">
        <v>0</v>
      </c>
      <c r="BG379" t="s">
        <v>735</v>
      </c>
      <c r="BI379"/>
      <c r="BJ379">
        <v>103</v>
      </c>
      <c r="BK379">
        <v>0</v>
      </c>
      <c r="BL379" t="s">
        <v>693</v>
      </c>
      <c r="BM379" t="s">
        <v>695</v>
      </c>
      <c r="BN379" t="s">
        <v>702</v>
      </c>
      <c r="BO379" t="s">
        <v>706</v>
      </c>
      <c r="BP379" t="s">
        <v>707</v>
      </c>
      <c r="BQ379" t="s">
        <v>708</v>
      </c>
    </row>
    <row r="380" spans="1:69" x14ac:dyDescent="0.4">
      <c r="A380" s="2" t="s">
        <v>406</v>
      </c>
      <c r="B380" t="str">
        <f>_xlfn.TEXTAFTER(Table1[[#This Row],[VEHIDCODE]],"_")</f>
        <v>Belgium_NMBS_Class_255</v>
      </c>
      <c r="C380" t="s">
        <v>742</v>
      </c>
      <c r="D380" t="str">
        <f>"item_"&amp;Table1[[#This Row],[VEHIDCODE]]</f>
        <v>item_electric_Belgium_NMBS_Class_255</v>
      </c>
      <c r="E380" t="str">
        <f>"str_"&amp;Table1[[#This Row],[VEHIDCODE]]</f>
        <v>str_electric_Belgium_NMBS_Class_255</v>
      </c>
      <c r="F380">
        <v>8</v>
      </c>
      <c r="G380" t="s">
        <v>20</v>
      </c>
      <c r="H380">
        <v>0</v>
      </c>
      <c r="I380" t="s">
        <v>74</v>
      </c>
      <c r="J380">
        <v>0</v>
      </c>
      <c r="K380">
        <v>1960</v>
      </c>
      <c r="L380">
        <v>8</v>
      </c>
      <c r="M380" s="2" t="s">
        <v>20</v>
      </c>
      <c r="N380" t="b">
        <v>1</v>
      </c>
      <c r="P380" s="2"/>
      <c r="Q380">
        <v>45</v>
      </c>
      <c r="R380">
        <v>1</v>
      </c>
      <c r="S380">
        <v>2520</v>
      </c>
      <c r="T380" t="s">
        <v>710</v>
      </c>
      <c r="U380">
        <v>130</v>
      </c>
      <c r="V380" s="2">
        <v>0.23</v>
      </c>
      <c r="AE380"/>
      <c r="AZ380" s="2"/>
      <c r="BA380" s="7">
        <v>40</v>
      </c>
      <c r="BB380" t="s">
        <v>924</v>
      </c>
      <c r="BC380" t="s">
        <v>923</v>
      </c>
      <c r="BD380" t="s">
        <v>941</v>
      </c>
      <c r="BE380" t="str">
        <f>IF(OR(Table1[[#This Row],[ENGINE_CLASS]]="STEAM",Table1[[#This Row],[ENGINE_CLASS]]="ELECTRIC",Table1[[#This Row],[ENGINE_CLASS]]="DIESEL"),Table1[[#This Row],[ENGINE_CLASS]],"DISABLE")</f>
        <v>ELECTRIC</v>
      </c>
      <c r="BF380">
        <v>0</v>
      </c>
      <c r="BG380" t="s">
        <v>735</v>
      </c>
      <c r="BI380"/>
      <c r="BJ380">
        <v>85</v>
      </c>
      <c r="BK380">
        <v>0</v>
      </c>
      <c r="BL380" t="s">
        <v>693</v>
      </c>
      <c r="BM380" t="s">
        <v>695</v>
      </c>
      <c r="BN380" t="s">
        <v>702</v>
      </c>
      <c r="BO380" t="s">
        <v>706</v>
      </c>
      <c r="BP380" t="s">
        <v>707</v>
      </c>
      <c r="BQ380" t="s">
        <v>708</v>
      </c>
    </row>
    <row r="381" spans="1:69" x14ac:dyDescent="0.4">
      <c r="A381" s="2" t="s">
        <v>407</v>
      </c>
      <c r="B381" t="str">
        <f>_xlfn.TEXTAFTER(Table1[[#This Row],[VEHIDCODE]],"_")</f>
        <v>Spain_RENFE_250</v>
      </c>
      <c r="C381" t="s">
        <v>742</v>
      </c>
      <c r="D381" t="str">
        <f>"item_"&amp;Table1[[#This Row],[VEHIDCODE]]</f>
        <v>item_electric_Spain_RENFE_250</v>
      </c>
      <c r="E381" t="str">
        <f>"str_"&amp;Table1[[#This Row],[VEHIDCODE]]</f>
        <v>str_electric_Spain_RENFE_250</v>
      </c>
      <c r="F381">
        <v>8</v>
      </c>
      <c r="G381" t="s">
        <v>20</v>
      </c>
      <c r="H381">
        <v>0</v>
      </c>
      <c r="I381" t="s">
        <v>74</v>
      </c>
      <c r="J381">
        <v>0</v>
      </c>
      <c r="K381">
        <v>1982</v>
      </c>
      <c r="L381">
        <v>8</v>
      </c>
      <c r="M381" s="2" t="s">
        <v>20</v>
      </c>
      <c r="N381" t="b">
        <v>1</v>
      </c>
      <c r="P381" s="2"/>
      <c r="Q381">
        <v>45</v>
      </c>
      <c r="R381">
        <v>1</v>
      </c>
      <c r="S381">
        <v>6440</v>
      </c>
      <c r="T381" t="s">
        <v>710</v>
      </c>
      <c r="U381">
        <v>160</v>
      </c>
      <c r="V381" s="2">
        <v>0.16</v>
      </c>
      <c r="AE381"/>
      <c r="AZ381" s="2"/>
      <c r="BA381" s="7">
        <v>40</v>
      </c>
      <c r="BB381" t="s">
        <v>925</v>
      </c>
      <c r="BC381" t="s">
        <v>923</v>
      </c>
      <c r="BD381" t="s">
        <v>941</v>
      </c>
      <c r="BE381" t="str">
        <f>IF(OR(Table1[[#This Row],[ENGINE_CLASS]]="STEAM",Table1[[#This Row],[ENGINE_CLASS]]="ELECTRIC",Table1[[#This Row],[ENGINE_CLASS]]="DIESEL"),Table1[[#This Row],[ENGINE_CLASS]],"DISABLE")</f>
        <v>ELECTRIC</v>
      </c>
      <c r="BF381">
        <v>0</v>
      </c>
      <c r="BG381" t="s">
        <v>735</v>
      </c>
      <c r="BI381"/>
      <c r="BJ381">
        <v>124</v>
      </c>
      <c r="BK381">
        <v>0</v>
      </c>
      <c r="BL381" t="s">
        <v>693</v>
      </c>
      <c r="BM381" t="s">
        <v>695</v>
      </c>
      <c r="BN381" t="s">
        <v>702</v>
      </c>
      <c r="BO381" t="s">
        <v>706</v>
      </c>
      <c r="BP381" t="s">
        <v>707</v>
      </c>
      <c r="BQ381" t="s">
        <v>708</v>
      </c>
    </row>
    <row r="382" spans="1:69" x14ac:dyDescent="0.4">
      <c r="A382" s="2" t="s">
        <v>408</v>
      </c>
      <c r="B382" t="str">
        <f>_xlfn.TEXTAFTER(Table1[[#This Row],[VEHIDCODE]],"_")</f>
        <v>Chile_EFE_E_29</v>
      </c>
      <c r="C382" t="s">
        <v>742</v>
      </c>
      <c r="D382" t="str">
        <f>"item_"&amp;Table1[[#This Row],[VEHIDCODE]]</f>
        <v>item_electric_Chile_EFE_E_29</v>
      </c>
      <c r="E382" t="str">
        <f>"str_"&amp;Table1[[#This Row],[VEHIDCODE]]</f>
        <v>str_electric_Chile_EFE_E_29</v>
      </c>
      <c r="F382">
        <v>2</v>
      </c>
      <c r="G382" t="s">
        <v>20</v>
      </c>
      <c r="H382">
        <v>0</v>
      </c>
      <c r="I382" t="s">
        <v>74</v>
      </c>
      <c r="J382">
        <v>0</v>
      </c>
      <c r="K382">
        <v>1949</v>
      </c>
      <c r="L382">
        <v>8</v>
      </c>
      <c r="M382" s="2" t="s">
        <v>20</v>
      </c>
      <c r="N382" t="b">
        <v>1</v>
      </c>
      <c r="P382" s="2"/>
      <c r="Q382">
        <v>45</v>
      </c>
      <c r="R382">
        <v>1</v>
      </c>
      <c r="S382">
        <v>4500</v>
      </c>
      <c r="T382" t="s">
        <v>710</v>
      </c>
      <c r="U382">
        <v>120</v>
      </c>
      <c r="V382" s="2">
        <v>0.2</v>
      </c>
      <c r="AE382"/>
      <c r="AZ382" s="2"/>
      <c r="BA382" s="7">
        <v>40</v>
      </c>
      <c r="BB382" t="s">
        <v>931</v>
      </c>
      <c r="BC382" t="s">
        <v>923</v>
      </c>
      <c r="BD382" t="s">
        <v>941</v>
      </c>
      <c r="BE382" t="str">
        <f>IF(OR(Table1[[#This Row],[ENGINE_CLASS]]="STEAM",Table1[[#This Row],[ENGINE_CLASS]]="ELECTRIC",Table1[[#This Row],[ENGINE_CLASS]]="DIESEL"),Table1[[#This Row],[ENGINE_CLASS]],"DISABLE")</f>
        <v>ELECTRIC</v>
      </c>
      <c r="BF382">
        <v>0</v>
      </c>
      <c r="BG382" t="s">
        <v>735</v>
      </c>
      <c r="BI382"/>
      <c r="BJ382">
        <v>210</v>
      </c>
      <c r="BK382">
        <v>0</v>
      </c>
      <c r="BL382" t="s">
        <v>693</v>
      </c>
      <c r="BM382" t="s">
        <v>695</v>
      </c>
      <c r="BN382" t="s">
        <v>702</v>
      </c>
      <c r="BO382" t="s">
        <v>706</v>
      </c>
      <c r="BP382" t="s">
        <v>707</v>
      </c>
      <c r="BQ382" t="s">
        <v>708</v>
      </c>
    </row>
    <row r="383" spans="1:69" x14ac:dyDescent="0.4">
      <c r="A383" s="2" t="s">
        <v>409</v>
      </c>
      <c r="B383" t="str">
        <f>_xlfn.TEXTAFTER(Table1[[#This Row],[VEHIDCODE]],"_")</f>
        <v>Chile_EFE_E_17</v>
      </c>
      <c r="C383" t="s">
        <v>742</v>
      </c>
      <c r="D383" t="str">
        <f>"item_"&amp;Table1[[#This Row],[VEHIDCODE]]</f>
        <v>item_electric_Chile_EFE_E_17</v>
      </c>
      <c r="E383" t="str">
        <f>"str_"&amp;Table1[[#This Row],[VEHIDCODE]]</f>
        <v>str_electric_Chile_EFE_E_17</v>
      </c>
      <c r="F383">
        <v>6</v>
      </c>
      <c r="G383" t="s">
        <v>20</v>
      </c>
      <c r="H383">
        <v>0</v>
      </c>
      <c r="I383" t="s">
        <v>74</v>
      </c>
      <c r="J383">
        <v>0</v>
      </c>
      <c r="K383">
        <v>1974</v>
      </c>
      <c r="L383">
        <v>6</v>
      </c>
      <c r="M383" s="2" t="s">
        <v>24</v>
      </c>
      <c r="N383" t="b">
        <v>1</v>
      </c>
      <c r="P383" s="2"/>
      <c r="Q383">
        <v>45</v>
      </c>
      <c r="R383">
        <v>1</v>
      </c>
      <c r="S383">
        <v>1640</v>
      </c>
      <c r="T383" t="s">
        <v>710</v>
      </c>
      <c r="U383">
        <v>90</v>
      </c>
      <c r="V383" s="2">
        <v>0.24</v>
      </c>
      <c r="AE383"/>
      <c r="AZ383" s="2"/>
      <c r="BA383" s="7">
        <v>40</v>
      </c>
      <c r="BB383" t="s">
        <v>931</v>
      </c>
      <c r="BC383" t="s">
        <v>923</v>
      </c>
      <c r="BD383" t="s">
        <v>941</v>
      </c>
      <c r="BE383" t="str">
        <f>IF(OR(Table1[[#This Row],[ENGINE_CLASS]]="STEAM",Table1[[#This Row],[ENGINE_CLASS]]="ELECTRIC",Table1[[#This Row],[ENGINE_CLASS]]="DIESEL"),Table1[[#This Row],[ENGINE_CLASS]],"DISABLE")</f>
        <v>ELECTRIC</v>
      </c>
      <c r="BF383">
        <v>0</v>
      </c>
      <c r="BG383" t="s">
        <v>735</v>
      </c>
      <c r="BI383"/>
      <c r="BJ383">
        <v>79</v>
      </c>
      <c r="BK383">
        <v>0</v>
      </c>
      <c r="BL383" t="s">
        <v>693</v>
      </c>
      <c r="BM383" t="s">
        <v>695</v>
      </c>
      <c r="BN383" t="s">
        <v>702</v>
      </c>
      <c r="BO383" t="s">
        <v>706</v>
      </c>
      <c r="BP383" t="s">
        <v>707</v>
      </c>
      <c r="BQ383" t="s">
        <v>708</v>
      </c>
    </row>
    <row r="384" spans="1:69" x14ac:dyDescent="0.4">
      <c r="A384" s="2" t="s">
        <v>410</v>
      </c>
      <c r="B384" t="str">
        <f>_xlfn.TEXTAFTER(Table1[[#This Row],[VEHIDCODE]],"_")</f>
        <v>Morocco_ONCF_E_700</v>
      </c>
      <c r="C384" t="s">
        <v>742</v>
      </c>
      <c r="D384" t="str">
        <f>"item_"&amp;Table1[[#This Row],[VEHIDCODE]]</f>
        <v>item_electric_Morocco_ONCF_E_700</v>
      </c>
      <c r="E384" t="str">
        <f>"str_"&amp;Table1[[#This Row],[VEHIDCODE]]</f>
        <v>str_electric_Morocco_ONCF_E_700</v>
      </c>
      <c r="F384">
        <v>6</v>
      </c>
      <c r="G384" t="s">
        <v>20</v>
      </c>
      <c r="H384">
        <v>0</v>
      </c>
      <c r="I384" t="s">
        <v>74</v>
      </c>
      <c r="J384">
        <v>0</v>
      </c>
      <c r="K384">
        <v>1948</v>
      </c>
      <c r="L384">
        <v>6</v>
      </c>
      <c r="M384" s="2" t="s">
        <v>20</v>
      </c>
      <c r="N384" t="b">
        <v>1</v>
      </c>
      <c r="P384" s="2"/>
      <c r="Q384">
        <v>45</v>
      </c>
      <c r="R384">
        <v>1</v>
      </c>
      <c r="S384">
        <v>1710</v>
      </c>
      <c r="T384" t="s">
        <v>710</v>
      </c>
      <c r="U384">
        <v>115</v>
      </c>
      <c r="V384" s="2">
        <v>0.17</v>
      </c>
      <c r="AE384"/>
      <c r="AZ384" s="2"/>
      <c r="BA384" s="7">
        <v>40</v>
      </c>
      <c r="BB384" t="s">
        <v>927</v>
      </c>
      <c r="BC384" t="s">
        <v>923</v>
      </c>
      <c r="BD384" t="s">
        <v>941</v>
      </c>
      <c r="BE384" t="str">
        <f>IF(OR(Table1[[#This Row],[ENGINE_CLASS]]="STEAM",Table1[[#This Row],[ENGINE_CLASS]]="ELECTRIC",Table1[[#This Row],[ENGINE_CLASS]]="DIESEL"),Table1[[#This Row],[ENGINE_CLASS]],"DISABLE")</f>
        <v>ELECTRIC</v>
      </c>
      <c r="BF384">
        <v>0</v>
      </c>
      <c r="BG384" t="s">
        <v>735</v>
      </c>
      <c r="BI384"/>
      <c r="BJ384">
        <v>92</v>
      </c>
      <c r="BK384">
        <v>0</v>
      </c>
      <c r="BL384" t="s">
        <v>693</v>
      </c>
      <c r="BM384" t="s">
        <v>695</v>
      </c>
      <c r="BN384" t="s">
        <v>702</v>
      </c>
      <c r="BO384" t="s">
        <v>706</v>
      </c>
      <c r="BP384" t="s">
        <v>707</v>
      </c>
      <c r="BQ384" t="s">
        <v>708</v>
      </c>
    </row>
    <row r="385" spans="1:69" x14ac:dyDescent="0.4">
      <c r="A385" s="2" t="s">
        <v>411</v>
      </c>
      <c r="B385" t="str">
        <f>_xlfn.TEXTAFTER(Table1[[#This Row],[VEHIDCODE]],"_")</f>
        <v>India_Indian_Railways_WCM_1</v>
      </c>
      <c r="C385" t="s">
        <v>742</v>
      </c>
      <c r="D385" t="str">
        <f>"item_"&amp;Table1[[#This Row],[VEHIDCODE]]</f>
        <v>item_electric_India_Indian_Railways_WCM_1</v>
      </c>
      <c r="E385" t="str">
        <f>"str_"&amp;Table1[[#This Row],[VEHIDCODE]]</f>
        <v>str_electric_India_Indian_Railways_WCM_1</v>
      </c>
      <c r="F385">
        <v>8</v>
      </c>
      <c r="G385" t="s">
        <v>20</v>
      </c>
      <c r="H385">
        <v>0</v>
      </c>
      <c r="I385" t="s">
        <v>74</v>
      </c>
      <c r="J385">
        <v>0</v>
      </c>
      <c r="K385">
        <v>1958</v>
      </c>
      <c r="L385">
        <v>8</v>
      </c>
      <c r="M385" s="2" t="s">
        <v>20</v>
      </c>
      <c r="N385" t="b">
        <v>1</v>
      </c>
      <c r="P385" s="2"/>
      <c r="Q385">
        <v>45</v>
      </c>
      <c r="R385">
        <v>1</v>
      </c>
      <c r="S385">
        <v>3700</v>
      </c>
      <c r="T385" t="s">
        <v>710</v>
      </c>
      <c r="U385">
        <v>104</v>
      </c>
      <c r="V385" s="2">
        <v>0.25</v>
      </c>
      <c r="AE385"/>
      <c r="AZ385" s="2"/>
      <c r="BA385" s="7">
        <v>40</v>
      </c>
      <c r="BB385" t="s">
        <v>932</v>
      </c>
      <c r="BC385" t="s">
        <v>923</v>
      </c>
      <c r="BD385" t="s">
        <v>941</v>
      </c>
      <c r="BE385" t="str">
        <f>IF(OR(Table1[[#This Row],[ENGINE_CLASS]]="STEAM",Table1[[#This Row],[ENGINE_CLASS]]="ELECTRIC",Table1[[#This Row],[ENGINE_CLASS]]="DIESEL"),Table1[[#This Row],[ENGINE_CLASS]],"DISABLE")</f>
        <v>ELECTRIC</v>
      </c>
      <c r="BF385">
        <v>-3</v>
      </c>
      <c r="BG385" t="s">
        <v>735</v>
      </c>
      <c r="BI385"/>
      <c r="BJ385">
        <v>124</v>
      </c>
      <c r="BK385">
        <v>0</v>
      </c>
      <c r="BL385" t="s">
        <v>693</v>
      </c>
      <c r="BM385" t="s">
        <v>695</v>
      </c>
      <c r="BN385" t="s">
        <v>702</v>
      </c>
      <c r="BO385" t="s">
        <v>706</v>
      </c>
      <c r="BP385" t="s">
        <v>707</v>
      </c>
      <c r="BQ385" t="s">
        <v>708</v>
      </c>
    </row>
    <row r="386" spans="1:69" x14ac:dyDescent="0.4">
      <c r="A386" s="2" t="s">
        <v>412</v>
      </c>
      <c r="B386" t="str">
        <f>_xlfn.TEXTAFTER(Table1[[#This Row],[VEHIDCODE]],"_")</f>
        <v>South_Africa_SAR_E38</v>
      </c>
      <c r="C386" t="s">
        <v>742</v>
      </c>
      <c r="D386" t="str">
        <f>"item_"&amp;Table1[[#This Row],[VEHIDCODE]]</f>
        <v>item_electric_South_Africa_SAR_E38</v>
      </c>
      <c r="E386" t="str">
        <f>"str_"&amp;Table1[[#This Row],[VEHIDCODE]]</f>
        <v>str_electric_South_Africa_SAR_E38</v>
      </c>
      <c r="F386">
        <v>6</v>
      </c>
      <c r="G386" t="s">
        <v>20</v>
      </c>
      <c r="H386">
        <v>0</v>
      </c>
      <c r="I386" t="s">
        <v>74</v>
      </c>
      <c r="J386">
        <v>0</v>
      </c>
      <c r="K386">
        <v>1992</v>
      </c>
      <c r="L386">
        <v>6</v>
      </c>
      <c r="M386" s="2" t="s">
        <v>24</v>
      </c>
      <c r="N386" t="b">
        <v>1</v>
      </c>
      <c r="P386" s="2"/>
      <c r="Q386">
        <v>45</v>
      </c>
      <c r="R386">
        <v>1</v>
      </c>
      <c r="S386">
        <v>2028</v>
      </c>
      <c r="T386" t="s">
        <v>710</v>
      </c>
      <c r="U386">
        <v>100</v>
      </c>
      <c r="V386" s="2">
        <v>0.24</v>
      </c>
      <c r="AE386"/>
      <c r="AZ386" s="2"/>
      <c r="BA386" s="7">
        <v>40</v>
      </c>
      <c r="BB386" t="s">
        <v>927</v>
      </c>
      <c r="BC386" t="s">
        <v>923</v>
      </c>
      <c r="BD386" t="s">
        <v>941</v>
      </c>
      <c r="BE386" t="str">
        <f>IF(OR(Table1[[#This Row],[ENGINE_CLASS]]="STEAM",Table1[[#This Row],[ENGINE_CLASS]]="ELECTRIC",Table1[[#This Row],[ENGINE_CLASS]]="DIESEL"),Table1[[#This Row],[ENGINE_CLASS]],"DISABLE")</f>
        <v>ELECTRIC</v>
      </c>
      <c r="BF386">
        <v>0</v>
      </c>
      <c r="BG386" t="s">
        <v>735</v>
      </c>
      <c r="BI386"/>
      <c r="BJ386">
        <v>74</v>
      </c>
      <c r="BK386">
        <v>0</v>
      </c>
      <c r="BL386" t="s">
        <v>693</v>
      </c>
      <c r="BM386" t="s">
        <v>695</v>
      </c>
      <c r="BN386" t="s">
        <v>702</v>
      </c>
      <c r="BO386" t="s">
        <v>706</v>
      </c>
      <c r="BP386" t="s">
        <v>707</v>
      </c>
      <c r="BQ386" t="s">
        <v>708</v>
      </c>
    </row>
    <row r="387" spans="1:69" x14ac:dyDescent="0.4">
      <c r="A387" s="2" t="s">
        <v>413</v>
      </c>
      <c r="B387" t="str">
        <f>_xlfn.TEXTAFTER(Table1[[#This Row],[VEHIDCODE]],"_")</f>
        <v>Chile_EFE_E_269</v>
      </c>
      <c r="C387" t="s">
        <v>742</v>
      </c>
      <c r="D387" t="str">
        <f>"item_"&amp;Table1[[#This Row],[VEHIDCODE]]</f>
        <v>item_electric_Chile_EFE_E_269</v>
      </c>
      <c r="E387" t="str">
        <f>"str_"&amp;Table1[[#This Row],[VEHIDCODE]]</f>
        <v>str_electric_Chile_EFE_E_269</v>
      </c>
      <c r="F387">
        <v>7</v>
      </c>
      <c r="G387" t="s">
        <v>20</v>
      </c>
      <c r="H387">
        <v>0</v>
      </c>
      <c r="I387" t="s">
        <v>74</v>
      </c>
      <c r="J387">
        <v>0</v>
      </c>
      <c r="K387">
        <v>1980</v>
      </c>
      <c r="L387">
        <v>7</v>
      </c>
      <c r="M387" s="2" t="s">
        <v>20</v>
      </c>
      <c r="N387" t="b">
        <v>1</v>
      </c>
      <c r="P387" s="2"/>
      <c r="Q387">
        <v>45</v>
      </c>
      <c r="R387">
        <v>1</v>
      </c>
      <c r="S387">
        <v>4340</v>
      </c>
      <c r="T387" t="s">
        <v>710</v>
      </c>
      <c r="U387">
        <v>160</v>
      </c>
      <c r="V387" s="2">
        <v>0.16</v>
      </c>
      <c r="AE387"/>
      <c r="AZ387" s="2"/>
      <c r="BA387" s="7">
        <v>40</v>
      </c>
      <c r="BB387" t="s">
        <v>931</v>
      </c>
      <c r="BC387" t="s">
        <v>923</v>
      </c>
      <c r="BD387" t="s">
        <v>941</v>
      </c>
      <c r="BE387" t="str">
        <f>IF(OR(Table1[[#This Row],[ENGINE_CLASS]]="STEAM",Table1[[#This Row],[ENGINE_CLASS]]="ELECTRIC",Table1[[#This Row],[ENGINE_CLASS]]="DIESEL"),Table1[[#This Row],[ENGINE_CLASS]],"DISABLE")</f>
        <v>ELECTRIC</v>
      </c>
      <c r="BF387">
        <v>0</v>
      </c>
      <c r="BG387" t="s">
        <v>735</v>
      </c>
      <c r="BI387"/>
      <c r="BJ387">
        <v>88</v>
      </c>
      <c r="BK387">
        <v>0</v>
      </c>
      <c r="BL387" t="s">
        <v>693</v>
      </c>
      <c r="BM387" t="s">
        <v>695</v>
      </c>
      <c r="BN387" t="s">
        <v>702</v>
      </c>
      <c r="BO387" t="s">
        <v>706</v>
      </c>
      <c r="BP387" t="s">
        <v>707</v>
      </c>
      <c r="BQ387" t="s">
        <v>708</v>
      </c>
    </row>
    <row r="388" spans="1:69" x14ac:dyDescent="0.4">
      <c r="A388" s="2" t="s">
        <v>414</v>
      </c>
      <c r="B388" t="str">
        <f>_xlfn.TEXTAFTER(Table1[[#This Row],[VEHIDCODE]],"_")</f>
        <v>Czech_Republic_CD_363</v>
      </c>
      <c r="C388" t="s">
        <v>742</v>
      </c>
      <c r="D388" t="str">
        <f>"item_"&amp;Table1[[#This Row],[VEHIDCODE]]</f>
        <v>item_electric_Czech_Republic_CD_363</v>
      </c>
      <c r="E388" t="str">
        <f>"str_"&amp;Table1[[#This Row],[VEHIDCODE]]</f>
        <v>str_electric_Czech_Republic_CD_363</v>
      </c>
      <c r="F388">
        <v>7</v>
      </c>
      <c r="G388" t="s">
        <v>20</v>
      </c>
      <c r="H388">
        <v>0</v>
      </c>
      <c r="I388" t="s">
        <v>74</v>
      </c>
      <c r="J388">
        <v>0</v>
      </c>
      <c r="K388">
        <v>1980</v>
      </c>
      <c r="L388">
        <v>7</v>
      </c>
      <c r="M388" s="2" t="s">
        <v>20</v>
      </c>
      <c r="N388" t="b">
        <v>1</v>
      </c>
      <c r="P388" s="2"/>
      <c r="Q388">
        <v>45</v>
      </c>
      <c r="R388">
        <v>1</v>
      </c>
      <c r="S388">
        <v>4667</v>
      </c>
      <c r="T388" t="s">
        <v>710</v>
      </c>
      <c r="U388">
        <v>120</v>
      </c>
      <c r="V388" s="2">
        <v>0.3</v>
      </c>
      <c r="AE388"/>
      <c r="AZ388" s="2"/>
      <c r="BA388" s="7">
        <v>40</v>
      </c>
      <c r="BB388" t="s">
        <v>930</v>
      </c>
      <c r="BC388" t="s">
        <v>923</v>
      </c>
      <c r="BD388" t="s">
        <v>941</v>
      </c>
      <c r="BE388" t="str">
        <f>IF(OR(Table1[[#This Row],[ENGINE_CLASS]]="STEAM",Table1[[#This Row],[ENGINE_CLASS]]="ELECTRIC",Table1[[#This Row],[ENGINE_CLASS]]="DIESEL"),Table1[[#This Row],[ENGINE_CLASS]],"DISABLE")</f>
        <v>ELECTRIC</v>
      </c>
      <c r="BF388">
        <v>0</v>
      </c>
      <c r="BG388" t="s">
        <v>735</v>
      </c>
      <c r="BI388"/>
      <c r="BJ388">
        <v>87</v>
      </c>
      <c r="BK388">
        <v>0</v>
      </c>
      <c r="BL388" t="s">
        <v>693</v>
      </c>
      <c r="BM388" t="s">
        <v>695</v>
      </c>
      <c r="BN388" t="s">
        <v>702</v>
      </c>
      <c r="BO388" t="s">
        <v>706</v>
      </c>
      <c r="BP388" t="s">
        <v>707</v>
      </c>
      <c r="BQ388" t="s">
        <v>708</v>
      </c>
    </row>
    <row r="389" spans="1:69" x14ac:dyDescent="0.4">
      <c r="A389" s="2" t="s">
        <v>415</v>
      </c>
      <c r="B389" t="str">
        <f>_xlfn.TEXTAFTER(Table1[[#This Row],[VEHIDCODE]],"_")</f>
        <v>Norway_NSB_EL7</v>
      </c>
      <c r="C389" t="s">
        <v>742</v>
      </c>
      <c r="D389" t="str">
        <f>"item_"&amp;Table1[[#This Row],[VEHIDCODE]]</f>
        <v>item_electric_Norway_NSB_EL7</v>
      </c>
      <c r="E389" t="str">
        <f>"str_"&amp;Table1[[#This Row],[VEHIDCODE]]</f>
        <v>str_electric_Norway_NSB_EL7</v>
      </c>
      <c r="F389">
        <v>6</v>
      </c>
      <c r="G389" t="s">
        <v>20</v>
      </c>
      <c r="H389">
        <v>0</v>
      </c>
      <c r="I389" t="s">
        <v>74</v>
      </c>
      <c r="J389">
        <v>0</v>
      </c>
      <c r="K389">
        <v>1911</v>
      </c>
      <c r="L389">
        <v>6</v>
      </c>
      <c r="M389" s="2" t="s">
        <v>20</v>
      </c>
      <c r="N389" t="b">
        <v>1</v>
      </c>
      <c r="P389" s="2"/>
      <c r="Q389">
        <v>45</v>
      </c>
      <c r="R389">
        <v>0</v>
      </c>
      <c r="S389">
        <v>490</v>
      </c>
      <c r="T389" t="s">
        <v>710</v>
      </c>
      <c r="U389">
        <v>45</v>
      </c>
      <c r="V389" s="2">
        <v>0.22</v>
      </c>
      <c r="Y389" t="b">
        <v>1</v>
      </c>
      <c r="AE389"/>
      <c r="AZ389" s="2"/>
      <c r="BA389" s="7">
        <v>40</v>
      </c>
      <c r="BB389" t="s">
        <v>928</v>
      </c>
      <c r="BC389" t="s">
        <v>923</v>
      </c>
      <c r="BD389" t="s">
        <v>941</v>
      </c>
      <c r="BE389" t="str">
        <f>IF(OR(Table1[[#This Row],[ENGINE_CLASS]]="STEAM",Table1[[#This Row],[ENGINE_CLASS]]="ELECTRIC",Table1[[#This Row],[ENGINE_CLASS]]="DIESEL"),Table1[[#This Row],[ENGINE_CLASS]],"DISABLE")</f>
        <v>ELECTRIC</v>
      </c>
      <c r="BF389">
        <v>-3</v>
      </c>
      <c r="BG389" t="s">
        <v>735</v>
      </c>
      <c r="BI389"/>
      <c r="BJ389">
        <v>48</v>
      </c>
      <c r="BK389">
        <v>0</v>
      </c>
      <c r="BL389" t="s">
        <v>693</v>
      </c>
      <c r="BM389" t="s">
        <v>695</v>
      </c>
      <c r="BN389" t="s">
        <v>702</v>
      </c>
      <c r="BO389" t="s">
        <v>706</v>
      </c>
      <c r="BP389" t="s">
        <v>707</v>
      </c>
      <c r="BQ389" t="s">
        <v>708</v>
      </c>
    </row>
    <row r="390" spans="1:69" x14ac:dyDescent="0.4">
      <c r="A390" s="2" t="s">
        <v>416</v>
      </c>
      <c r="B390" t="str">
        <f>_xlfn.TEXTAFTER(Table1[[#This Row],[VEHIDCODE]],"_")</f>
        <v>USA_Pennsylvania_Railroad_FF_1</v>
      </c>
      <c r="C390" t="s">
        <v>742</v>
      </c>
      <c r="D390" t="str">
        <f>"item_"&amp;Table1[[#This Row],[VEHIDCODE]]</f>
        <v>item_electric_USA_Pennsylvania_Railroad_FF_1</v>
      </c>
      <c r="E390" t="str">
        <f>"str_"&amp;Table1[[#This Row],[VEHIDCODE]]</f>
        <v>str_electric_USA_Pennsylvania_Railroad_FF_1</v>
      </c>
      <c r="F390">
        <v>4</v>
      </c>
      <c r="G390" t="s">
        <v>20</v>
      </c>
      <c r="H390">
        <v>0</v>
      </c>
      <c r="I390" t="s">
        <v>74</v>
      </c>
      <c r="J390">
        <v>0</v>
      </c>
      <c r="K390">
        <v>1916</v>
      </c>
      <c r="L390">
        <v>8</v>
      </c>
      <c r="M390" s="2" t="s">
        <v>20</v>
      </c>
      <c r="N390" t="b">
        <v>1</v>
      </c>
      <c r="P390" s="2"/>
      <c r="Q390">
        <v>45</v>
      </c>
      <c r="R390">
        <v>1</v>
      </c>
      <c r="S390">
        <v>4800</v>
      </c>
      <c r="T390" t="s">
        <v>710</v>
      </c>
      <c r="U390">
        <v>40</v>
      </c>
      <c r="V390" s="2">
        <v>0.17</v>
      </c>
      <c r="Y390" t="b">
        <v>1</v>
      </c>
      <c r="AE390"/>
      <c r="AZ390" s="2"/>
      <c r="BA390" s="7">
        <v>40</v>
      </c>
      <c r="BB390" t="s">
        <v>929</v>
      </c>
      <c r="BC390" t="s">
        <v>923</v>
      </c>
      <c r="BD390" t="s">
        <v>941</v>
      </c>
      <c r="BE390" t="str">
        <f>IF(OR(Table1[[#This Row],[ENGINE_CLASS]]="STEAM",Table1[[#This Row],[ENGINE_CLASS]]="ELECTRIC",Table1[[#This Row],[ENGINE_CLASS]]="DIESEL"),Table1[[#This Row],[ENGINE_CLASS]],"DISABLE")</f>
        <v>ELECTRIC</v>
      </c>
      <c r="BF390">
        <v>0</v>
      </c>
      <c r="BG390" t="s">
        <v>735</v>
      </c>
      <c r="BI390"/>
      <c r="BJ390">
        <v>234</v>
      </c>
      <c r="BK390">
        <v>0</v>
      </c>
      <c r="BL390" t="s">
        <v>693</v>
      </c>
      <c r="BM390" t="s">
        <v>695</v>
      </c>
      <c r="BN390" t="s">
        <v>702</v>
      </c>
      <c r="BO390" t="s">
        <v>706</v>
      </c>
      <c r="BP390" t="s">
        <v>707</v>
      </c>
      <c r="BQ390" t="s">
        <v>708</v>
      </c>
    </row>
    <row r="391" spans="1:69" x14ac:dyDescent="0.4">
      <c r="A391" s="2" t="s">
        <v>417</v>
      </c>
      <c r="B391" t="str">
        <f>_xlfn.TEXTAFTER(Table1[[#This Row],[VEHIDCODE]],"_")</f>
        <v>Austria_OBB_1161</v>
      </c>
      <c r="C391" t="s">
        <v>742</v>
      </c>
      <c r="D391" t="str">
        <f>"item_"&amp;Table1[[#This Row],[VEHIDCODE]]</f>
        <v>item_electric_Austria_OBB_1161</v>
      </c>
      <c r="E391" t="str">
        <f>"str_"&amp;Table1[[#This Row],[VEHIDCODE]]</f>
        <v>str_electric_Austria_OBB_1161</v>
      </c>
      <c r="F391">
        <v>5</v>
      </c>
      <c r="G391" t="s">
        <v>20</v>
      </c>
      <c r="H391">
        <v>0</v>
      </c>
      <c r="I391" t="s">
        <v>74</v>
      </c>
      <c r="J391">
        <v>0</v>
      </c>
      <c r="K391">
        <v>1928</v>
      </c>
      <c r="L391">
        <v>5</v>
      </c>
      <c r="M391" s="2" t="s">
        <v>20</v>
      </c>
      <c r="N391" t="b">
        <v>1</v>
      </c>
      <c r="P391" s="2"/>
      <c r="Q391">
        <v>45</v>
      </c>
      <c r="R391">
        <v>1</v>
      </c>
      <c r="S391">
        <v>1000</v>
      </c>
      <c r="T391" t="s">
        <v>710</v>
      </c>
      <c r="U391">
        <v>40</v>
      </c>
      <c r="V391" s="2">
        <v>0.25</v>
      </c>
      <c r="Y391" t="b">
        <v>1</v>
      </c>
      <c r="AE391"/>
      <c r="AZ391" s="2"/>
      <c r="BA391" s="7">
        <v>40</v>
      </c>
      <c r="BB391" t="s">
        <v>924</v>
      </c>
      <c r="BC391" t="s">
        <v>923</v>
      </c>
      <c r="BD391" t="s">
        <v>941</v>
      </c>
      <c r="BE391" t="str">
        <f>IF(OR(Table1[[#This Row],[ENGINE_CLASS]]="STEAM",Table1[[#This Row],[ENGINE_CLASS]]="ELECTRIC",Table1[[#This Row],[ENGINE_CLASS]]="DIESEL"),Table1[[#This Row],[ENGINE_CLASS]],"DISABLE")</f>
        <v>ELECTRIC</v>
      </c>
      <c r="BF391">
        <v>-3</v>
      </c>
      <c r="BG391" t="s">
        <v>735</v>
      </c>
      <c r="BI391"/>
      <c r="BJ391">
        <v>55</v>
      </c>
      <c r="BK391">
        <v>0</v>
      </c>
      <c r="BL391" t="s">
        <v>693</v>
      </c>
      <c r="BM391" t="s">
        <v>695</v>
      </c>
      <c r="BN391" t="s">
        <v>702</v>
      </c>
      <c r="BO391" t="s">
        <v>706</v>
      </c>
      <c r="BP391" t="s">
        <v>707</v>
      </c>
      <c r="BQ391" t="s">
        <v>708</v>
      </c>
    </row>
    <row r="392" spans="1:69" x14ac:dyDescent="0.4">
      <c r="A392" s="2" t="s">
        <v>418</v>
      </c>
      <c r="B392" t="str">
        <f>_xlfn.TEXTAFTER(Table1[[#This Row],[VEHIDCODE]],"_")</f>
        <v>Germany_DB_169</v>
      </c>
      <c r="C392" t="s">
        <v>742</v>
      </c>
      <c r="D392" t="str">
        <f>"item_"&amp;Table1[[#This Row],[VEHIDCODE]]</f>
        <v>item_electric_Germany_DB_169</v>
      </c>
      <c r="E392" t="str">
        <f>"str_"&amp;Table1[[#This Row],[VEHIDCODE]]</f>
        <v>str_electric_Germany_DB_169</v>
      </c>
      <c r="F392">
        <v>6</v>
      </c>
      <c r="G392" t="s">
        <v>20</v>
      </c>
      <c r="H392">
        <v>0</v>
      </c>
      <c r="I392" t="s">
        <v>74</v>
      </c>
      <c r="J392">
        <v>0</v>
      </c>
      <c r="K392">
        <v>1930</v>
      </c>
      <c r="L392">
        <v>6</v>
      </c>
      <c r="M392" s="2" t="s">
        <v>20</v>
      </c>
      <c r="N392" t="b">
        <v>1</v>
      </c>
      <c r="P392" s="2"/>
      <c r="Q392">
        <v>45</v>
      </c>
      <c r="R392">
        <v>1</v>
      </c>
      <c r="S392">
        <v>810</v>
      </c>
      <c r="T392" t="s">
        <v>710</v>
      </c>
      <c r="U392">
        <v>50</v>
      </c>
      <c r="V392" s="2">
        <v>0.28999999999999998</v>
      </c>
      <c r="Y392" t="b">
        <v>1</v>
      </c>
      <c r="AE392"/>
      <c r="AZ392" s="2"/>
      <c r="BA392" s="7">
        <v>40</v>
      </c>
      <c r="BB392" t="s">
        <v>924</v>
      </c>
      <c r="BC392" t="s">
        <v>923</v>
      </c>
      <c r="BD392" t="s">
        <v>941</v>
      </c>
      <c r="BE392" t="str">
        <f>IF(OR(Table1[[#This Row],[ENGINE_CLASS]]="STEAM",Table1[[#This Row],[ENGINE_CLASS]]="ELECTRIC",Table1[[#This Row],[ENGINE_CLASS]]="DIESEL"),Table1[[#This Row],[ENGINE_CLASS]],"DISABLE")</f>
        <v>ELECTRIC</v>
      </c>
      <c r="BF392">
        <v>-3</v>
      </c>
      <c r="BG392" t="s">
        <v>735</v>
      </c>
      <c r="BI392"/>
      <c r="BJ392">
        <v>32</v>
      </c>
      <c r="BK392">
        <v>0</v>
      </c>
      <c r="BL392" t="s">
        <v>693</v>
      </c>
      <c r="BM392" t="s">
        <v>695</v>
      </c>
      <c r="BN392" t="s">
        <v>702</v>
      </c>
      <c r="BO392" t="s">
        <v>706</v>
      </c>
      <c r="BP392" t="s">
        <v>707</v>
      </c>
      <c r="BQ392" t="s">
        <v>708</v>
      </c>
    </row>
    <row r="393" spans="1:69" x14ac:dyDescent="0.4">
      <c r="A393" s="2" t="s">
        <v>419</v>
      </c>
      <c r="B393" t="str">
        <f>_xlfn.TEXTAFTER(Table1[[#This Row],[VEHIDCODE]],"_")</f>
        <v>Norway_NSB_EL10</v>
      </c>
      <c r="C393" t="s">
        <v>742</v>
      </c>
      <c r="D393" t="str">
        <f>"item_"&amp;Table1[[#This Row],[VEHIDCODE]]</f>
        <v>item_electric_Norway_NSB_EL10</v>
      </c>
      <c r="E393" t="str">
        <f>"str_"&amp;Table1[[#This Row],[VEHIDCODE]]</f>
        <v>str_electric_Norway_NSB_EL10</v>
      </c>
      <c r="F393">
        <v>6</v>
      </c>
      <c r="G393" t="s">
        <v>20</v>
      </c>
      <c r="H393">
        <v>0</v>
      </c>
      <c r="I393" t="s">
        <v>74</v>
      </c>
      <c r="J393">
        <v>0</v>
      </c>
      <c r="K393">
        <v>1931</v>
      </c>
      <c r="L393">
        <v>6</v>
      </c>
      <c r="M393" s="2" t="s">
        <v>20</v>
      </c>
      <c r="N393" t="b">
        <v>1</v>
      </c>
      <c r="P393" s="2"/>
      <c r="Q393">
        <v>45</v>
      </c>
      <c r="R393">
        <v>0</v>
      </c>
      <c r="S393">
        <v>690</v>
      </c>
      <c r="T393" t="s">
        <v>710</v>
      </c>
      <c r="U393">
        <v>45</v>
      </c>
      <c r="V393" s="2">
        <v>0.3</v>
      </c>
      <c r="Y393" t="b">
        <v>1</v>
      </c>
      <c r="AE393"/>
      <c r="AZ393" s="2"/>
      <c r="BA393" s="7">
        <v>40</v>
      </c>
      <c r="BB393" t="s">
        <v>928</v>
      </c>
      <c r="BC393" t="s">
        <v>923</v>
      </c>
      <c r="BD393" t="s">
        <v>941</v>
      </c>
      <c r="BE393" t="str">
        <f>IF(OR(Table1[[#This Row],[ENGINE_CLASS]]="STEAM",Table1[[#This Row],[ENGINE_CLASS]]="ELECTRIC",Table1[[#This Row],[ENGINE_CLASS]]="DIESEL"),Table1[[#This Row],[ENGINE_CLASS]],"DISABLE")</f>
        <v>ELECTRIC</v>
      </c>
      <c r="BF393">
        <v>-3</v>
      </c>
      <c r="BG393" t="s">
        <v>735</v>
      </c>
      <c r="BI393"/>
      <c r="BJ393">
        <v>47</v>
      </c>
      <c r="BK393">
        <v>0</v>
      </c>
      <c r="BL393" t="s">
        <v>693</v>
      </c>
      <c r="BM393" t="s">
        <v>695</v>
      </c>
      <c r="BN393" t="s">
        <v>702</v>
      </c>
      <c r="BO393" t="s">
        <v>706</v>
      </c>
      <c r="BP393" t="s">
        <v>707</v>
      </c>
      <c r="BQ393" t="s">
        <v>708</v>
      </c>
    </row>
    <row r="394" spans="1:69" x14ac:dyDescent="0.4">
      <c r="A394" s="2" t="s">
        <v>420</v>
      </c>
      <c r="B394" t="str">
        <f>_xlfn.TEXTAFTER(Table1[[#This Row],[VEHIDCODE]],"_")</f>
        <v>Germany_DB_104</v>
      </c>
      <c r="C394" t="s">
        <v>742</v>
      </c>
      <c r="D394" t="str">
        <f>"item_"&amp;Table1[[#This Row],[VEHIDCODE]]</f>
        <v>item_electric_Germany_DB_104</v>
      </c>
      <c r="E394" t="str">
        <f>"str_"&amp;Table1[[#This Row],[VEHIDCODE]]</f>
        <v>str_electric_Germany_DB_104</v>
      </c>
      <c r="F394">
        <v>8</v>
      </c>
      <c r="G394" t="s">
        <v>20</v>
      </c>
      <c r="H394">
        <v>0</v>
      </c>
      <c r="I394" t="s">
        <v>74</v>
      </c>
      <c r="J394">
        <v>0</v>
      </c>
      <c r="K394">
        <v>1933</v>
      </c>
      <c r="L394">
        <v>8</v>
      </c>
      <c r="M394" s="2" t="s">
        <v>20</v>
      </c>
      <c r="N394" t="b">
        <v>1</v>
      </c>
      <c r="P394" s="2"/>
      <c r="Q394">
        <v>45</v>
      </c>
      <c r="R394">
        <v>1</v>
      </c>
      <c r="S394">
        <v>2935</v>
      </c>
      <c r="T394" t="s">
        <v>710</v>
      </c>
      <c r="U394">
        <v>110</v>
      </c>
      <c r="V394" s="2">
        <v>0.3</v>
      </c>
      <c r="Y394" t="b">
        <v>1</v>
      </c>
      <c r="AE394"/>
      <c r="AZ394" s="2"/>
      <c r="BA394" s="7">
        <v>40</v>
      </c>
      <c r="BB394" t="s">
        <v>924</v>
      </c>
      <c r="BC394" t="s">
        <v>923</v>
      </c>
      <c r="BD394" t="s">
        <v>941</v>
      </c>
      <c r="BE394" t="str">
        <f>IF(OR(Table1[[#This Row],[ENGINE_CLASS]]="STEAM",Table1[[#This Row],[ENGINE_CLASS]]="ELECTRIC",Table1[[#This Row],[ENGINE_CLASS]]="DIESEL"),Table1[[#This Row],[ENGINE_CLASS]],"DISABLE")</f>
        <v>ELECTRIC</v>
      </c>
      <c r="BF394">
        <v>-3</v>
      </c>
      <c r="BG394" t="s">
        <v>735</v>
      </c>
      <c r="BI394"/>
      <c r="BJ394">
        <v>92</v>
      </c>
      <c r="BK394">
        <v>0</v>
      </c>
      <c r="BL394" t="s">
        <v>693</v>
      </c>
      <c r="BM394" t="s">
        <v>695</v>
      </c>
      <c r="BN394" t="s">
        <v>702</v>
      </c>
      <c r="BO394" t="s">
        <v>706</v>
      </c>
      <c r="BP394" t="s">
        <v>707</v>
      </c>
      <c r="BQ394" t="s">
        <v>708</v>
      </c>
    </row>
    <row r="395" spans="1:69" x14ac:dyDescent="0.4">
      <c r="A395" s="2" t="s">
        <v>421</v>
      </c>
      <c r="B395" t="str">
        <f>_xlfn.TEXTAFTER(Table1[[#This Row],[VEHIDCODE]],"_")</f>
        <v>USA_Pennsylvania_Railroad_GG_1</v>
      </c>
      <c r="C395" t="s">
        <v>742</v>
      </c>
      <c r="D395" t="str">
        <f>"item_"&amp;Table1[[#This Row],[VEHIDCODE]]</f>
        <v>item_electric_USA_Pennsylvania_Railroad_GG_1</v>
      </c>
      <c r="E395" t="str">
        <f>"str_"&amp;Table1[[#This Row],[VEHIDCODE]]</f>
        <v>str_electric_USA_Pennsylvania_Railroad_GG_1</v>
      </c>
      <c r="F395">
        <v>4</v>
      </c>
      <c r="G395" t="s">
        <v>20</v>
      </c>
      <c r="H395">
        <v>0</v>
      </c>
      <c r="I395" t="s">
        <v>74</v>
      </c>
      <c r="J395">
        <v>0</v>
      </c>
      <c r="K395">
        <v>1935</v>
      </c>
      <c r="L395">
        <v>8</v>
      </c>
      <c r="M395" s="2" t="s">
        <v>20</v>
      </c>
      <c r="N395" t="b">
        <v>1</v>
      </c>
      <c r="P395" s="2"/>
      <c r="Q395">
        <v>45</v>
      </c>
      <c r="R395">
        <v>1</v>
      </c>
      <c r="S395">
        <v>4620</v>
      </c>
      <c r="T395" t="s">
        <v>710</v>
      </c>
      <c r="U395">
        <v>160</v>
      </c>
      <c r="V395" s="2">
        <v>0.15</v>
      </c>
      <c r="Y395" t="b">
        <v>1</v>
      </c>
      <c r="AE395"/>
      <c r="AZ395" s="2"/>
      <c r="BA395" s="7">
        <v>40</v>
      </c>
      <c r="BB395" t="s">
        <v>929</v>
      </c>
      <c r="BC395" t="s">
        <v>923</v>
      </c>
      <c r="BD395" t="s">
        <v>941</v>
      </c>
      <c r="BE395" t="str">
        <f>IF(OR(Table1[[#This Row],[ENGINE_CLASS]]="STEAM",Table1[[#This Row],[ENGINE_CLASS]]="ELECTRIC",Table1[[#This Row],[ENGINE_CLASS]]="DIESEL"),Table1[[#This Row],[ENGINE_CLASS]],"DISABLE")</f>
        <v>ELECTRIC</v>
      </c>
      <c r="BF395">
        <v>0</v>
      </c>
      <c r="BG395" t="s">
        <v>735</v>
      </c>
      <c r="BI395"/>
      <c r="BJ395">
        <v>215</v>
      </c>
      <c r="BK395">
        <v>0</v>
      </c>
      <c r="BL395" t="s">
        <v>693</v>
      </c>
      <c r="BM395" t="s">
        <v>695</v>
      </c>
      <c r="BN395" t="s">
        <v>702</v>
      </c>
      <c r="BO395" t="s">
        <v>706</v>
      </c>
      <c r="BP395" t="s">
        <v>707</v>
      </c>
      <c r="BQ395" t="s">
        <v>708</v>
      </c>
    </row>
    <row r="396" spans="1:69" x14ac:dyDescent="0.4">
      <c r="A396" s="2" t="s">
        <v>422</v>
      </c>
      <c r="B396" t="str">
        <f>_xlfn.TEXTAFTER(Table1[[#This Row],[VEHIDCODE]],"_")</f>
        <v>Austria_OBB_1020_Crocodile</v>
      </c>
      <c r="C396" t="s">
        <v>742</v>
      </c>
      <c r="D396" t="str">
        <f>"item_"&amp;Table1[[#This Row],[VEHIDCODE]]</f>
        <v>item_electric_Austria_OBB_1020_Crocodile</v>
      </c>
      <c r="E396" t="str">
        <f>"str_"&amp;Table1[[#This Row],[VEHIDCODE]]</f>
        <v>str_electric_Austria_OBB_1020_Crocodile</v>
      </c>
      <c r="F396">
        <v>8</v>
      </c>
      <c r="G396" t="s">
        <v>20</v>
      </c>
      <c r="H396">
        <v>0</v>
      </c>
      <c r="I396" t="s">
        <v>74</v>
      </c>
      <c r="J396">
        <v>0</v>
      </c>
      <c r="K396">
        <v>1940</v>
      </c>
      <c r="L396">
        <v>8</v>
      </c>
      <c r="M396" s="2" t="s">
        <v>20</v>
      </c>
      <c r="N396" t="b">
        <v>1</v>
      </c>
      <c r="P396" s="2"/>
      <c r="Q396">
        <v>45</v>
      </c>
      <c r="R396">
        <v>1</v>
      </c>
      <c r="S396">
        <v>4400</v>
      </c>
      <c r="T396" t="s">
        <v>710</v>
      </c>
      <c r="U396">
        <v>100</v>
      </c>
      <c r="V396" s="2">
        <v>0.31</v>
      </c>
      <c r="Y396" t="b">
        <v>1</v>
      </c>
      <c r="AE396"/>
      <c r="AZ396" s="2"/>
      <c r="BA396" s="7">
        <v>40</v>
      </c>
      <c r="BB396" t="s">
        <v>924</v>
      </c>
      <c r="BC396" t="s">
        <v>923</v>
      </c>
      <c r="BD396" t="s">
        <v>941</v>
      </c>
      <c r="BE396" t="str">
        <f>IF(OR(Table1[[#This Row],[ENGINE_CLASS]]="STEAM",Table1[[#This Row],[ENGINE_CLASS]]="ELECTRIC",Table1[[#This Row],[ENGINE_CLASS]]="DIESEL"),Table1[[#This Row],[ENGINE_CLASS]],"DISABLE")</f>
        <v>ELECTRIC</v>
      </c>
      <c r="BF396">
        <v>-3</v>
      </c>
      <c r="BG396" t="s">
        <v>735</v>
      </c>
      <c r="BI396"/>
      <c r="BJ396">
        <v>118</v>
      </c>
      <c r="BK396">
        <v>0</v>
      </c>
      <c r="BL396" t="s">
        <v>693</v>
      </c>
      <c r="BM396" t="s">
        <v>695</v>
      </c>
      <c r="BN396" t="s">
        <v>702</v>
      </c>
      <c r="BO396" t="s">
        <v>706</v>
      </c>
      <c r="BP396" t="s">
        <v>707</v>
      </c>
      <c r="BQ396" t="s">
        <v>708</v>
      </c>
    </row>
    <row r="397" spans="1:69" x14ac:dyDescent="0.4">
      <c r="A397" s="2" t="s">
        <v>423</v>
      </c>
      <c r="B397" t="str">
        <f>_xlfn.TEXTAFTER(Table1[[#This Row],[VEHIDCODE]],"_")</f>
        <v>Germany_DB_1031</v>
      </c>
      <c r="C397" t="s">
        <v>742</v>
      </c>
      <c r="D397" t="str">
        <f>"item_"&amp;Table1[[#This Row],[VEHIDCODE]]</f>
        <v>item_electric_Germany_DB_1031</v>
      </c>
      <c r="E397" t="str">
        <f>"str_"&amp;Table1[[#This Row],[VEHIDCODE]]</f>
        <v>str_electric_Germany_DB_1031</v>
      </c>
      <c r="F397">
        <v>8</v>
      </c>
      <c r="G397" t="s">
        <v>20</v>
      </c>
      <c r="H397">
        <v>0</v>
      </c>
      <c r="I397" t="s">
        <v>74</v>
      </c>
      <c r="J397">
        <v>0</v>
      </c>
      <c r="K397">
        <v>1970</v>
      </c>
      <c r="L397">
        <v>8</v>
      </c>
      <c r="M397" s="2" t="s">
        <v>20</v>
      </c>
      <c r="N397" t="b">
        <v>1</v>
      </c>
      <c r="P397" s="2"/>
      <c r="Q397">
        <v>45</v>
      </c>
      <c r="R397">
        <v>1</v>
      </c>
      <c r="S397">
        <v>9980</v>
      </c>
      <c r="T397" t="s">
        <v>710</v>
      </c>
      <c r="U397">
        <v>200</v>
      </c>
      <c r="V397" s="2">
        <v>0.27</v>
      </c>
      <c r="Y397" t="b">
        <v>1</v>
      </c>
      <c r="AE397"/>
      <c r="AZ397" s="2"/>
      <c r="BA397" s="7">
        <v>40</v>
      </c>
      <c r="BB397" t="s">
        <v>924</v>
      </c>
      <c r="BC397" t="s">
        <v>923</v>
      </c>
      <c r="BD397" t="s">
        <v>941</v>
      </c>
      <c r="BE397" t="str">
        <f>IF(OR(Table1[[#This Row],[ENGINE_CLASS]]="STEAM",Table1[[#This Row],[ENGINE_CLASS]]="ELECTRIC",Table1[[#This Row],[ENGINE_CLASS]]="DIESEL"),Table1[[#This Row],[ENGINE_CLASS]],"DISABLE")</f>
        <v>ELECTRIC</v>
      </c>
      <c r="BF397">
        <v>-3</v>
      </c>
      <c r="BG397" t="s">
        <v>735</v>
      </c>
      <c r="BI397"/>
      <c r="BJ397">
        <v>114</v>
      </c>
      <c r="BK397">
        <v>0</v>
      </c>
      <c r="BL397" t="s">
        <v>693</v>
      </c>
      <c r="BM397" t="s">
        <v>695</v>
      </c>
      <c r="BN397" t="s">
        <v>702</v>
      </c>
      <c r="BO397" t="s">
        <v>706</v>
      </c>
      <c r="BP397" t="s">
        <v>707</v>
      </c>
      <c r="BQ397" t="s">
        <v>708</v>
      </c>
    </row>
    <row r="398" spans="1:69" x14ac:dyDescent="0.4">
      <c r="A398" s="2" t="s">
        <v>424</v>
      </c>
      <c r="B398" t="str">
        <f>_xlfn.TEXTAFTER(Table1[[#This Row],[VEHIDCODE]],"_")</f>
        <v>Germany_DB_E_919</v>
      </c>
      <c r="C398" t="s">
        <v>742</v>
      </c>
      <c r="D398" t="str">
        <f>"item_"&amp;Table1[[#This Row],[VEHIDCODE]]</f>
        <v>item_electric_Germany_DB_E_919</v>
      </c>
      <c r="E398" t="str">
        <f>"str_"&amp;Table1[[#This Row],[VEHIDCODE]]</f>
        <v>str_electric_Germany_DB_E_919</v>
      </c>
      <c r="F398">
        <v>8</v>
      </c>
      <c r="G398" t="s">
        <v>20</v>
      </c>
      <c r="H398">
        <v>0</v>
      </c>
      <c r="I398" t="s">
        <v>74</v>
      </c>
      <c r="J398">
        <v>0</v>
      </c>
      <c r="K398">
        <v>1925</v>
      </c>
      <c r="L398">
        <v>8</v>
      </c>
      <c r="M398" s="2" t="s">
        <v>20</v>
      </c>
      <c r="N398" t="b">
        <v>1</v>
      </c>
      <c r="P398" s="2"/>
      <c r="Q398">
        <v>45</v>
      </c>
      <c r="R398">
        <v>1</v>
      </c>
      <c r="S398">
        <v>2230</v>
      </c>
      <c r="T398" t="s">
        <v>710</v>
      </c>
      <c r="U398">
        <v>55</v>
      </c>
      <c r="V398" s="2">
        <v>0.24</v>
      </c>
      <c r="Y398" t="b">
        <v>1</v>
      </c>
      <c r="AE398"/>
      <c r="AZ398" s="2"/>
      <c r="BA398" s="7">
        <v>40</v>
      </c>
      <c r="BB398" t="s">
        <v>924</v>
      </c>
      <c r="BC398" t="s">
        <v>923</v>
      </c>
      <c r="BD398" t="s">
        <v>941</v>
      </c>
      <c r="BE398" t="str">
        <f>IF(OR(Table1[[#This Row],[ENGINE_CLASS]]="STEAM",Table1[[#This Row],[ENGINE_CLASS]]="ELECTRIC",Table1[[#This Row],[ENGINE_CLASS]]="DIESEL"),Table1[[#This Row],[ENGINE_CLASS]],"DISABLE")</f>
        <v>ELECTRIC</v>
      </c>
      <c r="BF398">
        <v>0</v>
      </c>
      <c r="BG398" t="s">
        <v>735</v>
      </c>
      <c r="BI398"/>
      <c r="BJ398">
        <v>124</v>
      </c>
      <c r="BK398">
        <v>0</v>
      </c>
      <c r="BL398" t="s">
        <v>693</v>
      </c>
      <c r="BM398" t="s">
        <v>695</v>
      </c>
      <c r="BN398" t="s">
        <v>702</v>
      </c>
      <c r="BO398" t="s">
        <v>706</v>
      </c>
      <c r="BP398" t="s">
        <v>707</v>
      </c>
      <c r="BQ398" t="s">
        <v>708</v>
      </c>
    </row>
    <row r="399" spans="1:69" x14ac:dyDescent="0.4">
      <c r="A399" s="2" t="s">
        <v>425</v>
      </c>
      <c r="B399" t="str">
        <f>_xlfn.TEXTAFTER(Table1[[#This Row],[VEHIDCODE]],"_")</f>
        <v>Switzerland_BLS_Ce_4_4</v>
      </c>
      <c r="C399" t="s">
        <v>742</v>
      </c>
      <c r="D399" t="str">
        <f>"item_"&amp;Table1[[#This Row],[VEHIDCODE]]</f>
        <v>item_electric_Switzerland_BLS_Ce_4_4</v>
      </c>
      <c r="E399" t="str">
        <f>"str_"&amp;Table1[[#This Row],[VEHIDCODE]]</f>
        <v>str_electric_Switzerland_BLS_Ce_4_4</v>
      </c>
      <c r="F399">
        <v>5</v>
      </c>
      <c r="G399" t="s">
        <v>20</v>
      </c>
      <c r="H399">
        <v>0</v>
      </c>
      <c r="I399" t="s">
        <v>74</v>
      </c>
      <c r="J399">
        <v>0</v>
      </c>
      <c r="K399">
        <v>1954</v>
      </c>
      <c r="L399">
        <v>5</v>
      </c>
      <c r="M399" s="2" t="s">
        <v>20</v>
      </c>
      <c r="N399" t="b">
        <v>1</v>
      </c>
      <c r="P399" s="2"/>
      <c r="Q399">
        <v>45</v>
      </c>
      <c r="R399">
        <v>1</v>
      </c>
      <c r="S399">
        <v>1001</v>
      </c>
      <c r="T399" t="s">
        <v>710</v>
      </c>
      <c r="U399">
        <v>65</v>
      </c>
      <c r="V399" s="2">
        <v>0.17</v>
      </c>
      <c r="Y399" t="b">
        <v>1</v>
      </c>
      <c r="AE399"/>
      <c r="AZ399" s="2"/>
      <c r="BA399" s="7">
        <v>40</v>
      </c>
      <c r="BB399" t="s">
        <v>924</v>
      </c>
      <c r="BC399" t="s">
        <v>923</v>
      </c>
      <c r="BD399" t="s">
        <v>941</v>
      </c>
      <c r="BE399" t="str">
        <f>IF(OR(Table1[[#This Row],[ENGINE_CLASS]]="STEAM",Table1[[#This Row],[ENGINE_CLASS]]="ELECTRIC",Table1[[#This Row],[ENGINE_CLASS]]="DIESEL"),Table1[[#This Row],[ENGINE_CLASS]],"DISABLE")</f>
        <v>ELECTRIC</v>
      </c>
      <c r="BF399">
        <v>-3</v>
      </c>
      <c r="BG399" t="s">
        <v>735</v>
      </c>
      <c r="BI399"/>
      <c r="BJ399">
        <v>65</v>
      </c>
      <c r="BK399">
        <v>0</v>
      </c>
      <c r="BL399" t="s">
        <v>693</v>
      </c>
      <c r="BM399" t="s">
        <v>695</v>
      </c>
      <c r="BN399" t="s">
        <v>702</v>
      </c>
      <c r="BO399" t="s">
        <v>706</v>
      </c>
      <c r="BP399" t="s">
        <v>707</v>
      </c>
      <c r="BQ399" t="s">
        <v>708</v>
      </c>
    </row>
    <row r="400" spans="1:69" x14ac:dyDescent="0.4">
      <c r="A400" s="2" t="s">
        <v>426</v>
      </c>
      <c r="B400" t="str">
        <f>_xlfn.TEXTAFTER(Table1[[#This Row],[VEHIDCODE]],"_")</f>
        <v>Switzerland_SBB_Ae_6_6</v>
      </c>
      <c r="C400" t="s">
        <v>742</v>
      </c>
      <c r="D400" t="str">
        <f>"item_"&amp;Table1[[#This Row],[VEHIDCODE]]</f>
        <v>item_electric_Switzerland_SBB_Ae_6_6</v>
      </c>
      <c r="E400" t="str">
        <f>"str_"&amp;Table1[[#This Row],[VEHIDCODE]]</f>
        <v>str_electric_Switzerland_SBB_Ae_6_6</v>
      </c>
      <c r="F400">
        <v>8</v>
      </c>
      <c r="G400" t="s">
        <v>20</v>
      </c>
      <c r="H400">
        <v>0</v>
      </c>
      <c r="I400" t="s">
        <v>74</v>
      </c>
      <c r="J400">
        <v>0</v>
      </c>
      <c r="K400">
        <v>1955</v>
      </c>
      <c r="L400">
        <v>8</v>
      </c>
      <c r="M400" s="2" t="s">
        <v>20</v>
      </c>
      <c r="N400" t="b">
        <v>1</v>
      </c>
      <c r="P400" s="2"/>
      <c r="Q400">
        <v>45</v>
      </c>
      <c r="R400">
        <v>1</v>
      </c>
      <c r="S400">
        <v>5842</v>
      </c>
      <c r="T400" t="s">
        <v>710</v>
      </c>
      <c r="U400">
        <v>125</v>
      </c>
      <c r="V400" s="2">
        <v>0.33</v>
      </c>
      <c r="Y400" t="b">
        <v>1</v>
      </c>
      <c r="AE400"/>
      <c r="AZ400" s="2"/>
      <c r="BA400" s="7">
        <v>40</v>
      </c>
      <c r="BB400" t="s">
        <v>924</v>
      </c>
      <c r="BC400" t="s">
        <v>923</v>
      </c>
      <c r="BD400" t="s">
        <v>941</v>
      </c>
      <c r="BE400" t="str">
        <f>IF(OR(Table1[[#This Row],[ENGINE_CLASS]]="STEAM",Table1[[#This Row],[ENGINE_CLASS]]="ELECTRIC",Table1[[#This Row],[ENGINE_CLASS]]="DIESEL"),Table1[[#This Row],[ENGINE_CLASS]],"DISABLE")</f>
        <v>ELECTRIC</v>
      </c>
      <c r="BF400">
        <v>-3</v>
      </c>
      <c r="BG400" t="s">
        <v>735</v>
      </c>
      <c r="BI400"/>
      <c r="BJ400">
        <v>120</v>
      </c>
      <c r="BK400">
        <v>0</v>
      </c>
      <c r="BL400" t="s">
        <v>693</v>
      </c>
      <c r="BM400" t="s">
        <v>695</v>
      </c>
      <c r="BN400" t="s">
        <v>702</v>
      </c>
      <c r="BO400" t="s">
        <v>706</v>
      </c>
      <c r="BP400" t="s">
        <v>707</v>
      </c>
      <c r="BQ400" t="s">
        <v>708</v>
      </c>
    </row>
    <row r="401" spans="1:69" x14ac:dyDescent="0.4">
      <c r="A401" s="2" t="s">
        <v>427</v>
      </c>
      <c r="B401" t="str">
        <f>_xlfn.TEXTAFTER(Table1[[#This Row],[VEHIDCODE]],"_")</f>
        <v>Switzerland_SBB_Re460_Lok_2000</v>
      </c>
      <c r="C401" t="s">
        <v>742</v>
      </c>
      <c r="D401" t="str">
        <f>"item_"&amp;Table1[[#This Row],[VEHIDCODE]]</f>
        <v>item_electric_Switzerland_SBB_Re460_Lok_2000</v>
      </c>
      <c r="E401" t="str">
        <f>"str_"&amp;Table1[[#This Row],[VEHIDCODE]]</f>
        <v>str_electric_Switzerland_SBB_Re460_Lok_2000</v>
      </c>
      <c r="F401">
        <v>8</v>
      </c>
      <c r="G401" t="s">
        <v>20</v>
      </c>
      <c r="H401">
        <v>0</v>
      </c>
      <c r="I401" t="s">
        <v>74</v>
      </c>
      <c r="J401">
        <v>0</v>
      </c>
      <c r="K401">
        <v>1991</v>
      </c>
      <c r="L401">
        <v>8</v>
      </c>
      <c r="M401" s="2" t="s">
        <v>20</v>
      </c>
      <c r="N401" t="b">
        <v>1</v>
      </c>
      <c r="P401" s="2"/>
      <c r="Q401" t="s">
        <v>21</v>
      </c>
      <c r="R401">
        <v>1</v>
      </c>
      <c r="S401">
        <v>8174</v>
      </c>
      <c r="T401" t="s">
        <v>710</v>
      </c>
      <c r="U401">
        <v>230</v>
      </c>
      <c r="V401" s="2">
        <v>0.36</v>
      </c>
      <c r="Y401" t="b">
        <v>1</v>
      </c>
      <c r="AE401"/>
      <c r="AZ401" s="2"/>
      <c r="BA401" s="7">
        <v>40</v>
      </c>
      <c r="BB401" t="s">
        <v>924</v>
      </c>
      <c r="BC401" t="s">
        <v>923</v>
      </c>
      <c r="BD401" t="s">
        <v>941</v>
      </c>
      <c r="BE401" t="str">
        <f>IF(OR(Table1[[#This Row],[ENGINE_CLASS]]="STEAM",Table1[[#This Row],[ENGINE_CLASS]]="ELECTRIC",Table1[[#This Row],[ENGINE_CLASS]]="DIESEL"),Table1[[#This Row],[ENGINE_CLASS]],"DISABLE")</f>
        <v>ELECTRIC</v>
      </c>
      <c r="BF401">
        <v>-3</v>
      </c>
      <c r="BG401" t="s">
        <v>735</v>
      </c>
      <c r="BI401"/>
      <c r="BJ401">
        <v>84</v>
      </c>
      <c r="BK401">
        <v>0</v>
      </c>
      <c r="BL401" t="s">
        <v>693</v>
      </c>
      <c r="BM401" t="s">
        <v>695</v>
      </c>
      <c r="BN401" t="s">
        <v>702</v>
      </c>
      <c r="BO401" t="s">
        <v>706</v>
      </c>
      <c r="BP401" t="s">
        <v>707</v>
      </c>
      <c r="BQ401" t="s">
        <v>708</v>
      </c>
    </row>
    <row r="402" spans="1:69" x14ac:dyDescent="0.4">
      <c r="A402" s="2" t="s">
        <v>428</v>
      </c>
      <c r="B402" t="str">
        <f>_xlfn.TEXTAFTER(Table1[[#This Row],[VEHIDCODE]],"_")</f>
        <v>Switzerland_SBB_Eem_923</v>
      </c>
      <c r="C402" t="s">
        <v>742</v>
      </c>
      <c r="D402" t="str">
        <f>"item_"&amp;Table1[[#This Row],[VEHIDCODE]]</f>
        <v>item_electric_Switzerland_SBB_Eem_923</v>
      </c>
      <c r="E402" t="str">
        <f>"str_"&amp;Table1[[#This Row],[VEHIDCODE]]</f>
        <v>str_electric_Switzerland_SBB_Eem_923</v>
      </c>
      <c r="F402">
        <v>5</v>
      </c>
      <c r="G402" t="s">
        <v>20</v>
      </c>
      <c r="H402">
        <v>0</v>
      </c>
      <c r="I402" t="s">
        <v>74</v>
      </c>
      <c r="J402">
        <v>0</v>
      </c>
      <c r="K402">
        <v>2012</v>
      </c>
      <c r="L402">
        <v>5</v>
      </c>
      <c r="M402" s="2" t="s">
        <v>20</v>
      </c>
      <c r="N402" t="b">
        <v>1</v>
      </c>
      <c r="P402" s="2"/>
      <c r="Q402" t="s">
        <v>21</v>
      </c>
      <c r="R402">
        <v>1</v>
      </c>
      <c r="S402">
        <v>1000</v>
      </c>
      <c r="T402" t="s">
        <v>710</v>
      </c>
      <c r="U402">
        <v>100</v>
      </c>
      <c r="V402" s="2">
        <v>0.27</v>
      </c>
      <c r="Y402" t="b">
        <v>1</v>
      </c>
      <c r="AE402"/>
      <c r="AZ402" s="2"/>
      <c r="BA402" s="7">
        <v>40</v>
      </c>
      <c r="BB402" t="s">
        <v>924</v>
      </c>
      <c r="BC402" t="s">
        <v>923</v>
      </c>
      <c r="BD402" t="s">
        <v>941</v>
      </c>
      <c r="BE402" t="str">
        <f>IF(OR(Table1[[#This Row],[ENGINE_CLASS]]="STEAM",Table1[[#This Row],[ENGINE_CLASS]]="ELECTRIC",Table1[[#This Row],[ENGINE_CLASS]]="DIESEL"),Table1[[#This Row],[ENGINE_CLASS]],"DISABLE")</f>
        <v>ELECTRIC</v>
      </c>
      <c r="BF402">
        <v>-3</v>
      </c>
      <c r="BG402" t="s">
        <v>735</v>
      </c>
      <c r="BI402"/>
      <c r="BJ402">
        <v>45</v>
      </c>
      <c r="BK402">
        <v>0</v>
      </c>
      <c r="BL402" t="s">
        <v>693</v>
      </c>
      <c r="BM402" t="s">
        <v>695</v>
      </c>
      <c r="BN402" t="s">
        <v>702</v>
      </c>
      <c r="BO402" t="s">
        <v>706</v>
      </c>
      <c r="BP402" t="s">
        <v>707</v>
      </c>
      <c r="BQ402" t="s">
        <v>708</v>
      </c>
    </row>
    <row r="403" spans="1:69" x14ac:dyDescent="0.4">
      <c r="A403" s="2" t="s">
        <v>429</v>
      </c>
      <c r="B403" t="str">
        <f>_xlfn.TEXTAFTER(Table1[[#This Row],[VEHIDCODE]],"_")</f>
        <v>Austria_OBB_1044</v>
      </c>
      <c r="C403" t="s">
        <v>742</v>
      </c>
      <c r="D403" t="str">
        <f>"item_"&amp;Table1[[#This Row],[VEHIDCODE]]</f>
        <v>item_electric_Austria_OBB_1044</v>
      </c>
      <c r="E403" t="str">
        <f>"str_"&amp;Table1[[#This Row],[VEHIDCODE]]</f>
        <v>str_electric_Austria_OBB_1044</v>
      </c>
      <c r="F403">
        <v>8</v>
      </c>
      <c r="G403" t="s">
        <v>20</v>
      </c>
      <c r="H403">
        <v>0</v>
      </c>
      <c r="I403" t="s">
        <v>74</v>
      </c>
      <c r="J403">
        <v>0</v>
      </c>
      <c r="K403">
        <v>1974</v>
      </c>
      <c r="L403">
        <v>8</v>
      </c>
      <c r="M403" s="2" t="s">
        <v>20</v>
      </c>
      <c r="N403" t="b">
        <v>1</v>
      </c>
      <c r="P403" s="2"/>
      <c r="Q403">
        <v>45</v>
      </c>
      <c r="R403">
        <v>1</v>
      </c>
      <c r="S403">
        <v>7000</v>
      </c>
      <c r="T403" t="s">
        <v>710</v>
      </c>
      <c r="U403">
        <v>160</v>
      </c>
      <c r="V403" s="2">
        <v>0.39</v>
      </c>
      <c r="Y403" t="b">
        <v>1</v>
      </c>
      <c r="AE403"/>
      <c r="AZ403" s="2"/>
      <c r="BA403" s="7">
        <v>40</v>
      </c>
      <c r="BB403" t="s">
        <v>924</v>
      </c>
      <c r="BC403" t="s">
        <v>923</v>
      </c>
      <c r="BD403" t="s">
        <v>941</v>
      </c>
      <c r="BE403" t="str">
        <f>IF(OR(Table1[[#This Row],[ENGINE_CLASS]]="STEAM",Table1[[#This Row],[ENGINE_CLASS]]="ELECTRIC",Table1[[#This Row],[ENGINE_CLASS]]="DIESEL"),Table1[[#This Row],[ENGINE_CLASS]],"DISABLE")</f>
        <v>ELECTRIC</v>
      </c>
      <c r="BF403">
        <v>-3</v>
      </c>
      <c r="BG403" t="s">
        <v>735</v>
      </c>
      <c r="BI403"/>
      <c r="BJ403">
        <v>84</v>
      </c>
      <c r="BK403">
        <v>0</v>
      </c>
      <c r="BL403" t="s">
        <v>693</v>
      </c>
      <c r="BM403" t="s">
        <v>695</v>
      </c>
      <c r="BN403" t="s">
        <v>702</v>
      </c>
      <c r="BO403" t="s">
        <v>706</v>
      </c>
      <c r="BP403" t="s">
        <v>707</v>
      </c>
      <c r="BQ403" t="s">
        <v>708</v>
      </c>
    </row>
    <row r="404" spans="1:69" x14ac:dyDescent="0.4">
      <c r="A404" s="2" t="s">
        <v>430</v>
      </c>
      <c r="B404" t="str">
        <f>_xlfn.TEXTAFTER(Table1[[#This Row],[VEHIDCODE]],"_")</f>
        <v>Austria_OBB_1063</v>
      </c>
      <c r="C404" t="s">
        <v>742</v>
      </c>
      <c r="D404" t="str">
        <f>"item_"&amp;Table1[[#This Row],[VEHIDCODE]]</f>
        <v>item_electric_Austria_OBB_1063</v>
      </c>
      <c r="E404" t="str">
        <f>"str_"&amp;Table1[[#This Row],[VEHIDCODE]]</f>
        <v>str_electric_Austria_OBB_1063</v>
      </c>
      <c r="F404">
        <v>8</v>
      </c>
      <c r="G404" t="s">
        <v>20</v>
      </c>
      <c r="H404">
        <v>0</v>
      </c>
      <c r="I404" t="s">
        <v>74</v>
      </c>
      <c r="J404">
        <v>0</v>
      </c>
      <c r="K404">
        <v>1982</v>
      </c>
      <c r="L404">
        <v>8</v>
      </c>
      <c r="M404" s="2" t="s">
        <v>20</v>
      </c>
      <c r="N404" t="b">
        <v>1</v>
      </c>
      <c r="P404" s="2"/>
      <c r="Q404">
        <v>45</v>
      </c>
      <c r="R404">
        <v>1</v>
      </c>
      <c r="S404">
        <v>2680</v>
      </c>
      <c r="T404" t="s">
        <v>710</v>
      </c>
      <c r="U404">
        <v>100</v>
      </c>
      <c r="V404" s="2">
        <v>0.32</v>
      </c>
      <c r="Y404" t="b">
        <v>1</v>
      </c>
      <c r="AE404"/>
      <c r="AZ404" s="2"/>
      <c r="BA404" s="7">
        <v>40</v>
      </c>
      <c r="BB404" t="s">
        <v>924</v>
      </c>
      <c r="BC404" t="s">
        <v>923</v>
      </c>
      <c r="BD404" t="s">
        <v>941</v>
      </c>
      <c r="BE404" t="str">
        <f>IF(OR(Table1[[#This Row],[ENGINE_CLASS]]="STEAM",Table1[[#This Row],[ENGINE_CLASS]]="ELECTRIC",Table1[[#This Row],[ENGINE_CLASS]]="DIESEL"),Table1[[#This Row],[ENGINE_CLASS]],"DISABLE")</f>
        <v>ELECTRIC</v>
      </c>
      <c r="BF404">
        <v>-3</v>
      </c>
      <c r="BG404" t="s">
        <v>735</v>
      </c>
      <c r="BI404"/>
      <c r="BJ404">
        <v>82</v>
      </c>
      <c r="BK404">
        <v>0</v>
      </c>
      <c r="BL404" t="s">
        <v>693</v>
      </c>
      <c r="BM404" t="s">
        <v>695</v>
      </c>
      <c r="BN404" t="s">
        <v>702</v>
      </c>
      <c r="BO404" t="s">
        <v>706</v>
      </c>
      <c r="BP404" t="s">
        <v>707</v>
      </c>
      <c r="BQ404" t="s">
        <v>708</v>
      </c>
    </row>
    <row r="405" spans="1:69" x14ac:dyDescent="0.4">
      <c r="A405" s="2" t="s">
        <v>431</v>
      </c>
      <c r="B405" t="str">
        <f>_xlfn.TEXTAFTER(Table1[[#This Row],[VEHIDCODE]],"_")</f>
        <v>Sweden_MTAB_Dm3</v>
      </c>
      <c r="C405" t="s">
        <v>742</v>
      </c>
      <c r="D405" t="str">
        <f>"item_"&amp;Table1[[#This Row],[VEHIDCODE]]</f>
        <v>item_electric_Sweden_MTAB_Dm3</v>
      </c>
      <c r="E405" t="str">
        <f>"str_"&amp;Table1[[#This Row],[VEHIDCODE]]</f>
        <v>str_electric_Sweden_MTAB_Dm3</v>
      </c>
      <c r="F405">
        <v>21</v>
      </c>
      <c r="G405" t="s">
        <v>20</v>
      </c>
      <c r="H405">
        <v>0</v>
      </c>
      <c r="I405" t="s">
        <v>74</v>
      </c>
      <c r="J405">
        <v>0</v>
      </c>
      <c r="K405">
        <v>1953</v>
      </c>
      <c r="L405">
        <v>7</v>
      </c>
      <c r="M405" s="2" t="s">
        <v>20</v>
      </c>
      <c r="N405" t="b">
        <v>1</v>
      </c>
      <c r="P405" s="2"/>
      <c r="Q405">
        <v>45</v>
      </c>
      <c r="R405">
        <v>0</v>
      </c>
      <c r="S405">
        <v>9648</v>
      </c>
      <c r="T405" t="s">
        <v>710</v>
      </c>
      <c r="U405">
        <v>75</v>
      </c>
      <c r="V405" s="2">
        <v>0.34</v>
      </c>
      <c r="Y405" t="b">
        <v>1</v>
      </c>
      <c r="AE405"/>
      <c r="AZ405" s="2"/>
      <c r="BA405" s="7">
        <v>40</v>
      </c>
      <c r="BB405" t="s">
        <v>928</v>
      </c>
      <c r="BC405" t="s">
        <v>923</v>
      </c>
      <c r="BD405" t="s">
        <v>941</v>
      </c>
      <c r="BE405" t="str">
        <f>IF(OR(Table1[[#This Row],[ENGINE_CLASS]]="STEAM",Table1[[#This Row],[ENGINE_CLASS]]="ELECTRIC",Table1[[#This Row],[ENGINE_CLASS]]="DIESEL"),Table1[[#This Row],[ENGINE_CLASS]],"DISABLE")</f>
        <v>ELECTRIC</v>
      </c>
      <c r="BF405">
        <v>0</v>
      </c>
      <c r="BG405" t="s">
        <v>735</v>
      </c>
      <c r="BI405"/>
      <c r="BJ405">
        <v>273</v>
      </c>
      <c r="BK405">
        <v>0</v>
      </c>
      <c r="BL405" t="s">
        <v>693</v>
      </c>
      <c r="BM405" t="s">
        <v>695</v>
      </c>
      <c r="BN405" t="s">
        <v>702</v>
      </c>
      <c r="BO405" t="s">
        <v>706</v>
      </c>
      <c r="BP405" t="s">
        <v>707</v>
      </c>
      <c r="BQ405" t="s">
        <v>708</v>
      </c>
    </row>
    <row r="406" spans="1:69" x14ac:dyDescent="0.4">
      <c r="A406" s="2" t="s">
        <v>432</v>
      </c>
      <c r="B406" t="str">
        <f>_xlfn.TEXTAFTER(Table1[[#This Row],[VEHIDCODE]],"_")</f>
        <v>Sweden_MTAB_IORE</v>
      </c>
      <c r="C406" t="s">
        <v>742</v>
      </c>
      <c r="D406" t="str">
        <f>"item_"&amp;Table1[[#This Row],[VEHIDCODE]]</f>
        <v>item_electric_Sweden_MTAB_IORE</v>
      </c>
      <c r="E406" t="str">
        <f>"str_"&amp;Table1[[#This Row],[VEHIDCODE]]</f>
        <v>str_electric_Sweden_MTAB_IORE</v>
      </c>
      <c r="F406">
        <v>16</v>
      </c>
      <c r="G406" t="s">
        <v>20</v>
      </c>
      <c r="H406">
        <v>0</v>
      </c>
      <c r="I406" t="s">
        <v>74</v>
      </c>
      <c r="J406">
        <v>0</v>
      </c>
      <c r="K406">
        <v>2000</v>
      </c>
      <c r="L406">
        <v>8</v>
      </c>
      <c r="M406" s="2" t="s">
        <v>20</v>
      </c>
      <c r="N406" t="b">
        <v>1</v>
      </c>
      <c r="P406" s="2"/>
      <c r="Q406" t="s">
        <v>21</v>
      </c>
      <c r="R406">
        <v>0</v>
      </c>
      <c r="S406">
        <v>14478</v>
      </c>
      <c r="T406" t="s">
        <v>710</v>
      </c>
      <c r="U406">
        <v>80</v>
      </c>
      <c r="V406" s="2">
        <v>0.39</v>
      </c>
      <c r="Y406" t="b">
        <v>1</v>
      </c>
      <c r="AE406"/>
      <c r="AZ406" s="2"/>
      <c r="BA406" s="7">
        <v>40</v>
      </c>
      <c r="BB406" t="s">
        <v>928</v>
      </c>
      <c r="BC406" t="s">
        <v>923</v>
      </c>
      <c r="BD406" t="s">
        <v>941</v>
      </c>
      <c r="BE406" t="str">
        <f>IF(OR(Table1[[#This Row],[ENGINE_CLASS]]="STEAM",Table1[[#This Row],[ENGINE_CLASS]]="ELECTRIC",Table1[[#This Row],[ENGINE_CLASS]]="DIESEL"),Table1[[#This Row],[ENGINE_CLASS]],"DISABLE")</f>
        <v>ELECTRIC</v>
      </c>
      <c r="BF406">
        <v>0</v>
      </c>
      <c r="BG406" t="s">
        <v>735</v>
      </c>
      <c r="BI406"/>
      <c r="BJ406">
        <v>360</v>
      </c>
      <c r="BK406">
        <v>0</v>
      </c>
      <c r="BL406" t="s">
        <v>693</v>
      </c>
      <c r="BM406" t="s">
        <v>695</v>
      </c>
      <c r="BN406" t="s">
        <v>702</v>
      </c>
      <c r="BO406" t="s">
        <v>706</v>
      </c>
      <c r="BP406" t="s">
        <v>707</v>
      </c>
      <c r="BQ406" t="s">
        <v>708</v>
      </c>
    </row>
    <row r="407" spans="1:69" x14ac:dyDescent="0.4">
      <c r="A407" s="2" t="s">
        <v>433</v>
      </c>
      <c r="B407" t="str">
        <f>_xlfn.TEXTAFTER(Table1[[#This Row],[VEHIDCODE]],"_")</f>
        <v>Sweden_SJ_O_Class</v>
      </c>
      <c r="C407" t="s">
        <v>742</v>
      </c>
      <c r="D407" t="str">
        <f>"item_"&amp;Table1[[#This Row],[VEHIDCODE]]</f>
        <v>item_electric_Sweden_SJ_O_Class</v>
      </c>
      <c r="E407" t="str">
        <f>"str_"&amp;Table1[[#This Row],[VEHIDCODE]]</f>
        <v>str_electric_Sweden_SJ_O_Class</v>
      </c>
      <c r="F407">
        <v>12</v>
      </c>
      <c r="G407" t="s">
        <v>20</v>
      </c>
      <c r="H407">
        <v>0</v>
      </c>
      <c r="I407" t="s">
        <v>74</v>
      </c>
      <c r="J407">
        <v>0</v>
      </c>
      <c r="K407">
        <v>1914</v>
      </c>
      <c r="L407">
        <v>6</v>
      </c>
      <c r="M407" s="2" t="s">
        <v>20</v>
      </c>
      <c r="N407" t="b">
        <v>1</v>
      </c>
      <c r="P407" s="2"/>
      <c r="Q407">
        <v>45</v>
      </c>
      <c r="R407">
        <v>0</v>
      </c>
      <c r="S407">
        <v>1600</v>
      </c>
      <c r="T407" t="s">
        <v>710</v>
      </c>
      <c r="U407">
        <v>60</v>
      </c>
      <c r="V407" s="2">
        <v>0.2</v>
      </c>
      <c r="Y407" t="b">
        <v>1</v>
      </c>
      <c r="AE407"/>
      <c r="AZ407" s="2"/>
      <c r="BA407" s="7">
        <v>40</v>
      </c>
      <c r="BB407" t="s">
        <v>928</v>
      </c>
      <c r="BC407" t="s">
        <v>923</v>
      </c>
      <c r="BD407" t="s">
        <v>941</v>
      </c>
      <c r="BE407" t="str">
        <f>IF(OR(Table1[[#This Row],[ENGINE_CLASS]]="STEAM",Table1[[#This Row],[ENGINE_CLASS]]="ELECTRIC",Table1[[#This Row],[ENGINE_CLASS]]="DIESEL"),Table1[[#This Row],[ENGINE_CLASS]],"DISABLE")</f>
        <v>ELECTRIC</v>
      </c>
      <c r="BF407">
        <v>0</v>
      </c>
      <c r="BG407" t="s">
        <v>735</v>
      </c>
      <c r="BI407"/>
      <c r="BJ407">
        <v>125</v>
      </c>
      <c r="BK407">
        <v>0</v>
      </c>
      <c r="BL407" t="s">
        <v>693</v>
      </c>
      <c r="BM407" t="s">
        <v>695</v>
      </c>
      <c r="BN407" t="s">
        <v>702</v>
      </c>
      <c r="BO407" t="s">
        <v>706</v>
      </c>
      <c r="BP407" t="s">
        <v>707</v>
      </c>
      <c r="BQ407" t="s">
        <v>708</v>
      </c>
    </row>
    <row r="408" spans="1:69" x14ac:dyDescent="0.4">
      <c r="A408" s="2" t="s">
        <v>434</v>
      </c>
      <c r="B408" t="str">
        <f>_xlfn.TEXTAFTER(Table1[[#This Row],[VEHIDCODE]],"_")</f>
        <v>Sweden_SJ_F_Class</v>
      </c>
      <c r="C408" t="s">
        <v>742</v>
      </c>
      <c r="D408" t="str">
        <f>"item_"&amp;Table1[[#This Row],[VEHIDCODE]]</f>
        <v>item_electric_Sweden_SJ_F_Class</v>
      </c>
      <c r="E408" t="str">
        <f>"str_"&amp;Table1[[#This Row],[VEHIDCODE]]</f>
        <v>str_electric_Sweden_SJ_F_Class</v>
      </c>
      <c r="F408">
        <v>8</v>
      </c>
      <c r="G408" t="s">
        <v>20</v>
      </c>
      <c r="H408">
        <v>0</v>
      </c>
      <c r="I408" t="s">
        <v>74</v>
      </c>
      <c r="J408">
        <v>0</v>
      </c>
      <c r="K408">
        <v>1942</v>
      </c>
      <c r="L408">
        <v>8</v>
      </c>
      <c r="M408" s="2" t="s">
        <v>20</v>
      </c>
      <c r="N408" t="b">
        <v>1</v>
      </c>
      <c r="P408" s="2"/>
      <c r="Q408">
        <v>45</v>
      </c>
      <c r="R408">
        <v>1</v>
      </c>
      <c r="S408">
        <v>3460</v>
      </c>
      <c r="T408" t="s">
        <v>710</v>
      </c>
      <c r="U408">
        <v>135</v>
      </c>
      <c r="V408" s="2">
        <v>0.2</v>
      </c>
      <c r="Y408" t="b">
        <v>1</v>
      </c>
      <c r="AE408"/>
      <c r="AZ408" s="2"/>
      <c r="BA408" s="7">
        <v>40</v>
      </c>
      <c r="BB408" t="s">
        <v>928</v>
      </c>
      <c r="BC408" t="s">
        <v>923</v>
      </c>
      <c r="BD408" t="s">
        <v>941</v>
      </c>
      <c r="BE408" t="str">
        <f>IF(OR(Table1[[#This Row],[ENGINE_CLASS]]="STEAM",Table1[[#This Row],[ENGINE_CLASS]]="ELECTRIC",Table1[[#This Row],[ENGINE_CLASS]]="DIESEL"),Table1[[#This Row],[ENGINE_CLASS]],"DISABLE")</f>
        <v>ELECTRIC</v>
      </c>
      <c r="BF408">
        <v>0</v>
      </c>
      <c r="BG408" t="s">
        <v>735</v>
      </c>
      <c r="BI408"/>
      <c r="BJ408">
        <v>102</v>
      </c>
      <c r="BK408">
        <v>0</v>
      </c>
      <c r="BL408" t="s">
        <v>693</v>
      </c>
      <c r="BM408" t="s">
        <v>695</v>
      </c>
      <c r="BN408" t="s">
        <v>702</v>
      </c>
      <c r="BO408" t="s">
        <v>706</v>
      </c>
      <c r="BP408" t="s">
        <v>707</v>
      </c>
      <c r="BQ408" t="s">
        <v>708</v>
      </c>
    </row>
    <row r="409" spans="1:69" x14ac:dyDescent="0.4">
      <c r="A409" s="2" t="s">
        <v>435</v>
      </c>
      <c r="B409" t="str">
        <f>_xlfn.TEXTAFTER(Table1[[#This Row],[VEHIDCODE]],"_")</f>
        <v>Norway_NSB_EL17</v>
      </c>
      <c r="C409" t="s">
        <v>742</v>
      </c>
      <c r="D409" t="str">
        <f>"item_"&amp;Table1[[#This Row],[VEHIDCODE]]</f>
        <v>item_electric_Norway_NSB_EL17</v>
      </c>
      <c r="E409" t="str">
        <f>"str_"&amp;Table1[[#This Row],[VEHIDCODE]]</f>
        <v>str_electric_Norway_NSB_EL17</v>
      </c>
      <c r="F409">
        <v>7</v>
      </c>
      <c r="G409" t="s">
        <v>20</v>
      </c>
      <c r="H409">
        <v>0</v>
      </c>
      <c r="I409" t="s">
        <v>74</v>
      </c>
      <c r="J409">
        <v>0</v>
      </c>
      <c r="K409">
        <v>1982</v>
      </c>
      <c r="L409">
        <v>7</v>
      </c>
      <c r="M409" s="2" t="s">
        <v>24</v>
      </c>
      <c r="N409" t="b">
        <v>1</v>
      </c>
      <c r="P409" s="2"/>
      <c r="Q409">
        <v>45</v>
      </c>
      <c r="R409">
        <v>1</v>
      </c>
      <c r="S409">
        <v>4000</v>
      </c>
      <c r="T409" t="s">
        <v>710</v>
      </c>
      <c r="U409">
        <v>150</v>
      </c>
      <c r="V409" s="2">
        <v>0.38</v>
      </c>
      <c r="Y409" t="b">
        <v>1</v>
      </c>
      <c r="AE409"/>
      <c r="AZ409" s="2"/>
      <c r="BA409" s="7">
        <v>40</v>
      </c>
      <c r="BB409" t="s">
        <v>928</v>
      </c>
      <c r="BC409" t="s">
        <v>923</v>
      </c>
      <c r="BD409" t="s">
        <v>941</v>
      </c>
      <c r="BE409" t="str">
        <f>IF(OR(Table1[[#This Row],[ENGINE_CLASS]]="STEAM",Table1[[#This Row],[ENGINE_CLASS]]="ELECTRIC",Table1[[#This Row],[ENGINE_CLASS]]="DIESEL"),Table1[[#This Row],[ENGINE_CLASS]],"DISABLE")</f>
        <v>ELECTRIC</v>
      </c>
      <c r="BF409">
        <v>0</v>
      </c>
      <c r="BG409" t="s">
        <v>735</v>
      </c>
      <c r="BI409"/>
      <c r="BJ409">
        <v>64</v>
      </c>
      <c r="BK409">
        <v>0</v>
      </c>
      <c r="BL409" t="s">
        <v>693</v>
      </c>
      <c r="BM409" t="s">
        <v>695</v>
      </c>
      <c r="BN409" t="s">
        <v>702</v>
      </c>
      <c r="BO409" t="s">
        <v>706</v>
      </c>
      <c r="BP409" t="s">
        <v>707</v>
      </c>
      <c r="BQ409" t="s">
        <v>708</v>
      </c>
    </row>
    <row r="410" spans="1:69" x14ac:dyDescent="0.4">
      <c r="A410" s="2" t="s">
        <v>436</v>
      </c>
      <c r="B410" t="str">
        <f>_xlfn.TEXTAFTER(Table1[[#This Row],[VEHIDCODE]],"_")</f>
        <v>Germany_Prussian_ES_6</v>
      </c>
      <c r="C410" t="s">
        <v>742</v>
      </c>
      <c r="D410" t="str">
        <f>"item_"&amp;Table1[[#This Row],[VEHIDCODE]]</f>
        <v>item_electric_Germany_Prussian_ES_6</v>
      </c>
      <c r="E410" t="str">
        <f>"str_"&amp;Table1[[#This Row],[VEHIDCODE]]</f>
        <v>str_electric_Germany_Prussian_ES_6</v>
      </c>
      <c r="F410">
        <v>6</v>
      </c>
      <c r="G410" t="s">
        <v>20</v>
      </c>
      <c r="H410">
        <v>0</v>
      </c>
      <c r="I410" t="s">
        <v>74</v>
      </c>
      <c r="J410">
        <v>0</v>
      </c>
      <c r="K410">
        <v>1914</v>
      </c>
      <c r="L410">
        <v>6</v>
      </c>
      <c r="M410" s="2" t="s">
        <v>20</v>
      </c>
      <c r="N410" t="b">
        <v>1</v>
      </c>
      <c r="P410" s="2"/>
      <c r="Q410">
        <v>45</v>
      </c>
      <c r="R410">
        <v>1</v>
      </c>
      <c r="S410">
        <v>1186</v>
      </c>
      <c r="T410" t="s">
        <v>710</v>
      </c>
      <c r="U410">
        <v>100</v>
      </c>
      <c r="V410" s="2">
        <v>0.1</v>
      </c>
      <c r="Y410" t="b">
        <v>1</v>
      </c>
      <c r="AE410"/>
      <c r="AZ410" s="2"/>
      <c r="BA410" s="7">
        <v>40</v>
      </c>
      <c r="BB410" t="s">
        <v>924</v>
      </c>
      <c r="BC410" t="s">
        <v>923</v>
      </c>
      <c r="BD410" t="s">
        <v>941</v>
      </c>
      <c r="BE410" t="str">
        <f>IF(OR(Table1[[#This Row],[ENGINE_CLASS]]="STEAM",Table1[[#This Row],[ENGINE_CLASS]]="ELECTRIC",Table1[[#This Row],[ENGINE_CLASS]]="DIESEL"),Table1[[#This Row],[ENGINE_CLASS]],"DISABLE")</f>
        <v>ELECTRIC</v>
      </c>
      <c r="BF410">
        <v>-3</v>
      </c>
      <c r="BG410" t="s">
        <v>735</v>
      </c>
      <c r="BI410"/>
      <c r="BJ410">
        <v>81</v>
      </c>
      <c r="BK410">
        <v>0</v>
      </c>
      <c r="BL410" t="s">
        <v>693</v>
      </c>
      <c r="BM410" t="s">
        <v>695</v>
      </c>
      <c r="BN410" t="s">
        <v>702</v>
      </c>
      <c r="BO410" t="s">
        <v>706</v>
      </c>
      <c r="BP410" t="s">
        <v>707</v>
      </c>
      <c r="BQ410" t="s">
        <v>708</v>
      </c>
    </row>
    <row r="411" spans="1:69" x14ac:dyDescent="0.4">
      <c r="A411" s="2" t="s">
        <v>437</v>
      </c>
      <c r="B411" t="str">
        <f>_xlfn.TEXTAFTER(Table1[[#This Row],[VEHIDCODE]],"_")</f>
        <v>USA_Virginian_Railway_EL_2B</v>
      </c>
      <c r="C411" t="s">
        <v>742</v>
      </c>
      <c r="D411" t="str">
        <f>"item_"&amp;Table1[[#This Row],[VEHIDCODE]]</f>
        <v>item_electric_USA_Virginian_Railway_EL_2B</v>
      </c>
      <c r="E411" t="str">
        <f>"str_"&amp;Table1[[#This Row],[VEHIDCODE]]</f>
        <v>str_electric_USA_Virginian_Railway_EL_2B</v>
      </c>
      <c r="F411">
        <v>16</v>
      </c>
      <c r="G411" t="s">
        <v>20</v>
      </c>
      <c r="H411">
        <v>0</v>
      </c>
      <c r="I411" t="s">
        <v>74</v>
      </c>
      <c r="J411">
        <v>0</v>
      </c>
      <c r="K411">
        <v>1948</v>
      </c>
      <c r="L411">
        <v>8</v>
      </c>
      <c r="M411" s="2" t="s">
        <v>20</v>
      </c>
      <c r="N411" t="b">
        <v>1</v>
      </c>
      <c r="P411" s="2"/>
      <c r="Q411">
        <v>45</v>
      </c>
      <c r="R411">
        <v>1</v>
      </c>
      <c r="S411">
        <v>6800</v>
      </c>
      <c r="T411" t="s">
        <v>710</v>
      </c>
      <c r="U411">
        <v>80</v>
      </c>
      <c r="V411" s="2">
        <v>0.16</v>
      </c>
      <c r="Y411" t="b">
        <v>1</v>
      </c>
      <c r="AE411"/>
      <c r="AZ411" s="2"/>
      <c r="BA411" s="7">
        <v>40</v>
      </c>
      <c r="BB411" t="s">
        <v>929</v>
      </c>
      <c r="BC411" t="s">
        <v>923</v>
      </c>
      <c r="BD411" t="s">
        <v>941</v>
      </c>
      <c r="BE411" t="str">
        <f>IF(OR(Table1[[#This Row],[ENGINE_CLASS]]="STEAM",Table1[[#This Row],[ENGINE_CLASS]]="ELECTRIC",Table1[[#This Row],[ENGINE_CLASS]]="DIESEL"),Table1[[#This Row],[ENGINE_CLASS]],"DISABLE")</f>
        <v>ELECTRIC</v>
      </c>
      <c r="BF411">
        <v>0</v>
      </c>
      <c r="BG411" t="s">
        <v>735</v>
      </c>
      <c r="BI411"/>
      <c r="BJ411">
        <v>450</v>
      </c>
      <c r="BK411">
        <v>0</v>
      </c>
      <c r="BL411" t="s">
        <v>693</v>
      </c>
      <c r="BM411" t="s">
        <v>695</v>
      </c>
      <c r="BN411" t="s">
        <v>702</v>
      </c>
      <c r="BO411" t="s">
        <v>706</v>
      </c>
      <c r="BP411" t="s">
        <v>707</v>
      </c>
      <c r="BQ411" t="s">
        <v>708</v>
      </c>
    </row>
    <row r="412" spans="1:69" x14ac:dyDescent="0.4">
      <c r="A412" s="2" t="s">
        <v>438</v>
      </c>
      <c r="B412" t="str">
        <f>_xlfn.TEXTAFTER(Table1[[#This Row],[VEHIDCODE]],"_")</f>
        <v>USA_GN_W_1</v>
      </c>
      <c r="C412" t="s">
        <v>742</v>
      </c>
      <c r="D412" t="str">
        <f>"item_"&amp;Table1[[#This Row],[VEHIDCODE]]</f>
        <v>item_electric_USA_GN_W_1</v>
      </c>
      <c r="E412" t="str">
        <f>"str_"&amp;Table1[[#This Row],[VEHIDCODE]]</f>
        <v>str_electric_USA_GN_W_1</v>
      </c>
      <c r="F412">
        <v>8</v>
      </c>
      <c r="G412" t="s">
        <v>20</v>
      </c>
      <c r="H412">
        <v>0</v>
      </c>
      <c r="I412" t="s">
        <v>74</v>
      </c>
      <c r="J412">
        <v>0</v>
      </c>
      <c r="K412">
        <v>1947</v>
      </c>
      <c r="L412">
        <v>8</v>
      </c>
      <c r="M412" s="2" t="s">
        <v>20</v>
      </c>
      <c r="N412" t="b">
        <v>1</v>
      </c>
      <c r="P412" s="2"/>
      <c r="Q412">
        <v>45</v>
      </c>
      <c r="R412">
        <v>1</v>
      </c>
      <c r="S412">
        <v>5000</v>
      </c>
      <c r="T412" t="s">
        <v>710</v>
      </c>
      <c r="U412">
        <v>105</v>
      </c>
      <c r="V412" s="2">
        <v>0.16</v>
      </c>
      <c r="Y412" t="b">
        <v>1</v>
      </c>
      <c r="AE412"/>
      <c r="AZ412" s="2"/>
      <c r="BA412" s="7">
        <v>40</v>
      </c>
      <c r="BB412" t="s">
        <v>929</v>
      </c>
      <c r="BC412" t="s">
        <v>923</v>
      </c>
      <c r="BD412" t="s">
        <v>941</v>
      </c>
      <c r="BE412" t="str">
        <f>IF(OR(Table1[[#This Row],[ENGINE_CLASS]]="STEAM",Table1[[#This Row],[ENGINE_CLASS]]="ELECTRIC",Table1[[#This Row],[ENGINE_CLASS]]="DIESEL"),Table1[[#This Row],[ENGINE_CLASS]],"DISABLE")</f>
        <v>ELECTRIC</v>
      </c>
      <c r="BF412">
        <v>0</v>
      </c>
      <c r="BG412" t="s">
        <v>735</v>
      </c>
      <c r="BI412"/>
      <c r="BJ412">
        <v>330</v>
      </c>
      <c r="BK412">
        <v>0</v>
      </c>
      <c r="BL412" t="s">
        <v>693</v>
      </c>
      <c r="BM412" t="s">
        <v>695</v>
      </c>
      <c r="BN412" t="s">
        <v>702</v>
      </c>
      <c r="BO412" t="s">
        <v>706</v>
      </c>
      <c r="BP412" t="s">
        <v>707</v>
      </c>
      <c r="BQ412" t="s">
        <v>708</v>
      </c>
    </row>
    <row r="413" spans="1:69" x14ac:dyDescent="0.4">
      <c r="A413" s="2" t="s">
        <v>439</v>
      </c>
      <c r="B413" t="str">
        <f>_xlfn.TEXTAFTER(Table1[[#This Row],[VEHIDCODE]],"_")</f>
        <v>USA_PRR_B1</v>
      </c>
      <c r="C413" t="s">
        <v>742</v>
      </c>
      <c r="D413" t="str">
        <f>"item_"&amp;Table1[[#This Row],[VEHIDCODE]]</f>
        <v>item_electric_USA_PRR_B1</v>
      </c>
      <c r="E413" t="str">
        <f>"str_"&amp;Table1[[#This Row],[VEHIDCODE]]</f>
        <v>str_electric_USA_PRR_B1</v>
      </c>
      <c r="F413">
        <v>4</v>
      </c>
      <c r="G413" t="s">
        <v>20</v>
      </c>
      <c r="H413">
        <v>0</v>
      </c>
      <c r="I413" t="s">
        <v>74</v>
      </c>
      <c r="J413">
        <v>0</v>
      </c>
      <c r="K413">
        <v>1926</v>
      </c>
      <c r="L413">
        <v>4</v>
      </c>
      <c r="M413" s="2" t="s">
        <v>24</v>
      </c>
      <c r="N413" t="b">
        <v>1</v>
      </c>
      <c r="P413" s="2"/>
      <c r="Q413">
        <v>45</v>
      </c>
      <c r="R413">
        <v>1</v>
      </c>
      <c r="S413">
        <v>700</v>
      </c>
      <c r="T413" t="s">
        <v>710</v>
      </c>
      <c r="U413">
        <v>40</v>
      </c>
      <c r="V413" s="2">
        <v>0.25</v>
      </c>
      <c r="Y413" t="b">
        <v>1</v>
      </c>
      <c r="AE413"/>
      <c r="AZ413" s="2"/>
      <c r="BA413" s="7">
        <v>40</v>
      </c>
      <c r="BB413" t="s">
        <v>929</v>
      </c>
      <c r="BC413" t="s">
        <v>923</v>
      </c>
      <c r="BD413" t="s">
        <v>941</v>
      </c>
      <c r="BE413" t="str">
        <f>IF(OR(Table1[[#This Row],[ENGINE_CLASS]]="STEAM",Table1[[#This Row],[ENGINE_CLASS]]="ELECTRIC",Table1[[#This Row],[ENGINE_CLASS]]="DIESEL"),Table1[[#This Row],[ENGINE_CLASS]],"DISABLE")</f>
        <v>ELECTRIC</v>
      </c>
      <c r="BF413">
        <v>0</v>
      </c>
      <c r="BG413" t="s">
        <v>735</v>
      </c>
      <c r="BI413"/>
      <c r="BJ413">
        <v>71</v>
      </c>
      <c r="BK413">
        <v>0</v>
      </c>
      <c r="BL413" t="s">
        <v>693</v>
      </c>
      <c r="BM413" t="s">
        <v>695</v>
      </c>
      <c r="BN413" t="s">
        <v>702</v>
      </c>
      <c r="BO413" t="s">
        <v>706</v>
      </c>
      <c r="BP413" t="s">
        <v>707</v>
      </c>
      <c r="BQ413" t="s">
        <v>708</v>
      </c>
    </row>
    <row r="414" spans="1:69" x14ac:dyDescent="0.4">
      <c r="A414" s="2" t="s">
        <v>440</v>
      </c>
      <c r="B414" t="str">
        <f>_xlfn.TEXTAFTER(Table1[[#This Row],[VEHIDCODE]],"_")</f>
        <v>Australia_Aurizon_E40_AG_V1</v>
      </c>
      <c r="C414" t="s">
        <v>742</v>
      </c>
      <c r="D414" t="str">
        <f>"item_"&amp;Table1[[#This Row],[VEHIDCODE]]</f>
        <v>item_electric_Australia_Aurizon_E40_AG_V1</v>
      </c>
      <c r="E414" t="str">
        <f>"str_"&amp;Table1[[#This Row],[VEHIDCODE]]</f>
        <v>str_electric_Australia_Aurizon_E40_AG_V1</v>
      </c>
      <c r="F414">
        <v>8</v>
      </c>
      <c r="G414" t="s">
        <v>20</v>
      </c>
      <c r="H414">
        <v>0</v>
      </c>
      <c r="I414" t="s">
        <v>74</v>
      </c>
      <c r="J414">
        <v>0</v>
      </c>
      <c r="K414">
        <v>2008</v>
      </c>
      <c r="L414">
        <v>8</v>
      </c>
      <c r="M414" s="2" t="s">
        <v>20</v>
      </c>
      <c r="N414" t="b">
        <v>1</v>
      </c>
      <c r="P414" s="2"/>
      <c r="Q414" t="s">
        <v>21</v>
      </c>
      <c r="R414">
        <v>1</v>
      </c>
      <c r="S414">
        <v>5360</v>
      </c>
      <c r="T414" t="s">
        <v>710</v>
      </c>
      <c r="U414">
        <v>80</v>
      </c>
      <c r="V414" s="2">
        <v>0.41</v>
      </c>
      <c r="X414" t="b">
        <v>1</v>
      </c>
      <c r="AE414"/>
      <c r="AZ414" s="2"/>
      <c r="BA414" s="7">
        <v>40</v>
      </c>
      <c r="BB414" t="s">
        <v>926</v>
      </c>
      <c r="BC414" t="s">
        <v>923</v>
      </c>
      <c r="BD414" t="s">
        <v>941</v>
      </c>
      <c r="BE414" t="str">
        <f>IF(OR(Table1[[#This Row],[ENGINE_CLASS]]="STEAM",Table1[[#This Row],[ENGINE_CLASS]]="ELECTRIC",Table1[[#This Row],[ENGINE_CLASS]]="DIESEL"),Table1[[#This Row],[ENGINE_CLASS]],"DISABLE")</f>
        <v>ELECTRIC</v>
      </c>
      <c r="BF414">
        <v>0</v>
      </c>
      <c r="BG414" t="s">
        <v>735</v>
      </c>
      <c r="BI414"/>
      <c r="BJ414">
        <v>109</v>
      </c>
      <c r="BK414">
        <v>0</v>
      </c>
      <c r="BL414" t="s">
        <v>693</v>
      </c>
      <c r="BM414" t="s">
        <v>695</v>
      </c>
      <c r="BN414" t="s">
        <v>702</v>
      </c>
      <c r="BO414" t="s">
        <v>706</v>
      </c>
      <c r="BP414" t="s">
        <v>707</v>
      </c>
      <c r="BQ414" t="s">
        <v>708</v>
      </c>
    </row>
    <row r="415" spans="1:69" x14ac:dyDescent="0.4">
      <c r="A415" s="2" t="s">
        <v>441</v>
      </c>
      <c r="B415" t="str">
        <f>_xlfn.TEXTAFTER(Table1[[#This Row],[VEHIDCODE]],"_")</f>
        <v>China_China_Railways_SS6</v>
      </c>
      <c r="C415" t="s">
        <v>742</v>
      </c>
      <c r="D415" t="str">
        <f>"item_"&amp;Table1[[#This Row],[VEHIDCODE]]</f>
        <v>item_electric_China_China_Railways_SS6</v>
      </c>
      <c r="E415" t="str">
        <f>"str_"&amp;Table1[[#This Row],[VEHIDCODE]]</f>
        <v>str_electric_China_China_Railways_SS6</v>
      </c>
      <c r="F415">
        <v>8</v>
      </c>
      <c r="G415" t="s">
        <v>20</v>
      </c>
      <c r="H415">
        <v>0</v>
      </c>
      <c r="I415" t="s">
        <v>74</v>
      </c>
      <c r="J415">
        <v>0</v>
      </c>
      <c r="K415">
        <v>1991</v>
      </c>
      <c r="L415">
        <v>8</v>
      </c>
      <c r="M415" s="2" t="s">
        <v>20</v>
      </c>
      <c r="N415" t="b">
        <v>1</v>
      </c>
      <c r="P415" s="2"/>
      <c r="Q415" t="s">
        <v>21</v>
      </c>
      <c r="R415">
        <v>1</v>
      </c>
      <c r="S415">
        <v>6432</v>
      </c>
      <c r="T415" t="s">
        <v>710</v>
      </c>
      <c r="U415">
        <v>100</v>
      </c>
      <c r="V415" s="2">
        <v>0.35</v>
      </c>
      <c r="X415" t="b">
        <v>1</v>
      </c>
      <c r="AE415"/>
      <c r="AZ415" s="2"/>
      <c r="BA415" s="7">
        <v>40</v>
      </c>
      <c r="BB415" t="s">
        <v>932</v>
      </c>
      <c r="BC415" t="s">
        <v>923</v>
      </c>
      <c r="BD415" t="s">
        <v>941</v>
      </c>
      <c r="BE415" t="str">
        <f>IF(OR(Table1[[#This Row],[ENGINE_CLASS]]="STEAM",Table1[[#This Row],[ENGINE_CLASS]]="ELECTRIC",Table1[[#This Row],[ENGINE_CLASS]]="DIESEL"),Table1[[#This Row],[ENGINE_CLASS]],"DISABLE")</f>
        <v>ELECTRIC</v>
      </c>
      <c r="BF415">
        <v>-3</v>
      </c>
      <c r="BG415" t="s">
        <v>735</v>
      </c>
      <c r="BI415"/>
      <c r="BJ415">
        <v>138</v>
      </c>
      <c r="BK415">
        <v>0</v>
      </c>
      <c r="BL415" t="s">
        <v>693</v>
      </c>
      <c r="BM415" t="s">
        <v>695</v>
      </c>
      <c r="BN415" t="s">
        <v>702</v>
      </c>
      <c r="BO415" t="s">
        <v>706</v>
      </c>
      <c r="BP415" t="s">
        <v>707</v>
      </c>
      <c r="BQ415" t="s">
        <v>708</v>
      </c>
    </row>
    <row r="416" spans="1:69" x14ac:dyDescent="0.4">
      <c r="A416" s="2" t="s">
        <v>442</v>
      </c>
      <c r="B416" t="str">
        <f>_xlfn.TEXTAFTER(Table1[[#This Row],[VEHIDCODE]],"_")</f>
        <v>China_China_Railways_SS3</v>
      </c>
      <c r="C416" t="s">
        <v>742</v>
      </c>
      <c r="D416" t="str">
        <f>"item_"&amp;Table1[[#This Row],[VEHIDCODE]]</f>
        <v>item_electric_China_China_Railways_SS3</v>
      </c>
      <c r="E416" t="str">
        <f>"str_"&amp;Table1[[#This Row],[VEHIDCODE]]</f>
        <v>str_electric_China_China_Railways_SS3</v>
      </c>
      <c r="F416">
        <v>8</v>
      </c>
      <c r="G416" t="s">
        <v>20</v>
      </c>
      <c r="H416">
        <v>0</v>
      </c>
      <c r="I416" t="s">
        <v>74</v>
      </c>
      <c r="J416">
        <v>0</v>
      </c>
      <c r="K416">
        <v>1978</v>
      </c>
      <c r="L416">
        <v>8</v>
      </c>
      <c r="M416" s="2" t="s">
        <v>24</v>
      </c>
      <c r="N416" t="b">
        <v>1</v>
      </c>
      <c r="P416" s="2"/>
      <c r="Q416">
        <v>45</v>
      </c>
      <c r="R416">
        <v>1</v>
      </c>
      <c r="S416">
        <v>5793</v>
      </c>
      <c r="T416" t="s">
        <v>710</v>
      </c>
      <c r="U416">
        <v>100</v>
      </c>
      <c r="V416" s="2">
        <v>0.34</v>
      </c>
      <c r="X416" t="b">
        <v>1</v>
      </c>
      <c r="AE416"/>
      <c r="AZ416" s="2"/>
      <c r="BA416" s="7">
        <v>40</v>
      </c>
      <c r="BB416" t="s">
        <v>932</v>
      </c>
      <c r="BC416" t="s">
        <v>923</v>
      </c>
      <c r="BD416" t="s">
        <v>941</v>
      </c>
      <c r="BE416" t="str">
        <f>IF(OR(Table1[[#This Row],[ENGINE_CLASS]]="STEAM",Table1[[#This Row],[ENGINE_CLASS]]="ELECTRIC",Table1[[#This Row],[ENGINE_CLASS]]="DIESEL"),Table1[[#This Row],[ENGINE_CLASS]],"DISABLE")</f>
        <v>ELECTRIC</v>
      </c>
      <c r="BF416">
        <v>0</v>
      </c>
      <c r="BG416" t="s">
        <v>735</v>
      </c>
      <c r="BI416"/>
      <c r="BJ416">
        <v>138</v>
      </c>
      <c r="BK416">
        <v>0</v>
      </c>
      <c r="BL416" t="s">
        <v>693</v>
      </c>
      <c r="BM416" t="s">
        <v>695</v>
      </c>
      <c r="BN416" t="s">
        <v>702</v>
      </c>
      <c r="BO416" t="s">
        <v>706</v>
      </c>
      <c r="BP416" t="s">
        <v>707</v>
      </c>
      <c r="BQ416" t="s">
        <v>708</v>
      </c>
    </row>
    <row r="417" spans="1:69" x14ac:dyDescent="0.4">
      <c r="A417" s="2" t="s">
        <v>443</v>
      </c>
      <c r="B417" t="str">
        <f>_xlfn.TEXTAFTER(Table1[[#This Row],[VEHIDCODE]],"_")</f>
        <v>China_China_Railways_HXD3</v>
      </c>
      <c r="C417" t="s">
        <v>742</v>
      </c>
      <c r="D417" t="str">
        <f>"item_"&amp;Table1[[#This Row],[VEHIDCODE]]</f>
        <v>item_electric_China_China_Railways_HXD3</v>
      </c>
      <c r="E417" t="str">
        <f>"str_"&amp;Table1[[#This Row],[VEHIDCODE]]</f>
        <v>str_electric_China_China_Railways_HXD3</v>
      </c>
      <c r="F417">
        <v>8</v>
      </c>
      <c r="G417" t="s">
        <v>20</v>
      </c>
      <c r="H417">
        <v>0</v>
      </c>
      <c r="I417" t="s">
        <v>74</v>
      </c>
      <c r="J417">
        <v>0</v>
      </c>
      <c r="K417">
        <v>2006</v>
      </c>
      <c r="L417">
        <v>8</v>
      </c>
      <c r="M417" s="2" t="s">
        <v>20</v>
      </c>
      <c r="N417" t="b">
        <v>1</v>
      </c>
      <c r="P417" s="2"/>
      <c r="Q417" t="s">
        <v>21</v>
      </c>
      <c r="R417">
        <v>1</v>
      </c>
      <c r="S417">
        <v>12800</v>
      </c>
      <c r="T417" t="s">
        <v>710</v>
      </c>
      <c r="U417">
        <v>120</v>
      </c>
      <c r="V417" s="2">
        <v>0.27</v>
      </c>
      <c r="X417" t="b">
        <v>1</v>
      </c>
      <c r="AE417"/>
      <c r="AZ417" s="2"/>
      <c r="BA417" s="7">
        <v>40</v>
      </c>
      <c r="BB417" t="s">
        <v>932</v>
      </c>
      <c r="BC417" t="s">
        <v>923</v>
      </c>
      <c r="BD417" t="s">
        <v>941</v>
      </c>
      <c r="BE417" t="str">
        <f>IF(OR(Table1[[#This Row],[ENGINE_CLASS]]="STEAM",Table1[[#This Row],[ENGINE_CLASS]]="ELECTRIC",Table1[[#This Row],[ENGINE_CLASS]]="DIESEL"),Table1[[#This Row],[ENGINE_CLASS]],"DISABLE")</f>
        <v>ELECTRIC</v>
      </c>
      <c r="BF417">
        <v>-3</v>
      </c>
      <c r="BG417" t="s">
        <v>735</v>
      </c>
      <c r="BI417"/>
      <c r="BJ417">
        <v>150</v>
      </c>
      <c r="BK417">
        <v>0</v>
      </c>
      <c r="BL417" t="s">
        <v>693</v>
      </c>
      <c r="BM417" t="s">
        <v>695</v>
      </c>
      <c r="BN417" t="s">
        <v>702</v>
      </c>
      <c r="BO417" t="s">
        <v>706</v>
      </c>
      <c r="BP417" t="s">
        <v>707</v>
      </c>
      <c r="BQ417" t="s">
        <v>708</v>
      </c>
    </row>
    <row r="418" spans="1:69" x14ac:dyDescent="0.4">
      <c r="A418" s="2" t="s">
        <v>444</v>
      </c>
      <c r="B418" t="str">
        <f>_xlfn.TEXTAFTER(Table1[[#This Row],[VEHIDCODE]],"_")</f>
        <v>China_China_Railways_HXD1D</v>
      </c>
      <c r="C418" t="s">
        <v>742</v>
      </c>
      <c r="D418" t="str">
        <f>"item_"&amp;Table1[[#This Row],[VEHIDCODE]]</f>
        <v>item_electric_China_China_Railways_HXD1D</v>
      </c>
      <c r="E418" t="str">
        <f>"str_"&amp;Table1[[#This Row],[VEHIDCODE]]</f>
        <v>str_electric_China_China_Railways_HXD1D</v>
      </c>
      <c r="F418">
        <v>8</v>
      </c>
      <c r="G418" t="s">
        <v>20</v>
      </c>
      <c r="H418">
        <v>0</v>
      </c>
      <c r="I418" t="s">
        <v>74</v>
      </c>
      <c r="J418">
        <v>0</v>
      </c>
      <c r="K418">
        <v>2012</v>
      </c>
      <c r="L418">
        <v>8</v>
      </c>
      <c r="M418" s="2" t="s">
        <v>20</v>
      </c>
      <c r="N418" t="b">
        <v>1</v>
      </c>
      <c r="P418" s="2"/>
      <c r="Q418" t="s">
        <v>21</v>
      </c>
      <c r="R418">
        <v>1</v>
      </c>
      <c r="S418">
        <v>9700</v>
      </c>
      <c r="T418" t="s">
        <v>710</v>
      </c>
      <c r="U418">
        <v>160</v>
      </c>
      <c r="V418" s="2">
        <v>0.33</v>
      </c>
      <c r="X418" t="b">
        <v>1</v>
      </c>
      <c r="AE418"/>
      <c r="AZ418" s="2"/>
      <c r="BA418" s="7">
        <v>40</v>
      </c>
      <c r="BB418" t="s">
        <v>932</v>
      </c>
      <c r="BC418" t="s">
        <v>923</v>
      </c>
      <c r="BD418" t="s">
        <v>941</v>
      </c>
      <c r="BE418" t="str">
        <f>IF(OR(Table1[[#This Row],[ENGINE_CLASS]]="STEAM",Table1[[#This Row],[ENGINE_CLASS]]="ELECTRIC",Table1[[#This Row],[ENGINE_CLASS]]="DIESEL"),Table1[[#This Row],[ENGINE_CLASS]],"DISABLE")</f>
        <v>ELECTRIC</v>
      </c>
      <c r="BF418">
        <v>0</v>
      </c>
      <c r="BG418" t="s">
        <v>735</v>
      </c>
      <c r="BI418"/>
      <c r="BJ418">
        <v>126</v>
      </c>
      <c r="BK418">
        <v>0</v>
      </c>
      <c r="BL418" t="s">
        <v>693</v>
      </c>
      <c r="BM418" t="s">
        <v>695</v>
      </c>
      <c r="BN418" t="s">
        <v>702</v>
      </c>
      <c r="BO418" t="s">
        <v>706</v>
      </c>
      <c r="BP418" t="s">
        <v>707</v>
      </c>
      <c r="BQ418" t="s">
        <v>708</v>
      </c>
    </row>
    <row r="419" spans="1:69" x14ac:dyDescent="0.4">
      <c r="A419" s="2" t="s">
        <v>445</v>
      </c>
      <c r="B419" t="str">
        <f>_xlfn.TEXTAFTER(Table1[[#This Row],[VEHIDCODE]],"_")</f>
        <v>China_China_Railways_6K</v>
      </c>
      <c r="C419" t="s">
        <v>742</v>
      </c>
      <c r="D419" t="str">
        <f>"item_"&amp;Table1[[#This Row],[VEHIDCODE]]</f>
        <v>item_electric_China_China_Railways_6K</v>
      </c>
      <c r="E419" t="str">
        <f>"str_"&amp;Table1[[#This Row],[VEHIDCODE]]</f>
        <v>str_electric_China_China_Railways_6K</v>
      </c>
      <c r="F419">
        <v>8</v>
      </c>
      <c r="G419" t="s">
        <v>20</v>
      </c>
      <c r="H419">
        <v>0</v>
      </c>
      <c r="I419" t="s">
        <v>74</v>
      </c>
      <c r="J419">
        <v>0</v>
      </c>
      <c r="K419">
        <v>1986</v>
      </c>
      <c r="L419">
        <v>8</v>
      </c>
      <c r="M419" s="2" t="s">
        <v>20</v>
      </c>
      <c r="N419" t="b">
        <v>1</v>
      </c>
      <c r="P419" s="2"/>
      <c r="Q419">
        <v>45</v>
      </c>
      <c r="R419">
        <v>1</v>
      </c>
      <c r="S419">
        <v>6450</v>
      </c>
      <c r="T419" t="s">
        <v>710</v>
      </c>
      <c r="U419">
        <v>100</v>
      </c>
      <c r="V419" s="2">
        <v>0.35</v>
      </c>
      <c r="X419" t="b">
        <v>1</v>
      </c>
      <c r="AE419"/>
      <c r="AZ419" s="2"/>
      <c r="BA419" s="7">
        <v>40</v>
      </c>
      <c r="BB419" t="s">
        <v>932</v>
      </c>
      <c r="BC419" t="s">
        <v>923</v>
      </c>
      <c r="BD419" t="s">
        <v>941</v>
      </c>
      <c r="BE419" t="str">
        <f>IF(OR(Table1[[#This Row],[ENGINE_CLASS]]="STEAM",Table1[[#This Row],[ENGINE_CLASS]]="ELECTRIC",Table1[[#This Row],[ENGINE_CLASS]]="DIESEL"),Table1[[#This Row],[ENGINE_CLASS]],"DISABLE")</f>
        <v>ELECTRIC</v>
      </c>
      <c r="BF419">
        <v>-3</v>
      </c>
      <c r="BG419" t="s">
        <v>735</v>
      </c>
      <c r="BI419"/>
      <c r="BJ419">
        <v>138</v>
      </c>
      <c r="BK419">
        <v>0</v>
      </c>
      <c r="BL419" t="s">
        <v>693</v>
      </c>
      <c r="BM419" t="s">
        <v>695</v>
      </c>
      <c r="BN419" t="s">
        <v>702</v>
      </c>
      <c r="BO419" t="s">
        <v>706</v>
      </c>
      <c r="BP419" t="s">
        <v>707</v>
      </c>
      <c r="BQ419" t="s">
        <v>708</v>
      </c>
    </row>
    <row r="420" spans="1:69" x14ac:dyDescent="0.4">
      <c r="A420" s="2" t="s">
        <v>446</v>
      </c>
      <c r="B420" t="str">
        <f>_xlfn.TEXTAFTER(Table1[[#This Row],[VEHIDCODE]],"_")</f>
        <v>USA_PRR_E44</v>
      </c>
      <c r="C420" t="s">
        <v>742</v>
      </c>
      <c r="D420" t="str">
        <f>"item_"&amp;Table1[[#This Row],[VEHIDCODE]]</f>
        <v>item_electric_USA_PRR_E44</v>
      </c>
      <c r="E420" t="str">
        <f>"str_"&amp;Table1[[#This Row],[VEHIDCODE]]</f>
        <v>str_electric_USA_PRR_E44</v>
      </c>
      <c r="F420">
        <v>8</v>
      </c>
      <c r="G420" t="s">
        <v>20</v>
      </c>
      <c r="H420">
        <v>0</v>
      </c>
      <c r="I420" t="s">
        <v>74</v>
      </c>
      <c r="J420">
        <v>0</v>
      </c>
      <c r="K420">
        <v>1960</v>
      </c>
      <c r="L420">
        <v>8</v>
      </c>
      <c r="M420" s="2" t="s">
        <v>20</v>
      </c>
      <c r="N420" t="b">
        <v>1</v>
      </c>
      <c r="P420" s="2"/>
      <c r="Q420">
        <v>45</v>
      </c>
      <c r="R420">
        <v>1</v>
      </c>
      <c r="S420">
        <v>4400</v>
      </c>
      <c r="T420" t="s">
        <v>710</v>
      </c>
      <c r="U420">
        <v>113</v>
      </c>
      <c r="V420" s="2">
        <v>0.24</v>
      </c>
      <c r="X420" t="b">
        <v>1</v>
      </c>
      <c r="AE420"/>
      <c r="AZ420" s="2"/>
      <c r="BA420" s="7">
        <v>40</v>
      </c>
      <c r="BB420" t="s">
        <v>929</v>
      </c>
      <c r="BC420" t="s">
        <v>923</v>
      </c>
      <c r="BD420" t="s">
        <v>941</v>
      </c>
      <c r="BE420" t="str">
        <f>IF(OR(Table1[[#This Row],[ENGINE_CLASS]]="STEAM",Table1[[#This Row],[ENGINE_CLASS]]="ELECTRIC",Table1[[#This Row],[ENGINE_CLASS]]="DIESEL"),Table1[[#This Row],[ENGINE_CLASS]],"DISABLE")</f>
        <v>ELECTRIC</v>
      </c>
      <c r="BF420">
        <v>0</v>
      </c>
      <c r="BG420" t="s">
        <v>735</v>
      </c>
      <c r="BI420"/>
      <c r="BJ420">
        <v>175</v>
      </c>
      <c r="BK420">
        <v>0</v>
      </c>
      <c r="BL420" t="s">
        <v>693</v>
      </c>
      <c r="BM420" t="s">
        <v>695</v>
      </c>
      <c r="BN420" t="s">
        <v>702</v>
      </c>
      <c r="BO420" t="s">
        <v>706</v>
      </c>
      <c r="BP420" t="s">
        <v>707</v>
      </c>
      <c r="BQ420" t="s">
        <v>708</v>
      </c>
    </row>
    <row r="421" spans="1:69" x14ac:dyDescent="0.4">
      <c r="A421" s="2" t="s">
        <v>447</v>
      </c>
      <c r="B421" t="str">
        <f>_xlfn.TEXTAFTER(Table1[[#This Row],[VEHIDCODE]],"_")</f>
        <v>Croatia_HZ_1141</v>
      </c>
      <c r="C421" t="s">
        <v>742</v>
      </c>
      <c r="D421" t="str">
        <f>"item_"&amp;Table1[[#This Row],[VEHIDCODE]]</f>
        <v>item_electric_Croatia_HZ_1141</v>
      </c>
      <c r="E421" t="str">
        <f>"str_"&amp;Table1[[#This Row],[VEHIDCODE]]</f>
        <v>str_electric_Croatia_HZ_1141</v>
      </c>
      <c r="F421">
        <v>8</v>
      </c>
      <c r="G421" t="s">
        <v>20</v>
      </c>
      <c r="H421">
        <v>0</v>
      </c>
      <c r="I421" t="s">
        <v>74</v>
      </c>
      <c r="J421">
        <v>0</v>
      </c>
      <c r="K421">
        <v>1967</v>
      </c>
      <c r="L421">
        <v>8</v>
      </c>
      <c r="M421" s="2" t="s">
        <v>20</v>
      </c>
      <c r="N421" t="b">
        <v>1</v>
      </c>
      <c r="P421" s="2"/>
      <c r="Q421">
        <v>45</v>
      </c>
      <c r="R421">
        <v>1</v>
      </c>
      <c r="S421">
        <v>4624</v>
      </c>
      <c r="T421" t="s">
        <v>710</v>
      </c>
      <c r="U421">
        <v>120</v>
      </c>
      <c r="V421" s="2">
        <v>0.25</v>
      </c>
      <c r="X421" t="b">
        <v>1</v>
      </c>
      <c r="AE421"/>
      <c r="AZ421" s="2"/>
      <c r="BA421" s="7">
        <v>40</v>
      </c>
      <c r="BB421" t="s">
        <v>930</v>
      </c>
      <c r="BC421" t="s">
        <v>923</v>
      </c>
      <c r="BD421" t="s">
        <v>941</v>
      </c>
      <c r="BE421" t="str">
        <f>IF(OR(Table1[[#This Row],[ENGINE_CLASS]]="STEAM",Table1[[#This Row],[ENGINE_CLASS]]="ELECTRIC",Table1[[#This Row],[ENGINE_CLASS]]="DIESEL"),Table1[[#This Row],[ENGINE_CLASS]],"DISABLE")</f>
        <v>ELECTRIC</v>
      </c>
      <c r="BF421">
        <v>-3</v>
      </c>
      <c r="BG421" t="s">
        <v>735</v>
      </c>
      <c r="BI421"/>
      <c r="BJ421">
        <v>78</v>
      </c>
      <c r="BK421">
        <v>0</v>
      </c>
      <c r="BL421" t="s">
        <v>693</v>
      </c>
      <c r="BM421" t="s">
        <v>695</v>
      </c>
      <c r="BN421" t="s">
        <v>702</v>
      </c>
      <c r="BO421" t="s">
        <v>706</v>
      </c>
      <c r="BP421" t="s">
        <v>707</v>
      </c>
      <c r="BQ421" t="s">
        <v>708</v>
      </c>
    </row>
    <row r="422" spans="1:69" x14ac:dyDescent="0.4">
      <c r="A422" s="2" t="s">
        <v>448</v>
      </c>
      <c r="B422" t="str">
        <f>_xlfn.TEXTAFTER(Table1[[#This Row],[VEHIDCODE]],"_")</f>
        <v>Hungary_MAV_Class_V43</v>
      </c>
      <c r="C422" t="s">
        <v>742</v>
      </c>
      <c r="D422" t="str">
        <f>"item_"&amp;Table1[[#This Row],[VEHIDCODE]]</f>
        <v>item_electric_Hungary_MAV_Class_V43</v>
      </c>
      <c r="E422" t="str">
        <f>"str_"&amp;Table1[[#This Row],[VEHIDCODE]]</f>
        <v>str_electric_Hungary_MAV_Class_V43</v>
      </c>
      <c r="F422">
        <v>8</v>
      </c>
      <c r="G422" t="s">
        <v>20</v>
      </c>
      <c r="H422">
        <v>0</v>
      </c>
      <c r="I422" t="s">
        <v>74</v>
      </c>
      <c r="J422">
        <v>0</v>
      </c>
      <c r="K422">
        <v>1963</v>
      </c>
      <c r="L422">
        <v>8</v>
      </c>
      <c r="M422" s="2" t="s">
        <v>20</v>
      </c>
      <c r="N422" t="b">
        <v>1</v>
      </c>
      <c r="P422" s="2"/>
      <c r="Q422">
        <v>45</v>
      </c>
      <c r="R422">
        <v>0</v>
      </c>
      <c r="S422">
        <v>2950</v>
      </c>
      <c r="T422" t="s">
        <v>710</v>
      </c>
      <c r="U422">
        <v>120</v>
      </c>
      <c r="V422" s="2">
        <v>0.34</v>
      </c>
      <c r="X422" t="b">
        <v>1</v>
      </c>
      <c r="AE422"/>
      <c r="AZ422" s="2"/>
      <c r="BA422" s="7">
        <v>40</v>
      </c>
      <c r="BB422" t="s">
        <v>930</v>
      </c>
      <c r="BC422" t="s">
        <v>923</v>
      </c>
      <c r="BD422" t="s">
        <v>941</v>
      </c>
      <c r="BE422" t="str">
        <f>IF(OR(Table1[[#This Row],[ENGINE_CLASS]]="STEAM",Table1[[#This Row],[ENGINE_CLASS]]="ELECTRIC",Table1[[#This Row],[ENGINE_CLASS]]="DIESEL"),Table1[[#This Row],[ENGINE_CLASS]],"DISABLE")</f>
        <v>ELECTRIC</v>
      </c>
      <c r="BF422">
        <v>0</v>
      </c>
      <c r="BG422" t="s">
        <v>735</v>
      </c>
      <c r="BI422"/>
      <c r="BJ422">
        <v>80</v>
      </c>
      <c r="BK422">
        <v>0</v>
      </c>
      <c r="BL422" t="s">
        <v>693</v>
      </c>
      <c r="BM422" t="s">
        <v>695</v>
      </c>
      <c r="BN422" t="s">
        <v>702</v>
      </c>
      <c r="BO422" t="s">
        <v>706</v>
      </c>
      <c r="BP422" t="s">
        <v>707</v>
      </c>
      <c r="BQ422" t="s">
        <v>708</v>
      </c>
    </row>
    <row r="423" spans="1:69" x14ac:dyDescent="0.4">
      <c r="A423" s="2" t="s">
        <v>449</v>
      </c>
      <c r="B423" t="str">
        <f>_xlfn.TEXTAFTER(Table1[[#This Row],[VEHIDCODE]],"_")</f>
        <v>Portugal_CP_2500</v>
      </c>
      <c r="C423" t="s">
        <v>742</v>
      </c>
      <c r="D423" t="str">
        <f>"item_"&amp;Table1[[#This Row],[VEHIDCODE]]</f>
        <v>item_electric_Portugal_CP_2500</v>
      </c>
      <c r="E423" t="str">
        <f>"str_"&amp;Table1[[#This Row],[VEHIDCODE]]</f>
        <v>str_electric_Portugal_CP_2500</v>
      </c>
      <c r="F423">
        <v>6</v>
      </c>
      <c r="G423" t="s">
        <v>20</v>
      </c>
      <c r="H423">
        <v>0</v>
      </c>
      <c r="I423" t="s">
        <v>74</v>
      </c>
      <c r="J423">
        <v>0</v>
      </c>
      <c r="K423">
        <v>1956</v>
      </c>
      <c r="L423">
        <v>6</v>
      </c>
      <c r="M423" s="2" t="s">
        <v>20</v>
      </c>
      <c r="N423" t="b">
        <v>1</v>
      </c>
      <c r="P423" s="2"/>
      <c r="Q423">
        <v>45</v>
      </c>
      <c r="R423">
        <v>1</v>
      </c>
      <c r="S423">
        <v>2790</v>
      </c>
      <c r="T423" t="s">
        <v>710</v>
      </c>
      <c r="U423">
        <v>120</v>
      </c>
      <c r="V423" s="2">
        <v>0.27</v>
      </c>
      <c r="X423" t="b">
        <v>1</v>
      </c>
      <c r="AE423"/>
      <c r="AZ423" s="2"/>
      <c r="BA423" s="7">
        <v>40</v>
      </c>
      <c r="BB423" t="s">
        <v>925</v>
      </c>
      <c r="BC423" t="s">
        <v>923</v>
      </c>
      <c r="BD423" t="s">
        <v>941</v>
      </c>
      <c r="BE423" t="str">
        <f>IF(OR(Table1[[#This Row],[ENGINE_CLASS]]="STEAM",Table1[[#This Row],[ENGINE_CLASS]]="ELECTRIC",Table1[[#This Row],[ENGINE_CLASS]]="DIESEL"),Table1[[#This Row],[ENGINE_CLASS]],"DISABLE")</f>
        <v>ELECTRIC</v>
      </c>
      <c r="BF423">
        <v>-3</v>
      </c>
      <c r="BG423" t="s">
        <v>735</v>
      </c>
      <c r="BI423"/>
      <c r="BJ423">
        <v>72</v>
      </c>
      <c r="BK423">
        <v>0</v>
      </c>
      <c r="BL423" t="s">
        <v>693</v>
      </c>
      <c r="BM423" t="s">
        <v>695</v>
      </c>
      <c r="BN423" t="s">
        <v>702</v>
      </c>
      <c r="BO423" t="s">
        <v>706</v>
      </c>
      <c r="BP423" t="s">
        <v>707</v>
      </c>
      <c r="BQ423" t="s">
        <v>708</v>
      </c>
    </row>
    <row r="424" spans="1:69" x14ac:dyDescent="0.4">
      <c r="A424" s="2" t="s">
        <v>450</v>
      </c>
      <c r="B424" t="str">
        <f>_xlfn.TEXTAFTER(Table1[[#This Row],[VEHIDCODE]],"_")</f>
        <v>Portugal_CP_2600</v>
      </c>
      <c r="C424" t="s">
        <v>742</v>
      </c>
      <c r="D424" t="str">
        <f>"item_"&amp;Table1[[#This Row],[VEHIDCODE]]</f>
        <v>item_electric_Portugal_CP_2600</v>
      </c>
      <c r="E424" t="str">
        <f>"str_"&amp;Table1[[#This Row],[VEHIDCODE]]</f>
        <v>str_electric_Portugal_CP_2600</v>
      </c>
      <c r="F424">
        <v>8</v>
      </c>
      <c r="G424" t="s">
        <v>20</v>
      </c>
      <c r="H424">
        <v>0</v>
      </c>
      <c r="I424" t="s">
        <v>74</v>
      </c>
      <c r="J424">
        <v>0</v>
      </c>
      <c r="K424">
        <v>1974</v>
      </c>
      <c r="L424">
        <v>8</v>
      </c>
      <c r="M424" s="2" t="s">
        <v>20</v>
      </c>
      <c r="N424" t="b">
        <v>1</v>
      </c>
      <c r="P424" s="2"/>
      <c r="Q424">
        <v>45</v>
      </c>
      <c r="R424">
        <v>1</v>
      </c>
      <c r="S424">
        <v>4020</v>
      </c>
      <c r="T424" t="s">
        <v>710</v>
      </c>
      <c r="U424">
        <v>100</v>
      </c>
      <c r="V424" s="2">
        <v>0.32</v>
      </c>
      <c r="X424" t="b">
        <v>1</v>
      </c>
      <c r="AE424"/>
      <c r="AZ424" s="2"/>
      <c r="BA424" s="7">
        <v>40</v>
      </c>
      <c r="BB424" t="s">
        <v>925</v>
      </c>
      <c r="BC424" t="s">
        <v>923</v>
      </c>
      <c r="BD424" t="s">
        <v>941</v>
      </c>
      <c r="BE424" t="str">
        <f>IF(OR(Table1[[#This Row],[ENGINE_CLASS]]="STEAM",Table1[[#This Row],[ENGINE_CLASS]]="ELECTRIC",Table1[[#This Row],[ENGINE_CLASS]]="DIESEL"),Table1[[#This Row],[ENGINE_CLASS]],"DISABLE")</f>
        <v>ELECTRIC</v>
      </c>
      <c r="BF424">
        <v>0</v>
      </c>
      <c r="BG424" t="s">
        <v>735</v>
      </c>
      <c r="BI424"/>
      <c r="BJ424">
        <v>78</v>
      </c>
      <c r="BK424">
        <v>0</v>
      </c>
      <c r="BL424" t="s">
        <v>693</v>
      </c>
      <c r="BM424" t="s">
        <v>695</v>
      </c>
      <c r="BN424" t="s">
        <v>702</v>
      </c>
      <c r="BO424" t="s">
        <v>706</v>
      </c>
      <c r="BP424" t="s">
        <v>707</v>
      </c>
      <c r="BQ424" t="s">
        <v>708</v>
      </c>
    </row>
    <row r="425" spans="1:69" x14ac:dyDescent="0.4">
      <c r="A425" s="2" t="s">
        <v>451</v>
      </c>
      <c r="B425" t="str">
        <f>_xlfn.TEXTAFTER(Table1[[#This Row],[VEHIDCODE]],"_")</f>
        <v>South_Africa_SAR_20E</v>
      </c>
      <c r="C425" t="s">
        <v>742</v>
      </c>
      <c r="D425" t="str">
        <f>"item_"&amp;Table1[[#This Row],[VEHIDCODE]]</f>
        <v>item_electric_South_Africa_SAR_20E</v>
      </c>
      <c r="E425" t="str">
        <f>"str_"&amp;Table1[[#This Row],[VEHIDCODE]]</f>
        <v>str_electric_South_Africa_SAR_20E</v>
      </c>
      <c r="F425">
        <v>7</v>
      </c>
      <c r="G425" t="s">
        <v>20</v>
      </c>
      <c r="H425">
        <v>0</v>
      </c>
      <c r="I425" t="s">
        <v>74</v>
      </c>
      <c r="J425">
        <v>0</v>
      </c>
      <c r="K425">
        <v>2013</v>
      </c>
      <c r="L425">
        <v>7</v>
      </c>
      <c r="M425" s="2" t="s">
        <v>20</v>
      </c>
      <c r="N425" t="b">
        <v>1</v>
      </c>
      <c r="P425" s="2"/>
      <c r="Q425" t="s">
        <v>21</v>
      </c>
      <c r="R425">
        <v>1</v>
      </c>
      <c r="S425">
        <v>4155</v>
      </c>
      <c r="T425" t="s">
        <v>710</v>
      </c>
      <c r="U425">
        <v>100</v>
      </c>
      <c r="V425" s="2">
        <v>0.45</v>
      </c>
      <c r="X425" t="b">
        <v>1</v>
      </c>
      <c r="AE425"/>
      <c r="AZ425" s="2"/>
      <c r="BA425" s="7">
        <v>40</v>
      </c>
      <c r="BB425" t="s">
        <v>927</v>
      </c>
      <c r="BC425" t="s">
        <v>923</v>
      </c>
      <c r="BD425" t="s">
        <v>941</v>
      </c>
      <c r="BE425" t="str">
        <f>IF(OR(Table1[[#This Row],[ENGINE_CLASS]]="STEAM",Table1[[#This Row],[ENGINE_CLASS]]="ELECTRIC",Table1[[#This Row],[ENGINE_CLASS]]="DIESEL"),Table1[[#This Row],[ENGINE_CLASS]],"DISABLE")</f>
        <v>ELECTRIC</v>
      </c>
      <c r="BF425">
        <v>0</v>
      </c>
      <c r="BG425" t="s">
        <v>735</v>
      </c>
      <c r="BI425"/>
      <c r="BJ425">
        <v>86</v>
      </c>
      <c r="BK425">
        <v>0</v>
      </c>
      <c r="BL425" t="s">
        <v>693</v>
      </c>
      <c r="BM425" t="s">
        <v>695</v>
      </c>
      <c r="BN425" t="s">
        <v>702</v>
      </c>
      <c r="BO425" t="s">
        <v>706</v>
      </c>
      <c r="BP425" t="s">
        <v>707</v>
      </c>
      <c r="BQ425" t="s">
        <v>708</v>
      </c>
    </row>
    <row r="426" spans="1:69" x14ac:dyDescent="0.4">
      <c r="A426" s="2" t="s">
        <v>452</v>
      </c>
      <c r="B426" t="str">
        <f>_xlfn.TEXTAFTER(Table1[[#This Row],[VEHIDCODE]],"_")</f>
        <v>South_Korea_Korail_8200</v>
      </c>
      <c r="C426" t="s">
        <v>742</v>
      </c>
      <c r="D426" t="str">
        <f>"item_"&amp;Table1[[#This Row],[VEHIDCODE]]</f>
        <v>item_electric_South_Korea_Korail_8200</v>
      </c>
      <c r="E426" t="str">
        <f>"str_"&amp;Table1[[#This Row],[VEHIDCODE]]</f>
        <v>str_electric_South_Korea_Korail_8200</v>
      </c>
      <c r="F426">
        <v>8</v>
      </c>
      <c r="G426" t="s">
        <v>20</v>
      </c>
      <c r="H426">
        <v>0</v>
      </c>
      <c r="I426" t="s">
        <v>74</v>
      </c>
      <c r="J426">
        <v>0</v>
      </c>
      <c r="K426">
        <v>2003</v>
      </c>
      <c r="L426">
        <v>8</v>
      </c>
      <c r="M426" s="2" t="s">
        <v>20</v>
      </c>
      <c r="N426" t="b">
        <v>1</v>
      </c>
      <c r="P426" s="2"/>
      <c r="Q426" t="s">
        <v>21</v>
      </c>
      <c r="R426">
        <v>1</v>
      </c>
      <c r="S426">
        <v>7000</v>
      </c>
      <c r="T426" t="s">
        <v>710</v>
      </c>
      <c r="U426">
        <v>150</v>
      </c>
      <c r="V426" s="2">
        <v>0.38</v>
      </c>
      <c r="X426" t="b">
        <v>1</v>
      </c>
      <c r="AE426"/>
      <c r="AZ426" s="2"/>
      <c r="BA426" s="7">
        <v>40</v>
      </c>
      <c r="BB426" t="s">
        <v>932</v>
      </c>
      <c r="BC426" t="s">
        <v>923</v>
      </c>
      <c r="BD426" t="s">
        <v>941</v>
      </c>
      <c r="BE426" t="str">
        <f>IF(OR(Table1[[#This Row],[ENGINE_CLASS]]="STEAM",Table1[[#This Row],[ENGINE_CLASS]]="ELECTRIC",Table1[[#This Row],[ENGINE_CLASS]]="DIESEL"),Table1[[#This Row],[ENGINE_CLASS]],"DISABLE")</f>
        <v>ELECTRIC</v>
      </c>
      <c r="BF426">
        <v>-3</v>
      </c>
      <c r="BG426" t="s">
        <v>735</v>
      </c>
      <c r="BI426"/>
      <c r="BJ426">
        <v>80</v>
      </c>
      <c r="BK426">
        <v>0</v>
      </c>
      <c r="BL426" t="s">
        <v>693</v>
      </c>
      <c r="BM426" t="s">
        <v>695</v>
      </c>
      <c r="BN426" t="s">
        <v>702</v>
      </c>
      <c r="BO426" t="s">
        <v>706</v>
      </c>
      <c r="BP426" t="s">
        <v>707</v>
      </c>
      <c r="BQ426" t="s">
        <v>708</v>
      </c>
    </row>
    <row r="427" spans="1:69" x14ac:dyDescent="0.4">
      <c r="A427" s="2" t="s">
        <v>453</v>
      </c>
      <c r="B427" t="str">
        <f>_xlfn.TEXTAFTER(Table1[[#This Row],[VEHIDCODE]],"_")</f>
        <v>Ukraine_UZ_DS3</v>
      </c>
      <c r="C427" t="s">
        <v>742</v>
      </c>
      <c r="D427" t="str">
        <f>"item_"&amp;Table1[[#This Row],[VEHIDCODE]]</f>
        <v>item_electric_Ukraine_UZ_DS3</v>
      </c>
      <c r="E427" t="str">
        <f>"str_"&amp;Table1[[#This Row],[VEHIDCODE]]</f>
        <v>str_electric_Ukraine_UZ_DS3</v>
      </c>
      <c r="F427">
        <v>8</v>
      </c>
      <c r="G427" t="s">
        <v>20</v>
      </c>
      <c r="H427">
        <v>0</v>
      </c>
      <c r="I427" t="s">
        <v>74</v>
      </c>
      <c r="J427">
        <v>0</v>
      </c>
      <c r="K427">
        <v>2003</v>
      </c>
      <c r="L427">
        <v>8</v>
      </c>
      <c r="M427" s="2" t="s">
        <v>20</v>
      </c>
      <c r="N427" t="b">
        <v>1</v>
      </c>
      <c r="P427" s="2"/>
      <c r="Q427" t="s">
        <v>21</v>
      </c>
      <c r="R427">
        <v>1</v>
      </c>
      <c r="S427">
        <v>6450</v>
      </c>
      <c r="T427" t="s">
        <v>710</v>
      </c>
      <c r="U427">
        <v>160</v>
      </c>
      <c r="V427" s="2">
        <v>0.32</v>
      </c>
      <c r="X427" t="b">
        <v>1</v>
      </c>
      <c r="AE427"/>
      <c r="AZ427" s="2"/>
      <c r="BA427" s="7">
        <v>40</v>
      </c>
      <c r="BB427" t="s">
        <v>930</v>
      </c>
      <c r="BC427" t="s">
        <v>923</v>
      </c>
      <c r="BD427" t="s">
        <v>941</v>
      </c>
      <c r="BE427" t="str">
        <f>IF(OR(Table1[[#This Row],[ENGINE_CLASS]]="STEAM",Table1[[#This Row],[ENGINE_CLASS]]="ELECTRIC",Table1[[#This Row],[ENGINE_CLASS]]="DIESEL"),Table1[[#This Row],[ENGINE_CLASS]],"DISABLE")</f>
        <v>ELECTRIC</v>
      </c>
      <c r="BF427">
        <v>-3</v>
      </c>
      <c r="BG427" t="s">
        <v>735</v>
      </c>
      <c r="BI427"/>
      <c r="BJ427">
        <v>90</v>
      </c>
      <c r="BK427">
        <v>0</v>
      </c>
      <c r="BL427" t="s">
        <v>693</v>
      </c>
      <c r="BM427" t="s">
        <v>695</v>
      </c>
      <c r="BN427" t="s">
        <v>702</v>
      </c>
      <c r="BO427" t="s">
        <v>706</v>
      </c>
      <c r="BP427" t="s">
        <v>707</v>
      </c>
      <c r="BQ427" t="s">
        <v>708</v>
      </c>
    </row>
    <row r="428" spans="1:69" x14ac:dyDescent="0.4">
      <c r="A428" s="2" t="s">
        <v>454</v>
      </c>
      <c r="B428" t="str">
        <f>_xlfn.TEXTAFTER(Table1[[#This Row],[VEHIDCODE]],"_")</f>
        <v>Czech_Republic_CD_S499</v>
      </c>
      <c r="C428" t="s">
        <v>742</v>
      </c>
      <c r="D428" t="str">
        <f>"item_"&amp;Table1[[#This Row],[VEHIDCODE]]</f>
        <v>item_electric_Czech_Republic_CD_S499</v>
      </c>
      <c r="E428" t="str">
        <f>"str_"&amp;Table1[[#This Row],[VEHIDCODE]]</f>
        <v>str_electric_Czech_Republic_CD_S499</v>
      </c>
      <c r="F428">
        <v>8</v>
      </c>
      <c r="G428" t="s">
        <v>20</v>
      </c>
      <c r="H428">
        <v>0</v>
      </c>
      <c r="I428" t="s">
        <v>74</v>
      </c>
      <c r="J428">
        <v>0</v>
      </c>
      <c r="K428">
        <v>1966</v>
      </c>
      <c r="L428">
        <v>8</v>
      </c>
      <c r="M428" s="2" t="s">
        <v>20</v>
      </c>
      <c r="N428" t="b">
        <v>1</v>
      </c>
      <c r="P428" s="2"/>
      <c r="Q428">
        <v>45</v>
      </c>
      <c r="R428">
        <v>1</v>
      </c>
      <c r="S428">
        <v>4130</v>
      </c>
      <c r="T428" t="s">
        <v>710</v>
      </c>
      <c r="U428">
        <v>120</v>
      </c>
      <c r="V428" s="2">
        <v>0.28000000000000003</v>
      </c>
      <c r="X428" t="b">
        <v>1</v>
      </c>
      <c r="AE428"/>
      <c r="AZ428" s="2"/>
      <c r="BA428" s="7">
        <v>40</v>
      </c>
      <c r="BB428" t="s">
        <v>930</v>
      </c>
      <c r="BC428" t="s">
        <v>923</v>
      </c>
      <c r="BD428" t="s">
        <v>941</v>
      </c>
      <c r="BE428" t="str">
        <f>IF(OR(Table1[[#This Row],[ENGINE_CLASS]]="STEAM",Table1[[#This Row],[ENGINE_CLASS]]="ELECTRIC",Table1[[#This Row],[ENGINE_CLASS]]="DIESEL"),Table1[[#This Row],[ENGINE_CLASS]],"DISABLE")</f>
        <v>ELECTRIC</v>
      </c>
      <c r="BF428">
        <v>0</v>
      </c>
      <c r="BG428" t="s">
        <v>735</v>
      </c>
      <c r="BI428"/>
      <c r="BJ428">
        <v>85</v>
      </c>
      <c r="BK428">
        <v>0</v>
      </c>
      <c r="BL428" t="s">
        <v>693</v>
      </c>
      <c r="BM428" t="s">
        <v>695</v>
      </c>
      <c r="BN428" t="s">
        <v>702</v>
      </c>
      <c r="BO428" t="s">
        <v>706</v>
      </c>
      <c r="BP428" t="s">
        <v>707</v>
      </c>
      <c r="BQ428" t="s">
        <v>708</v>
      </c>
    </row>
    <row r="429" spans="1:69" x14ac:dyDescent="0.4">
      <c r="A429" s="2" t="s">
        <v>455</v>
      </c>
      <c r="B429" t="str">
        <f>_xlfn.TEXTAFTER(Table1[[#This Row],[VEHIDCODE]],"_")</f>
        <v>Italy_FS_E491</v>
      </c>
      <c r="C429" t="s">
        <v>742</v>
      </c>
      <c r="D429" t="str">
        <f>"item_"&amp;Table1[[#This Row],[VEHIDCODE]]</f>
        <v>item_electric_Italy_FS_E491</v>
      </c>
      <c r="E429" t="str">
        <f>"str_"&amp;Table1[[#This Row],[VEHIDCODE]]</f>
        <v>str_electric_Italy_FS_E491</v>
      </c>
      <c r="F429">
        <v>8</v>
      </c>
      <c r="G429" t="s">
        <v>20</v>
      </c>
      <c r="H429">
        <v>0</v>
      </c>
      <c r="I429" t="s">
        <v>74</v>
      </c>
      <c r="J429">
        <v>0</v>
      </c>
      <c r="K429">
        <v>1988</v>
      </c>
      <c r="L429">
        <v>8</v>
      </c>
      <c r="M429" s="2" t="s">
        <v>20</v>
      </c>
      <c r="N429" t="b">
        <v>1</v>
      </c>
      <c r="P429" s="2"/>
      <c r="Q429">
        <v>45</v>
      </c>
      <c r="R429">
        <v>1</v>
      </c>
      <c r="S429">
        <v>4600</v>
      </c>
      <c r="T429" t="s">
        <v>710</v>
      </c>
      <c r="U429">
        <v>140</v>
      </c>
      <c r="V429" s="2">
        <v>0.3</v>
      </c>
      <c r="X429" t="b">
        <v>1</v>
      </c>
      <c r="AE429"/>
      <c r="AZ429" s="2"/>
      <c r="BA429" s="7">
        <v>40</v>
      </c>
      <c r="BB429" t="s">
        <v>925</v>
      </c>
      <c r="BC429" t="s">
        <v>923</v>
      </c>
      <c r="BD429" t="s">
        <v>941</v>
      </c>
      <c r="BE429" t="str">
        <f>IF(OR(Table1[[#This Row],[ENGINE_CLASS]]="STEAM",Table1[[#This Row],[ENGINE_CLASS]]="ELECTRIC",Table1[[#This Row],[ENGINE_CLASS]]="DIESEL"),Table1[[#This Row],[ENGINE_CLASS]],"DISABLE")</f>
        <v>ELECTRIC</v>
      </c>
      <c r="BF429">
        <v>0</v>
      </c>
      <c r="BG429" t="s">
        <v>735</v>
      </c>
      <c r="BI429"/>
      <c r="BJ429">
        <v>77</v>
      </c>
      <c r="BK429">
        <v>0</v>
      </c>
      <c r="BL429" t="s">
        <v>693</v>
      </c>
      <c r="BM429" t="s">
        <v>695</v>
      </c>
      <c r="BN429" t="s">
        <v>702</v>
      </c>
      <c r="BO429" t="s">
        <v>706</v>
      </c>
      <c r="BP429" t="s">
        <v>707</v>
      </c>
      <c r="BQ429" t="s">
        <v>708</v>
      </c>
    </row>
    <row r="430" spans="1:69" x14ac:dyDescent="0.4">
      <c r="A430" s="2" t="s">
        <v>456</v>
      </c>
      <c r="B430" t="str">
        <f>_xlfn.TEXTAFTER(Table1[[#This Row],[VEHIDCODE]],"_")</f>
        <v>Macedonia_Macedonian_Railways_462</v>
      </c>
      <c r="C430" t="s">
        <v>742</v>
      </c>
      <c r="D430" t="str">
        <f>"item_"&amp;Table1[[#This Row],[VEHIDCODE]]</f>
        <v>item_electric_Macedonia_Macedonian_Railways_462</v>
      </c>
      <c r="E430" t="str">
        <f>"str_"&amp;Table1[[#This Row],[VEHIDCODE]]</f>
        <v>str_electric_Macedonia_Macedonian_Railways_462</v>
      </c>
      <c r="F430">
        <v>8</v>
      </c>
      <c r="G430" t="s">
        <v>20</v>
      </c>
      <c r="H430">
        <v>0</v>
      </c>
      <c r="I430" t="s">
        <v>74</v>
      </c>
      <c r="J430">
        <v>0</v>
      </c>
      <c r="K430">
        <v>1978</v>
      </c>
      <c r="L430">
        <v>8</v>
      </c>
      <c r="M430" s="2" t="s">
        <v>20</v>
      </c>
      <c r="N430" t="b">
        <v>1</v>
      </c>
      <c r="P430" s="2"/>
      <c r="Q430">
        <v>45</v>
      </c>
      <c r="R430">
        <v>1</v>
      </c>
      <c r="S430">
        <v>6834</v>
      </c>
      <c r="T430" t="s">
        <v>710</v>
      </c>
      <c r="U430">
        <v>120</v>
      </c>
      <c r="V430" s="2">
        <v>0.33</v>
      </c>
      <c r="X430" t="b">
        <v>1</v>
      </c>
      <c r="AE430"/>
      <c r="AZ430" s="2"/>
      <c r="BA430" s="7">
        <v>40</v>
      </c>
      <c r="BB430" t="s">
        <v>925</v>
      </c>
      <c r="BC430" t="s">
        <v>923</v>
      </c>
      <c r="BD430" t="s">
        <v>941</v>
      </c>
      <c r="BE430" t="str">
        <f>IF(OR(Table1[[#This Row],[ENGINE_CLASS]]="STEAM",Table1[[#This Row],[ENGINE_CLASS]]="ELECTRIC",Table1[[#This Row],[ENGINE_CLASS]]="DIESEL"),Table1[[#This Row],[ENGINE_CLASS]],"DISABLE")</f>
        <v>ELECTRIC</v>
      </c>
      <c r="BF430">
        <v>0</v>
      </c>
      <c r="BG430" t="s">
        <v>735</v>
      </c>
      <c r="BI430"/>
      <c r="BJ430">
        <v>120</v>
      </c>
      <c r="BK430">
        <v>0</v>
      </c>
      <c r="BL430" t="s">
        <v>693</v>
      </c>
      <c r="BM430" t="s">
        <v>695</v>
      </c>
      <c r="BN430" t="s">
        <v>702</v>
      </c>
      <c r="BO430" t="s">
        <v>706</v>
      </c>
      <c r="BP430" t="s">
        <v>707</v>
      </c>
      <c r="BQ430" t="s">
        <v>708</v>
      </c>
    </row>
    <row r="431" spans="1:69" x14ac:dyDescent="0.4">
      <c r="A431" s="2" t="s">
        <v>457</v>
      </c>
      <c r="B431" t="str">
        <f>_xlfn.TEXTAFTER(Table1[[#This Row],[VEHIDCODE]],"_")</f>
        <v>Morocco_ONCFM_E_500</v>
      </c>
      <c r="C431" t="s">
        <v>742</v>
      </c>
      <c r="D431" t="str">
        <f>"item_"&amp;Table1[[#This Row],[VEHIDCODE]]</f>
        <v>item_electric_Morocco_ONCFM_E_500</v>
      </c>
      <c r="E431" t="str">
        <f>"str_"&amp;Table1[[#This Row],[VEHIDCODE]]</f>
        <v>str_electric_Morocco_ONCFM_E_500</v>
      </c>
      <c r="F431">
        <v>5</v>
      </c>
      <c r="G431" t="s">
        <v>20</v>
      </c>
      <c r="H431">
        <v>0</v>
      </c>
      <c r="I431" t="s">
        <v>74</v>
      </c>
      <c r="J431">
        <v>0</v>
      </c>
      <c r="K431">
        <v>1926</v>
      </c>
      <c r="L431">
        <v>5</v>
      </c>
      <c r="M431" s="2" t="s">
        <v>24</v>
      </c>
      <c r="N431" t="b">
        <v>1</v>
      </c>
      <c r="P431" s="2"/>
      <c r="Q431">
        <v>45</v>
      </c>
      <c r="R431">
        <v>1</v>
      </c>
      <c r="S431">
        <v>986</v>
      </c>
      <c r="T431" t="s">
        <v>710</v>
      </c>
      <c r="U431">
        <v>90</v>
      </c>
      <c r="V431" s="2">
        <v>0.21</v>
      </c>
      <c r="X431" t="b">
        <v>1</v>
      </c>
      <c r="AE431"/>
      <c r="AZ431" s="2"/>
      <c r="BA431" s="7">
        <v>40</v>
      </c>
      <c r="BB431" t="s">
        <v>927</v>
      </c>
      <c r="BC431" t="s">
        <v>923</v>
      </c>
      <c r="BD431" t="s">
        <v>941</v>
      </c>
      <c r="BE431" t="str">
        <f>IF(OR(Table1[[#This Row],[ENGINE_CLASS]]="STEAM",Table1[[#This Row],[ENGINE_CLASS]]="ELECTRIC",Table1[[#This Row],[ENGINE_CLASS]]="DIESEL"),Table1[[#This Row],[ENGINE_CLASS]],"DISABLE")</f>
        <v>ELECTRIC</v>
      </c>
      <c r="BF431">
        <v>0</v>
      </c>
      <c r="BG431" t="s">
        <v>735</v>
      </c>
      <c r="BI431"/>
      <c r="BJ431">
        <v>72</v>
      </c>
      <c r="BK431">
        <v>0</v>
      </c>
      <c r="BL431" t="s">
        <v>693</v>
      </c>
      <c r="BM431" t="s">
        <v>695</v>
      </c>
      <c r="BN431" t="s">
        <v>702</v>
      </c>
      <c r="BO431" t="s">
        <v>706</v>
      </c>
      <c r="BP431" t="s">
        <v>707</v>
      </c>
      <c r="BQ431" t="s">
        <v>708</v>
      </c>
    </row>
    <row r="432" spans="1:69" x14ac:dyDescent="0.4">
      <c r="A432" s="2" t="s">
        <v>458</v>
      </c>
      <c r="B432" t="str">
        <f>_xlfn.TEXTAFTER(Table1[[#This Row],[VEHIDCODE]],"_")</f>
        <v>UK_BR_85</v>
      </c>
      <c r="C432" t="s">
        <v>742</v>
      </c>
      <c r="D432" t="str">
        <f>"item_"&amp;Table1[[#This Row],[VEHIDCODE]]</f>
        <v>item_electric_UK_BR_85</v>
      </c>
      <c r="E432" t="str">
        <f>"str_"&amp;Table1[[#This Row],[VEHIDCODE]]</f>
        <v>str_electric_UK_BR_85</v>
      </c>
      <c r="F432">
        <v>7</v>
      </c>
      <c r="G432" t="s">
        <v>20</v>
      </c>
      <c r="H432">
        <v>0</v>
      </c>
      <c r="I432" t="s">
        <v>74</v>
      </c>
      <c r="J432">
        <v>0</v>
      </c>
      <c r="K432">
        <v>1961</v>
      </c>
      <c r="L432">
        <v>7</v>
      </c>
      <c r="M432" s="2" t="s">
        <v>24</v>
      </c>
      <c r="N432" t="b">
        <v>1</v>
      </c>
      <c r="P432" s="2"/>
      <c r="Q432">
        <v>45</v>
      </c>
      <c r="R432">
        <v>1</v>
      </c>
      <c r="S432">
        <v>3200</v>
      </c>
      <c r="T432" t="s">
        <v>710</v>
      </c>
      <c r="U432">
        <v>160</v>
      </c>
      <c r="V432" s="2">
        <v>0.27</v>
      </c>
      <c r="X432" t="b">
        <v>1</v>
      </c>
      <c r="AE432"/>
      <c r="AZ432" s="2"/>
      <c r="BA432" s="7">
        <v>40</v>
      </c>
      <c r="BB432" t="s">
        <v>928</v>
      </c>
      <c r="BC432" t="s">
        <v>923</v>
      </c>
      <c r="BD432" t="s">
        <v>941</v>
      </c>
      <c r="BE432" t="str">
        <f>IF(OR(Table1[[#This Row],[ENGINE_CLASS]]="STEAM",Table1[[#This Row],[ENGINE_CLASS]]="ELECTRIC",Table1[[#This Row],[ENGINE_CLASS]]="DIESEL"),Table1[[#This Row],[ENGINE_CLASS]],"DISABLE")</f>
        <v>ELECTRIC</v>
      </c>
      <c r="BF432">
        <v>0</v>
      </c>
      <c r="BG432" t="s">
        <v>735</v>
      </c>
      <c r="BI432"/>
      <c r="BJ432">
        <v>81</v>
      </c>
      <c r="BK432">
        <v>0</v>
      </c>
      <c r="BL432" t="s">
        <v>693</v>
      </c>
      <c r="BM432" t="s">
        <v>695</v>
      </c>
      <c r="BN432" t="s">
        <v>702</v>
      </c>
      <c r="BO432" t="s">
        <v>706</v>
      </c>
      <c r="BP432" t="s">
        <v>707</v>
      </c>
      <c r="BQ432" t="s">
        <v>708</v>
      </c>
    </row>
    <row r="433" spans="1:69" x14ac:dyDescent="0.4">
      <c r="A433" s="2" t="s">
        <v>459</v>
      </c>
      <c r="B433" t="str">
        <f>_xlfn.TEXTAFTER(Table1[[#This Row],[VEHIDCODE]],"_")</f>
        <v>Mexico_FNM_GE_E60C_2</v>
      </c>
      <c r="C433" t="s">
        <v>742</v>
      </c>
      <c r="D433" t="str">
        <f>"item_"&amp;Table1[[#This Row],[VEHIDCODE]]</f>
        <v>item_electric_Mexico_FNM_GE_E60C_2</v>
      </c>
      <c r="E433" t="str">
        <f>"str_"&amp;Table1[[#This Row],[VEHIDCODE]]</f>
        <v>str_electric_Mexico_FNM_GE_E60C_2</v>
      </c>
      <c r="F433">
        <v>8</v>
      </c>
      <c r="G433" t="s">
        <v>20</v>
      </c>
      <c r="H433">
        <v>0</v>
      </c>
      <c r="I433" t="s">
        <v>74</v>
      </c>
      <c r="J433">
        <v>0</v>
      </c>
      <c r="K433">
        <v>1982</v>
      </c>
      <c r="L433">
        <v>8</v>
      </c>
      <c r="M433" s="2" t="s">
        <v>20</v>
      </c>
      <c r="N433" t="b">
        <v>1</v>
      </c>
      <c r="P433" s="2"/>
      <c r="Q433">
        <v>45</v>
      </c>
      <c r="R433">
        <v>1</v>
      </c>
      <c r="S433">
        <v>6000</v>
      </c>
      <c r="T433" t="s">
        <v>710</v>
      </c>
      <c r="U433">
        <v>145</v>
      </c>
      <c r="V433" s="2">
        <v>0.19</v>
      </c>
      <c r="X433" t="b">
        <v>1</v>
      </c>
      <c r="AE433"/>
      <c r="AZ433" s="2"/>
      <c r="BA433" s="7">
        <v>40</v>
      </c>
      <c r="BB433" t="s">
        <v>929</v>
      </c>
      <c r="BC433" t="s">
        <v>923</v>
      </c>
      <c r="BD433" t="s">
        <v>941</v>
      </c>
      <c r="BE433" t="str">
        <f>IF(OR(Table1[[#This Row],[ENGINE_CLASS]]="STEAM",Table1[[#This Row],[ENGINE_CLASS]]="ELECTRIC",Table1[[#This Row],[ENGINE_CLASS]]="DIESEL"),Table1[[#This Row],[ENGINE_CLASS]],"DISABLE")</f>
        <v>ELECTRIC</v>
      </c>
      <c r="BF433">
        <v>0</v>
      </c>
      <c r="BG433" t="s">
        <v>735</v>
      </c>
      <c r="BI433"/>
      <c r="BJ433">
        <v>176</v>
      </c>
      <c r="BK433">
        <v>0</v>
      </c>
      <c r="BL433" t="s">
        <v>693</v>
      </c>
      <c r="BM433" t="s">
        <v>695</v>
      </c>
      <c r="BN433" t="s">
        <v>702</v>
      </c>
      <c r="BO433" t="s">
        <v>706</v>
      </c>
      <c r="BP433" t="s">
        <v>707</v>
      </c>
      <c r="BQ433" t="s">
        <v>708</v>
      </c>
    </row>
    <row r="434" spans="1:69" x14ac:dyDescent="0.4">
      <c r="A434" s="2" t="s">
        <v>460</v>
      </c>
      <c r="B434" t="str">
        <f>_xlfn.TEXTAFTER(Table1[[#This Row],[VEHIDCODE]],"_")</f>
        <v>Morocco_ONCF_E_1400_Prima_II</v>
      </c>
      <c r="C434" t="s">
        <v>742</v>
      </c>
      <c r="D434" t="str">
        <f>"item_"&amp;Table1[[#This Row],[VEHIDCODE]]</f>
        <v>item_electric_Morocco_ONCF_E_1400_Prima_II</v>
      </c>
      <c r="E434" t="str">
        <f>"str_"&amp;Table1[[#This Row],[VEHIDCODE]]</f>
        <v>str_electric_Morocco_ONCF_E_1400_Prima_II</v>
      </c>
      <c r="F434">
        <v>8</v>
      </c>
      <c r="G434" t="s">
        <v>20</v>
      </c>
      <c r="H434">
        <v>0</v>
      </c>
      <c r="I434" t="s">
        <v>74</v>
      </c>
      <c r="J434">
        <v>0</v>
      </c>
      <c r="K434">
        <v>2010</v>
      </c>
      <c r="L434">
        <v>8</v>
      </c>
      <c r="M434" s="2" t="s">
        <v>20</v>
      </c>
      <c r="N434" t="b">
        <v>1</v>
      </c>
      <c r="P434" s="2"/>
      <c r="Q434" t="s">
        <v>21</v>
      </c>
      <c r="R434">
        <v>1</v>
      </c>
      <c r="S434">
        <v>7700</v>
      </c>
      <c r="T434" t="s">
        <v>710</v>
      </c>
      <c r="U434">
        <v>200</v>
      </c>
      <c r="V434" s="2">
        <v>0.35</v>
      </c>
      <c r="X434" t="b">
        <v>1</v>
      </c>
      <c r="AE434"/>
      <c r="AZ434" s="2"/>
      <c r="BA434" s="7">
        <v>40</v>
      </c>
      <c r="BB434" t="s">
        <v>927</v>
      </c>
      <c r="BC434" t="s">
        <v>923</v>
      </c>
      <c r="BD434" t="s">
        <v>941</v>
      </c>
      <c r="BE434" t="str">
        <f>IF(OR(Table1[[#This Row],[ENGINE_CLASS]]="STEAM",Table1[[#This Row],[ENGINE_CLASS]]="ELECTRIC",Table1[[#This Row],[ENGINE_CLASS]]="DIESEL"),Table1[[#This Row],[ENGINE_CLASS]],"DISABLE")</f>
        <v>ELECTRIC</v>
      </c>
      <c r="BF434">
        <v>0</v>
      </c>
      <c r="BG434" t="s">
        <v>735</v>
      </c>
      <c r="BI434"/>
      <c r="BJ434">
        <v>91</v>
      </c>
      <c r="BK434">
        <v>0</v>
      </c>
      <c r="BL434" t="s">
        <v>693</v>
      </c>
      <c r="BM434" t="s">
        <v>695</v>
      </c>
      <c r="BN434" t="s">
        <v>702</v>
      </c>
      <c r="BO434" t="s">
        <v>706</v>
      </c>
      <c r="BP434" t="s">
        <v>707</v>
      </c>
      <c r="BQ434" t="s">
        <v>708</v>
      </c>
    </row>
    <row r="435" spans="1:69" x14ac:dyDescent="0.4">
      <c r="A435" s="2" t="s">
        <v>461</v>
      </c>
      <c r="B435" t="str">
        <f>_xlfn.TEXTAFTER(Table1[[#This Row],[VEHIDCODE]],"_")</f>
        <v>New_Zealand_NZR_EA</v>
      </c>
      <c r="C435" t="s">
        <v>742</v>
      </c>
      <c r="D435" t="str">
        <f>"item_"&amp;Table1[[#This Row],[VEHIDCODE]]</f>
        <v>item_electric_New_Zealand_NZR_EA</v>
      </c>
      <c r="E435" t="str">
        <f>"str_"&amp;Table1[[#This Row],[VEHIDCODE]]</f>
        <v>str_electric_New_Zealand_NZR_EA</v>
      </c>
      <c r="F435">
        <v>6</v>
      </c>
      <c r="G435" t="s">
        <v>20</v>
      </c>
      <c r="H435">
        <v>0</v>
      </c>
      <c r="I435" t="s">
        <v>74</v>
      </c>
      <c r="J435">
        <v>0</v>
      </c>
      <c r="K435">
        <v>1968</v>
      </c>
      <c r="L435">
        <v>6</v>
      </c>
      <c r="M435" s="2" t="s">
        <v>20</v>
      </c>
      <c r="N435" t="b">
        <v>1</v>
      </c>
      <c r="P435" s="2"/>
      <c r="Q435">
        <v>45</v>
      </c>
      <c r="R435">
        <v>1</v>
      </c>
      <c r="S435">
        <v>1290</v>
      </c>
      <c r="T435" t="s">
        <v>710</v>
      </c>
      <c r="U435">
        <v>72</v>
      </c>
      <c r="V435" s="2">
        <v>0.32</v>
      </c>
      <c r="X435" t="b">
        <v>1</v>
      </c>
      <c r="AE435"/>
      <c r="AZ435" s="2"/>
      <c r="BA435" s="7">
        <v>40</v>
      </c>
      <c r="BB435" t="s">
        <v>926</v>
      </c>
      <c r="BC435" t="s">
        <v>923</v>
      </c>
      <c r="BD435" t="s">
        <v>941</v>
      </c>
      <c r="BE435" t="str">
        <f>IF(OR(Table1[[#This Row],[ENGINE_CLASS]]="STEAM",Table1[[#This Row],[ENGINE_CLASS]]="ELECTRIC",Table1[[#This Row],[ENGINE_CLASS]]="DIESEL"),Table1[[#This Row],[ENGINE_CLASS]],"DISABLE")</f>
        <v>ELECTRIC</v>
      </c>
      <c r="BF435">
        <v>0</v>
      </c>
      <c r="BG435" t="s">
        <v>735</v>
      </c>
      <c r="BI435"/>
      <c r="BJ435">
        <v>55</v>
      </c>
      <c r="BK435">
        <v>0</v>
      </c>
      <c r="BL435" t="s">
        <v>693</v>
      </c>
      <c r="BM435" t="s">
        <v>695</v>
      </c>
      <c r="BN435" t="s">
        <v>702</v>
      </c>
      <c r="BO435" t="s">
        <v>706</v>
      </c>
      <c r="BP435" t="s">
        <v>707</v>
      </c>
      <c r="BQ435" t="s">
        <v>708</v>
      </c>
    </row>
    <row r="436" spans="1:69" x14ac:dyDescent="0.4">
      <c r="A436" s="2" t="s">
        <v>462</v>
      </c>
      <c r="B436" t="str">
        <f>_xlfn.TEXTAFTER(Table1[[#This Row],[VEHIDCODE]],"_")</f>
        <v>Canada_BC_Rail_GF6C</v>
      </c>
      <c r="C436" t="s">
        <v>742</v>
      </c>
      <c r="D436" t="str">
        <f>"item_"&amp;Table1[[#This Row],[VEHIDCODE]]</f>
        <v>item_electric_Canada_BC_Rail_GF6C</v>
      </c>
      <c r="E436" t="str">
        <f>"str_"&amp;Table1[[#This Row],[VEHIDCODE]]</f>
        <v>str_electric_Canada_BC_Rail_GF6C</v>
      </c>
      <c r="F436">
        <v>8</v>
      </c>
      <c r="G436" t="s">
        <v>20</v>
      </c>
      <c r="H436">
        <v>0</v>
      </c>
      <c r="I436" t="s">
        <v>74</v>
      </c>
      <c r="J436">
        <v>0</v>
      </c>
      <c r="K436">
        <v>1983</v>
      </c>
      <c r="L436">
        <v>8</v>
      </c>
      <c r="M436" s="2" t="s">
        <v>20</v>
      </c>
      <c r="N436" t="b">
        <v>1</v>
      </c>
      <c r="P436" s="2"/>
      <c r="Q436">
        <v>45</v>
      </c>
      <c r="R436">
        <v>1</v>
      </c>
      <c r="S436">
        <v>6000</v>
      </c>
      <c r="T436" t="s">
        <v>710</v>
      </c>
      <c r="U436">
        <v>110</v>
      </c>
      <c r="V436" s="2">
        <v>0.22</v>
      </c>
      <c r="X436" t="b">
        <v>1</v>
      </c>
      <c r="AE436"/>
      <c r="AZ436" s="2"/>
      <c r="BA436" s="7">
        <v>40</v>
      </c>
      <c r="BB436" t="s">
        <v>929</v>
      </c>
      <c r="BC436" t="s">
        <v>923</v>
      </c>
      <c r="BD436" t="s">
        <v>941</v>
      </c>
      <c r="BE436" t="str">
        <f>IF(OR(Table1[[#This Row],[ENGINE_CLASS]]="STEAM",Table1[[#This Row],[ENGINE_CLASS]]="ELECTRIC",Table1[[#This Row],[ENGINE_CLASS]]="DIESEL"),Table1[[#This Row],[ENGINE_CLASS]],"DISABLE")</f>
        <v>ELECTRIC</v>
      </c>
      <c r="BF436">
        <v>0</v>
      </c>
      <c r="BG436" t="s">
        <v>735</v>
      </c>
      <c r="BI436"/>
      <c r="BJ436">
        <v>180</v>
      </c>
      <c r="BK436">
        <v>0</v>
      </c>
      <c r="BL436" t="s">
        <v>693</v>
      </c>
      <c r="BM436" t="s">
        <v>695</v>
      </c>
      <c r="BN436" t="s">
        <v>702</v>
      </c>
      <c r="BO436" t="s">
        <v>706</v>
      </c>
      <c r="BP436" t="s">
        <v>707</v>
      </c>
      <c r="BQ436" t="s">
        <v>708</v>
      </c>
    </row>
    <row r="437" spans="1:69" x14ac:dyDescent="0.4">
      <c r="A437" s="2" t="s">
        <v>463</v>
      </c>
      <c r="B437" t="str">
        <f>_xlfn.TEXTAFTER(Table1[[#This Row],[VEHIDCODE]],"_")</f>
        <v>France_SNCF_BB_22200</v>
      </c>
      <c r="C437" t="s">
        <v>742</v>
      </c>
      <c r="D437" t="str">
        <f>"item_"&amp;Table1[[#This Row],[VEHIDCODE]]</f>
        <v>item_electric_France_SNCF_BB_22200</v>
      </c>
      <c r="E437" t="str">
        <f>"str_"&amp;Table1[[#This Row],[VEHIDCODE]]</f>
        <v>str_electric_France_SNCF_BB_22200</v>
      </c>
      <c r="F437">
        <v>8</v>
      </c>
      <c r="G437" t="s">
        <v>20</v>
      </c>
      <c r="H437">
        <v>0</v>
      </c>
      <c r="I437" t="s">
        <v>74</v>
      </c>
      <c r="J437">
        <v>0</v>
      </c>
      <c r="K437">
        <v>1976</v>
      </c>
      <c r="L437">
        <v>8</v>
      </c>
      <c r="M437" s="2" t="s">
        <v>20</v>
      </c>
      <c r="N437" t="b">
        <v>1</v>
      </c>
      <c r="P437" s="2"/>
      <c r="Q437">
        <v>45</v>
      </c>
      <c r="R437">
        <v>1</v>
      </c>
      <c r="S437">
        <v>5842</v>
      </c>
      <c r="T437" t="s">
        <v>710</v>
      </c>
      <c r="U437">
        <v>160</v>
      </c>
      <c r="V437" s="2">
        <v>0.33</v>
      </c>
      <c r="W437" t="b">
        <v>1</v>
      </c>
      <c r="AE437"/>
      <c r="AZ437" s="2"/>
      <c r="BA437" s="7">
        <v>40</v>
      </c>
      <c r="BB437" t="s">
        <v>924</v>
      </c>
      <c r="BC437" t="s">
        <v>923</v>
      </c>
      <c r="BD437" t="s">
        <v>941</v>
      </c>
      <c r="BE437" t="str">
        <f>IF(OR(Table1[[#This Row],[ENGINE_CLASS]]="STEAM",Table1[[#This Row],[ENGINE_CLASS]]="ELECTRIC",Table1[[#This Row],[ENGINE_CLASS]]="DIESEL"),Table1[[#This Row],[ENGINE_CLASS]],"DISABLE")</f>
        <v>ELECTRIC</v>
      </c>
      <c r="BF437">
        <v>-3</v>
      </c>
      <c r="BG437" t="s">
        <v>735</v>
      </c>
      <c r="BI437"/>
      <c r="BJ437">
        <v>90</v>
      </c>
      <c r="BK437">
        <v>0</v>
      </c>
      <c r="BL437" t="s">
        <v>693</v>
      </c>
      <c r="BM437" t="s">
        <v>695</v>
      </c>
      <c r="BN437" t="s">
        <v>702</v>
      </c>
      <c r="BO437" t="s">
        <v>706</v>
      </c>
      <c r="BP437" t="s">
        <v>707</v>
      </c>
      <c r="BQ437" t="s">
        <v>708</v>
      </c>
    </row>
    <row r="438" spans="1:69" x14ac:dyDescent="0.4">
      <c r="A438" s="2" t="s">
        <v>464</v>
      </c>
      <c r="B438" t="str">
        <f>_xlfn.TEXTAFTER(Table1[[#This Row],[VEHIDCODE]],"_")</f>
        <v>France_SNCF_BB_26000</v>
      </c>
      <c r="C438" t="s">
        <v>742</v>
      </c>
      <c r="D438" t="str">
        <f>"item_"&amp;Table1[[#This Row],[VEHIDCODE]]</f>
        <v>item_electric_France_SNCF_BB_26000</v>
      </c>
      <c r="E438" t="str">
        <f>"str_"&amp;Table1[[#This Row],[VEHIDCODE]]</f>
        <v>str_electric_France_SNCF_BB_26000</v>
      </c>
      <c r="F438">
        <v>8</v>
      </c>
      <c r="G438" t="s">
        <v>20</v>
      </c>
      <c r="H438">
        <v>0</v>
      </c>
      <c r="I438" t="s">
        <v>74</v>
      </c>
      <c r="J438">
        <v>0</v>
      </c>
      <c r="K438">
        <v>1989</v>
      </c>
      <c r="L438">
        <v>8</v>
      </c>
      <c r="M438" s="2" t="s">
        <v>20</v>
      </c>
      <c r="N438" t="b">
        <v>1</v>
      </c>
      <c r="P438" s="2"/>
      <c r="Q438" t="s">
        <v>21</v>
      </c>
      <c r="R438">
        <v>1</v>
      </c>
      <c r="S438">
        <v>7504</v>
      </c>
      <c r="T438" t="s">
        <v>710</v>
      </c>
      <c r="U438">
        <v>200</v>
      </c>
      <c r="V438" s="2">
        <v>0.36</v>
      </c>
      <c r="W438" t="b">
        <v>1</v>
      </c>
      <c r="AE438"/>
      <c r="AZ438" s="2"/>
      <c r="BA438" s="7">
        <v>40</v>
      </c>
      <c r="BB438" t="s">
        <v>924</v>
      </c>
      <c r="BC438" t="s">
        <v>923</v>
      </c>
      <c r="BD438" t="s">
        <v>941</v>
      </c>
      <c r="BE438" t="str">
        <f>IF(OR(Table1[[#This Row],[ENGINE_CLASS]]="STEAM",Table1[[#This Row],[ENGINE_CLASS]]="ELECTRIC",Table1[[#This Row],[ENGINE_CLASS]]="DIESEL"),Table1[[#This Row],[ENGINE_CLASS]],"DISABLE")</f>
        <v>ELECTRIC</v>
      </c>
      <c r="BF438">
        <v>-3</v>
      </c>
      <c r="BG438" t="s">
        <v>735</v>
      </c>
      <c r="BI438"/>
      <c r="BJ438">
        <v>90</v>
      </c>
      <c r="BK438">
        <v>0</v>
      </c>
      <c r="BL438" t="s">
        <v>693</v>
      </c>
      <c r="BM438" t="s">
        <v>695</v>
      </c>
      <c r="BN438" t="s">
        <v>702</v>
      </c>
      <c r="BO438" t="s">
        <v>706</v>
      </c>
      <c r="BP438" t="s">
        <v>707</v>
      </c>
      <c r="BQ438" t="s">
        <v>708</v>
      </c>
    </row>
    <row r="439" spans="1:69" x14ac:dyDescent="0.4">
      <c r="A439" s="2" t="s">
        <v>465</v>
      </c>
      <c r="B439" t="str">
        <f>_xlfn.TEXTAFTER(Table1[[#This Row],[VEHIDCODE]],"_")</f>
        <v>France_SNCF_BB_25500</v>
      </c>
      <c r="C439" t="s">
        <v>742</v>
      </c>
      <c r="D439" t="str">
        <f>"item_"&amp;Table1[[#This Row],[VEHIDCODE]]</f>
        <v>item_electric_France_SNCF_BB_25500</v>
      </c>
      <c r="E439" t="str">
        <f>"str_"&amp;Table1[[#This Row],[VEHIDCODE]]</f>
        <v>str_electric_France_SNCF_BB_25500</v>
      </c>
      <c r="F439">
        <v>8</v>
      </c>
      <c r="G439" t="s">
        <v>20</v>
      </c>
      <c r="H439">
        <v>0</v>
      </c>
      <c r="I439" t="s">
        <v>74</v>
      </c>
      <c r="J439">
        <v>0</v>
      </c>
      <c r="K439">
        <v>1964</v>
      </c>
      <c r="L439">
        <v>8</v>
      </c>
      <c r="M439" s="2" t="s">
        <v>20</v>
      </c>
      <c r="N439" t="b">
        <v>1</v>
      </c>
      <c r="P439" s="2"/>
      <c r="Q439">
        <v>45</v>
      </c>
      <c r="R439">
        <v>1</v>
      </c>
      <c r="S439">
        <v>3940</v>
      </c>
      <c r="T439" t="s">
        <v>710</v>
      </c>
      <c r="U439">
        <v>100</v>
      </c>
      <c r="V439" s="2">
        <v>0.42</v>
      </c>
      <c r="W439" t="b">
        <v>1</v>
      </c>
      <c r="AE439"/>
      <c r="AZ439" s="2"/>
      <c r="BA439" s="7">
        <v>40</v>
      </c>
      <c r="BB439" t="s">
        <v>924</v>
      </c>
      <c r="BC439" t="s">
        <v>923</v>
      </c>
      <c r="BD439" t="s">
        <v>941</v>
      </c>
      <c r="BE439" t="str">
        <f>IF(OR(Table1[[#This Row],[ENGINE_CLASS]]="STEAM",Table1[[#This Row],[ENGINE_CLASS]]="ELECTRIC",Table1[[#This Row],[ENGINE_CLASS]]="DIESEL"),Table1[[#This Row],[ENGINE_CLASS]],"DISABLE")</f>
        <v>ELECTRIC</v>
      </c>
      <c r="BF439">
        <v>0</v>
      </c>
      <c r="BG439" t="s">
        <v>735</v>
      </c>
      <c r="BI439"/>
      <c r="BJ439">
        <v>79</v>
      </c>
      <c r="BK439">
        <v>0</v>
      </c>
      <c r="BL439" t="s">
        <v>693</v>
      </c>
      <c r="BM439" t="s">
        <v>695</v>
      </c>
      <c r="BN439" t="s">
        <v>702</v>
      </c>
      <c r="BO439" t="s">
        <v>706</v>
      </c>
      <c r="BP439" t="s">
        <v>707</v>
      </c>
      <c r="BQ439" t="s">
        <v>708</v>
      </c>
    </row>
    <row r="440" spans="1:69" x14ac:dyDescent="0.4">
      <c r="A440" s="2" t="s">
        <v>466</v>
      </c>
      <c r="B440" t="str">
        <f>_xlfn.TEXTAFTER(Table1[[#This Row],[VEHIDCODE]],"_")</f>
        <v>Germany_DB_182_ES64U_Taurus</v>
      </c>
      <c r="C440" t="s">
        <v>742</v>
      </c>
      <c r="D440" t="str">
        <f>"item_"&amp;Table1[[#This Row],[VEHIDCODE]]</f>
        <v>item_electric_Germany_DB_182_ES64U_Taurus</v>
      </c>
      <c r="E440" t="str">
        <f>"str_"&amp;Table1[[#This Row],[VEHIDCODE]]</f>
        <v>str_electric_Germany_DB_182_ES64U_Taurus</v>
      </c>
      <c r="F440">
        <v>8</v>
      </c>
      <c r="G440" t="s">
        <v>20</v>
      </c>
      <c r="H440">
        <v>0</v>
      </c>
      <c r="I440" t="s">
        <v>74</v>
      </c>
      <c r="J440">
        <v>0</v>
      </c>
      <c r="K440">
        <v>2000</v>
      </c>
      <c r="L440">
        <v>8</v>
      </c>
      <c r="M440" s="2" t="s">
        <v>20</v>
      </c>
      <c r="N440" t="b">
        <v>1</v>
      </c>
      <c r="P440" s="2"/>
      <c r="Q440" t="s">
        <v>21</v>
      </c>
      <c r="R440">
        <v>1</v>
      </c>
      <c r="S440">
        <v>11266</v>
      </c>
      <c r="T440" t="s">
        <v>710</v>
      </c>
      <c r="U440">
        <v>230</v>
      </c>
      <c r="V440" s="2">
        <v>0.35</v>
      </c>
      <c r="W440" t="b">
        <v>1</v>
      </c>
      <c r="AE440"/>
      <c r="AZ440" s="2"/>
      <c r="BA440" s="7">
        <v>40</v>
      </c>
      <c r="BB440" t="s">
        <v>924</v>
      </c>
      <c r="BC440" t="s">
        <v>923</v>
      </c>
      <c r="BD440" t="s">
        <v>941</v>
      </c>
      <c r="BE440" t="str">
        <f>IF(OR(Table1[[#This Row],[ENGINE_CLASS]]="STEAM",Table1[[#This Row],[ENGINE_CLASS]]="ELECTRIC",Table1[[#This Row],[ENGINE_CLASS]]="DIESEL"),Table1[[#This Row],[ENGINE_CLASS]],"DISABLE")</f>
        <v>ELECTRIC</v>
      </c>
      <c r="BF440">
        <v>-3</v>
      </c>
      <c r="BG440" t="s">
        <v>735</v>
      </c>
      <c r="BI440"/>
      <c r="BJ440">
        <v>86</v>
      </c>
      <c r="BK440">
        <v>0</v>
      </c>
      <c r="BL440" t="s">
        <v>693</v>
      </c>
      <c r="BM440" t="s">
        <v>695</v>
      </c>
      <c r="BN440" t="s">
        <v>702</v>
      </c>
      <c r="BO440" t="s">
        <v>706</v>
      </c>
      <c r="BP440" t="s">
        <v>707</v>
      </c>
      <c r="BQ440" t="s">
        <v>708</v>
      </c>
    </row>
    <row r="441" spans="1:69" x14ac:dyDescent="0.4">
      <c r="A441" s="2" t="s">
        <v>467</v>
      </c>
      <c r="B441" t="str">
        <f>_xlfn.TEXTAFTER(Table1[[#This Row],[VEHIDCODE]],"_")</f>
        <v>Japan_JR_EH500</v>
      </c>
      <c r="C441" t="s">
        <v>742</v>
      </c>
      <c r="D441" t="str">
        <f>"item_"&amp;Table1[[#This Row],[VEHIDCODE]]</f>
        <v>item_electric_Japan_JR_EH500</v>
      </c>
      <c r="E441" t="str">
        <f>"str_"&amp;Table1[[#This Row],[VEHIDCODE]]</f>
        <v>str_electric_Japan_JR_EH500</v>
      </c>
      <c r="F441">
        <v>16</v>
      </c>
      <c r="G441" t="s">
        <v>20</v>
      </c>
      <c r="H441">
        <v>0</v>
      </c>
      <c r="I441" t="s">
        <v>74</v>
      </c>
      <c r="J441">
        <v>0</v>
      </c>
      <c r="K441">
        <v>1997</v>
      </c>
      <c r="L441">
        <v>8</v>
      </c>
      <c r="M441" s="2" t="s">
        <v>20</v>
      </c>
      <c r="N441" t="b">
        <v>1</v>
      </c>
      <c r="P441" s="2"/>
      <c r="Q441" t="s">
        <v>21</v>
      </c>
      <c r="R441">
        <v>1</v>
      </c>
      <c r="S441">
        <v>5350</v>
      </c>
      <c r="T441" t="s">
        <v>710</v>
      </c>
      <c r="U441">
        <v>110</v>
      </c>
      <c r="V441" s="2">
        <v>0.18</v>
      </c>
      <c r="W441" t="b">
        <v>1</v>
      </c>
      <c r="AE441"/>
      <c r="AZ441" s="2"/>
      <c r="BA441" s="7">
        <v>40</v>
      </c>
      <c r="BB441" t="s">
        <v>932</v>
      </c>
      <c r="BC441" t="s">
        <v>923</v>
      </c>
      <c r="BD441" t="s">
        <v>941</v>
      </c>
      <c r="BE441" t="str">
        <f>IF(OR(Table1[[#This Row],[ENGINE_CLASS]]="STEAM",Table1[[#This Row],[ENGINE_CLASS]]="ELECTRIC",Table1[[#This Row],[ENGINE_CLASS]]="DIESEL"),Table1[[#This Row],[ENGINE_CLASS]],"DISABLE")</f>
        <v>ELECTRIC</v>
      </c>
      <c r="BF441">
        <v>0</v>
      </c>
      <c r="BG441" t="s">
        <v>735</v>
      </c>
      <c r="BI441"/>
      <c r="BJ441">
        <v>134</v>
      </c>
      <c r="BK441">
        <v>0</v>
      </c>
      <c r="BL441" t="s">
        <v>693</v>
      </c>
      <c r="BM441" t="s">
        <v>695</v>
      </c>
      <c r="BN441" t="s">
        <v>702</v>
      </c>
      <c r="BO441" t="s">
        <v>706</v>
      </c>
      <c r="BP441" t="s">
        <v>707</v>
      </c>
      <c r="BQ441" t="s">
        <v>708</v>
      </c>
    </row>
    <row r="442" spans="1:69" x14ac:dyDescent="0.4">
      <c r="A442" s="2" t="s">
        <v>468</v>
      </c>
      <c r="B442" t="str">
        <f>_xlfn.TEXTAFTER(Table1[[#This Row],[VEHIDCODE]],"_")</f>
        <v>USA_Amtrak_EMD_AEM_7</v>
      </c>
      <c r="C442" t="s">
        <v>742</v>
      </c>
      <c r="D442" t="str">
        <f>"item_"&amp;Table1[[#This Row],[VEHIDCODE]]</f>
        <v>item_electric_USA_Amtrak_EMD_AEM_7</v>
      </c>
      <c r="E442" t="str">
        <f>"str_"&amp;Table1[[#This Row],[VEHIDCODE]]</f>
        <v>str_electric_USA_Amtrak_EMD_AEM_7</v>
      </c>
      <c r="F442">
        <v>7</v>
      </c>
      <c r="G442" t="s">
        <v>20</v>
      </c>
      <c r="H442">
        <v>0</v>
      </c>
      <c r="I442" t="s">
        <v>74</v>
      </c>
      <c r="J442">
        <v>0</v>
      </c>
      <c r="K442">
        <v>1978</v>
      </c>
      <c r="L442">
        <v>7</v>
      </c>
      <c r="M442" s="2" t="s">
        <v>20</v>
      </c>
      <c r="N442" t="b">
        <v>1</v>
      </c>
      <c r="P442" s="2"/>
      <c r="Q442">
        <v>45</v>
      </c>
      <c r="R442">
        <v>1</v>
      </c>
      <c r="S442">
        <v>5790</v>
      </c>
      <c r="T442" t="s">
        <v>710</v>
      </c>
      <c r="U442">
        <v>201</v>
      </c>
      <c r="V442" s="2">
        <v>0.26</v>
      </c>
      <c r="W442" t="b">
        <v>1</v>
      </c>
      <c r="AE442"/>
      <c r="AZ442" s="2"/>
      <c r="BA442" s="7">
        <v>40</v>
      </c>
      <c r="BB442" t="s">
        <v>929</v>
      </c>
      <c r="BC442" t="s">
        <v>923</v>
      </c>
      <c r="BD442" t="s">
        <v>941</v>
      </c>
      <c r="BE442" t="str">
        <f>IF(OR(Table1[[#This Row],[ENGINE_CLASS]]="STEAM",Table1[[#This Row],[ENGINE_CLASS]]="ELECTRIC",Table1[[#This Row],[ENGINE_CLASS]]="DIESEL"),Table1[[#This Row],[ENGINE_CLASS]],"DISABLE")</f>
        <v>ELECTRIC</v>
      </c>
      <c r="BF442">
        <v>0</v>
      </c>
      <c r="BG442" t="s">
        <v>735</v>
      </c>
      <c r="BI442"/>
      <c r="BJ442">
        <v>92</v>
      </c>
      <c r="BK442">
        <v>0</v>
      </c>
      <c r="BL442" t="s">
        <v>693</v>
      </c>
      <c r="BM442" t="s">
        <v>695</v>
      </c>
      <c r="BN442" t="s">
        <v>702</v>
      </c>
      <c r="BO442" t="s">
        <v>706</v>
      </c>
      <c r="BP442" t="s">
        <v>707</v>
      </c>
      <c r="BQ442" t="s">
        <v>708</v>
      </c>
    </row>
    <row r="443" spans="1:69" x14ac:dyDescent="0.4">
      <c r="A443" s="2" t="s">
        <v>469</v>
      </c>
      <c r="B443" t="str">
        <f>_xlfn.TEXTAFTER(Table1[[#This Row],[VEHIDCODE]],"_")</f>
        <v>USA_Amtrak_HHP_8</v>
      </c>
      <c r="C443" t="s">
        <v>742</v>
      </c>
      <c r="D443" t="str">
        <f>"item_"&amp;Table1[[#This Row],[VEHIDCODE]]</f>
        <v>item_electric_USA_Amtrak_HHP_8</v>
      </c>
      <c r="E443" t="str">
        <f>"str_"&amp;Table1[[#This Row],[VEHIDCODE]]</f>
        <v>str_electric_USA_Amtrak_HHP_8</v>
      </c>
      <c r="F443">
        <v>8</v>
      </c>
      <c r="G443" t="s">
        <v>20</v>
      </c>
      <c r="H443">
        <v>0</v>
      </c>
      <c r="I443" t="s">
        <v>74</v>
      </c>
      <c r="J443">
        <v>0</v>
      </c>
      <c r="K443">
        <v>1999</v>
      </c>
      <c r="L443">
        <v>8</v>
      </c>
      <c r="M443" s="2" t="s">
        <v>24</v>
      </c>
      <c r="N443" t="b">
        <v>1</v>
      </c>
      <c r="P443" s="2"/>
      <c r="Q443">
        <v>45</v>
      </c>
      <c r="R443">
        <v>1</v>
      </c>
      <c r="S443">
        <v>8000</v>
      </c>
      <c r="T443" t="s">
        <v>710</v>
      </c>
      <c r="U443">
        <v>217</v>
      </c>
      <c r="V443" s="2">
        <v>0.25</v>
      </c>
      <c r="W443" t="b">
        <v>1</v>
      </c>
      <c r="AE443"/>
      <c r="AZ443" s="2"/>
      <c r="BA443" s="7">
        <v>40</v>
      </c>
      <c r="BB443" t="s">
        <v>929</v>
      </c>
      <c r="BC443" t="s">
        <v>923</v>
      </c>
      <c r="BD443" t="s">
        <v>941</v>
      </c>
      <c r="BE443" t="str">
        <f>IF(OR(Table1[[#This Row],[ENGINE_CLASS]]="STEAM",Table1[[#This Row],[ENGINE_CLASS]]="ELECTRIC",Table1[[#This Row],[ENGINE_CLASS]]="DIESEL"),Table1[[#This Row],[ENGINE_CLASS]],"DISABLE")</f>
        <v>ELECTRIC</v>
      </c>
      <c r="BF443">
        <v>0</v>
      </c>
      <c r="BG443" t="s">
        <v>735</v>
      </c>
      <c r="BI443"/>
      <c r="BJ443">
        <v>99</v>
      </c>
      <c r="BK443">
        <v>0</v>
      </c>
      <c r="BL443" t="s">
        <v>693</v>
      </c>
      <c r="BM443" t="s">
        <v>695</v>
      </c>
      <c r="BN443" t="s">
        <v>702</v>
      </c>
      <c r="BO443" t="s">
        <v>706</v>
      </c>
      <c r="BP443" t="s">
        <v>707</v>
      </c>
      <c r="BQ443" t="s">
        <v>708</v>
      </c>
    </row>
    <row r="444" spans="1:69" x14ac:dyDescent="0.4">
      <c r="A444" s="2" t="s">
        <v>470</v>
      </c>
      <c r="B444" t="str">
        <f>_xlfn.TEXTAFTER(Table1[[#This Row],[VEHIDCODE]],"_")</f>
        <v>Czech_Republic_CD_380</v>
      </c>
      <c r="C444" t="s">
        <v>742</v>
      </c>
      <c r="D444" t="str">
        <f>"item_"&amp;Table1[[#This Row],[VEHIDCODE]]</f>
        <v>item_electric_Czech_Republic_CD_380</v>
      </c>
      <c r="E444" t="str">
        <f>"str_"&amp;Table1[[#This Row],[VEHIDCODE]]</f>
        <v>str_electric_Czech_Republic_CD_380</v>
      </c>
      <c r="F444">
        <v>8</v>
      </c>
      <c r="G444" t="s">
        <v>20</v>
      </c>
      <c r="H444">
        <v>0</v>
      </c>
      <c r="I444" t="s">
        <v>74</v>
      </c>
      <c r="J444">
        <v>0</v>
      </c>
      <c r="K444">
        <v>2008</v>
      </c>
      <c r="L444">
        <v>8</v>
      </c>
      <c r="M444" s="2" t="s">
        <v>20</v>
      </c>
      <c r="N444" t="b">
        <v>1</v>
      </c>
      <c r="P444" s="2"/>
      <c r="Q444" t="s">
        <v>21</v>
      </c>
      <c r="R444">
        <v>1</v>
      </c>
      <c r="S444">
        <v>8583</v>
      </c>
      <c r="T444" t="s">
        <v>710</v>
      </c>
      <c r="U444">
        <v>200</v>
      </c>
      <c r="V444" s="2">
        <v>0.34</v>
      </c>
      <c r="W444" t="b">
        <v>1</v>
      </c>
      <c r="AE444"/>
      <c r="AZ444" s="2"/>
      <c r="BA444" s="7">
        <v>40</v>
      </c>
      <c r="BB444" t="s">
        <v>930</v>
      </c>
      <c r="BC444" t="s">
        <v>923</v>
      </c>
      <c r="BD444" t="s">
        <v>941</v>
      </c>
      <c r="BE444" t="str">
        <f>IF(OR(Table1[[#This Row],[ENGINE_CLASS]]="STEAM",Table1[[#This Row],[ENGINE_CLASS]]="ELECTRIC",Table1[[#This Row],[ENGINE_CLASS]]="DIESEL"),Table1[[#This Row],[ENGINE_CLASS]],"DISABLE")</f>
        <v>ELECTRIC</v>
      </c>
      <c r="BF444">
        <v>0</v>
      </c>
      <c r="BG444" t="s">
        <v>735</v>
      </c>
      <c r="BI444"/>
      <c r="BJ444">
        <v>88</v>
      </c>
      <c r="BK444">
        <v>0</v>
      </c>
      <c r="BL444" t="s">
        <v>693</v>
      </c>
      <c r="BM444" t="s">
        <v>695</v>
      </c>
      <c r="BN444" t="s">
        <v>702</v>
      </c>
      <c r="BO444" t="s">
        <v>706</v>
      </c>
      <c r="BP444" t="s">
        <v>707</v>
      </c>
      <c r="BQ444" t="s">
        <v>708</v>
      </c>
    </row>
    <row r="445" spans="1:69" x14ac:dyDescent="0.4">
      <c r="A445" s="2" t="s">
        <v>471</v>
      </c>
      <c r="B445" t="str">
        <f>_xlfn.TEXTAFTER(Table1[[#This Row],[VEHIDCODE]],"_")</f>
        <v>Spain_RENFE_252</v>
      </c>
      <c r="C445" t="s">
        <v>742</v>
      </c>
      <c r="D445" t="str">
        <f>"item_"&amp;Table1[[#This Row],[VEHIDCODE]]</f>
        <v>item_electric_Spain_RENFE_252</v>
      </c>
      <c r="E445" t="str">
        <f>"str_"&amp;Table1[[#This Row],[VEHIDCODE]]</f>
        <v>str_electric_Spain_RENFE_252</v>
      </c>
      <c r="F445">
        <v>8</v>
      </c>
      <c r="G445" t="s">
        <v>20</v>
      </c>
      <c r="H445">
        <v>0</v>
      </c>
      <c r="I445" t="s">
        <v>74</v>
      </c>
      <c r="J445">
        <v>0</v>
      </c>
      <c r="K445">
        <v>1992</v>
      </c>
      <c r="L445">
        <v>8</v>
      </c>
      <c r="M445" s="2" t="s">
        <v>20</v>
      </c>
      <c r="N445" t="b">
        <v>1</v>
      </c>
      <c r="P445" s="2"/>
      <c r="Q445">
        <v>45</v>
      </c>
      <c r="R445">
        <v>1</v>
      </c>
      <c r="S445">
        <v>7700</v>
      </c>
      <c r="T445" t="s">
        <v>710</v>
      </c>
      <c r="U445">
        <v>220</v>
      </c>
      <c r="V445" s="2">
        <v>0.33</v>
      </c>
      <c r="W445" t="b">
        <v>1</v>
      </c>
      <c r="AE445"/>
      <c r="AZ445" s="2"/>
      <c r="BA445" s="7">
        <v>40</v>
      </c>
      <c r="BB445" t="s">
        <v>925</v>
      </c>
      <c r="BC445" t="s">
        <v>923</v>
      </c>
      <c r="BD445" t="s">
        <v>941</v>
      </c>
      <c r="BE445" t="str">
        <f>IF(OR(Table1[[#This Row],[ENGINE_CLASS]]="STEAM",Table1[[#This Row],[ENGINE_CLASS]]="ELECTRIC",Table1[[#This Row],[ENGINE_CLASS]]="DIESEL"),Table1[[#This Row],[ENGINE_CLASS]],"DISABLE")</f>
        <v>ELECTRIC</v>
      </c>
      <c r="BF445">
        <v>-3</v>
      </c>
      <c r="BG445" t="s">
        <v>735</v>
      </c>
      <c r="BI445"/>
      <c r="BJ445">
        <v>90</v>
      </c>
      <c r="BK445">
        <v>0</v>
      </c>
      <c r="BL445" t="s">
        <v>693</v>
      </c>
      <c r="BM445" t="s">
        <v>695</v>
      </c>
      <c r="BN445" t="s">
        <v>702</v>
      </c>
      <c r="BO445" t="s">
        <v>706</v>
      </c>
      <c r="BP445" t="s">
        <v>707</v>
      </c>
      <c r="BQ445" t="s">
        <v>708</v>
      </c>
    </row>
    <row r="446" spans="1:69" x14ac:dyDescent="0.4">
      <c r="A446" s="2" t="s">
        <v>472</v>
      </c>
      <c r="B446" t="str">
        <f>_xlfn.TEXTAFTER(Table1[[#This Row],[VEHIDCODE]],"_")</f>
        <v>Germany_DB_185_TRAXX_F140</v>
      </c>
      <c r="C446" t="s">
        <v>742</v>
      </c>
      <c r="D446" t="str">
        <f>"item_"&amp;Table1[[#This Row],[VEHIDCODE]]</f>
        <v>item_electric_Germany_DB_185_TRAXX_F140</v>
      </c>
      <c r="E446" t="str">
        <f>"str_"&amp;Table1[[#This Row],[VEHIDCODE]]</f>
        <v>str_electric_Germany_DB_185_TRAXX_F140</v>
      </c>
      <c r="F446">
        <v>8</v>
      </c>
      <c r="G446" t="s">
        <v>20</v>
      </c>
      <c r="H446">
        <v>0</v>
      </c>
      <c r="I446" t="s">
        <v>74</v>
      </c>
      <c r="J446">
        <v>0</v>
      </c>
      <c r="K446">
        <v>2000</v>
      </c>
      <c r="L446">
        <v>8</v>
      </c>
      <c r="M446" s="2" t="s">
        <v>20</v>
      </c>
      <c r="N446" t="b">
        <v>1</v>
      </c>
      <c r="P446" s="2"/>
      <c r="Q446" t="s">
        <v>21</v>
      </c>
      <c r="R446">
        <v>1</v>
      </c>
      <c r="S446">
        <v>5600</v>
      </c>
      <c r="T446" t="s">
        <v>710</v>
      </c>
      <c r="U446">
        <v>140</v>
      </c>
      <c r="V446" s="2">
        <v>0.35</v>
      </c>
      <c r="W446" t="b">
        <v>1</v>
      </c>
      <c r="AE446"/>
      <c r="AZ446" s="2"/>
      <c r="BA446" s="7">
        <v>40</v>
      </c>
      <c r="BB446" t="s">
        <v>924</v>
      </c>
      <c r="BC446" t="s">
        <v>923</v>
      </c>
      <c r="BD446" t="s">
        <v>941</v>
      </c>
      <c r="BE446" t="str">
        <f>IF(OR(Table1[[#This Row],[ENGINE_CLASS]]="STEAM",Table1[[#This Row],[ENGINE_CLASS]]="ELECTRIC",Table1[[#This Row],[ENGINE_CLASS]]="DIESEL"),Table1[[#This Row],[ENGINE_CLASS]],"DISABLE")</f>
        <v>ELECTRIC</v>
      </c>
      <c r="BF446">
        <v>-3</v>
      </c>
      <c r="BG446" t="s">
        <v>735</v>
      </c>
      <c r="BI446"/>
      <c r="BJ446">
        <v>84</v>
      </c>
      <c r="BK446">
        <v>0</v>
      </c>
      <c r="BL446" t="s">
        <v>693</v>
      </c>
      <c r="BM446" t="s">
        <v>695</v>
      </c>
      <c r="BN446" t="s">
        <v>702</v>
      </c>
      <c r="BO446" t="s">
        <v>706</v>
      </c>
      <c r="BP446" t="s">
        <v>707</v>
      </c>
      <c r="BQ446" t="s">
        <v>708</v>
      </c>
    </row>
    <row r="447" spans="1:69" x14ac:dyDescent="0.4">
      <c r="A447" s="2" t="s">
        <v>473</v>
      </c>
      <c r="B447" t="str">
        <f>_xlfn.TEXTAFTER(Table1[[#This Row],[VEHIDCODE]],"_")</f>
        <v>Italy_FS_E550</v>
      </c>
      <c r="C447" t="s">
        <v>742</v>
      </c>
      <c r="D447" t="str">
        <f>"item_"&amp;Table1[[#This Row],[VEHIDCODE]]</f>
        <v>item_electric_Italy_FS_E550</v>
      </c>
      <c r="E447" t="str">
        <f>"str_"&amp;Table1[[#This Row],[VEHIDCODE]]</f>
        <v>str_electric_Italy_FS_E550</v>
      </c>
      <c r="F447">
        <v>6</v>
      </c>
      <c r="G447" t="s">
        <v>20</v>
      </c>
      <c r="H447">
        <v>0</v>
      </c>
      <c r="I447" t="s">
        <v>74</v>
      </c>
      <c r="J447">
        <v>0</v>
      </c>
      <c r="K447">
        <v>1908</v>
      </c>
      <c r="L447">
        <v>6</v>
      </c>
      <c r="M447" s="2" t="s">
        <v>20</v>
      </c>
      <c r="N447" t="b">
        <v>1</v>
      </c>
      <c r="P447" s="2"/>
      <c r="Q447">
        <v>45</v>
      </c>
      <c r="R447">
        <v>1</v>
      </c>
      <c r="S447">
        <v>2000</v>
      </c>
      <c r="T447" t="s">
        <v>710</v>
      </c>
      <c r="U447">
        <v>50</v>
      </c>
      <c r="V447" s="2">
        <v>0.16</v>
      </c>
      <c r="W447" t="b">
        <v>1</v>
      </c>
      <c r="AE447"/>
      <c r="AZ447" s="2"/>
      <c r="BA447" s="7">
        <v>40</v>
      </c>
      <c r="BB447" t="s">
        <v>925</v>
      </c>
      <c r="BC447" t="s">
        <v>923</v>
      </c>
      <c r="BD447" t="s">
        <v>941</v>
      </c>
      <c r="BE447" t="str">
        <f>IF(OR(Table1[[#This Row],[ENGINE_CLASS]]="STEAM",Table1[[#This Row],[ENGINE_CLASS]]="ELECTRIC",Table1[[#This Row],[ENGINE_CLASS]]="DIESEL"),Table1[[#This Row],[ENGINE_CLASS]],"DISABLE")</f>
        <v>ELECTRIC</v>
      </c>
      <c r="BF447">
        <v>0</v>
      </c>
      <c r="BG447" t="s">
        <v>735</v>
      </c>
      <c r="BI447"/>
      <c r="BJ447">
        <v>63</v>
      </c>
      <c r="BK447">
        <v>0</v>
      </c>
      <c r="BL447" t="s">
        <v>693</v>
      </c>
      <c r="BM447" t="s">
        <v>695</v>
      </c>
      <c r="BN447" t="s">
        <v>702</v>
      </c>
      <c r="BO447" t="s">
        <v>706</v>
      </c>
      <c r="BP447" t="s">
        <v>707</v>
      </c>
      <c r="BQ447" t="s">
        <v>708</v>
      </c>
    </row>
    <row r="448" spans="1:69" x14ac:dyDescent="0.4">
      <c r="A448" s="2" t="s">
        <v>474</v>
      </c>
      <c r="B448" t="str">
        <f>_xlfn.TEXTAFTER(Table1[[#This Row],[VEHIDCODE]],"_")</f>
        <v>Japan_JNR_EF81</v>
      </c>
      <c r="C448" t="s">
        <v>742</v>
      </c>
      <c r="D448" t="str">
        <f>"item_"&amp;Table1[[#This Row],[VEHIDCODE]]</f>
        <v>item_electric_Japan_JNR_EF81</v>
      </c>
      <c r="E448" t="str">
        <f>"str_"&amp;Table1[[#This Row],[VEHIDCODE]]</f>
        <v>str_electric_Japan_JNR_EF81</v>
      </c>
      <c r="F448">
        <v>7</v>
      </c>
      <c r="G448" t="s">
        <v>20</v>
      </c>
      <c r="H448">
        <v>0</v>
      </c>
      <c r="I448" t="s">
        <v>74</v>
      </c>
      <c r="J448">
        <v>0</v>
      </c>
      <c r="K448">
        <v>1967</v>
      </c>
      <c r="L448">
        <v>7</v>
      </c>
      <c r="M448" s="2" t="s">
        <v>24</v>
      </c>
      <c r="N448" t="b">
        <v>1</v>
      </c>
      <c r="P448" s="2"/>
      <c r="Q448">
        <v>45</v>
      </c>
      <c r="R448">
        <v>1</v>
      </c>
      <c r="S448">
        <v>3420</v>
      </c>
      <c r="T448" t="s">
        <v>710</v>
      </c>
      <c r="U448">
        <v>110</v>
      </c>
      <c r="V448" s="2">
        <v>0.28999999999999998</v>
      </c>
      <c r="W448" t="b">
        <v>1</v>
      </c>
      <c r="AE448"/>
      <c r="AZ448" s="2"/>
      <c r="BA448" s="7">
        <v>40</v>
      </c>
      <c r="BB448" t="s">
        <v>932</v>
      </c>
      <c r="BC448" t="s">
        <v>923</v>
      </c>
      <c r="BD448" t="s">
        <v>941</v>
      </c>
      <c r="BE448" t="str">
        <f>IF(OR(Table1[[#This Row],[ENGINE_CLASS]]="STEAM",Table1[[#This Row],[ENGINE_CLASS]]="ELECTRIC",Table1[[#This Row],[ENGINE_CLASS]]="DIESEL"),Table1[[#This Row],[ENGINE_CLASS]],"DISABLE")</f>
        <v>ELECTRIC</v>
      </c>
      <c r="BF448">
        <v>0</v>
      </c>
      <c r="BG448" t="s">
        <v>735</v>
      </c>
      <c r="BI448"/>
      <c r="BJ448">
        <v>101</v>
      </c>
      <c r="BK448">
        <v>0</v>
      </c>
      <c r="BL448" t="s">
        <v>693</v>
      </c>
      <c r="BM448" t="s">
        <v>695</v>
      </c>
      <c r="BN448" t="s">
        <v>702</v>
      </c>
      <c r="BO448" t="s">
        <v>706</v>
      </c>
      <c r="BP448" t="s">
        <v>707</v>
      </c>
      <c r="BQ448" t="s">
        <v>708</v>
      </c>
    </row>
    <row r="449" spans="1:69" x14ac:dyDescent="0.4">
      <c r="A449" s="2" t="s">
        <v>475</v>
      </c>
      <c r="B449" t="str">
        <f>_xlfn.TEXTAFTER(Table1[[#This Row],[VEHIDCODE]],"_")</f>
        <v>UK_BR_92</v>
      </c>
      <c r="C449" t="s">
        <v>742</v>
      </c>
      <c r="D449" t="str">
        <f>"item_"&amp;Table1[[#This Row],[VEHIDCODE]]</f>
        <v>item_electric_UK_BR_92</v>
      </c>
      <c r="E449" t="str">
        <f>"str_"&amp;Table1[[#This Row],[VEHIDCODE]]</f>
        <v>str_electric_UK_BR_92</v>
      </c>
      <c r="F449">
        <v>8</v>
      </c>
      <c r="G449" t="s">
        <v>20</v>
      </c>
      <c r="H449">
        <v>0</v>
      </c>
      <c r="I449" t="s">
        <v>74</v>
      </c>
      <c r="J449">
        <v>0</v>
      </c>
      <c r="K449">
        <v>1993</v>
      </c>
      <c r="L449">
        <v>8</v>
      </c>
      <c r="M449" s="2" t="s">
        <v>20</v>
      </c>
      <c r="N449" t="b">
        <v>1</v>
      </c>
      <c r="P449" s="2"/>
      <c r="Q449">
        <v>45</v>
      </c>
      <c r="R449">
        <v>0</v>
      </c>
      <c r="S449">
        <v>6760</v>
      </c>
      <c r="T449" t="s">
        <v>710</v>
      </c>
      <c r="U449">
        <v>140</v>
      </c>
      <c r="V449" s="2">
        <v>0.28999999999999998</v>
      </c>
      <c r="W449" t="b">
        <v>1</v>
      </c>
      <c r="AD449" t="b">
        <v>1</v>
      </c>
      <c r="AE449"/>
      <c r="AZ449" s="2"/>
      <c r="BA449" s="7">
        <v>40</v>
      </c>
      <c r="BB449" t="s">
        <v>928</v>
      </c>
      <c r="BC449" t="s">
        <v>923</v>
      </c>
      <c r="BD449" t="s">
        <v>941</v>
      </c>
      <c r="BE449" t="str">
        <f>IF(OR(Table1[[#This Row],[ENGINE_CLASS]]="STEAM",Table1[[#This Row],[ENGINE_CLASS]]="ELECTRIC",Table1[[#This Row],[ENGINE_CLASS]]="DIESEL"),Table1[[#This Row],[ENGINE_CLASS]],"DISABLE")</f>
        <v>ELECTRIC</v>
      </c>
      <c r="BF449">
        <v>-3</v>
      </c>
      <c r="BG449" t="s">
        <v>735</v>
      </c>
      <c r="BI449"/>
      <c r="BJ449">
        <v>126</v>
      </c>
      <c r="BK449">
        <v>0</v>
      </c>
      <c r="BL449" t="s">
        <v>693</v>
      </c>
      <c r="BM449" t="s">
        <v>695</v>
      </c>
      <c r="BN449" t="s">
        <v>702</v>
      </c>
      <c r="BO449" t="s">
        <v>706</v>
      </c>
      <c r="BP449" t="s">
        <v>707</v>
      </c>
      <c r="BQ449" t="s">
        <v>708</v>
      </c>
    </row>
    <row r="450" spans="1:69" x14ac:dyDescent="0.4">
      <c r="A450" s="2" t="s">
        <v>476</v>
      </c>
      <c r="B450" t="str">
        <f>_xlfn.TEXTAFTER(Table1[[#This Row],[VEHIDCODE]],"_")</f>
        <v>USA_Amtrak_ACS_64</v>
      </c>
      <c r="C450" t="s">
        <v>742</v>
      </c>
      <c r="D450" t="str">
        <f>"item_"&amp;Table1[[#This Row],[VEHIDCODE]]</f>
        <v>item_electric_USA_Amtrak_ACS_64</v>
      </c>
      <c r="E450" t="str">
        <f>"str_"&amp;Table1[[#This Row],[VEHIDCODE]]</f>
        <v>str_electric_USA_Amtrak_ACS_64</v>
      </c>
      <c r="F450">
        <v>8</v>
      </c>
      <c r="G450" t="s">
        <v>20</v>
      </c>
      <c r="H450">
        <v>0</v>
      </c>
      <c r="I450" t="s">
        <v>74</v>
      </c>
      <c r="J450">
        <v>0</v>
      </c>
      <c r="K450">
        <v>2012</v>
      </c>
      <c r="L450">
        <v>8</v>
      </c>
      <c r="M450" s="2" t="s">
        <v>20</v>
      </c>
      <c r="N450" t="b">
        <v>1</v>
      </c>
      <c r="P450" s="2"/>
      <c r="Q450" t="s">
        <v>21</v>
      </c>
      <c r="R450">
        <v>1</v>
      </c>
      <c r="S450">
        <v>8600</v>
      </c>
      <c r="T450" t="s">
        <v>710</v>
      </c>
      <c r="U450">
        <v>220</v>
      </c>
      <c r="V450" s="2">
        <v>0.33</v>
      </c>
      <c r="W450" t="b">
        <v>1</v>
      </c>
      <c r="AD450" t="b">
        <v>1</v>
      </c>
      <c r="AE450"/>
      <c r="AZ450" s="2"/>
      <c r="BA450" s="7">
        <v>40</v>
      </c>
      <c r="BB450" t="s">
        <v>929</v>
      </c>
      <c r="BC450" t="s">
        <v>923</v>
      </c>
      <c r="BD450" t="s">
        <v>941</v>
      </c>
      <c r="BE450" t="str">
        <f>IF(OR(Table1[[#This Row],[ENGINE_CLASS]]="STEAM",Table1[[#This Row],[ENGINE_CLASS]]="ELECTRIC",Table1[[#This Row],[ENGINE_CLASS]]="DIESEL"),Table1[[#This Row],[ENGINE_CLASS]],"DISABLE")</f>
        <v>ELECTRIC</v>
      </c>
      <c r="BF450">
        <v>0</v>
      </c>
      <c r="BG450" t="s">
        <v>735</v>
      </c>
      <c r="BI450"/>
      <c r="BJ450">
        <v>98</v>
      </c>
      <c r="BK450">
        <v>0</v>
      </c>
      <c r="BL450" t="s">
        <v>693</v>
      </c>
      <c r="BM450" t="s">
        <v>695</v>
      </c>
      <c r="BN450" t="s">
        <v>702</v>
      </c>
      <c r="BO450" t="s">
        <v>706</v>
      </c>
      <c r="BP450" t="s">
        <v>707</v>
      </c>
      <c r="BQ450" t="s">
        <v>708</v>
      </c>
    </row>
    <row r="451" spans="1:69" x14ac:dyDescent="0.4">
      <c r="A451" s="2" t="s">
        <v>477</v>
      </c>
      <c r="B451" t="str">
        <f>_xlfn.TEXTAFTER(Table1[[#This Row],[VEHIDCODE]],"_")</f>
        <v>France_SNCF_CC_40100</v>
      </c>
      <c r="C451" t="s">
        <v>742</v>
      </c>
      <c r="D451" t="str">
        <f>"item_"&amp;Table1[[#This Row],[VEHIDCODE]]</f>
        <v>item_electric_France_SNCF_CC_40100</v>
      </c>
      <c r="E451" t="str">
        <f>"str_"&amp;Table1[[#This Row],[VEHIDCODE]]</f>
        <v>str_electric_France_SNCF_CC_40100</v>
      </c>
      <c r="F451">
        <v>8</v>
      </c>
      <c r="G451" t="s">
        <v>20</v>
      </c>
      <c r="H451">
        <v>0</v>
      </c>
      <c r="I451" t="s">
        <v>74</v>
      </c>
      <c r="J451">
        <v>0</v>
      </c>
      <c r="K451">
        <v>1964</v>
      </c>
      <c r="L451">
        <v>8</v>
      </c>
      <c r="M451" s="2" t="s">
        <v>20</v>
      </c>
      <c r="N451" t="b">
        <v>1</v>
      </c>
      <c r="P451" s="2"/>
      <c r="Q451">
        <v>45</v>
      </c>
      <c r="R451">
        <v>1</v>
      </c>
      <c r="S451">
        <v>6000</v>
      </c>
      <c r="T451" t="s">
        <v>710</v>
      </c>
      <c r="U451">
        <v>240</v>
      </c>
      <c r="V451" s="2">
        <v>0.21</v>
      </c>
      <c r="W451" t="b">
        <v>1</v>
      </c>
      <c r="AD451" t="b">
        <v>1</v>
      </c>
      <c r="AE451"/>
      <c r="AZ451" s="2"/>
      <c r="BA451" s="7">
        <v>40</v>
      </c>
      <c r="BB451" t="s">
        <v>924</v>
      </c>
      <c r="BC451" t="s">
        <v>923</v>
      </c>
      <c r="BD451" t="s">
        <v>941</v>
      </c>
      <c r="BE451" t="str">
        <f>IF(OR(Table1[[#This Row],[ENGINE_CLASS]]="STEAM",Table1[[#This Row],[ENGINE_CLASS]]="ELECTRIC",Table1[[#This Row],[ENGINE_CLASS]]="DIESEL"),Table1[[#This Row],[ENGINE_CLASS]],"DISABLE")</f>
        <v>ELECTRIC</v>
      </c>
      <c r="BF451">
        <v>-3</v>
      </c>
      <c r="BG451" t="s">
        <v>735</v>
      </c>
      <c r="BI451"/>
      <c r="BJ451">
        <v>110</v>
      </c>
      <c r="BK451">
        <v>0</v>
      </c>
      <c r="BL451" t="s">
        <v>693</v>
      </c>
      <c r="BM451" t="s">
        <v>695</v>
      </c>
      <c r="BN451" t="s">
        <v>702</v>
      </c>
      <c r="BO451" t="s">
        <v>706</v>
      </c>
      <c r="BP451" t="s">
        <v>707</v>
      </c>
      <c r="BQ451" t="s">
        <v>708</v>
      </c>
    </row>
    <row r="452" spans="1:69" x14ac:dyDescent="0.4">
      <c r="A452" s="2" t="s">
        <v>478</v>
      </c>
      <c r="B452" t="str">
        <f>_xlfn.TEXTAFTER(Table1[[#This Row],[VEHIDCODE]],"_")</f>
        <v>Belgium_NMBS_SNCB_13_HLE</v>
      </c>
      <c r="C452" t="s">
        <v>742</v>
      </c>
      <c r="D452" t="str">
        <f>"item_"&amp;Table1[[#This Row],[VEHIDCODE]]</f>
        <v>item_electric_Belgium_NMBS_SNCB_13_HLE</v>
      </c>
      <c r="E452" t="str">
        <f>"str_"&amp;Table1[[#This Row],[VEHIDCODE]]</f>
        <v>str_electric_Belgium_NMBS_SNCB_13_HLE</v>
      </c>
      <c r="F452">
        <v>8</v>
      </c>
      <c r="G452" t="s">
        <v>20</v>
      </c>
      <c r="H452">
        <v>0</v>
      </c>
      <c r="I452" t="s">
        <v>74</v>
      </c>
      <c r="J452">
        <v>0</v>
      </c>
      <c r="K452">
        <v>1997</v>
      </c>
      <c r="L452">
        <v>8</v>
      </c>
      <c r="M452" s="2" t="s">
        <v>20</v>
      </c>
      <c r="N452" t="b">
        <v>1</v>
      </c>
      <c r="P452" s="2"/>
      <c r="Q452" t="s">
        <v>21</v>
      </c>
      <c r="R452">
        <v>1</v>
      </c>
      <c r="S452">
        <v>6968</v>
      </c>
      <c r="T452" t="s">
        <v>710</v>
      </c>
      <c r="U452">
        <v>200</v>
      </c>
      <c r="V452" s="2">
        <v>0.32</v>
      </c>
      <c r="W452" t="b">
        <v>1</v>
      </c>
      <c r="AD452" t="b">
        <v>1</v>
      </c>
      <c r="AE452"/>
      <c r="AZ452" s="2"/>
      <c r="BA452" s="7">
        <v>40</v>
      </c>
      <c r="BB452" t="s">
        <v>924</v>
      </c>
      <c r="BC452" t="s">
        <v>923</v>
      </c>
      <c r="BD452" t="s">
        <v>941</v>
      </c>
      <c r="BE452" t="str">
        <f>IF(OR(Table1[[#This Row],[ENGINE_CLASS]]="STEAM",Table1[[#This Row],[ENGINE_CLASS]]="ELECTRIC",Table1[[#This Row],[ENGINE_CLASS]]="DIESEL"),Table1[[#This Row],[ENGINE_CLASS]],"DISABLE")</f>
        <v>ELECTRIC</v>
      </c>
      <c r="BF452">
        <v>-3</v>
      </c>
      <c r="BG452" t="s">
        <v>735</v>
      </c>
      <c r="BI452"/>
      <c r="BJ452">
        <v>90</v>
      </c>
      <c r="BK452">
        <v>0</v>
      </c>
      <c r="BL452" t="s">
        <v>693</v>
      </c>
      <c r="BM452" t="s">
        <v>695</v>
      </c>
      <c r="BN452" t="s">
        <v>702</v>
      </c>
      <c r="BO452" t="s">
        <v>706</v>
      </c>
      <c r="BP452" t="s">
        <v>707</v>
      </c>
      <c r="BQ452" t="s">
        <v>708</v>
      </c>
    </row>
    <row r="453" spans="1:69" x14ac:dyDescent="0.4">
      <c r="A453" s="2" t="s">
        <v>479</v>
      </c>
      <c r="B453" t="str">
        <f>_xlfn.TEXTAFTER(Table1[[#This Row],[VEHIDCODE]],"_")</f>
        <v>Germany_DB_VT_040_Flying_Hamburger</v>
      </c>
      <c r="C453" t="s">
        <v>743</v>
      </c>
      <c r="D453" t="str">
        <f>"item_"&amp;Table1[[#This Row],[VEHIDCODE]]</f>
        <v>item_dmu_Germany_DB_VT_040_Flying_Hamburger</v>
      </c>
      <c r="E453" t="str">
        <f>"str_"&amp;Table1[[#This Row],[VEHIDCODE]]</f>
        <v>str_dmu_Germany_DB_VT_040_Flying_Hamburger</v>
      </c>
      <c r="F453">
        <v>8</v>
      </c>
      <c r="G453" t="s">
        <v>18</v>
      </c>
      <c r="H453">
        <v>1</v>
      </c>
      <c r="I453" t="s">
        <v>35</v>
      </c>
      <c r="J453">
        <v>50</v>
      </c>
      <c r="K453">
        <v>1932</v>
      </c>
      <c r="L453">
        <v>8</v>
      </c>
      <c r="M453" s="2" t="s">
        <v>480</v>
      </c>
      <c r="N453" t="b">
        <v>1</v>
      </c>
      <c r="O453" t="b">
        <v>1</v>
      </c>
      <c r="P453" s="2"/>
      <c r="Q453">
        <v>45</v>
      </c>
      <c r="R453">
        <v>1</v>
      </c>
      <c r="S453">
        <v>400</v>
      </c>
      <c r="T453" t="s">
        <v>712</v>
      </c>
      <c r="U453">
        <v>160</v>
      </c>
      <c r="V453" s="2">
        <v>0.19</v>
      </c>
      <c r="AE453" t="b">
        <v>1</v>
      </c>
      <c r="AZ453" s="2"/>
      <c r="BA453" s="7">
        <v>25</v>
      </c>
      <c r="BB453" t="s">
        <v>924</v>
      </c>
      <c r="BC453" t="s">
        <v>923</v>
      </c>
      <c r="BD453" t="s">
        <v>941</v>
      </c>
      <c r="BE453" t="str">
        <f>IF(OR(Table1[[#This Row],[ENGINE_CLASS]]="STEAM",Table1[[#This Row],[ENGINE_CLASS]]="ELECTRIC",Table1[[#This Row],[ENGINE_CLASS]]="DIESEL"),Table1[[#This Row],[ENGINE_CLASS]],"DISABLE")</f>
        <v>DIESEL</v>
      </c>
      <c r="BF453">
        <v>0</v>
      </c>
      <c r="BG453" t="s">
        <v>735</v>
      </c>
      <c r="BH453">
        <v>50</v>
      </c>
      <c r="BI453">
        <v>8</v>
      </c>
      <c r="BJ453">
        <v>39</v>
      </c>
      <c r="BK453">
        <v>0</v>
      </c>
      <c r="BL453" t="s">
        <v>693</v>
      </c>
      <c r="BM453" t="s">
        <v>695</v>
      </c>
      <c r="BN453" t="s">
        <v>702</v>
      </c>
      <c r="BO453" t="s">
        <v>706</v>
      </c>
      <c r="BP453" t="s">
        <v>707</v>
      </c>
      <c r="BQ453" t="s">
        <v>708</v>
      </c>
    </row>
    <row r="454" spans="1:69" x14ac:dyDescent="0.4">
      <c r="A454" s="2" t="s">
        <v>481</v>
      </c>
      <c r="B454" t="str">
        <f>_xlfn.TEXTAFTER(Table1[[#This Row],[VEHIDCODE]],"_")</f>
        <v>Australia_NSWGR_Silver_City_Comet</v>
      </c>
      <c r="C454" t="s">
        <v>743</v>
      </c>
      <c r="D454" t="str">
        <f>"item_"&amp;Table1[[#This Row],[VEHIDCODE]]</f>
        <v>item_dmu_Australia_NSWGR_Silver_City_Comet</v>
      </c>
      <c r="E454" t="str">
        <f>"str_"&amp;Table1[[#This Row],[VEHIDCODE]]</f>
        <v>str_dmu_Australia_NSWGR_Silver_City_Comet</v>
      </c>
      <c r="F454">
        <v>7</v>
      </c>
      <c r="G454" t="s">
        <v>18</v>
      </c>
      <c r="H454">
        <v>1</v>
      </c>
      <c r="I454" t="s">
        <v>35</v>
      </c>
      <c r="J454">
        <v>0</v>
      </c>
      <c r="K454">
        <v>1937</v>
      </c>
      <c r="L454">
        <v>7</v>
      </c>
      <c r="M454" s="2" t="s">
        <v>480</v>
      </c>
      <c r="N454" t="b">
        <v>1</v>
      </c>
      <c r="O454" t="b">
        <v>1</v>
      </c>
      <c r="P454" s="2"/>
      <c r="Q454">
        <v>45</v>
      </c>
      <c r="R454">
        <v>1</v>
      </c>
      <c r="S454">
        <v>660</v>
      </c>
      <c r="T454" t="s">
        <v>712</v>
      </c>
      <c r="U454">
        <v>160</v>
      </c>
      <c r="V454" s="2">
        <v>0.2</v>
      </c>
      <c r="AE454" t="b">
        <v>1</v>
      </c>
      <c r="AZ454" s="2"/>
      <c r="BA454" s="7">
        <v>25</v>
      </c>
      <c r="BB454" t="s">
        <v>926</v>
      </c>
      <c r="BC454" t="s">
        <v>923</v>
      </c>
      <c r="BD454" t="s">
        <v>941</v>
      </c>
      <c r="BE454" t="str">
        <f>IF(OR(Table1[[#This Row],[ENGINE_CLASS]]="STEAM",Table1[[#This Row],[ENGINE_CLASS]]="ELECTRIC",Table1[[#This Row],[ENGINE_CLASS]]="DIESEL"),Table1[[#This Row],[ENGINE_CLASS]],"DISABLE")</f>
        <v>DIESEL</v>
      </c>
      <c r="BF454">
        <v>0</v>
      </c>
      <c r="BG454" t="s">
        <v>735</v>
      </c>
      <c r="BH454">
        <v>45</v>
      </c>
      <c r="BI454">
        <v>7</v>
      </c>
      <c r="BJ454">
        <v>55</v>
      </c>
      <c r="BK454">
        <v>0</v>
      </c>
      <c r="BL454" t="s">
        <v>693</v>
      </c>
      <c r="BM454" t="s">
        <v>695</v>
      </c>
      <c r="BN454" t="s">
        <v>702</v>
      </c>
      <c r="BO454" t="s">
        <v>706</v>
      </c>
      <c r="BP454" t="s">
        <v>707</v>
      </c>
      <c r="BQ454" t="s">
        <v>708</v>
      </c>
    </row>
    <row r="455" spans="1:69" x14ac:dyDescent="0.4">
      <c r="A455" s="2" t="s">
        <v>482</v>
      </c>
      <c r="B455" t="str">
        <f>_xlfn.TEXTAFTER(Table1[[#This Row],[VEHIDCODE]],"_")</f>
        <v>Czech_Republic_CD_M131</v>
      </c>
      <c r="C455" t="s">
        <v>743</v>
      </c>
      <c r="D455" t="str">
        <f>"item_"&amp;Table1[[#This Row],[VEHIDCODE]]</f>
        <v>item_dmu_Czech_Republic_CD_M131</v>
      </c>
      <c r="E455" t="str">
        <f>"str_"&amp;Table1[[#This Row],[VEHIDCODE]]</f>
        <v>str_dmu_Czech_Republic_CD_M131</v>
      </c>
      <c r="F455">
        <v>6</v>
      </c>
      <c r="G455" t="s">
        <v>18</v>
      </c>
      <c r="H455">
        <v>1</v>
      </c>
      <c r="I455" t="s">
        <v>35</v>
      </c>
      <c r="J455">
        <v>48</v>
      </c>
      <c r="K455">
        <v>1948</v>
      </c>
      <c r="L455">
        <v>6</v>
      </c>
      <c r="M455" s="2" t="s">
        <v>480</v>
      </c>
      <c r="N455" t="b">
        <v>1</v>
      </c>
      <c r="O455" t="b">
        <v>1</v>
      </c>
      <c r="P455" s="2"/>
      <c r="Q455">
        <v>45</v>
      </c>
      <c r="R455">
        <v>1</v>
      </c>
      <c r="S455">
        <v>152</v>
      </c>
      <c r="T455" t="s">
        <v>712</v>
      </c>
      <c r="U455">
        <v>60</v>
      </c>
      <c r="V455" s="2">
        <v>0.21</v>
      </c>
      <c r="AE455" t="b">
        <v>1</v>
      </c>
      <c r="AZ455" s="2"/>
      <c r="BA455" s="7">
        <v>25</v>
      </c>
      <c r="BB455" t="s">
        <v>930</v>
      </c>
      <c r="BC455" t="s">
        <v>923</v>
      </c>
      <c r="BD455" t="s">
        <v>941</v>
      </c>
      <c r="BE455" t="str">
        <f>IF(OR(Table1[[#This Row],[ENGINE_CLASS]]="STEAM",Table1[[#This Row],[ENGINE_CLASS]]="ELECTRIC",Table1[[#This Row],[ENGINE_CLASS]]="DIESEL"),Table1[[#This Row],[ENGINE_CLASS]],"DISABLE")</f>
        <v>DIESEL</v>
      </c>
      <c r="BF455">
        <v>0</v>
      </c>
      <c r="BG455" t="s">
        <v>735</v>
      </c>
      <c r="BH455">
        <v>48</v>
      </c>
      <c r="BI455">
        <v>6</v>
      </c>
      <c r="BJ455">
        <v>42</v>
      </c>
      <c r="BK455">
        <v>0</v>
      </c>
      <c r="BL455" t="s">
        <v>693</v>
      </c>
      <c r="BM455" t="s">
        <v>695</v>
      </c>
      <c r="BN455" t="s">
        <v>702</v>
      </c>
      <c r="BO455" t="s">
        <v>706</v>
      </c>
      <c r="BP455" t="s">
        <v>707</v>
      </c>
      <c r="BQ455" t="s">
        <v>708</v>
      </c>
    </row>
    <row r="456" spans="1:69" x14ac:dyDescent="0.4">
      <c r="A456" s="2" t="s">
        <v>483</v>
      </c>
      <c r="B456" t="str">
        <f>_xlfn.TEXTAFTER(Table1[[#This Row],[VEHIDCODE]],"_")</f>
        <v>Germany_DB_VT_085</v>
      </c>
      <c r="C456" t="s">
        <v>743</v>
      </c>
      <c r="D456" t="str">
        <f>"item_"&amp;Table1[[#This Row],[VEHIDCODE]]</f>
        <v>item_dmu_Germany_DB_VT_085</v>
      </c>
      <c r="E456" t="str">
        <f>"str_"&amp;Table1[[#This Row],[VEHIDCODE]]</f>
        <v>str_dmu_Germany_DB_VT_085</v>
      </c>
      <c r="F456">
        <v>8</v>
      </c>
      <c r="G456" t="s">
        <v>18</v>
      </c>
      <c r="H456">
        <v>1</v>
      </c>
      <c r="I456" t="s">
        <v>35</v>
      </c>
      <c r="J456">
        <v>45</v>
      </c>
      <c r="K456">
        <v>1952</v>
      </c>
      <c r="L456">
        <v>8</v>
      </c>
      <c r="M456" s="2" t="s">
        <v>480</v>
      </c>
      <c r="N456" t="b">
        <v>1</v>
      </c>
      <c r="O456" t="b">
        <v>1</v>
      </c>
      <c r="P456" s="2"/>
      <c r="Q456">
        <v>45</v>
      </c>
      <c r="R456">
        <v>1</v>
      </c>
      <c r="S456">
        <v>986</v>
      </c>
      <c r="T456" t="s">
        <v>712</v>
      </c>
      <c r="U456">
        <v>140</v>
      </c>
      <c r="V456" s="2">
        <v>0.43</v>
      </c>
      <c r="AE456" t="b">
        <v>1</v>
      </c>
      <c r="AZ456" s="2"/>
      <c r="BA456" s="7">
        <v>25</v>
      </c>
      <c r="BB456" t="s">
        <v>924</v>
      </c>
      <c r="BC456" t="s">
        <v>923</v>
      </c>
      <c r="BD456" t="s">
        <v>941</v>
      </c>
      <c r="BE456" t="str">
        <f>IF(OR(Table1[[#This Row],[ENGINE_CLASS]]="STEAM",Table1[[#This Row],[ENGINE_CLASS]]="ELECTRIC",Table1[[#This Row],[ENGINE_CLASS]]="DIESEL"),Table1[[#This Row],[ENGINE_CLASS]],"DISABLE")</f>
        <v>DIESEL</v>
      </c>
      <c r="BF456">
        <v>0</v>
      </c>
      <c r="BG456" t="s">
        <v>735</v>
      </c>
      <c r="BH456">
        <v>45</v>
      </c>
      <c r="BI456">
        <v>8</v>
      </c>
      <c r="BJ456">
        <v>42</v>
      </c>
      <c r="BK456">
        <v>0</v>
      </c>
      <c r="BL456" t="s">
        <v>693</v>
      </c>
      <c r="BM456" t="s">
        <v>695</v>
      </c>
      <c r="BN456" t="s">
        <v>702</v>
      </c>
      <c r="BO456" t="s">
        <v>706</v>
      </c>
      <c r="BP456" t="s">
        <v>707</v>
      </c>
      <c r="BQ456" t="s">
        <v>708</v>
      </c>
    </row>
    <row r="457" spans="1:69" x14ac:dyDescent="0.4">
      <c r="A457" s="2" t="s">
        <v>484</v>
      </c>
      <c r="B457" t="str">
        <f>_xlfn.TEXTAFTER(Table1[[#This Row],[VEHIDCODE]],"_")</f>
        <v>Australia_Queensland_Rail_400</v>
      </c>
      <c r="C457" t="s">
        <v>743</v>
      </c>
      <c r="D457" t="str">
        <f>"item_"&amp;Table1[[#This Row],[VEHIDCODE]]</f>
        <v>item_dmu_Australia_Queensland_Rail_400</v>
      </c>
      <c r="E457" t="str">
        <f>"str_"&amp;Table1[[#This Row],[VEHIDCODE]]</f>
        <v>str_dmu_Australia_Queensland_Rail_400</v>
      </c>
      <c r="F457">
        <v>8</v>
      </c>
      <c r="G457" t="s">
        <v>18</v>
      </c>
      <c r="H457">
        <v>1</v>
      </c>
      <c r="I457" t="s">
        <v>35</v>
      </c>
      <c r="J457">
        <v>80</v>
      </c>
      <c r="K457">
        <v>1955</v>
      </c>
      <c r="L457">
        <v>8</v>
      </c>
      <c r="M457" s="2" t="s">
        <v>480</v>
      </c>
      <c r="N457" t="b">
        <v>1</v>
      </c>
      <c r="O457" t="b">
        <v>1</v>
      </c>
      <c r="P457" s="2"/>
      <c r="Q457">
        <v>45</v>
      </c>
      <c r="R457">
        <v>1</v>
      </c>
      <c r="S457">
        <v>220</v>
      </c>
      <c r="T457" t="s">
        <v>712</v>
      </c>
      <c r="U457">
        <v>90</v>
      </c>
      <c r="V457" s="2">
        <v>0.18</v>
      </c>
      <c r="AE457" t="b">
        <v>1</v>
      </c>
      <c r="AZ457" s="2"/>
      <c r="BA457" s="7">
        <v>25</v>
      </c>
      <c r="BB457" t="s">
        <v>926</v>
      </c>
      <c r="BC457" t="s">
        <v>923</v>
      </c>
      <c r="BD457" t="s">
        <v>941</v>
      </c>
      <c r="BE457" t="str">
        <f>IF(OR(Table1[[#This Row],[ENGINE_CLASS]]="STEAM",Table1[[#This Row],[ENGINE_CLASS]]="ELECTRIC",Table1[[#This Row],[ENGINE_CLASS]]="DIESEL"),Table1[[#This Row],[ENGINE_CLASS]],"DISABLE")</f>
        <v>DIESEL</v>
      </c>
      <c r="BF457">
        <v>0</v>
      </c>
      <c r="BG457" t="s">
        <v>735</v>
      </c>
      <c r="BH457">
        <v>80</v>
      </c>
      <c r="BI457">
        <v>8</v>
      </c>
      <c r="BJ457">
        <v>43</v>
      </c>
      <c r="BK457">
        <v>0</v>
      </c>
      <c r="BL457" t="s">
        <v>693</v>
      </c>
      <c r="BM457" t="s">
        <v>695</v>
      </c>
      <c r="BN457" t="s">
        <v>702</v>
      </c>
      <c r="BO457" t="s">
        <v>706</v>
      </c>
      <c r="BP457" t="s">
        <v>707</v>
      </c>
      <c r="BQ457" t="s">
        <v>708</v>
      </c>
    </row>
    <row r="458" spans="1:69" x14ac:dyDescent="0.4">
      <c r="A458" s="2" t="s">
        <v>485</v>
      </c>
      <c r="B458" t="str">
        <f>_xlfn.TEXTAFTER(Table1[[#This Row],[VEHIDCODE]],"_")</f>
        <v>Germany_DB_VT_115</v>
      </c>
      <c r="C458" t="s">
        <v>743</v>
      </c>
      <c r="D458" t="str">
        <f>"item_"&amp;Table1[[#This Row],[VEHIDCODE]]</f>
        <v>item_dmu_Germany_DB_VT_115</v>
      </c>
      <c r="E458" t="str">
        <f>"str_"&amp;Table1[[#This Row],[VEHIDCODE]]</f>
        <v>str_dmu_Germany_DB_VT_115</v>
      </c>
      <c r="F458">
        <v>8</v>
      </c>
      <c r="G458" t="s">
        <v>18</v>
      </c>
      <c r="H458">
        <v>1</v>
      </c>
      <c r="I458" t="s">
        <v>35</v>
      </c>
      <c r="J458">
        <v>0</v>
      </c>
      <c r="K458">
        <v>1957</v>
      </c>
      <c r="L458">
        <v>8</v>
      </c>
      <c r="M458" s="2" t="s">
        <v>480</v>
      </c>
      <c r="N458" t="b">
        <v>1</v>
      </c>
      <c r="O458" t="b">
        <v>1</v>
      </c>
      <c r="P458" s="2"/>
      <c r="Q458">
        <v>45</v>
      </c>
      <c r="R458">
        <v>1</v>
      </c>
      <c r="S458">
        <v>1475</v>
      </c>
      <c r="T458" t="s">
        <v>712</v>
      </c>
      <c r="U458">
        <v>160</v>
      </c>
      <c r="V458" s="2">
        <v>0.77</v>
      </c>
      <c r="AE458" t="b">
        <v>1</v>
      </c>
      <c r="AZ458" s="2"/>
      <c r="BA458" s="7">
        <v>25</v>
      </c>
      <c r="BB458" t="s">
        <v>924</v>
      </c>
      <c r="BC458" t="s">
        <v>923</v>
      </c>
      <c r="BD458" t="s">
        <v>941</v>
      </c>
      <c r="BE458" t="str">
        <f>IF(OR(Table1[[#This Row],[ENGINE_CLASS]]="STEAM",Table1[[#This Row],[ENGINE_CLASS]]="ELECTRIC",Table1[[#This Row],[ENGINE_CLASS]]="DIESEL"),Table1[[#This Row],[ENGINE_CLASS]],"DISABLE")</f>
        <v>DIESEL</v>
      </c>
      <c r="BF458">
        <v>0</v>
      </c>
      <c r="BG458" t="s">
        <v>735</v>
      </c>
      <c r="BH458">
        <v>34</v>
      </c>
      <c r="BI458">
        <v>8</v>
      </c>
      <c r="BJ458">
        <v>33</v>
      </c>
      <c r="BK458">
        <v>0</v>
      </c>
      <c r="BL458" t="s">
        <v>693</v>
      </c>
      <c r="BM458" t="s">
        <v>695</v>
      </c>
      <c r="BN458" t="s">
        <v>702</v>
      </c>
      <c r="BO458" t="s">
        <v>706</v>
      </c>
      <c r="BP458" t="s">
        <v>707</v>
      </c>
      <c r="BQ458" t="s">
        <v>708</v>
      </c>
    </row>
    <row r="459" spans="1:69" x14ac:dyDescent="0.4">
      <c r="A459" s="2" t="s">
        <v>486</v>
      </c>
      <c r="B459" t="str">
        <f>_xlfn.TEXTAFTER(Table1[[#This Row],[VEHIDCODE]],"_")</f>
        <v>Netherlands_NS_Plan_U_DE_III</v>
      </c>
      <c r="C459" t="s">
        <v>743</v>
      </c>
      <c r="D459" t="str">
        <f>"item_"&amp;Table1[[#This Row],[VEHIDCODE]]</f>
        <v>item_dmu_Netherlands_NS_Plan_U_DE_III</v>
      </c>
      <c r="E459" t="str">
        <f>"str_"&amp;Table1[[#This Row],[VEHIDCODE]]</f>
        <v>str_dmu_Netherlands_NS_Plan_U_DE_III</v>
      </c>
      <c r="F459">
        <v>8</v>
      </c>
      <c r="G459" t="s">
        <v>18</v>
      </c>
      <c r="H459">
        <v>1</v>
      </c>
      <c r="I459" t="s">
        <v>35</v>
      </c>
      <c r="J459">
        <v>64</v>
      </c>
      <c r="K459">
        <v>1960</v>
      </c>
      <c r="L459">
        <v>8</v>
      </c>
      <c r="M459" s="2" t="s">
        <v>24</v>
      </c>
      <c r="N459" t="b">
        <v>1</v>
      </c>
      <c r="O459" t="b">
        <v>1</v>
      </c>
      <c r="P459" s="2"/>
      <c r="Q459">
        <v>45</v>
      </c>
      <c r="R459">
        <v>1</v>
      </c>
      <c r="S459">
        <v>987</v>
      </c>
      <c r="T459" t="s">
        <v>712</v>
      </c>
      <c r="U459">
        <v>125</v>
      </c>
      <c r="V459" s="2">
        <v>0.21</v>
      </c>
      <c r="AE459" t="b">
        <v>1</v>
      </c>
      <c r="AZ459" s="2"/>
      <c r="BA459" s="7">
        <v>25</v>
      </c>
      <c r="BB459" t="s">
        <v>924</v>
      </c>
      <c r="BC459" t="s">
        <v>923</v>
      </c>
      <c r="BD459" t="s">
        <v>941</v>
      </c>
      <c r="BE459" t="str">
        <f>IF(OR(Table1[[#This Row],[ENGINE_CLASS]]="STEAM",Table1[[#This Row],[ENGINE_CLASS]]="ELECTRIC",Table1[[#This Row],[ENGINE_CLASS]]="DIESEL"),Table1[[#This Row],[ENGINE_CLASS]],"DISABLE")</f>
        <v>DIESEL</v>
      </c>
      <c r="BF459">
        <v>0</v>
      </c>
      <c r="BG459" t="s">
        <v>735</v>
      </c>
      <c r="BH459">
        <v>64</v>
      </c>
      <c r="BI459">
        <v>8</v>
      </c>
      <c r="BJ459">
        <v>64</v>
      </c>
      <c r="BK459">
        <v>0</v>
      </c>
      <c r="BL459" t="s">
        <v>693</v>
      </c>
      <c r="BM459" t="s">
        <v>695</v>
      </c>
      <c r="BN459" t="s">
        <v>702</v>
      </c>
      <c r="BO459" t="s">
        <v>706</v>
      </c>
      <c r="BP459" t="s">
        <v>707</v>
      </c>
      <c r="BQ459" t="s">
        <v>708</v>
      </c>
    </row>
    <row r="460" spans="1:69" x14ac:dyDescent="0.4">
      <c r="A460" s="2" t="s">
        <v>487</v>
      </c>
      <c r="B460" t="str">
        <f>_xlfn.TEXTAFTER(Table1[[#This Row],[VEHIDCODE]],"_")</f>
        <v>Canada_CNR_Turbo_Train</v>
      </c>
      <c r="C460" t="s">
        <v>743</v>
      </c>
      <c r="D460" t="str">
        <f>"item_"&amp;Table1[[#This Row],[VEHIDCODE]]</f>
        <v>item_dmu_Canada_CNR_Turbo_Train</v>
      </c>
      <c r="E460" t="str">
        <f>"str_"&amp;Table1[[#This Row],[VEHIDCODE]]</f>
        <v>str_dmu_Canada_CNR_Turbo_Train</v>
      </c>
      <c r="F460">
        <v>8</v>
      </c>
      <c r="G460" t="s">
        <v>18</v>
      </c>
      <c r="H460">
        <v>1</v>
      </c>
      <c r="I460" t="s">
        <v>35</v>
      </c>
      <c r="J460">
        <v>44</v>
      </c>
      <c r="K460">
        <v>1967</v>
      </c>
      <c r="L460">
        <v>8</v>
      </c>
      <c r="M460" s="2" t="s">
        <v>480</v>
      </c>
      <c r="N460" t="b">
        <v>1</v>
      </c>
      <c r="O460" t="b">
        <v>1</v>
      </c>
      <c r="P460" s="2"/>
      <c r="Q460">
        <v>45</v>
      </c>
      <c r="R460">
        <v>1</v>
      </c>
      <c r="S460">
        <v>2400</v>
      </c>
      <c r="T460" t="s">
        <v>712</v>
      </c>
      <c r="U460">
        <v>225</v>
      </c>
      <c r="V460" s="2">
        <v>0.45</v>
      </c>
      <c r="AE460" t="b">
        <v>1</v>
      </c>
      <c r="AZ460" s="2"/>
      <c r="BA460" s="7">
        <v>25</v>
      </c>
      <c r="BB460" t="s">
        <v>929</v>
      </c>
      <c r="BC460" t="s">
        <v>923</v>
      </c>
      <c r="BD460" t="s">
        <v>941</v>
      </c>
      <c r="BE460" t="str">
        <f>IF(OR(Table1[[#This Row],[ENGINE_CLASS]]="STEAM",Table1[[#This Row],[ENGINE_CLASS]]="ELECTRIC",Table1[[#This Row],[ENGINE_CLASS]]="DIESEL"),Table1[[#This Row],[ENGINE_CLASS]],"DISABLE")</f>
        <v>DIESEL</v>
      </c>
      <c r="BF460">
        <v>0</v>
      </c>
      <c r="BG460" t="s">
        <v>735</v>
      </c>
      <c r="BH460">
        <v>44</v>
      </c>
      <c r="BI460">
        <v>8</v>
      </c>
      <c r="BJ460">
        <v>40</v>
      </c>
      <c r="BK460">
        <v>0</v>
      </c>
      <c r="BL460" t="s">
        <v>693</v>
      </c>
      <c r="BM460" t="s">
        <v>695</v>
      </c>
      <c r="BN460" t="s">
        <v>702</v>
      </c>
      <c r="BO460" t="s">
        <v>706</v>
      </c>
      <c r="BP460" t="s">
        <v>707</v>
      </c>
      <c r="BQ460" t="s">
        <v>708</v>
      </c>
    </row>
    <row r="461" spans="1:69" x14ac:dyDescent="0.4">
      <c r="A461" s="2" t="s">
        <v>488</v>
      </c>
      <c r="B461" t="str">
        <f>_xlfn.TEXTAFTER(Table1[[#This Row],[VEHIDCODE]],"_")</f>
        <v>Serbia_ZS_811</v>
      </c>
      <c r="C461" t="s">
        <v>743</v>
      </c>
      <c r="D461" t="str">
        <f>"item_"&amp;Table1[[#This Row],[VEHIDCODE]]</f>
        <v>item_dmu_Serbia_ZS_811</v>
      </c>
      <c r="E461" t="str">
        <f>"str_"&amp;Table1[[#This Row],[VEHIDCODE]]</f>
        <v>str_dmu_Serbia_ZS_811</v>
      </c>
      <c r="F461">
        <v>8</v>
      </c>
      <c r="G461" t="s">
        <v>18</v>
      </c>
      <c r="H461">
        <v>1</v>
      </c>
      <c r="I461" t="s">
        <v>35</v>
      </c>
      <c r="J461">
        <v>38</v>
      </c>
      <c r="K461">
        <v>1974</v>
      </c>
      <c r="L461">
        <v>8</v>
      </c>
      <c r="M461" s="2" t="s">
        <v>24</v>
      </c>
      <c r="N461" t="b">
        <v>1</v>
      </c>
      <c r="O461" t="b">
        <v>1</v>
      </c>
      <c r="P461" s="2"/>
      <c r="Q461">
        <v>45</v>
      </c>
      <c r="R461">
        <v>1</v>
      </c>
      <c r="S461">
        <v>735</v>
      </c>
      <c r="T461" t="s">
        <v>712</v>
      </c>
      <c r="U461">
        <v>118</v>
      </c>
      <c r="V461" s="2">
        <v>0.2</v>
      </c>
      <c r="AE461" t="b">
        <v>1</v>
      </c>
      <c r="AZ461" s="2"/>
      <c r="BA461" s="7">
        <v>20</v>
      </c>
      <c r="BB461" t="s">
        <v>930</v>
      </c>
      <c r="BC461" t="s">
        <v>923</v>
      </c>
      <c r="BD461" t="s">
        <v>941</v>
      </c>
      <c r="BE461" t="str">
        <f>IF(OR(Table1[[#This Row],[ENGINE_CLASS]]="STEAM",Table1[[#This Row],[ENGINE_CLASS]]="ELECTRIC",Table1[[#This Row],[ENGINE_CLASS]]="DIESEL"),Table1[[#This Row],[ENGINE_CLASS]],"DISABLE")</f>
        <v>DIESEL</v>
      </c>
      <c r="BF461">
        <v>0</v>
      </c>
      <c r="BG461" t="s">
        <v>735</v>
      </c>
      <c r="BH461">
        <v>38</v>
      </c>
      <c r="BI461">
        <v>8</v>
      </c>
      <c r="BJ461">
        <v>55</v>
      </c>
      <c r="BK461">
        <v>0</v>
      </c>
      <c r="BL461" t="s">
        <v>693</v>
      </c>
      <c r="BM461" t="s">
        <v>695</v>
      </c>
      <c r="BN461" t="s">
        <v>702</v>
      </c>
      <c r="BO461" t="s">
        <v>706</v>
      </c>
      <c r="BP461" t="s">
        <v>707</v>
      </c>
      <c r="BQ461" t="s">
        <v>708</v>
      </c>
    </row>
    <row r="462" spans="1:69" x14ac:dyDescent="0.4">
      <c r="A462" s="2" t="s">
        <v>489</v>
      </c>
      <c r="B462" t="str">
        <f>_xlfn.TEXTAFTER(Table1[[#This Row],[VEHIDCODE]],"_")</f>
        <v>UK_BR_43_IC125</v>
      </c>
      <c r="C462" t="s">
        <v>743</v>
      </c>
      <c r="D462" t="str">
        <f>"item_"&amp;Table1[[#This Row],[VEHIDCODE]]</f>
        <v>item_dmu_UK_BR_43_IC125</v>
      </c>
      <c r="E462" t="str">
        <f>"str_"&amp;Table1[[#This Row],[VEHIDCODE]]</f>
        <v>str_dmu_UK_BR_43_IC125</v>
      </c>
      <c r="F462">
        <v>8</v>
      </c>
      <c r="G462" t="s">
        <v>18</v>
      </c>
      <c r="H462">
        <v>1</v>
      </c>
      <c r="I462" t="s">
        <v>35</v>
      </c>
      <c r="J462">
        <v>52</v>
      </c>
      <c r="K462">
        <v>1976</v>
      </c>
      <c r="L462">
        <v>8</v>
      </c>
      <c r="M462" s="2" t="s">
        <v>480</v>
      </c>
      <c r="N462" t="b">
        <v>1</v>
      </c>
      <c r="O462" t="b">
        <v>1</v>
      </c>
      <c r="P462" s="2"/>
      <c r="Q462">
        <v>45</v>
      </c>
      <c r="R462">
        <v>1</v>
      </c>
      <c r="S462">
        <v>4500</v>
      </c>
      <c r="T462" t="s">
        <v>712</v>
      </c>
      <c r="U462">
        <v>201</v>
      </c>
      <c r="V462" s="2">
        <v>0.57999999999999996</v>
      </c>
      <c r="AE462" t="b">
        <v>1</v>
      </c>
      <c r="AZ462" s="2"/>
      <c r="BA462" s="7">
        <v>25</v>
      </c>
      <c r="BB462" t="s">
        <v>928</v>
      </c>
      <c r="BC462" t="s">
        <v>923</v>
      </c>
      <c r="BD462" t="s">
        <v>941</v>
      </c>
      <c r="BE462" t="str">
        <f>IF(OR(Table1[[#This Row],[ENGINE_CLASS]]="STEAM",Table1[[#This Row],[ENGINE_CLASS]]="ELECTRIC",Table1[[#This Row],[ENGINE_CLASS]]="DIESEL"),Table1[[#This Row],[ENGINE_CLASS]],"DISABLE")</f>
        <v>DIESEL</v>
      </c>
      <c r="BF462">
        <v>0</v>
      </c>
      <c r="BG462" t="s">
        <v>735</v>
      </c>
      <c r="BH462">
        <v>52</v>
      </c>
      <c r="BI462">
        <v>8</v>
      </c>
      <c r="BJ462">
        <v>70</v>
      </c>
      <c r="BK462">
        <v>0</v>
      </c>
      <c r="BL462" t="s">
        <v>693</v>
      </c>
      <c r="BM462" t="s">
        <v>695</v>
      </c>
      <c r="BN462" t="s">
        <v>702</v>
      </c>
      <c r="BO462" t="s">
        <v>706</v>
      </c>
      <c r="BP462" t="s">
        <v>707</v>
      </c>
      <c r="BQ462" t="s">
        <v>708</v>
      </c>
    </row>
    <row r="463" spans="1:69" x14ac:dyDescent="0.4">
      <c r="A463" s="2" t="s">
        <v>490</v>
      </c>
      <c r="B463" t="str">
        <f>_xlfn.TEXTAFTER(Table1[[#This Row],[VEHIDCODE]],"_")</f>
        <v>Canada_VIA_Rail_LRC</v>
      </c>
      <c r="C463" t="s">
        <v>743</v>
      </c>
      <c r="D463" t="str">
        <f>"item_"&amp;Table1[[#This Row],[VEHIDCODE]]</f>
        <v>item_dmu_Canada_VIA_Rail_LRC</v>
      </c>
      <c r="E463" t="str">
        <f>"str_"&amp;Table1[[#This Row],[VEHIDCODE]]</f>
        <v>str_dmu_Canada_VIA_Rail_LRC</v>
      </c>
      <c r="F463">
        <v>8</v>
      </c>
      <c r="G463" t="s">
        <v>18</v>
      </c>
      <c r="H463">
        <v>1</v>
      </c>
      <c r="I463" t="s">
        <v>35</v>
      </c>
      <c r="J463">
        <v>0</v>
      </c>
      <c r="K463">
        <v>1980</v>
      </c>
      <c r="L463">
        <v>8</v>
      </c>
      <c r="M463" s="2" t="s">
        <v>480</v>
      </c>
      <c r="N463" t="b">
        <v>1</v>
      </c>
      <c r="O463" t="b">
        <v>1</v>
      </c>
      <c r="P463" s="2"/>
      <c r="Q463">
        <v>45</v>
      </c>
      <c r="R463">
        <v>1</v>
      </c>
      <c r="S463">
        <v>5400</v>
      </c>
      <c r="T463" t="s">
        <v>712</v>
      </c>
      <c r="U463">
        <v>180</v>
      </c>
      <c r="V463" s="2">
        <v>0.54</v>
      </c>
      <c r="AE463" t="b">
        <v>1</v>
      </c>
      <c r="AZ463" s="2"/>
      <c r="BA463" s="7">
        <v>25</v>
      </c>
      <c r="BB463" t="s">
        <v>929</v>
      </c>
      <c r="BC463" t="s">
        <v>923</v>
      </c>
      <c r="BD463" t="s">
        <v>941</v>
      </c>
      <c r="BE463" t="str">
        <f>IF(OR(Table1[[#This Row],[ENGINE_CLASS]]="STEAM",Table1[[#This Row],[ENGINE_CLASS]]="ELECTRIC",Table1[[#This Row],[ENGINE_CLASS]]="DIESEL"),Table1[[#This Row],[ENGINE_CLASS]],"DISABLE")</f>
        <v>DIESEL</v>
      </c>
      <c r="BF463">
        <v>0</v>
      </c>
      <c r="BG463" t="s">
        <v>735</v>
      </c>
      <c r="BH463">
        <v>55</v>
      </c>
      <c r="BI463">
        <v>8</v>
      </c>
      <c r="BJ463">
        <v>65</v>
      </c>
      <c r="BK463">
        <v>0</v>
      </c>
      <c r="BL463" t="s">
        <v>693</v>
      </c>
      <c r="BM463" t="s">
        <v>695</v>
      </c>
      <c r="BN463" t="s">
        <v>702</v>
      </c>
      <c r="BO463" t="s">
        <v>706</v>
      </c>
      <c r="BP463" t="s">
        <v>707</v>
      </c>
      <c r="BQ463" t="s">
        <v>708</v>
      </c>
    </row>
    <row r="464" spans="1:69" x14ac:dyDescent="0.4">
      <c r="A464" s="2" t="s">
        <v>491</v>
      </c>
      <c r="B464" t="str">
        <f>_xlfn.TEXTAFTER(Table1[[#This Row],[VEHIDCODE]],"_")</f>
        <v>Sweden_SJ_Y2</v>
      </c>
      <c r="C464" t="s">
        <v>743</v>
      </c>
      <c r="D464" t="str">
        <f>"item_"&amp;Table1[[#This Row],[VEHIDCODE]]</f>
        <v>item_dmu_Sweden_SJ_Y2</v>
      </c>
      <c r="E464" t="str">
        <f>"str_"&amp;Table1[[#This Row],[VEHIDCODE]]</f>
        <v>str_dmu_Sweden_SJ_Y2</v>
      </c>
      <c r="F464">
        <v>8</v>
      </c>
      <c r="G464" t="s">
        <v>18</v>
      </c>
      <c r="H464">
        <v>1</v>
      </c>
      <c r="I464" t="s">
        <v>35</v>
      </c>
      <c r="J464">
        <v>48</v>
      </c>
      <c r="K464">
        <v>1990</v>
      </c>
      <c r="L464">
        <v>8</v>
      </c>
      <c r="M464" s="2" t="s">
        <v>480</v>
      </c>
      <c r="N464" t="b">
        <v>1</v>
      </c>
      <c r="O464" t="b">
        <v>1</v>
      </c>
      <c r="P464" s="2"/>
      <c r="Q464" t="s">
        <v>21</v>
      </c>
      <c r="R464">
        <v>1</v>
      </c>
      <c r="S464">
        <v>600</v>
      </c>
      <c r="T464" t="s">
        <v>712</v>
      </c>
      <c r="U464">
        <v>180</v>
      </c>
      <c r="V464" s="2">
        <v>0.63</v>
      </c>
      <c r="AE464" t="b">
        <v>1</v>
      </c>
      <c r="AZ464" s="2"/>
      <c r="BA464" s="7">
        <v>25</v>
      </c>
      <c r="BB464" t="s">
        <v>928</v>
      </c>
      <c r="BC464" t="s">
        <v>923</v>
      </c>
      <c r="BD464" t="s">
        <v>941</v>
      </c>
      <c r="BE464" t="str">
        <f>IF(OR(Table1[[#This Row],[ENGINE_CLASS]]="STEAM",Table1[[#This Row],[ENGINE_CLASS]]="ELECTRIC",Table1[[#This Row],[ENGINE_CLASS]]="DIESEL"),Table1[[#This Row],[ENGINE_CLASS]],"DISABLE")</f>
        <v>DIESEL</v>
      </c>
      <c r="BF464">
        <v>0</v>
      </c>
      <c r="BG464" t="s">
        <v>735</v>
      </c>
      <c r="BH464">
        <v>48</v>
      </c>
      <c r="BI464">
        <v>8</v>
      </c>
      <c r="BJ464">
        <v>32</v>
      </c>
      <c r="BK464">
        <v>0</v>
      </c>
      <c r="BL464" t="s">
        <v>693</v>
      </c>
      <c r="BM464" t="s">
        <v>695</v>
      </c>
      <c r="BN464" t="s">
        <v>702</v>
      </c>
      <c r="BO464" t="s">
        <v>706</v>
      </c>
      <c r="BP464" t="s">
        <v>707</v>
      </c>
      <c r="BQ464" t="s">
        <v>708</v>
      </c>
    </row>
    <row r="465" spans="1:69" x14ac:dyDescent="0.4">
      <c r="A465" s="2" t="s">
        <v>492</v>
      </c>
      <c r="B465" t="str">
        <f>_xlfn.TEXTAFTER(Table1[[#This Row],[VEHIDCODE]],"_")</f>
        <v>Spain_RENFE_594_TRD</v>
      </c>
      <c r="C465" t="s">
        <v>743</v>
      </c>
      <c r="D465" t="str">
        <f>"item_"&amp;Table1[[#This Row],[VEHIDCODE]]</f>
        <v>item_dmu_Spain_RENFE_594_TRD</v>
      </c>
      <c r="E465" t="str">
        <f>"str_"&amp;Table1[[#This Row],[VEHIDCODE]]</f>
        <v>str_dmu_Spain_RENFE_594_TRD</v>
      </c>
      <c r="F465">
        <v>8</v>
      </c>
      <c r="G465" t="s">
        <v>18</v>
      </c>
      <c r="H465">
        <v>1</v>
      </c>
      <c r="I465" t="s">
        <v>35</v>
      </c>
      <c r="J465">
        <v>63</v>
      </c>
      <c r="K465">
        <v>1997</v>
      </c>
      <c r="L465">
        <v>8</v>
      </c>
      <c r="M465" s="2" t="s">
        <v>24</v>
      </c>
      <c r="N465" t="b">
        <v>1</v>
      </c>
      <c r="O465" t="b">
        <v>1</v>
      </c>
      <c r="P465" s="2"/>
      <c r="Q465">
        <v>45</v>
      </c>
      <c r="R465">
        <v>1</v>
      </c>
      <c r="S465">
        <v>804</v>
      </c>
      <c r="T465" t="s">
        <v>712</v>
      </c>
      <c r="U465">
        <v>160</v>
      </c>
      <c r="V465" s="2">
        <v>0.24</v>
      </c>
      <c r="AE465" t="b">
        <v>1</v>
      </c>
      <c r="AZ465" s="2"/>
      <c r="BA465" s="7">
        <v>20</v>
      </c>
      <c r="BB465" t="s">
        <v>925</v>
      </c>
      <c r="BC465" t="s">
        <v>923</v>
      </c>
      <c r="BD465" t="s">
        <v>941</v>
      </c>
      <c r="BE465" t="str">
        <f>IF(OR(Table1[[#This Row],[ENGINE_CLASS]]="STEAM",Table1[[#This Row],[ENGINE_CLASS]]="ELECTRIC",Table1[[#This Row],[ENGINE_CLASS]]="DIESEL"),Table1[[#This Row],[ENGINE_CLASS]],"DISABLE")</f>
        <v>DIESEL</v>
      </c>
      <c r="BF465">
        <v>0</v>
      </c>
      <c r="BG465" t="s">
        <v>735</v>
      </c>
      <c r="BH465">
        <v>63</v>
      </c>
      <c r="BI465">
        <v>8</v>
      </c>
      <c r="BJ465">
        <v>49</v>
      </c>
      <c r="BK465">
        <v>0</v>
      </c>
      <c r="BL465" t="s">
        <v>693</v>
      </c>
      <c r="BM465" t="s">
        <v>695</v>
      </c>
      <c r="BN465" t="s">
        <v>702</v>
      </c>
      <c r="BO465" t="s">
        <v>706</v>
      </c>
      <c r="BP465" t="s">
        <v>707</v>
      </c>
      <c r="BQ465" t="s">
        <v>708</v>
      </c>
    </row>
    <row r="466" spans="1:69" x14ac:dyDescent="0.4">
      <c r="A466" s="2" t="s">
        <v>493</v>
      </c>
      <c r="B466" t="str">
        <f>_xlfn.TEXTAFTER(Table1[[#This Row],[VEHIDCODE]],"_")</f>
        <v>UK_BR_168</v>
      </c>
      <c r="C466" t="s">
        <v>743</v>
      </c>
      <c r="D466" t="str">
        <f>"item_"&amp;Table1[[#This Row],[VEHIDCODE]]</f>
        <v>item_dmu_UK_BR_168</v>
      </c>
      <c r="E466" t="str">
        <f>"str_"&amp;Table1[[#This Row],[VEHIDCODE]]</f>
        <v>str_dmu_UK_BR_168</v>
      </c>
      <c r="F466">
        <v>8</v>
      </c>
      <c r="G466" t="s">
        <v>18</v>
      </c>
      <c r="H466">
        <v>1</v>
      </c>
      <c r="I466" t="s">
        <v>35</v>
      </c>
      <c r="J466">
        <v>42</v>
      </c>
      <c r="K466">
        <v>1997</v>
      </c>
      <c r="L466">
        <v>8</v>
      </c>
      <c r="M466" s="2" t="s">
        <v>24</v>
      </c>
      <c r="N466" t="b">
        <v>1</v>
      </c>
      <c r="O466" t="b">
        <v>1</v>
      </c>
      <c r="P466" s="2"/>
      <c r="Q466">
        <v>45</v>
      </c>
      <c r="R466">
        <v>1</v>
      </c>
      <c r="S466">
        <v>1300</v>
      </c>
      <c r="T466" t="s">
        <v>712</v>
      </c>
      <c r="U466">
        <v>160</v>
      </c>
      <c r="V466" s="2">
        <v>0.39</v>
      </c>
      <c r="AE466" t="b">
        <v>1</v>
      </c>
      <c r="AZ466" s="2"/>
      <c r="BA466" s="7">
        <v>20</v>
      </c>
      <c r="BB466" t="s">
        <v>928</v>
      </c>
      <c r="BC466" t="s">
        <v>923</v>
      </c>
      <c r="BD466" t="s">
        <v>941</v>
      </c>
      <c r="BE466" t="str">
        <f>IF(OR(Table1[[#This Row],[ENGINE_CLASS]]="STEAM",Table1[[#This Row],[ENGINE_CLASS]]="ELECTRIC",Table1[[#This Row],[ENGINE_CLASS]]="DIESEL"),Table1[[#This Row],[ENGINE_CLASS]],"DISABLE")</f>
        <v>DIESEL</v>
      </c>
      <c r="BF466">
        <v>0</v>
      </c>
      <c r="BG466" t="s">
        <v>735</v>
      </c>
      <c r="BH466">
        <v>42</v>
      </c>
      <c r="BI466">
        <v>8</v>
      </c>
      <c r="BJ466">
        <v>50</v>
      </c>
      <c r="BK466">
        <v>0</v>
      </c>
      <c r="BL466" t="s">
        <v>693</v>
      </c>
      <c r="BM466" t="s">
        <v>695</v>
      </c>
      <c r="BN466" t="s">
        <v>702</v>
      </c>
      <c r="BO466" t="s">
        <v>706</v>
      </c>
      <c r="BP466" t="s">
        <v>707</v>
      </c>
      <c r="BQ466" t="s">
        <v>708</v>
      </c>
    </row>
    <row r="467" spans="1:69" x14ac:dyDescent="0.4">
      <c r="A467" s="2" t="s">
        <v>494</v>
      </c>
      <c r="B467" t="str">
        <f>_xlfn.TEXTAFTER(Table1[[#This Row],[VEHIDCODE]],"_")</f>
        <v>Germany_DB_612_Regio_Swinger</v>
      </c>
      <c r="C467" t="s">
        <v>743</v>
      </c>
      <c r="D467" t="str">
        <f>"item_"&amp;Table1[[#This Row],[VEHIDCODE]]</f>
        <v>item_dmu_Germany_DB_612_Regio_Swinger</v>
      </c>
      <c r="E467" t="str">
        <f>"str_"&amp;Table1[[#This Row],[VEHIDCODE]]</f>
        <v>str_dmu_Germany_DB_612_Regio_Swinger</v>
      </c>
      <c r="F467">
        <v>8</v>
      </c>
      <c r="G467" t="s">
        <v>18</v>
      </c>
      <c r="H467">
        <v>1</v>
      </c>
      <c r="I467" t="s">
        <v>35</v>
      </c>
      <c r="J467">
        <v>73</v>
      </c>
      <c r="K467">
        <v>1998</v>
      </c>
      <c r="L467">
        <v>8</v>
      </c>
      <c r="M467" s="2" t="s">
        <v>24</v>
      </c>
      <c r="N467" t="b">
        <v>1</v>
      </c>
      <c r="O467" t="b">
        <v>1</v>
      </c>
      <c r="P467" s="2"/>
      <c r="Q467">
        <v>45</v>
      </c>
      <c r="R467">
        <v>1</v>
      </c>
      <c r="S467">
        <v>1520</v>
      </c>
      <c r="T467" t="s">
        <v>712</v>
      </c>
      <c r="U467">
        <v>160</v>
      </c>
      <c r="V467" s="2">
        <v>0.38</v>
      </c>
      <c r="AE467" t="b">
        <v>1</v>
      </c>
      <c r="AZ467" s="2"/>
      <c r="BA467" s="7">
        <v>20</v>
      </c>
      <c r="BB467" t="s">
        <v>924</v>
      </c>
      <c r="BC467" t="s">
        <v>923</v>
      </c>
      <c r="BD467" t="s">
        <v>941</v>
      </c>
      <c r="BE467" t="str">
        <f>IF(OR(Table1[[#This Row],[ENGINE_CLASS]]="STEAM",Table1[[#This Row],[ENGINE_CLASS]]="ELECTRIC",Table1[[#This Row],[ENGINE_CLASS]]="DIESEL"),Table1[[#This Row],[ENGINE_CLASS]],"DISABLE")</f>
        <v>DIESEL</v>
      </c>
      <c r="BF467">
        <v>0</v>
      </c>
      <c r="BG467" t="s">
        <v>735</v>
      </c>
      <c r="BH467">
        <v>73</v>
      </c>
      <c r="BI467">
        <v>8</v>
      </c>
      <c r="BJ467">
        <v>58</v>
      </c>
      <c r="BK467">
        <v>0</v>
      </c>
      <c r="BL467" t="s">
        <v>693</v>
      </c>
      <c r="BM467" t="s">
        <v>695</v>
      </c>
      <c r="BN467" t="s">
        <v>702</v>
      </c>
      <c r="BO467" t="s">
        <v>706</v>
      </c>
      <c r="BP467" t="s">
        <v>707</v>
      </c>
      <c r="BQ467" t="s">
        <v>708</v>
      </c>
    </row>
    <row r="468" spans="1:69" x14ac:dyDescent="0.4">
      <c r="A468" s="2" t="s">
        <v>495</v>
      </c>
      <c r="B468" t="str">
        <f>_xlfn.TEXTAFTER(Table1[[#This Row],[VEHIDCODE]],"_")</f>
        <v>Germany_DB_642_Desiro</v>
      </c>
      <c r="C468" t="s">
        <v>743</v>
      </c>
      <c r="D468" t="str">
        <f>"item_"&amp;Table1[[#This Row],[VEHIDCODE]]</f>
        <v>item_dmu_Germany_DB_642_Desiro</v>
      </c>
      <c r="E468" t="str">
        <f>"str_"&amp;Table1[[#This Row],[VEHIDCODE]]</f>
        <v>str_dmu_Germany_DB_642_Desiro</v>
      </c>
      <c r="F468">
        <v>8</v>
      </c>
      <c r="G468" t="s">
        <v>18</v>
      </c>
      <c r="H468">
        <v>1</v>
      </c>
      <c r="I468" t="s">
        <v>35</v>
      </c>
      <c r="J468">
        <v>55</v>
      </c>
      <c r="K468">
        <v>2000</v>
      </c>
      <c r="L468">
        <v>8</v>
      </c>
      <c r="M468" s="2" t="s">
        <v>24</v>
      </c>
      <c r="N468" t="b">
        <v>1</v>
      </c>
      <c r="O468" t="b">
        <v>1</v>
      </c>
      <c r="P468" s="2"/>
      <c r="Q468" t="s">
        <v>21</v>
      </c>
      <c r="R468">
        <v>1</v>
      </c>
      <c r="S468">
        <v>368</v>
      </c>
      <c r="T468" t="s">
        <v>712</v>
      </c>
      <c r="U468">
        <v>120</v>
      </c>
      <c r="V468" s="2">
        <v>0.18</v>
      </c>
      <c r="AE468" t="b">
        <v>1</v>
      </c>
      <c r="AZ468" s="2"/>
      <c r="BA468" s="7">
        <v>25</v>
      </c>
      <c r="BB468" t="s">
        <v>924</v>
      </c>
      <c r="BC468" t="s">
        <v>923</v>
      </c>
      <c r="BD468" t="s">
        <v>941</v>
      </c>
      <c r="BE468" t="str">
        <f>IF(OR(Table1[[#This Row],[ENGINE_CLASS]]="STEAM",Table1[[#This Row],[ENGINE_CLASS]]="ELECTRIC",Table1[[#This Row],[ENGINE_CLASS]]="DIESEL"),Table1[[#This Row],[ENGINE_CLASS]],"DISABLE")</f>
        <v>DIESEL</v>
      </c>
      <c r="BF468">
        <v>0</v>
      </c>
      <c r="BG468" t="s">
        <v>735</v>
      </c>
      <c r="BH468">
        <v>55</v>
      </c>
      <c r="BI468">
        <v>8</v>
      </c>
      <c r="BJ468">
        <v>60</v>
      </c>
      <c r="BK468">
        <v>0</v>
      </c>
      <c r="BL468" t="s">
        <v>693</v>
      </c>
      <c r="BM468" t="s">
        <v>695</v>
      </c>
      <c r="BN468" t="s">
        <v>702</v>
      </c>
      <c r="BO468" t="s">
        <v>706</v>
      </c>
      <c r="BP468" t="s">
        <v>707</v>
      </c>
      <c r="BQ468" t="s">
        <v>708</v>
      </c>
    </row>
    <row r="469" spans="1:69" x14ac:dyDescent="0.4">
      <c r="A469" s="2" t="s">
        <v>496</v>
      </c>
      <c r="B469" t="str">
        <f>_xlfn.TEXTAFTER(Table1[[#This Row],[VEHIDCODE]],"_")</f>
        <v>Denmark_Arriva_Lint_41</v>
      </c>
      <c r="C469" t="s">
        <v>743</v>
      </c>
      <c r="D469" t="str">
        <f>"item_"&amp;Table1[[#This Row],[VEHIDCODE]]</f>
        <v>item_dmu_Denmark_Arriva_Lint_41</v>
      </c>
      <c r="E469" t="str">
        <f>"str_"&amp;Table1[[#This Row],[VEHIDCODE]]</f>
        <v>str_dmu_Denmark_Arriva_Lint_41</v>
      </c>
      <c r="F469">
        <v>8</v>
      </c>
      <c r="G469" t="s">
        <v>18</v>
      </c>
      <c r="H469">
        <v>1</v>
      </c>
      <c r="I469" t="s">
        <v>35</v>
      </c>
      <c r="J469">
        <v>73</v>
      </c>
      <c r="K469">
        <v>2001</v>
      </c>
      <c r="L469">
        <v>8</v>
      </c>
      <c r="M469" s="2" t="s">
        <v>24</v>
      </c>
      <c r="N469" t="b">
        <v>1</v>
      </c>
      <c r="O469" t="b">
        <v>1</v>
      </c>
      <c r="P469" s="2"/>
      <c r="Q469" t="s">
        <v>21</v>
      </c>
      <c r="R469">
        <v>1</v>
      </c>
      <c r="S469">
        <v>422</v>
      </c>
      <c r="T469" t="s">
        <v>712</v>
      </c>
      <c r="U469">
        <v>120</v>
      </c>
      <c r="V469" s="2">
        <v>0.39</v>
      </c>
      <c r="AE469" t="b">
        <v>1</v>
      </c>
      <c r="AZ469" s="2"/>
      <c r="BA469" s="7">
        <v>20</v>
      </c>
      <c r="BB469" t="s">
        <v>928</v>
      </c>
      <c r="BC469" t="s">
        <v>923</v>
      </c>
      <c r="BD469" t="s">
        <v>941</v>
      </c>
      <c r="BE469" t="str">
        <f>IF(OR(Table1[[#This Row],[ENGINE_CLASS]]="STEAM",Table1[[#This Row],[ENGINE_CLASS]]="ELECTRIC",Table1[[#This Row],[ENGINE_CLASS]]="DIESEL"),Table1[[#This Row],[ENGINE_CLASS]],"DISABLE")</f>
        <v>DIESEL</v>
      </c>
      <c r="BF469">
        <v>0</v>
      </c>
      <c r="BG469" t="s">
        <v>735</v>
      </c>
      <c r="BH469">
        <v>73</v>
      </c>
      <c r="BI469">
        <v>8</v>
      </c>
      <c r="BJ469">
        <v>31</v>
      </c>
      <c r="BK469">
        <v>0</v>
      </c>
      <c r="BL469" t="s">
        <v>693</v>
      </c>
      <c r="BM469" t="s">
        <v>695</v>
      </c>
      <c r="BN469" t="s">
        <v>702</v>
      </c>
      <c r="BO469" t="s">
        <v>706</v>
      </c>
      <c r="BP469" t="s">
        <v>707</v>
      </c>
      <c r="BQ469" t="s">
        <v>708</v>
      </c>
    </row>
    <row r="470" spans="1:69" x14ac:dyDescent="0.4">
      <c r="A470" s="2" t="s">
        <v>497</v>
      </c>
      <c r="B470" t="str">
        <f>_xlfn.TEXTAFTER(Table1[[#This Row],[VEHIDCODE]],"_")</f>
        <v>Norway_NSB_BM_93_Talent</v>
      </c>
      <c r="C470" t="s">
        <v>743</v>
      </c>
      <c r="D470" t="str">
        <f>"item_"&amp;Table1[[#This Row],[VEHIDCODE]]</f>
        <v>item_dmu_Norway_NSB_BM_93_Talent</v>
      </c>
      <c r="E470" t="str">
        <f>"str_"&amp;Table1[[#This Row],[VEHIDCODE]]</f>
        <v>str_dmu_Norway_NSB_BM_93_Talent</v>
      </c>
      <c r="F470">
        <v>8</v>
      </c>
      <c r="G470" t="s">
        <v>18</v>
      </c>
      <c r="H470">
        <v>1</v>
      </c>
      <c r="I470" t="s">
        <v>35</v>
      </c>
      <c r="J470">
        <v>55</v>
      </c>
      <c r="K470">
        <v>2001</v>
      </c>
      <c r="L470">
        <v>8</v>
      </c>
      <c r="M470" s="2" t="s">
        <v>24</v>
      </c>
      <c r="N470" t="b">
        <v>1</v>
      </c>
      <c r="O470" t="b">
        <v>1</v>
      </c>
      <c r="P470" s="2"/>
      <c r="Q470">
        <v>45</v>
      </c>
      <c r="R470">
        <v>1</v>
      </c>
      <c r="S470">
        <v>410</v>
      </c>
      <c r="T470" t="s">
        <v>712</v>
      </c>
      <c r="U470">
        <v>140</v>
      </c>
      <c r="V470" s="2">
        <v>0.21</v>
      </c>
      <c r="AE470" t="b">
        <v>1</v>
      </c>
      <c r="AZ470" s="2"/>
      <c r="BA470" s="7">
        <v>20</v>
      </c>
      <c r="BB470" t="s">
        <v>928</v>
      </c>
      <c r="BC470" t="s">
        <v>923</v>
      </c>
      <c r="BD470" t="s">
        <v>941</v>
      </c>
      <c r="BE470" t="str">
        <f>IF(OR(Table1[[#This Row],[ENGINE_CLASS]]="STEAM",Table1[[#This Row],[ENGINE_CLASS]]="ELECTRIC",Table1[[#This Row],[ENGINE_CLASS]]="DIESEL"),Table1[[#This Row],[ENGINE_CLASS]],"DISABLE")</f>
        <v>DIESEL</v>
      </c>
      <c r="BF470">
        <v>0</v>
      </c>
      <c r="BG470" t="s">
        <v>735</v>
      </c>
      <c r="BH470">
        <v>55</v>
      </c>
      <c r="BI470">
        <v>8</v>
      </c>
      <c r="BJ470">
        <v>29</v>
      </c>
      <c r="BK470">
        <v>0</v>
      </c>
      <c r="BL470" t="s">
        <v>693</v>
      </c>
      <c r="BM470" t="s">
        <v>695</v>
      </c>
      <c r="BN470" t="s">
        <v>702</v>
      </c>
      <c r="BO470" t="s">
        <v>706</v>
      </c>
      <c r="BP470" t="s">
        <v>707</v>
      </c>
      <c r="BQ470" t="s">
        <v>708</v>
      </c>
    </row>
    <row r="471" spans="1:69" x14ac:dyDescent="0.4">
      <c r="A471" s="2" t="s">
        <v>498</v>
      </c>
      <c r="B471" t="str">
        <f>_xlfn.TEXTAFTER(Table1[[#This Row],[VEHIDCODE]],"_")</f>
        <v>Australia_Transwa_Prospector</v>
      </c>
      <c r="C471" t="s">
        <v>743</v>
      </c>
      <c r="D471" t="str">
        <f>"item_"&amp;Table1[[#This Row],[VEHIDCODE]]</f>
        <v>item_dmu_Australia_Transwa_Prospector</v>
      </c>
      <c r="E471" t="str">
        <f>"str_"&amp;Table1[[#This Row],[VEHIDCODE]]</f>
        <v>str_dmu_Australia_Transwa_Prospector</v>
      </c>
      <c r="F471">
        <v>8</v>
      </c>
      <c r="G471" t="s">
        <v>18</v>
      </c>
      <c r="H471">
        <v>1</v>
      </c>
      <c r="I471" t="s">
        <v>35</v>
      </c>
      <c r="J471">
        <v>68</v>
      </c>
      <c r="K471">
        <v>2004</v>
      </c>
      <c r="L471">
        <v>8</v>
      </c>
      <c r="M471" s="2" t="s">
        <v>480</v>
      </c>
      <c r="N471" t="b">
        <v>1</v>
      </c>
      <c r="O471" t="b">
        <v>1</v>
      </c>
      <c r="P471" s="2"/>
      <c r="Q471" t="s">
        <v>21</v>
      </c>
      <c r="R471">
        <v>1</v>
      </c>
      <c r="S471">
        <v>520</v>
      </c>
      <c r="T471" t="s">
        <v>712</v>
      </c>
      <c r="U471">
        <v>200</v>
      </c>
      <c r="V471" s="2">
        <v>0.33</v>
      </c>
      <c r="AE471" t="b">
        <v>1</v>
      </c>
      <c r="AZ471" s="2"/>
      <c r="BA471" s="7">
        <v>25</v>
      </c>
      <c r="BB471" t="s">
        <v>926</v>
      </c>
      <c r="BC471" t="s">
        <v>923</v>
      </c>
      <c r="BD471" t="s">
        <v>941</v>
      </c>
      <c r="BE471" t="str">
        <f>IF(OR(Table1[[#This Row],[ENGINE_CLASS]]="STEAM",Table1[[#This Row],[ENGINE_CLASS]]="ELECTRIC",Table1[[#This Row],[ENGINE_CLASS]]="DIESEL"),Table1[[#This Row],[ENGINE_CLASS]],"DISABLE")</f>
        <v>DIESEL</v>
      </c>
      <c r="BF471">
        <v>0</v>
      </c>
      <c r="BG471" t="s">
        <v>735</v>
      </c>
      <c r="BH471">
        <v>68</v>
      </c>
      <c r="BI471">
        <v>8</v>
      </c>
      <c r="BJ471">
        <v>33</v>
      </c>
      <c r="BK471">
        <v>0</v>
      </c>
      <c r="BL471" t="s">
        <v>693</v>
      </c>
      <c r="BM471" t="s">
        <v>695</v>
      </c>
      <c r="BN471" t="s">
        <v>702</v>
      </c>
      <c r="BO471" t="s">
        <v>706</v>
      </c>
      <c r="BP471" t="s">
        <v>707</v>
      </c>
      <c r="BQ471" t="s">
        <v>708</v>
      </c>
    </row>
    <row r="472" spans="1:69" x14ac:dyDescent="0.4">
      <c r="A472" s="2" t="s">
        <v>499</v>
      </c>
      <c r="B472" t="str">
        <f>_xlfn.TEXTAFTER(Table1[[#This Row],[VEHIDCODE]],"_")</f>
        <v>Australia_CityRail_Hunter_Railcar</v>
      </c>
      <c r="C472" t="s">
        <v>743</v>
      </c>
      <c r="D472" t="str">
        <f>"item_"&amp;Table1[[#This Row],[VEHIDCODE]]</f>
        <v>item_dmu_Australia_CityRail_Hunter_Railcar</v>
      </c>
      <c r="E472" t="str">
        <f>"str_"&amp;Table1[[#This Row],[VEHIDCODE]]</f>
        <v>str_dmu_Australia_CityRail_Hunter_Railcar</v>
      </c>
      <c r="F472">
        <v>8</v>
      </c>
      <c r="G472" t="s">
        <v>18</v>
      </c>
      <c r="H472">
        <v>1</v>
      </c>
      <c r="I472" t="s">
        <v>35</v>
      </c>
      <c r="J472">
        <v>70</v>
      </c>
      <c r="K472">
        <v>2006</v>
      </c>
      <c r="L472">
        <v>8</v>
      </c>
      <c r="M472" s="2" t="s">
        <v>24</v>
      </c>
      <c r="N472" t="b">
        <v>1</v>
      </c>
      <c r="O472" t="b">
        <v>1</v>
      </c>
      <c r="P472" s="2"/>
      <c r="Q472" t="s">
        <v>21</v>
      </c>
      <c r="R472">
        <v>1</v>
      </c>
      <c r="S472">
        <v>750</v>
      </c>
      <c r="T472" t="s">
        <v>712</v>
      </c>
      <c r="U472">
        <v>160</v>
      </c>
      <c r="V472" s="2">
        <v>0.33</v>
      </c>
      <c r="AE472" t="b">
        <v>1</v>
      </c>
      <c r="AZ472" s="2"/>
      <c r="BA472" s="7">
        <v>25</v>
      </c>
      <c r="BB472" t="s">
        <v>926</v>
      </c>
      <c r="BC472" t="s">
        <v>923</v>
      </c>
      <c r="BD472" t="s">
        <v>941</v>
      </c>
      <c r="BE472" t="str">
        <f>IF(OR(Table1[[#This Row],[ENGINE_CLASS]]="STEAM",Table1[[#This Row],[ENGINE_CLASS]]="ELECTRIC",Table1[[#This Row],[ENGINE_CLASS]]="DIESEL"),Table1[[#This Row],[ENGINE_CLASS]],"DISABLE")</f>
        <v>DIESEL</v>
      </c>
      <c r="BF472">
        <v>0</v>
      </c>
      <c r="BG472" t="s">
        <v>735</v>
      </c>
      <c r="BH472">
        <v>70</v>
      </c>
      <c r="BI472">
        <v>8</v>
      </c>
      <c r="BJ472">
        <v>30</v>
      </c>
      <c r="BK472">
        <v>0</v>
      </c>
      <c r="BL472" t="s">
        <v>693</v>
      </c>
      <c r="BM472" t="s">
        <v>695</v>
      </c>
      <c r="BN472" t="s">
        <v>702</v>
      </c>
      <c r="BO472" t="s">
        <v>706</v>
      </c>
      <c r="BP472" t="s">
        <v>707</v>
      </c>
      <c r="BQ472" t="s">
        <v>708</v>
      </c>
    </row>
    <row r="473" spans="1:69" x14ac:dyDescent="0.4">
      <c r="A473" s="2" t="s">
        <v>500</v>
      </c>
      <c r="B473" t="str">
        <f>_xlfn.TEXTAFTER(Table1[[#This Row],[VEHIDCODE]],"_")</f>
        <v>Russia_RZD_RA2</v>
      </c>
      <c r="C473" t="s">
        <v>743</v>
      </c>
      <c r="D473" t="str">
        <f>"item_"&amp;Table1[[#This Row],[VEHIDCODE]]</f>
        <v>item_dmu_Russia_RZD_RA2</v>
      </c>
      <c r="E473" t="str">
        <f>"str_"&amp;Table1[[#This Row],[VEHIDCODE]]</f>
        <v>str_dmu_Russia_RZD_RA2</v>
      </c>
      <c r="F473">
        <v>8</v>
      </c>
      <c r="G473" t="s">
        <v>18</v>
      </c>
      <c r="H473">
        <v>1</v>
      </c>
      <c r="I473" t="s">
        <v>35</v>
      </c>
      <c r="J473">
        <v>74</v>
      </c>
      <c r="K473">
        <v>2006</v>
      </c>
      <c r="L473">
        <v>8</v>
      </c>
      <c r="M473" s="2" t="s">
        <v>24</v>
      </c>
      <c r="N473" t="b">
        <v>1</v>
      </c>
      <c r="O473" t="b">
        <v>1</v>
      </c>
      <c r="P473" s="2"/>
      <c r="Q473" t="s">
        <v>21</v>
      </c>
      <c r="R473">
        <v>1</v>
      </c>
      <c r="S473">
        <v>840</v>
      </c>
      <c r="T473" t="s">
        <v>712</v>
      </c>
      <c r="U473">
        <v>100</v>
      </c>
      <c r="V473" s="2">
        <v>0.28000000000000003</v>
      </c>
      <c r="AE473" t="b">
        <v>1</v>
      </c>
      <c r="AZ473" s="2"/>
      <c r="BA473" s="7">
        <v>25</v>
      </c>
      <c r="BB473" t="s">
        <v>932</v>
      </c>
      <c r="BC473" t="s">
        <v>923</v>
      </c>
      <c r="BD473" t="s">
        <v>941</v>
      </c>
      <c r="BE473" t="str">
        <f>IF(OR(Table1[[#This Row],[ENGINE_CLASS]]="STEAM",Table1[[#This Row],[ENGINE_CLASS]]="ELECTRIC",Table1[[#This Row],[ENGINE_CLASS]]="DIESEL"),Table1[[#This Row],[ENGINE_CLASS]],"DISABLE")</f>
        <v>DIESEL</v>
      </c>
      <c r="BF473">
        <v>0</v>
      </c>
      <c r="BG473" t="s">
        <v>735</v>
      </c>
      <c r="BH473">
        <v>74</v>
      </c>
      <c r="BI473">
        <v>8</v>
      </c>
      <c r="BJ473">
        <v>44</v>
      </c>
      <c r="BK473">
        <v>0</v>
      </c>
      <c r="BL473" t="s">
        <v>693</v>
      </c>
      <c r="BM473" t="s">
        <v>695</v>
      </c>
      <c r="BN473" t="s">
        <v>702</v>
      </c>
      <c r="BO473" t="s">
        <v>706</v>
      </c>
      <c r="BP473" t="s">
        <v>707</v>
      </c>
      <c r="BQ473" t="s">
        <v>708</v>
      </c>
    </row>
    <row r="474" spans="1:69" x14ac:dyDescent="0.4">
      <c r="A474" s="2" t="s">
        <v>501</v>
      </c>
      <c r="B474" t="str">
        <f>_xlfn.TEXTAFTER(Table1[[#This Row],[VEHIDCODE]],"_")</f>
        <v>Denmark_DSB_IC4</v>
      </c>
      <c r="C474" t="s">
        <v>743</v>
      </c>
      <c r="D474" t="str">
        <f>"item_"&amp;Table1[[#This Row],[VEHIDCODE]]</f>
        <v>item_dmu_Denmark_DSB_IC4</v>
      </c>
      <c r="E474" t="str">
        <f>"str_"&amp;Table1[[#This Row],[VEHIDCODE]]</f>
        <v>str_dmu_Denmark_DSB_IC4</v>
      </c>
      <c r="F474">
        <v>8</v>
      </c>
      <c r="G474" t="s">
        <v>18</v>
      </c>
      <c r="H474">
        <v>1</v>
      </c>
      <c r="I474" t="s">
        <v>35</v>
      </c>
      <c r="J474">
        <v>52</v>
      </c>
      <c r="K474">
        <v>2007</v>
      </c>
      <c r="L474">
        <v>8</v>
      </c>
      <c r="M474" s="2" t="s">
        <v>480</v>
      </c>
      <c r="N474" t="b">
        <v>1</v>
      </c>
      <c r="O474" t="b">
        <v>1</v>
      </c>
      <c r="P474" s="2"/>
      <c r="Q474" t="s">
        <v>21</v>
      </c>
      <c r="R474">
        <v>1</v>
      </c>
      <c r="S474">
        <v>750</v>
      </c>
      <c r="T474" t="s">
        <v>712</v>
      </c>
      <c r="U474">
        <v>200</v>
      </c>
      <c r="V474" s="2">
        <v>0.62</v>
      </c>
      <c r="AE474" t="b">
        <v>1</v>
      </c>
      <c r="AZ474" s="2"/>
      <c r="BA474" s="7">
        <v>25</v>
      </c>
      <c r="BB474" t="s">
        <v>928</v>
      </c>
      <c r="BC474" t="s">
        <v>923</v>
      </c>
      <c r="BD474" t="s">
        <v>941</v>
      </c>
      <c r="BE474" t="str">
        <f>IF(OR(Table1[[#This Row],[ENGINE_CLASS]]="STEAM",Table1[[#This Row],[ENGINE_CLASS]]="ELECTRIC",Table1[[#This Row],[ENGINE_CLASS]]="DIESEL"),Table1[[#This Row],[ENGINE_CLASS]],"DISABLE")</f>
        <v>DIESEL</v>
      </c>
      <c r="BF474">
        <v>0</v>
      </c>
      <c r="BG474" t="s">
        <v>735</v>
      </c>
      <c r="BH474">
        <v>52</v>
      </c>
      <c r="BI474">
        <v>8</v>
      </c>
      <c r="BJ474">
        <v>36</v>
      </c>
      <c r="BK474">
        <v>0</v>
      </c>
      <c r="BL474" t="s">
        <v>693</v>
      </c>
      <c r="BM474" t="s">
        <v>695</v>
      </c>
      <c r="BN474" t="s">
        <v>702</v>
      </c>
      <c r="BO474" t="s">
        <v>706</v>
      </c>
      <c r="BP474" t="s">
        <v>707</v>
      </c>
      <c r="BQ474" t="s">
        <v>708</v>
      </c>
    </row>
    <row r="475" spans="1:69" x14ac:dyDescent="0.4">
      <c r="A475" s="2" t="s">
        <v>502</v>
      </c>
      <c r="B475" t="str">
        <f>_xlfn.TEXTAFTER(Table1[[#This Row],[VEHIDCODE]],"_")</f>
        <v>Croatia_HZ_7022</v>
      </c>
      <c r="C475" t="s">
        <v>743</v>
      </c>
      <c r="D475" t="str">
        <f>"item_"&amp;Table1[[#This Row],[VEHIDCODE]]</f>
        <v>item_dmu_Croatia_HZ_7022</v>
      </c>
      <c r="E475" t="str">
        <f>"str_"&amp;Table1[[#This Row],[VEHIDCODE]]</f>
        <v>str_dmu_Croatia_HZ_7022</v>
      </c>
      <c r="F475">
        <v>8</v>
      </c>
      <c r="G475" t="s">
        <v>18</v>
      </c>
      <c r="H475">
        <v>1</v>
      </c>
      <c r="I475" t="s">
        <v>35</v>
      </c>
      <c r="J475">
        <v>66</v>
      </c>
      <c r="K475">
        <v>2011</v>
      </c>
      <c r="L475">
        <v>8</v>
      </c>
      <c r="M475" s="2" t="s">
        <v>480</v>
      </c>
      <c r="N475" t="b">
        <v>1</v>
      </c>
      <c r="O475" t="b">
        <v>1</v>
      </c>
      <c r="P475" s="2"/>
      <c r="Q475" t="s">
        <v>21</v>
      </c>
      <c r="R475">
        <v>1</v>
      </c>
      <c r="S475">
        <v>1350</v>
      </c>
      <c r="T475" t="s">
        <v>712</v>
      </c>
      <c r="U475">
        <v>160</v>
      </c>
      <c r="V475" s="2">
        <v>0.53</v>
      </c>
      <c r="AE475" t="b">
        <v>1</v>
      </c>
      <c r="AZ475" s="2"/>
      <c r="BA475" s="7">
        <v>25</v>
      </c>
      <c r="BB475" t="s">
        <v>930</v>
      </c>
      <c r="BC475" t="s">
        <v>923</v>
      </c>
      <c r="BD475" t="s">
        <v>941</v>
      </c>
      <c r="BE475" t="str">
        <f>IF(OR(Table1[[#This Row],[ENGINE_CLASS]]="STEAM",Table1[[#This Row],[ENGINE_CLASS]]="ELECTRIC",Table1[[#This Row],[ENGINE_CLASS]]="DIESEL"),Table1[[#This Row],[ENGINE_CLASS]],"DISABLE")</f>
        <v>DIESEL</v>
      </c>
      <c r="BF475">
        <v>0</v>
      </c>
      <c r="BG475" t="s">
        <v>735</v>
      </c>
      <c r="BH475">
        <v>66</v>
      </c>
      <c r="BI475">
        <v>8</v>
      </c>
      <c r="BJ475">
        <v>38</v>
      </c>
      <c r="BK475">
        <v>0</v>
      </c>
      <c r="BL475" t="s">
        <v>693</v>
      </c>
      <c r="BM475" t="s">
        <v>695</v>
      </c>
      <c r="BN475" t="s">
        <v>702</v>
      </c>
      <c r="BO475" t="s">
        <v>706</v>
      </c>
      <c r="BP475" t="s">
        <v>707</v>
      </c>
      <c r="BQ475" t="s">
        <v>708</v>
      </c>
    </row>
    <row r="476" spans="1:69" x14ac:dyDescent="0.4">
      <c r="A476" s="2" t="s">
        <v>503</v>
      </c>
      <c r="B476" t="str">
        <f>_xlfn.TEXTAFTER(Table1[[#This Row],[VEHIDCODE]],"_")</f>
        <v>Turkey_TCDD_MT_5500</v>
      </c>
      <c r="C476" t="s">
        <v>743</v>
      </c>
      <c r="D476" t="str">
        <f>"item_"&amp;Table1[[#This Row],[VEHIDCODE]]</f>
        <v>item_dmu_Turkey_TCDD_MT_5500</v>
      </c>
      <c r="E476" t="str">
        <f>"str_"&amp;Table1[[#This Row],[VEHIDCODE]]</f>
        <v>str_dmu_Turkey_TCDD_MT_5500</v>
      </c>
      <c r="F476">
        <v>8</v>
      </c>
      <c r="G476" t="s">
        <v>18</v>
      </c>
      <c r="H476">
        <v>1</v>
      </c>
      <c r="I476" t="s">
        <v>35</v>
      </c>
      <c r="J476">
        <v>76</v>
      </c>
      <c r="K476">
        <v>1961</v>
      </c>
      <c r="L476">
        <v>8</v>
      </c>
      <c r="M476" s="2" t="s">
        <v>24</v>
      </c>
      <c r="N476" t="b">
        <v>1</v>
      </c>
      <c r="O476" t="b">
        <v>1</v>
      </c>
      <c r="P476" s="2"/>
      <c r="Q476">
        <v>45</v>
      </c>
      <c r="R476">
        <v>1</v>
      </c>
      <c r="S476">
        <v>390</v>
      </c>
      <c r="T476" t="s">
        <v>712</v>
      </c>
      <c r="U476">
        <v>90</v>
      </c>
      <c r="V476" s="2">
        <v>0.23</v>
      </c>
      <c r="AE476" t="b">
        <v>1</v>
      </c>
      <c r="AZ476" s="2"/>
      <c r="BA476" s="7">
        <v>20</v>
      </c>
      <c r="BB476" t="s">
        <v>932</v>
      </c>
      <c r="BC476" t="s">
        <v>923</v>
      </c>
      <c r="BD476" t="s">
        <v>941</v>
      </c>
      <c r="BE476" t="str">
        <f>IF(OR(Table1[[#This Row],[ENGINE_CLASS]]="STEAM",Table1[[#This Row],[ENGINE_CLASS]]="ELECTRIC",Table1[[#This Row],[ENGINE_CLASS]]="DIESEL"),Table1[[#This Row],[ENGINE_CLASS]],"DISABLE")</f>
        <v>DIESEL</v>
      </c>
      <c r="BF476">
        <v>0</v>
      </c>
      <c r="BG476" t="s">
        <v>735</v>
      </c>
      <c r="BH476">
        <v>76</v>
      </c>
      <c r="BI476">
        <v>8</v>
      </c>
      <c r="BJ476">
        <v>35</v>
      </c>
      <c r="BK476">
        <v>0</v>
      </c>
      <c r="BL476" t="s">
        <v>693</v>
      </c>
      <c r="BM476" t="s">
        <v>695</v>
      </c>
      <c r="BN476" t="s">
        <v>702</v>
      </c>
      <c r="BO476" t="s">
        <v>706</v>
      </c>
      <c r="BP476" t="s">
        <v>707</v>
      </c>
      <c r="BQ476" t="s">
        <v>708</v>
      </c>
    </row>
    <row r="477" spans="1:69" x14ac:dyDescent="0.4">
      <c r="A477" s="2" t="s">
        <v>504</v>
      </c>
      <c r="B477" t="str">
        <f>_xlfn.TEXTAFTER(Table1[[#This Row],[VEHIDCODE]],"_")</f>
        <v>Japan_JNR_KiHa_181</v>
      </c>
      <c r="C477" t="s">
        <v>743</v>
      </c>
      <c r="D477" t="str">
        <f>"item_"&amp;Table1[[#This Row],[VEHIDCODE]]</f>
        <v>item_dmu_Japan_JNR_KiHa_181</v>
      </c>
      <c r="E477" t="str">
        <f>"str_"&amp;Table1[[#This Row],[VEHIDCODE]]</f>
        <v>str_dmu_Japan_JNR_KiHa_181</v>
      </c>
      <c r="F477">
        <v>8</v>
      </c>
      <c r="G477" t="s">
        <v>18</v>
      </c>
      <c r="H477">
        <v>1</v>
      </c>
      <c r="I477" t="s">
        <v>35</v>
      </c>
      <c r="J477">
        <v>52</v>
      </c>
      <c r="K477">
        <v>1968</v>
      </c>
      <c r="L477">
        <v>8</v>
      </c>
      <c r="M477" s="2" t="s">
        <v>24</v>
      </c>
      <c r="N477" t="b">
        <v>1</v>
      </c>
      <c r="O477" t="b">
        <v>1</v>
      </c>
      <c r="P477" s="2"/>
      <c r="Q477">
        <v>45</v>
      </c>
      <c r="R477">
        <v>1</v>
      </c>
      <c r="S477">
        <v>500</v>
      </c>
      <c r="T477" t="s">
        <v>712</v>
      </c>
      <c r="U477">
        <v>120</v>
      </c>
      <c r="V477" s="2">
        <v>0.34</v>
      </c>
      <c r="AE477" t="b">
        <v>1</v>
      </c>
      <c r="AZ477" s="2"/>
      <c r="BA477" s="7">
        <v>20</v>
      </c>
      <c r="BB477" t="s">
        <v>932</v>
      </c>
      <c r="BC477" t="s">
        <v>923</v>
      </c>
      <c r="BD477" t="s">
        <v>941</v>
      </c>
      <c r="BE477" t="str">
        <f>IF(OR(Table1[[#This Row],[ENGINE_CLASS]]="STEAM",Table1[[#This Row],[ENGINE_CLASS]]="ELECTRIC",Table1[[#This Row],[ENGINE_CLASS]]="DIESEL"),Table1[[#This Row],[ENGINE_CLASS]],"DISABLE")</f>
        <v>DIESEL</v>
      </c>
      <c r="BF477">
        <v>0</v>
      </c>
      <c r="BG477" t="s">
        <v>735</v>
      </c>
      <c r="BH477">
        <v>52</v>
      </c>
      <c r="BI477">
        <v>8</v>
      </c>
      <c r="BJ477">
        <v>44</v>
      </c>
      <c r="BK477">
        <v>0</v>
      </c>
      <c r="BL477" t="s">
        <v>693</v>
      </c>
      <c r="BM477" t="s">
        <v>695</v>
      </c>
      <c r="BN477" t="s">
        <v>702</v>
      </c>
      <c r="BO477" t="s">
        <v>706</v>
      </c>
      <c r="BP477" t="s">
        <v>707</v>
      </c>
      <c r="BQ477" t="s">
        <v>708</v>
      </c>
    </row>
    <row r="478" spans="1:69" x14ac:dyDescent="0.4">
      <c r="A478" s="2" t="s">
        <v>505</v>
      </c>
      <c r="B478" t="str">
        <f>_xlfn.TEXTAFTER(Table1[[#This Row],[VEHIDCODE]],"_")</f>
        <v>Czech_Republic_CD_814</v>
      </c>
      <c r="C478" t="s">
        <v>743</v>
      </c>
      <c r="D478" t="str">
        <f>"item_"&amp;Table1[[#This Row],[VEHIDCODE]]</f>
        <v>item_dmu_Czech_Republic_CD_814</v>
      </c>
      <c r="E478" t="str">
        <f>"str_"&amp;Table1[[#This Row],[VEHIDCODE]]</f>
        <v>str_dmu_Czech_Republic_CD_814</v>
      </c>
      <c r="F478">
        <v>6</v>
      </c>
      <c r="G478" t="s">
        <v>18</v>
      </c>
      <c r="H478">
        <v>1</v>
      </c>
      <c r="I478" t="s">
        <v>35</v>
      </c>
      <c r="J478">
        <v>42</v>
      </c>
      <c r="K478">
        <v>1973</v>
      </c>
      <c r="L478">
        <v>6</v>
      </c>
      <c r="M478" s="2" t="s">
        <v>24</v>
      </c>
      <c r="N478" t="b">
        <v>1</v>
      </c>
      <c r="O478" t="b">
        <v>1</v>
      </c>
      <c r="P478" s="2"/>
      <c r="Q478">
        <v>45</v>
      </c>
      <c r="R478">
        <v>1</v>
      </c>
      <c r="S478">
        <v>325</v>
      </c>
      <c r="T478" t="s">
        <v>712</v>
      </c>
      <c r="U478">
        <v>80</v>
      </c>
      <c r="V478" s="2">
        <v>0.25</v>
      </c>
      <c r="AE478" t="b">
        <v>1</v>
      </c>
      <c r="AZ478" s="2"/>
      <c r="BA478" s="7">
        <v>20</v>
      </c>
      <c r="BB478" t="s">
        <v>930</v>
      </c>
      <c r="BC478" t="s">
        <v>923</v>
      </c>
      <c r="BD478" t="s">
        <v>941</v>
      </c>
      <c r="BE478" t="str">
        <f>IF(OR(Table1[[#This Row],[ENGINE_CLASS]]="STEAM",Table1[[#This Row],[ENGINE_CLASS]]="ELECTRIC",Table1[[#This Row],[ENGINE_CLASS]]="DIESEL"),Table1[[#This Row],[ENGINE_CLASS]],"DISABLE")</f>
        <v>DIESEL</v>
      </c>
      <c r="BF478">
        <v>0</v>
      </c>
      <c r="BG478" t="s">
        <v>735</v>
      </c>
      <c r="BH478">
        <v>42</v>
      </c>
      <c r="BI478">
        <v>6</v>
      </c>
      <c r="BJ478">
        <v>22</v>
      </c>
      <c r="BK478">
        <v>0</v>
      </c>
      <c r="BL478" t="s">
        <v>693</v>
      </c>
      <c r="BM478" t="s">
        <v>695</v>
      </c>
      <c r="BN478" t="s">
        <v>702</v>
      </c>
      <c r="BO478" t="s">
        <v>706</v>
      </c>
      <c r="BP478" t="s">
        <v>707</v>
      </c>
      <c r="BQ478" t="s">
        <v>708</v>
      </c>
    </row>
    <row r="479" spans="1:69" x14ac:dyDescent="0.4">
      <c r="A479" s="2" t="s">
        <v>506</v>
      </c>
      <c r="B479" t="str">
        <f>_xlfn.TEXTAFTER(Table1[[#This Row],[VEHIDCODE]],"_")</f>
        <v>UK_BR_150_0_Sprinter</v>
      </c>
      <c r="C479" t="s">
        <v>743</v>
      </c>
      <c r="D479" t="str">
        <f>"item_"&amp;Table1[[#This Row],[VEHIDCODE]]</f>
        <v>item_dmu_UK_BR_150_0_Sprinter</v>
      </c>
      <c r="E479" t="str">
        <f>"str_"&amp;Table1[[#This Row],[VEHIDCODE]]</f>
        <v>str_dmu_UK_BR_150_0_Sprinter</v>
      </c>
      <c r="F479">
        <v>7</v>
      </c>
      <c r="G479" t="s">
        <v>18</v>
      </c>
      <c r="H479">
        <v>1</v>
      </c>
      <c r="I479" t="s">
        <v>35</v>
      </c>
      <c r="J479">
        <v>80</v>
      </c>
      <c r="K479">
        <v>1984</v>
      </c>
      <c r="L479">
        <v>7</v>
      </c>
      <c r="M479" s="2" t="s">
        <v>24</v>
      </c>
      <c r="N479" t="b">
        <v>1</v>
      </c>
      <c r="O479" t="b">
        <v>1</v>
      </c>
      <c r="P479" s="2"/>
      <c r="Q479">
        <v>45</v>
      </c>
      <c r="R479">
        <v>1</v>
      </c>
      <c r="S479">
        <v>389</v>
      </c>
      <c r="T479" t="s">
        <v>712</v>
      </c>
      <c r="U479">
        <v>121</v>
      </c>
      <c r="V479" s="2">
        <v>0.26</v>
      </c>
      <c r="AE479" t="b">
        <v>1</v>
      </c>
      <c r="AZ479" s="2"/>
      <c r="BA479" s="7">
        <v>20</v>
      </c>
      <c r="BB479" t="s">
        <v>928</v>
      </c>
      <c r="BC479" t="s">
        <v>923</v>
      </c>
      <c r="BD479" t="s">
        <v>941</v>
      </c>
      <c r="BE479" t="str">
        <f>IF(OR(Table1[[#This Row],[ENGINE_CLASS]]="STEAM",Table1[[#This Row],[ENGINE_CLASS]]="ELECTRIC",Table1[[#This Row],[ENGINE_CLASS]]="DIESEL"),Table1[[#This Row],[ENGINE_CLASS]],"DISABLE")</f>
        <v>DIESEL</v>
      </c>
      <c r="BF479">
        <v>0</v>
      </c>
      <c r="BG479" t="s">
        <v>735</v>
      </c>
      <c r="BH479">
        <v>80</v>
      </c>
      <c r="BI479">
        <v>7</v>
      </c>
      <c r="BJ479">
        <v>36</v>
      </c>
      <c r="BK479">
        <v>0</v>
      </c>
      <c r="BL479" t="s">
        <v>693</v>
      </c>
      <c r="BM479" t="s">
        <v>695</v>
      </c>
      <c r="BN479" t="s">
        <v>702</v>
      </c>
      <c r="BO479" t="s">
        <v>706</v>
      </c>
      <c r="BP479" t="s">
        <v>707</v>
      </c>
      <c r="BQ479" t="s">
        <v>708</v>
      </c>
    </row>
    <row r="480" spans="1:69" x14ac:dyDescent="0.4">
      <c r="A480" s="2" t="s">
        <v>507</v>
      </c>
      <c r="B480" t="str">
        <f>_xlfn.TEXTAFTER(Table1[[#This Row],[VEHIDCODE]],"_")</f>
        <v>Iran_RAI_141_Pacer</v>
      </c>
      <c r="C480" t="s">
        <v>743</v>
      </c>
      <c r="D480" t="str">
        <f>"item_"&amp;Table1[[#This Row],[VEHIDCODE]]</f>
        <v>item_dmu_Iran_RAI_141_Pacer</v>
      </c>
      <c r="E480" t="str">
        <f>"str_"&amp;Table1[[#This Row],[VEHIDCODE]]</f>
        <v>str_dmu_Iran_RAI_141_Pacer</v>
      </c>
      <c r="F480">
        <v>6</v>
      </c>
      <c r="G480" t="s">
        <v>18</v>
      </c>
      <c r="H480">
        <v>1</v>
      </c>
      <c r="I480" t="s">
        <v>35</v>
      </c>
      <c r="J480">
        <v>47</v>
      </c>
      <c r="K480">
        <v>1984</v>
      </c>
      <c r="L480">
        <v>6</v>
      </c>
      <c r="M480" s="2" t="s">
        <v>24</v>
      </c>
      <c r="N480" t="b">
        <v>1</v>
      </c>
      <c r="O480" t="b">
        <v>1</v>
      </c>
      <c r="P480" s="2"/>
      <c r="Q480">
        <v>45</v>
      </c>
      <c r="R480">
        <v>1</v>
      </c>
      <c r="S480">
        <v>204</v>
      </c>
      <c r="T480" t="s">
        <v>712</v>
      </c>
      <c r="U480">
        <v>121</v>
      </c>
      <c r="V480" s="2">
        <v>0.21</v>
      </c>
      <c r="AE480" t="b">
        <v>1</v>
      </c>
      <c r="AZ480" s="2"/>
      <c r="BA480" s="7">
        <v>20</v>
      </c>
      <c r="BB480" t="s">
        <v>932</v>
      </c>
      <c r="BC480" t="s">
        <v>923</v>
      </c>
      <c r="BD480" t="s">
        <v>941</v>
      </c>
      <c r="BE480" t="str">
        <f>IF(OR(Table1[[#This Row],[ENGINE_CLASS]]="STEAM",Table1[[#This Row],[ENGINE_CLASS]]="ELECTRIC",Table1[[#This Row],[ENGINE_CLASS]]="DIESEL"),Table1[[#This Row],[ENGINE_CLASS]],"DISABLE")</f>
        <v>DIESEL</v>
      </c>
      <c r="BF480">
        <v>0</v>
      </c>
      <c r="BG480" t="s">
        <v>735</v>
      </c>
      <c r="BH480">
        <v>47</v>
      </c>
      <c r="BI480">
        <v>6</v>
      </c>
      <c r="BJ480">
        <v>42</v>
      </c>
      <c r="BK480">
        <v>0</v>
      </c>
      <c r="BL480" t="s">
        <v>693</v>
      </c>
      <c r="BM480" t="s">
        <v>695</v>
      </c>
      <c r="BN480" t="s">
        <v>702</v>
      </c>
      <c r="BO480" t="s">
        <v>706</v>
      </c>
      <c r="BP480" t="s">
        <v>707</v>
      </c>
      <c r="BQ480" t="s">
        <v>708</v>
      </c>
    </row>
    <row r="481" spans="1:69" x14ac:dyDescent="0.4">
      <c r="A481" s="2" t="s">
        <v>508</v>
      </c>
      <c r="B481" t="str">
        <f>_xlfn.TEXTAFTER(Table1[[#This Row],[VEHIDCODE]],"_")</f>
        <v>Israel_Israel_Railways_IC3</v>
      </c>
      <c r="C481" t="s">
        <v>743</v>
      </c>
      <c r="D481" t="str">
        <f>"item_"&amp;Table1[[#This Row],[VEHIDCODE]]</f>
        <v>item_dmu_Israel_Israel_Railways_IC3</v>
      </c>
      <c r="E481" t="str">
        <f>"str_"&amp;Table1[[#This Row],[VEHIDCODE]]</f>
        <v>str_dmu_Israel_Israel_Railways_IC3</v>
      </c>
      <c r="F481">
        <v>8</v>
      </c>
      <c r="G481" t="s">
        <v>18</v>
      </c>
      <c r="H481">
        <v>1</v>
      </c>
      <c r="I481" t="s">
        <v>35</v>
      </c>
      <c r="J481">
        <v>46</v>
      </c>
      <c r="K481">
        <v>1986</v>
      </c>
      <c r="L481">
        <v>8</v>
      </c>
      <c r="M481" s="2" t="s">
        <v>24</v>
      </c>
      <c r="N481" t="b">
        <v>1</v>
      </c>
      <c r="O481" t="b">
        <v>1</v>
      </c>
      <c r="P481" s="2"/>
      <c r="Q481">
        <v>45</v>
      </c>
      <c r="R481">
        <v>1</v>
      </c>
      <c r="S481">
        <v>540</v>
      </c>
      <c r="T481" t="s">
        <v>712</v>
      </c>
      <c r="U481">
        <v>180</v>
      </c>
      <c r="V481" s="2">
        <v>0.31</v>
      </c>
      <c r="AE481" t="b">
        <v>1</v>
      </c>
      <c r="AZ481" s="2"/>
      <c r="BA481" s="7">
        <v>20</v>
      </c>
      <c r="BB481" t="s">
        <v>932</v>
      </c>
      <c r="BC481" t="s">
        <v>923</v>
      </c>
      <c r="BD481" t="s">
        <v>941</v>
      </c>
      <c r="BE481" t="str">
        <f>IF(OR(Table1[[#This Row],[ENGINE_CLASS]]="STEAM",Table1[[#This Row],[ENGINE_CLASS]]="ELECTRIC",Table1[[#This Row],[ENGINE_CLASS]]="DIESEL"),Table1[[#This Row],[ENGINE_CLASS]],"DISABLE")</f>
        <v>DIESEL</v>
      </c>
      <c r="BF481">
        <v>0</v>
      </c>
      <c r="BG481" t="s">
        <v>735</v>
      </c>
      <c r="BH481">
        <v>46</v>
      </c>
      <c r="BI481">
        <v>8</v>
      </c>
      <c r="BJ481">
        <v>34</v>
      </c>
      <c r="BK481">
        <v>0</v>
      </c>
      <c r="BL481" t="s">
        <v>693</v>
      </c>
      <c r="BM481" t="s">
        <v>695</v>
      </c>
      <c r="BN481" t="s">
        <v>702</v>
      </c>
      <c r="BO481" t="s">
        <v>706</v>
      </c>
      <c r="BP481" t="s">
        <v>707</v>
      </c>
      <c r="BQ481" t="s">
        <v>708</v>
      </c>
    </row>
    <row r="482" spans="1:69" x14ac:dyDescent="0.4">
      <c r="A482" s="2" t="s">
        <v>509</v>
      </c>
      <c r="B482" t="str">
        <f>_xlfn.TEXTAFTER(Table1[[#This Row],[VEHIDCODE]],"_")</f>
        <v>Australia_TransAdelaide_3100</v>
      </c>
      <c r="C482" t="s">
        <v>743</v>
      </c>
      <c r="D482" t="str">
        <f>"item_"&amp;Table1[[#This Row],[VEHIDCODE]]</f>
        <v>item_dmu_Australia_TransAdelaide_3100</v>
      </c>
      <c r="E482" t="str">
        <f>"str_"&amp;Table1[[#This Row],[VEHIDCODE]]</f>
        <v>str_dmu_Australia_TransAdelaide_3100</v>
      </c>
      <c r="F482">
        <v>7</v>
      </c>
      <c r="G482" t="s">
        <v>18</v>
      </c>
      <c r="H482">
        <v>1</v>
      </c>
      <c r="I482" t="s">
        <v>35</v>
      </c>
      <c r="J482">
        <v>53</v>
      </c>
      <c r="K482">
        <v>1987</v>
      </c>
      <c r="L482">
        <v>7</v>
      </c>
      <c r="M482" s="2" t="s">
        <v>24</v>
      </c>
      <c r="N482" t="b">
        <v>1</v>
      </c>
      <c r="O482" t="b">
        <v>1</v>
      </c>
      <c r="P482" s="2"/>
      <c r="Q482">
        <v>45</v>
      </c>
      <c r="R482">
        <v>1</v>
      </c>
      <c r="S482">
        <v>475</v>
      </c>
      <c r="T482" t="s">
        <v>712</v>
      </c>
      <c r="U482">
        <v>90</v>
      </c>
      <c r="V482" s="2">
        <v>0.22</v>
      </c>
      <c r="AE482" t="b">
        <v>1</v>
      </c>
      <c r="AZ482" s="2"/>
      <c r="BA482" s="7">
        <v>20</v>
      </c>
      <c r="BB482" t="s">
        <v>926</v>
      </c>
      <c r="BC482" t="s">
        <v>923</v>
      </c>
      <c r="BD482" t="s">
        <v>941</v>
      </c>
      <c r="BE482" t="str">
        <f>IF(OR(Table1[[#This Row],[ENGINE_CLASS]]="STEAM",Table1[[#This Row],[ENGINE_CLASS]]="ELECTRIC",Table1[[#This Row],[ENGINE_CLASS]]="DIESEL"),Table1[[#This Row],[ENGINE_CLASS]],"DISABLE")</f>
        <v>DIESEL</v>
      </c>
      <c r="BF482">
        <v>0</v>
      </c>
      <c r="BG482" t="s">
        <v>735</v>
      </c>
      <c r="BH482">
        <v>53</v>
      </c>
      <c r="BI482">
        <v>7</v>
      </c>
      <c r="BJ482">
        <v>48</v>
      </c>
      <c r="BK482">
        <v>0</v>
      </c>
      <c r="BL482" t="s">
        <v>693</v>
      </c>
      <c r="BM482" t="s">
        <v>695</v>
      </c>
      <c r="BN482" t="s">
        <v>702</v>
      </c>
      <c r="BO482" t="s">
        <v>706</v>
      </c>
      <c r="BP482" t="s">
        <v>707</v>
      </c>
      <c r="BQ482" t="s">
        <v>708</v>
      </c>
    </row>
    <row r="483" spans="1:69" x14ac:dyDescent="0.4">
      <c r="A483" s="2" t="s">
        <v>510</v>
      </c>
      <c r="B483" t="str">
        <f>_xlfn.TEXTAFTER(Table1[[#This Row],[VEHIDCODE]],"_")</f>
        <v>Australia_NSWGR_Xplorer</v>
      </c>
      <c r="C483" t="s">
        <v>743</v>
      </c>
      <c r="D483" t="str">
        <f>"item_"&amp;Table1[[#This Row],[VEHIDCODE]]</f>
        <v>item_dmu_Australia_NSWGR_Xplorer</v>
      </c>
      <c r="E483" t="str">
        <f>"str_"&amp;Table1[[#This Row],[VEHIDCODE]]</f>
        <v>str_dmu_Australia_NSWGR_Xplorer</v>
      </c>
      <c r="F483">
        <v>8</v>
      </c>
      <c r="G483" t="s">
        <v>18</v>
      </c>
      <c r="H483">
        <v>1</v>
      </c>
      <c r="I483" t="s">
        <v>35</v>
      </c>
      <c r="J483">
        <v>66</v>
      </c>
      <c r="K483">
        <v>1993</v>
      </c>
      <c r="L483">
        <v>8</v>
      </c>
      <c r="M483" s="2" t="s">
        <v>24</v>
      </c>
      <c r="N483" t="b">
        <v>1</v>
      </c>
      <c r="O483" t="b">
        <v>1</v>
      </c>
      <c r="P483" s="2"/>
      <c r="Q483">
        <v>45</v>
      </c>
      <c r="R483">
        <v>1</v>
      </c>
      <c r="S483">
        <v>514</v>
      </c>
      <c r="T483" t="s">
        <v>712</v>
      </c>
      <c r="U483">
        <v>160</v>
      </c>
      <c r="V483" s="2">
        <v>0.13</v>
      </c>
      <c r="AE483" t="b">
        <v>1</v>
      </c>
      <c r="AZ483" s="2"/>
      <c r="BA483" s="7">
        <v>20</v>
      </c>
      <c r="BB483" t="s">
        <v>926</v>
      </c>
      <c r="BC483" t="s">
        <v>923</v>
      </c>
      <c r="BD483" t="s">
        <v>941</v>
      </c>
      <c r="BE483" t="str">
        <f>IF(OR(Table1[[#This Row],[ENGINE_CLASS]]="STEAM",Table1[[#This Row],[ENGINE_CLASS]]="ELECTRIC",Table1[[#This Row],[ENGINE_CLASS]]="DIESEL"),Table1[[#This Row],[ENGINE_CLASS]],"DISABLE")</f>
        <v>DIESEL</v>
      </c>
      <c r="BF483">
        <v>0</v>
      </c>
      <c r="BG483" t="s">
        <v>735</v>
      </c>
      <c r="BH483">
        <v>66</v>
      </c>
      <c r="BI483">
        <v>8</v>
      </c>
      <c r="BJ483">
        <v>57</v>
      </c>
      <c r="BK483">
        <v>0</v>
      </c>
      <c r="BL483" t="s">
        <v>693</v>
      </c>
      <c r="BM483" t="s">
        <v>695</v>
      </c>
      <c r="BN483" t="s">
        <v>702</v>
      </c>
      <c r="BO483" t="s">
        <v>706</v>
      </c>
      <c r="BP483" t="s">
        <v>707</v>
      </c>
      <c r="BQ483" t="s">
        <v>708</v>
      </c>
    </row>
    <row r="484" spans="1:69" x14ac:dyDescent="0.4">
      <c r="A484" s="2" t="s">
        <v>511</v>
      </c>
      <c r="B484" t="str">
        <f>_xlfn.TEXTAFTER(Table1[[#This Row],[VEHIDCODE]],"_")</f>
        <v>Japan_JR_KiHa_189</v>
      </c>
      <c r="C484" t="s">
        <v>743</v>
      </c>
      <c r="D484" t="str">
        <f>"item_"&amp;Table1[[#This Row],[VEHIDCODE]]</f>
        <v>item_dmu_Japan_JR_KiHa_189</v>
      </c>
      <c r="E484" t="str">
        <f>"str_"&amp;Table1[[#This Row],[VEHIDCODE]]</f>
        <v>str_dmu_Japan_JR_KiHa_189</v>
      </c>
      <c r="F484">
        <v>7</v>
      </c>
      <c r="G484" t="s">
        <v>18</v>
      </c>
      <c r="H484">
        <v>1</v>
      </c>
      <c r="I484" t="s">
        <v>35</v>
      </c>
      <c r="J484">
        <v>56</v>
      </c>
      <c r="K484">
        <v>2010</v>
      </c>
      <c r="L484">
        <v>7</v>
      </c>
      <c r="M484" s="2" t="s">
        <v>24</v>
      </c>
      <c r="N484" t="b">
        <v>1</v>
      </c>
      <c r="O484" t="b">
        <v>1</v>
      </c>
      <c r="P484" s="2"/>
      <c r="Q484" t="s">
        <v>21</v>
      </c>
      <c r="R484">
        <v>1</v>
      </c>
      <c r="S484">
        <v>900</v>
      </c>
      <c r="T484" t="s">
        <v>712</v>
      </c>
      <c r="U484">
        <v>130</v>
      </c>
      <c r="V484" s="2">
        <v>0.21</v>
      </c>
      <c r="AE484" t="b">
        <v>1</v>
      </c>
      <c r="AZ484" s="2"/>
      <c r="BA484" s="7">
        <v>20</v>
      </c>
      <c r="BB484" t="s">
        <v>932</v>
      </c>
      <c r="BC484" t="s">
        <v>923</v>
      </c>
      <c r="BD484" t="s">
        <v>941</v>
      </c>
      <c r="BE484" t="str">
        <f>IF(OR(Table1[[#This Row],[ENGINE_CLASS]]="STEAM",Table1[[#This Row],[ENGINE_CLASS]]="ELECTRIC",Table1[[#This Row],[ENGINE_CLASS]]="DIESEL"),Table1[[#This Row],[ENGINE_CLASS]],"DISABLE")</f>
        <v>DIESEL</v>
      </c>
      <c r="BF484">
        <v>0</v>
      </c>
      <c r="BG484" t="s">
        <v>735</v>
      </c>
      <c r="BH484">
        <v>56</v>
      </c>
      <c r="BI484">
        <v>7</v>
      </c>
      <c r="BJ484">
        <v>49</v>
      </c>
      <c r="BK484">
        <v>0</v>
      </c>
      <c r="BL484" t="s">
        <v>693</v>
      </c>
      <c r="BM484" t="s">
        <v>695</v>
      </c>
      <c r="BN484" t="s">
        <v>702</v>
      </c>
      <c r="BO484" t="s">
        <v>706</v>
      </c>
      <c r="BP484" t="s">
        <v>707</v>
      </c>
      <c r="BQ484" t="s">
        <v>708</v>
      </c>
    </row>
    <row r="485" spans="1:69" x14ac:dyDescent="0.4">
      <c r="A485" s="2" t="s">
        <v>512</v>
      </c>
      <c r="B485" t="str">
        <f>_xlfn.TEXTAFTER(Table1[[#This Row],[VEHIDCODE]],"_")</f>
        <v>Sri_Lanka_Sri_Lanka_Railways_S11</v>
      </c>
      <c r="C485" t="s">
        <v>743</v>
      </c>
      <c r="D485" t="str">
        <f>"item_"&amp;Table1[[#This Row],[VEHIDCODE]]</f>
        <v>item_dmu_Sri_Lanka_Sri_Lanka_Railways_S11</v>
      </c>
      <c r="E485" t="str">
        <f>"str_"&amp;Table1[[#This Row],[VEHIDCODE]]</f>
        <v>str_dmu_Sri_Lanka_Sri_Lanka_Railways_S11</v>
      </c>
      <c r="F485">
        <v>8</v>
      </c>
      <c r="G485" t="s">
        <v>18</v>
      </c>
      <c r="H485">
        <v>1</v>
      </c>
      <c r="I485" t="s">
        <v>35</v>
      </c>
      <c r="J485">
        <v>72</v>
      </c>
      <c r="K485">
        <v>2011</v>
      </c>
      <c r="L485">
        <v>8</v>
      </c>
      <c r="M485" s="2" t="s">
        <v>24</v>
      </c>
      <c r="N485" t="b">
        <v>1</v>
      </c>
      <c r="O485" t="b">
        <v>1</v>
      </c>
      <c r="P485" s="2"/>
      <c r="Q485" t="s">
        <v>21</v>
      </c>
      <c r="R485">
        <v>1</v>
      </c>
      <c r="S485">
        <v>680</v>
      </c>
      <c r="T485" t="s">
        <v>712</v>
      </c>
      <c r="U485">
        <v>110</v>
      </c>
      <c r="V485" s="2">
        <v>0.57999999999999996</v>
      </c>
      <c r="AE485" t="b">
        <v>1</v>
      </c>
      <c r="AZ485" s="2"/>
      <c r="BA485" s="7">
        <v>20</v>
      </c>
      <c r="BB485" t="s">
        <v>932</v>
      </c>
      <c r="BC485" t="s">
        <v>923</v>
      </c>
      <c r="BD485" t="s">
        <v>941</v>
      </c>
      <c r="BE485" t="str">
        <f>IF(OR(Table1[[#This Row],[ENGINE_CLASS]]="STEAM",Table1[[#This Row],[ENGINE_CLASS]]="ELECTRIC",Table1[[#This Row],[ENGINE_CLASS]]="DIESEL"),Table1[[#This Row],[ENGINE_CLASS]],"DISABLE")</f>
        <v>DIESEL</v>
      </c>
      <c r="BF485">
        <v>0</v>
      </c>
      <c r="BG485" t="s">
        <v>735</v>
      </c>
      <c r="BH485">
        <v>72</v>
      </c>
      <c r="BI485">
        <v>8</v>
      </c>
      <c r="BJ485">
        <v>20</v>
      </c>
      <c r="BK485">
        <v>0</v>
      </c>
      <c r="BL485" t="s">
        <v>693</v>
      </c>
      <c r="BM485" t="s">
        <v>695</v>
      </c>
      <c r="BN485" t="s">
        <v>702</v>
      </c>
      <c r="BO485" t="s">
        <v>706</v>
      </c>
      <c r="BP485" t="s">
        <v>707</v>
      </c>
      <c r="BQ485" t="s">
        <v>708</v>
      </c>
    </row>
    <row r="486" spans="1:69" x14ac:dyDescent="0.4">
      <c r="A486" s="2" t="s">
        <v>513</v>
      </c>
      <c r="B486" t="str">
        <f>_xlfn.TEXTAFTER(Table1[[#This Row],[VEHIDCODE]],"_")</f>
        <v>Slovakia_ZSSK_861</v>
      </c>
      <c r="C486" t="s">
        <v>743</v>
      </c>
      <c r="D486" t="str">
        <f>"item_"&amp;Table1[[#This Row],[VEHIDCODE]]</f>
        <v>item_dmu_Slovakia_ZSSK_861</v>
      </c>
      <c r="E486" t="str">
        <f>"str_"&amp;Table1[[#This Row],[VEHIDCODE]]</f>
        <v>str_dmu_Slovakia_ZSSK_861</v>
      </c>
      <c r="F486">
        <v>8</v>
      </c>
      <c r="G486" t="s">
        <v>18</v>
      </c>
      <c r="H486">
        <v>1</v>
      </c>
      <c r="I486" t="s">
        <v>35</v>
      </c>
      <c r="J486">
        <v>60</v>
      </c>
      <c r="K486">
        <v>2011</v>
      </c>
      <c r="L486">
        <v>8</v>
      </c>
      <c r="M486" s="2" t="s">
        <v>24</v>
      </c>
      <c r="N486" t="b">
        <v>1</v>
      </c>
      <c r="O486" t="b">
        <v>1</v>
      </c>
      <c r="P486" s="2"/>
      <c r="Q486" t="s">
        <v>21</v>
      </c>
      <c r="R486">
        <v>1</v>
      </c>
      <c r="S486">
        <v>1580</v>
      </c>
      <c r="T486" t="s">
        <v>712</v>
      </c>
      <c r="U486">
        <v>140</v>
      </c>
      <c r="V486" s="2">
        <v>0.34</v>
      </c>
      <c r="AE486" t="b">
        <v>1</v>
      </c>
      <c r="AZ486" s="2"/>
      <c r="BA486" s="7">
        <v>20</v>
      </c>
      <c r="BB486" t="s">
        <v>930</v>
      </c>
      <c r="BC486" t="s">
        <v>923</v>
      </c>
      <c r="BD486" t="s">
        <v>941</v>
      </c>
      <c r="BE486" t="str">
        <f>IF(OR(Table1[[#This Row],[ENGINE_CLASS]]="STEAM",Table1[[#This Row],[ENGINE_CLASS]]="ELECTRIC",Table1[[#This Row],[ENGINE_CLASS]]="DIESEL"),Table1[[#This Row],[ENGINE_CLASS]],"DISABLE")</f>
        <v>DIESEL</v>
      </c>
      <c r="BF486">
        <v>0</v>
      </c>
      <c r="BG486" t="s">
        <v>735</v>
      </c>
      <c r="BH486">
        <v>60</v>
      </c>
      <c r="BI486">
        <v>7</v>
      </c>
      <c r="BJ486">
        <v>45</v>
      </c>
      <c r="BK486">
        <v>0</v>
      </c>
      <c r="BL486" t="s">
        <v>693</v>
      </c>
      <c r="BM486" t="s">
        <v>695</v>
      </c>
      <c r="BN486" t="s">
        <v>702</v>
      </c>
      <c r="BO486" t="s">
        <v>706</v>
      </c>
      <c r="BP486" t="s">
        <v>707</v>
      </c>
      <c r="BQ486" t="s">
        <v>708</v>
      </c>
    </row>
    <row r="487" spans="1:69" x14ac:dyDescent="0.4">
      <c r="A487" s="2" t="s">
        <v>514</v>
      </c>
      <c r="B487" t="str">
        <f>_xlfn.TEXTAFTER(Table1[[#This Row],[VEHIDCODE]],"_")</f>
        <v>Chile_EFE_TLD_500</v>
      </c>
      <c r="C487" t="s">
        <v>743</v>
      </c>
      <c r="D487" t="str">
        <f>"item_"&amp;Table1[[#This Row],[VEHIDCODE]]</f>
        <v>item_dmu_Chile_EFE_TLD_500</v>
      </c>
      <c r="E487" t="str">
        <f>"str_"&amp;Table1[[#This Row],[VEHIDCODE]]</f>
        <v>str_dmu_Chile_EFE_TLD_500</v>
      </c>
      <c r="F487">
        <v>8</v>
      </c>
      <c r="G487" t="s">
        <v>18</v>
      </c>
      <c r="H487">
        <v>1</v>
      </c>
      <c r="I487" t="s">
        <v>35</v>
      </c>
      <c r="J487">
        <v>84</v>
      </c>
      <c r="K487">
        <v>1982</v>
      </c>
      <c r="L487">
        <v>8</v>
      </c>
      <c r="M487" s="2" t="s">
        <v>24</v>
      </c>
      <c r="N487" t="b">
        <v>1</v>
      </c>
      <c r="O487" t="b">
        <v>1</v>
      </c>
      <c r="P487" s="2"/>
      <c r="Q487">
        <v>45</v>
      </c>
      <c r="R487">
        <v>1</v>
      </c>
      <c r="S487">
        <v>220</v>
      </c>
      <c r="T487" t="s">
        <v>712</v>
      </c>
      <c r="U487">
        <v>120</v>
      </c>
      <c r="V487" s="2">
        <v>0.13</v>
      </c>
      <c r="AE487" t="b">
        <v>1</v>
      </c>
      <c r="AZ487" s="2"/>
      <c r="BA487" s="7">
        <v>40</v>
      </c>
      <c r="BB487" t="s">
        <v>931</v>
      </c>
      <c r="BC487" t="s">
        <v>923</v>
      </c>
      <c r="BD487" t="s">
        <v>941</v>
      </c>
      <c r="BE487" t="str">
        <f>IF(OR(Table1[[#This Row],[ENGINE_CLASS]]="STEAM",Table1[[#This Row],[ENGINE_CLASS]]="ELECTRIC",Table1[[#This Row],[ENGINE_CLASS]]="DIESEL"),Table1[[#This Row],[ENGINE_CLASS]],"DISABLE")</f>
        <v>DIESEL</v>
      </c>
      <c r="BF487">
        <v>0</v>
      </c>
      <c r="BG487" t="s">
        <v>735</v>
      </c>
      <c r="BH487">
        <v>84</v>
      </c>
      <c r="BI487">
        <v>8</v>
      </c>
      <c r="BJ487">
        <v>68</v>
      </c>
      <c r="BK487">
        <v>0</v>
      </c>
      <c r="BL487" t="s">
        <v>693</v>
      </c>
      <c r="BM487" t="s">
        <v>695</v>
      </c>
      <c r="BN487" t="s">
        <v>702</v>
      </c>
      <c r="BO487" t="s">
        <v>706</v>
      </c>
      <c r="BP487" t="s">
        <v>707</v>
      </c>
      <c r="BQ487" t="s">
        <v>708</v>
      </c>
    </row>
    <row r="488" spans="1:69" x14ac:dyDescent="0.4">
      <c r="A488" s="2" t="s">
        <v>515</v>
      </c>
      <c r="B488" t="str">
        <f>_xlfn.TEXTAFTER(Table1[[#This Row],[VEHIDCODE]],"_")</f>
        <v>Cameroon_Camrail_ZE_500</v>
      </c>
      <c r="C488" t="s">
        <v>743</v>
      </c>
      <c r="D488" t="str">
        <f>"item_"&amp;Table1[[#This Row],[VEHIDCODE]]</f>
        <v>item_dmu_Cameroon_Camrail_ZE_500</v>
      </c>
      <c r="E488" t="str">
        <f>"str_"&amp;Table1[[#This Row],[VEHIDCODE]]</f>
        <v>str_dmu_Cameroon_Camrail_ZE_500</v>
      </c>
      <c r="F488">
        <v>8</v>
      </c>
      <c r="G488" t="s">
        <v>18</v>
      </c>
      <c r="H488">
        <v>1</v>
      </c>
      <c r="I488" t="s">
        <v>35</v>
      </c>
      <c r="J488">
        <v>62</v>
      </c>
      <c r="K488">
        <v>1976</v>
      </c>
      <c r="L488">
        <v>8</v>
      </c>
      <c r="M488" s="2" t="s">
        <v>24</v>
      </c>
      <c r="N488" t="b">
        <v>1</v>
      </c>
      <c r="O488" t="b">
        <v>1</v>
      </c>
      <c r="P488" s="2"/>
      <c r="Q488">
        <v>45</v>
      </c>
      <c r="R488">
        <v>1</v>
      </c>
      <c r="S488">
        <v>400</v>
      </c>
      <c r="T488" t="s">
        <v>712</v>
      </c>
      <c r="U488">
        <v>90</v>
      </c>
      <c r="V488" s="2">
        <v>0.22</v>
      </c>
      <c r="AE488" t="b">
        <v>1</v>
      </c>
      <c r="AZ488" s="2"/>
      <c r="BA488" s="7">
        <v>40</v>
      </c>
      <c r="BB488" t="s">
        <v>927</v>
      </c>
      <c r="BC488" t="s">
        <v>923</v>
      </c>
      <c r="BD488" t="s">
        <v>941</v>
      </c>
      <c r="BE488" t="str">
        <f>IF(OR(Table1[[#This Row],[ENGINE_CLASS]]="STEAM",Table1[[#This Row],[ENGINE_CLASS]]="ELECTRIC",Table1[[#This Row],[ENGINE_CLASS]]="DIESEL"),Table1[[#This Row],[ENGINE_CLASS]],"DISABLE")</f>
        <v>DIESEL</v>
      </c>
      <c r="BF488">
        <v>0</v>
      </c>
      <c r="BG488" t="s">
        <v>735</v>
      </c>
      <c r="BH488">
        <v>62</v>
      </c>
      <c r="BI488">
        <v>8</v>
      </c>
      <c r="BJ488">
        <v>38</v>
      </c>
      <c r="BK488">
        <v>0</v>
      </c>
      <c r="BL488" t="s">
        <v>693</v>
      </c>
      <c r="BM488" t="s">
        <v>695</v>
      </c>
      <c r="BN488" t="s">
        <v>702</v>
      </c>
      <c r="BO488" t="s">
        <v>706</v>
      </c>
      <c r="BP488" t="s">
        <v>707</v>
      </c>
      <c r="BQ488" t="s">
        <v>708</v>
      </c>
    </row>
    <row r="489" spans="1:69" x14ac:dyDescent="0.4">
      <c r="A489" s="2" t="s">
        <v>516</v>
      </c>
      <c r="B489" t="str">
        <f>_xlfn.TEXTAFTER(Table1[[#This Row],[VEHIDCODE]],"_")</f>
        <v>UK_BR_251_Blue_Pullman</v>
      </c>
      <c r="C489" t="s">
        <v>743</v>
      </c>
      <c r="D489" t="str">
        <f>"item_"&amp;Table1[[#This Row],[VEHIDCODE]]</f>
        <v>item_dmu_UK_BR_251_Blue_Pullman</v>
      </c>
      <c r="E489" t="str">
        <f>"str_"&amp;Table1[[#This Row],[VEHIDCODE]]</f>
        <v>str_dmu_UK_BR_251_Blue_Pullman</v>
      </c>
      <c r="F489">
        <v>7</v>
      </c>
      <c r="G489" t="s">
        <v>18</v>
      </c>
      <c r="H489">
        <v>1</v>
      </c>
      <c r="I489" t="s">
        <v>35</v>
      </c>
      <c r="J489">
        <v>42</v>
      </c>
      <c r="K489">
        <v>1960</v>
      </c>
      <c r="L489">
        <v>7</v>
      </c>
      <c r="M489" s="2" t="s">
        <v>24</v>
      </c>
      <c r="N489" t="b">
        <v>1</v>
      </c>
      <c r="O489" t="b">
        <v>1</v>
      </c>
      <c r="P489" s="2"/>
      <c r="Q489">
        <v>45</v>
      </c>
      <c r="R489">
        <v>1</v>
      </c>
      <c r="S489">
        <v>398</v>
      </c>
      <c r="T489" t="s">
        <v>712</v>
      </c>
      <c r="U489">
        <v>145</v>
      </c>
      <c r="V489" s="2">
        <v>0.24</v>
      </c>
      <c r="AE489" t="b">
        <v>1</v>
      </c>
      <c r="AZ489" s="2"/>
      <c r="BA489" s="7">
        <v>40</v>
      </c>
      <c r="BB489" t="s">
        <v>928</v>
      </c>
      <c r="BC489" t="s">
        <v>923</v>
      </c>
      <c r="BD489" t="s">
        <v>941</v>
      </c>
      <c r="BE489" t="str">
        <f>IF(OR(Table1[[#This Row],[ENGINE_CLASS]]="STEAM",Table1[[#This Row],[ENGINE_CLASS]]="ELECTRIC",Table1[[#This Row],[ENGINE_CLASS]]="DIESEL"),Table1[[#This Row],[ENGINE_CLASS]],"DISABLE")</f>
        <v>DIESEL</v>
      </c>
      <c r="BF489">
        <v>0</v>
      </c>
      <c r="BG489" t="s">
        <v>735</v>
      </c>
      <c r="BH489">
        <v>42</v>
      </c>
      <c r="BI489">
        <v>7</v>
      </c>
      <c r="BJ489">
        <v>50</v>
      </c>
      <c r="BK489">
        <v>0</v>
      </c>
      <c r="BL489" t="s">
        <v>693</v>
      </c>
      <c r="BM489" t="s">
        <v>695</v>
      </c>
      <c r="BN489" t="s">
        <v>702</v>
      </c>
      <c r="BO489" t="s">
        <v>706</v>
      </c>
      <c r="BP489" t="s">
        <v>707</v>
      </c>
      <c r="BQ489" t="s">
        <v>708</v>
      </c>
    </row>
    <row r="490" spans="1:69" x14ac:dyDescent="0.4">
      <c r="A490" s="2" t="s">
        <v>517</v>
      </c>
      <c r="B490" t="str">
        <f>_xlfn.TEXTAFTER(Table1[[#This Row],[VEHIDCODE]],"_")</f>
        <v>Australia_WAGR_ADK_ADB</v>
      </c>
      <c r="C490" t="s">
        <v>743</v>
      </c>
      <c r="D490" t="str">
        <f>"item_"&amp;Table1[[#This Row],[VEHIDCODE]]</f>
        <v>item_dmu_Australia_WAGR_ADK_ADB</v>
      </c>
      <c r="E490" t="str">
        <f>"str_"&amp;Table1[[#This Row],[VEHIDCODE]]</f>
        <v>str_dmu_Australia_WAGR_ADK_ADB</v>
      </c>
      <c r="F490">
        <v>8</v>
      </c>
      <c r="G490" t="s">
        <v>18</v>
      </c>
      <c r="H490">
        <v>1</v>
      </c>
      <c r="I490" t="s">
        <v>35</v>
      </c>
      <c r="J490">
        <v>56</v>
      </c>
      <c r="K490">
        <v>1967</v>
      </c>
      <c r="L490">
        <v>8</v>
      </c>
      <c r="M490" s="2" t="s">
        <v>24</v>
      </c>
      <c r="N490" t="b">
        <v>1</v>
      </c>
      <c r="O490" t="b">
        <v>1</v>
      </c>
      <c r="P490" s="2"/>
      <c r="Q490">
        <v>45</v>
      </c>
      <c r="R490">
        <v>1</v>
      </c>
      <c r="S490">
        <v>416</v>
      </c>
      <c r="T490" t="s">
        <v>712</v>
      </c>
      <c r="U490">
        <v>90</v>
      </c>
      <c r="V490" s="2">
        <v>0.44</v>
      </c>
      <c r="AE490" t="b">
        <v>1</v>
      </c>
      <c r="AZ490" s="2"/>
      <c r="BA490" s="7">
        <v>40</v>
      </c>
      <c r="BB490" t="s">
        <v>926</v>
      </c>
      <c r="BC490" t="s">
        <v>923</v>
      </c>
      <c r="BD490" t="s">
        <v>941</v>
      </c>
      <c r="BE490" t="str">
        <f>IF(OR(Table1[[#This Row],[ENGINE_CLASS]]="STEAM",Table1[[#This Row],[ENGINE_CLASS]]="ELECTRIC",Table1[[#This Row],[ENGINE_CLASS]]="DIESEL"),Table1[[#This Row],[ENGINE_CLASS]],"DISABLE")</f>
        <v>DIESEL</v>
      </c>
      <c r="BF490">
        <v>0</v>
      </c>
      <c r="BG490" t="s">
        <v>735</v>
      </c>
      <c r="BH490">
        <v>56</v>
      </c>
      <c r="BI490">
        <v>7</v>
      </c>
      <c r="BJ490">
        <v>33</v>
      </c>
      <c r="BK490">
        <v>0</v>
      </c>
      <c r="BL490" t="s">
        <v>693</v>
      </c>
      <c r="BM490" t="s">
        <v>695</v>
      </c>
      <c r="BN490" t="s">
        <v>702</v>
      </c>
      <c r="BO490" t="s">
        <v>706</v>
      </c>
      <c r="BP490" t="s">
        <v>707</v>
      </c>
      <c r="BQ490" t="s">
        <v>708</v>
      </c>
    </row>
    <row r="491" spans="1:69" x14ac:dyDescent="0.4">
      <c r="A491" s="2" t="s">
        <v>518</v>
      </c>
      <c r="B491" t="str">
        <f>_xlfn.TEXTAFTER(Table1[[#This Row],[VEHIDCODE]],"_")</f>
        <v>France_SNCF_X_4630</v>
      </c>
      <c r="C491" t="s">
        <v>743</v>
      </c>
      <c r="D491" t="str">
        <f>"item_"&amp;Table1[[#This Row],[VEHIDCODE]]</f>
        <v>item_dmu_France_SNCF_X_4630</v>
      </c>
      <c r="E491" t="str">
        <f>"str_"&amp;Table1[[#This Row],[VEHIDCODE]]</f>
        <v>str_dmu_France_SNCF_X_4630</v>
      </c>
      <c r="F491">
        <v>8</v>
      </c>
      <c r="G491" t="s">
        <v>18</v>
      </c>
      <c r="H491">
        <v>1</v>
      </c>
      <c r="I491" t="s">
        <v>35</v>
      </c>
      <c r="J491">
        <v>72</v>
      </c>
      <c r="K491">
        <v>1971</v>
      </c>
      <c r="L491">
        <v>8</v>
      </c>
      <c r="M491" s="2" t="s">
        <v>24</v>
      </c>
      <c r="N491" t="b">
        <v>1</v>
      </c>
      <c r="O491" t="b">
        <v>1</v>
      </c>
      <c r="P491" s="2"/>
      <c r="Q491">
        <v>45</v>
      </c>
      <c r="R491">
        <v>1</v>
      </c>
      <c r="S491">
        <v>396</v>
      </c>
      <c r="T491" t="s">
        <v>712</v>
      </c>
      <c r="U491">
        <v>120</v>
      </c>
      <c r="V491" s="2">
        <v>0.2</v>
      </c>
      <c r="AE491" t="b">
        <v>1</v>
      </c>
      <c r="AZ491" s="2"/>
      <c r="BA491" s="7">
        <v>40</v>
      </c>
      <c r="BB491" t="s">
        <v>924</v>
      </c>
      <c r="BC491" t="s">
        <v>923</v>
      </c>
      <c r="BD491" t="s">
        <v>941</v>
      </c>
      <c r="BE491" t="str">
        <f>IF(OR(Table1[[#This Row],[ENGINE_CLASS]]="STEAM",Table1[[#This Row],[ENGINE_CLASS]]="ELECTRIC",Table1[[#This Row],[ENGINE_CLASS]]="DIESEL"),Table1[[#This Row],[ENGINE_CLASS]],"DISABLE")</f>
        <v>DIESEL</v>
      </c>
      <c r="BF491">
        <v>0</v>
      </c>
      <c r="BG491" t="s">
        <v>735</v>
      </c>
      <c r="BH491">
        <v>72</v>
      </c>
      <c r="BI491">
        <v>8</v>
      </c>
      <c r="BJ491">
        <v>62</v>
      </c>
      <c r="BK491">
        <v>0</v>
      </c>
      <c r="BL491" t="s">
        <v>693</v>
      </c>
      <c r="BM491" t="s">
        <v>695</v>
      </c>
      <c r="BN491" t="s">
        <v>702</v>
      </c>
      <c r="BO491" t="s">
        <v>706</v>
      </c>
      <c r="BP491" t="s">
        <v>707</v>
      </c>
      <c r="BQ491" t="s">
        <v>708</v>
      </c>
    </row>
    <row r="492" spans="1:69" x14ac:dyDescent="0.4">
      <c r="A492" s="2" t="s">
        <v>519</v>
      </c>
      <c r="B492" t="str">
        <f>_xlfn.TEXTAFTER(Table1[[#This Row],[VEHIDCODE]],"_")</f>
        <v>France_SNCF_T_2000</v>
      </c>
      <c r="C492" t="s">
        <v>743</v>
      </c>
      <c r="D492" t="str">
        <f>"item_"&amp;Table1[[#This Row],[VEHIDCODE]]</f>
        <v>item_dmu_France_SNCF_T_2000</v>
      </c>
      <c r="E492" t="str">
        <f>"str_"&amp;Table1[[#This Row],[VEHIDCODE]]</f>
        <v>str_dmu_France_SNCF_T_2000</v>
      </c>
      <c r="F492">
        <v>8</v>
      </c>
      <c r="G492" t="s">
        <v>18</v>
      </c>
      <c r="H492">
        <v>1</v>
      </c>
      <c r="I492" t="s">
        <v>35</v>
      </c>
      <c r="J492">
        <v>60</v>
      </c>
      <c r="K492">
        <v>1972</v>
      </c>
      <c r="L492">
        <v>8</v>
      </c>
      <c r="M492" s="2" t="s">
        <v>24</v>
      </c>
      <c r="N492" t="b">
        <v>1</v>
      </c>
      <c r="O492" t="b">
        <v>1</v>
      </c>
      <c r="P492" s="2"/>
      <c r="Q492">
        <v>45</v>
      </c>
      <c r="R492">
        <v>1</v>
      </c>
      <c r="S492">
        <v>1036</v>
      </c>
      <c r="T492" t="s">
        <v>712</v>
      </c>
      <c r="U492">
        <v>160</v>
      </c>
      <c r="V492" s="2">
        <v>0.38</v>
      </c>
      <c r="AE492" t="b">
        <v>1</v>
      </c>
      <c r="AZ492" s="2"/>
      <c r="BA492" s="7">
        <v>40</v>
      </c>
      <c r="BB492" t="s">
        <v>924</v>
      </c>
      <c r="BC492" t="s">
        <v>923</v>
      </c>
      <c r="BD492" t="s">
        <v>941</v>
      </c>
      <c r="BE492" t="str">
        <f>IF(OR(Table1[[#This Row],[ENGINE_CLASS]]="STEAM",Table1[[#This Row],[ENGINE_CLASS]]="ELECTRIC",Table1[[#This Row],[ENGINE_CLASS]]="DIESEL"),Table1[[#This Row],[ENGINE_CLASS]],"DISABLE")</f>
        <v>DIESEL</v>
      </c>
      <c r="BF492">
        <v>0</v>
      </c>
      <c r="BG492" t="s">
        <v>735</v>
      </c>
      <c r="BH492">
        <v>60</v>
      </c>
      <c r="BI492">
        <v>8</v>
      </c>
      <c r="BJ492">
        <v>49</v>
      </c>
      <c r="BK492">
        <v>0</v>
      </c>
      <c r="BL492" t="s">
        <v>693</v>
      </c>
      <c r="BM492" t="s">
        <v>695</v>
      </c>
      <c r="BN492" t="s">
        <v>702</v>
      </c>
      <c r="BO492" t="s">
        <v>706</v>
      </c>
      <c r="BP492" t="s">
        <v>707</v>
      </c>
      <c r="BQ492" t="s">
        <v>708</v>
      </c>
    </row>
    <row r="493" spans="1:69" x14ac:dyDescent="0.4">
      <c r="A493" s="2" t="s">
        <v>520</v>
      </c>
      <c r="B493" t="str">
        <f>_xlfn.TEXTAFTER(Table1[[#This Row],[VEHIDCODE]],"_")</f>
        <v>Netherlands_NS_DH2</v>
      </c>
      <c r="C493" t="s">
        <v>743</v>
      </c>
      <c r="D493" t="str">
        <f>"item_"&amp;Table1[[#This Row],[VEHIDCODE]]</f>
        <v>item_dmu_Netherlands_NS_DH2</v>
      </c>
      <c r="E493" t="str">
        <f>"str_"&amp;Table1[[#This Row],[VEHIDCODE]]</f>
        <v>str_dmu_Netherlands_NS_DH2</v>
      </c>
      <c r="F493">
        <v>8</v>
      </c>
      <c r="G493" t="s">
        <v>18</v>
      </c>
      <c r="H493">
        <v>1</v>
      </c>
      <c r="I493" t="s">
        <v>35</v>
      </c>
      <c r="J493">
        <v>80</v>
      </c>
      <c r="K493">
        <v>1981</v>
      </c>
      <c r="L493">
        <v>8</v>
      </c>
      <c r="M493" s="2" t="s">
        <v>24</v>
      </c>
      <c r="N493" t="b">
        <v>1</v>
      </c>
      <c r="O493" t="b">
        <v>1</v>
      </c>
      <c r="P493" s="2"/>
      <c r="Q493">
        <v>45</v>
      </c>
      <c r="R493">
        <v>1</v>
      </c>
      <c r="S493">
        <v>562</v>
      </c>
      <c r="T493" t="s">
        <v>712</v>
      </c>
      <c r="U493">
        <v>101</v>
      </c>
      <c r="V493" s="2">
        <v>0.3</v>
      </c>
      <c r="AE493" t="b">
        <v>1</v>
      </c>
      <c r="AZ493" s="2"/>
      <c r="BA493" s="7">
        <v>40</v>
      </c>
      <c r="BB493" t="s">
        <v>924</v>
      </c>
      <c r="BC493" t="s">
        <v>923</v>
      </c>
      <c r="BD493" t="s">
        <v>941</v>
      </c>
      <c r="BE493" t="str">
        <f>IF(OR(Table1[[#This Row],[ENGINE_CLASS]]="STEAM",Table1[[#This Row],[ENGINE_CLASS]]="ELECTRIC",Table1[[#This Row],[ENGINE_CLASS]]="DIESEL"),Table1[[#This Row],[ENGINE_CLASS]],"DISABLE")</f>
        <v>DIESEL</v>
      </c>
      <c r="BF493">
        <v>0</v>
      </c>
      <c r="BG493" t="s">
        <v>735</v>
      </c>
      <c r="BH493">
        <v>80</v>
      </c>
      <c r="BI493">
        <v>8</v>
      </c>
      <c r="BJ493">
        <v>34</v>
      </c>
      <c r="BK493">
        <v>0</v>
      </c>
      <c r="BL493" t="s">
        <v>693</v>
      </c>
      <c r="BM493" t="s">
        <v>695</v>
      </c>
      <c r="BN493" t="s">
        <v>702</v>
      </c>
      <c r="BO493" t="s">
        <v>706</v>
      </c>
      <c r="BP493" t="s">
        <v>707</v>
      </c>
      <c r="BQ493" t="s">
        <v>708</v>
      </c>
    </row>
    <row r="494" spans="1:69" x14ac:dyDescent="0.4">
      <c r="A494" s="2" t="s">
        <v>521</v>
      </c>
      <c r="B494" t="str">
        <f>_xlfn.TEXTAFTER(Table1[[#This Row],[VEHIDCODE]],"_")</f>
        <v>Germany_DB_6282</v>
      </c>
      <c r="C494" t="s">
        <v>743</v>
      </c>
      <c r="D494" t="str">
        <f>"item_"&amp;Table1[[#This Row],[VEHIDCODE]]</f>
        <v>item_dmu_Germany_DB_6282</v>
      </c>
      <c r="E494" t="str">
        <f>"str_"&amp;Table1[[#This Row],[VEHIDCODE]]</f>
        <v>str_dmu_Germany_DB_6282</v>
      </c>
      <c r="F494">
        <v>8</v>
      </c>
      <c r="G494" t="s">
        <v>18</v>
      </c>
      <c r="H494">
        <v>1</v>
      </c>
      <c r="I494" t="s">
        <v>35</v>
      </c>
      <c r="J494">
        <v>74</v>
      </c>
      <c r="K494">
        <v>1986</v>
      </c>
      <c r="L494">
        <v>8</v>
      </c>
      <c r="M494" s="2" t="s">
        <v>24</v>
      </c>
      <c r="N494" t="b">
        <v>1</v>
      </c>
      <c r="O494" t="b">
        <v>1</v>
      </c>
      <c r="P494" s="2"/>
      <c r="Q494">
        <v>45</v>
      </c>
      <c r="R494">
        <v>1</v>
      </c>
      <c r="S494">
        <v>570</v>
      </c>
      <c r="T494" t="s">
        <v>712</v>
      </c>
      <c r="U494">
        <v>120</v>
      </c>
      <c r="V494" s="2">
        <v>0.27</v>
      </c>
      <c r="AE494" t="b">
        <v>1</v>
      </c>
      <c r="AZ494" s="2"/>
      <c r="BA494" s="7">
        <v>40</v>
      </c>
      <c r="BB494" t="s">
        <v>924</v>
      </c>
      <c r="BC494" t="s">
        <v>923</v>
      </c>
      <c r="BD494" t="s">
        <v>941</v>
      </c>
      <c r="BE494" t="str">
        <f>IF(OR(Table1[[#This Row],[ENGINE_CLASS]]="STEAM",Table1[[#This Row],[ENGINE_CLASS]]="ELECTRIC",Table1[[#This Row],[ENGINE_CLASS]]="DIESEL"),Table1[[#This Row],[ENGINE_CLASS]],"DISABLE")</f>
        <v>DIESEL</v>
      </c>
      <c r="BF494">
        <v>0</v>
      </c>
      <c r="BG494" t="s">
        <v>735</v>
      </c>
      <c r="BH494">
        <v>74</v>
      </c>
      <c r="BI494">
        <v>8</v>
      </c>
      <c r="BJ494">
        <v>42</v>
      </c>
      <c r="BK494">
        <v>0</v>
      </c>
      <c r="BL494" t="s">
        <v>693</v>
      </c>
      <c r="BM494" t="s">
        <v>695</v>
      </c>
      <c r="BN494" t="s">
        <v>702</v>
      </c>
      <c r="BO494" t="s">
        <v>706</v>
      </c>
      <c r="BP494" t="s">
        <v>707</v>
      </c>
      <c r="BQ494" t="s">
        <v>708</v>
      </c>
    </row>
    <row r="495" spans="1:69" x14ac:dyDescent="0.4">
      <c r="A495" s="2" t="s">
        <v>522</v>
      </c>
      <c r="B495" t="str">
        <f>_xlfn.TEXTAFTER(Table1[[#This Row],[VEHIDCODE]],"_")</f>
        <v>Algeria_SNTF_ZZ_2200_Autorail</v>
      </c>
      <c r="C495" t="s">
        <v>743</v>
      </c>
      <c r="D495" t="str">
        <f>"item_"&amp;Table1[[#This Row],[VEHIDCODE]]</f>
        <v>item_dmu_Algeria_SNTF_ZZ_2200_Autorail</v>
      </c>
      <c r="E495" t="str">
        <f>"str_"&amp;Table1[[#This Row],[VEHIDCODE]]</f>
        <v>str_dmu_Algeria_SNTF_ZZ_2200_Autorail</v>
      </c>
      <c r="F495">
        <v>8</v>
      </c>
      <c r="G495" t="s">
        <v>18</v>
      </c>
      <c r="H495">
        <v>1</v>
      </c>
      <c r="I495" t="s">
        <v>35</v>
      </c>
      <c r="J495">
        <v>66</v>
      </c>
      <c r="K495">
        <v>2007</v>
      </c>
      <c r="L495">
        <v>8</v>
      </c>
      <c r="M495" s="2" t="s">
        <v>24</v>
      </c>
      <c r="N495" t="b">
        <v>1</v>
      </c>
      <c r="O495" t="b">
        <v>1</v>
      </c>
      <c r="P495" s="2"/>
      <c r="Q495" t="s">
        <v>21</v>
      </c>
      <c r="R495">
        <v>1</v>
      </c>
      <c r="S495">
        <v>1810</v>
      </c>
      <c r="T495" t="s">
        <v>712</v>
      </c>
      <c r="U495">
        <v>160</v>
      </c>
      <c r="V495" s="2">
        <v>0.37</v>
      </c>
      <c r="AE495" t="b">
        <v>1</v>
      </c>
      <c r="AZ495" s="2"/>
      <c r="BA495" s="7">
        <v>40</v>
      </c>
      <c r="BB495" t="s">
        <v>927</v>
      </c>
      <c r="BC495" t="s">
        <v>923</v>
      </c>
      <c r="BD495" t="s">
        <v>941</v>
      </c>
      <c r="BE495" t="str">
        <f>IF(OR(Table1[[#This Row],[ENGINE_CLASS]]="STEAM",Table1[[#This Row],[ENGINE_CLASS]]="ELECTRIC",Table1[[#This Row],[ENGINE_CLASS]]="DIESEL"),Table1[[#This Row],[ENGINE_CLASS]],"DISABLE")</f>
        <v>DIESEL</v>
      </c>
      <c r="BF495">
        <v>0</v>
      </c>
      <c r="BG495" t="s">
        <v>735</v>
      </c>
      <c r="BH495">
        <v>66</v>
      </c>
      <c r="BI495">
        <v>8</v>
      </c>
      <c r="BJ495">
        <v>53</v>
      </c>
      <c r="BK495">
        <v>0</v>
      </c>
      <c r="BL495" t="s">
        <v>693</v>
      </c>
      <c r="BM495" t="s">
        <v>695</v>
      </c>
      <c r="BN495" t="s">
        <v>702</v>
      </c>
      <c r="BO495" t="s">
        <v>706</v>
      </c>
      <c r="BP495" t="s">
        <v>707</v>
      </c>
      <c r="BQ495" t="s">
        <v>708</v>
      </c>
    </row>
    <row r="496" spans="1:69" x14ac:dyDescent="0.4">
      <c r="A496" s="2" t="s">
        <v>523</v>
      </c>
      <c r="B496" t="str">
        <f>_xlfn.TEXTAFTER(Table1[[#This Row],[VEHIDCODE]],"_")</f>
        <v>Tunisia_SNCFT_AMT_800</v>
      </c>
      <c r="C496" t="s">
        <v>743</v>
      </c>
      <c r="D496" t="str">
        <f>"item_"&amp;Table1[[#This Row],[VEHIDCODE]]</f>
        <v>item_dmu_Tunisia_SNCFT_AMT_800</v>
      </c>
      <c r="E496" t="str">
        <f>"str_"&amp;Table1[[#This Row],[VEHIDCODE]]</f>
        <v>str_dmu_Tunisia_SNCFT_AMT_800</v>
      </c>
      <c r="F496">
        <v>8</v>
      </c>
      <c r="G496" t="s">
        <v>18</v>
      </c>
      <c r="H496">
        <v>1</v>
      </c>
      <c r="I496" t="s">
        <v>35</v>
      </c>
      <c r="J496">
        <v>55</v>
      </c>
      <c r="K496">
        <v>2008</v>
      </c>
      <c r="L496">
        <v>8</v>
      </c>
      <c r="M496" s="2" t="s">
        <v>24</v>
      </c>
      <c r="N496" t="b">
        <v>1</v>
      </c>
      <c r="O496" t="b">
        <v>1</v>
      </c>
      <c r="P496" s="2"/>
      <c r="Q496" t="s">
        <v>21</v>
      </c>
      <c r="R496">
        <v>1</v>
      </c>
      <c r="S496">
        <v>1232</v>
      </c>
      <c r="T496" t="s">
        <v>712</v>
      </c>
      <c r="U496">
        <v>130</v>
      </c>
      <c r="V496" s="2">
        <v>0.52</v>
      </c>
      <c r="AE496" t="b">
        <v>1</v>
      </c>
      <c r="AZ496" s="2"/>
      <c r="BA496" s="7">
        <v>40</v>
      </c>
      <c r="BB496" t="s">
        <v>927</v>
      </c>
      <c r="BC496" t="s">
        <v>923</v>
      </c>
      <c r="BD496" t="s">
        <v>941</v>
      </c>
      <c r="BE496" t="str">
        <f>IF(OR(Table1[[#This Row],[ENGINE_CLASS]]="STEAM",Table1[[#This Row],[ENGINE_CLASS]]="ELECTRIC",Table1[[#This Row],[ENGINE_CLASS]]="DIESEL"),Table1[[#This Row],[ENGINE_CLASS]],"DISABLE")</f>
        <v>DIESEL</v>
      </c>
      <c r="BF496">
        <v>0</v>
      </c>
      <c r="BG496" t="s">
        <v>735</v>
      </c>
      <c r="BH496">
        <v>55</v>
      </c>
      <c r="BI496">
        <v>8</v>
      </c>
      <c r="BJ496">
        <v>35</v>
      </c>
      <c r="BK496">
        <v>0</v>
      </c>
      <c r="BL496" t="s">
        <v>693</v>
      </c>
      <c r="BM496" t="s">
        <v>695</v>
      </c>
      <c r="BN496" t="s">
        <v>702</v>
      </c>
      <c r="BO496" t="s">
        <v>706</v>
      </c>
      <c r="BP496" t="s">
        <v>707</v>
      </c>
      <c r="BQ496" t="s">
        <v>708</v>
      </c>
    </row>
    <row r="497" spans="1:69" x14ac:dyDescent="0.4">
      <c r="A497" s="2" t="s">
        <v>524</v>
      </c>
      <c r="B497" t="str">
        <f>_xlfn.TEXTAFTER(Table1[[#This Row],[VEHIDCODE]],"_")</f>
        <v>Ghana_Ghana_Railways_DEMU</v>
      </c>
      <c r="C497" t="s">
        <v>743</v>
      </c>
      <c r="D497" t="str">
        <f>"item_"&amp;Table1[[#This Row],[VEHIDCODE]]</f>
        <v>item_dmu_Ghana_Ghana_Railways_DEMU</v>
      </c>
      <c r="E497" t="str">
        <f>"str_"&amp;Table1[[#This Row],[VEHIDCODE]]</f>
        <v>str_dmu_Ghana_Ghana_Railways_DEMU</v>
      </c>
      <c r="F497">
        <v>7</v>
      </c>
      <c r="G497" t="s">
        <v>18</v>
      </c>
      <c r="H497">
        <v>1</v>
      </c>
      <c r="I497" t="s">
        <v>35</v>
      </c>
      <c r="J497">
        <v>102</v>
      </c>
      <c r="K497">
        <v>2009</v>
      </c>
      <c r="L497">
        <v>7</v>
      </c>
      <c r="M497" s="2" t="s">
        <v>24</v>
      </c>
      <c r="N497" t="b">
        <v>1</v>
      </c>
      <c r="O497" t="b">
        <v>1</v>
      </c>
      <c r="P497" s="2"/>
      <c r="Q497" t="s">
        <v>21</v>
      </c>
      <c r="R497">
        <v>1</v>
      </c>
      <c r="S497">
        <v>1656</v>
      </c>
      <c r="T497" t="s">
        <v>712</v>
      </c>
      <c r="U497">
        <v>90</v>
      </c>
      <c r="V497" s="2">
        <v>0.3</v>
      </c>
      <c r="AE497" t="b">
        <v>1</v>
      </c>
      <c r="AZ497" s="2"/>
      <c r="BA497" s="7">
        <v>40</v>
      </c>
      <c r="BB497" t="s">
        <v>927</v>
      </c>
      <c r="BC497" t="s">
        <v>923</v>
      </c>
      <c r="BD497" t="s">
        <v>941</v>
      </c>
      <c r="BE497" t="str">
        <f>IF(OR(Table1[[#This Row],[ENGINE_CLASS]]="STEAM",Table1[[#This Row],[ENGINE_CLASS]]="ELECTRIC",Table1[[#This Row],[ENGINE_CLASS]]="DIESEL"),Table1[[#This Row],[ENGINE_CLASS]],"DISABLE")</f>
        <v>DIESEL</v>
      </c>
      <c r="BF497">
        <v>0</v>
      </c>
      <c r="BG497" t="s">
        <v>735</v>
      </c>
      <c r="BH497">
        <v>102</v>
      </c>
      <c r="BI497">
        <v>7</v>
      </c>
      <c r="BJ497">
        <v>48</v>
      </c>
      <c r="BK497">
        <v>0</v>
      </c>
      <c r="BL497" t="s">
        <v>693</v>
      </c>
      <c r="BM497" t="s">
        <v>695</v>
      </c>
      <c r="BN497" t="s">
        <v>702</v>
      </c>
      <c r="BO497" t="s">
        <v>706</v>
      </c>
      <c r="BP497" t="s">
        <v>707</v>
      </c>
      <c r="BQ497" t="s">
        <v>708</v>
      </c>
    </row>
    <row r="498" spans="1:69" x14ac:dyDescent="0.4">
      <c r="A498" s="2" t="s">
        <v>525</v>
      </c>
      <c r="B498" t="str">
        <f>_xlfn.TEXTAFTER(Table1[[#This Row],[VEHIDCODE]],"_")</f>
        <v>Australia_Queensland_Rail_Diesel_Tilt_Train</v>
      </c>
      <c r="C498" t="s">
        <v>743</v>
      </c>
      <c r="D498" t="str">
        <f>"item_"&amp;Table1[[#This Row],[VEHIDCODE]]</f>
        <v>item_dmu_Australia_Queensland_Rail_Diesel_Tilt_Train</v>
      </c>
      <c r="E498" t="str">
        <f>"str_"&amp;Table1[[#This Row],[VEHIDCODE]]</f>
        <v>str_dmu_Australia_Queensland_Rail_Diesel_Tilt_Train</v>
      </c>
      <c r="F498">
        <v>8</v>
      </c>
      <c r="G498" t="s">
        <v>18</v>
      </c>
      <c r="H498">
        <v>1</v>
      </c>
      <c r="I498" t="s">
        <v>35</v>
      </c>
      <c r="J498">
        <v>0</v>
      </c>
      <c r="K498">
        <v>2003</v>
      </c>
      <c r="L498">
        <v>8</v>
      </c>
      <c r="M498" s="2" t="s">
        <v>24</v>
      </c>
      <c r="N498" t="b">
        <v>1</v>
      </c>
      <c r="O498" t="b">
        <v>1</v>
      </c>
      <c r="P498" s="2"/>
      <c r="Q498" t="s">
        <v>21</v>
      </c>
      <c r="R498">
        <v>1</v>
      </c>
      <c r="S498">
        <v>7240</v>
      </c>
      <c r="T498" t="s">
        <v>712</v>
      </c>
      <c r="U498">
        <v>160</v>
      </c>
      <c r="V498" s="2">
        <v>0.21</v>
      </c>
      <c r="AE498" t="b">
        <v>1</v>
      </c>
      <c r="AZ498" s="2"/>
      <c r="BA498" s="7">
        <v>40</v>
      </c>
      <c r="BB498" t="s">
        <v>926</v>
      </c>
      <c r="BC498" t="s">
        <v>923</v>
      </c>
      <c r="BD498" t="s">
        <v>941</v>
      </c>
      <c r="BE498" t="str">
        <f>IF(OR(Table1[[#This Row],[ENGINE_CLASS]]="STEAM",Table1[[#This Row],[ENGINE_CLASS]]="ELECTRIC",Table1[[#This Row],[ENGINE_CLASS]]="DIESEL"),Table1[[#This Row],[ENGINE_CLASS]],"DISABLE")</f>
        <v>DIESEL</v>
      </c>
      <c r="BF498">
        <v>0</v>
      </c>
      <c r="BG498" t="s">
        <v>735</v>
      </c>
      <c r="BH498">
        <v>56</v>
      </c>
      <c r="BI498">
        <v>8</v>
      </c>
      <c r="BJ498">
        <v>60</v>
      </c>
      <c r="BK498">
        <v>0</v>
      </c>
      <c r="BL498" t="s">
        <v>693</v>
      </c>
      <c r="BM498" t="s">
        <v>695</v>
      </c>
      <c r="BN498" t="s">
        <v>702</v>
      </c>
      <c r="BO498" t="s">
        <v>706</v>
      </c>
      <c r="BP498" t="s">
        <v>707</v>
      </c>
      <c r="BQ498" t="s">
        <v>708</v>
      </c>
    </row>
    <row r="499" spans="1:69" x14ac:dyDescent="0.4">
      <c r="A499" s="2" t="s">
        <v>526</v>
      </c>
      <c r="B499" t="str">
        <f>_xlfn.TEXTAFTER(Table1[[#This Row],[VEHIDCODE]],"_")</f>
        <v>Canada_UP_Express_Nippon_Sharyo_DMU</v>
      </c>
      <c r="C499" t="s">
        <v>743</v>
      </c>
      <c r="D499" t="str">
        <f>"item_"&amp;Table1[[#This Row],[VEHIDCODE]]</f>
        <v>item_dmu_Canada_UP_Express_Nippon_Sharyo_DMU</v>
      </c>
      <c r="E499" t="str">
        <f>"str_"&amp;Table1[[#This Row],[VEHIDCODE]]</f>
        <v>str_dmu_Canada_UP_Express_Nippon_Sharyo_DMU</v>
      </c>
      <c r="F499">
        <v>8</v>
      </c>
      <c r="G499" t="s">
        <v>18</v>
      </c>
      <c r="H499">
        <v>1</v>
      </c>
      <c r="I499" t="s">
        <v>35</v>
      </c>
      <c r="J499">
        <v>80</v>
      </c>
      <c r="K499">
        <v>2013</v>
      </c>
      <c r="L499">
        <v>8</v>
      </c>
      <c r="M499" s="2" t="s">
        <v>24</v>
      </c>
      <c r="N499" t="b">
        <v>1</v>
      </c>
      <c r="O499" t="b">
        <v>1</v>
      </c>
      <c r="P499" s="2"/>
      <c r="Q499" t="s">
        <v>21</v>
      </c>
      <c r="R499">
        <v>1</v>
      </c>
      <c r="S499">
        <v>1520</v>
      </c>
      <c r="T499" t="s">
        <v>712</v>
      </c>
      <c r="U499">
        <v>128</v>
      </c>
      <c r="V499" s="2">
        <v>0.28999999999999998</v>
      </c>
      <c r="AE499" t="b">
        <v>1</v>
      </c>
      <c r="AZ499" s="2"/>
      <c r="BA499" s="7">
        <v>40</v>
      </c>
      <c r="BB499" t="s">
        <v>929</v>
      </c>
      <c r="BC499" t="s">
        <v>923</v>
      </c>
      <c r="BD499" t="s">
        <v>941</v>
      </c>
      <c r="BE499" t="str">
        <f>IF(OR(Table1[[#This Row],[ENGINE_CLASS]]="STEAM",Table1[[#This Row],[ENGINE_CLASS]]="ELECTRIC",Table1[[#This Row],[ENGINE_CLASS]]="DIESEL"),Table1[[#This Row],[ENGINE_CLASS]],"DISABLE")</f>
        <v>DIESEL</v>
      </c>
      <c r="BF499">
        <v>0</v>
      </c>
      <c r="BG499" t="s">
        <v>735</v>
      </c>
      <c r="BH499">
        <v>80</v>
      </c>
      <c r="BI499">
        <v>8</v>
      </c>
      <c r="BJ499">
        <v>74</v>
      </c>
      <c r="BK499">
        <v>0</v>
      </c>
      <c r="BL499" t="s">
        <v>693</v>
      </c>
      <c r="BM499" t="s">
        <v>695</v>
      </c>
      <c r="BN499" t="s">
        <v>702</v>
      </c>
      <c r="BO499" t="s">
        <v>706</v>
      </c>
      <c r="BP499" t="s">
        <v>707</v>
      </c>
      <c r="BQ499" t="s">
        <v>708</v>
      </c>
    </row>
    <row r="500" spans="1:69" x14ac:dyDescent="0.4">
      <c r="A500" s="2" t="s">
        <v>527</v>
      </c>
      <c r="B500" t="str">
        <f>_xlfn.TEXTAFTER(Table1[[#This Row],[VEHIDCODE]],"_")</f>
        <v>Argentina_FCGU_CMM_400_2</v>
      </c>
      <c r="C500" t="s">
        <v>743</v>
      </c>
      <c r="D500" t="str">
        <f>"item_"&amp;Table1[[#This Row],[VEHIDCODE]]</f>
        <v>item_dmu_Argentina_FCGU_CMM_400_2</v>
      </c>
      <c r="E500" t="str">
        <f>"str_"&amp;Table1[[#This Row],[VEHIDCODE]]</f>
        <v>str_dmu_Argentina_FCGU_CMM_400_2</v>
      </c>
      <c r="F500">
        <v>8</v>
      </c>
      <c r="G500" t="s">
        <v>18</v>
      </c>
      <c r="H500">
        <v>1</v>
      </c>
      <c r="I500" t="s">
        <v>35</v>
      </c>
      <c r="J500">
        <v>88</v>
      </c>
      <c r="K500">
        <v>2015</v>
      </c>
      <c r="L500">
        <v>8</v>
      </c>
      <c r="M500" s="2" t="s">
        <v>24</v>
      </c>
      <c r="N500" t="b">
        <v>1</v>
      </c>
      <c r="O500" t="b">
        <v>1</v>
      </c>
      <c r="P500" s="2"/>
      <c r="Q500" t="s">
        <v>21</v>
      </c>
      <c r="R500">
        <v>1</v>
      </c>
      <c r="S500">
        <v>800</v>
      </c>
      <c r="T500" t="s">
        <v>712</v>
      </c>
      <c r="U500">
        <v>160</v>
      </c>
      <c r="V500" s="2">
        <v>0.39</v>
      </c>
      <c r="AE500" t="b">
        <v>1</v>
      </c>
      <c r="AZ500" s="2"/>
      <c r="BA500" s="7">
        <v>40</v>
      </c>
      <c r="BB500" t="s">
        <v>931</v>
      </c>
      <c r="BC500" t="s">
        <v>923</v>
      </c>
      <c r="BD500" t="s">
        <v>941</v>
      </c>
      <c r="BE500" t="str">
        <f>IF(OR(Table1[[#This Row],[ENGINE_CLASS]]="STEAM",Table1[[#This Row],[ENGINE_CLASS]]="ELECTRIC",Table1[[#This Row],[ENGINE_CLASS]]="DIESEL"),Table1[[#This Row],[ENGINE_CLASS]],"DISABLE")</f>
        <v>DIESEL</v>
      </c>
      <c r="BF500">
        <v>0</v>
      </c>
      <c r="BG500" t="s">
        <v>735</v>
      </c>
      <c r="BH500">
        <v>88</v>
      </c>
      <c r="BI500">
        <v>8</v>
      </c>
      <c r="BJ500">
        <v>48</v>
      </c>
      <c r="BK500">
        <v>0</v>
      </c>
      <c r="BL500" t="s">
        <v>693</v>
      </c>
      <c r="BM500" t="s">
        <v>695</v>
      </c>
      <c r="BN500" t="s">
        <v>702</v>
      </c>
      <c r="BO500" t="s">
        <v>706</v>
      </c>
      <c r="BP500" t="s">
        <v>707</v>
      </c>
      <c r="BQ500" t="s">
        <v>708</v>
      </c>
    </row>
    <row r="501" spans="1:69" x14ac:dyDescent="0.4">
      <c r="A501" s="2" t="s">
        <v>528</v>
      </c>
      <c r="B501" t="str">
        <f>_xlfn.TEXTAFTER(Table1[[#This Row],[VEHIDCODE]],"_")</f>
        <v>Italy_FS_ALn_442_448</v>
      </c>
      <c r="C501" t="s">
        <v>743</v>
      </c>
      <c r="D501" t="str">
        <f>"item_"&amp;Table1[[#This Row],[VEHIDCODE]]</f>
        <v>item_dmu_Italy_FS_ALn_442_448</v>
      </c>
      <c r="E501" t="str">
        <f>"str_"&amp;Table1[[#This Row],[VEHIDCODE]]</f>
        <v>str_dmu_Italy_FS_ALn_442_448</v>
      </c>
      <c r="F501">
        <v>8</v>
      </c>
      <c r="G501" t="s">
        <v>18</v>
      </c>
      <c r="H501">
        <v>1</v>
      </c>
      <c r="I501" t="s">
        <v>35</v>
      </c>
      <c r="J501">
        <v>48</v>
      </c>
      <c r="K501">
        <v>1955</v>
      </c>
      <c r="L501">
        <v>8</v>
      </c>
      <c r="M501" s="2" t="s">
        <v>24</v>
      </c>
      <c r="N501" t="b">
        <v>1</v>
      </c>
      <c r="O501" t="b">
        <v>1</v>
      </c>
      <c r="P501" s="2"/>
      <c r="Q501">
        <v>45</v>
      </c>
      <c r="R501">
        <v>1</v>
      </c>
      <c r="S501">
        <v>980</v>
      </c>
      <c r="T501" t="s">
        <v>712</v>
      </c>
      <c r="U501">
        <v>140</v>
      </c>
      <c r="V501" s="2">
        <v>0.13</v>
      </c>
      <c r="AE501" t="b">
        <v>1</v>
      </c>
      <c r="AZ501" s="2"/>
      <c r="BA501" s="7">
        <v>40</v>
      </c>
      <c r="BB501" t="s">
        <v>925</v>
      </c>
      <c r="BC501" t="s">
        <v>923</v>
      </c>
      <c r="BD501" t="s">
        <v>941</v>
      </c>
      <c r="BE501" t="str">
        <f>IF(OR(Table1[[#This Row],[ENGINE_CLASS]]="STEAM",Table1[[#This Row],[ENGINE_CLASS]]="ELECTRIC",Table1[[#This Row],[ENGINE_CLASS]]="DIESEL"),Table1[[#This Row],[ENGINE_CLASS]],"DISABLE")</f>
        <v>DIESEL</v>
      </c>
      <c r="BF501">
        <v>0</v>
      </c>
      <c r="BG501" t="s">
        <v>735</v>
      </c>
      <c r="BH501">
        <v>48</v>
      </c>
      <c r="BI501">
        <v>8</v>
      </c>
      <c r="BJ501">
        <v>52</v>
      </c>
      <c r="BK501">
        <v>0</v>
      </c>
      <c r="BL501" t="s">
        <v>693</v>
      </c>
      <c r="BM501" t="s">
        <v>695</v>
      </c>
      <c r="BN501" t="s">
        <v>702</v>
      </c>
      <c r="BO501" t="s">
        <v>706</v>
      </c>
      <c r="BP501" t="s">
        <v>707</v>
      </c>
      <c r="BQ501" t="s">
        <v>708</v>
      </c>
    </row>
    <row r="502" spans="1:69" x14ac:dyDescent="0.4">
      <c r="A502" s="2" t="s">
        <v>529</v>
      </c>
      <c r="B502" t="str">
        <f>_xlfn.TEXTAFTER(Table1[[#This Row],[VEHIDCODE]],"_")</f>
        <v>Portugal_CP_0400</v>
      </c>
      <c r="C502" t="s">
        <v>743</v>
      </c>
      <c r="D502" t="str">
        <f>"item_"&amp;Table1[[#This Row],[VEHIDCODE]]</f>
        <v>item_dmu_Portugal_CP_0400</v>
      </c>
      <c r="E502" t="str">
        <f>"str_"&amp;Table1[[#This Row],[VEHIDCODE]]</f>
        <v>str_dmu_Portugal_CP_0400</v>
      </c>
      <c r="F502">
        <v>8</v>
      </c>
      <c r="G502" t="s">
        <v>18</v>
      </c>
      <c r="H502">
        <v>1</v>
      </c>
      <c r="I502" t="s">
        <v>35</v>
      </c>
      <c r="J502">
        <v>82</v>
      </c>
      <c r="K502">
        <v>1965</v>
      </c>
      <c r="L502">
        <v>8</v>
      </c>
      <c r="M502" s="2" t="s">
        <v>24</v>
      </c>
      <c r="N502" t="b">
        <v>1</v>
      </c>
      <c r="O502" t="b">
        <v>1</v>
      </c>
      <c r="P502" s="2"/>
      <c r="Q502">
        <v>45</v>
      </c>
      <c r="R502">
        <v>1</v>
      </c>
      <c r="S502">
        <v>1320</v>
      </c>
      <c r="T502" t="s">
        <v>712</v>
      </c>
      <c r="U502">
        <v>120</v>
      </c>
      <c r="V502" s="2">
        <v>0.13</v>
      </c>
      <c r="AE502" t="b">
        <v>1</v>
      </c>
      <c r="AZ502" s="2"/>
      <c r="BA502" s="7">
        <v>40</v>
      </c>
      <c r="BB502" t="s">
        <v>925</v>
      </c>
      <c r="BC502" t="s">
        <v>923</v>
      </c>
      <c r="BD502" t="s">
        <v>941</v>
      </c>
      <c r="BE502" t="str">
        <f>IF(OR(Table1[[#This Row],[ENGINE_CLASS]]="STEAM",Table1[[#This Row],[ENGINE_CLASS]]="ELECTRIC",Table1[[#This Row],[ENGINE_CLASS]]="DIESEL"),Table1[[#This Row],[ENGINE_CLASS]],"DISABLE")</f>
        <v>DIESEL</v>
      </c>
      <c r="BF502">
        <v>0</v>
      </c>
      <c r="BG502" t="s">
        <v>735</v>
      </c>
      <c r="BH502">
        <v>82</v>
      </c>
      <c r="BI502">
        <v>8</v>
      </c>
      <c r="BJ502">
        <v>49</v>
      </c>
      <c r="BK502">
        <v>0</v>
      </c>
      <c r="BL502" t="s">
        <v>693</v>
      </c>
      <c r="BM502" t="s">
        <v>695</v>
      </c>
      <c r="BN502" t="s">
        <v>702</v>
      </c>
      <c r="BO502" t="s">
        <v>706</v>
      </c>
      <c r="BP502" t="s">
        <v>707</v>
      </c>
      <c r="BQ502" t="s">
        <v>708</v>
      </c>
    </row>
    <row r="503" spans="1:69" x14ac:dyDescent="0.4">
      <c r="A503" s="2" t="s">
        <v>530</v>
      </c>
      <c r="B503" t="str">
        <f>_xlfn.TEXTAFTER(Table1[[#This Row],[VEHIDCODE]],"_")</f>
        <v>Portugal_CP_0600</v>
      </c>
      <c r="C503" t="s">
        <v>743</v>
      </c>
      <c r="D503" t="str">
        <f>"item_"&amp;Table1[[#This Row],[VEHIDCODE]]</f>
        <v>item_dmu_Portugal_CP_0600</v>
      </c>
      <c r="E503" t="str">
        <f>"str_"&amp;Table1[[#This Row],[VEHIDCODE]]</f>
        <v>str_dmu_Portugal_CP_0600</v>
      </c>
      <c r="F503">
        <v>8</v>
      </c>
      <c r="G503" t="s">
        <v>18</v>
      </c>
      <c r="H503">
        <v>1</v>
      </c>
      <c r="I503" t="s">
        <v>35</v>
      </c>
      <c r="J503">
        <v>116</v>
      </c>
      <c r="K503">
        <v>1979</v>
      </c>
      <c r="L503">
        <v>8</v>
      </c>
      <c r="M503" s="2" t="s">
        <v>24</v>
      </c>
      <c r="N503" t="b">
        <v>1</v>
      </c>
      <c r="O503" t="b">
        <v>1</v>
      </c>
      <c r="P503" s="2"/>
      <c r="Q503">
        <v>45</v>
      </c>
      <c r="R503">
        <v>1</v>
      </c>
      <c r="S503">
        <v>1650</v>
      </c>
      <c r="T503" t="s">
        <v>712</v>
      </c>
      <c r="U503">
        <v>120</v>
      </c>
      <c r="V503" s="2">
        <v>0.21</v>
      </c>
      <c r="AE503" t="b">
        <v>1</v>
      </c>
      <c r="AZ503" s="2"/>
      <c r="BA503" s="7">
        <v>40</v>
      </c>
      <c r="BB503" t="s">
        <v>925</v>
      </c>
      <c r="BC503" t="s">
        <v>923</v>
      </c>
      <c r="BD503" t="s">
        <v>941</v>
      </c>
      <c r="BE503" t="str">
        <f>IF(OR(Table1[[#This Row],[ENGINE_CLASS]]="STEAM",Table1[[#This Row],[ENGINE_CLASS]]="ELECTRIC",Table1[[#This Row],[ENGINE_CLASS]]="DIESEL"),Table1[[#This Row],[ENGINE_CLASS]],"DISABLE")</f>
        <v>DIESEL</v>
      </c>
      <c r="BF503">
        <v>0</v>
      </c>
      <c r="BG503" t="s">
        <v>735</v>
      </c>
      <c r="BH503">
        <v>116</v>
      </c>
      <c r="BI503">
        <v>8</v>
      </c>
      <c r="BJ503">
        <v>53</v>
      </c>
      <c r="BK503">
        <v>0</v>
      </c>
      <c r="BL503" t="s">
        <v>693</v>
      </c>
      <c r="BM503" t="s">
        <v>695</v>
      </c>
      <c r="BN503" t="s">
        <v>702</v>
      </c>
      <c r="BO503" t="s">
        <v>706</v>
      </c>
      <c r="BP503" t="s">
        <v>707</v>
      </c>
      <c r="BQ503" t="s">
        <v>708</v>
      </c>
    </row>
    <row r="504" spans="1:69" x14ac:dyDescent="0.4">
      <c r="A504" s="2" t="s">
        <v>531</v>
      </c>
      <c r="B504" t="str">
        <f>_xlfn.TEXTAFTER(Table1[[#This Row],[VEHIDCODE]],"_")</f>
        <v>Spain_FEVE_2400_Apollos</v>
      </c>
      <c r="C504" t="s">
        <v>743</v>
      </c>
      <c r="D504" t="str">
        <f>"item_"&amp;Table1[[#This Row],[VEHIDCODE]]</f>
        <v>item_dmu_Spain_FEVE_2400_Apollos</v>
      </c>
      <c r="E504" t="str">
        <f>"str_"&amp;Table1[[#This Row],[VEHIDCODE]]</f>
        <v>str_dmu_Spain_FEVE_2400_Apollos</v>
      </c>
      <c r="F504">
        <v>7</v>
      </c>
      <c r="G504" t="s">
        <v>18</v>
      </c>
      <c r="H504">
        <v>1</v>
      </c>
      <c r="I504" t="s">
        <v>35</v>
      </c>
      <c r="J504">
        <v>50</v>
      </c>
      <c r="K504">
        <v>1983</v>
      </c>
      <c r="L504">
        <v>7</v>
      </c>
      <c r="M504" s="2" t="s">
        <v>24</v>
      </c>
      <c r="N504" t="b">
        <v>1</v>
      </c>
      <c r="O504" t="b">
        <v>1</v>
      </c>
      <c r="P504" s="2"/>
      <c r="Q504">
        <v>45</v>
      </c>
      <c r="R504">
        <v>1</v>
      </c>
      <c r="S504">
        <v>720</v>
      </c>
      <c r="T504" t="s">
        <v>712</v>
      </c>
      <c r="U504">
        <v>100</v>
      </c>
      <c r="V504" s="2">
        <v>0.2</v>
      </c>
      <c r="AE504" t="b">
        <v>1</v>
      </c>
      <c r="AZ504" s="2"/>
      <c r="BA504" s="7">
        <v>40</v>
      </c>
      <c r="BB504" t="s">
        <v>925</v>
      </c>
      <c r="BC504" t="s">
        <v>923</v>
      </c>
      <c r="BD504" t="s">
        <v>941</v>
      </c>
      <c r="BE504" t="str">
        <f>IF(OR(Table1[[#This Row],[ENGINE_CLASS]]="STEAM",Table1[[#This Row],[ENGINE_CLASS]]="ELECTRIC",Table1[[#This Row],[ENGINE_CLASS]]="DIESEL"),Table1[[#This Row],[ENGINE_CLASS]],"DISABLE")</f>
        <v>DIESEL</v>
      </c>
      <c r="BF504">
        <v>0</v>
      </c>
      <c r="BG504" t="s">
        <v>735</v>
      </c>
      <c r="BH504">
        <v>50</v>
      </c>
      <c r="BI504">
        <v>7</v>
      </c>
      <c r="BJ504">
        <v>44</v>
      </c>
      <c r="BK504">
        <v>0</v>
      </c>
      <c r="BL504" t="s">
        <v>693</v>
      </c>
      <c r="BM504" t="s">
        <v>695</v>
      </c>
      <c r="BN504" t="s">
        <v>702</v>
      </c>
      <c r="BO504" t="s">
        <v>706</v>
      </c>
      <c r="BP504" t="s">
        <v>707</v>
      </c>
      <c r="BQ504" t="s">
        <v>708</v>
      </c>
    </row>
    <row r="505" spans="1:69" x14ac:dyDescent="0.4">
      <c r="A505" s="2" t="s">
        <v>532</v>
      </c>
      <c r="B505" t="str">
        <f>_xlfn.TEXTAFTER(Table1[[#This Row],[VEHIDCODE]],"_")</f>
        <v>Germany_DB_691_CargoSprinter</v>
      </c>
      <c r="C505" t="s">
        <v>744</v>
      </c>
      <c r="D505" t="str">
        <f>"item_"&amp;Table1[[#This Row],[VEHIDCODE]]</f>
        <v>item_cargodmu_Germany_DB_691_CargoSprinter</v>
      </c>
      <c r="E505" t="str">
        <f>"str_"&amp;Table1[[#This Row],[VEHIDCODE]]</f>
        <v>str_cargodmu_Germany_DB_691_CargoSprinter</v>
      </c>
      <c r="F505">
        <v>8</v>
      </c>
      <c r="G505" t="s">
        <v>533</v>
      </c>
      <c r="H505">
        <v>1</v>
      </c>
      <c r="I505" t="s">
        <v>35</v>
      </c>
      <c r="J505">
        <v>40</v>
      </c>
      <c r="K505">
        <v>1996</v>
      </c>
      <c r="L505">
        <v>8</v>
      </c>
      <c r="M505" s="2" t="s">
        <v>33</v>
      </c>
      <c r="N505" t="b">
        <v>1</v>
      </c>
      <c r="O505" t="b">
        <v>1</v>
      </c>
      <c r="P505" s="2"/>
      <c r="Q505" t="s">
        <v>21</v>
      </c>
      <c r="R505">
        <v>0</v>
      </c>
      <c r="S505">
        <v>710</v>
      </c>
      <c r="T505" t="s">
        <v>712</v>
      </c>
      <c r="U505">
        <v>140</v>
      </c>
      <c r="V505" s="2">
        <v>0.17</v>
      </c>
      <c r="AE505" t="b">
        <v>1</v>
      </c>
      <c r="AZ505" s="2"/>
      <c r="BA505" s="7">
        <v>25</v>
      </c>
      <c r="BB505" t="s">
        <v>924</v>
      </c>
      <c r="BC505" t="s">
        <v>923</v>
      </c>
      <c r="BD505" t="s">
        <v>941</v>
      </c>
      <c r="BE505" t="str">
        <f>IF(OR(Table1[[#This Row],[ENGINE_CLASS]]="STEAM",Table1[[#This Row],[ENGINE_CLASS]]="ELECTRIC",Table1[[#This Row],[ENGINE_CLASS]]="DIESEL"),Table1[[#This Row],[ENGINE_CLASS]],"DISABLE")</f>
        <v>DIESEL</v>
      </c>
      <c r="BF505">
        <v>0</v>
      </c>
      <c r="BG505" t="s">
        <v>735</v>
      </c>
      <c r="BH505">
        <v>40</v>
      </c>
      <c r="BI505">
        <v>7</v>
      </c>
      <c r="BJ505">
        <v>56</v>
      </c>
      <c r="BK505">
        <v>0</v>
      </c>
      <c r="BL505" t="s">
        <v>693</v>
      </c>
      <c r="BM505" t="s">
        <v>695</v>
      </c>
      <c r="BN505" t="s">
        <v>702</v>
      </c>
      <c r="BO505" t="s">
        <v>706</v>
      </c>
      <c r="BP505" t="s">
        <v>707</v>
      </c>
      <c r="BQ505" t="s">
        <v>708</v>
      </c>
    </row>
    <row r="506" spans="1:69" x14ac:dyDescent="0.4">
      <c r="A506" s="2" t="s">
        <v>534</v>
      </c>
      <c r="B506" t="str">
        <f>_xlfn.TEXTAFTER(Table1[[#This Row],[VEHIDCODE]],"_")</f>
        <v>Australia_Sydney_Trains_A_Set_Waratah</v>
      </c>
      <c r="C506" t="s">
        <v>745</v>
      </c>
      <c r="D506" t="str">
        <f>"item_"&amp;Table1[[#This Row],[VEHIDCODE]]</f>
        <v>item_emu_Australia_Sydney_Trains_A_Set_Waratah</v>
      </c>
      <c r="E506" t="str">
        <f>"str_"&amp;Table1[[#This Row],[VEHIDCODE]]</f>
        <v>str_emu_Australia_Sydney_Trains_A_Set_Waratah</v>
      </c>
      <c r="F506">
        <v>8</v>
      </c>
      <c r="G506" t="s">
        <v>18</v>
      </c>
      <c r="H506">
        <v>1</v>
      </c>
      <c r="I506" t="s">
        <v>74</v>
      </c>
      <c r="J506">
        <v>110</v>
      </c>
      <c r="K506">
        <v>2011</v>
      </c>
      <c r="L506">
        <v>8</v>
      </c>
      <c r="M506" s="2" t="s">
        <v>24</v>
      </c>
      <c r="N506" t="b">
        <v>1</v>
      </c>
      <c r="O506" t="b">
        <v>1</v>
      </c>
      <c r="P506" s="2"/>
      <c r="Q506" t="s">
        <v>21</v>
      </c>
      <c r="R506">
        <v>1</v>
      </c>
      <c r="S506">
        <v>1120</v>
      </c>
      <c r="T506" t="s">
        <v>710</v>
      </c>
      <c r="U506">
        <v>130</v>
      </c>
      <c r="V506" s="2">
        <v>0.25</v>
      </c>
      <c r="AA506" t="b">
        <v>1</v>
      </c>
      <c r="AE506"/>
      <c r="AZ506" s="2"/>
      <c r="BA506" s="7">
        <v>25</v>
      </c>
      <c r="BB506" t="s">
        <v>926</v>
      </c>
      <c r="BC506" t="s">
        <v>923</v>
      </c>
      <c r="BD506" t="s">
        <v>941</v>
      </c>
      <c r="BE506" t="str">
        <f>IF(OR(Table1[[#This Row],[ENGINE_CLASS]]="STEAM",Table1[[#This Row],[ENGINE_CLASS]]="ELECTRIC",Table1[[#This Row],[ENGINE_CLASS]]="DIESEL"),Table1[[#This Row],[ENGINE_CLASS]],"DISABLE")</f>
        <v>ELECTRIC</v>
      </c>
      <c r="BF506">
        <v>0</v>
      </c>
      <c r="BG506" t="s">
        <v>735</v>
      </c>
      <c r="BH506">
        <v>110</v>
      </c>
      <c r="BI506">
        <v>8</v>
      </c>
      <c r="BJ506">
        <v>51</v>
      </c>
      <c r="BK506">
        <v>0</v>
      </c>
      <c r="BL506" t="s">
        <v>693</v>
      </c>
      <c r="BM506" t="s">
        <v>695</v>
      </c>
      <c r="BN506" t="s">
        <v>702</v>
      </c>
      <c r="BO506" t="s">
        <v>706</v>
      </c>
      <c r="BP506" t="s">
        <v>707</v>
      </c>
      <c r="BQ506" t="s">
        <v>708</v>
      </c>
    </row>
    <row r="507" spans="1:69" x14ac:dyDescent="0.4">
      <c r="A507" s="2" t="s">
        <v>535</v>
      </c>
      <c r="B507" t="str">
        <f>_xlfn.TEXTAFTER(Table1[[#This Row],[VEHIDCODE]],"_")</f>
        <v>Denmark_DSB_S_Tog_II</v>
      </c>
      <c r="C507" t="s">
        <v>745</v>
      </c>
      <c r="D507" t="str">
        <f>"item_"&amp;Table1[[#This Row],[VEHIDCODE]]</f>
        <v>item_emu_Denmark_DSB_S_Tog_II</v>
      </c>
      <c r="E507" t="str">
        <f>"str_"&amp;Table1[[#This Row],[VEHIDCODE]]</f>
        <v>str_emu_Denmark_DSB_S_Tog_II</v>
      </c>
      <c r="F507">
        <v>8</v>
      </c>
      <c r="G507" t="s">
        <v>18</v>
      </c>
      <c r="H507">
        <v>1</v>
      </c>
      <c r="I507" t="s">
        <v>74</v>
      </c>
      <c r="J507">
        <v>56</v>
      </c>
      <c r="K507">
        <v>1966</v>
      </c>
      <c r="L507">
        <v>8</v>
      </c>
      <c r="M507" s="2" t="s">
        <v>24</v>
      </c>
      <c r="N507" t="b">
        <v>1</v>
      </c>
      <c r="O507" t="b">
        <v>1</v>
      </c>
      <c r="P507" s="2"/>
      <c r="Q507">
        <v>45</v>
      </c>
      <c r="R507">
        <v>1</v>
      </c>
      <c r="S507">
        <v>200</v>
      </c>
      <c r="T507" t="s">
        <v>710</v>
      </c>
      <c r="U507">
        <v>100</v>
      </c>
      <c r="V507" s="2">
        <v>0.14000000000000001</v>
      </c>
      <c r="AA507" t="b">
        <v>1</v>
      </c>
      <c r="AE507"/>
      <c r="AZ507" s="2"/>
      <c r="BA507" s="7">
        <v>25</v>
      </c>
      <c r="BB507" t="s">
        <v>928</v>
      </c>
      <c r="BC507" t="s">
        <v>923</v>
      </c>
      <c r="BD507" t="s">
        <v>941</v>
      </c>
      <c r="BE507" t="str">
        <f>IF(OR(Table1[[#This Row],[ENGINE_CLASS]]="STEAM",Table1[[#This Row],[ENGINE_CLASS]]="ELECTRIC",Table1[[#This Row],[ENGINE_CLASS]]="DIESEL"),Table1[[#This Row],[ENGINE_CLASS]],"DISABLE")</f>
        <v>ELECTRIC</v>
      </c>
      <c r="BF507">
        <v>0</v>
      </c>
      <c r="BG507" t="s">
        <v>735</v>
      </c>
      <c r="BH507">
        <v>42</v>
      </c>
      <c r="BI507">
        <v>8</v>
      </c>
      <c r="BJ507">
        <v>45</v>
      </c>
      <c r="BK507">
        <v>0</v>
      </c>
      <c r="BL507" t="s">
        <v>693</v>
      </c>
      <c r="BM507" t="s">
        <v>695</v>
      </c>
      <c r="BN507" t="s">
        <v>702</v>
      </c>
      <c r="BO507" t="s">
        <v>706</v>
      </c>
      <c r="BP507" t="s">
        <v>707</v>
      </c>
      <c r="BQ507" t="s">
        <v>708</v>
      </c>
    </row>
    <row r="508" spans="1:69" x14ac:dyDescent="0.4">
      <c r="A508" s="2" t="s">
        <v>536</v>
      </c>
      <c r="B508" t="str">
        <f>_xlfn.TEXTAFTER(Table1[[#This Row],[VEHIDCODE]],"_")</f>
        <v>Denmark_DSB_S_Tog_IV</v>
      </c>
      <c r="C508" t="s">
        <v>745</v>
      </c>
      <c r="D508" t="str">
        <f>"item_"&amp;Table1[[#This Row],[VEHIDCODE]]</f>
        <v>item_emu_Denmark_DSB_S_Tog_IV</v>
      </c>
      <c r="E508" t="str">
        <f>"str_"&amp;Table1[[#This Row],[VEHIDCODE]]</f>
        <v>str_emu_Denmark_DSB_S_Tog_IV</v>
      </c>
      <c r="F508">
        <v>5</v>
      </c>
      <c r="G508" t="s">
        <v>18</v>
      </c>
      <c r="H508">
        <v>1</v>
      </c>
      <c r="I508" t="s">
        <v>74</v>
      </c>
      <c r="J508">
        <v>42</v>
      </c>
      <c r="K508">
        <v>1996</v>
      </c>
      <c r="L508">
        <v>5</v>
      </c>
      <c r="M508" s="2" t="s">
        <v>24</v>
      </c>
      <c r="N508" t="b">
        <v>1</v>
      </c>
      <c r="O508" t="b">
        <v>1</v>
      </c>
      <c r="P508" s="2"/>
      <c r="Q508" t="s">
        <v>21</v>
      </c>
      <c r="R508">
        <v>1</v>
      </c>
      <c r="S508">
        <v>290</v>
      </c>
      <c r="T508" t="s">
        <v>710</v>
      </c>
      <c r="U508">
        <v>120</v>
      </c>
      <c r="V508" s="2">
        <v>0.47</v>
      </c>
      <c r="AA508" t="b">
        <v>1</v>
      </c>
      <c r="AE508"/>
      <c r="AZ508" s="2"/>
      <c r="BA508" s="7">
        <v>25</v>
      </c>
      <c r="BB508" t="s">
        <v>928</v>
      </c>
      <c r="BC508" t="s">
        <v>923</v>
      </c>
      <c r="BD508" t="s">
        <v>941</v>
      </c>
      <c r="BE508" t="str">
        <f>IF(OR(Table1[[#This Row],[ENGINE_CLASS]]="STEAM",Table1[[#This Row],[ENGINE_CLASS]]="ELECTRIC",Table1[[#This Row],[ENGINE_CLASS]]="DIESEL"),Table1[[#This Row],[ENGINE_CLASS]],"DISABLE")</f>
        <v>ELECTRIC</v>
      </c>
      <c r="BF508">
        <v>0</v>
      </c>
      <c r="BG508" t="s">
        <v>735</v>
      </c>
      <c r="BH508">
        <v>42</v>
      </c>
      <c r="BI508">
        <v>5</v>
      </c>
      <c r="BJ508">
        <v>16</v>
      </c>
      <c r="BK508">
        <v>0</v>
      </c>
      <c r="BL508" t="s">
        <v>693</v>
      </c>
      <c r="BM508" t="s">
        <v>695</v>
      </c>
      <c r="BN508" t="s">
        <v>702</v>
      </c>
      <c r="BO508" t="s">
        <v>706</v>
      </c>
      <c r="BP508" t="s">
        <v>707</v>
      </c>
      <c r="BQ508" t="s">
        <v>708</v>
      </c>
    </row>
    <row r="509" spans="1:69" x14ac:dyDescent="0.4">
      <c r="A509" s="2" t="s">
        <v>537</v>
      </c>
      <c r="B509" t="str">
        <f>_xlfn.TEXTAFTER(Table1[[#This Row],[VEHIDCODE]],"_")</f>
        <v>Italy_ATAC_ECD_21_30</v>
      </c>
      <c r="C509" t="s">
        <v>745</v>
      </c>
      <c r="D509" t="str">
        <f>"item_"&amp;Table1[[#This Row],[VEHIDCODE]]</f>
        <v>item_emu_Italy_ATAC_ECD_21_30</v>
      </c>
      <c r="E509" t="str">
        <f>"str_"&amp;Table1[[#This Row],[VEHIDCODE]]</f>
        <v>str_emu_Italy_ATAC_ECD_21_30</v>
      </c>
      <c r="F509">
        <v>8</v>
      </c>
      <c r="G509" t="s">
        <v>18</v>
      </c>
      <c r="H509">
        <v>1</v>
      </c>
      <c r="I509" t="s">
        <v>74</v>
      </c>
      <c r="J509">
        <v>34</v>
      </c>
      <c r="K509">
        <v>1932</v>
      </c>
      <c r="L509">
        <v>8</v>
      </c>
      <c r="M509" s="2" t="s">
        <v>24</v>
      </c>
      <c r="N509" t="b">
        <v>1</v>
      </c>
      <c r="O509" t="b">
        <v>1</v>
      </c>
      <c r="P509" s="2"/>
      <c r="Q509">
        <v>45</v>
      </c>
      <c r="R509">
        <v>1</v>
      </c>
      <c r="S509">
        <v>650</v>
      </c>
      <c r="T509" t="s">
        <v>710</v>
      </c>
      <c r="U509">
        <v>72</v>
      </c>
      <c r="V509" s="2">
        <v>0.34</v>
      </c>
      <c r="AA509" t="b">
        <v>1</v>
      </c>
      <c r="AE509"/>
      <c r="AZ509" s="2"/>
      <c r="BA509" s="7">
        <v>25</v>
      </c>
      <c r="BB509" t="s">
        <v>925</v>
      </c>
      <c r="BC509" t="s">
        <v>923</v>
      </c>
      <c r="BD509" t="s">
        <v>941</v>
      </c>
      <c r="BE509" t="str">
        <f>IF(OR(Table1[[#This Row],[ENGINE_CLASS]]="STEAM",Table1[[#This Row],[ENGINE_CLASS]]="ELECTRIC",Table1[[#This Row],[ENGINE_CLASS]]="DIESEL"),Table1[[#This Row],[ENGINE_CLASS]],"DISABLE")</f>
        <v>ELECTRIC</v>
      </c>
      <c r="BF509">
        <v>0</v>
      </c>
      <c r="BG509" t="s">
        <v>735</v>
      </c>
      <c r="BH509">
        <v>34</v>
      </c>
      <c r="BI509">
        <v>8</v>
      </c>
      <c r="BJ509">
        <v>31</v>
      </c>
      <c r="BK509">
        <v>0</v>
      </c>
      <c r="BL509" t="s">
        <v>693</v>
      </c>
      <c r="BM509" t="s">
        <v>695</v>
      </c>
      <c r="BN509" t="s">
        <v>702</v>
      </c>
      <c r="BO509" t="s">
        <v>706</v>
      </c>
      <c r="BP509" t="s">
        <v>707</v>
      </c>
      <c r="BQ509" t="s">
        <v>708</v>
      </c>
    </row>
    <row r="510" spans="1:69" x14ac:dyDescent="0.4">
      <c r="A510" s="2" t="s">
        <v>538</v>
      </c>
      <c r="B510" t="str">
        <f>_xlfn.TEXTAFTER(Table1[[#This Row],[VEHIDCODE]],"_")</f>
        <v>Netherlands_NS_Mat24</v>
      </c>
      <c r="C510" t="s">
        <v>745</v>
      </c>
      <c r="D510" t="str">
        <f>"item_"&amp;Table1[[#This Row],[VEHIDCODE]]</f>
        <v>item_emu_Netherlands_NS_Mat24</v>
      </c>
      <c r="E510" t="str">
        <f>"str_"&amp;Table1[[#This Row],[VEHIDCODE]]</f>
        <v>str_emu_Netherlands_NS_Mat24</v>
      </c>
      <c r="F510">
        <v>8</v>
      </c>
      <c r="G510" t="s">
        <v>18</v>
      </c>
      <c r="H510">
        <v>1</v>
      </c>
      <c r="I510" t="s">
        <v>74</v>
      </c>
      <c r="J510">
        <v>30</v>
      </c>
      <c r="K510">
        <v>1924</v>
      </c>
      <c r="L510">
        <v>8</v>
      </c>
      <c r="M510" s="2" t="s">
        <v>24</v>
      </c>
      <c r="N510" t="b">
        <v>1</v>
      </c>
      <c r="O510" t="b">
        <v>1</v>
      </c>
      <c r="P510" s="2"/>
      <c r="Q510">
        <v>45</v>
      </c>
      <c r="R510">
        <v>1</v>
      </c>
      <c r="S510">
        <v>709</v>
      </c>
      <c r="T510" t="s">
        <v>710</v>
      </c>
      <c r="U510">
        <v>100</v>
      </c>
      <c r="V510" s="2">
        <v>0.41</v>
      </c>
      <c r="AA510" t="b">
        <v>1</v>
      </c>
      <c r="AE510"/>
      <c r="AZ510" s="2"/>
      <c r="BA510" s="7">
        <v>25</v>
      </c>
      <c r="BB510" t="s">
        <v>924</v>
      </c>
      <c r="BC510" t="s">
        <v>923</v>
      </c>
      <c r="BD510" t="s">
        <v>941</v>
      </c>
      <c r="BE510" t="str">
        <f>IF(OR(Table1[[#This Row],[ENGINE_CLASS]]="STEAM",Table1[[#This Row],[ENGINE_CLASS]]="ELECTRIC",Table1[[#This Row],[ENGINE_CLASS]]="DIESEL"),Table1[[#This Row],[ENGINE_CLASS]],"DISABLE")</f>
        <v>ELECTRIC</v>
      </c>
      <c r="BF510">
        <v>0</v>
      </c>
      <c r="BG510" t="s">
        <v>735</v>
      </c>
      <c r="BH510">
        <v>30</v>
      </c>
      <c r="BI510">
        <v>8</v>
      </c>
      <c r="BJ510">
        <v>30</v>
      </c>
      <c r="BK510">
        <v>0</v>
      </c>
      <c r="BL510" t="s">
        <v>693</v>
      </c>
      <c r="BM510" t="s">
        <v>695</v>
      </c>
      <c r="BN510" t="s">
        <v>702</v>
      </c>
      <c r="BO510" t="s">
        <v>706</v>
      </c>
      <c r="BP510" t="s">
        <v>707</v>
      </c>
      <c r="BQ510" t="s">
        <v>708</v>
      </c>
    </row>
    <row r="511" spans="1:69" x14ac:dyDescent="0.4">
      <c r="A511" s="2" t="s">
        <v>539</v>
      </c>
      <c r="B511" t="str">
        <f>_xlfn.TEXTAFTER(Table1[[#This Row],[VEHIDCODE]],"_")</f>
        <v>Netherlands_NS_Mat36</v>
      </c>
      <c r="C511" t="s">
        <v>745</v>
      </c>
      <c r="D511" t="str">
        <f>"item_"&amp;Table1[[#This Row],[VEHIDCODE]]</f>
        <v>item_emu_Netherlands_NS_Mat36</v>
      </c>
      <c r="E511" t="str">
        <f>"str_"&amp;Table1[[#This Row],[VEHIDCODE]]</f>
        <v>str_emu_Netherlands_NS_Mat36</v>
      </c>
      <c r="F511">
        <v>8</v>
      </c>
      <c r="G511" t="s">
        <v>18</v>
      </c>
      <c r="H511">
        <v>1</v>
      </c>
      <c r="I511" t="s">
        <v>74</v>
      </c>
      <c r="J511">
        <v>52</v>
      </c>
      <c r="K511">
        <v>1936</v>
      </c>
      <c r="L511">
        <v>8</v>
      </c>
      <c r="M511" s="2" t="s">
        <v>24</v>
      </c>
      <c r="N511" t="b">
        <v>1</v>
      </c>
      <c r="O511" t="b">
        <v>1</v>
      </c>
      <c r="P511" s="2"/>
      <c r="Q511">
        <v>45</v>
      </c>
      <c r="R511">
        <v>1</v>
      </c>
      <c r="S511">
        <v>533</v>
      </c>
      <c r="T511" t="s">
        <v>710</v>
      </c>
      <c r="U511">
        <v>125</v>
      </c>
      <c r="V511" s="2">
        <v>0.38</v>
      </c>
      <c r="AA511" t="b">
        <v>1</v>
      </c>
      <c r="AE511"/>
      <c r="AZ511" s="2"/>
      <c r="BA511" s="7">
        <v>25</v>
      </c>
      <c r="BB511" t="s">
        <v>924</v>
      </c>
      <c r="BC511" t="s">
        <v>923</v>
      </c>
      <c r="BD511" t="s">
        <v>941</v>
      </c>
      <c r="BE511" t="str">
        <f>IF(OR(Table1[[#This Row],[ENGINE_CLASS]]="STEAM",Table1[[#This Row],[ENGINE_CLASS]]="ELECTRIC",Table1[[#This Row],[ENGINE_CLASS]]="DIESEL"),Table1[[#This Row],[ENGINE_CLASS]],"DISABLE")</f>
        <v>ELECTRIC</v>
      </c>
      <c r="BF511">
        <v>0</v>
      </c>
      <c r="BG511" t="s">
        <v>735</v>
      </c>
      <c r="BH511">
        <v>52</v>
      </c>
      <c r="BI511">
        <v>8</v>
      </c>
      <c r="BJ511">
        <v>45</v>
      </c>
      <c r="BK511">
        <v>0</v>
      </c>
      <c r="BL511" t="s">
        <v>693</v>
      </c>
      <c r="BM511" t="s">
        <v>695</v>
      </c>
      <c r="BN511" t="s">
        <v>702</v>
      </c>
      <c r="BO511" t="s">
        <v>706</v>
      </c>
      <c r="BP511" t="s">
        <v>707</v>
      </c>
      <c r="BQ511" t="s">
        <v>708</v>
      </c>
    </row>
    <row r="512" spans="1:69" x14ac:dyDescent="0.4">
      <c r="A512" s="2" t="s">
        <v>540</v>
      </c>
      <c r="B512" t="str">
        <f>_xlfn.TEXTAFTER(Table1[[#This Row],[VEHIDCODE]],"_")</f>
        <v>Netherlands_NS_Mat54</v>
      </c>
      <c r="C512" t="s">
        <v>745</v>
      </c>
      <c r="D512" t="str">
        <f>"item_"&amp;Table1[[#This Row],[VEHIDCODE]]</f>
        <v>item_emu_Netherlands_NS_Mat54</v>
      </c>
      <c r="E512" t="str">
        <f>"str_"&amp;Table1[[#This Row],[VEHIDCODE]]</f>
        <v>str_emu_Netherlands_NS_Mat54</v>
      </c>
      <c r="F512">
        <v>8</v>
      </c>
      <c r="G512" t="s">
        <v>18</v>
      </c>
      <c r="H512">
        <v>1</v>
      </c>
      <c r="I512" t="s">
        <v>74</v>
      </c>
      <c r="J512">
        <v>60</v>
      </c>
      <c r="K512">
        <v>1954</v>
      </c>
      <c r="L512">
        <v>8</v>
      </c>
      <c r="M512" s="2" t="s">
        <v>24</v>
      </c>
      <c r="N512" t="b">
        <v>1</v>
      </c>
      <c r="O512" t="b">
        <v>1</v>
      </c>
      <c r="P512" s="2"/>
      <c r="Q512">
        <v>45</v>
      </c>
      <c r="R512">
        <v>1</v>
      </c>
      <c r="S512">
        <v>910</v>
      </c>
      <c r="T512" t="s">
        <v>710</v>
      </c>
      <c r="U512">
        <v>140</v>
      </c>
      <c r="V512" s="2">
        <v>0.28000000000000003</v>
      </c>
      <c r="AA512" t="b">
        <v>1</v>
      </c>
      <c r="AE512"/>
      <c r="AZ512" s="2"/>
      <c r="BA512" s="7">
        <v>25</v>
      </c>
      <c r="BB512" t="s">
        <v>924</v>
      </c>
      <c r="BC512" t="s">
        <v>923</v>
      </c>
      <c r="BD512" t="s">
        <v>941</v>
      </c>
      <c r="BE512" t="str">
        <f>IF(OR(Table1[[#This Row],[ENGINE_CLASS]]="STEAM",Table1[[#This Row],[ENGINE_CLASS]]="ELECTRIC",Table1[[#This Row],[ENGINE_CLASS]]="DIESEL"),Table1[[#This Row],[ENGINE_CLASS]],"DISABLE")</f>
        <v>ELECTRIC</v>
      </c>
      <c r="BF512">
        <v>0</v>
      </c>
      <c r="BG512" t="s">
        <v>735</v>
      </c>
      <c r="BH512">
        <v>60</v>
      </c>
      <c r="BI512">
        <v>8</v>
      </c>
      <c r="BJ512">
        <v>55</v>
      </c>
      <c r="BK512">
        <v>0</v>
      </c>
      <c r="BL512" t="s">
        <v>693</v>
      </c>
      <c r="BM512" t="s">
        <v>695</v>
      </c>
      <c r="BN512" t="s">
        <v>702</v>
      </c>
      <c r="BO512" t="s">
        <v>706</v>
      </c>
      <c r="BP512" t="s">
        <v>707</v>
      </c>
      <c r="BQ512" t="s">
        <v>708</v>
      </c>
    </row>
    <row r="513" spans="1:69" x14ac:dyDescent="0.4">
      <c r="A513" s="2" t="s">
        <v>541</v>
      </c>
      <c r="B513" t="str">
        <f>_xlfn.TEXTAFTER(Table1[[#This Row],[VEHIDCODE]],"_")</f>
        <v>Netherlands_NS_Plan_Y</v>
      </c>
      <c r="C513" t="s">
        <v>745</v>
      </c>
      <c r="D513" t="str">
        <f>"item_"&amp;Table1[[#This Row],[VEHIDCODE]]</f>
        <v>item_emu_Netherlands_NS_Plan_Y</v>
      </c>
      <c r="E513" t="str">
        <f>"str_"&amp;Table1[[#This Row],[VEHIDCODE]]</f>
        <v>str_emu_Netherlands_NS_Plan_Y</v>
      </c>
      <c r="F513">
        <v>8</v>
      </c>
      <c r="G513" t="s">
        <v>18</v>
      </c>
      <c r="H513">
        <v>1</v>
      </c>
      <c r="I513" t="s">
        <v>74</v>
      </c>
      <c r="J513">
        <v>66</v>
      </c>
      <c r="K513">
        <v>1975</v>
      </c>
      <c r="L513">
        <v>8</v>
      </c>
      <c r="M513" s="2" t="s">
        <v>24</v>
      </c>
      <c r="N513" t="b">
        <v>1</v>
      </c>
      <c r="O513" t="b">
        <v>1</v>
      </c>
      <c r="P513" s="2"/>
      <c r="Q513">
        <v>45</v>
      </c>
      <c r="R513">
        <v>1</v>
      </c>
      <c r="S513">
        <v>572</v>
      </c>
      <c r="T513" t="s">
        <v>710</v>
      </c>
      <c r="U513">
        <v>125</v>
      </c>
      <c r="V513" s="2">
        <v>0.19</v>
      </c>
      <c r="AA513" t="b">
        <v>1</v>
      </c>
      <c r="AE513"/>
      <c r="AZ513" s="2"/>
      <c r="BA513" s="7">
        <v>25</v>
      </c>
      <c r="BB513" t="s">
        <v>924</v>
      </c>
      <c r="BC513" t="s">
        <v>923</v>
      </c>
      <c r="BD513" t="s">
        <v>941</v>
      </c>
      <c r="BE513" t="str">
        <f>IF(OR(Table1[[#This Row],[ENGINE_CLASS]]="STEAM",Table1[[#This Row],[ENGINE_CLASS]]="ELECTRIC",Table1[[#This Row],[ENGINE_CLASS]]="DIESEL"),Table1[[#This Row],[ENGINE_CLASS]],"DISABLE")</f>
        <v>ELECTRIC</v>
      </c>
      <c r="BF513">
        <v>0</v>
      </c>
      <c r="BG513" t="s">
        <v>735</v>
      </c>
      <c r="BH513">
        <v>66</v>
      </c>
      <c r="BI513">
        <v>8</v>
      </c>
      <c r="BJ513">
        <v>53</v>
      </c>
      <c r="BK513">
        <v>0</v>
      </c>
      <c r="BL513" t="s">
        <v>693</v>
      </c>
      <c r="BM513" t="s">
        <v>695</v>
      </c>
      <c r="BN513" t="s">
        <v>702</v>
      </c>
      <c r="BO513" t="s">
        <v>706</v>
      </c>
      <c r="BP513" t="s">
        <v>707</v>
      </c>
      <c r="BQ513" t="s">
        <v>708</v>
      </c>
    </row>
    <row r="514" spans="1:69" x14ac:dyDescent="0.4">
      <c r="A514" s="2" t="s">
        <v>542</v>
      </c>
      <c r="B514" t="str">
        <f>_xlfn.TEXTAFTER(Table1[[#This Row],[VEHIDCODE]],"_")</f>
        <v>Netherlands_NS_ICM_4000</v>
      </c>
      <c r="C514" t="s">
        <v>745</v>
      </c>
      <c r="D514" t="str">
        <f>"item_"&amp;Table1[[#This Row],[VEHIDCODE]]</f>
        <v>item_emu_Netherlands_NS_ICM_4000</v>
      </c>
      <c r="E514" t="str">
        <f>"str_"&amp;Table1[[#This Row],[VEHIDCODE]]</f>
        <v>str_emu_Netherlands_NS_ICM_4000</v>
      </c>
      <c r="F514">
        <v>8</v>
      </c>
      <c r="G514" t="s">
        <v>18</v>
      </c>
      <c r="H514">
        <v>1</v>
      </c>
      <c r="I514" t="s">
        <v>74</v>
      </c>
      <c r="J514">
        <v>61</v>
      </c>
      <c r="K514">
        <v>1979</v>
      </c>
      <c r="L514">
        <v>8</v>
      </c>
      <c r="M514" s="2" t="s">
        <v>24</v>
      </c>
      <c r="N514" t="b">
        <v>1</v>
      </c>
      <c r="O514" t="b">
        <v>1</v>
      </c>
      <c r="P514" s="2"/>
      <c r="Q514">
        <v>45</v>
      </c>
      <c r="R514">
        <v>1</v>
      </c>
      <c r="S514">
        <v>600</v>
      </c>
      <c r="T514" t="s">
        <v>710</v>
      </c>
      <c r="U514">
        <v>160</v>
      </c>
      <c r="V514" s="2">
        <v>0.48</v>
      </c>
      <c r="AA514" t="b">
        <v>1</v>
      </c>
      <c r="AE514"/>
      <c r="AZ514" s="2"/>
      <c r="BA514" s="7">
        <v>25</v>
      </c>
      <c r="BB514" t="s">
        <v>924</v>
      </c>
      <c r="BC514" t="s">
        <v>923</v>
      </c>
      <c r="BD514" t="s">
        <v>941</v>
      </c>
      <c r="BE514" t="str">
        <f>IF(OR(Table1[[#This Row],[ENGINE_CLASS]]="STEAM",Table1[[#This Row],[ENGINE_CLASS]]="ELECTRIC",Table1[[#This Row],[ENGINE_CLASS]]="DIESEL"),Table1[[#This Row],[ENGINE_CLASS]],"DISABLE")</f>
        <v>ELECTRIC</v>
      </c>
      <c r="BF514">
        <v>0</v>
      </c>
      <c r="BG514" t="s">
        <v>735</v>
      </c>
      <c r="BH514">
        <v>61</v>
      </c>
      <c r="BI514">
        <v>8</v>
      </c>
      <c r="BJ514">
        <v>49</v>
      </c>
      <c r="BK514">
        <v>0</v>
      </c>
      <c r="BL514" t="s">
        <v>693</v>
      </c>
      <c r="BM514" t="s">
        <v>695</v>
      </c>
      <c r="BN514" t="s">
        <v>702</v>
      </c>
      <c r="BO514" t="s">
        <v>706</v>
      </c>
      <c r="BP514" t="s">
        <v>707</v>
      </c>
      <c r="BQ514" t="s">
        <v>708</v>
      </c>
    </row>
    <row r="515" spans="1:69" x14ac:dyDescent="0.4">
      <c r="A515" s="2" t="s">
        <v>543</v>
      </c>
      <c r="B515" t="str">
        <f>_xlfn.TEXTAFTER(Table1[[#This Row],[VEHIDCODE]],"_")</f>
        <v>Netherlands_NS_DD_IRM_VIRM</v>
      </c>
      <c r="C515" t="s">
        <v>745</v>
      </c>
      <c r="D515" t="str">
        <f>"item_"&amp;Table1[[#This Row],[VEHIDCODE]]</f>
        <v>item_emu_Netherlands_NS_DD_IRM_VIRM</v>
      </c>
      <c r="E515" t="str">
        <f>"str_"&amp;Table1[[#This Row],[VEHIDCODE]]</f>
        <v>str_emu_Netherlands_NS_DD_IRM_VIRM</v>
      </c>
      <c r="F515">
        <v>8</v>
      </c>
      <c r="G515" t="s">
        <v>18</v>
      </c>
      <c r="H515">
        <v>1</v>
      </c>
      <c r="I515" t="s">
        <v>74</v>
      </c>
      <c r="J515">
        <v>91</v>
      </c>
      <c r="K515">
        <v>1994</v>
      </c>
      <c r="L515">
        <v>8</v>
      </c>
      <c r="M515" s="2" t="s">
        <v>24</v>
      </c>
      <c r="N515" t="b">
        <v>1</v>
      </c>
      <c r="O515" t="b">
        <v>1</v>
      </c>
      <c r="P515" s="2"/>
      <c r="Q515" t="s">
        <v>21</v>
      </c>
      <c r="R515">
        <v>1</v>
      </c>
      <c r="S515">
        <v>718</v>
      </c>
      <c r="T515" t="s">
        <v>710</v>
      </c>
      <c r="U515">
        <v>160</v>
      </c>
      <c r="V515" s="2">
        <v>0.26</v>
      </c>
      <c r="AA515" t="b">
        <v>1</v>
      </c>
      <c r="AE515"/>
      <c r="AZ515" s="2"/>
      <c r="BA515" s="7">
        <v>25</v>
      </c>
      <c r="BB515" t="s">
        <v>924</v>
      </c>
      <c r="BC515" t="s">
        <v>923</v>
      </c>
      <c r="BD515" t="s">
        <v>941</v>
      </c>
      <c r="BE515" t="str">
        <f>IF(OR(Table1[[#This Row],[ENGINE_CLASS]]="STEAM",Table1[[#This Row],[ENGINE_CLASS]]="ELECTRIC",Table1[[#This Row],[ENGINE_CLASS]]="DIESEL"),Table1[[#This Row],[ENGINE_CLASS]],"DISABLE")</f>
        <v>ELECTRIC</v>
      </c>
      <c r="BF515">
        <v>0</v>
      </c>
      <c r="BG515" t="s">
        <v>735</v>
      </c>
      <c r="BH515">
        <v>91</v>
      </c>
      <c r="BI515">
        <v>8</v>
      </c>
      <c r="BJ515">
        <v>59</v>
      </c>
      <c r="BK515">
        <v>0</v>
      </c>
      <c r="BL515" t="s">
        <v>693</v>
      </c>
      <c r="BM515" t="s">
        <v>695</v>
      </c>
      <c r="BN515" t="s">
        <v>702</v>
      </c>
      <c r="BO515" t="s">
        <v>706</v>
      </c>
      <c r="BP515" t="s">
        <v>707</v>
      </c>
      <c r="BQ515" t="s">
        <v>708</v>
      </c>
    </row>
    <row r="516" spans="1:69" x14ac:dyDescent="0.4">
      <c r="A516" s="2" t="s">
        <v>544</v>
      </c>
      <c r="B516" t="str">
        <f>_xlfn.TEXTAFTER(Table1[[#This Row],[VEHIDCODE]],"_")</f>
        <v>Netherlands_NS_mDDm_390</v>
      </c>
      <c r="C516" t="s">
        <v>745</v>
      </c>
      <c r="D516" t="str">
        <f>"item_"&amp;Table1[[#This Row],[VEHIDCODE]]</f>
        <v>item_emu_Netherlands_NS_mDDm_390</v>
      </c>
      <c r="E516" t="str">
        <f>"str_"&amp;Table1[[#This Row],[VEHIDCODE]]</f>
        <v>str_emu_Netherlands_NS_mDDm_390</v>
      </c>
      <c r="F516">
        <v>8</v>
      </c>
      <c r="G516" t="s">
        <v>18</v>
      </c>
      <c r="H516">
        <v>1</v>
      </c>
      <c r="I516" t="s">
        <v>74</v>
      </c>
      <c r="J516">
        <v>48</v>
      </c>
      <c r="K516">
        <v>1997</v>
      </c>
      <c r="L516">
        <v>8</v>
      </c>
      <c r="M516" s="2" t="s">
        <v>24</v>
      </c>
      <c r="N516" t="b">
        <v>1</v>
      </c>
      <c r="O516" t="b">
        <v>1</v>
      </c>
      <c r="P516" s="2"/>
      <c r="Q516" t="s">
        <v>21</v>
      </c>
      <c r="R516">
        <v>1</v>
      </c>
      <c r="S516">
        <v>3219</v>
      </c>
      <c r="T516" t="s">
        <v>710</v>
      </c>
      <c r="U516">
        <v>160</v>
      </c>
      <c r="V516" s="2">
        <v>0.31</v>
      </c>
      <c r="AA516" t="b">
        <v>1</v>
      </c>
      <c r="AE516"/>
      <c r="AZ516" s="2"/>
      <c r="BA516" s="7">
        <v>25</v>
      </c>
      <c r="BB516" t="s">
        <v>924</v>
      </c>
      <c r="BC516" t="s">
        <v>923</v>
      </c>
      <c r="BD516" t="s">
        <v>941</v>
      </c>
      <c r="BE516" t="str">
        <f>IF(OR(Table1[[#This Row],[ENGINE_CLASS]]="STEAM",Table1[[#This Row],[ENGINE_CLASS]]="ELECTRIC",Table1[[#This Row],[ENGINE_CLASS]]="DIESEL"),Table1[[#This Row],[ENGINE_CLASS]],"DISABLE")</f>
        <v>ELECTRIC</v>
      </c>
      <c r="BF516">
        <v>0</v>
      </c>
      <c r="BG516" t="s">
        <v>735</v>
      </c>
      <c r="BH516">
        <v>95</v>
      </c>
      <c r="BI516">
        <v>8</v>
      </c>
      <c r="BJ516">
        <v>76</v>
      </c>
      <c r="BK516">
        <v>0</v>
      </c>
      <c r="BL516" t="s">
        <v>693</v>
      </c>
      <c r="BM516" t="s">
        <v>695</v>
      </c>
      <c r="BN516" t="s">
        <v>702</v>
      </c>
      <c r="BO516" t="s">
        <v>706</v>
      </c>
      <c r="BP516" t="s">
        <v>707</v>
      </c>
      <c r="BQ516" t="s">
        <v>708</v>
      </c>
    </row>
    <row r="517" spans="1:69" x14ac:dyDescent="0.4">
      <c r="A517" s="2" t="s">
        <v>545</v>
      </c>
      <c r="B517" t="str">
        <f>_xlfn.TEXTAFTER(Table1[[#This Row],[VEHIDCODE]],"_")</f>
        <v>Poland_PKP_EW90</v>
      </c>
      <c r="C517" t="s">
        <v>745</v>
      </c>
      <c r="D517" t="str">
        <f>"item_"&amp;Table1[[#This Row],[VEHIDCODE]]</f>
        <v>item_emu_Poland_PKP_EW90</v>
      </c>
      <c r="E517" t="str">
        <f>"str_"&amp;Table1[[#This Row],[VEHIDCODE]]</f>
        <v>str_emu_Poland_PKP_EW90</v>
      </c>
      <c r="F517">
        <v>8</v>
      </c>
      <c r="G517" t="s">
        <v>18</v>
      </c>
      <c r="H517">
        <v>1</v>
      </c>
      <c r="I517" t="s">
        <v>74</v>
      </c>
      <c r="J517">
        <v>65</v>
      </c>
      <c r="K517">
        <v>1924</v>
      </c>
      <c r="L517">
        <v>8</v>
      </c>
      <c r="M517" s="2" t="s">
        <v>24</v>
      </c>
      <c r="N517" t="b">
        <v>1</v>
      </c>
      <c r="O517" t="b">
        <v>1</v>
      </c>
      <c r="P517" s="2"/>
      <c r="Q517">
        <v>45</v>
      </c>
      <c r="R517">
        <v>1</v>
      </c>
      <c r="S517">
        <v>413</v>
      </c>
      <c r="T517" t="s">
        <v>710</v>
      </c>
      <c r="U517">
        <v>80</v>
      </c>
      <c r="V517" s="2">
        <v>0.11</v>
      </c>
      <c r="AA517" t="b">
        <v>1</v>
      </c>
      <c r="AE517"/>
      <c r="AZ517" s="2"/>
      <c r="BA517" s="7">
        <v>25</v>
      </c>
      <c r="BB517" t="s">
        <v>930</v>
      </c>
      <c r="BC517" t="s">
        <v>923</v>
      </c>
      <c r="BD517" t="s">
        <v>941</v>
      </c>
      <c r="BE517" t="str">
        <f>IF(OR(Table1[[#This Row],[ENGINE_CLASS]]="STEAM",Table1[[#This Row],[ENGINE_CLASS]]="ELECTRIC",Table1[[#This Row],[ENGINE_CLASS]]="DIESEL"),Table1[[#This Row],[ENGINE_CLASS]],"DISABLE")</f>
        <v>ELECTRIC</v>
      </c>
      <c r="BF517">
        <v>0</v>
      </c>
      <c r="BG517" t="s">
        <v>735</v>
      </c>
      <c r="BH517">
        <v>65</v>
      </c>
      <c r="BI517">
        <v>8</v>
      </c>
      <c r="BJ517">
        <v>38</v>
      </c>
      <c r="BK517">
        <v>0</v>
      </c>
      <c r="BL517" t="s">
        <v>693</v>
      </c>
      <c r="BM517" t="s">
        <v>695</v>
      </c>
      <c r="BN517" t="s">
        <v>702</v>
      </c>
      <c r="BO517" t="s">
        <v>706</v>
      </c>
      <c r="BP517" t="s">
        <v>707</v>
      </c>
      <c r="BQ517" t="s">
        <v>708</v>
      </c>
    </row>
    <row r="518" spans="1:69" x14ac:dyDescent="0.4">
      <c r="A518" s="2" t="s">
        <v>546</v>
      </c>
      <c r="B518" t="str">
        <f>_xlfn.TEXTAFTER(Table1[[#This Row],[VEHIDCODE]],"_")</f>
        <v>Italy_FS_ETR200</v>
      </c>
      <c r="C518" t="s">
        <v>745</v>
      </c>
      <c r="D518" t="str">
        <f>"item_"&amp;Table1[[#This Row],[VEHIDCODE]]</f>
        <v>item_emu_Italy_FS_ETR200</v>
      </c>
      <c r="E518" t="str">
        <f>"str_"&amp;Table1[[#This Row],[VEHIDCODE]]</f>
        <v>str_emu_Italy_FS_ETR200</v>
      </c>
      <c r="F518">
        <v>8</v>
      </c>
      <c r="G518" t="s">
        <v>18</v>
      </c>
      <c r="H518">
        <v>1</v>
      </c>
      <c r="I518" t="s">
        <v>74</v>
      </c>
      <c r="J518">
        <v>35</v>
      </c>
      <c r="K518">
        <v>1937</v>
      </c>
      <c r="L518">
        <v>8</v>
      </c>
      <c r="M518" s="2" t="s">
        <v>480</v>
      </c>
      <c r="N518" t="b">
        <v>1</v>
      </c>
      <c r="O518" t="b">
        <v>1</v>
      </c>
      <c r="P518" s="2"/>
      <c r="Q518">
        <v>45</v>
      </c>
      <c r="R518">
        <v>1</v>
      </c>
      <c r="S518">
        <v>482</v>
      </c>
      <c r="T518" t="s">
        <v>710</v>
      </c>
      <c r="U518">
        <v>160</v>
      </c>
      <c r="V518" s="2">
        <v>0.18</v>
      </c>
      <c r="AE518"/>
      <c r="AZ518" s="2"/>
      <c r="BA518" s="7">
        <v>25</v>
      </c>
      <c r="BB518" t="s">
        <v>925</v>
      </c>
      <c r="BC518" t="s">
        <v>923</v>
      </c>
      <c r="BD518" t="s">
        <v>941</v>
      </c>
      <c r="BE518" t="str">
        <f>IF(OR(Table1[[#This Row],[ENGINE_CLASS]]="STEAM",Table1[[#This Row],[ENGINE_CLASS]]="ELECTRIC",Table1[[#This Row],[ENGINE_CLASS]]="DIESEL"),Table1[[#This Row],[ENGINE_CLASS]],"DISABLE")</f>
        <v>ELECTRIC</v>
      </c>
      <c r="BF518">
        <v>0</v>
      </c>
      <c r="BG518" t="s">
        <v>735</v>
      </c>
      <c r="BH518">
        <v>35</v>
      </c>
      <c r="BI518">
        <v>8</v>
      </c>
      <c r="BJ518">
        <v>41</v>
      </c>
      <c r="BK518">
        <v>0</v>
      </c>
      <c r="BL518" t="s">
        <v>693</v>
      </c>
      <c r="BM518" t="s">
        <v>695</v>
      </c>
      <c r="BN518" t="s">
        <v>702</v>
      </c>
      <c r="BO518" t="s">
        <v>706</v>
      </c>
      <c r="BP518" t="s">
        <v>707</v>
      </c>
      <c r="BQ518" t="s">
        <v>708</v>
      </c>
    </row>
    <row r="519" spans="1:69" x14ac:dyDescent="0.4">
      <c r="A519" s="2" t="s">
        <v>547</v>
      </c>
      <c r="B519" t="str">
        <f>_xlfn.TEXTAFTER(Table1[[#This Row],[VEHIDCODE]],"_")</f>
        <v>Italy_FS_ETR300_Settebello</v>
      </c>
      <c r="C519" t="s">
        <v>745</v>
      </c>
      <c r="D519" t="str">
        <f>"item_"&amp;Table1[[#This Row],[VEHIDCODE]]</f>
        <v>item_emu_Italy_FS_ETR300_Settebello</v>
      </c>
      <c r="E519" t="str">
        <f>"str_"&amp;Table1[[#This Row],[VEHIDCODE]]</f>
        <v>str_emu_Italy_FS_ETR300_Settebello</v>
      </c>
      <c r="F519">
        <v>8</v>
      </c>
      <c r="G519" t="s">
        <v>18</v>
      </c>
      <c r="H519">
        <v>1</v>
      </c>
      <c r="I519" t="s">
        <v>74</v>
      </c>
      <c r="J519">
        <v>28</v>
      </c>
      <c r="K519">
        <v>1952</v>
      </c>
      <c r="L519">
        <v>8</v>
      </c>
      <c r="M519" s="2" t="s">
        <v>480</v>
      </c>
      <c r="N519" t="b">
        <v>1</v>
      </c>
      <c r="O519" t="b">
        <v>1</v>
      </c>
      <c r="P519" s="2"/>
      <c r="Q519">
        <v>45</v>
      </c>
      <c r="R519">
        <v>1</v>
      </c>
      <c r="S519">
        <v>500</v>
      </c>
      <c r="T519" t="s">
        <v>710</v>
      </c>
      <c r="U519">
        <v>200</v>
      </c>
      <c r="V519" s="2">
        <v>0.36</v>
      </c>
      <c r="AE519"/>
      <c r="AZ519" s="2"/>
      <c r="BA519" s="7">
        <v>25</v>
      </c>
      <c r="BB519" t="s">
        <v>925</v>
      </c>
      <c r="BC519" t="s">
        <v>923</v>
      </c>
      <c r="BD519" t="s">
        <v>941</v>
      </c>
      <c r="BE519" t="str">
        <f>IF(OR(Table1[[#This Row],[ENGINE_CLASS]]="STEAM",Table1[[#This Row],[ENGINE_CLASS]]="ELECTRIC",Table1[[#This Row],[ENGINE_CLASS]]="DIESEL"),Table1[[#This Row],[ENGINE_CLASS]],"DISABLE")</f>
        <v>ELECTRIC</v>
      </c>
      <c r="BF519">
        <v>0</v>
      </c>
      <c r="BG519" t="s">
        <v>735</v>
      </c>
      <c r="BH519">
        <v>28</v>
      </c>
      <c r="BI519">
        <v>8</v>
      </c>
      <c r="BJ519">
        <v>52</v>
      </c>
      <c r="BK519">
        <v>0</v>
      </c>
      <c r="BL519" t="s">
        <v>693</v>
      </c>
      <c r="BM519" t="s">
        <v>695</v>
      </c>
      <c r="BN519" t="s">
        <v>702</v>
      </c>
      <c r="BO519" t="s">
        <v>706</v>
      </c>
      <c r="BP519" t="s">
        <v>707</v>
      </c>
      <c r="BQ519" t="s">
        <v>708</v>
      </c>
    </row>
    <row r="520" spans="1:69" x14ac:dyDescent="0.4">
      <c r="A520" s="2" t="s">
        <v>548</v>
      </c>
      <c r="B520" t="str">
        <f>_xlfn.TEXTAFTER(Table1[[#This Row],[VEHIDCODE]],"_")</f>
        <v>Italy_FS_ETR500</v>
      </c>
      <c r="C520" t="s">
        <v>745</v>
      </c>
      <c r="D520" t="str">
        <f>"item_"&amp;Table1[[#This Row],[VEHIDCODE]]</f>
        <v>item_emu_Italy_FS_ETR500</v>
      </c>
      <c r="E520" t="str">
        <f>"str_"&amp;Table1[[#This Row],[VEHIDCODE]]</f>
        <v>str_emu_Italy_FS_ETR500</v>
      </c>
      <c r="F520">
        <v>8</v>
      </c>
      <c r="G520" t="s">
        <v>18</v>
      </c>
      <c r="H520">
        <v>1</v>
      </c>
      <c r="I520" t="s">
        <v>74</v>
      </c>
      <c r="J520">
        <v>0</v>
      </c>
      <c r="K520">
        <v>1993</v>
      </c>
      <c r="L520">
        <v>8</v>
      </c>
      <c r="M520" s="2" t="s">
        <v>480</v>
      </c>
      <c r="N520" t="b">
        <v>1</v>
      </c>
      <c r="O520" t="b">
        <v>1</v>
      </c>
      <c r="P520" s="2"/>
      <c r="Q520" t="s">
        <v>21</v>
      </c>
      <c r="R520">
        <v>1</v>
      </c>
      <c r="S520">
        <v>11800</v>
      </c>
      <c r="T520" t="s">
        <v>710</v>
      </c>
      <c r="U520">
        <v>250</v>
      </c>
      <c r="V520" s="2">
        <v>0.46</v>
      </c>
      <c r="AE520"/>
      <c r="AZ520" s="2"/>
      <c r="BA520" s="7">
        <v>25</v>
      </c>
      <c r="BB520" t="s">
        <v>925</v>
      </c>
      <c r="BC520" t="s">
        <v>923</v>
      </c>
      <c r="BD520" t="s">
        <v>941</v>
      </c>
      <c r="BE520" t="str">
        <f>IF(OR(Table1[[#This Row],[ENGINE_CLASS]]="STEAM",Table1[[#This Row],[ENGINE_CLASS]]="ELECTRIC",Table1[[#This Row],[ENGINE_CLASS]]="DIESEL"),Table1[[#This Row],[ENGINE_CLASS]],"DISABLE")</f>
        <v>ELECTRIC</v>
      </c>
      <c r="BF520">
        <v>0</v>
      </c>
      <c r="BG520" t="s">
        <v>735</v>
      </c>
      <c r="BH520">
        <v>60</v>
      </c>
      <c r="BI520">
        <v>8</v>
      </c>
      <c r="BJ520">
        <v>54</v>
      </c>
      <c r="BK520">
        <v>0</v>
      </c>
      <c r="BL520" t="s">
        <v>693</v>
      </c>
      <c r="BM520" t="s">
        <v>695</v>
      </c>
      <c r="BN520" t="s">
        <v>702</v>
      </c>
      <c r="BO520" t="s">
        <v>706</v>
      </c>
      <c r="BP520" t="s">
        <v>707</v>
      </c>
      <c r="BQ520" t="s">
        <v>708</v>
      </c>
    </row>
    <row r="521" spans="1:69" x14ac:dyDescent="0.4">
      <c r="A521" s="2" t="s">
        <v>549</v>
      </c>
      <c r="B521" t="str">
        <f>_xlfn.TEXTAFTER(Table1[[#This Row],[VEHIDCODE]],"_")</f>
        <v>Italy_FS_ALe426</v>
      </c>
      <c r="C521" t="s">
        <v>745</v>
      </c>
      <c r="D521" t="str">
        <f>"item_"&amp;Table1[[#This Row],[VEHIDCODE]]</f>
        <v>item_emu_Italy_FS_ALe426</v>
      </c>
      <c r="E521" t="str">
        <f>"str_"&amp;Table1[[#This Row],[VEHIDCODE]]</f>
        <v>str_emu_Italy_FS_ALe426</v>
      </c>
      <c r="F521">
        <v>8</v>
      </c>
      <c r="G521" t="s">
        <v>18</v>
      </c>
      <c r="H521">
        <v>1</v>
      </c>
      <c r="I521" t="s">
        <v>74</v>
      </c>
      <c r="J521">
        <v>115</v>
      </c>
      <c r="K521">
        <v>1996</v>
      </c>
      <c r="L521">
        <v>8</v>
      </c>
      <c r="M521" s="2" t="s">
        <v>24</v>
      </c>
      <c r="N521" t="b">
        <v>1</v>
      </c>
      <c r="O521" t="b">
        <v>1</v>
      </c>
      <c r="P521" s="2"/>
      <c r="Q521">
        <v>45</v>
      </c>
      <c r="R521">
        <v>1</v>
      </c>
      <c r="S521">
        <v>1219</v>
      </c>
      <c r="T521" t="s">
        <v>710</v>
      </c>
      <c r="U521">
        <v>140</v>
      </c>
      <c r="V521" s="2">
        <v>0.31</v>
      </c>
      <c r="AE521"/>
      <c r="AZ521" s="2"/>
      <c r="BA521" s="7">
        <v>25</v>
      </c>
      <c r="BB521" t="s">
        <v>925</v>
      </c>
      <c r="BC521" t="s">
        <v>923</v>
      </c>
      <c r="BD521" t="s">
        <v>941</v>
      </c>
      <c r="BE521" t="str">
        <f>IF(OR(Table1[[#This Row],[ENGINE_CLASS]]="STEAM",Table1[[#This Row],[ENGINE_CLASS]]="ELECTRIC",Table1[[#This Row],[ENGINE_CLASS]]="DIESEL"),Table1[[#This Row],[ENGINE_CLASS]],"DISABLE")</f>
        <v>ELECTRIC</v>
      </c>
      <c r="BF521">
        <v>0</v>
      </c>
      <c r="BG521" t="s">
        <v>735</v>
      </c>
      <c r="BH521">
        <v>115</v>
      </c>
      <c r="BI521">
        <v>8</v>
      </c>
      <c r="BJ521">
        <v>68</v>
      </c>
      <c r="BK521">
        <v>0</v>
      </c>
      <c r="BL521" t="s">
        <v>693</v>
      </c>
      <c r="BM521" t="s">
        <v>695</v>
      </c>
      <c r="BN521" t="s">
        <v>702</v>
      </c>
      <c r="BO521" t="s">
        <v>706</v>
      </c>
      <c r="BP521" t="s">
        <v>707</v>
      </c>
      <c r="BQ521" t="s">
        <v>708</v>
      </c>
    </row>
    <row r="522" spans="1:69" x14ac:dyDescent="0.4">
      <c r="A522" s="2" t="s">
        <v>550</v>
      </c>
      <c r="B522" t="str">
        <f>_xlfn.TEXTAFTER(Table1[[#This Row],[VEHIDCODE]],"_")</f>
        <v>Morocco_ONCF_ZMC</v>
      </c>
      <c r="C522" t="s">
        <v>745</v>
      </c>
      <c r="D522" t="str">
        <f>"item_"&amp;Table1[[#This Row],[VEHIDCODE]]</f>
        <v>item_emu_Morocco_ONCF_ZMC</v>
      </c>
      <c r="E522" t="str">
        <f>"str_"&amp;Table1[[#This Row],[VEHIDCODE]]</f>
        <v>str_emu_Morocco_ONCF_ZMC</v>
      </c>
      <c r="F522">
        <v>8</v>
      </c>
      <c r="G522" t="s">
        <v>18</v>
      </c>
      <c r="H522">
        <v>1</v>
      </c>
      <c r="I522" t="s">
        <v>74</v>
      </c>
      <c r="J522">
        <v>90</v>
      </c>
      <c r="K522">
        <v>1984</v>
      </c>
      <c r="L522">
        <v>8</v>
      </c>
      <c r="M522" s="2" t="s">
        <v>24</v>
      </c>
      <c r="N522" t="b">
        <v>1</v>
      </c>
      <c r="O522" t="b">
        <v>1</v>
      </c>
      <c r="P522" s="2"/>
      <c r="Q522">
        <v>45</v>
      </c>
      <c r="R522">
        <v>1</v>
      </c>
      <c r="S522">
        <v>1900</v>
      </c>
      <c r="T522" t="s">
        <v>710</v>
      </c>
      <c r="U522">
        <v>160</v>
      </c>
      <c r="V522" s="2">
        <v>0.21</v>
      </c>
      <c r="AE522"/>
      <c r="AZ522" s="2"/>
      <c r="BA522" s="7">
        <v>40</v>
      </c>
      <c r="BB522" t="s">
        <v>927</v>
      </c>
      <c r="BC522" t="s">
        <v>923</v>
      </c>
      <c r="BD522" t="s">
        <v>941</v>
      </c>
      <c r="BE522" t="str">
        <f>IF(OR(Table1[[#This Row],[ENGINE_CLASS]]="STEAM",Table1[[#This Row],[ENGINE_CLASS]]="ELECTRIC",Table1[[#This Row],[ENGINE_CLASS]]="DIESEL"),Table1[[#This Row],[ENGINE_CLASS]],"DISABLE")</f>
        <v>ELECTRIC</v>
      </c>
      <c r="BF522">
        <v>0</v>
      </c>
      <c r="BG522" t="s">
        <v>735</v>
      </c>
      <c r="BH522">
        <v>90</v>
      </c>
      <c r="BI522">
        <v>8</v>
      </c>
      <c r="BJ522">
        <v>48</v>
      </c>
      <c r="BK522">
        <v>0</v>
      </c>
      <c r="BL522" t="s">
        <v>693</v>
      </c>
      <c r="BM522" t="s">
        <v>695</v>
      </c>
      <c r="BN522" t="s">
        <v>702</v>
      </c>
      <c r="BO522" t="s">
        <v>706</v>
      </c>
      <c r="BP522" t="s">
        <v>707</v>
      </c>
      <c r="BQ522" t="s">
        <v>708</v>
      </c>
    </row>
    <row r="523" spans="1:69" x14ac:dyDescent="0.4">
      <c r="A523" s="2" t="s">
        <v>551</v>
      </c>
      <c r="B523" t="str">
        <f>_xlfn.TEXTAFTER(Table1[[#This Row],[VEHIDCODE]],"_")</f>
        <v>Poland_PKP_EW54</v>
      </c>
      <c r="C523" t="s">
        <v>745</v>
      </c>
      <c r="D523" t="str">
        <f>"item_"&amp;Table1[[#This Row],[VEHIDCODE]]</f>
        <v>item_emu_Poland_PKP_EW54</v>
      </c>
      <c r="E523" t="str">
        <f>"str_"&amp;Table1[[#This Row],[VEHIDCODE]]</f>
        <v>str_emu_Poland_PKP_EW54</v>
      </c>
      <c r="F523">
        <v>8</v>
      </c>
      <c r="G523" t="s">
        <v>18</v>
      </c>
      <c r="H523">
        <v>1</v>
      </c>
      <c r="I523" t="s">
        <v>74</v>
      </c>
      <c r="J523">
        <v>80</v>
      </c>
      <c r="K523">
        <v>1950</v>
      </c>
      <c r="L523">
        <v>8</v>
      </c>
      <c r="M523" s="2" t="s">
        <v>24</v>
      </c>
      <c r="N523" t="b">
        <v>1</v>
      </c>
      <c r="O523" t="b">
        <v>1</v>
      </c>
      <c r="P523" s="2"/>
      <c r="Q523">
        <v>45</v>
      </c>
      <c r="R523">
        <v>1</v>
      </c>
      <c r="S523">
        <v>642</v>
      </c>
      <c r="T523" t="s">
        <v>710</v>
      </c>
      <c r="U523">
        <v>100</v>
      </c>
      <c r="V523" s="2">
        <v>0.25</v>
      </c>
      <c r="AE523"/>
      <c r="AZ523" s="2"/>
      <c r="BA523" s="7">
        <v>40</v>
      </c>
      <c r="BB523" t="s">
        <v>930</v>
      </c>
      <c r="BC523" t="s">
        <v>923</v>
      </c>
      <c r="BD523" t="s">
        <v>941</v>
      </c>
      <c r="BE523" t="str">
        <f>IF(OR(Table1[[#This Row],[ENGINE_CLASS]]="STEAM",Table1[[#This Row],[ENGINE_CLASS]]="ELECTRIC",Table1[[#This Row],[ENGINE_CLASS]]="DIESEL"),Table1[[#This Row],[ENGINE_CLASS]],"DISABLE")</f>
        <v>ELECTRIC</v>
      </c>
      <c r="BF523">
        <v>0</v>
      </c>
      <c r="BG523" t="s">
        <v>735</v>
      </c>
      <c r="BH523">
        <v>80</v>
      </c>
      <c r="BI523">
        <v>8</v>
      </c>
      <c r="BJ523">
        <v>40</v>
      </c>
      <c r="BK523">
        <v>0</v>
      </c>
      <c r="BL523" t="s">
        <v>693</v>
      </c>
      <c r="BM523" t="s">
        <v>695</v>
      </c>
      <c r="BN523" t="s">
        <v>702</v>
      </c>
      <c r="BO523" t="s">
        <v>706</v>
      </c>
      <c r="BP523" t="s">
        <v>707</v>
      </c>
      <c r="BQ523" t="s">
        <v>708</v>
      </c>
    </row>
    <row r="524" spans="1:69" x14ac:dyDescent="0.4">
      <c r="A524" s="2" t="s">
        <v>552</v>
      </c>
      <c r="B524" t="str">
        <f>_xlfn.TEXTAFTER(Table1[[#This Row],[VEHIDCODE]],"_")</f>
        <v>Italy_FS_ALe_801</v>
      </c>
      <c r="C524" t="s">
        <v>745</v>
      </c>
      <c r="D524" t="str">
        <f>"item_"&amp;Table1[[#This Row],[VEHIDCODE]]</f>
        <v>item_emu_Italy_FS_ALe_801</v>
      </c>
      <c r="E524" t="str">
        <f>"str_"&amp;Table1[[#This Row],[VEHIDCODE]]</f>
        <v>str_emu_Italy_FS_ALe_801</v>
      </c>
      <c r="F524">
        <v>7</v>
      </c>
      <c r="G524" t="s">
        <v>18</v>
      </c>
      <c r="H524">
        <v>1</v>
      </c>
      <c r="I524" t="s">
        <v>74</v>
      </c>
      <c r="J524">
        <v>108</v>
      </c>
      <c r="K524">
        <v>1975</v>
      </c>
      <c r="L524">
        <v>7</v>
      </c>
      <c r="M524" s="2" t="s">
        <v>24</v>
      </c>
      <c r="N524" t="b">
        <v>1</v>
      </c>
      <c r="O524" t="b">
        <v>1</v>
      </c>
      <c r="P524" s="2"/>
      <c r="Q524">
        <v>45</v>
      </c>
      <c r="R524">
        <v>1</v>
      </c>
      <c r="S524">
        <v>702</v>
      </c>
      <c r="T524" t="s">
        <v>710</v>
      </c>
      <c r="U524">
        <v>150</v>
      </c>
      <c r="V524" s="2">
        <v>0.15</v>
      </c>
      <c r="AE524"/>
      <c r="AZ524" s="2"/>
      <c r="BA524" s="7">
        <v>25</v>
      </c>
      <c r="BB524" t="s">
        <v>925</v>
      </c>
      <c r="BC524" t="s">
        <v>923</v>
      </c>
      <c r="BD524" t="s">
        <v>941</v>
      </c>
      <c r="BE524" t="str">
        <f>IF(OR(Table1[[#This Row],[ENGINE_CLASS]]="STEAM",Table1[[#This Row],[ENGINE_CLASS]]="ELECTRIC",Table1[[#This Row],[ENGINE_CLASS]]="DIESEL"),Table1[[#This Row],[ENGINE_CLASS]],"DISABLE")</f>
        <v>ELECTRIC</v>
      </c>
      <c r="BF524">
        <v>0</v>
      </c>
      <c r="BG524" t="s">
        <v>735</v>
      </c>
      <c r="BH524">
        <v>108</v>
      </c>
      <c r="BI524">
        <v>7</v>
      </c>
      <c r="BJ524">
        <v>70</v>
      </c>
      <c r="BK524">
        <v>0</v>
      </c>
      <c r="BL524" t="s">
        <v>693</v>
      </c>
      <c r="BM524" t="s">
        <v>695</v>
      </c>
      <c r="BN524" t="s">
        <v>702</v>
      </c>
      <c r="BO524" t="s">
        <v>706</v>
      </c>
      <c r="BP524" t="s">
        <v>707</v>
      </c>
      <c r="BQ524" t="s">
        <v>708</v>
      </c>
    </row>
    <row r="525" spans="1:69" x14ac:dyDescent="0.4">
      <c r="A525" s="2" t="s">
        <v>553</v>
      </c>
      <c r="B525" t="str">
        <f>_xlfn.TEXTAFTER(Table1[[#This Row],[VEHIDCODE]],"_")</f>
        <v>Austria_OBB_4030</v>
      </c>
      <c r="C525" t="s">
        <v>745</v>
      </c>
      <c r="D525" t="str">
        <f>"item_"&amp;Table1[[#This Row],[VEHIDCODE]]</f>
        <v>item_emu_Austria_OBB_4030</v>
      </c>
      <c r="E525" t="str">
        <f>"str_"&amp;Table1[[#This Row],[VEHIDCODE]]</f>
        <v>str_emu_Austria_OBB_4030</v>
      </c>
      <c r="F525">
        <v>7</v>
      </c>
      <c r="G525" t="s">
        <v>18</v>
      </c>
      <c r="H525">
        <v>1</v>
      </c>
      <c r="I525" t="s">
        <v>74</v>
      </c>
      <c r="J525">
        <v>54</v>
      </c>
      <c r="K525">
        <v>1956</v>
      </c>
      <c r="L525">
        <v>7</v>
      </c>
      <c r="M525" s="2" t="s">
        <v>24</v>
      </c>
      <c r="N525" t="b">
        <v>1</v>
      </c>
      <c r="O525" t="b">
        <v>1</v>
      </c>
      <c r="P525" s="2"/>
      <c r="Q525">
        <v>45</v>
      </c>
      <c r="R525">
        <v>1</v>
      </c>
      <c r="S525">
        <v>1340</v>
      </c>
      <c r="T525" t="s">
        <v>710</v>
      </c>
      <c r="U525">
        <v>130</v>
      </c>
      <c r="V525" s="2">
        <v>0.27</v>
      </c>
      <c r="Y525" t="b">
        <v>1</v>
      </c>
      <c r="AE525"/>
      <c r="AZ525" s="2"/>
      <c r="BA525" s="7">
        <v>25</v>
      </c>
      <c r="BB525" t="s">
        <v>924</v>
      </c>
      <c r="BC525" t="s">
        <v>923</v>
      </c>
      <c r="BD525" t="s">
        <v>941</v>
      </c>
      <c r="BE525" t="str">
        <f>IF(OR(Table1[[#This Row],[ENGINE_CLASS]]="STEAM",Table1[[#This Row],[ENGINE_CLASS]]="ELECTRIC",Table1[[#This Row],[ENGINE_CLASS]]="DIESEL"),Table1[[#This Row],[ENGINE_CLASS]],"DISABLE")</f>
        <v>ELECTRIC</v>
      </c>
      <c r="BF525">
        <v>0</v>
      </c>
      <c r="BG525" t="s">
        <v>735</v>
      </c>
      <c r="BH525">
        <v>54</v>
      </c>
      <c r="BI525">
        <v>7</v>
      </c>
      <c r="BJ525">
        <v>48</v>
      </c>
      <c r="BK525">
        <v>0</v>
      </c>
      <c r="BL525" t="s">
        <v>693</v>
      </c>
      <c r="BM525" t="s">
        <v>695</v>
      </c>
      <c r="BN525" t="s">
        <v>702</v>
      </c>
      <c r="BO525" t="s">
        <v>706</v>
      </c>
      <c r="BP525" t="s">
        <v>707</v>
      </c>
      <c r="BQ525" t="s">
        <v>708</v>
      </c>
    </row>
    <row r="526" spans="1:69" x14ac:dyDescent="0.4">
      <c r="A526" s="2" t="s">
        <v>554</v>
      </c>
      <c r="B526" t="str">
        <f>_xlfn.TEXTAFTER(Table1[[#This Row],[VEHIDCODE]],"_")</f>
        <v>Austria_OBB_4041</v>
      </c>
      <c r="C526" t="s">
        <v>745</v>
      </c>
      <c r="D526" t="str">
        <f>"item_"&amp;Table1[[#This Row],[VEHIDCODE]]</f>
        <v>item_emu_Austria_OBB_4041</v>
      </c>
      <c r="E526" t="str">
        <f>"str_"&amp;Table1[[#This Row],[VEHIDCODE]]</f>
        <v>str_emu_Austria_OBB_4041</v>
      </c>
      <c r="F526">
        <v>8</v>
      </c>
      <c r="G526" t="s">
        <v>18</v>
      </c>
      <c r="H526">
        <v>1</v>
      </c>
      <c r="I526" t="s">
        <v>74</v>
      </c>
      <c r="J526">
        <v>40</v>
      </c>
      <c r="K526">
        <v>1929</v>
      </c>
      <c r="L526">
        <v>8</v>
      </c>
      <c r="M526" s="2" t="s">
        <v>24</v>
      </c>
      <c r="N526" t="b">
        <v>1</v>
      </c>
      <c r="O526" t="b">
        <v>1</v>
      </c>
      <c r="P526" s="2"/>
      <c r="Q526">
        <v>45</v>
      </c>
      <c r="R526">
        <v>1</v>
      </c>
      <c r="S526">
        <v>555</v>
      </c>
      <c r="T526" t="s">
        <v>710</v>
      </c>
      <c r="U526">
        <v>80</v>
      </c>
      <c r="V526" s="2">
        <v>0.08</v>
      </c>
      <c r="Y526" t="b">
        <v>1</v>
      </c>
      <c r="AE526"/>
      <c r="AZ526" s="2"/>
      <c r="BA526" s="7">
        <v>25</v>
      </c>
      <c r="BB526" t="s">
        <v>924</v>
      </c>
      <c r="BC526" t="s">
        <v>923</v>
      </c>
      <c r="BD526" t="s">
        <v>941</v>
      </c>
      <c r="BE526" t="str">
        <f>IF(OR(Table1[[#This Row],[ENGINE_CLASS]]="STEAM",Table1[[#This Row],[ENGINE_CLASS]]="ELECTRIC",Table1[[#This Row],[ENGINE_CLASS]]="DIESEL"),Table1[[#This Row],[ENGINE_CLASS]],"DISABLE")</f>
        <v>ELECTRIC</v>
      </c>
      <c r="BF526">
        <v>0</v>
      </c>
      <c r="BG526" t="s">
        <v>735</v>
      </c>
      <c r="BH526">
        <v>40</v>
      </c>
      <c r="BI526">
        <v>8</v>
      </c>
      <c r="BJ526">
        <v>73</v>
      </c>
      <c r="BK526">
        <v>0</v>
      </c>
      <c r="BL526" t="s">
        <v>693</v>
      </c>
      <c r="BM526" t="s">
        <v>695</v>
      </c>
      <c r="BN526" t="s">
        <v>702</v>
      </c>
      <c r="BO526" t="s">
        <v>706</v>
      </c>
      <c r="BP526" t="s">
        <v>707</v>
      </c>
      <c r="BQ526" t="s">
        <v>708</v>
      </c>
    </row>
    <row r="527" spans="1:69" x14ac:dyDescent="0.4">
      <c r="A527" s="2" t="s">
        <v>555</v>
      </c>
      <c r="B527" t="str">
        <f>_xlfn.TEXTAFTER(Table1[[#This Row],[VEHIDCODE]],"_")</f>
        <v>Austria_WESTbahn_4010_KISS</v>
      </c>
      <c r="C527" t="s">
        <v>745</v>
      </c>
      <c r="D527" t="str">
        <f>"item_"&amp;Table1[[#This Row],[VEHIDCODE]]</f>
        <v>item_emu_Austria_WESTbahn_4010_KISS</v>
      </c>
      <c r="E527" t="str">
        <f>"str_"&amp;Table1[[#This Row],[VEHIDCODE]]</f>
        <v>str_emu_Austria_WESTbahn_4010_KISS</v>
      </c>
      <c r="F527">
        <v>8</v>
      </c>
      <c r="G527" t="s">
        <v>18</v>
      </c>
      <c r="H527">
        <v>1</v>
      </c>
      <c r="I527" t="s">
        <v>74</v>
      </c>
      <c r="J527">
        <v>84</v>
      </c>
      <c r="K527">
        <v>2011</v>
      </c>
      <c r="L527">
        <v>8</v>
      </c>
      <c r="M527" s="2" t="s">
        <v>24</v>
      </c>
      <c r="N527" t="b">
        <v>1</v>
      </c>
      <c r="O527" t="b">
        <v>1</v>
      </c>
      <c r="P527" s="2"/>
      <c r="Q527" t="s">
        <v>21</v>
      </c>
      <c r="R527">
        <v>1</v>
      </c>
      <c r="S527">
        <v>5340</v>
      </c>
      <c r="T527" t="s">
        <v>710</v>
      </c>
      <c r="U527">
        <v>200</v>
      </c>
      <c r="V527" s="2">
        <v>0.62</v>
      </c>
      <c r="Y527" t="b">
        <v>1</v>
      </c>
      <c r="AE527"/>
      <c r="AZ527" s="2"/>
      <c r="BA527" s="7">
        <v>40</v>
      </c>
      <c r="BB527" t="s">
        <v>924</v>
      </c>
      <c r="BC527" t="s">
        <v>923</v>
      </c>
      <c r="BD527" t="s">
        <v>941</v>
      </c>
      <c r="BE527" t="str">
        <f>IF(OR(Table1[[#This Row],[ENGINE_CLASS]]="STEAM",Table1[[#This Row],[ENGINE_CLASS]]="ELECTRIC",Table1[[#This Row],[ENGINE_CLASS]]="DIESEL"),Table1[[#This Row],[ENGINE_CLASS]],"DISABLE")</f>
        <v>ELECTRIC</v>
      </c>
      <c r="BF527">
        <v>0</v>
      </c>
      <c r="BG527" t="s">
        <v>735</v>
      </c>
      <c r="BH527">
        <v>84</v>
      </c>
      <c r="BI527">
        <v>8</v>
      </c>
      <c r="BJ527">
        <v>52</v>
      </c>
      <c r="BK527">
        <v>0</v>
      </c>
      <c r="BL527" t="s">
        <v>693</v>
      </c>
      <c r="BM527" t="s">
        <v>695</v>
      </c>
      <c r="BN527" t="s">
        <v>702</v>
      </c>
      <c r="BO527" t="s">
        <v>706</v>
      </c>
      <c r="BP527" t="s">
        <v>707</v>
      </c>
      <c r="BQ527" t="s">
        <v>708</v>
      </c>
    </row>
    <row r="528" spans="1:69" x14ac:dyDescent="0.4">
      <c r="A528" s="2" t="s">
        <v>556</v>
      </c>
      <c r="B528" t="str">
        <f>_xlfn.TEXTAFTER(Table1[[#This Row],[VEHIDCODE]],"_")</f>
        <v>Germany_DB_ET420</v>
      </c>
      <c r="C528" t="s">
        <v>745</v>
      </c>
      <c r="D528" t="str">
        <f>"item_"&amp;Table1[[#This Row],[VEHIDCODE]]</f>
        <v>item_emu_Germany_DB_ET420</v>
      </c>
      <c r="E528" t="str">
        <f>"str_"&amp;Table1[[#This Row],[VEHIDCODE]]</f>
        <v>str_emu_Germany_DB_ET420</v>
      </c>
      <c r="F528">
        <v>8</v>
      </c>
      <c r="G528" t="s">
        <v>18</v>
      </c>
      <c r="H528">
        <v>1</v>
      </c>
      <c r="I528" t="s">
        <v>74</v>
      </c>
      <c r="J528">
        <v>76</v>
      </c>
      <c r="K528">
        <v>1969</v>
      </c>
      <c r="L528">
        <v>8</v>
      </c>
      <c r="M528" s="2" t="s">
        <v>24</v>
      </c>
      <c r="N528" t="b">
        <v>1</v>
      </c>
      <c r="O528" t="b">
        <v>1</v>
      </c>
      <c r="P528" s="2"/>
      <c r="Q528">
        <v>45</v>
      </c>
      <c r="R528">
        <v>1</v>
      </c>
      <c r="S528">
        <v>1000</v>
      </c>
      <c r="T528" t="s">
        <v>710</v>
      </c>
      <c r="U528">
        <v>125</v>
      </c>
      <c r="V528" s="2">
        <v>0.31</v>
      </c>
      <c r="Y528" t="b">
        <v>1</v>
      </c>
      <c r="AE528"/>
      <c r="AZ528" s="2"/>
      <c r="BA528" s="7">
        <v>25</v>
      </c>
      <c r="BB528" t="s">
        <v>924</v>
      </c>
      <c r="BC528" t="s">
        <v>923</v>
      </c>
      <c r="BD528" t="s">
        <v>941</v>
      </c>
      <c r="BE528" t="str">
        <f>IF(OR(Table1[[#This Row],[ENGINE_CLASS]]="STEAM",Table1[[#This Row],[ENGINE_CLASS]]="ELECTRIC",Table1[[#This Row],[ENGINE_CLASS]]="DIESEL"),Table1[[#This Row],[ENGINE_CLASS]],"DISABLE")</f>
        <v>ELECTRIC</v>
      </c>
      <c r="BF528">
        <v>0</v>
      </c>
      <c r="BG528" t="s">
        <v>735</v>
      </c>
      <c r="BH528">
        <v>76</v>
      </c>
      <c r="BI528">
        <v>8</v>
      </c>
      <c r="BJ528">
        <v>46</v>
      </c>
      <c r="BK528">
        <v>0</v>
      </c>
      <c r="BL528" t="s">
        <v>693</v>
      </c>
      <c r="BM528" t="s">
        <v>695</v>
      </c>
      <c r="BN528" t="s">
        <v>702</v>
      </c>
      <c r="BO528" t="s">
        <v>706</v>
      </c>
      <c r="BP528" t="s">
        <v>707</v>
      </c>
      <c r="BQ528" t="s">
        <v>708</v>
      </c>
    </row>
    <row r="529" spans="1:69" x14ac:dyDescent="0.4">
      <c r="A529" s="2" t="s">
        <v>557</v>
      </c>
      <c r="B529" t="str">
        <f>_xlfn.TEXTAFTER(Table1[[#This Row],[VEHIDCODE]],"_")</f>
        <v>Norway_NSB_BM73</v>
      </c>
      <c r="C529" t="s">
        <v>745</v>
      </c>
      <c r="D529" t="str">
        <f>"item_"&amp;Table1[[#This Row],[VEHIDCODE]]</f>
        <v>item_emu_Norway_NSB_BM73</v>
      </c>
      <c r="E529" t="str">
        <f>"str_"&amp;Table1[[#This Row],[VEHIDCODE]]</f>
        <v>str_emu_Norway_NSB_BM73</v>
      </c>
      <c r="F529">
        <v>8</v>
      </c>
      <c r="G529" t="s">
        <v>18</v>
      </c>
      <c r="H529">
        <v>1</v>
      </c>
      <c r="I529" t="s">
        <v>74</v>
      </c>
      <c r="J529">
        <v>40</v>
      </c>
      <c r="K529">
        <v>1998</v>
      </c>
      <c r="L529">
        <v>8</v>
      </c>
      <c r="M529" s="2" t="s">
        <v>480</v>
      </c>
      <c r="N529" t="b">
        <v>1</v>
      </c>
      <c r="O529" t="b">
        <v>1</v>
      </c>
      <c r="P529" s="2"/>
      <c r="Q529" t="s">
        <v>21</v>
      </c>
      <c r="R529">
        <v>1</v>
      </c>
      <c r="S529">
        <v>1200</v>
      </c>
      <c r="T529" t="s">
        <v>710</v>
      </c>
      <c r="U529">
        <v>220</v>
      </c>
      <c r="V529" s="2">
        <v>0.69</v>
      </c>
      <c r="Y529" t="b">
        <v>1</v>
      </c>
      <c r="AE529"/>
      <c r="AZ529" s="2"/>
      <c r="BA529" s="7">
        <v>25</v>
      </c>
      <c r="BB529" t="s">
        <v>928</v>
      </c>
      <c r="BC529" t="s">
        <v>923</v>
      </c>
      <c r="BD529" t="s">
        <v>941</v>
      </c>
      <c r="BE529" t="str">
        <f>IF(OR(Table1[[#This Row],[ENGINE_CLASS]]="STEAM",Table1[[#This Row],[ENGINE_CLASS]]="ELECTRIC",Table1[[#This Row],[ENGINE_CLASS]]="DIESEL"),Table1[[#This Row],[ENGINE_CLASS]],"DISABLE")</f>
        <v>ELECTRIC</v>
      </c>
      <c r="BF529">
        <v>0</v>
      </c>
      <c r="BG529" t="s">
        <v>735</v>
      </c>
      <c r="BH529">
        <v>40</v>
      </c>
      <c r="BI529">
        <v>8</v>
      </c>
      <c r="BJ529">
        <v>54</v>
      </c>
      <c r="BK529">
        <v>0</v>
      </c>
      <c r="BL529" t="s">
        <v>693</v>
      </c>
      <c r="BM529" t="s">
        <v>695</v>
      </c>
      <c r="BN529" t="s">
        <v>702</v>
      </c>
      <c r="BO529" t="s">
        <v>706</v>
      </c>
      <c r="BP529" t="s">
        <v>707</v>
      </c>
      <c r="BQ529" t="s">
        <v>708</v>
      </c>
    </row>
    <row r="530" spans="1:69" x14ac:dyDescent="0.4">
      <c r="A530" s="2" t="s">
        <v>558</v>
      </c>
      <c r="B530" t="str">
        <f>_xlfn.TEXTAFTER(Table1[[#This Row],[VEHIDCODE]],"_")</f>
        <v>Norway_NSB_BM65</v>
      </c>
      <c r="C530" t="s">
        <v>745</v>
      </c>
      <c r="D530" t="str">
        <f>"item_"&amp;Table1[[#This Row],[VEHIDCODE]]</f>
        <v>item_emu_Norway_NSB_BM65</v>
      </c>
      <c r="E530" t="str">
        <f>"str_"&amp;Table1[[#This Row],[VEHIDCODE]]</f>
        <v>str_emu_Norway_NSB_BM65</v>
      </c>
      <c r="F530">
        <v>8</v>
      </c>
      <c r="G530" t="s">
        <v>18</v>
      </c>
      <c r="H530">
        <v>1</v>
      </c>
      <c r="I530" t="s">
        <v>74</v>
      </c>
      <c r="J530">
        <v>50</v>
      </c>
      <c r="K530">
        <v>1942</v>
      </c>
      <c r="L530">
        <v>8</v>
      </c>
      <c r="M530" s="2" t="s">
        <v>24</v>
      </c>
      <c r="N530" t="b">
        <v>1</v>
      </c>
      <c r="O530" t="b">
        <v>1</v>
      </c>
      <c r="P530" s="2"/>
      <c r="Q530">
        <v>45</v>
      </c>
      <c r="R530">
        <v>1</v>
      </c>
      <c r="S530">
        <v>632</v>
      </c>
      <c r="T530" t="s">
        <v>710</v>
      </c>
      <c r="U530">
        <v>70</v>
      </c>
      <c r="V530" s="2">
        <v>0.23</v>
      </c>
      <c r="Y530" t="b">
        <v>1</v>
      </c>
      <c r="AE530"/>
      <c r="AZ530" s="2"/>
      <c r="BA530" s="7">
        <v>25</v>
      </c>
      <c r="BB530" t="s">
        <v>928</v>
      </c>
      <c r="BC530" t="s">
        <v>923</v>
      </c>
      <c r="BD530" t="s">
        <v>941</v>
      </c>
      <c r="BE530" t="str">
        <f>IF(OR(Table1[[#This Row],[ENGINE_CLASS]]="STEAM",Table1[[#This Row],[ENGINE_CLASS]]="ELECTRIC",Table1[[#This Row],[ENGINE_CLASS]]="DIESEL"),Table1[[#This Row],[ENGINE_CLASS]],"DISABLE")</f>
        <v>ELECTRIC</v>
      </c>
      <c r="BF530">
        <v>0</v>
      </c>
      <c r="BG530" t="s">
        <v>735</v>
      </c>
      <c r="BH530">
        <v>50</v>
      </c>
      <c r="BI530">
        <v>7</v>
      </c>
      <c r="BJ530">
        <v>38</v>
      </c>
      <c r="BK530">
        <v>0</v>
      </c>
      <c r="BL530" t="s">
        <v>693</v>
      </c>
      <c r="BM530" t="s">
        <v>695</v>
      </c>
      <c r="BN530" t="s">
        <v>702</v>
      </c>
      <c r="BO530" t="s">
        <v>706</v>
      </c>
      <c r="BP530" t="s">
        <v>707</v>
      </c>
      <c r="BQ530" t="s">
        <v>708</v>
      </c>
    </row>
    <row r="531" spans="1:69" x14ac:dyDescent="0.4">
      <c r="A531" s="2" t="s">
        <v>559</v>
      </c>
      <c r="B531" t="str">
        <f>_xlfn.TEXTAFTER(Table1[[#This Row],[VEHIDCODE]],"_")</f>
        <v>Sweden_SJ_X2000</v>
      </c>
      <c r="C531" t="s">
        <v>745</v>
      </c>
      <c r="D531" t="str">
        <f>"item_"&amp;Table1[[#This Row],[VEHIDCODE]]</f>
        <v>item_emu_Sweden_SJ_X2000</v>
      </c>
      <c r="E531" t="str">
        <f>"str_"&amp;Table1[[#This Row],[VEHIDCODE]]</f>
        <v>str_emu_Sweden_SJ_X2000</v>
      </c>
      <c r="F531">
        <v>8</v>
      </c>
      <c r="G531" t="s">
        <v>18</v>
      </c>
      <c r="H531">
        <v>1</v>
      </c>
      <c r="I531" t="s">
        <v>74</v>
      </c>
      <c r="J531">
        <v>0</v>
      </c>
      <c r="K531">
        <v>1990</v>
      </c>
      <c r="L531">
        <v>8</v>
      </c>
      <c r="M531" s="2" t="s">
        <v>480</v>
      </c>
      <c r="N531" t="b">
        <v>1</v>
      </c>
      <c r="O531" t="b">
        <v>1</v>
      </c>
      <c r="P531" s="2"/>
      <c r="Q531">
        <v>45</v>
      </c>
      <c r="R531">
        <v>1</v>
      </c>
      <c r="S531">
        <v>4400</v>
      </c>
      <c r="T531" t="s">
        <v>710</v>
      </c>
      <c r="U531">
        <v>210</v>
      </c>
      <c r="V531" s="2">
        <v>0.49</v>
      </c>
      <c r="Y531" t="b">
        <v>1</v>
      </c>
      <c r="AE531"/>
      <c r="AZ531" s="2"/>
      <c r="BA531" s="7">
        <v>25</v>
      </c>
      <c r="BB531" t="s">
        <v>928</v>
      </c>
      <c r="BC531" t="s">
        <v>923</v>
      </c>
      <c r="BD531" t="s">
        <v>941</v>
      </c>
      <c r="BE531" t="str">
        <f>IF(OR(Table1[[#This Row],[ENGINE_CLASS]]="STEAM",Table1[[#This Row],[ENGINE_CLASS]]="ELECTRIC",Table1[[#This Row],[ENGINE_CLASS]]="DIESEL"),Table1[[#This Row],[ENGINE_CLASS]],"DISABLE")</f>
        <v>ELECTRIC</v>
      </c>
      <c r="BF531">
        <v>0</v>
      </c>
      <c r="BG531" t="s">
        <v>735</v>
      </c>
      <c r="BH531">
        <v>42</v>
      </c>
      <c r="BI531">
        <v>8</v>
      </c>
      <c r="BJ531">
        <v>50</v>
      </c>
      <c r="BK531">
        <v>0</v>
      </c>
      <c r="BL531" t="s">
        <v>693</v>
      </c>
      <c r="BM531" t="s">
        <v>695</v>
      </c>
      <c r="BN531" t="s">
        <v>702</v>
      </c>
      <c r="BO531" t="s">
        <v>706</v>
      </c>
      <c r="BP531" t="s">
        <v>707</v>
      </c>
      <c r="BQ531" t="s">
        <v>708</v>
      </c>
    </row>
    <row r="532" spans="1:69" x14ac:dyDescent="0.4">
      <c r="A532" s="2" t="s">
        <v>560</v>
      </c>
      <c r="B532" t="str">
        <f>_xlfn.TEXTAFTER(Table1[[#This Row],[VEHIDCODE]],"_")</f>
        <v>Switzerland_SBB_RABDe_510</v>
      </c>
      <c r="C532" t="s">
        <v>745</v>
      </c>
      <c r="D532" t="str">
        <f>"item_"&amp;Table1[[#This Row],[VEHIDCODE]]</f>
        <v>item_emu_Switzerland_SBB_RABDe_510</v>
      </c>
      <c r="E532" t="str">
        <f>"str_"&amp;Table1[[#This Row],[VEHIDCODE]]</f>
        <v>str_emu_Switzerland_SBB_RABDe_510</v>
      </c>
      <c r="F532">
        <v>8</v>
      </c>
      <c r="G532" t="s">
        <v>18</v>
      </c>
      <c r="H532">
        <v>1</v>
      </c>
      <c r="I532" t="s">
        <v>74</v>
      </c>
      <c r="J532">
        <v>56</v>
      </c>
      <c r="K532">
        <v>1965</v>
      </c>
      <c r="L532">
        <v>8</v>
      </c>
      <c r="M532" s="2" t="s">
        <v>24</v>
      </c>
      <c r="N532" t="b">
        <v>1</v>
      </c>
      <c r="O532" t="b">
        <v>1</v>
      </c>
      <c r="P532" s="2"/>
      <c r="Q532">
        <v>45</v>
      </c>
      <c r="R532">
        <v>1</v>
      </c>
      <c r="S532">
        <v>1090</v>
      </c>
      <c r="T532" t="s">
        <v>710</v>
      </c>
      <c r="U532">
        <v>125</v>
      </c>
      <c r="V532" s="2">
        <v>0.43</v>
      </c>
      <c r="Y532" t="b">
        <v>1</v>
      </c>
      <c r="AE532"/>
      <c r="AZ532" s="2"/>
      <c r="BA532" s="7">
        <v>25</v>
      </c>
      <c r="BB532" t="s">
        <v>924</v>
      </c>
      <c r="BC532" t="s">
        <v>923</v>
      </c>
      <c r="BD532" t="s">
        <v>941</v>
      </c>
      <c r="BE532" t="str">
        <f>IF(OR(Table1[[#This Row],[ENGINE_CLASS]]="STEAM",Table1[[#This Row],[ENGINE_CLASS]]="ELECTRIC",Table1[[#This Row],[ENGINE_CLASS]]="DIESEL"),Table1[[#This Row],[ENGINE_CLASS]],"DISABLE")</f>
        <v>ELECTRIC</v>
      </c>
      <c r="BF532">
        <v>0</v>
      </c>
      <c r="BG532" t="s">
        <v>735</v>
      </c>
      <c r="BH532">
        <v>56</v>
      </c>
      <c r="BI532">
        <v>8</v>
      </c>
      <c r="BJ532">
        <v>56</v>
      </c>
      <c r="BK532">
        <v>0</v>
      </c>
      <c r="BL532" t="s">
        <v>693</v>
      </c>
      <c r="BM532" t="s">
        <v>695</v>
      </c>
      <c r="BN532" t="s">
        <v>702</v>
      </c>
      <c r="BO532" t="s">
        <v>706</v>
      </c>
      <c r="BP532" t="s">
        <v>707</v>
      </c>
      <c r="BQ532" t="s">
        <v>708</v>
      </c>
    </row>
    <row r="533" spans="1:69" x14ac:dyDescent="0.4">
      <c r="A533" s="2" t="s">
        <v>561</v>
      </c>
      <c r="B533" t="str">
        <f>_xlfn.TEXTAFTER(Table1[[#This Row],[VEHIDCODE]],"_")</f>
        <v>Switzerland_SBB_RBDe_560</v>
      </c>
      <c r="C533" t="s">
        <v>745</v>
      </c>
      <c r="D533" t="str">
        <f>"item_"&amp;Table1[[#This Row],[VEHIDCODE]]</f>
        <v>item_emu_Switzerland_SBB_RBDe_560</v>
      </c>
      <c r="E533" t="str">
        <f>"str_"&amp;Table1[[#This Row],[VEHIDCODE]]</f>
        <v>str_emu_Switzerland_SBB_RBDe_560</v>
      </c>
      <c r="F533">
        <v>8</v>
      </c>
      <c r="G533" t="s">
        <v>18</v>
      </c>
      <c r="H533">
        <v>1</v>
      </c>
      <c r="I533" t="s">
        <v>74</v>
      </c>
      <c r="J533">
        <v>56</v>
      </c>
      <c r="K533">
        <v>1984</v>
      </c>
      <c r="L533">
        <v>8</v>
      </c>
      <c r="M533" s="2" t="s">
        <v>24</v>
      </c>
      <c r="N533" t="b">
        <v>1</v>
      </c>
      <c r="O533" t="b">
        <v>1</v>
      </c>
      <c r="P533" s="2"/>
      <c r="Q533">
        <v>45</v>
      </c>
      <c r="R533">
        <v>1</v>
      </c>
      <c r="S533">
        <v>1100</v>
      </c>
      <c r="T533" t="s">
        <v>710</v>
      </c>
      <c r="U533">
        <v>140</v>
      </c>
      <c r="V533" s="2">
        <v>0.52</v>
      </c>
      <c r="Y533" t="b">
        <v>1</v>
      </c>
      <c r="AE533"/>
      <c r="AZ533" s="2"/>
      <c r="BA533" s="7">
        <v>25</v>
      </c>
      <c r="BB533" t="s">
        <v>924</v>
      </c>
      <c r="BC533" t="s">
        <v>923</v>
      </c>
      <c r="BD533" t="s">
        <v>941</v>
      </c>
      <c r="BE533" t="str">
        <f>IF(OR(Table1[[#This Row],[ENGINE_CLASS]]="STEAM",Table1[[#This Row],[ENGINE_CLASS]]="ELECTRIC",Table1[[#This Row],[ENGINE_CLASS]]="DIESEL"),Table1[[#This Row],[ENGINE_CLASS]],"DISABLE")</f>
        <v>ELECTRIC</v>
      </c>
      <c r="BF533">
        <v>0</v>
      </c>
      <c r="BG533" t="s">
        <v>735</v>
      </c>
      <c r="BH533">
        <v>56</v>
      </c>
      <c r="BI533">
        <v>8</v>
      </c>
      <c r="BJ533">
        <v>35</v>
      </c>
      <c r="BK533">
        <v>0</v>
      </c>
      <c r="BL533" t="s">
        <v>693</v>
      </c>
      <c r="BM533" t="s">
        <v>695</v>
      </c>
      <c r="BN533" t="s">
        <v>702</v>
      </c>
      <c r="BO533" t="s">
        <v>706</v>
      </c>
      <c r="BP533" t="s">
        <v>707</v>
      </c>
      <c r="BQ533" t="s">
        <v>708</v>
      </c>
    </row>
    <row r="534" spans="1:69" x14ac:dyDescent="0.4">
      <c r="A534" s="2" t="s">
        <v>562</v>
      </c>
      <c r="B534" t="str">
        <f>_xlfn.TEXTAFTER(Table1[[#This Row],[VEHIDCODE]],"_")</f>
        <v>Switzerland_SBB_RABe_523_Flirt</v>
      </c>
      <c r="C534" t="s">
        <v>745</v>
      </c>
      <c r="D534" t="str">
        <f>"item_"&amp;Table1[[#This Row],[VEHIDCODE]]</f>
        <v>item_emu_Switzerland_SBB_RABe_523_Flirt</v>
      </c>
      <c r="E534" t="str">
        <f>"str_"&amp;Table1[[#This Row],[VEHIDCODE]]</f>
        <v>str_emu_Switzerland_SBB_RABe_523_Flirt</v>
      </c>
      <c r="F534">
        <v>8</v>
      </c>
      <c r="G534" t="s">
        <v>18</v>
      </c>
      <c r="H534">
        <v>1</v>
      </c>
      <c r="I534" t="s">
        <v>74</v>
      </c>
      <c r="J534">
        <v>50</v>
      </c>
      <c r="K534">
        <v>2004</v>
      </c>
      <c r="L534">
        <v>8</v>
      </c>
      <c r="M534" s="2" t="s">
        <v>24</v>
      </c>
      <c r="N534" t="b">
        <v>1</v>
      </c>
      <c r="O534" t="b">
        <v>1</v>
      </c>
      <c r="P534" s="2"/>
      <c r="Q534" t="s">
        <v>21</v>
      </c>
      <c r="R534">
        <v>1</v>
      </c>
      <c r="S534">
        <v>670</v>
      </c>
      <c r="T534" t="s">
        <v>710</v>
      </c>
      <c r="U534">
        <v>160</v>
      </c>
      <c r="V534" s="2">
        <v>0.65</v>
      </c>
      <c r="Y534" t="b">
        <v>1</v>
      </c>
      <c r="AE534"/>
      <c r="AZ534" s="2"/>
      <c r="BA534" s="7">
        <v>25</v>
      </c>
      <c r="BB534" t="s">
        <v>924</v>
      </c>
      <c r="BC534" t="s">
        <v>923</v>
      </c>
      <c r="BD534" t="s">
        <v>941</v>
      </c>
      <c r="BE534" t="str">
        <f>IF(OR(Table1[[#This Row],[ENGINE_CLASS]]="STEAM",Table1[[#This Row],[ENGINE_CLASS]]="ELECTRIC",Table1[[#This Row],[ENGINE_CLASS]]="DIESEL"),Table1[[#This Row],[ENGINE_CLASS]],"DISABLE")</f>
        <v>ELECTRIC</v>
      </c>
      <c r="BF534">
        <v>0</v>
      </c>
      <c r="BG534" t="s">
        <v>735</v>
      </c>
      <c r="BH534">
        <v>50</v>
      </c>
      <c r="BI534">
        <v>7</v>
      </c>
      <c r="BJ534">
        <v>31</v>
      </c>
      <c r="BK534">
        <v>0</v>
      </c>
      <c r="BL534" t="s">
        <v>693</v>
      </c>
      <c r="BM534" t="s">
        <v>695</v>
      </c>
      <c r="BN534" t="s">
        <v>702</v>
      </c>
      <c r="BO534" t="s">
        <v>706</v>
      </c>
      <c r="BP534" t="s">
        <v>707</v>
      </c>
      <c r="BQ534" t="s">
        <v>708</v>
      </c>
    </row>
    <row r="535" spans="1:69" x14ac:dyDescent="0.4">
      <c r="A535" s="2" t="s">
        <v>563</v>
      </c>
      <c r="B535" t="str">
        <f>_xlfn.TEXTAFTER(Table1[[#This Row],[VEHIDCODE]],"_")</f>
        <v>USA_Amtrak_Budd_Metroliner</v>
      </c>
      <c r="C535" t="s">
        <v>745</v>
      </c>
      <c r="D535" t="str">
        <f>"item_"&amp;Table1[[#This Row],[VEHIDCODE]]</f>
        <v>item_emu_USA_Amtrak_Budd_Metroliner</v>
      </c>
      <c r="E535" t="str">
        <f>"str_"&amp;Table1[[#This Row],[VEHIDCODE]]</f>
        <v>str_emu_USA_Amtrak_Budd_Metroliner</v>
      </c>
      <c r="F535">
        <v>8</v>
      </c>
      <c r="G535" t="s">
        <v>18</v>
      </c>
      <c r="H535">
        <v>1</v>
      </c>
      <c r="I535" t="s">
        <v>74</v>
      </c>
      <c r="J535">
        <v>40</v>
      </c>
      <c r="K535">
        <v>1969</v>
      </c>
      <c r="L535">
        <v>8</v>
      </c>
      <c r="M535" s="2" t="s">
        <v>24</v>
      </c>
      <c r="N535" t="b">
        <v>1</v>
      </c>
      <c r="O535" t="b">
        <v>1</v>
      </c>
      <c r="P535" s="2"/>
      <c r="Q535">
        <v>45</v>
      </c>
      <c r="R535">
        <v>1</v>
      </c>
      <c r="S535">
        <v>2400</v>
      </c>
      <c r="T535" t="s">
        <v>710</v>
      </c>
      <c r="U535">
        <v>201</v>
      </c>
      <c r="V535" s="2">
        <v>0.15</v>
      </c>
      <c r="Y535" t="b">
        <v>1</v>
      </c>
      <c r="AE535"/>
      <c r="AZ535" s="2"/>
      <c r="BA535" s="7">
        <v>40</v>
      </c>
      <c r="BB535" t="s">
        <v>929</v>
      </c>
      <c r="BC535" t="s">
        <v>923</v>
      </c>
      <c r="BD535" t="s">
        <v>941</v>
      </c>
      <c r="BE535" t="str">
        <f>IF(OR(Table1[[#This Row],[ENGINE_CLASS]]="STEAM",Table1[[#This Row],[ENGINE_CLASS]]="ELECTRIC",Table1[[#This Row],[ENGINE_CLASS]]="DIESEL"),Table1[[#This Row],[ENGINE_CLASS]],"DISABLE")</f>
        <v>ELECTRIC</v>
      </c>
      <c r="BF535">
        <v>0</v>
      </c>
      <c r="BG535" t="s">
        <v>735</v>
      </c>
      <c r="BH535">
        <v>40</v>
      </c>
      <c r="BI535">
        <v>8</v>
      </c>
      <c r="BJ535">
        <v>75</v>
      </c>
      <c r="BK535">
        <v>0</v>
      </c>
      <c r="BL535" t="s">
        <v>693</v>
      </c>
      <c r="BM535" t="s">
        <v>695</v>
      </c>
      <c r="BN535" t="s">
        <v>702</v>
      </c>
      <c r="BO535" t="s">
        <v>706</v>
      </c>
      <c r="BP535" t="s">
        <v>707</v>
      </c>
      <c r="BQ535" t="s">
        <v>708</v>
      </c>
    </row>
    <row r="536" spans="1:69" x14ac:dyDescent="0.4">
      <c r="A536" s="2" t="s">
        <v>564</v>
      </c>
      <c r="B536" t="str">
        <f>_xlfn.TEXTAFTER(Table1[[#This Row],[VEHIDCODE]],"_")</f>
        <v>Germany_DB_403_ICE_3</v>
      </c>
      <c r="C536" t="s">
        <v>745</v>
      </c>
      <c r="D536" t="str">
        <f>"item_"&amp;Table1[[#This Row],[VEHIDCODE]]</f>
        <v>item_emu_Germany_DB_403_ICE_3</v>
      </c>
      <c r="E536" t="str">
        <f>"str_"&amp;Table1[[#This Row],[VEHIDCODE]]</f>
        <v>str_emu_Germany_DB_403_ICE_3</v>
      </c>
      <c r="F536">
        <v>7</v>
      </c>
      <c r="G536" t="s">
        <v>18</v>
      </c>
      <c r="H536">
        <v>1</v>
      </c>
      <c r="I536" t="s">
        <v>74</v>
      </c>
      <c r="J536">
        <v>45</v>
      </c>
      <c r="K536">
        <v>2000</v>
      </c>
      <c r="L536">
        <v>7</v>
      </c>
      <c r="M536" s="2" t="s">
        <v>480</v>
      </c>
      <c r="N536" t="b">
        <v>1</v>
      </c>
      <c r="O536" t="b">
        <v>1</v>
      </c>
      <c r="P536" s="2"/>
      <c r="Q536" t="s">
        <v>21</v>
      </c>
      <c r="R536">
        <v>1</v>
      </c>
      <c r="S536">
        <v>1400</v>
      </c>
      <c r="T536" t="s">
        <v>710</v>
      </c>
      <c r="U536">
        <v>328</v>
      </c>
      <c r="V536" s="2">
        <v>0.98</v>
      </c>
      <c r="Y536" t="b">
        <v>1</v>
      </c>
      <c r="AE536"/>
      <c r="AZ536" s="2"/>
      <c r="BA536" s="7">
        <v>25</v>
      </c>
      <c r="BB536" t="s">
        <v>924</v>
      </c>
      <c r="BC536" t="s">
        <v>923</v>
      </c>
      <c r="BD536" t="s">
        <v>941</v>
      </c>
      <c r="BE536" t="str">
        <f>IF(OR(Table1[[#This Row],[ENGINE_CLASS]]="STEAM",Table1[[#This Row],[ENGINE_CLASS]]="ELECTRIC",Table1[[#This Row],[ENGINE_CLASS]]="DIESEL"),Table1[[#This Row],[ENGINE_CLASS]],"DISABLE")</f>
        <v>ELECTRIC</v>
      </c>
      <c r="BF536">
        <v>0</v>
      </c>
      <c r="BG536" t="s">
        <v>735</v>
      </c>
      <c r="BH536">
        <v>45</v>
      </c>
      <c r="BI536">
        <v>8</v>
      </c>
      <c r="BJ536">
        <v>51</v>
      </c>
      <c r="BK536">
        <v>0</v>
      </c>
      <c r="BL536" t="s">
        <v>693</v>
      </c>
      <c r="BM536" t="s">
        <v>695</v>
      </c>
      <c r="BN536" t="s">
        <v>702</v>
      </c>
      <c r="BO536" t="s">
        <v>706</v>
      </c>
      <c r="BP536" t="s">
        <v>707</v>
      </c>
      <c r="BQ536" t="s">
        <v>708</v>
      </c>
    </row>
    <row r="537" spans="1:69" x14ac:dyDescent="0.4">
      <c r="A537" s="2" t="s">
        <v>565</v>
      </c>
      <c r="B537" t="str">
        <f>_xlfn.TEXTAFTER(Table1[[#This Row],[VEHIDCODE]],"_")</f>
        <v>Bulgaria_BDZ_10_Desiro</v>
      </c>
      <c r="C537" t="s">
        <v>745</v>
      </c>
      <c r="D537" t="str">
        <f>"item_"&amp;Table1[[#This Row],[VEHIDCODE]]</f>
        <v>item_emu_Bulgaria_BDZ_10_Desiro</v>
      </c>
      <c r="E537" t="str">
        <f>"str_"&amp;Table1[[#This Row],[VEHIDCODE]]</f>
        <v>str_emu_Bulgaria_BDZ_10_Desiro</v>
      </c>
      <c r="F537">
        <v>8</v>
      </c>
      <c r="G537" t="s">
        <v>18</v>
      </c>
      <c r="H537">
        <v>1</v>
      </c>
      <c r="I537" t="s">
        <v>74</v>
      </c>
      <c r="J537">
        <v>62</v>
      </c>
      <c r="K537">
        <v>2005</v>
      </c>
      <c r="L537">
        <v>8</v>
      </c>
      <c r="M537" s="2" t="s">
        <v>24</v>
      </c>
      <c r="N537" t="b">
        <v>1</v>
      </c>
      <c r="O537" t="b">
        <v>1</v>
      </c>
      <c r="P537" s="2"/>
      <c r="Q537" t="s">
        <v>21</v>
      </c>
      <c r="R537">
        <v>1</v>
      </c>
      <c r="S537">
        <v>550</v>
      </c>
      <c r="T537" t="s">
        <v>710</v>
      </c>
      <c r="U537">
        <v>140</v>
      </c>
      <c r="V537" s="2">
        <v>0.21</v>
      </c>
      <c r="X537" t="b">
        <v>1</v>
      </c>
      <c r="AE537"/>
      <c r="AZ537" s="2"/>
      <c r="BA537" s="7">
        <v>25</v>
      </c>
      <c r="BB537" t="s">
        <v>930</v>
      </c>
      <c r="BC537" t="s">
        <v>923</v>
      </c>
      <c r="BD537" t="s">
        <v>941</v>
      </c>
      <c r="BE537" t="str">
        <f>IF(OR(Table1[[#This Row],[ENGINE_CLASS]]="STEAM",Table1[[#This Row],[ENGINE_CLASS]]="ELECTRIC",Table1[[#This Row],[ENGINE_CLASS]]="DIESEL"),Table1[[#This Row],[ENGINE_CLASS]],"DISABLE")</f>
        <v>ELECTRIC</v>
      </c>
      <c r="BF537">
        <v>0</v>
      </c>
      <c r="BG537" t="s">
        <v>735</v>
      </c>
      <c r="BH537">
        <v>62</v>
      </c>
      <c r="BI537">
        <v>8</v>
      </c>
      <c r="BJ537">
        <v>57</v>
      </c>
      <c r="BK537">
        <v>0</v>
      </c>
      <c r="BL537" t="s">
        <v>693</v>
      </c>
      <c r="BM537" t="s">
        <v>695</v>
      </c>
      <c r="BN537" t="s">
        <v>702</v>
      </c>
      <c r="BO537" t="s">
        <v>706</v>
      </c>
      <c r="BP537" t="s">
        <v>707</v>
      </c>
      <c r="BQ537" t="s">
        <v>708</v>
      </c>
    </row>
    <row r="538" spans="1:69" x14ac:dyDescent="0.4">
      <c r="A538" s="2" t="s">
        <v>566</v>
      </c>
      <c r="B538" t="str">
        <f>_xlfn.TEXTAFTER(Table1[[#This Row],[VEHIDCODE]],"_")</f>
        <v>Finland_VR_Sm2</v>
      </c>
      <c r="C538" t="s">
        <v>745</v>
      </c>
      <c r="D538" t="str">
        <f>"item_"&amp;Table1[[#This Row],[VEHIDCODE]]</f>
        <v>item_emu_Finland_VR_Sm2</v>
      </c>
      <c r="E538" t="str">
        <f>"str_"&amp;Table1[[#This Row],[VEHIDCODE]]</f>
        <v>str_emu_Finland_VR_Sm2</v>
      </c>
      <c r="F538">
        <v>8</v>
      </c>
      <c r="G538" t="s">
        <v>18</v>
      </c>
      <c r="H538">
        <v>1</v>
      </c>
      <c r="I538" t="s">
        <v>74</v>
      </c>
      <c r="J538">
        <v>70</v>
      </c>
      <c r="K538">
        <v>1975</v>
      </c>
      <c r="L538">
        <v>8</v>
      </c>
      <c r="M538" s="2" t="s">
        <v>24</v>
      </c>
      <c r="N538" t="b">
        <v>1</v>
      </c>
      <c r="O538" t="b">
        <v>1</v>
      </c>
      <c r="P538" s="2"/>
      <c r="Q538">
        <v>45</v>
      </c>
      <c r="R538">
        <v>1</v>
      </c>
      <c r="S538">
        <v>831</v>
      </c>
      <c r="T538" t="s">
        <v>710</v>
      </c>
      <c r="U538">
        <v>120</v>
      </c>
      <c r="V538" s="2">
        <v>0.22</v>
      </c>
      <c r="X538" t="b">
        <v>1</v>
      </c>
      <c r="AE538"/>
      <c r="AZ538" s="2"/>
      <c r="BA538" s="7">
        <v>25</v>
      </c>
      <c r="BB538" t="s">
        <v>928</v>
      </c>
      <c r="BC538" t="s">
        <v>923</v>
      </c>
      <c r="BD538" t="s">
        <v>941</v>
      </c>
      <c r="BE538" t="str">
        <f>IF(OR(Table1[[#This Row],[ENGINE_CLASS]]="STEAM",Table1[[#This Row],[ENGINE_CLASS]]="ELECTRIC",Table1[[#This Row],[ENGINE_CLASS]]="DIESEL"),Table1[[#This Row],[ENGINE_CLASS]],"DISABLE")</f>
        <v>ELECTRIC</v>
      </c>
      <c r="BF538">
        <v>0</v>
      </c>
      <c r="BG538" t="s">
        <v>735</v>
      </c>
      <c r="BH538">
        <v>70</v>
      </c>
      <c r="BI538">
        <v>8</v>
      </c>
      <c r="BJ538">
        <v>38</v>
      </c>
      <c r="BK538">
        <v>0</v>
      </c>
      <c r="BL538" t="s">
        <v>693</v>
      </c>
      <c r="BM538" t="s">
        <v>695</v>
      </c>
      <c r="BN538" t="s">
        <v>702</v>
      </c>
      <c r="BO538" t="s">
        <v>706</v>
      </c>
      <c r="BP538" t="s">
        <v>707</v>
      </c>
      <c r="BQ538" t="s">
        <v>708</v>
      </c>
    </row>
    <row r="539" spans="1:69" x14ac:dyDescent="0.4">
      <c r="A539" s="2" t="s">
        <v>567</v>
      </c>
      <c r="B539" t="str">
        <f>_xlfn.TEXTAFTER(Table1[[#This Row],[VEHIDCODE]],"_")</f>
        <v>Finland_VR_Sm4</v>
      </c>
      <c r="C539" t="s">
        <v>745</v>
      </c>
      <c r="D539" t="str">
        <f>"item_"&amp;Table1[[#This Row],[VEHIDCODE]]</f>
        <v>item_emu_Finland_VR_Sm4</v>
      </c>
      <c r="E539" t="str">
        <f>"str_"&amp;Table1[[#This Row],[VEHIDCODE]]</f>
        <v>str_emu_Finland_VR_Sm4</v>
      </c>
      <c r="F539">
        <v>8</v>
      </c>
      <c r="G539" t="s">
        <v>18</v>
      </c>
      <c r="H539">
        <v>1</v>
      </c>
      <c r="I539" t="s">
        <v>74</v>
      </c>
      <c r="J539">
        <v>100</v>
      </c>
      <c r="K539">
        <v>1999</v>
      </c>
      <c r="L539">
        <v>8</v>
      </c>
      <c r="M539" s="2" t="s">
        <v>24</v>
      </c>
      <c r="N539" t="b">
        <v>1</v>
      </c>
      <c r="O539" t="b">
        <v>1</v>
      </c>
      <c r="P539" s="2"/>
      <c r="Q539" t="s">
        <v>21</v>
      </c>
      <c r="R539">
        <v>1</v>
      </c>
      <c r="S539">
        <v>800</v>
      </c>
      <c r="T539" t="s">
        <v>710</v>
      </c>
      <c r="U539">
        <v>160</v>
      </c>
      <c r="V539" s="2">
        <v>0.18</v>
      </c>
      <c r="X539" t="b">
        <v>1</v>
      </c>
      <c r="AE539"/>
      <c r="AZ539" s="2"/>
      <c r="BA539" s="7">
        <v>25</v>
      </c>
      <c r="BB539" t="s">
        <v>928</v>
      </c>
      <c r="BC539" t="s">
        <v>923</v>
      </c>
      <c r="BD539" t="s">
        <v>941</v>
      </c>
      <c r="BE539" t="str">
        <f>IF(OR(Table1[[#This Row],[ENGINE_CLASS]]="STEAM",Table1[[#This Row],[ENGINE_CLASS]]="ELECTRIC",Table1[[#This Row],[ENGINE_CLASS]]="DIESEL"),Table1[[#This Row],[ENGINE_CLASS]],"DISABLE")</f>
        <v>ELECTRIC</v>
      </c>
      <c r="BF539">
        <v>0</v>
      </c>
      <c r="BG539" t="s">
        <v>735</v>
      </c>
      <c r="BH539">
        <v>100</v>
      </c>
      <c r="BI539">
        <v>8</v>
      </c>
      <c r="BJ539">
        <v>57</v>
      </c>
      <c r="BK539">
        <v>0</v>
      </c>
      <c r="BL539" t="s">
        <v>693</v>
      </c>
      <c r="BM539" t="s">
        <v>695</v>
      </c>
      <c r="BN539" t="s">
        <v>702</v>
      </c>
      <c r="BO539" t="s">
        <v>706</v>
      </c>
      <c r="BP539" t="s">
        <v>707</v>
      </c>
      <c r="BQ539" t="s">
        <v>708</v>
      </c>
    </row>
    <row r="540" spans="1:69" x14ac:dyDescent="0.4">
      <c r="A540" s="2" t="s">
        <v>568</v>
      </c>
      <c r="B540" t="str">
        <f>_xlfn.TEXTAFTER(Table1[[#This Row],[VEHIDCODE]],"_")</f>
        <v>Hungary_MAV_BDVmot</v>
      </c>
      <c r="C540" t="s">
        <v>745</v>
      </c>
      <c r="D540" t="str">
        <f>"item_"&amp;Table1[[#This Row],[VEHIDCODE]]</f>
        <v>item_emu_Hungary_MAV_BDVmot</v>
      </c>
      <c r="E540" t="str">
        <f>"str_"&amp;Table1[[#This Row],[VEHIDCODE]]</f>
        <v>str_emu_Hungary_MAV_BDVmot</v>
      </c>
      <c r="F540">
        <v>8</v>
      </c>
      <c r="G540" t="s">
        <v>18</v>
      </c>
      <c r="H540">
        <v>1</v>
      </c>
      <c r="I540" t="s">
        <v>74</v>
      </c>
      <c r="J540">
        <v>75</v>
      </c>
      <c r="K540">
        <v>1988</v>
      </c>
      <c r="L540">
        <v>8</v>
      </c>
      <c r="M540" s="2" t="s">
        <v>24</v>
      </c>
      <c r="N540" t="b">
        <v>1</v>
      </c>
      <c r="O540" t="b">
        <v>1</v>
      </c>
      <c r="P540" s="2"/>
      <c r="Q540" t="s">
        <v>21</v>
      </c>
      <c r="R540">
        <v>1</v>
      </c>
      <c r="S540">
        <v>2040</v>
      </c>
      <c r="T540" t="s">
        <v>710</v>
      </c>
      <c r="U540">
        <v>120</v>
      </c>
      <c r="V540" s="2">
        <v>0.11</v>
      </c>
      <c r="X540" t="b">
        <v>1</v>
      </c>
      <c r="AE540"/>
      <c r="AZ540" s="2"/>
      <c r="BA540" s="7">
        <v>25</v>
      </c>
      <c r="BB540" t="s">
        <v>930</v>
      </c>
      <c r="BC540" t="s">
        <v>923</v>
      </c>
      <c r="BD540" t="s">
        <v>941</v>
      </c>
      <c r="BE540" t="str">
        <f>IF(OR(Table1[[#This Row],[ENGINE_CLASS]]="STEAM",Table1[[#This Row],[ENGINE_CLASS]]="ELECTRIC",Table1[[#This Row],[ENGINE_CLASS]]="DIESEL"),Table1[[#This Row],[ENGINE_CLASS]],"DISABLE")</f>
        <v>ELECTRIC</v>
      </c>
      <c r="BF540">
        <v>0</v>
      </c>
      <c r="BG540" t="s">
        <v>735</v>
      </c>
      <c r="BH540">
        <v>75</v>
      </c>
      <c r="BI540">
        <v>8</v>
      </c>
      <c r="BJ540">
        <v>66</v>
      </c>
      <c r="BK540">
        <v>0</v>
      </c>
      <c r="BL540" t="s">
        <v>693</v>
      </c>
      <c r="BM540" t="s">
        <v>695</v>
      </c>
      <c r="BN540" t="s">
        <v>702</v>
      </c>
      <c r="BO540" t="s">
        <v>706</v>
      </c>
      <c r="BP540" t="s">
        <v>707</v>
      </c>
      <c r="BQ540" t="s">
        <v>708</v>
      </c>
    </row>
    <row r="541" spans="1:69" x14ac:dyDescent="0.4">
      <c r="A541" s="2" t="s">
        <v>569</v>
      </c>
      <c r="B541" t="str">
        <f>_xlfn.TEXTAFTER(Table1[[#This Row],[VEHIDCODE]],"_")</f>
        <v>Europe_Sureot</v>
      </c>
      <c r="C541" t="s">
        <v>745</v>
      </c>
      <c r="D541" t="str">
        <f>"item_"&amp;Table1[[#This Row],[VEHIDCODE]]</f>
        <v>item_emu_Europe_Sureot</v>
      </c>
      <c r="E541" t="str">
        <f>"str_"&amp;Table1[[#This Row],[VEHIDCODE]]</f>
        <v>str_emu_Europe_Sureot</v>
      </c>
      <c r="F541">
        <v>8</v>
      </c>
      <c r="G541" t="s">
        <v>18</v>
      </c>
      <c r="H541">
        <v>1</v>
      </c>
      <c r="I541" t="s">
        <v>74</v>
      </c>
      <c r="J541">
        <v>85</v>
      </c>
      <c r="K541">
        <v>2030</v>
      </c>
      <c r="L541">
        <v>8</v>
      </c>
      <c r="M541" s="2" t="s">
        <v>480</v>
      </c>
      <c r="N541" t="b">
        <v>1</v>
      </c>
      <c r="O541" t="b">
        <v>1</v>
      </c>
      <c r="P541" s="2"/>
      <c r="Q541" t="s">
        <v>21</v>
      </c>
      <c r="R541">
        <v>1</v>
      </c>
      <c r="S541">
        <v>16000</v>
      </c>
      <c r="T541" t="s">
        <v>710</v>
      </c>
      <c r="U541">
        <v>300</v>
      </c>
      <c r="V541" s="2">
        <v>0.22</v>
      </c>
      <c r="X541" t="b">
        <v>1</v>
      </c>
      <c r="AE541"/>
      <c r="AZ541" s="2"/>
      <c r="BA541" s="7">
        <v>25</v>
      </c>
      <c r="BB541" t="s">
        <v>933</v>
      </c>
      <c r="BC541" t="s">
        <v>923</v>
      </c>
      <c r="BD541" t="e" vm="1">
        <v>#VALUE!</v>
      </c>
      <c r="BE541" t="str">
        <f>IF(OR(Table1[[#This Row],[ENGINE_CLASS]]="STEAM",Table1[[#This Row],[ENGINE_CLASS]]="ELECTRIC",Table1[[#This Row],[ENGINE_CLASS]]="DIESEL"),Table1[[#This Row],[ENGINE_CLASS]],"DISABLE")</f>
        <v>ELECTRIC</v>
      </c>
      <c r="BF541">
        <v>0</v>
      </c>
      <c r="BG541" t="s">
        <v>735</v>
      </c>
      <c r="BH541">
        <v>85</v>
      </c>
      <c r="BI541">
        <v>8</v>
      </c>
      <c r="BJ541">
        <v>50</v>
      </c>
      <c r="BK541">
        <v>0</v>
      </c>
      <c r="BL541" t="s">
        <v>693</v>
      </c>
      <c r="BM541" t="s">
        <v>695</v>
      </c>
      <c r="BN541" t="s">
        <v>702</v>
      </c>
      <c r="BO541" t="s">
        <v>706</v>
      </c>
      <c r="BP541" t="s">
        <v>707</v>
      </c>
      <c r="BQ541" t="s">
        <v>708</v>
      </c>
    </row>
    <row r="542" spans="1:69" x14ac:dyDescent="0.4">
      <c r="A542" s="2" t="s">
        <v>570</v>
      </c>
      <c r="B542" t="str">
        <f>_xlfn.TEXTAFTER(Table1[[#This Row],[VEHIDCODE]],"_")</f>
        <v>Japan_JNR_Shinkansen_Series_0</v>
      </c>
      <c r="C542" t="s">
        <v>745</v>
      </c>
      <c r="D542" t="str">
        <f>"item_"&amp;Table1[[#This Row],[VEHIDCODE]]</f>
        <v>item_emu_Japan_JNR_Shinkansen_Series_0</v>
      </c>
      <c r="E542" t="str">
        <f>"str_"&amp;Table1[[#This Row],[VEHIDCODE]]</f>
        <v>str_emu_Japan_JNR_Shinkansen_Series_0</v>
      </c>
      <c r="F542">
        <v>8</v>
      </c>
      <c r="G542" t="s">
        <v>18</v>
      </c>
      <c r="H542">
        <v>1</v>
      </c>
      <c r="I542" t="s">
        <v>74</v>
      </c>
      <c r="J542">
        <v>50</v>
      </c>
      <c r="K542">
        <v>1964</v>
      </c>
      <c r="L542">
        <v>8</v>
      </c>
      <c r="M542" s="2" t="s">
        <v>480</v>
      </c>
      <c r="N542" t="b">
        <v>1</v>
      </c>
      <c r="O542" t="b">
        <v>1</v>
      </c>
      <c r="P542" s="2"/>
      <c r="Q542">
        <v>45</v>
      </c>
      <c r="R542">
        <v>1</v>
      </c>
      <c r="S542">
        <v>1000</v>
      </c>
      <c r="T542" t="s">
        <v>710</v>
      </c>
      <c r="U542">
        <v>210</v>
      </c>
      <c r="V542" s="2">
        <v>0.3</v>
      </c>
      <c r="X542" t="b">
        <v>1</v>
      </c>
      <c r="AE542"/>
      <c r="AZ542" s="2"/>
      <c r="BA542" s="7">
        <v>44</v>
      </c>
      <c r="BB542" t="s">
        <v>932</v>
      </c>
      <c r="BC542" t="s">
        <v>923</v>
      </c>
      <c r="BD542" t="s">
        <v>941</v>
      </c>
      <c r="BE542" t="str">
        <f>IF(OR(Table1[[#This Row],[ENGINE_CLASS]]="STEAM",Table1[[#This Row],[ENGINE_CLASS]]="ELECTRIC",Table1[[#This Row],[ENGINE_CLASS]]="DIESEL"),Table1[[#This Row],[ENGINE_CLASS]],"DISABLE")</f>
        <v>ELECTRIC</v>
      </c>
      <c r="BF542">
        <v>-3</v>
      </c>
      <c r="BG542" t="s">
        <v>735</v>
      </c>
      <c r="BH542">
        <v>50</v>
      </c>
      <c r="BI542">
        <v>8</v>
      </c>
      <c r="BJ542">
        <v>54</v>
      </c>
      <c r="BK542">
        <v>0</v>
      </c>
      <c r="BL542" t="s">
        <v>693</v>
      </c>
      <c r="BM542" t="s">
        <v>695</v>
      </c>
      <c r="BN542" t="s">
        <v>702</v>
      </c>
      <c r="BO542" t="s">
        <v>706</v>
      </c>
      <c r="BP542" t="s">
        <v>707</v>
      </c>
      <c r="BQ542" t="s">
        <v>708</v>
      </c>
    </row>
    <row r="543" spans="1:69" x14ac:dyDescent="0.4">
      <c r="A543" s="2" t="s">
        <v>571</v>
      </c>
      <c r="B543" t="str">
        <f>_xlfn.TEXTAFTER(Table1[[#This Row],[VEHIDCODE]],"_")</f>
        <v>Japan_JR_Shinkansen_Series_700</v>
      </c>
      <c r="C543" t="s">
        <v>745</v>
      </c>
      <c r="D543" t="str">
        <f>"item_"&amp;Table1[[#This Row],[VEHIDCODE]]</f>
        <v>item_emu_Japan_JR_Shinkansen_Series_700</v>
      </c>
      <c r="E543" t="str">
        <f>"str_"&amp;Table1[[#This Row],[VEHIDCODE]]</f>
        <v>str_emu_Japan_JR_Shinkansen_Series_700</v>
      </c>
      <c r="F543">
        <v>8</v>
      </c>
      <c r="G543" t="s">
        <v>18</v>
      </c>
      <c r="H543">
        <v>1</v>
      </c>
      <c r="I543" t="s">
        <v>74</v>
      </c>
      <c r="J543">
        <v>83</v>
      </c>
      <c r="K543">
        <v>1997</v>
      </c>
      <c r="L543">
        <v>8</v>
      </c>
      <c r="M543" s="2" t="s">
        <v>480</v>
      </c>
      <c r="N543" t="b">
        <v>1</v>
      </c>
      <c r="O543" t="b">
        <v>1</v>
      </c>
      <c r="P543" s="2"/>
      <c r="Q543" t="s">
        <v>21</v>
      </c>
      <c r="R543">
        <v>1</v>
      </c>
      <c r="S543">
        <v>1441</v>
      </c>
      <c r="T543" t="s">
        <v>710</v>
      </c>
      <c r="U543">
        <v>270</v>
      </c>
      <c r="V543" s="2">
        <v>0.56000000000000005</v>
      </c>
      <c r="X543" t="b">
        <v>1</v>
      </c>
      <c r="AE543"/>
      <c r="AZ543" s="2"/>
      <c r="BA543" s="7">
        <v>25</v>
      </c>
      <c r="BB543" t="s">
        <v>932</v>
      </c>
      <c r="BC543" t="s">
        <v>923</v>
      </c>
      <c r="BD543" t="s">
        <v>941</v>
      </c>
      <c r="BE543" t="str">
        <f>IF(OR(Table1[[#This Row],[ENGINE_CLASS]]="STEAM",Table1[[#This Row],[ENGINE_CLASS]]="ELECTRIC",Table1[[#This Row],[ENGINE_CLASS]]="DIESEL"),Table1[[#This Row],[ENGINE_CLASS]],"DISABLE")</f>
        <v>ELECTRIC</v>
      </c>
      <c r="BF543">
        <v>0</v>
      </c>
      <c r="BG543" t="s">
        <v>735</v>
      </c>
      <c r="BH543">
        <v>83</v>
      </c>
      <c r="BI543">
        <v>8</v>
      </c>
      <c r="BJ543">
        <v>45</v>
      </c>
      <c r="BK543">
        <v>0</v>
      </c>
      <c r="BL543" t="s">
        <v>693</v>
      </c>
      <c r="BM543" t="s">
        <v>695</v>
      </c>
      <c r="BN543" t="s">
        <v>702</v>
      </c>
      <c r="BO543" t="s">
        <v>706</v>
      </c>
      <c r="BP543" t="s">
        <v>707</v>
      </c>
      <c r="BQ543" t="s">
        <v>708</v>
      </c>
    </row>
    <row r="544" spans="1:69" x14ac:dyDescent="0.4">
      <c r="A544" s="2" t="s">
        <v>572</v>
      </c>
      <c r="B544" t="str">
        <f>_xlfn.TEXTAFTER(Table1[[#This Row],[VEHIDCODE]],"_")</f>
        <v>Japan_JR_Shinkansen_Series_E1_Max</v>
      </c>
      <c r="C544" t="s">
        <v>745</v>
      </c>
      <c r="D544" t="str">
        <f>"item_"&amp;Table1[[#This Row],[VEHIDCODE]]</f>
        <v>item_emu_Japan_JR_Shinkansen_Series_E1_Max</v>
      </c>
      <c r="E544" t="str">
        <f>"str_"&amp;Table1[[#This Row],[VEHIDCODE]]</f>
        <v>str_emu_Japan_JR_Shinkansen_Series_E1_Max</v>
      </c>
      <c r="F544">
        <v>8</v>
      </c>
      <c r="G544" t="s">
        <v>18</v>
      </c>
      <c r="H544">
        <v>1</v>
      </c>
      <c r="I544" t="s">
        <v>74</v>
      </c>
      <c r="J544">
        <v>100</v>
      </c>
      <c r="K544">
        <v>1994</v>
      </c>
      <c r="L544">
        <v>8</v>
      </c>
      <c r="M544" s="2" t="s">
        <v>24</v>
      </c>
      <c r="N544" t="b">
        <v>1</v>
      </c>
      <c r="O544" t="b">
        <v>1</v>
      </c>
      <c r="P544" s="2"/>
      <c r="Q544">
        <v>45</v>
      </c>
      <c r="R544">
        <v>1</v>
      </c>
      <c r="S544">
        <v>1704</v>
      </c>
      <c r="T544" t="s">
        <v>710</v>
      </c>
      <c r="U544">
        <v>240</v>
      </c>
      <c r="V544" s="2">
        <v>0.3</v>
      </c>
      <c r="X544" t="b">
        <v>1</v>
      </c>
      <c r="AE544"/>
      <c r="AZ544" s="2"/>
      <c r="BA544" s="7">
        <v>40</v>
      </c>
      <c r="BB544" t="s">
        <v>932</v>
      </c>
      <c r="BC544" t="s">
        <v>923</v>
      </c>
      <c r="BD544" t="s">
        <v>941</v>
      </c>
      <c r="BE544" t="str">
        <f>IF(OR(Table1[[#This Row],[ENGINE_CLASS]]="STEAM",Table1[[#This Row],[ENGINE_CLASS]]="ELECTRIC",Table1[[#This Row],[ENGINE_CLASS]]="DIESEL"),Table1[[#This Row],[ENGINE_CLASS]],"DISABLE")</f>
        <v>ELECTRIC</v>
      </c>
      <c r="BF544">
        <v>0</v>
      </c>
      <c r="BG544" t="s">
        <v>735</v>
      </c>
      <c r="BH544">
        <v>100</v>
      </c>
      <c r="BI544">
        <v>8</v>
      </c>
      <c r="BJ544">
        <v>58</v>
      </c>
      <c r="BK544">
        <v>0</v>
      </c>
      <c r="BL544" t="s">
        <v>693</v>
      </c>
      <c r="BM544" t="s">
        <v>695</v>
      </c>
      <c r="BN544" t="s">
        <v>702</v>
      </c>
      <c r="BO544" t="s">
        <v>706</v>
      </c>
      <c r="BP544" t="s">
        <v>707</v>
      </c>
      <c r="BQ544" t="s">
        <v>708</v>
      </c>
    </row>
    <row r="545" spans="1:69" x14ac:dyDescent="0.4">
      <c r="A545" s="2" t="s">
        <v>573</v>
      </c>
      <c r="B545" t="str">
        <f>_xlfn.TEXTAFTER(Table1[[#This Row],[VEHIDCODE]],"_")</f>
        <v>Luxembourg_CFL_2200_Coradia_Duplex</v>
      </c>
      <c r="C545" t="s">
        <v>745</v>
      </c>
      <c r="D545" t="str">
        <f>"item_"&amp;Table1[[#This Row],[VEHIDCODE]]</f>
        <v>item_emu_Luxembourg_CFL_2200_Coradia_Duplex</v>
      </c>
      <c r="E545" t="str">
        <f>"str_"&amp;Table1[[#This Row],[VEHIDCODE]]</f>
        <v>str_emu_Luxembourg_CFL_2200_Coradia_Duplex</v>
      </c>
      <c r="F545">
        <v>8</v>
      </c>
      <c r="G545" t="s">
        <v>18</v>
      </c>
      <c r="H545">
        <v>1</v>
      </c>
      <c r="I545" t="s">
        <v>74</v>
      </c>
      <c r="J545">
        <v>111</v>
      </c>
      <c r="K545">
        <v>1999</v>
      </c>
      <c r="L545">
        <v>8</v>
      </c>
      <c r="M545" s="2" t="s">
        <v>24</v>
      </c>
      <c r="N545" t="b">
        <v>1</v>
      </c>
      <c r="O545" t="b">
        <v>1</v>
      </c>
      <c r="P545" s="2"/>
      <c r="Q545" t="s">
        <v>21</v>
      </c>
      <c r="R545">
        <v>1</v>
      </c>
      <c r="S545">
        <v>1050</v>
      </c>
      <c r="T545" t="s">
        <v>710</v>
      </c>
      <c r="U545">
        <v>160</v>
      </c>
      <c r="V545" s="2">
        <v>0.26</v>
      </c>
      <c r="X545" t="b">
        <v>1</v>
      </c>
      <c r="AE545"/>
      <c r="AZ545" s="2"/>
      <c r="BA545" s="7">
        <v>25</v>
      </c>
      <c r="BB545" t="s">
        <v>924</v>
      </c>
      <c r="BC545" t="s">
        <v>923</v>
      </c>
      <c r="BD545" t="s">
        <v>941</v>
      </c>
      <c r="BE545" t="str">
        <f>IF(OR(Table1[[#This Row],[ENGINE_CLASS]]="STEAM",Table1[[#This Row],[ENGINE_CLASS]]="ELECTRIC",Table1[[#This Row],[ENGINE_CLASS]]="DIESEL"),Table1[[#This Row],[ENGINE_CLASS]],"DISABLE")</f>
        <v>ELECTRIC</v>
      </c>
      <c r="BF545">
        <v>0</v>
      </c>
      <c r="BG545" t="s">
        <v>735</v>
      </c>
      <c r="BH545">
        <v>111</v>
      </c>
      <c r="BI545">
        <v>8</v>
      </c>
      <c r="BJ545">
        <v>53</v>
      </c>
      <c r="BK545">
        <v>0</v>
      </c>
      <c r="BL545" t="s">
        <v>693</v>
      </c>
      <c r="BM545" t="s">
        <v>695</v>
      </c>
      <c r="BN545" t="s">
        <v>702</v>
      </c>
      <c r="BO545" t="s">
        <v>706</v>
      </c>
      <c r="BP545" t="s">
        <v>707</v>
      </c>
      <c r="BQ545" t="s">
        <v>708</v>
      </c>
    </row>
    <row r="546" spans="1:69" x14ac:dyDescent="0.4">
      <c r="A546" s="2" t="s">
        <v>574</v>
      </c>
      <c r="B546" t="str">
        <f>_xlfn.TEXTAFTER(Table1[[#This Row],[VEHIDCODE]],"_")</f>
        <v>Macedonia_Macedonian_Railways_412</v>
      </c>
      <c r="C546" t="s">
        <v>745</v>
      </c>
      <c r="D546" t="str">
        <f>"item_"&amp;Table1[[#This Row],[VEHIDCODE]]</f>
        <v>item_emu_Macedonia_Macedonian_Railways_412</v>
      </c>
      <c r="E546" t="str">
        <f>"str_"&amp;Table1[[#This Row],[VEHIDCODE]]</f>
        <v>str_emu_Macedonia_Macedonian_Railways_412</v>
      </c>
      <c r="F546">
        <v>8</v>
      </c>
      <c r="G546" t="s">
        <v>18</v>
      </c>
      <c r="H546">
        <v>1</v>
      </c>
      <c r="I546" t="s">
        <v>74</v>
      </c>
      <c r="J546">
        <v>68</v>
      </c>
      <c r="K546">
        <v>1980</v>
      </c>
      <c r="L546">
        <v>8</v>
      </c>
      <c r="M546" s="2" t="s">
        <v>24</v>
      </c>
      <c r="N546" t="b">
        <v>1</v>
      </c>
      <c r="O546" t="b">
        <v>1</v>
      </c>
      <c r="P546" s="2"/>
      <c r="Q546">
        <v>45</v>
      </c>
      <c r="R546">
        <v>1</v>
      </c>
      <c r="S546">
        <v>340</v>
      </c>
      <c r="T546" t="s">
        <v>710</v>
      </c>
      <c r="U546">
        <v>120</v>
      </c>
      <c r="V546" s="2">
        <v>0.15</v>
      </c>
      <c r="X546" t="b">
        <v>1</v>
      </c>
      <c r="AE546"/>
      <c r="AZ546" s="2"/>
      <c r="BA546" s="7">
        <v>25</v>
      </c>
      <c r="BB546" t="s">
        <v>925</v>
      </c>
      <c r="BC546" t="s">
        <v>923</v>
      </c>
      <c r="BD546" t="s">
        <v>941</v>
      </c>
      <c r="BE546" t="str">
        <f>IF(OR(Table1[[#This Row],[ENGINE_CLASS]]="STEAM",Table1[[#This Row],[ENGINE_CLASS]]="ELECTRIC",Table1[[#This Row],[ENGINE_CLASS]]="DIESEL"),Table1[[#This Row],[ENGINE_CLASS]],"DISABLE")</f>
        <v>ELECTRIC</v>
      </c>
      <c r="BF546">
        <v>0</v>
      </c>
      <c r="BG546" t="s">
        <v>735</v>
      </c>
      <c r="BH546">
        <v>68</v>
      </c>
      <c r="BI546">
        <v>8</v>
      </c>
      <c r="BJ546">
        <v>60</v>
      </c>
      <c r="BK546">
        <v>0</v>
      </c>
      <c r="BL546" t="s">
        <v>693</v>
      </c>
      <c r="BM546" t="s">
        <v>695</v>
      </c>
      <c r="BN546" t="s">
        <v>702</v>
      </c>
      <c r="BO546" t="s">
        <v>706</v>
      </c>
      <c r="BP546" t="s">
        <v>707</v>
      </c>
      <c r="BQ546" t="s">
        <v>708</v>
      </c>
    </row>
    <row r="547" spans="1:69" x14ac:dyDescent="0.4">
      <c r="A547" s="2" t="s">
        <v>575</v>
      </c>
      <c r="B547" t="str">
        <f>_xlfn.TEXTAFTER(Table1[[#This Row],[VEHIDCODE]],"_")</f>
        <v>Romania_CFR_58</v>
      </c>
      <c r="C547" t="s">
        <v>745</v>
      </c>
      <c r="D547" t="str">
        <f>"item_"&amp;Table1[[#This Row],[VEHIDCODE]]</f>
        <v>item_emu_Romania_CFR_58</v>
      </c>
      <c r="E547" t="str">
        <f>"str_"&amp;Table1[[#This Row],[VEHIDCODE]]</f>
        <v>str_emu_Romania_CFR_58</v>
      </c>
      <c r="F547">
        <v>8</v>
      </c>
      <c r="G547" t="s">
        <v>18</v>
      </c>
      <c r="H547">
        <v>1</v>
      </c>
      <c r="I547" t="s">
        <v>74</v>
      </c>
      <c r="J547">
        <v>100</v>
      </c>
      <c r="K547">
        <v>1965</v>
      </c>
      <c r="L547">
        <v>8</v>
      </c>
      <c r="M547" s="2" t="s">
        <v>24</v>
      </c>
      <c r="N547" t="b">
        <v>1</v>
      </c>
      <c r="O547" t="b">
        <v>1</v>
      </c>
      <c r="P547" s="2"/>
      <c r="Q547">
        <v>45</v>
      </c>
      <c r="R547">
        <v>1</v>
      </c>
      <c r="S547">
        <v>824</v>
      </c>
      <c r="T547" t="s">
        <v>710</v>
      </c>
      <c r="U547">
        <v>120</v>
      </c>
      <c r="V547" s="2">
        <v>0.42</v>
      </c>
      <c r="X547" t="b">
        <v>1</v>
      </c>
      <c r="AE547"/>
      <c r="AZ547" s="2"/>
      <c r="BA547" s="7">
        <v>40</v>
      </c>
      <c r="BB547" t="s">
        <v>930</v>
      </c>
      <c r="BC547" t="s">
        <v>923</v>
      </c>
      <c r="BD547" t="s">
        <v>941</v>
      </c>
      <c r="BE547" t="str">
        <f>IF(OR(Table1[[#This Row],[ENGINE_CLASS]]="STEAM",Table1[[#This Row],[ENGINE_CLASS]]="ELECTRIC",Table1[[#This Row],[ENGINE_CLASS]]="DIESEL"),Table1[[#This Row],[ENGINE_CLASS]],"DISABLE")</f>
        <v>ELECTRIC</v>
      </c>
      <c r="BF547">
        <v>0</v>
      </c>
      <c r="BG547" t="s">
        <v>735</v>
      </c>
      <c r="BH547">
        <v>100</v>
      </c>
      <c r="BI547">
        <v>8</v>
      </c>
      <c r="BJ547">
        <v>35</v>
      </c>
      <c r="BK547">
        <v>0</v>
      </c>
      <c r="BL547" t="s">
        <v>693</v>
      </c>
      <c r="BM547" t="s">
        <v>695</v>
      </c>
      <c r="BN547" t="s">
        <v>702</v>
      </c>
      <c r="BO547" t="s">
        <v>706</v>
      </c>
      <c r="BP547" t="s">
        <v>707</v>
      </c>
      <c r="BQ547" t="s">
        <v>708</v>
      </c>
    </row>
    <row r="548" spans="1:69" x14ac:dyDescent="0.4">
      <c r="A548" s="2" t="s">
        <v>576</v>
      </c>
      <c r="B548" t="str">
        <f>_xlfn.TEXTAFTER(Table1[[#This Row],[VEHIDCODE]],"_")</f>
        <v>South_Africa_Gautrain_Electrostar</v>
      </c>
      <c r="C548" t="s">
        <v>745</v>
      </c>
      <c r="D548" t="str">
        <f>"item_"&amp;Table1[[#This Row],[VEHIDCODE]]</f>
        <v>item_emu_South_Africa_Gautrain_Electrostar</v>
      </c>
      <c r="E548" t="str">
        <f>"str_"&amp;Table1[[#This Row],[VEHIDCODE]]</f>
        <v>str_emu_South_Africa_Gautrain_Electrostar</v>
      </c>
      <c r="F548">
        <v>8</v>
      </c>
      <c r="G548" t="s">
        <v>18</v>
      </c>
      <c r="H548">
        <v>1</v>
      </c>
      <c r="I548" t="s">
        <v>74</v>
      </c>
      <c r="J548">
        <v>52</v>
      </c>
      <c r="K548">
        <v>2010</v>
      </c>
      <c r="L548">
        <v>8</v>
      </c>
      <c r="M548" s="2" t="s">
        <v>480</v>
      </c>
      <c r="N548" t="b">
        <v>1</v>
      </c>
      <c r="O548" t="b">
        <v>1</v>
      </c>
      <c r="P548" s="2"/>
      <c r="Q548" t="s">
        <v>21</v>
      </c>
      <c r="R548">
        <v>1</v>
      </c>
      <c r="S548">
        <v>553</v>
      </c>
      <c r="T548" t="s">
        <v>710</v>
      </c>
      <c r="U548">
        <v>160</v>
      </c>
      <c r="V548" s="2">
        <v>0.3</v>
      </c>
      <c r="X548" t="b">
        <v>1</v>
      </c>
      <c r="AE548"/>
      <c r="AZ548" s="2"/>
      <c r="BA548" s="7">
        <v>25</v>
      </c>
      <c r="BB548" t="s">
        <v>927</v>
      </c>
      <c r="BC548" t="s">
        <v>923</v>
      </c>
      <c r="BD548" t="s">
        <v>941</v>
      </c>
      <c r="BE548" t="str">
        <f>IF(OR(Table1[[#This Row],[ENGINE_CLASS]]="STEAM",Table1[[#This Row],[ENGINE_CLASS]]="ELECTRIC",Table1[[#This Row],[ENGINE_CLASS]]="DIESEL"),Table1[[#This Row],[ENGINE_CLASS]],"DISABLE")</f>
        <v>ELECTRIC</v>
      </c>
      <c r="BF548">
        <v>0</v>
      </c>
      <c r="BG548" t="s">
        <v>735</v>
      </c>
      <c r="BH548">
        <v>52</v>
      </c>
      <c r="BI548">
        <v>8</v>
      </c>
      <c r="BJ548">
        <v>42</v>
      </c>
      <c r="BK548">
        <v>0</v>
      </c>
      <c r="BL548" t="s">
        <v>693</v>
      </c>
      <c r="BM548" t="s">
        <v>695</v>
      </c>
      <c r="BN548" t="s">
        <v>702</v>
      </c>
      <c r="BO548" t="s">
        <v>706</v>
      </c>
      <c r="BP548" t="s">
        <v>707</v>
      </c>
      <c r="BQ548" t="s">
        <v>708</v>
      </c>
    </row>
    <row r="549" spans="1:69" x14ac:dyDescent="0.4">
      <c r="A549" s="2" t="s">
        <v>577</v>
      </c>
      <c r="B549" t="str">
        <f>_xlfn.TEXTAFTER(Table1[[#This Row],[VEHIDCODE]],"_")</f>
        <v>Turkey_TCDD_E8000</v>
      </c>
      <c r="C549" t="s">
        <v>745</v>
      </c>
      <c r="D549" t="str">
        <f>"item_"&amp;Table1[[#This Row],[VEHIDCODE]]</f>
        <v>item_emu_Turkey_TCDD_E8000</v>
      </c>
      <c r="E549" t="str">
        <f>"str_"&amp;Table1[[#This Row],[VEHIDCODE]]</f>
        <v>str_emu_Turkey_TCDD_E8000</v>
      </c>
      <c r="F549">
        <v>8</v>
      </c>
      <c r="G549" t="s">
        <v>18</v>
      </c>
      <c r="H549">
        <v>1</v>
      </c>
      <c r="I549" t="s">
        <v>74</v>
      </c>
      <c r="J549">
        <v>81</v>
      </c>
      <c r="K549">
        <v>1955</v>
      </c>
      <c r="L549">
        <v>8</v>
      </c>
      <c r="M549" s="2" t="s">
        <v>24</v>
      </c>
      <c r="N549" t="b">
        <v>1</v>
      </c>
      <c r="O549" t="b">
        <v>1</v>
      </c>
      <c r="P549" s="2"/>
      <c r="Q549">
        <v>45</v>
      </c>
      <c r="R549">
        <v>1</v>
      </c>
      <c r="S549">
        <v>550</v>
      </c>
      <c r="T549" t="s">
        <v>710</v>
      </c>
      <c r="U549">
        <v>110</v>
      </c>
      <c r="V549" s="2">
        <v>0.2</v>
      </c>
      <c r="X549" t="b">
        <v>1</v>
      </c>
      <c r="AE549"/>
      <c r="AZ549" s="2"/>
      <c r="BA549" s="7">
        <v>25</v>
      </c>
      <c r="BB549" t="s">
        <v>932</v>
      </c>
      <c r="BC549" t="s">
        <v>923</v>
      </c>
      <c r="BD549" t="s">
        <v>941</v>
      </c>
      <c r="BE549" t="str">
        <f>IF(OR(Table1[[#This Row],[ENGINE_CLASS]]="STEAM",Table1[[#This Row],[ENGINE_CLASS]]="ELECTRIC",Table1[[#This Row],[ENGINE_CLASS]]="DIESEL"),Table1[[#This Row],[ENGINE_CLASS]],"DISABLE")</f>
        <v>ELECTRIC</v>
      </c>
      <c r="BF549">
        <v>0</v>
      </c>
      <c r="BG549" t="s">
        <v>735</v>
      </c>
      <c r="BH549">
        <v>81</v>
      </c>
      <c r="BI549">
        <v>8</v>
      </c>
      <c r="BJ549">
        <v>40</v>
      </c>
      <c r="BK549">
        <v>0</v>
      </c>
      <c r="BL549" t="s">
        <v>693</v>
      </c>
      <c r="BM549" t="s">
        <v>695</v>
      </c>
      <c r="BN549" t="s">
        <v>702</v>
      </c>
      <c r="BO549" t="s">
        <v>706</v>
      </c>
      <c r="BP549" t="s">
        <v>707</v>
      </c>
      <c r="BQ549" t="s">
        <v>708</v>
      </c>
    </row>
    <row r="550" spans="1:69" x14ac:dyDescent="0.4">
      <c r="A550" s="2" t="s">
        <v>578</v>
      </c>
      <c r="B550" t="str">
        <f>_xlfn.TEXTAFTER(Table1[[#This Row],[VEHIDCODE]],"_")</f>
        <v>China_Railways_CHR380A</v>
      </c>
      <c r="C550" t="s">
        <v>745</v>
      </c>
      <c r="D550" t="str">
        <f>"item_"&amp;Table1[[#This Row],[VEHIDCODE]]</f>
        <v>item_emu_China_Railways_CHR380A</v>
      </c>
      <c r="E550" t="str">
        <f>"str_"&amp;Table1[[#This Row],[VEHIDCODE]]</f>
        <v>str_emu_China_Railways_CHR380A</v>
      </c>
      <c r="F550">
        <v>8</v>
      </c>
      <c r="G550" t="s">
        <v>18</v>
      </c>
      <c r="H550">
        <v>1</v>
      </c>
      <c r="I550" t="s">
        <v>74</v>
      </c>
      <c r="J550">
        <v>70</v>
      </c>
      <c r="K550">
        <v>2010</v>
      </c>
      <c r="L550">
        <v>8</v>
      </c>
      <c r="M550" s="2" t="s">
        <v>24</v>
      </c>
      <c r="N550" t="b">
        <v>1</v>
      </c>
      <c r="O550" t="b">
        <v>1</v>
      </c>
      <c r="P550" s="2"/>
      <c r="Q550" t="s">
        <v>21</v>
      </c>
      <c r="R550">
        <v>1</v>
      </c>
      <c r="S550">
        <v>6450</v>
      </c>
      <c r="T550" t="s">
        <v>710</v>
      </c>
      <c r="U550">
        <v>380</v>
      </c>
      <c r="V550" s="2">
        <v>0.14000000000000001</v>
      </c>
      <c r="X550" t="b">
        <v>1</v>
      </c>
      <c r="AE550"/>
      <c r="AZ550" s="2"/>
      <c r="BA550" s="7">
        <v>25</v>
      </c>
      <c r="BB550" t="s">
        <v>932</v>
      </c>
      <c r="BC550" t="s">
        <v>923</v>
      </c>
      <c r="BD550" t="s">
        <v>941</v>
      </c>
      <c r="BE550" t="str">
        <f>IF(OR(Table1[[#This Row],[ENGINE_CLASS]]="STEAM",Table1[[#This Row],[ENGINE_CLASS]]="ELECTRIC",Table1[[#This Row],[ENGINE_CLASS]]="DIESEL"),Table1[[#This Row],[ENGINE_CLASS]],"DISABLE")</f>
        <v>ELECTRIC</v>
      </c>
      <c r="BF550">
        <v>0</v>
      </c>
      <c r="BG550" t="s">
        <v>735</v>
      </c>
      <c r="BH550">
        <v>70</v>
      </c>
      <c r="BI550">
        <v>8</v>
      </c>
      <c r="BJ550">
        <v>48</v>
      </c>
      <c r="BK550">
        <v>0</v>
      </c>
      <c r="BL550" t="s">
        <v>693</v>
      </c>
      <c r="BM550" t="s">
        <v>695</v>
      </c>
      <c r="BN550" t="s">
        <v>702</v>
      </c>
      <c r="BO550" t="s">
        <v>706</v>
      </c>
      <c r="BP550" t="s">
        <v>707</v>
      </c>
      <c r="BQ550" t="s">
        <v>708</v>
      </c>
    </row>
    <row r="551" spans="1:69" x14ac:dyDescent="0.4">
      <c r="A551" s="2" t="s">
        <v>579</v>
      </c>
      <c r="B551" t="str">
        <f>_xlfn.TEXTAFTER(Table1[[#This Row],[VEHIDCODE]],"_")</f>
        <v>USA_PRR_MP54</v>
      </c>
      <c r="C551" t="s">
        <v>745</v>
      </c>
      <c r="D551" t="str">
        <f>"item_"&amp;Table1[[#This Row],[VEHIDCODE]]</f>
        <v>item_emu_USA_PRR_MP54</v>
      </c>
      <c r="E551" t="str">
        <f>"str_"&amp;Table1[[#This Row],[VEHIDCODE]]</f>
        <v>str_emu_USA_PRR_MP54</v>
      </c>
      <c r="F551">
        <v>8</v>
      </c>
      <c r="G551" t="s">
        <v>18</v>
      </c>
      <c r="H551">
        <v>1</v>
      </c>
      <c r="I551" t="s">
        <v>74</v>
      </c>
      <c r="J551">
        <v>72</v>
      </c>
      <c r="K551">
        <v>1908</v>
      </c>
      <c r="L551">
        <v>8</v>
      </c>
      <c r="M551" s="2" t="s">
        <v>24</v>
      </c>
      <c r="N551" t="b">
        <v>1</v>
      </c>
      <c r="O551" t="b">
        <v>1</v>
      </c>
      <c r="P551" s="2"/>
      <c r="Q551">
        <v>45</v>
      </c>
      <c r="R551">
        <v>1</v>
      </c>
      <c r="S551">
        <v>450</v>
      </c>
      <c r="T551" t="s">
        <v>710</v>
      </c>
      <c r="U551">
        <v>105</v>
      </c>
      <c r="V551" s="2">
        <v>0.22</v>
      </c>
      <c r="W551" t="b">
        <v>1</v>
      </c>
      <c r="AD551" t="b">
        <v>1</v>
      </c>
      <c r="AE551"/>
      <c r="AZ551" s="2"/>
      <c r="BA551" s="7">
        <v>25</v>
      </c>
      <c r="BB551" t="s">
        <v>929</v>
      </c>
      <c r="BC551" t="s">
        <v>923</v>
      </c>
      <c r="BD551" t="s">
        <v>941</v>
      </c>
      <c r="BE551" t="str">
        <f>IF(OR(Table1[[#This Row],[ENGINE_CLASS]]="STEAM",Table1[[#This Row],[ENGINE_CLASS]]="ELECTRIC",Table1[[#This Row],[ENGINE_CLASS]]="DIESEL"),Table1[[#This Row],[ENGINE_CLASS]],"DISABLE")</f>
        <v>ELECTRIC</v>
      </c>
      <c r="BF551">
        <v>0</v>
      </c>
      <c r="BG551" t="s">
        <v>735</v>
      </c>
      <c r="BH551">
        <v>72</v>
      </c>
      <c r="BI551">
        <v>8</v>
      </c>
      <c r="BJ551">
        <v>68</v>
      </c>
      <c r="BK551">
        <v>0</v>
      </c>
      <c r="BL551" t="s">
        <v>693</v>
      </c>
      <c r="BM551" t="s">
        <v>695</v>
      </c>
      <c r="BN551" t="s">
        <v>702</v>
      </c>
      <c r="BO551" t="s">
        <v>706</v>
      </c>
      <c r="BP551" t="s">
        <v>707</v>
      </c>
      <c r="BQ551" t="s">
        <v>708</v>
      </c>
    </row>
    <row r="552" spans="1:69" x14ac:dyDescent="0.4">
      <c r="A552" s="2" t="s">
        <v>580</v>
      </c>
      <c r="B552" t="str">
        <f>_xlfn.TEXTAFTER(Table1[[#This Row],[VEHIDCODE]],"_")</f>
        <v>Italy_NTV_AGV</v>
      </c>
      <c r="C552" t="s">
        <v>745</v>
      </c>
      <c r="D552" t="str">
        <f>"item_"&amp;Table1[[#This Row],[VEHIDCODE]]</f>
        <v>item_emu_Italy_NTV_AGV</v>
      </c>
      <c r="E552" t="str">
        <f>"str_"&amp;Table1[[#This Row],[VEHIDCODE]]</f>
        <v>str_emu_Italy_NTV_AGV</v>
      </c>
      <c r="F552">
        <v>8</v>
      </c>
      <c r="G552" t="s">
        <v>18</v>
      </c>
      <c r="H552">
        <v>1</v>
      </c>
      <c r="I552" t="s">
        <v>74</v>
      </c>
      <c r="J552">
        <v>42</v>
      </c>
      <c r="K552">
        <v>2011</v>
      </c>
      <c r="L552">
        <v>8</v>
      </c>
      <c r="M552" s="2" t="s">
        <v>480</v>
      </c>
      <c r="N552" t="b">
        <v>1</v>
      </c>
      <c r="O552" t="b">
        <v>1</v>
      </c>
      <c r="P552" s="2"/>
      <c r="Q552" t="s">
        <v>21</v>
      </c>
      <c r="R552">
        <v>1</v>
      </c>
      <c r="S552">
        <v>1150</v>
      </c>
      <c r="T552" t="s">
        <v>710</v>
      </c>
      <c r="U552">
        <v>360</v>
      </c>
      <c r="V552" s="2">
        <v>0.9</v>
      </c>
      <c r="W552" t="b">
        <v>1</v>
      </c>
      <c r="AE552"/>
      <c r="AZ552" s="2"/>
      <c r="BA552" s="7">
        <v>25</v>
      </c>
      <c r="BB552" t="s">
        <v>925</v>
      </c>
      <c r="BC552" t="s">
        <v>923</v>
      </c>
      <c r="BD552" t="s">
        <v>941</v>
      </c>
      <c r="BE552" t="str">
        <f>IF(OR(Table1[[#This Row],[ENGINE_CLASS]]="STEAM",Table1[[#This Row],[ENGINE_CLASS]]="ELECTRIC",Table1[[#This Row],[ENGINE_CLASS]]="DIESEL"),Table1[[#This Row],[ENGINE_CLASS]],"DISABLE")</f>
        <v>ELECTRIC</v>
      </c>
      <c r="BF552">
        <v>0</v>
      </c>
      <c r="BG552" t="s">
        <v>735</v>
      </c>
      <c r="BH552">
        <v>42</v>
      </c>
      <c r="BI552">
        <v>7</v>
      </c>
      <c r="BJ552">
        <v>30</v>
      </c>
      <c r="BK552">
        <v>0</v>
      </c>
      <c r="BL552" t="s">
        <v>693</v>
      </c>
      <c r="BM552" t="s">
        <v>695</v>
      </c>
      <c r="BN552" t="s">
        <v>702</v>
      </c>
      <c r="BO552" t="s">
        <v>706</v>
      </c>
      <c r="BP552" t="s">
        <v>707</v>
      </c>
      <c r="BQ552" t="s">
        <v>708</v>
      </c>
    </row>
    <row r="553" spans="1:69" x14ac:dyDescent="0.4">
      <c r="A553" s="2" t="s">
        <v>581</v>
      </c>
      <c r="B553" t="str">
        <f>_xlfn.TEXTAFTER(Table1[[#This Row],[VEHIDCODE]],"_")</f>
        <v>Italy_NTV_AGV_Duplex</v>
      </c>
      <c r="C553" t="s">
        <v>745</v>
      </c>
      <c r="D553" t="str">
        <f>"item_"&amp;Table1[[#This Row],[VEHIDCODE]]</f>
        <v>item_emu_Italy_NTV_AGV_Duplex</v>
      </c>
      <c r="E553" t="str">
        <f>"str_"&amp;Table1[[#This Row],[VEHIDCODE]]</f>
        <v>str_emu_Italy_NTV_AGV_Duplex</v>
      </c>
      <c r="F553">
        <v>8</v>
      </c>
      <c r="G553" t="s">
        <v>18</v>
      </c>
      <c r="H553">
        <v>1</v>
      </c>
      <c r="I553" t="s">
        <v>74</v>
      </c>
      <c r="J553">
        <v>67</v>
      </c>
      <c r="K553">
        <v>2015</v>
      </c>
      <c r="L553">
        <v>8</v>
      </c>
      <c r="M553" s="2" t="s">
        <v>480</v>
      </c>
      <c r="N553" t="b">
        <v>1</v>
      </c>
      <c r="O553" t="b">
        <v>1</v>
      </c>
      <c r="P553" s="2"/>
      <c r="Q553" t="s">
        <v>21</v>
      </c>
      <c r="R553">
        <v>1</v>
      </c>
      <c r="S553">
        <v>1750</v>
      </c>
      <c r="T553" t="s">
        <v>710</v>
      </c>
      <c r="U553">
        <v>360</v>
      </c>
      <c r="V553" s="2">
        <v>0.83</v>
      </c>
      <c r="W553" t="b">
        <v>1</v>
      </c>
      <c r="AE553"/>
      <c r="AZ553" s="2"/>
      <c r="BA553" s="7">
        <v>25</v>
      </c>
      <c r="BB553" t="s">
        <v>925</v>
      </c>
      <c r="BC553" t="s">
        <v>923</v>
      </c>
      <c r="BD553" t="s">
        <v>941</v>
      </c>
      <c r="BE553" t="str">
        <f>IF(OR(Table1[[#This Row],[ENGINE_CLASS]]="STEAM",Table1[[#This Row],[ENGINE_CLASS]]="ELECTRIC",Table1[[#This Row],[ENGINE_CLASS]]="DIESEL"),Table1[[#This Row],[ENGINE_CLASS]],"DISABLE")</f>
        <v>ELECTRIC</v>
      </c>
      <c r="BF553">
        <v>0</v>
      </c>
      <c r="BG553" t="s">
        <v>735</v>
      </c>
      <c r="BH553">
        <v>67</v>
      </c>
      <c r="BI553">
        <v>7</v>
      </c>
      <c r="BJ553">
        <v>44</v>
      </c>
      <c r="BK553">
        <v>0</v>
      </c>
      <c r="BL553" t="s">
        <v>693</v>
      </c>
      <c r="BM553" t="s">
        <v>695</v>
      </c>
      <c r="BN553" t="s">
        <v>702</v>
      </c>
      <c r="BO553" t="s">
        <v>706</v>
      </c>
      <c r="BP553" t="s">
        <v>707</v>
      </c>
      <c r="BQ553" t="s">
        <v>708</v>
      </c>
    </row>
    <row r="554" spans="1:69" x14ac:dyDescent="0.4">
      <c r="A554" s="2" t="s">
        <v>582</v>
      </c>
      <c r="B554" t="str">
        <f>_xlfn.TEXTAFTER(Table1[[#This Row],[VEHIDCODE]],"_")</f>
        <v>Netherlands_NS_Hispeed_V250_Albatros</v>
      </c>
      <c r="C554" t="s">
        <v>745</v>
      </c>
      <c r="D554" t="str">
        <f>"item_"&amp;Table1[[#This Row],[VEHIDCODE]]</f>
        <v>item_emu_Netherlands_NS_Hispeed_V250_Albatros</v>
      </c>
      <c r="E554" t="str">
        <f>"str_"&amp;Table1[[#This Row],[VEHIDCODE]]</f>
        <v>str_emu_Netherlands_NS_Hispeed_V250_Albatros</v>
      </c>
      <c r="F554">
        <v>8</v>
      </c>
      <c r="G554" t="s">
        <v>18</v>
      </c>
      <c r="H554">
        <v>1</v>
      </c>
      <c r="I554" t="s">
        <v>74</v>
      </c>
      <c r="J554">
        <v>71</v>
      </c>
      <c r="K554">
        <v>2012</v>
      </c>
      <c r="L554">
        <v>8</v>
      </c>
      <c r="M554" s="2" t="s">
        <v>24</v>
      </c>
      <c r="N554" t="b">
        <v>1</v>
      </c>
      <c r="O554" t="b">
        <v>1</v>
      </c>
      <c r="P554" s="2"/>
      <c r="Q554" t="s">
        <v>21</v>
      </c>
      <c r="R554">
        <v>1</v>
      </c>
      <c r="S554">
        <v>1850</v>
      </c>
      <c r="T554" t="s">
        <v>710</v>
      </c>
      <c r="U554">
        <v>251</v>
      </c>
      <c r="V554" s="2">
        <v>0.52</v>
      </c>
      <c r="W554" t="b">
        <v>1</v>
      </c>
      <c r="AE554"/>
      <c r="AZ554" s="2"/>
      <c r="BA554" s="7">
        <v>25</v>
      </c>
      <c r="BB554" t="s">
        <v>924</v>
      </c>
      <c r="BC554" t="s">
        <v>923</v>
      </c>
      <c r="BD554" t="s">
        <v>941</v>
      </c>
      <c r="BE554" t="str">
        <f>IF(OR(Table1[[#This Row],[ENGINE_CLASS]]="STEAM",Table1[[#This Row],[ENGINE_CLASS]]="ELECTRIC",Table1[[#This Row],[ENGINE_CLASS]]="DIESEL"),Table1[[#This Row],[ENGINE_CLASS]],"DISABLE")</f>
        <v>ELECTRIC</v>
      </c>
      <c r="BF554">
        <v>0</v>
      </c>
      <c r="BG554" t="s">
        <v>735</v>
      </c>
      <c r="BH554">
        <v>71</v>
      </c>
      <c r="BI554">
        <v>8</v>
      </c>
      <c r="BJ554">
        <v>58</v>
      </c>
      <c r="BK554">
        <v>0</v>
      </c>
      <c r="BL554" t="s">
        <v>693</v>
      </c>
      <c r="BM554" t="s">
        <v>695</v>
      </c>
      <c r="BN554" t="s">
        <v>702</v>
      </c>
      <c r="BO554" t="s">
        <v>706</v>
      </c>
      <c r="BP554" t="s">
        <v>707</v>
      </c>
      <c r="BQ554" t="s">
        <v>708</v>
      </c>
    </row>
    <row r="555" spans="1:69" x14ac:dyDescent="0.4">
      <c r="A555" s="2" t="s">
        <v>583</v>
      </c>
      <c r="B555" t="str">
        <f>_xlfn.TEXTAFTER(Table1[[#This Row],[VEHIDCODE]],"_")</f>
        <v>Netherlands_NS_4800_HSA</v>
      </c>
      <c r="C555" t="s">
        <v>745</v>
      </c>
      <c r="D555" t="str">
        <f>"item_"&amp;Table1[[#This Row],[VEHIDCODE]]</f>
        <v>item_emu_Netherlands_NS_4800_HSA</v>
      </c>
      <c r="E555" t="str">
        <f>"str_"&amp;Table1[[#This Row],[VEHIDCODE]]</f>
        <v>str_emu_Netherlands_NS_4800_HSA</v>
      </c>
      <c r="F555">
        <v>8</v>
      </c>
      <c r="G555" t="s">
        <v>18</v>
      </c>
      <c r="H555">
        <v>1</v>
      </c>
      <c r="I555" t="s">
        <v>74</v>
      </c>
      <c r="J555">
        <v>42</v>
      </c>
      <c r="K555">
        <v>2012</v>
      </c>
      <c r="L555">
        <v>8</v>
      </c>
      <c r="M555" s="2" t="s">
        <v>480</v>
      </c>
      <c r="N555" t="b">
        <v>1</v>
      </c>
      <c r="O555" t="b">
        <v>1</v>
      </c>
      <c r="P555" s="2"/>
      <c r="Q555" t="s">
        <v>21</v>
      </c>
      <c r="R555">
        <v>1</v>
      </c>
      <c r="S555">
        <v>1000</v>
      </c>
      <c r="T555" t="s">
        <v>710</v>
      </c>
      <c r="U555">
        <v>300</v>
      </c>
      <c r="V555" s="2">
        <v>0.8</v>
      </c>
      <c r="W555" t="b">
        <v>1</v>
      </c>
      <c r="AE555"/>
      <c r="AZ555" s="2"/>
      <c r="BA555" s="7">
        <v>25</v>
      </c>
      <c r="BB555" t="s">
        <v>924</v>
      </c>
      <c r="BC555" t="s">
        <v>923</v>
      </c>
      <c r="BD555" t="e" vm="1">
        <v>#VALUE!</v>
      </c>
      <c r="BE555" t="str">
        <f>IF(OR(Table1[[#This Row],[ENGINE_CLASS]]="STEAM",Table1[[#This Row],[ENGINE_CLASS]]="ELECTRIC",Table1[[#This Row],[ENGINE_CLASS]]="DIESEL"),Table1[[#This Row],[ENGINE_CLASS]],"DISABLE")</f>
        <v>ELECTRIC</v>
      </c>
      <c r="BF555">
        <v>0</v>
      </c>
      <c r="BG555" t="s">
        <v>735</v>
      </c>
      <c r="BH555">
        <v>42</v>
      </c>
      <c r="BI555">
        <v>8</v>
      </c>
      <c r="BJ555">
        <v>35</v>
      </c>
      <c r="BK555">
        <v>0</v>
      </c>
      <c r="BL555" t="s">
        <v>693</v>
      </c>
      <c r="BM555" t="s">
        <v>695</v>
      </c>
      <c r="BN555" t="s">
        <v>702</v>
      </c>
      <c r="BO555" t="s">
        <v>706</v>
      </c>
      <c r="BP555" t="s">
        <v>707</v>
      </c>
      <c r="BQ555" t="s">
        <v>708</v>
      </c>
    </row>
    <row r="556" spans="1:69" x14ac:dyDescent="0.4">
      <c r="A556" s="2" t="s">
        <v>584</v>
      </c>
      <c r="B556" t="str">
        <f>_xlfn.TEXTAFTER(Table1[[#This Row],[VEHIDCODE]],"_")</f>
        <v>Switzerland_SBB_Rae_TEE_II</v>
      </c>
      <c r="C556" t="s">
        <v>745</v>
      </c>
      <c r="D556" t="str">
        <f>"item_"&amp;Table1[[#This Row],[VEHIDCODE]]</f>
        <v>item_emu_Switzerland_SBB_Rae_TEE_II</v>
      </c>
      <c r="E556" t="str">
        <f>"str_"&amp;Table1[[#This Row],[VEHIDCODE]]</f>
        <v>str_emu_Switzerland_SBB_Rae_TEE_II</v>
      </c>
      <c r="F556">
        <v>8</v>
      </c>
      <c r="G556" t="s">
        <v>18</v>
      </c>
      <c r="H556">
        <v>1</v>
      </c>
      <c r="I556" t="s">
        <v>74</v>
      </c>
      <c r="J556">
        <v>60</v>
      </c>
      <c r="K556">
        <v>1961</v>
      </c>
      <c r="L556">
        <v>8</v>
      </c>
      <c r="M556" s="2" t="s">
        <v>480</v>
      </c>
      <c r="N556" t="b">
        <v>1</v>
      </c>
      <c r="O556" t="b">
        <v>1</v>
      </c>
      <c r="P556" s="2"/>
      <c r="Q556">
        <v>45</v>
      </c>
      <c r="R556">
        <v>1</v>
      </c>
      <c r="S556">
        <v>425</v>
      </c>
      <c r="T556" t="s">
        <v>710</v>
      </c>
      <c r="U556">
        <v>160</v>
      </c>
      <c r="V556" s="2">
        <v>0.26</v>
      </c>
      <c r="W556" t="b">
        <v>1</v>
      </c>
      <c r="AE556"/>
      <c r="AZ556" s="2"/>
      <c r="BA556" s="7">
        <v>25</v>
      </c>
      <c r="BB556" t="s">
        <v>924</v>
      </c>
      <c r="BC556" t="s">
        <v>923</v>
      </c>
      <c r="BD556" t="s">
        <v>941</v>
      </c>
      <c r="BE556" t="str">
        <f>IF(OR(Table1[[#This Row],[ENGINE_CLASS]]="STEAM",Table1[[#This Row],[ENGINE_CLASS]]="ELECTRIC",Table1[[#This Row],[ENGINE_CLASS]]="DIESEL"),Table1[[#This Row],[ENGINE_CLASS]],"DISABLE")</f>
        <v>ELECTRIC</v>
      </c>
      <c r="BF556">
        <v>0</v>
      </c>
      <c r="BG556" t="s">
        <v>735</v>
      </c>
      <c r="BH556">
        <v>60</v>
      </c>
      <c r="BI556">
        <v>8</v>
      </c>
      <c r="BJ556">
        <v>47</v>
      </c>
      <c r="BK556">
        <v>0</v>
      </c>
      <c r="BL556" t="s">
        <v>693</v>
      </c>
      <c r="BM556" t="s">
        <v>695</v>
      </c>
      <c r="BN556" t="s">
        <v>702</v>
      </c>
      <c r="BO556" t="s">
        <v>706</v>
      </c>
      <c r="BP556" t="s">
        <v>707</v>
      </c>
      <c r="BQ556" t="s">
        <v>708</v>
      </c>
    </row>
    <row r="557" spans="1:69" x14ac:dyDescent="0.4">
      <c r="A557" s="2" t="s">
        <v>585</v>
      </c>
      <c r="B557" t="str">
        <f>_xlfn.TEXTAFTER(Table1[[#This Row],[VEHIDCODE]],"_")</f>
        <v>USA_Erie_Lackawanna_MU_Cars</v>
      </c>
      <c r="C557" t="s">
        <v>745</v>
      </c>
      <c r="D557" t="str">
        <f>"item_"&amp;Table1[[#This Row],[VEHIDCODE]]</f>
        <v>item_emu_USA_Erie_Lackawanna_MU_Cars</v>
      </c>
      <c r="E557" t="str">
        <f>"str_"&amp;Table1[[#This Row],[VEHIDCODE]]</f>
        <v>str_emu_USA_Erie_Lackawanna_MU_Cars</v>
      </c>
      <c r="F557">
        <v>8</v>
      </c>
      <c r="G557" t="s">
        <v>18</v>
      </c>
      <c r="H557">
        <v>1</v>
      </c>
      <c r="I557" t="s">
        <v>74</v>
      </c>
      <c r="J557">
        <v>58</v>
      </c>
      <c r="K557">
        <v>1930</v>
      </c>
      <c r="L557">
        <v>8</v>
      </c>
      <c r="M557" s="2" t="s">
        <v>24</v>
      </c>
      <c r="N557" t="b">
        <v>1</v>
      </c>
      <c r="O557" t="b">
        <v>1</v>
      </c>
      <c r="P557" s="2"/>
      <c r="Q557">
        <v>45</v>
      </c>
      <c r="R557">
        <v>1</v>
      </c>
      <c r="S557">
        <v>510</v>
      </c>
      <c r="T557" t="s">
        <v>710</v>
      </c>
      <c r="U557">
        <v>101</v>
      </c>
      <c r="V557" s="2">
        <v>0.25</v>
      </c>
      <c r="W557" t="b">
        <v>1</v>
      </c>
      <c r="AE557"/>
      <c r="AZ557" s="2"/>
      <c r="BA557" s="7">
        <v>25</v>
      </c>
      <c r="BB557" t="s">
        <v>929</v>
      </c>
      <c r="BC557" t="s">
        <v>923</v>
      </c>
      <c r="BD557" t="s">
        <v>941</v>
      </c>
      <c r="BE557" t="str">
        <f>IF(OR(Table1[[#This Row],[ENGINE_CLASS]]="STEAM",Table1[[#This Row],[ENGINE_CLASS]]="ELECTRIC",Table1[[#This Row],[ENGINE_CLASS]]="DIESEL"),Table1[[#This Row],[ENGINE_CLASS]],"DISABLE")</f>
        <v>ELECTRIC</v>
      </c>
      <c r="BF557">
        <v>0</v>
      </c>
      <c r="BG557" t="s">
        <v>735</v>
      </c>
      <c r="BH557">
        <v>58</v>
      </c>
      <c r="BI557">
        <v>8</v>
      </c>
      <c r="BJ557">
        <v>51</v>
      </c>
      <c r="BK557">
        <v>0</v>
      </c>
      <c r="BL557" t="s">
        <v>693</v>
      </c>
      <c r="BM557" t="s">
        <v>695</v>
      </c>
      <c r="BN557" t="s">
        <v>702</v>
      </c>
      <c r="BO557" t="s">
        <v>706</v>
      </c>
      <c r="BP557" t="s">
        <v>707</v>
      </c>
      <c r="BQ557" t="s">
        <v>708</v>
      </c>
    </row>
    <row r="558" spans="1:69" x14ac:dyDescent="0.4">
      <c r="A558" s="2" t="s">
        <v>586</v>
      </c>
      <c r="B558" t="str">
        <f>_xlfn.TEXTAFTER(Table1[[#This Row],[VEHIDCODE]],"_")</f>
        <v>France_SNCF_TGV_Sud_Est</v>
      </c>
      <c r="C558" t="s">
        <v>745</v>
      </c>
      <c r="D558" t="str">
        <f>"item_"&amp;Table1[[#This Row],[VEHIDCODE]]</f>
        <v>item_emu_France_SNCF_TGV_Sud_Est</v>
      </c>
      <c r="E558" t="str">
        <f>"str_"&amp;Table1[[#This Row],[VEHIDCODE]]</f>
        <v>str_emu_France_SNCF_TGV_Sud_Est</v>
      </c>
      <c r="F558">
        <v>8</v>
      </c>
      <c r="G558" t="s">
        <v>18</v>
      </c>
      <c r="H558">
        <v>1</v>
      </c>
      <c r="I558" t="s">
        <v>74</v>
      </c>
      <c r="J558">
        <v>0</v>
      </c>
      <c r="K558">
        <v>1981</v>
      </c>
      <c r="L558">
        <v>8</v>
      </c>
      <c r="M558" s="2" t="s">
        <v>480</v>
      </c>
      <c r="N558" t="b">
        <v>1</v>
      </c>
      <c r="O558" t="b">
        <v>1</v>
      </c>
      <c r="P558" s="2"/>
      <c r="Q558">
        <v>45</v>
      </c>
      <c r="R558">
        <v>1</v>
      </c>
      <c r="S558">
        <v>9000</v>
      </c>
      <c r="T558" t="s">
        <v>710</v>
      </c>
      <c r="U558">
        <v>240</v>
      </c>
      <c r="V558" s="2">
        <v>0.92</v>
      </c>
      <c r="W558" t="b">
        <v>1</v>
      </c>
      <c r="AE558"/>
      <c r="AZ558" s="2"/>
      <c r="BA558" s="7">
        <v>25</v>
      </c>
      <c r="BB558" t="s">
        <v>924</v>
      </c>
      <c r="BC558" t="s">
        <v>923</v>
      </c>
      <c r="BD558" t="s">
        <v>941</v>
      </c>
      <c r="BE558" t="str">
        <f>IF(OR(Table1[[#This Row],[ENGINE_CLASS]]="STEAM",Table1[[#This Row],[ENGINE_CLASS]]="ELECTRIC",Table1[[#This Row],[ENGINE_CLASS]]="DIESEL"),Table1[[#This Row],[ENGINE_CLASS]],"DISABLE")</f>
        <v>ELECTRIC</v>
      </c>
      <c r="BF558">
        <v>0</v>
      </c>
      <c r="BG558" t="s">
        <v>735</v>
      </c>
      <c r="BH558">
        <v>43</v>
      </c>
      <c r="BI558">
        <v>6</v>
      </c>
      <c r="BJ558">
        <v>38</v>
      </c>
      <c r="BK558">
        <v>0</v>
      </c>
      <c r="BL558" t="s">
        <v>693</v>
      </c>
      <c r="BM558" t="s">
        <v>695</v>
      </c>
      <c r="BN558" t="s">
        <v>702</v>
      </c>
      <c r="BO558" t="s">
        <v>706</v>
      </c>
      <c r="BP558" t="s">
        <v>707</v>
      </c>
      <c r="BQ558" t="s">
        <v>708</v>
      </c>
    </row>
    <row r="559" spans="1:69" x14ac:dyDescent="0.4">
      <c r="A559" s="2" t="s">
        <v>587</v>
      </c>
      <c r="B559" t="str">
        <f>_xlfn.TEXTAFTER(Table1[[#This Row],[VEHIDCODE]],"_")</f>
        <v>France_SNCF_TGV_Duplex</v>
      </c>
      <c r="C559" t="s">
        <v>745</v>
      </c>
      <c r="D559" t="str">
        <f>"item_"&amp;Table1[[#This Row],[VEHIDCODE]]</f>
        <v>item_emu_France_SNCF_TGV_Duplex</v>
      </c>
      <c r="E559" t="str">
        <f>"str_"&amp;Table1[[#This Row],[VEHIDCODE]]</f>
        <v>str_emu_France_SNCF_TGV_Duplex</v>
      </c>
      <c r="F559">
        <v>8</v>
      </c>
      <c r="G559" t="s">
        <v>18</v>
      </c>
      <c r="H559">
        <v>1</v>
      </c>
      <c r="I559" t="s">
        <v>74</v>
      </c>
      <c r="J559">
        <v>0</v>
      </c>
      <c r="K559">
        <v>1995</v>
      </c>
      <c r="L559">
        <v>8</v>
      </c>
      <c r="M559" s="2" t="s">
        <v>480</v>
      </c>
      <c r="N559" t="b">
        <v>1</v>
      </c>
      <c r="O559" t="b">
        <v>1</v>
      </c>
      <c r="P559" s="2"/>
      <c r="Q559" t="s">
        <v>21</v>
      </c>
      <c r="R559">
        <v>1</v>
      </c>
      <c r="S559">
        <v>12800</v>
      </c>
      <c r="T559" t="s">
        <v>710</v>
      </c>
      <c r="U559">
        <v>320</v>
      </c>
      <c r="V559" s="2">
        <v>0.81</v>
      </c>
      <c r="W559" t="b">
        <v>1</v>
      </c>
      <c r="AE559"/>
      <c r="AZ559" s="2"/>
      <c r="BA559" s="7">
        <v>25</v>
      </c>
      <c r="BB559" t="s">
        <v>924</v>
      </c>
      <c r="BC559" t="s">
        <v>923</v>
      </c>
      <c r="BD559" t="s">
        <v>941</v>
      </c>
      <c r="BE559" t="str">
        <f>IF(OR(Table1[[#This Row],[ENGINE_CLASS]]="STEAM",Table1[[#This Row],[ENGINE_CLASS]]="ELECTRIC",Table1[[#This Row],[ENGINE_CLASS]]="DIESEL"),Table1[[#This Row],[ENGINE_CLASS]],"DISABLE")</f>
        <v>ELECTRIC</v>
      </c>
      <c r="BF559">
        <v>-3</v>
      </c>
      <c r="BG559" t="s">
        <v>735</v>
      </c>
      <c r="BH559">
        <v>72</v>
      </c>
      <c r="BI559">
        <v>6</v>
      </c>
      <c r="BJ559">
        <v>43</v>
      </c>
      <c r="BK559">
        <v>0</v>
      </c>
      <c r="BL559" t="s">
        <v>693</v>
      </c>
      <c r="BM559" t="s">
        <v>695</v>
      </c>
      <c r="BN559" t="s">
        <v>702</v>
      </c>
      <c r="BO559" t="s">
        <v>706</v>
      </c>
      <c r="BP559" t="s">
        <v>707</v>
      </c>
      <c r="BQ559" t="s">
        <v>708</v>
      </c>
    </row>
    <row r="560" spans="1:69" x14ac:dyDescent="0.4">
      <c r="A560" s="2" t="s">
        <v>588</v>
      </c>
      <c r="B560" t="str">
        <f>_xlfn.TEXTAFTER(Table1[[#This Row],[VEHIDCODE]],"_")</f>
        <v>France_Thalys_PBKA</v>
      </c>
      <c r="C560" t="s">
        <v>745</v>
      </c>
      <c r="D560" t="str">
        <f>"item_"&amp;Table1[[#This Row],[VEHIDCODE]]</f>
        <v>item_emu_France_Thalys_PBKA</v>
      </c>
      <c r="E560" t="str">
        <f>"str_"&amp;Table1[[#This Row],[VEHIDCODE]]</f>
        <v>str_emu_France_Thalys_PBKA</v>
      </c>
      <c r="F560">
        <v>8</v>
      </c>
      <c r="G560" t="s">
        <v>18</v>
      </c>
      <c r="H560">
        <v>1</v>
      </c>
      <c r="I560" t="s">
        <v>74</v>
      </c>
      <c r="J560">
        <v>0</v>
      </c>
      <c r="K560">
        <v>1995</v>
      </c>
      <c r="L560">
        <v>8</v>
      </c>
      <c r="M560" s="2" t="s">
        <v>480</v>
      </c>
      <c r="N560" t="b">
        <v>1</v>
      </c>
      <c r="O560" t="b">
        <v>1</v>
      </c>
      <c r="P560" s="2"/>
      <c r="Q560" t="s">
        <v>21</v>
      </c>
      <c r="R560">
        <v>1</v>
      </c>
      <c r="S560">
        <v>12000</v>
      </c>
      <c r="T560" t="s">
        <v>710</v>
      </c>
      <c r="U560">
        <v>300</v>
      </c>
      <c r="V560" s="2">
        <v>0.85</v>
      </c>
      <c r="W560" t="b">
        <v>1</v>
      </c>
      <c r="AE560"/>
      <c r="AZ560" s="2"/>
      <c r="BA560" s="7">
        <v>25</v>
      </c>
      <c r="BB560" t="s">
        <v>924</v>
      </c>
      <c r="BC560" t="s">
        <v>923</v>
      </c>
      <c r="BD560" t="s">
        <v>941</v>
      </c>
      <c r="BE560" t="str">
        <f>IF(OR(Table1[[#This Row],[ENGINE_CLASS]]="STEAM",Table1[[#This Row],[ENGINE_CLASS]]="ELECTRIC",Table1[[#This Row],[ENGINE_CLASS]]="DIESEL"),Table1[[#This Row],[ENGINE_CLASS]],"DISABLE")</f>
        <v>ELECTRIC</v>
      </c>
      <c r="BF560">
        <v>0</v>
      </c>
      <c r="BG560" t="s">
        <v>735</v>
      </c>
      <c r="BH560">
        <v>47</v>
      </c>
      <c r="BI560">
        <v>6</v>
      </c>
      <c r="BJ560">
        <v>41</v>
      </c>
      <c r="BK560">
        <v>0</v>
      </c>
      <c r="BL560" t="s">
        <v>693</v>
      </c>
      <c r="BM560" t="s">
        <v>695</v>
      </c>
      <c r="BN560" t="s">
        <v>702</v>
      </c>
      <c r="BO560" t="s">
        <v>706</v>
      </c>
      <c r="BP560" t="s">
        <v>707</v>
      </c>
      <c r="BQ560" t="s">
        <v>708</v>
      </c>
    </row>
    <row r="561" spans="1:69" x14ac:dyDescent="0.4">
      <c r="A561" s="2" t="s">
        <v>589</v>
      </c>
      <c r="B561" t="str">
        <f>_xlfn.TEXTAFTER(Table1[[#This Row],[VEHIDCODE]],"_")</f>
        <v>Czech_Republic_CD_680_Pendolino</v>
      </c>
      <c r="C561" t="s">
        <v>745</v>
      </c>
      <c r="D561" t="str">
        <f>"item_"&amp;Table1[[#This Row],[VEHIDCODE]]</f>
        <v>item_emu_Czech_Republic_CD_680_Pendolino</v>
      </c>
      <c r="E561" t="str">
        <f>"str_"&amp;Table1[[#This Row],[VEHIDCODE]]</f>
        <v>str_emu_Czech_Republic_CD_680_Pendolino</v>
      </c>
      <c r="F561">
        <v>8</v>
      </c>
      <c r="G561" t="s">
        <v>18</v>
      </c>
      <c r="H561">
        <v>1</v>
      </c>
      <c r="I561" t="s">
        <v>74</v>
      </c>
      <c r="J561">
        <v>47</v>
      </c>
      <c r="K561">
        <v>1999</v>
      </c>
      <c r="L561">
        <v>8</v>
      </c>
      <c r="M561" s="2" t="s">
        <v>480</v>
      </c>
      <c r="N561" t="b">
        <v>1</v>
      </c>
      <c r="O561" t="b">
        <v>1</v>
      </c>
      <c r="P561" s="2"/>
      <c r="Q561" t="s">
        <v>21</v>
      </c>
      <c r="R561">
        <v>1</v>
      </c>
      <c r="S561">
        <v>750</v>
      </c>
      <c r="T561" t="s">
        <v>710</v>
      </c>
      <c r="U561">
        <v>230</v>
      </c>
      <c r="V561" s="2">
        <v>0.67</v>
      </c>
      <c r="W561" t="b">
        <v>1</v>
      </c>
      <c r="AE561"/>
      <c r="AZ561" s="2"/>
      <c r="BA561" s="7">
        <v>25</v>
      </c>
      <c r="BB561" t="s">
        <v>930</v>
      </c>
      <c r="BC561" t="s">
        <v>923</v>
      </c>
      <c r="BD561" t="s">
        <v>941</v>
      </c>
      <c r="BE561" t="str">
        <f>IF(OR(Table1[[#This Row],[ENGINE_CLASS]]="STEAM",Table1[[#This Row],[ENGINE_CLASS]]="ELECTRIC",Table1[[#This Row],[ENGINE_CLASS]]="DIESEL"),Table1[[#This Row],[ENGINE_CLASS]],"DISABLE")</f>
        <v>ELECTRIC</v>
      </c>
      <c r="BF561">
        <v>0</v>
      </c>
      <c r="BG561" t="s">
        <v>735</v>
      </c>
      <c r="BH561">
        <v>47</v>
      </c>
      <c r="BI561">
        <v>8</v>
      </c>
      <c r="BJ561">
        <v>55</v>
      </c>
      <c r="BK561">
        <v>0</v>
      </c>
      <c r="BL561" t="s">
        <v>693</v>
      </c>
      <c r="BM561" t="s">
        <v>695</v>
      </c>
      <c r="BN561" t="s">
        <v>702</v>
      </c>
      <c r="BO561" t="s">
        <v>706</v>
      </c>
      <c r="BP561" t="s">
        <v>707</v>
      </c>
      <c r="BQ561" t="s">
        <v>708</v>
      </c>
    </row>
    <row r="562" spans="1:69" x14ac:dyDescent="0.4">
      <c r="A562" s="2" t="s">
        <v>590</v>
      </c>
      <c r="B562" t="str">
        <f>_xlfn.TEXTAFTER(Table1[[#This Row],[VEHIDCODE]],"_")</f>
        <v>Spain_RENFE_120</v>
      </c>
      <c r="C562" t="s">
        <v>745</v>
      </c>
      <c r="D562" t="str">
        <f>"item_"&amp;Table1[[#This Row],[VEHIDCODE]]</f>
        <v>item_emu_Spain_RENFE_120</v>
      </c>
      <c r="E562" t="str">
        <f>"str_"&amp;Table1[[#This Row],[VEHIDCODE]]</f>
        <v>str_emu_Spain_RENFE_120</v>
      </c>
      <c r="F562">
        <v>8</v>
      </c>
      <c r="G562" t="s">
        <v>18</v>
      </c>
      <c r="H562">
        <v>1</v>
      </c>
      <c r="I562" t="s">
        <v>74</v>
      </c>
      <c r="J562">
        <v>60</v>
      </c>
      <c r="K562">
        <v>2001</v>
      </c>
      <c r="L562">
        <v>8</v>
      </c>
      <c r="M562" s="2" t="s">
        <v>24</v>
      </c>
      <c r="N562" t="b">
        <v>1</v>
      </c>
      <c r="O562" t="b">
        <v>1</v>
      </c>
      <c r="P562" s="2"/>
      <c r="Q562" t="s">
        <v>21</v>
      </c>
      <c r="R562">
        <v>1</v>
      </c>
      <c r="S562">
        <v>1340</v>
      </c>
      <c r="T562" t="s">
        <v>710</v>
      </c>
      <c r="U562">
        <v>250</v>
      </c>
      <c r="V562" s="2">
        <v>0.36</v>
      </c>
      <c r="W562" t="b">
        <v>1</v>
      </c>
      <c r="AE562"/>
      <c r="AZ562" s="2"/>
      <c r="BA562" s="7">
        <v>25</v>
      </c>
      <c r="BB562" t="s">
        <v>925</v>
      </c>
      <c r="BC562" t="s">
        <v>923</v>
      </c>
      <c r="BD562" t="s">
        <v>941</v>
      </c>
      <c r="BE562" t="str">
        <f>IF(OR(Table1[[#This Row],[ENGINE_CLASS]]="STEAM",Table1[[#This Row],[ENGINE_CLASS]]="ELECTRIC",Table1[[#This Row],[ENGINE_CLASS]]="DIESEL"),Table1[[#This Row],[ENGINE_CLASS]],"DISABLE")</f>
        <v>ELECTRIC</v>
      </c>
      <c r="BF562">
        <v>0</v>
      </c>
      <c r="BG562" t="s">
        <v>735</v>
      </c>
      <c r="BH562">
        <v>60</v>
      </c>
      <c r="BI562">
        <v>8</v>
      </c>
      <c r="BJ562">
        <v>56</v>
      </c>
      <c r="BK562">
        <v>0</v>
      </c>
      <c r="BL562" t="s">
        <v>693</v>
      </c>
      <c r="BM562" t="s">
        <v>695</v>
      </c>
      <c r="BN562" t="s">
        <v>702</v>
      </c>
      <c r="BO562" t="s">
        <v>706</v>
      </c>
      <c r="BP562" t="s">
        <v>707</v>
      </c>
      <c r="BQ562" t="s">
        <v>708</v>
      </c>
    </row>
    <row r="563" spans="1:69" x14ac:dyDescent="0.4">
      <c r="A563" s="2" t="s">
        <v>591</v>
      </c>
      <c r="B563" t="str">
        <f>_xlfn.TEXTAFTER(Table1[[#This Row],[VEHIDCODE]],"_")</f>
        <v>USA_Amtrak_Acela_Express</v>
      </c>
      <c r="C563" t="s">
        <v>745</v>
      </c>
      <c r="D563" t="str">
        <f>"item_"&amp;Table1[[#This Row],[VEHIDCODE]]</f>
        <v>item_emu_USA_Amtrak_Acela_Express</v>
      </c>
      <c r="E563" t="str">
        <f>"str_"&amp;Table1[[#This Row],[VEHIDCODE]]</f>
        <v>str_emu_USA_Amtrak_Acela_Express</v>
      </c>
      <c r="F563">
        <v>8</v>
      </c>
      <c r="G563" t="s">
        <v>18</v>
      </c>
      <c r="H563">
        <v>1</v>
      </c>
      <c r="I563" t="s">
        <v>74</v>
      </c>
      <c r="J563">
        <v>0</v>
      </c>
      <c r="K563">
        <v>1999</v>
      </c>
      <c r="L563">
        <v>8</v>
      </c>
      <c r="M563" s="2" t="s">
        <v>24</v>
      </c>
      <c r="N563" t="b">
        <v>1</v>
      </c>
      <c r="O563" t="b">
        <v>1</v>
      </c>
      <c r="P563" s="2"/>
      <c r="Q563">
        <v>45</v>
      </c>
      <c r="R563">
        <v>1</v>
      </c>
      <c r="S563">
        <v>12400</v>
      </c>
      <c r="T563" t="s">
        <v>710</v>
      </c>
      <c r="U563">
        <v>266</v>
      </c>
      <c r="V563" s="2">
        <v>0.24</v>
      </c>
      <c r="W563" t="b">
        <v>1</v>
      </c>
      <c r="AE563"/>
      <c r="AZ563" s="2"/>
      <c r="BA563" s="7">
        <v>40</v>
      </c>
      <c r="BB563" t="s">
        <v>929</v>
      </c>
      <c r="BC563" t="s">
        <v>923</v>
      </c>
      <c r="BD563" t="s">
        <v>941</v>
      </c>
      <c r="BE563" t="str">
        <f>IF(OR(Table1[[#This Row],[ENGINE_CLASS]]="STEAM",Table1[[#This Row],[ENGINE_CLASS]]="ELECTRIC",Table1[[#This Row],[ENGINE_CLASS]]="DIESEL"),Table1[[#This Row],[ENGINE_CLASS]],"DISABLE")</f>
        <v>ELECTRIC</v>
      </c>
      <c r="BF563">
        <v>0</v>
      </c>
      <c r="BG563" t="s">
        <v>735</v>
      </c>
      <c r="BH563">
        <v>50</v>
      </c>
      <c r="BI563">
        <v>8</v>
      </c>
      <c r="BJ563">
        <v>93</v>
      </c>
      <c r="BK563">
        <v>0</v>
      </c>
      <c r="BL563" t="s">
        <v>693</v>
      </c>
      <c r="BM563" t="s">
        <v>695</v>
      </c>
      <c r="BN563" t="s">
        <v>702</v>
      </c>
      <c r="BO563" t="s">
        <v>706</v>
      </c>
      <c r="BP563" t="s">
        <v>707</v>
      </c>
      <c r="BQ563" t="s">
        <v>708</v>
      </c>
    </row>
    <row r="564" spans="1:69" x14ac:dyDescent="0.4">
      <c r="A564" s="2" t="s">
        <v>592</v>
      </c>
      <c r="B564" t="str">
        <f>_xlfn.TEXTAFTER(Table1[[#This Row],[VEHIDCODE]],"_")</f>
        <v>USA_Brooklyn_Union_Gate_Car</v>
      </c>
      <c r="C564" t="s">
        <v>746</v>
      </c>
      <c r="D564" t="str">
        <f>"item_"&amp;Table1[[#This Row],[VEHIDCODE]]</f>
        <v>item_singlemtro_USA_Brooklyn_Union_Gate_Car</v>
      </c>
      <c r="E564" t="str">
        <f>"str_"&amp;Table1[[#This Row],[VEHIDCODE]]</f>
        <v>str_singlemtro_USA_Brooklyn_Union_Gate_Car</v>
      </c>
      <c r="F564">
        <v>7</v>
      </c>
      <c r="G564" t="s">
        <v>326</v>
      </c>
      <c r="H564">
        <v>0</v>
      </c>
      <c r="I564" t="s">
        <v>19</v>
      </c>
      <c r="J564">
        <v>60</v>
      </c>
      <c r="K564">
        <v>1880</v>
      </c>
      <c r="L564">
        <v>7</v>
      </c>
      <c r="M564" s="2" t="s">
        <v>327</v>
      </c>
      <c r="N564" t="b">
        <v>1</v>
      </c>
      <c r="P564" s="2"/>
      <c r="Q564">
        <v>45</v>
      </c>
      <c r="R564">
        <v>1</v>
      </c>
      <c r="S564">
        <v>200</v>
      </c>
      <c r="T564" t="s">
        <v>710</v>
      </c>
      <c r="U564">
        <v>60</v>
      </c>
      <c r="V564" s="2">
        <v>0.5</v>
      </c>
      <c r="AE564"/>
      <c r="AZ564" s="2"/>
      <c r="BA564" s="7">
        <v>60</v>
      </c>
      <c r="BB564" t="s">
        <v>929</v>
      </c>
      <c r="BC564" t="s">
        <v>923</v>
      </c>
      <c r="BD564" t="s">
        <v>941</v>
      </c>
      <c r="BE564" t="str">
        <f>IF(OR(Table1[[#This Row],[ENGINE_CLASS]]="STEAM",Table1[[#This Row],[ENGINE_CLASS]]="ELECTRIC",Table1[[#This Row],[ENGINE_CLASS]]="DIESEL"),Table1[[#This Row],[ENGINE_CLASS]],"DISABLE")</f>
        <v>DISABLE</v>
      </c>
      <c r="BF564">
        <v>0</v>
      </c>
      <c r="BG564" t="s">
        <v>735</v>
      </c>
      <c r="BI564"/>
      <c r="BJ564">
        <v>20</v>
      </c>
      <c r="BK564">
        <v>0</v>
      </c>
      <c r="BL564" t="s">
        <v>693</v>
      </c>
      <c r="BM564" t="s">
        <v>695</v>
      </c>
      <c r="BN564" t="s">
        <v>702</v>
      </c>
      <c r="BO564" t="s">
        <v>706</v>
      </c>
      <c r="BP564" t="s">
        <v>707</v>
      </c>
      <c r="BQ564" t="s">
        <v>708</v>
      </c>
    </row>
    <row r="565" spans="1:69" x14ac:dyDescent="0.4">
      <c r="A565" s="2" t="s">
        <v>593</v>
      </c>
      <c r="B565" t="str">
        <f>_xlfn.TEXTAFTER(Table1[[#This Row],[VEHIDCODE]],"_")</f>
        <v>Hungary_Budapest_1894_Stock</v>
      </c>
      <c r="C565" t="s">
        <v>746</v>
      </c>
      <c r="D565" t="str">
        <f>"item_"&amp;Table1[[#This Row],[VEHIDCODE]]</f>
        <v>item_singlemtro_Hungary_Budapest_1894_Stock</v>
      </c>
      <c r="E565" t="str">
        <f>"str_"&amp;Table1[[#This Row],[VEHIDCODE]]</f>
        <v>str_singlemtro_Hungary_Budapest_1894_Stock</v>
      </c>
      <c r="F565">
        <v>8</v>
      </c>
      <c r="G565" t="s">
        <v>326</v>
      </c>
      <c r="H565">
        <v>0</v>
      </c>
      <c r="I565" t="s">
        <v>19</v>
      </c>
      <c r="J565">
        <v>100</v>
      </c>
      <c r="K565">
        <v>1894</v>
      </c>
      <c r="L565">
        <v>8</v>
      </c>
      <c r="M565" s="2" t="s">
        <v>327</v>
      </c>
      <c r="N565" t="b">
        <v>1</v>
      </c>
      <c r="P565" s="2"/>
      <c r="Q565">
        <v>45</v>
      </c>
      <c r="R565">
        <v>1</v>
      </c>
      <c r="S565">
        <v>200</v>
      </c>
      <c r="T565" t="s">
        <v>710</v>
      </c>
      <c r="U565">
        <v>60</v>
      </c>
      <c r="V565" s="2">
        <v>0.32</v>
      </c>
      <c r="AE565"/>
      <c r="AZ565" s="2"/>
      <c r="BA565" s="7">
        <v>60</v>
      </c>
      <c r="BB565" t="s">
        <v>930</v>
      </c>
      <c r="BC565" t="s">
        <v>923</v>
      </c>
      <c r="BD565" t="s">
        <v>941</v>
      </c>
      <c r="BE565" t="str">
        <f>IF(OR(Table1[[#This Row],[ENGINE_CLASS]]="STEAM",Table1[[#This Row],[ENGINE_CLASS]]="ELECTRIC",Table1[[#This Row],[ENGINE_CLASS]]="DIESEL"),Table1[[#This Row],[ENGINE_CLASS]],"DISABLE")</f>
        <v>DISABLE</v>
      </c>
      <c r="BF565">
        <v>0</v>
      </c>
      <c r="BG565" t="s">
        <v>735</v>
      </c>
      <c r="BI565"/>
      <c r="BJ565">
        <v>25</v>
      </c>
      <c r="BK565">
        <v>0</v>
      </c>
      <c r="BL565" t="s">
        <v>693</v>
      </c>
      <c r="BM565" t="s">
        <v>695</v>
      </c>
      <c r="BN565" t="s">
        <v>702</v>
      </c>
      <c r="BO565" t="s">
        <v>706</v>
      </c>
      <c r="BP565" t="s">
        <v>707</v>
      </c>
      <c r="BQ565" t="s">
        <v>708</v>
      </c>
    </row>
    <row r="566" spans="1:69" x14ac:dyDescent="0.4">
      <c r="A566" s="2" t="s">
        <v>594</v>
      </c>
      <c r="B566" t="str">
        <f>_xlfn.TEXTAFTER(Table1[[#This Row],[VEHIDCODE]],"_")</f>
        <v>USA_Chicago_L_Northwest_Elevated_1907_Stock</v>
      </c>
      <c r="C566" t="s">
        <v>746</v>
      </c>
      <c r="D566" t="str">
        <f>"item_"&amp;Table1[[#This Row],[VEHIDCODE]]</f>
        <v>item_singlemtro_USA_Chicago_L_Northwest_Elevated_1907_Stock</v>
      </c>
      <c r="E566" t="str">
        <f>"str_"&amp;Table1[[#This Row],[VEHIDCODE]]</f>
        <v>str_singlemtro_USA_Chicago_L_Northwest_Elevated_1907_Stock</v>
      </c>
      <c r="F566">
        <v>8</v>
      </c>
      <c r="G566" t="s">
        <v>326</v>
      </c>
      <c r="H566">
        <v>0</v>
      </c>
      <c r="I566" t="s">
        <v>19</v>
      </c>
      <c r="J566">
        <v>130</v>
      </c>
      <c r="K566">
        <v>1907</v>
      </c>
      <c r="L566">
        <v>8</v>
      </c>
      <c r="M566" s="2" t="s">
        <v>327</v>
      </c>
      <c r="N566" t="b">
        <v>1</v>
      </c>
      <c r="P566" s="2"/>
      <c r="Q566">
        <v>45</v>
      </c>
      <c r="R566">
        <v>1</v>
      </c>
      <c r="S566">
        <v>250</v>
      </c>
      <c r="T566" t="s">
        <v>710</v>
      </c>
      <c r="U566">
        <v>70</v>
      </c>
      <c r="V566" s="2">
        <v>0.1</v>
      </c>
      <c r="AE566"/>
      <c r="AZ566" s="2"/>
      <c r="BA566" s="7">
        <v>60</v>
      </c>
      <c r="BB566" t="s">
        <v>929</v>
      </c>
      <c r="BC566" t="s">
        <v>923</v>
      </c>
      <c r="BD566" t="s">
        <v>941</v>
      </c>
      <c r="BE566" t="str">
        <f>IF(OR(Table1[[#This Row],[ENGINE_CLASS]]="STEAM",Table1[[#This Row],[ENGINE_CLASS]]="ELECTRIC",Table1[[#This Row],[ENGINE_CLASS]]="DIESEL"),Table1[[#This Row],[ENGINE_CLASS]],"DISABLE")</f>
        <v>DISABLE</v>
      </c>
      <c r="BF566">
        <v>0</v>
      </c>
      <c r="BG566" t="s">
        <v>735</v>
      </c>
      <c r="BI566"/>
      <c r="BJ566">
        <v>50</v>
      </c>
      <c r="BK566">
        <v>0</v>
      </c>
      <c r="BL566" t="s">
        <v>693</v>
      </c>
      <c r="BM566" t="s">
        <v>695</v>
      </c>
      <c r="BN566" t="s">
        <v>702</v>
      </c>
      <c r="BO566" t="s">
        <v>706</v>
      </c>
      <c r="BP566" t="s">
        <v>707</v>
      </c>
      <c r="BQ566" t="s">
        <v>708</v>
      </c>
    </row>
    <row r="567" spans="1:69" x14ac:dyDescent="0.4">
      <c r="A567" s="2" t="s">
        <v>595</v>
      </c>
      <c r="B567" t="str">
        <f>_xlfn.TEXTAFTER(Table1[[#This Row],[VEHIDCODE]],"_")</f>
        <v>Germany_Berlin_U_Bahn_C_II</v>
      </c>
      <c r="C567" t="s">
        <v>746</v>
      </c>
      <c r="D567" t="str">
        <f>"item_"&amp;Table1[[#This Row],[VEHIDCODE]]</f>
        <v>item_singlemtro_Germany_Berlin_U_Bahn_C_II</v>
      </c>
      <c r="E567" t="str">
        <f>"str_"&amp;Table1[[#This Row],[VEHIDCODE]]</f>
        <v>str_singlemtro_Germany_Berlin_U_Bahn_C_II</v>
      </c>
      <c r="F567">
        <v>8</v>
      </c>
      <c r="G567" t="s">
        <v>326</v>
      </c>
      <c r="H567">
        <v>0</v>
      </c>
      <c r="I567" t="s">
        <v>19</v>
      </c>
      <c r="J567">
        <v>157</v>
      </c>
      <c r="K567">
        <v>1929</v>
      </c>
      <c r="L567">
        <v>8</v>
      </c>
      <c r="M567" s="2" t="s">
        <v>327</v>
      </c>
      <c r="N567" t="b">
        <v>1</v>
      </c>
      <c r="P567" s="2"/>
      <c r="Q567">
        <v>45</v>
      </c>
      <c r="R567">
        <v>1</v>
      </c>
      <c r="S567">
        <v>375</v>
      </c>
      <c r="T567" t="s">
        <v>710</v>
      </c>
      <c r="U567">
        <v>60</v>
      </c>
      <c r="V567" s="2">
        <v>7.0000000000000007E-2</v>
      </c>
      <c r="AE567"/>
      <c r="AZ567" s="2"/>
      <c r="BA567" s="7">
        <v>60</v>
      </c>
      <c r="BB567" t="s">
        <v>924</v>
      </c>
      <c r="BC567" t="s">
        <v>923</v>
      </c>
      <c r="BD567" t="s">
        <v>941</v>
      </c>
      <c r="BE567" t="str">
        <f>IF(OR(Table1[[#This Row],[ENGINE_CLASS]]="STEAM",Table1[[#This Row],[ENGINE_CLASS]]="ELECTRIC",Table1[[#This Row],[ENGINE_CLASS]]="DIESEL"),Table1[[#This Row],[ENGINE_CLASS]],"DISABLE")</f>
        <v>DISABLE</v>
      </c>
      <c r="BF567">
        <v>0</v>
      </c>
      <c r="BG567" t="s">
        <v>735</v>
      </c>
      <c r="BI567"/>
      <c r="BJ567">
        <v>50</v>
      </c>
      <c r="BK567">
        <v>0</v>
      </c>
      <c r="BL567" t="s">
        <v>693</v>
      </c>
      <c r="BM567" t="s">
        <v>695</v>
      </c>
      <c r="BN567" t="s">
        <v>702</v>
      </c>
      <c r="BO567" t="s">
        <v>706</v>
      </c>
      <c r="BP567" t="s">
        <v>707</v>
      </c>
      <c r="BQ567" t="s">
        <v>708</v>
      </c>
    </row>
    <row r="568" spans="1:69" x14ac:dyDescent="0.4">
      <c r="A568" s="2" t="s">
        <v>596</v>
      </c>
      <c r="B568" t="str">
        <f>_xlfn.TEXTAFTER(Table1[[#This Row],[VEHIDCODE]],"_")</f>
        <v>World_Turbobus</v>
      </c>
      <c r="C568" t="s">
        <v>747</v>
      </c>
      <c r="D568" t="str">
        <f>"item_"&amp;Table1[[#This Row],[VEHIDCODE]]</f>
        <v>item_rbm_World_Turbobus</v>
      </c>
      <c r="E568" t="str">
        <f>"str_"&amp;Table1[[#This Row],[VEHIDCODE]]</f>
        <v>str_rbm_World_Turbobus</v>
      </c>
      <c r="F568">
        <v>4</v>
      </c>
      <c r="G568" t="s">
        <v>18</v>
      </c>
      <c r="H568">
        <v>0</v>
      </c>
      <c r="I568" t="s">
        <v>19</v>
      </c>
      <c r="J568">
        <v>45</v>
      </c>
      <c r="K568">
        <v>2040</v>
      </c>
      <c r="L568">
        <v>8</v>
      </c>
      <c r="M568" s="2" t="s">
        <v>24</v>
      </c>
      <c r="N568" t="b">
        <v>1</v>
      </c>
      <c r="P568" s="2"/>
      <c r="Q568" t="s">
        <v>21</v>
      </c>
      <c r="R568">
        <v>1</v>
      </c>
      <c r="S568">
        <v>5070</v>
      </c>
      <c r="T568" t="s">
        <v>710</v>
      </c>
      <c r="U568">
        <v>753</v>
      </c>
      <c r="V568" s="2">
        <v>0.28999999999999998</v>
      </c>
      <c r="AE568"/>
      <c r="AY568" t="b">
        <v>1</v>
      </c>
      <c r="AZ568" s="2"/>
      <c r="BA568" s="7">
        <v>15</v>
      </c>
      <c r="BB568" t="s">
        <v>937</v>
      </c>
      <c r="BC568" t="s">
        <v>923</v>
      </c>
      <c r="BD568" t="e" vm="1">
        <v>#VALUE!</v>
      </c>
      <c r="BE568" t="str">
        <f>IF(OR(Table1[[#This Row],[ENGINE_CLASS]]="STEAM",Table1[[#This Row],[ENGINE_CLASS]]="ELECTRIC",Table1[[#This Row],[ENGINE_CLASS]]="DIESEL"),Table1[[#This Row],[ENGINE_CLASS]],"DISABLE")</f>
        <v>DISABLE</v>
      </c>
      <c r="BF568">
        <v>0</v>
      </c>
      <c r="BG568" t="s">
        <v>735</v>
      </c>
      <c r="BI568"/>
      <c r="BJ568">
        <v>30</v>
      </c>
      <c r="BK568">
        <v>0</v>
      </c>
      <c r="BL568" t="s">
        <v>693</v>
      </c>
      <c r="BM568" t="s">
        <v>695</v>
      </c>
      <c r="BN568" t="s">
        <v>702</v>
      </c>
      <c r="BO568" t="s">
        <v>706</v>
      </c>
      <c r="BP568" t="s">
        <v>707</v>
      </c>
      <c r="BQ568" t="s">
        <v>708</v>
      </c>
    </row>
    <row r="569" spans="1:69" x14ac:dyDescent="0.4">
      <c r="A569" s="2" t="s">
        <v>597</v>
      </c>
      <c r="B569" t="str">
        <f>_xlfn.TEXTAFTER(Table1[[#This Row],[VEHIDCODE]],"_")</f>
        <v>Germany_DB_182_ES64UM_Mutus</v>
      </c>
      <c r="C569" t="s">
        <v>748</v>
      </c>
      <c r="D569" t="str">
        <f>"item_"&amp;Table1[[#This Row],[VEHIDCODE]]</f>
        <v>item_mglv_Germany_DB_182_ES64UM_Mutus</v>
      </c>
      <c r="E569" t="str">
        <f>"str_"&amp;Table1[[#This Row],[VEHIDCODE]]</f>
        <v>str_mglv_Germany_DB_182_ES64UM_Mutus</v>
      </c>
      <c r="F569">
        <v>8</v>
      </c>
      <c r="G569" t="s">
        <v>20</v>
      </c>
      <c r="H569">
        <v>0</v>
      </c>
      <c r="I569" t="s">
        <v>19</v>
      </c>
      <c r="J569">
        <v>0</v>
      </c>
      <c r="K569">
        <v>2005</v>
      </c>
      <c r="L569">
        <v>8</v>
      </c>
      <c r="M569" s="2" t="s">
        <v>20</v>
      </c>
      <c r="N569" t="b">
        <v>1</v>
      </c>
      <c r="P569" s="2"/>
      <c r="Q569" t="s">
        <v>21</v>
      </c>
      <c r="R569">
        <v>1</v>
      </c>
      <c r="S569">
        <v>11266</v>
      </c>
      <c r="T569" t="s">
        <v>710</v>
      </c>
      <c r="U569">
        <v>230</v>
      </c>
      <c r="V569" s="2">
        <v>0.35</v>
      </c>
      <c r="AE569"/>
      <c r="AY569" t="b">
        <v>1</v>
      </c>
      <c r="AZ569" s="2"/>
      <c r="BA569" s="7">
        <v>40</v>
      </c>
      <c r="BB569" t="s">
        <v>924</v>
      </c>
      <c r="BC569" t="s">
        <v>923</v>
      </c>
      <c r="BD569" t="e" vm="1">
        <v>#VALUE!</v>
      </c>
      <c r="BE569" t="str">
        <f>IF(OR(Table1[[#This Row],[ENGINE_CLASS]]="STEAM",Table1[[#This Row],[ENGINE_CLASS]]="ELECTRIC",Table1[[#This Row],[ENGINE_CLASS]]="DIESEL"),Table1[[#This Row],[ENGINE_CLASS]],"DISABLE")</f>
        <v>DISABLE</v>
      </c>
      <c r="BF569">
        <v>0</v>
      </c>
      <c r="BG569" t="s">
        <v>735</v>
      </c>
      <c r="BI569"/>
      <c r="BJ569">
        <v>86</v>
      </c>
      <c r="BK569">
        <v>0</v>
      </c>
      <c r="BL569" t="s">
        <v>693</v>
      </c>
      <c r="BM569" t="s">
        <v>695</v>
      </c>
      <c r="BN569" t="s">
        <v>702</v>
      </c>
      <c r="BO569" t="s">
        <v>706</v>
      </c>
      <c r="BP569" t="s">
        <v>707</v>
      </c>
      <c r="BQ569" t="s">
        <v>708</v>
      </c>
    </row>
    <row r="570" spans="1:69" x14ac:dyDescent="0.4">
      <c r="A570" s="2" t="s">
        <v>598</v>
      </c>
      <c r="B570" t="str">
        <f>_xlfn.TEXTAFTER(Table1[[#This Row],[VEHIDCODE]],"_")</f>
        <v>China_Transrapid</v>
      </c>
      <c r="C570" t="s">
        <v>748</v>
      </c>
      <c r="D570" t="str">
        <f>"item_"&amp;Table1[[#This Row],[VEHIDCODE]]</f>
        <v>item_mglv_China_Transrapid</v>
      </c>
      <c r="E570" t="str">
        <f>"str_"&amp;Table1[[#This Row],[VEHIDCODE]]</f>
        <v>str_mglv_China_Transrapid</v>
      </c>
      <c r="F570">
        <v>8</v>
      </c>
      <c r="G570" t="s">
        <v>18</v>
      </c>
      <c r="H570">
        <v>1</v>
      </c>
      <c r="I570" t="s">
        <v>19</v>
      </c>
      <c r="J570">
        <v>50</v>
      </c>
      <c r="K570">
        <v>2004</v>
      </c>
      <c r="L570">
        <v>8</v>
      </c>
      <c r="M570" s="2" t="s">
        <v>480</v>
      </c>
      <c r="N570" t="b">
        <v>1</v>
      </c>
      <c r="O570" t="b">
        <v>1</v>
      </c>
      <c r="P570" s="2"/>
      <c r="Q570" t="s">
        <v>21</v>
      </c>
      <c r="R570">
        <v>1</v>
      </c>
      <c r="S570">
        <v>2028</v>
      </c>
      <c r="T570" t="s">
        <v>710</v>
      </c>
      <c r="U570">
        <v>433</v>
      </c>
      <c r="V570" s="2">
        <v>0.3</v>
      </c>
      <c r="AE570"/>
      <c r="AY570" t="b">
        <v>1</v>
      </c>
      <c r="AZ570" s="2"/>
      <c r="BA570" s="7">
        <v>25</v>
      </c>
      <c r="BB570" t="s">
        <v>932</v>
      </c>
      <c r="BC570" t="s">
        <v>923</v>
      </c>
      <c r="BD570" t="s">
        <v>941</v>
      </c>
      <c r="BE570" t="str">
        <f>IF(OR(Table1[[#This Row],[ENGINE_CLASS]]="STEAM",Table1[[#This Row],[ENGINE_CLASS]]="ELECTRIC",Table1[[#This Row],[ENGINE_CLASS]]="DIESEL"),Table1[[#This Row],[ENGINE_CLASS]],"DISABLE")</f>
        <v>DISABLE</v>
      </c>
      <c r="BF570">
        <v>0</v>
      </c>
      <c r="BG570" t="s">
        <v>735</v>
      </c>
      <c r="BH570">
        <v>55</v>
      </c>
      <c r="BI570">
        <v>8</v>
      </c>
      <c r="BJ570">
        <v>30</v>
      </c>
      <c r="BK570">
        <v>0</v>
      </c>
      <c r="BL570" t="s">
        <v>693</v>
      </c>
      <c r="BM570" t="s">
        <v>695</v>
      </c>
      <c r="BN570" t="s">
        <v>702</v>
      </c>
      <c r="BO570" t="s">
        <v>706</v>
      </c>
      <c r="BP570" t="s">
        <v>707</v>
      </c>
      <c r="BQ570" t="s">
        <v>708</v>
      </c>
    </row>
    <row r="571" spans="1:69" x14ac:dyDescent="0.4">
      <c r="A571" s="2" t="s">
        <v>599</v>
      </c>
      <c r="B571" t="str">
        <f>_xlfn.TEXTAFTER(Table1[[#This Row],[VEHIDCODE]],"_")</f>
        <v>Japan_MLX01_901</v>
      </c>
      <c r="C571" t="s">
        <v>748</v>
      </c>
      <c r="D571" t="str">
        <f>"item_"&amp;Table1[[#This Row],[VEHIDCODE]]</f>
        <v>item_mglv_Japan_MLX01_901</v>
      </c>
      <c r="E571" t="str">
        <f>"str_"&amp;Table1[[#This Row],[VEHIDCODE]]</f>
        <v>str_mglv_Japan_MLX01_901</v>
      </c>
      <c r="F571">
        <v>8</v>
      </c>
      <c r="G571" t="s">
        <v>18</v>
      </c>
      <c r="H571">
        <v>1</v>
      </c>
      <c r="I571" t="s">
        <v>19</v>
      </c>
      <c r="J571">
        <v>55</v>
      </c>
      <c r="K571">
        <v>2025</v>
      </c>
      <c r="L571">
        <v>8</v>
      </c>
      <c r="M571" s="2" t="s">
        <v>480</v>
      </c>
      <c r="N571" t="b">
        <v>1</v>
      </c>
      <c r="O571" t="b">
        <v>1</v>
      </c>
      <c r="P571" s="2"/>
      <c r="Q571" t="s">
        <v>21</v>
      </c>
      <c r="R571">
        <v>1</v>
      </c>
      <c r="S571">
        <v>3042</v>
      </c>
      <c r="T571" t="s">
        <v>710</v>
      </c>
      <c r="U571">
        <v>603</v>
      </c>
      <c r="V571" s="2">
        <v>0.3</v>
      </c>
      <c r="AE571"/>
      <c r="AY571" t="b">
        <v>1</v>
      </c>
      <c r="AZ571" s="2"/>
      <c r="BA571" s="7">
        <v>25</v>
      </c>
      <c r="BB571" t="s">
        <v>932</v>
      </c>
      <c r="BC571" t="s">
        <v>923</v>
      </c>
      <c r="BD571" t="e" vm="1">
        <v>#VALUE!</v>
      </c>
      <c r="BE571" t="str">
        <f>IF(OR(Table1[[#This Row],[ENGINE_CLASS]]="STEAM",Table1[[#This Row],[ENGINE_CLASS]]="ELECTRIC",Table1[[#This Row],[ENGINE_CLASS]]="DIESEL"),Table1[[#This Row],[ENGINE_CLASS]],"DISABLE")</f>
        <v>DISABLE</v>
      </c>
      <c r="BF571">
        <v>0</v>
      </c>
      <c r="BG571" t="s">
        <v>735</v>
      </c>
      <c r="BH571">
        <v>55</v>
      </c>
      <c r="BI571">
        <v>8</v>
      </c>
      <c r="BJ571">
        <v>72</v>
      </c>
      <c r="BK571">
        <v>0</v>
      </c>
      <c r="BL571" t="s">
        <v>693</v>
      </c>
      <c r="BM571" t="s">
        <v>695</v>
      </c>
      <c r="BN571" t="s">
        <v>702</v>
      </c>
      <c r="BO571" t="s">
        <v>706</v>
      </c>
      <c r="BP571" t="s">
        <v>707</v>
      </c>
      <c r="BQ571" t="s">
        <v>708</v>
      </c>
    </row>
    <row r="572" spans="1:69" x14ac:dyDescent="0.4">
      <c r="A572" s="2" t="s">
        <v>921</v>
      </c>
      <c r="B572" t="str">
        <f>_xlfn.TEXTAFTER(Table1[[#This Row],[VEHIDCODE]],"_")</f>
        <v>Wagon_Gen7M_Boxcar_Type1</v>
      </c>
      <c r="C572" t="s">
        <v>770</v>
      </c>
      <c r="D572" t="str">
        <f>"item_"&amp;Table1[[#This Row],[VEHIDCODE]]</f>
        <v>item_mglv_Wagon_Gen7M_Boxcar_Type1</v>
      </c>
      <c r="E572" t="str">
        <f>"str_"&amp;Table1[[#This Row],[VEHIDCODE]]</f>
        <v>str_mglv_Wagon_Gen7M_Boxcar_Type1</v>
      </c>
      <c r="F572">
        <v>8</v>
      </c>
      <c r="G572" t="s">
        <v>600</v>
      </c>
      <c r="H572">
        <v>0</v>
      </c>
      <c r="I572" t="s">
        <v>19</v>
      </c>
      <c r="J572">
        <v>74</v>
      </c>
      <c r="K572">
        <v>2010</v>
      </c>
      <c r="L572">
        <v>8</v>
      </c>
      <c r="M572" s="2" t="s">
        <v>33</v>
      </c>
      <c r="N572" t="b">
        <v>1</v>
      </c>
      <c r="P572" s="2" t="b">
        <v>1</v>
      </c>
      <c r="Q572" t="s">
        <v>21</v>
      </c>
      <c r="R572">
        <v>0</v>
      </c>
      <c r="S572">
        <v>0</v>
      </c>
      <c r="T572" t="s">
        <v>710</v>
      </c>
      <c r="U572">
        <v>160</v>
      </c>
      <c r="V572" s="2">
        <v>0.3</v>
      </c>
      <c r="AE572"/>
      <c r="AY572" t="b">
        <v>1</v>
      </c>
      <c r="AZ572" s="2"/>
      <c r="BA572" s="7">
        <v>25</v>
      </c>
      <c r="BB572" t="s">
        <v>934</v>
      </c>
      <c r="BC572" t="s">
        <v>923</v>
      </c>
      <c r="BD572" t="e" vm="1">
        <v>#VALUE!</v>
      </c>
      <c r="BE572" t="str">
        <f>IF(OR(Table1[[#This Row],[ENGINE_CLASS]]="STEAM",Table1[[#This Row],[ENGINE_CLASS]]="ELECTRIC",Table1[[#This Row],[ENGINE_CLASS]]="DIESEL"),Table1[[#This Row],[ENGINE_CLASS]],"DISABLE")</f>
        <v>DISABLE</v>
      </c>
      <c r="BF572">
        <v>0</v>
      </c>
      <c r="BG572" t="s">
        <v>735</v>
      </c>
      <c r="BI572"/>
      <c r="BJ572">
        <v>27</v>
      </c>
      <c r="BK572">
        <v>0</v>
      </c>
      <c r="BL572" t="s">
        <v>693</v>
      </c>
      <c r="BM572" t="s">
        <v>695</v>
      </c>
      <c r="BN572" t="s">
        <v>702</v>
      </c>
      <c r="BO572" t="s">
        <v>706</v>
      </c>
      <c r="BP572" t="s">
        <v>707</v>
      </c>
      <c r="BQ572" t="s">
        <v>708</v>
      </c>
    </row>
    <row r="573" spans="1:69" x14ac:dyDescent="0.4">
      <c r="A573" s="2" t="s">
        <v>904</v>
      </c>
      <c r="B573" t="str">
        <f>_xlfn.TEXTAFTER(Table1[[#This Row],[VEHIDCODE]],"_")</f>
        <v>Wagon_Gen7M_Boxcar_Type2</v>
      </c>
      <c r="C573" t="s">
        <v>770</v>
      </c>
      <c r="D573" t="str">
        <f>"item_"&amp;Table1[[#This Row],[VEHIDCODE]]</f>
        <v>item_mglv_Wagon_Gen7M_Boxcar_Type2</v>
      </c>
      <c r="E573" t="str">
        <f>"str_"&amp;Table1[[#This Row],[VEHIDCODE]]</f>
        <v>str_mglv_Wagon_Gen7M_Boxcar_Type2</v>
      </c>
      <c r="F573">
        <v>8</v>
      </c>
      <c r="G573" t="s">
        <v>600</v>
      </c>
      <c r="H573">
        <v>0</v>
      </c>
      <c r="I573" t="s">
        <v>19</v>
      </c>
      <c r="J573">
        <v>74</v>
      </c>
      <c r="K573">
        <v>2010</v>
      </c>
      <c r="L573">
        <v>8</v>
      </c>
      <c r="M573" s="2" t="s">
        <v>33</v>
      </c>
      <c r="N573" t="b">
        <v>1</v>
      </c>
      <c r="P573" s="2" t="b">
        <v>1</v>
      </c>
      <c r="Q573" t="s">
        <v>21</v>
      </c>
      <c r="R573">
        <v>0</v>
      </c>
      <c r="S573">
        <v>0</v>
      </c>
      <c r="T573" t="s">
        <v>710</v>
      </c>
      <c r="U573">
        <v>160</v>
      </c>
      <c r="V573" s="2">
        <v>0.3</v>
      </c>
      <c r="AE573"/>
      <c r="AY573" t="b">
        <v>1</v>
      </c>
      <c r="AZ573" s="2"/>
      <c r="BA573" s="7">
        <v>25</v>
      </c>
      <c r="BB573" t="s">
        <v>935</v>
      </c>
      <c r="BC573" t="s">
        <v>923</v>
      </c>
      <c r="BD573" t="e" vm="1">
        <v>#VALUE!</v>
      </c>
      <c r="BE573" t="str">
        <f>IF(OR(Table1[[#This Row],[ENGINE_CLASS]]="STEAM",Table1[[#This Row],[ENGINE_CLASS]]="ELECTRIC",Table1[[#This Row],[ENGINE_CLASS]]="DIESEL"),Table1[[#This Row],[ENGINE_CLASS]],"DISABLE")</f>
        <v>DISABLE</v>
      </c>
      <c r="BF573">
        <v>0</v>
      </c>
      <c r="BG573" t="s">
        <v>735</v>
      </c>
      <c r="BI573"/>
      <c r="BJ573">
        <v>27</v>
      </c>
      <c r="BK573">
        <v>0</v>
      </c>
      <c r="BL573" t="s">
        <v>693</v>
      </c>
      <c r="BM573" t="s">
        <v>695</v>
      </c>
      <c r="BN573" t="s">
        <v>702</v>
      </c>
      <c r="BO573" t="s">
        <v>706</v>
      </c>
      <c r="BP573" t="s">
        <v>707</v>
      </c>
      <c r="BQ573" t="s">
        <v>708</v>
      </c>
    </row>
    <row r="574" spans="1:69" x14ac:dyDescent="0.4">
      <c r="A574" s="2" t="s">
        <v>905</v>
      </c>
      <c r="B574" t="str">
        <f>_xlfn.TEXTAFTER(Table1[[#This Row],[VEHIDCODE]],"_")</f>
        <v>Wagon_Gen7M_Car_Transporter</v>
      </c>
      <c r="C574" t="s">
        <v>770</v>
      </c>
      <c r="D574" t="str">
        <f>"item_"&amp;Table1[[#This Row],[VEHIDCODE]]</f>
        <v>item_mglv_Wagon_Gen7M_Car_Transporter</v>
      </c>
      <c r="E574" t="str">
        <f>"str_"&amp;Table1[[#This Row],[VEHIDCODE]]</f>
        <v>str_mglv_Wagon_Gen7M_Car_Transporter</v>
      </c>
      <c r="F574">
        <v>8</v>
      </c>
      <c r="G574" t="s">
        <v>601</v>
      </c>
      <c r="H574">
        <v>0</v>
      </c>
      <c r="I574" t="s">
        <v>19</v>
      </c>
      <c r="J574">
        <v>20</v>
      </c>
      <c r="K574">
        <v>2020</v>
      </c>
      <c r="L574">
        <v>8</v>
      </c>
      <c r="M574" s="2" t="s">
        <v>33</v>
      </c>
      <c r="N574" t="b">
        <v>1</v>
      </c>
      <c r="P574" s="2" t="b">
        <v>1</v>
      </c>
      <c r="Q574" t="s">
        <v>21</v>
      </c>
      <c r="R574">
        <v>0</v>
      </c>
      <c r="S574">
        <v>0</v>
      </c>
      <c r="T574" t="s">
        <v>710</v>
      </c>
      <c r="U574">
        <v>160</v>
      </c>
      <c r="V574" s="2">
        <v>0.3</v>
      </c>
      <c r="AE574"/>
      <c r="AY574" t="b">
        <v>1</v>
      </c>
      <c r="AZ574" s="2"/>
      <c r="BA574" s="7">
        <v>25</v>
      </c>
      <c r="BB574" t="s">
        <v>937</v>
      </c>
      <c r="BC574" t="s">
        <v>923</v>
      </c>
      <c r="BD574" t="e" vm="1">
        <v>#VALUE!</v>
      </c>
      <c r="BE574" t="str">
        <f>IF(OR(Table1[[#This Row],[ENGINE_CLASS]]="STEAM",Table1[[#This Row],[ENGINE_CLASS]]="ELECTRIC",Table1[[#This Row],[ENGINE_CLASS]]="DIESEL"),Table1[[#This Row],[ENGINE_CLASS]],"DISABLE")</f>
        <v>DISABLE</v>
      </c>
      <c r="BF574">
        <v>0</v>
      </c>
      <c r="BG574" t="s">
        <v>735</v>
      </c>
      <c r="BI574"/>
      <c r="BJ574">
        <v>28</v>
      </c>
      <c r="BK574">
        <v>0</v>
      </c>
      <c r="BL574" t="s">
        <v>693</v>
      </c>
      <c r="BM574" t="s">
        <v>695</v>
      </c>
      <c r="BN574" t="s">
        <v>702</v>
      </c>
      <c r="BO574" t="s">
        <v>706</v>
      </c>
      <c r="BP574" t="s">
        <v>707</v>
      </c>
      <c r="BQ574" t="s">
        <v>708</v>
      </c>
    </row>
    <row r="575" spans="1:69" x14ac:dyDescent="0.4">
      <c r="A575" s="2" t="s">
        <v>906</v>
      </c>
      <c r="B575" t="str">
        <f>_xlfn.TEXTAFTER(Table1[[#This Row],[VEHIDCODE]],"_")</f>
        <v>Wagon_Gen7M_Centerbeam</v>
      </c>
      <c r="C575" t="s">
        <v>770</v>
      </c>
      <c r="D575" t="str">
        <f>"item_"&amp;Table1[[#This Row],[VEHIDCODE]]</f>
        <v>item_mglv_Wagon_Gen7M_Centerbeam</v>
      </c>
      <c r="E575" t="str">
        <f>"str_"&amp;Table1[[#This Row],[VEHIDCODE]]</f>
        <v>str_mglv_Wagon_Gen7M_Centerbeam</v>
      </c>
      <c r="F575">
        <v>8</v>
      </c>
      <c r="G575" t="s">
        <v>602</v>
      </c>
      <c r="H575">
        <v>0</v>
      </c>
      <c r="I575" t="s">
        <v>19</v>
      </c>
      <c r="J575">
        <v>65</v>
      </c>
      <c r="K575">
        <v>2010</v>
      </c>
      <c r="L575">
        <v>8</v>
      </c>
      <c r="M575" s="2" t="s">
        <v>33</v>
      </c>
      <c r="N575" t="b">
        <v>1</v>
      </c>
      <c r="P575" s="2" t="b">
        <v>1</v>
      </c>
      <c r="Q575" t="s">
        <v>21</v>
      </c>
      <c r="R575">
        <v>0</v>
      </c>
      <c r="S575">
        <v>0</v>
      </c>
      <c r="T575" t="s">
        <v>710</v>
      </c>
      <c r="U575">
        <v>160</v>
      </c>
      <c r="V575" s="2">
        <v>0.3</v>
      </c>
      <c r="AE575"/>
      <c r="AY575" t="b">
        <v>1</v>
      </c>
      <c r="AZ575" s="2"/>
      <c r="BA575" s="7">
        <v>25</v>
      </c>
      <c r="BB575" t="s">
        <v>937</v>
      </c>
      <c r="BC575" t="s">
        <v>923</v>
      </c>
      <c r="BD575" t="e" vm="1">
        <v>#VALUE!</v>
      </c>
      <c r="BE575" t="str">
        <f>IF(OR(Table1[[#This Row],[ENGINE_CLASS]]="STEAM",Table1[[#This Row],[ENGINE_CLASS]]="ELECTRIC",Table1[[#This Row],[ENGINE_CLASS]]="DIESEL"),Table1[[#This Row],[ENGINE_CLASS]],"DISABLE")</f>
        <v>DISABLE</v>
      </c>
      <c r="BF575">
        <v>0</v>
      </c>
      <c r="BG575" t="s">
        <v>735</v>
      </c>
      <c r="BI575"/>
      <c r="BJ575">
        <v>40</v>
      </c>
      <c r="BK575">
        <v>0</v>
      </c>
      <c r="BL575" t="s">
        <v>693</v>
      </c>
      <c r="BM575" t="s">
        <v>695</v>
      </c>
      <c r="BN575" t="s">
        <v>702</v>
      </c>
      <c r="BO575" t="s">
        <v>706</v>
      </c>
      <c r="BP575" t="s">
        <v>707</v>
      </c>
      <c r="BQ575" t="s">
        <v>708</v>
      </c>
    </row>
    <row r="576" spans="1:69" x14ac:dyDescent="0.4">
      <c r="A576" s="2" t="s">
        <v>907</v>
      </c>
      <c r="B576" t="str">
        <f>_xlfn.TEXTAFTER(Table1[[#This Row],[VEHIDCODE]],"_")</f>
        <v>Wagon_Gen7M_Container_Carrier</v>
      </c>
      <c r="C576" t="s">
        <v>770</v>
      </c>
      <c r="D576" t="str">
        <f>"item_"&amp;Table1[[#This Row],[VEHIDCODE]]</f>
        <v>item_mglv_Wagon_Gen7M_Container_Carrier</v>
      </c>
      <c r="E576" t="str">
        <f>"str_"&amp;Table1[[#This Row],[VEHIDCODE]]</f>
        <v>str_mglv_Wagon_Gen7M_Container_Carrier</v>
      </c>
      <c r="F576">
        <v>8</v>
      </c>
      <c r="G576" t="s">
        <v>533</v>
      </c>
      <c r="H576">
        <v>0</v>
      </c>
      <c r="I576" t="s">
        <v>19</v>
      </c>
      <c r="J576">
        <v>60</v>
      </c>
      <c r="K576">
        <v>2010</v>
      </c>
      <c r="L576">
        <v>8</v>
      </c>
      <c r="M576" s="2" t="s">
        <v>33</v>
      </c>
      <c r="N576" t="b">
        <v>1</v>
      </c>
      <c r="P576" s="2" t="b">
        <v>1</v>
      </c>
      <c r="Q576" t="s">
        <v>21</v>
      </c>
      <c r="R576">
        <v>0</v>
      </c>
      <c r="S576">
        <v>0</v>
      </c>
      <c r="T576" t="s">
        <v>710</v>
      </c>
      <c r="U576">
        <v>160</v>
      </c>
      <c r="V576" s="2">
        <v>0.3</v>
      </c>
      <c r="AE576"/>
      <c r="AY576" t="b">
        <v>1</v>
      </c>
      <c r="AZ576" s="2"/>
      <c r="BA576" s="7">
        <v>25</v>
      </c>
      <c r="BB576" t="s">
        <v>937</v>
      </c>
      <c r="BC576" t="s">
        <v>923</v>
      </c>
      <c r="BD576" t="e" vm="1">
        <v>#VALUE!</v>
      </c>
      <c r="BE576" t="str">
        <f>IF(OR(Table1[[#This Row],[ENGINE_CLASS]]="STEAM",Table1[[#This Row],[ENGINE_CLASS]]="ELECTRIC",Table1[[#This Row],[ENGINE_CLASS]]="DIESEL"),Table1[[#This Row],[ENGINE_CLASS]],"DISABLE")</f>
        <v>DISABLE</v>
      </c>
      <c r="BF576">
        <v>0</v>
      </c>
      <c r="BG576" t="s">
        <v>735</v>
      </c>
      <c r="BI576"/>
      <c r="BJ576">
        <v>22</v>
      </c>
      <c r="BK576">
        <v>0</v>
      </c>
      <c r="BL576" t="s">
        <v>693</v>
      </c>
      <c r="BM576" t="s">
        <v>695</v>
      </c>
      <c r="BN576" t="s">
        <v>702</v>
      </c>
      <c r="BO576" t="s">
        <v>706</v>
      </c>
      <c r="BP576" t="s">
        <v>707</v>
      </c>
      <c r="BQ576" t="s">
        <v>708</v>
      </c>
    </row>
    <row r="577" spans="1:69" x14ac:dyDescent="0.4">
      <c r="A577" s="2" t="s">
        <v>908</v>
      </c>
      <c r="B577" t="str">
        <f>_xlfn.TEXTAFTER(Table1[[#This Row],[VEHIDCODE]],"_")</f>
        <v>Wagon_Gen7M_Container_Doublestack</v>
      </c>
      <c r="C577" t="s">
        <v>770</v>
      </c>
      <c r="D577" t="str">
        <f>"item_"&amp;Table1[[#This Row],[VEHIDCODE]]</f>
        <v>item_mglv_Wagon_Gen7M_Container_Doublestack</v>
      </c>
      <c r="E577" t="str">
        <f>"str_"&amp;Table1[[#This Row],[VEHIDCODE]]</f>
        <v>str_mglv_Wagon_Gen7M_Container_Doublestack</v>
      </c>
      <c r="F577">
        <v>8</v>
      </c>
      <c r="G577" t="s">
        <v>603</v>
      </c>
      <c r="H577">
        <v>0</v>
      </c>
      <c r="I577" t="s">
        <v>19</v>
      </c>
      <c r="J577">
        <v>75</v>
      </c>
      <c r="K577">
        <v>2000</v>
      </c>
      <c r="L577">
        <v>8</v>
      </c>
      <c r="M577" s="2" t="s">
        <v>33</v>
      </c>
      <c r="N577" t="b">
        <v>1</v>
      </c>
      <c r="P577" s="2" t="b">
        <v>1</v>
      </c>
      <c r="Q577" t="s">
        <v>21</v>
      </c>
      <c r="R577">
        <v>0</v>
      </c>
      <c r="S577">
        <v>0</v>
      </c>
      <c r="T577" t="s">
        <v>710</v>
      </c>
      <c r="U577">
        <v>160</v>
      </c>
      <c r="V577" s="2">
        <v>0.3</v>
      </c>
      <c r="AE577"/>
      <c r="AY577" t="b">
        <v>1</v>
      </c>
      <c r="AZ577" s="2"/>
      <c r="BA577" s="7">
        <v>25</v>
      </c>
      <c r="BB577" t="s">
        <v>937</v>
      </c>
      <c r="BC577" t="s">
        <v>923</v>
      </c>
      <c r="BD577" t="e" vm="1">
        <v>#VALUE!</v>
      </c>
      <c r="BE577" t="str">
        <f>IF(OR(Table1[[#This Row],[ENGINE_CLASS]]="STEAM",Table1[[#This Row],[ENGINE_CLASS]]="ELECTRIC",Table1[[#This Row],[ENGINE_CLASS]]="DIESEL"),Table1[[#This Row],[ENGINE_CLASS]],"DISABLE")</f>
        <v>DISABLE</v>
      </c>
      <c r="BF577">
        <v>0</v>
      </c>
      <c r="BG577" t="s">
        <v>735</v>
      </c>
      <c r="BI577"/>
      <c r="BJ577">
        <v>25</v>
      </c>
      <c r="BK577">
        <v>0</v>
      </c>
      <c r="BL577" t="s">
        <v>693</v>
      </c>
      <c r="BM577" t="s">
        <v>695</v>
      </c>
      <c r="BN577" t="s">
        <v>702</v>
      </c>
      <c r="BO577" t="s">
        <v>706</v>
      </c>
      <c r="BP577" t="s">
        <v>707</v>
      </c>
      <c r="BQ577" t="s">
        <v>708</v>
      </c>
    </row>
    <row r="578" spans="1:69" x14ac:dyDescent="0.4">
      <c r="A578" s="2" t="s">
        <v>909</v>
      </c>
      <c r="B578" t="str">
        <f>_xlfn.TEXTAFTER(Table1[[#This Row],[VEHIDCODE]],"_")</f>
        <v>Wagon_Gen7M_Flatcar</v>
      </c>
      <c r="C578" t="s">
        <v>770</v>
      </c>
      <c r="D578" t="str">
        <f>"item_"&amp;Table1[[#This Row],[VEHIDCODE]]</f>
        <v>item_mglv_Wagon_Gen7M_Flatcar</v>
      </c>
      <c r="E578" t="str">
        <f>"str_"&amp;Table1[[#This Row],[VEHIDCODE]]</f>
        <v>str_mglv_Wagon_Gen7M_Flatcar</v>
      </c>
      <c r="F578">
        <v>8</v>
      </c>
      <c r="G578" t="s">
        <v>604</v>
      </c>
      <c r="H578">
        <v>0</v>
      </c>
      <c r="I578" t="s">
        <v>19</v>
      </c>
      <c r="J578">
        <v>72</v>
      </c>
      <c r="K578">
        <v>2010</v>
      </c>
      <c r="L578">
        <v>8</v>
      </c>
      <c r="M578" s="2" t="s">
        <v>33</v>
      </c>
      <c r="N578" t="b">
        <v>1</v>
      </c>
      <c r="P578" s="2" t="b">
        <v>1</v>
      </c>
      <c r="Q578" t="s">
        <v>21</v>
      </c>
      <c r="R578">
        <v>0</v>
      </c>
      <c r="S578">
        <v>0</v>
      </c>
      <c r="T578" t="s">
        <v>710</v>
      </c>
      <c r="U578">
        <v>160</v>
      </c>
      <c r="V578" s="2">
        <v>0.3</v>
      </c>
      <c r="AE578"/>
      <c r="AY578" t="b">
        <v>1</v>
      </c>
      <c r="AZ578" s="2"/>
      <c r="BA578" s="7">
        <v>25</v>
      </c>
      <c r="BB578" t="s">
        <v>937</v>
      </c>
      <c r="BC578" t="s">
        <v>923</v>
      </c>
      <c r="BD578" t="e" vm="1">
        <v>#VALUE!</v>
      </c>
      <c r="BE578" t="str">
        <f>IF(OR(Table1[[#This Row],[ENGINE_CLASS]]="STEAM",Table1[[#This Row],[ENGINE_CLASS]]="ELECTRIC",Table1[[#This Row],[ENGINE_CLASS]]="DIESEL"),Table1[[#This Row],[ENGINE_CLASS]],"DISABLE")</f>
        <v>DISABLE</v>
      </c>
      <c r="BF578">
        <v>0</v>
      </c>
      <c r="BG578" t="s">
        <v>735</v>
      </c>
      <c r="BI578"/>
      <c r="BJ578">
        <v>23</v>
      </c>
      <c r="BK578">
        <v>0</v>
      </c>
      <c r="BL578" t="s">
        <v>693</v>
      </c>
      <c r="BM578" t="s">
        <v>695</v>
      </c>
      <c r="BN578" t="s">
        <v>702</v>
      </c>
      <c r="BO578" t="s">
        <v>706</v>
      </c>
      <c r="BP578" t="s">
        <v>707</v>
      </c>
      <c r="BQ578" t="s">
        <v>708</v>
      </c>
    </row>
    <row r="579" spans="1:69" x14ac:dyDescent="0.4">
      <c r="A579" s="2" t="s">
        <v>910</v>
      </c>
      <c r="B579" t="str">
        <f>_xlfn.TEXTAFTER(Table1[[#This Row],[VEHIDCODE]],"_")</f>
        <v>Wagon_Gen7M_Gondola</v>
      </c>
      <c r="C579" t="s">
        <v>770</v>
      </c>
      <c r="D579" t="str">
        <f>"item_"&amp;Table1[[#This Row],[VEHIDCODE]]</f>
        <v>item_mglv_Wagon_Gen7M_Gondola</v>
      </c>
      <c r="E579" t="str">
        <f>"str_"&amp;Table1[[#This Row],[VEHIDCODE]]</f>
        <v>str_mglv_Wagon_Gen7M_Gondola</v>
      </c>
      <c r="F579">
        <v>8</v>
      </c>
      <c r="G579" t="s">
        <v>605</v>
      </c>
      <c r="H579">
        <v>0</v>
      </c>
      <c r="I579" t="s">
        <v>19</v>
      </c>
      <c r="J579">
        <v>75</v>
      </c>
      <c r="K579">
        <v>2010</v>
      </c>
      <c r="L579">
        <v>8</v>
      </c>
      <c r="M579" s="2" t="s">
        <v>33</v>
      </c>
      <c r="N579" t="b">
        <v>1</v>
      </c>
      <c r="P579" s="2" t="b">
        <v>1</v>
      </c>
      <c r="Q579" t="s">
        <v>21</v>
      </c>
      <c r="R579">
        <v>0</v>
      </c>
      <c r="S579">
        <v>0</v>
      </c>
      <c r="T579" t="s">
        <v>710</v>
      </c>
      <c r="U579">
        <v>160</v>
      </c>
      <c r="V579" s="2">
        <v>0.3</v>
      </c>
      <c r="AE579"/>
      <c r="AY579" t="b">
        <v>1</v>
      </c>
      <c r="AZ579" s="2"/>
      <c r="BA579" s="7">
        <v>25</v>
      </c>
      <c r="BB579" t="s">
        <v>937</v>
      </c>
      <c r="BC579" t="s">
        <v>923</v>
      </c>
      <c r="BD579" t="e" vm="1">
        <v>#VALUE!</v>
      </c>
      <c r="BE579" t="str">
        <f>IF(OR(Table1[[#This Row],[ENGINE_CLASS]]="STEAM",Table1[[#This Row],[ENGINE_CLASS]]="ELECTRIC",Table1[[#This Row],[ENGINE_CLASS]]="DIESEL"),Table1[[#This Row],[ENGINE_CLASS]],"DISABLE")</f>
        <v>DISABLE</v>
      </c>
      <c r="BF579">
        <v>0</v>
      </c>
      <c r="BG579" t="s">
        <v>735</v>
      </c>
      <c r="BI579"/>
      <c r="BJ579">
        <v>22</v>
      </c>
      <c r="BK579">
        <v>0</v>
      </c>
      <c r="BL579" t="s">
        <v>693</v>
      </c>
      <c r="BM579" t="s">
        <v>695</v>
      </c>
      <c r="BN579" t="s">
        <v>702</v>
      </c>
      <c r="BO579" t="s">
        <v>706</v>
      </c>
      <c r="BP579" t="s">
        <v>707</v>
      </c>
      <c r="BQ579" t="s">
        <v>708</v>
      </c>
    </row>
    <row r="580" spans="1:69" x14ac:dyDescent="0.4">
      <c r="A580" s="2" t="s">
        <v>911</v>
      </c>
      <c r="B580" t="str">
        <f>_xlfn.TEXTAFTER(Table1[[#This Row],[VEHIDCODE]],"_")</f>
        <v>Wagon_Gen7M_Heavy_Flatcar</v>
      </c>
      <c r="C580" t="s">
        <v>770</v>
      </c>
      <c r="D580" t="str">
        <f>"item_"&amp;Table1[[#This Row],[VEHIDCODE]]</f>
        <v>item_mglv_Wagon_Gen7M_Heavy_Flatcar</v>
      </c>
      <c r="E580" t="str">
        <f>"str_"&amp;Table1[[#This Row],[VEHIDCODE]]</f>
        <v>str_mglv_Wagon_Gen7M_Heavy_Flatcar</v>
      </c>
      <c r="F580">
        <v>8</v>
      </c>
      <c r="G580" t="s">
        <v>606</v>
      </c>
      <c r="H580">
        <v>0</v>
      </c>
      <c r="I580" t="s">
        <v>19</v>
      </c>
      <c r="J580">
        <v>96</v>
      </c>
      <c r="K580">
        <v>2020</v>
      </c>
      <c r="L580">
        <v>8</v>
      </c>
      <c r="M580" s="2" t="s">
        <v>33</v>
      </c>
      <c r="N580" t="b">
        <v>1</v>
      </c>
      <c r="P580" s="2" t="b">
        <v>1</v>
      </c>
      <c r="Q580" t="s">
        <v>21</v>
      </c>
      <c r="R580">
        <v>0</v>
      </c>
      <c r="S580">
        <v>0</v>
      </c>
      <c r="T580" t="s">
        <v>710</v>
      </c>
      <c r="U580">
        <v>140</v>
      </c>
      <c r="V580" s="2">
        <v>0.3</v>
      </c>
      <c r="AE580"/>
      <c r="AY580" t="b">
        <v>1</v>
      </c>
      <c r="AZ580" s="2"/>
      <c r="BA580" s="7">
        <v>25</v>
      </c>
      <c r="BB580" t="s">
        <v>937</v>
      </c>
      <c r="BC580" t="s">
        <v>923</v>
      </c>
      <c r="BD580" t="e" vm="1">
        <v>#VALUE!</v>
      </c>
      <c r="BE580" t="str">
        <f>IF(OR(Table1[[#This Row],[ENGINE_CLASS]]="STEAM",Table1[[#This Row],[ENGINE_CLASS]]="ELECTRIC",Table1[[#This Row],[ENGINE_CLASS]]="DIESEL"),Table1[[#This Row],[ENGINE_CLASS]],"DISABLE")</f>
        <v>DISABLE</v>
      </c>
      <c r="BF580">
        <v>0</v>
      </c>
      <c r="BG580" t="s">
        <v>735</v>
      </c>
      <c r="BI580"/>
      <c r="BJ580">
        <v>42</v>
      </c>
      <c r="BK580">
        <v>0</v>
      </c>
      <c r="BL580" t="s">
        <v>693</v>
      </c>
      <c r="BM580" t="s">
        <v>695</v>
      </c>
      <c r="BN580" t="s">
        <v>702</v>
      </c>
      <c r="BO580" t="s">
        <v>706</v>
      </c>
      <c r="BP580" t="s">
        <v>707</v>
      </c>
      <c r="BQ580" t="s">
        <v>708</v>
      </c>
    </row>
    <row r="581" spans="1:69" x14ac:dyDescent="0.4">
      <c r="A581" s="2" t="s">
        <v>912</v>
      </c>
      <c r="B581" t="str">
        <f>_xlfn.TEXTAFTER(Table1[[#This Row],[VEHIDCODE]],"_")</f>
        <v>Wagon_Gen7M_Hopper_Type1</v>
      </c>
      <c r="C581" t="s">
        <v>770</v>
      </c>
      <c r="D581" t="str">
        <f>"item_"&amp;Table1[[#This Row],[VEHIDCODE]]</f>
        <v>item_mglv_Wagon_Gen7M_Hopper_Type1</v>
      </c>
      <c r="E581" t="str">
        <f>"str_"&amp;Table1[[#This Row],[VEHIDCODE]]</f>
        <v>str_mglv_Wagon_Gen7M_Hopper_Type1</v>
      </c>
      <c r="F581">
        <v>8</v>
      </c>
      <c r="G581" t="s">
        <v>607</v>
      </c>
      <c r="H581">
        <v>0</v>
      </c>
      <c r="I581" t="s">
        <v>19</v>
      </c>
      <c r="J581">
        <v>75</v>
      </c>
      <c r="K581">
        <v>2020</v>
      </c>
      <c r="L581">
        <v>8</v>
      </c>
      <c r="M581" s="2" t="s">
        <v>33</v>
      </c>
      <c r="N581" t="b">
        <v>1</v>
      </c>
      <c r="P581" s="2" t="b">
        <v>1</v>
      </c>
      <c r="Q581" t="s">
        <v>21</v>
      </c>
      <c r="R581">
        <v>0</v>
      </c>
      <c r="S581">
        <v>0</v>
      </c>
      <c r="T581" t="s">
        <v>710</v>
      </c>
      <c r="U581">
        <v>160</v>
      </c>
      <c r="V581" s="2">
        <v>0.3</v>
      </c>
      <c r="AE581"/>
      <c r="AY581" t="b">
        <v>1</v>
      </c>
      <c r="AZ581" s="2"/>
      <c r="BA581" s="7">
        <v>25</v>
      </c>
      <c r="BB581" t="s">
        <v>934</v>
      </c>
      <c r="BC581" t="s">
        <v>923</v>
      </c>
      <c r="BD581" t="e" vm="1">
        <v>#VALUE!</v>
      </c>
      <c r="BE581" t="str">
        <f>IF(OR(Table1[[#This Row],[ENGINE_CLASS]]="STEAM",Table1[[#This Row],[ENGINE_CLASS]]="ELECTRIC",Table1[[#This Row],[ENGINE_CLASS]]="DIESEL"),Table1[[#This Row],[ENGINE_CLASS]],"DISABLE")</f>
        <v>DISABLE</v>
      </c>
      <c r="BF581">
        <v>0</v>
      </c>
      <c r="BG581" t="s">
        <v>735</v>
      </c>
      <c r="BI581"/>
      <c r="BJ581">
        <v>26</v>
      </c>
      <c r="BK581">
        <v>0</v>
      </c>
      <c r="BL581" t="s">
        <v>693</v>
      </c>
      <c r="BM581" t="s">
        <v>695</v>
      </c>
      <c r="BN581" t="s">
        <v>702</v>
      </c>
      <c r="BO581" t="s">
        <v>706</v>
      </c>
      <c r="BP581" t="s">
        <v>707</v>
      </c>
      <c r="BQ581" t="s">
        <v>708</v>
      </c>
    </row>
    <row r="582" spans="1:69" x14ac:dyDescent="0.4">
      <c r="A582" s="2" t="s">
        <v>913</v>
      </c>
      <c r="B582" t="str">
        <f>_xlfn.TEXTAFTER(Table1[[#This Row],[VEHIDCODE]],"_")</f>
        <v>Wagon_Gen7M_Hopper_Type2</v>
      </c>
      <c r="C582" t="s">
        <v>770</v>
      </c>
      <c r="D582" t="str">
        <f>"item_"&amp;Table1[[#This Row],[VEHIDCODE]]</f>
        <v>item_mglv_Wagon_Gen7M_Hopper_Type2</v>
      </c>
      <c r="E582" t="str">
        <f>"str_"&amp;Table1[[#This Row],[VEHIDCODE]]</f>
        <v>str_mglv_Wagon_Gen7M_Hopper_Type2</v>
      </c>
      <c r="F582">
        <v>8</v>
      </c>
      <c r="G582" t="s">
        <v>607</v>
      </c>
      <c r="H582">
        <v>0</v>
      </c>
      <c r="I582" t="s">
        <v>19</v>
      </c>
      <c r="J582">
        <v>75</v>
      </c>
      <c r="K582">
        <v>2020</v>
      </c>
      <c r="L582">
        <v>8</v>
      </c>
      <c r="M582" s="2" t="s">
        <v>33</v>
      </c>
      <c r="N582" t="b">
        <v>1</v>
      </c>
      <c r="P582" s="2" t="b">
        <v>1</v>
      </c>
      <c r="Q582" t="s">
        <v>21</v>
      </c>
      <c r="R582">
        <v>0</v>
      </c>
      <c r="S582">
        <v>0</v>
      </c>
      <c r="T582" t="s">
        <v>710</v>
      </c>
      <c r="U582">
        <v>160</v>
      </c>
      <c r="V582" s="2">
        <v>0.3</v>
      </c>
      <c r="AE582"/>
      <c r="AY582" t="b">
        <v>1</v>
      </c>
      <c r="AZ582" s="2"/>
      <c r="BA582" s="7">
        <v>25</v>
      </c>
      <c r="BB582" t="s">
        <v>937</v>
      </c>
      <c r="BC582" t="s">
        <v>923</v>
      </c>
      <c r="BD582" t="e" vm="1">
        <v>#VALUE!</v>
      </c>
      <c r="BE582" t="str">
        <f>IF(OR(Table1[[#This Row],[ENGINE_CLASS]]="STEAM",Table1[[#This Row],[ENGINE_CLASS]]="ELECTRIC",Table1[[#This Row],[ENGINE_CLASS]]="DIESEL"),Table1[[#This Row],[ENGINE_CLASS]],"DISABLE")</f>
        <v>DISABLE</v>
      </c>
      <c r="BF582">
        <v>0</v>
      </c>
      <c r="BG582" t="s">
        <v>735</v>
      </c>
      <c r="BI582"/>
      <c r="BJ582">
        <v>26</v>
      </c>
      <c r="BK582">
        <v>0</v>
      </c>
      <c r="BL582" t="s">
        <v>693</v>
      </c>
      <c r="BM582" t="s">
        <v>695</v>
      </c>
      <c r="BN582" t="s">
        <v>702</v>
      </c>
      <c r="BO582" t="s">
        <v>706</v>
      </c>
      <c r="BP582" t="s">
        <v>707</v>
      </c>
      <c r="BQ582" t="s">
        <v>708</v>
      </c>
    </row>
    <row r="583" spans="1:69" x14ac:dyDescent="0.4">
      <c r="A583" s="2" t="s">
        <v>914</v>
      </c>
      <c r="B583" t="str">
        <f>_xlfn.TEXTAFTER(Table1[[#This Row],[VEHIDCODE]],"_")</f>
        <v>Wagon_Gen7M_Silo_Type1</v>
      </c>
      <c r="C583" t="s">
        <v>770</v>
      </c>
      <c r="D583" t="str">
        <f>"item_"&amp;Table1[[#This Row],[VEHIDCODE]]</f>
        <v>item_mglv_Wagon_Gen7M_Silo_Type1</v>
      </c>
      <c r="E583" t="str">
        <f>"str_"&amp;Table1[[#This Row],[VEHIDCODE]]</f>
        <v>str_mglv_Wagon_Gen7M_Silo_Type1</v>
      </c>
      <c r="F583">
        <v>8</v>
      </c>
      <c r="G583" t="s">
        <v>608</v>
      </c>
      <c r="H583">
        <v>0</v>
      </c>
      <c r="I583" t="s">
        <v>19</v>
      </c>
      <c r="J583">
        <v>75</v>
      </c>
      <c r="K583">
        <v>2020</v>
      </c>
      <c r="L583">
        <v>8</v>
      </c>
      <c r="M583" s="2" t="s">
        <v>33</v>
      </c>
      <c r="N583" t="b">
        <v>1</v>
      </c>
      <c r="P583" s="2" t="b">
        <v>1</v>
      </c>
      <c r="Q583" t="s">
        <v>21</v>
      </c>
      <c r="R583">
        <v>0</v>
      </c>
      <c r="S583">
        <v>0</v>
      </c>
      <c r="T583" t="s">
        <v>710</v>
      </c>
      <c r="U583">
        <v>160</v>
      </c>
      <c r="V583" s="2">
        <v>0.3</v>
      </c>
      <c r="AE583"/>
      <c r="AY583" t="b">
        <v>1</v>
      </c>
      <c r="AZ583" s="2"/>
      <c r="BA583" s="7">
        <v>25</v>
      </c>
      <c r="BB583" t="s">
        <v>934</v>
      </c>
      <c r="BC583" t="s">
        <v>923</v>
      </c>
      <c r="BD583" t="e" vm="1">
        <v>#VALUE!</v>
      </c>
      <c r="BE583" t="str">
        <f>IF(OR(Table1[[#This Row],[ENGINE_CLASS]]="STEAM",Table1[[#This Row],[ENGINE_CLASS]]="ELECTRIC",Table1[[#This Row],[ENGINE_CLASS]]="DIESEL"),Table1[[#This Row],[ENGINE_CLASS]],"DISABLE")</f>
        <v>DISABLE</v>
      </c>
      <c r="BF583">
        <v>0</v>
      </c>
      <c r="BG583" t="s">
        <v>735</v>
      </c>
      <c r="BI583"/>
      <c r="BJ583">
        <v>27</v>
      </c>
      <c r="BK583">
        <v>0</v>
      </c>
      <c r="BL583" t="s">
        <v>693</v>
      </c>
      <c r="BM583" t="s">
        <v>695</v>
      </c>
      <c r="BN583" t="s">
        <v>702</v>
      </c>
      <c r="BO583" t="s">
        <v>706</v>
      </c>
      <c r="BP583" t="s">
        <v>707</v>
      </c>
      <c r="BQ583" t="s">
        <v>708</v>
      </c>
    </row>
    <row r="584" spans="1:69" x14ac:dyDescent="0.4">
      <c r="A584" s="2" t="s">
        <v>915</v>
      </c>
      <c r="B584" t="str">
        <f>_xlfn.TEXTAFTER(Table1[[#This Row],[VEHIDCODE]],"_")</f>
        <v>Wagon_Gen7M_Silo_Type2</v>
      </c>
      <c r="C584" t="s">
        <v>770</v>
      </c>
      <c r="D584" t="str">
        <f>"item_"&amp;Table1[[#This Row],[VEHIDCODE]]</f>
        <v>item_mglv_Wagon_Gen7M_Silo_Type2</v>
      </c>
      <c r="E584" t="str">
        <f>"str_"&amp;Table1[[#This Row],[VEHIDCODE]]</f>
        <v>str_mglv_Wagon_Gen7M_Silo_Type2</v>
      </c>
      <c r="F584">
        <v>8</v>
      </c>
      <c r="G584" t="s">
        <v>608</v>
      </c>
      <c r="H584">
        <v>0</v>
      </c>
      <c r="I584" t="s">
        <v>19</v>
      </c>
      <c r="J584">
        <v>75</v>
      </c>
      <c r="K584">
        <v>2020</v>
      </c>
      <c r="L584">
        <v>8</v>
      </c>
      <c r="M584" s="2" t="s">
        <v>33</v>
      </c>
      <c r="N584" t="b">
        <v>1</v>
      </c>
      <c r="P584" s="2" t="b">
        <v>1</v>
      </c>
      <c r="Q584" t="s">
        <v>21</v>
      </c>
      <c r="R584">
        <v>0</v>
      </c>
      <c r="S584">
        <v>0</v>
      </c>
      <c r="T584" t="s">
        <v>710</v>
      </c>
      <c r="U584">
        <v>160</v>
      </c>
      <c r="V584" s="2">
        <v>0.3</v>
      </c>
      <c r="AE584"/>
      <c r="AY584" t="b">
        <v>1</v>
      </c>
      <c r="AZ584" s="2"/>
      <c r="BA584" s="7">
        <v>25</v>
      </c>
      <c r="BB584" t="s">
        <v>935</v>
      </c>
      <c r="BC584" t="s">
        <v>923</v>
      </c>
      <c r="BD584" t="e" vm="1">
        <v>#VALUE!</v>
      </c>
      <c r="BE584" t="str">
        <f>IF(OR(Table1[[#This Row],[ENGINE_CLASS]]="STEAM",Table1[[#This Row],[ENGINE_CLASS]]="ELECTRIC",Table1[[#This Row],[ENGINE_CLASS]]="DIESEL"),Table1[[#This Row],[ENGINE_CLASS]],"DISABLE")</f>
        <v>DISABLE</v>
      </c>
      <c r="BF584">
        <v>0</v>
      </c>
      <c r="BG584" t="s">
        <v>735</v>
      </c>
      <c r="BI584"/>
      <c r="BJ584">
        <v>27</v>
      </c>
      <c r="BK584">
        <v>0</v>
      </c>
      <c r="BL584" t="s">
        <v>693</v>
      </c>
      <c r="BM584" t="s">
        <v>695</v>
      </c>
      <c r="BN584" t="s">
        <v>702</v>
      </c>
      <c r="BO584" t="s">
        <v>706</v>
      </c>
      <c r="BP584" t="s">
        <v>707</v>
      </c>
      <c r="BQ584" t="s">
        <v>708</v>
      </c>
    </row>
    <row r="585" spans="1:69" x14ac:dyDescent="0.4">
      <c r="A585" s="2" t="s">
        <v>916</v>
      </c>
      <c r="B585" t="str">
        <f>_xlfn.TEXTAFTER(Table1[[#This Row],[VEHIDCODE]],"_")</f>
        <v>Wagon_Gen7M_Superheavy_Flatcar</v>
      </c>
      <c r="C585" t="s">
        <v>770</v>
      </c>
      <c r="D585" t="str">
        <f>"item_"&amp;Table1[[#This Row],[VEHIDCODE]]</f>
        <v>item_mglv_Wagon_Gen7M_Superheavy_Flatcar</v>
      </c>
      <c r="E585" t="str">
        <f>"str_"&amp;Table1[[#This Row],[VEHIDCODE]]</f>
        <v>str_mglv_Wagon_Gen7M_Superheavy_Flatcar</v>
      </c>
      <c r="F585">
        <v>12</v>
      </c>
      <c r="G585" t="s">
        <v>609</v>
      </c>
      <c r="H585">
        <v>0</v>
      </c>
      <c r="I585" t="s">
        <v>19</v>
      </c>
      <c r="J585">
        <v>65</v>
      </c>
      <c r="K585">
        <v>2010</v>
      </c>
      <c r="L585">
        <v>4</v>
      </c>
      <c r="M585" s="2" t="s">
        <v>33</v>
      </c>
      <c r="N585" t="b">
        <v>1</v>
      </c>
      <c r="P585" s="2" t="b">
        <v>1</v>
      </c>
      <c r="Q585" t="s">
        <v>21</v>
      </c>
      <c r="R585">
        <v>0</v>
      </c>
      <c r="S585">
        <v>0</v>
      </c>
      <c r="T585" t="s">
        <v>710</v>
      </c>
      <c r="U585">
        <v>140</v>
      </c>
      <c r="V585" s="2">
        <v>0.3</v>
      </c>
      <c r="AE585"/>
      <c r="AY585" t="b">
        <v>1</v>
      </c>
      <c r="AZ585" s="2"/>
      <c r="BA585" s="7">
        <v>25</v>
      </c>
      <c r="BB585" t="s">
        <v>937</v>
      </c>
      <c r="BC585" t="s">
        <v>923</v>
      </c>
      <c r="BD585" t="e" vm="1">
        <v>#VALUE!</v>
      </c>
      <c r="BE585" t="str">
        <f>IF(OR(Table1[[#This Row],[ENGINE_CLASS]]="STEAM",Table1[[#This Row],[ENGINE_CLASS]]="ELECTRIC",Table1[[#This Row],[ENGINE_CLASS]]="DIESEL"),Table1[[#This Row],[ENGINE_CLASS]],"DISABLE")</f>
        <v>DISABLE</v>
      </c>
      <c r="BF585">
        <v>0</v>
      </c>
      <c r="BG585" t="s">
        <v>735</v>
      </c>
      <c r="BI585"/>
      <c r="BJ585">
        <v>50</v>
      </c>
      <c r="BK585">
        <v>0</v>
      </c>
      <c r="BL585" t="s">
        <v>693</v>
      </c>
      <c r="BM585" t="s">
        <v>695</v>
      </c>
      <c r="BN585" t="s">
        <v>702</v>
      </c>
      <c r="BO585" t="s">
        <v>706</v>
      </c>
      <c r="BP585" t="s">
        <v>707</v>
      </c>
      <c r="BQ585" t="s">
        <v>708</v>
      </c>
    </row>
    <row r="586" spans="1:69" x14ac:dyDescent="0.4">
      <c r="A586" s="2" t="s">
        <v>917</v>
      </c>
      <c r="B586" t="str">
        <f>_xlfn.TEXTAFTER(Table1[[#This Row],[VEHIDCODE]],"_")</f>
        <v>Wagon_Gen7M_Tanker</v>
      </c>
      <c r="C586" t="s">
        <v>770</v>
      </c>
      <c r="D586" t="str">
        <f>"item_"&amp;Table1[[#This Row],[VEHIDCODE]]</f>
        <v>item_mglv_Wagon_Gen7M_Tanker</v>
      </c>
      <c r="E586" t="str">
        <f>"str_"&amp;Table1[[#This Row],[VEHIDCODE]]</f>
        <v>str_mglv_Wagon_Gen7M_Tanker</v>
      </c>
      <c r="F586">
        <v>8</v>
      </c>
      <c r="G586" t="s">
        <v>610</v>
      </c>
      <c r="H586">
        <v>0</v>
      </c>
      <c r="I586" t="s">
        <v>19</v>
      </c>
      <c r="J586">
        <v>105</v>
      </c>
      <c r="K586">
        <v>2020</v>
      </c>
      <c r="L586">
        <v>8</v>
      </c>
      <c r="M586" s="2" t="s">
        <v>33</v>
      </c>
      <c r="N586" t="b">
        <v>1</v>
      </c>
      <c r="P586" s="2" t="b">
        <v>1</v>
      </c>
      <c r="Q586" t="s">
        <v>21</v>
      </c>
      <c r="R586">
        <v>0</v>
      </c>
      <c r="S586">
        <v>0</v>
      </c>
      <c r="T586" t="s">
        <v>710</v>
      </c>
      <c r="U586">
        <v>160</v>
      </c>
      <c r="V586" s="2">
        <v>0.3</v>
      </c>
      <c r="AE586"/>
      <c r="AY586" t="b">
        <v>1</v>
      </c>
      <c r="AZ586" s="2"/>
      <c r="BA586" s="7">
        <v>25</v>
      </c>
      <c r="BB586" t="s">
        <v>937</v>
      </c>
      <c r="BC586" t="s">
        <v>923</v>
      </c>
      <c r="BD586" t="e" vm="1">
        <v>#VALUE!</v>
      </c>
      <c r="BE586" t="str">
        <f>IF(OR(Table1[[#This Row],[ENGINE_CLASS]]="STEAM",Table1[[#This Row],[ENGINE_CLASS]]="ELECTRIC",Table1[[#This Row],[ENGINE_CLASS]]="DIESEL"),Table1[[#This Row],[ENGINE_CLASS]],"DISABLE")</f>
        <v>DISABLE</v>
      </c>
      <c r="BF586">
        <v>0</v>
      </c>
      <c r="BG586" t="s">
        <v>735</v>
      </c>
      <c r="BI586"/>
      <c r="BJ586">
        <v>24</v>
      </c>
      <c r="BK586">
        <v>0</v>
      </c>
      <c r="BL586" t="s">
        <v>693</v>
      </c>
      <c r="BM586" t="s">
        <v>695</v>
      </c>
      <c r="BN586" t="s">
        <v>702</v>
      </c>
      <c r="BO586" t="s">
        <v>706</v>
      </c>
      <c r="BP586" t="s">
        <v>707</v>
      </c>
      <c r="BQ586" t="s">
        <v>708</v>
      </c>
    </row>
    <row r="587" spans="1:69" x14ac:dyDescent="0.4">
      <c r="A587" s="2" t="s">
        <v>611</v>
      </c>
      <c r="B587" t="str">
        <f>_xlfn.TEXTAFTER(Table1[[#This Row],[VEHIDCODE]],"_")</f>
        <v>Japan_JR_Shikoku_1000</v>
      </c>
      <c r="C587" t="s">
        <v>738</v>
      </c>
      <c r="D587" t="str">
        <f>"item_"&amp;Table1[[#This Row],[VEHIDCODE]]</f>
        <v>item_rbd_Japan_JR_Shikoku_1000</v>
      </c>
      <c r="E587" t="str">
        <f>"str_"&amp;Table1[[#This Row],[VEHIDCODE]]</f>
        <v>str_rbd_Japan_JR_Shikoku_1000</v>
      </c>
      <c r="F587">
        <v>7</v>
      </c>
      <c r="G587" t="s">
        <v>18</v>
      </c>
      <c r="H587">
        <v>0</v>
      </c>
      <c r="I587" t="s">
        <v>35</v>
      </c>
      <c r="J587">
        <v>70</v>
      </c>
      <c r="K587">
        <v>1990</v>
      </c>
      <c r="L587">
        <v>7</v>
      </c>
      <c r="M587" s="2" t="s">
        <v>24</v>
      </c>
      <c r="N587" t="b">
        <v>1</v>
      </c>
      <c r="P587" s="2"/>
      <c r="Q587">
        <v>45</v>
      </c>
      <c r="R587">
        <v>1</v>
      </c>
      <c r="S587">
        <v>400</v>
      </c>
      <c r="T587" t="s">
        <v>712</v>
      </c>
      <c r="U587">
        <v>110</v>
      </c>
      <c r="V587" s="2">
        <v>0.34</v>
      </c>
      <c r="AE587"/>
      <c r="AZ587" s="2"/>
      <c r="BA587" s="7">
        <v>15</v>
      </c>
      <c r="BB587" t="s">
        <v>932</v>
      </c>
      <c r="BC587" t="s">
        <v>923</v>
      </c>
      <c r="BD587" t="s">
        <v>941</v>
      </c>
      <c r="BE587" t="str">
        <f>IF(OR(Table1[[#This Row],[ENGINE_CLASS]]="STEAM",Table1[[#This Row],[ENGINE_CLASS]]="ELECTRIC",Table1[[#This Row],[ENGINE_CLASS]]="DIESEL"),Table1[[#This Row],[ENGINE_CLASS]],"DISABLE")</f>
        <v>DIESEL</v>
      </c>
      <c r="BF587">
        <v>0</v>
      </c>
      <c r="BG587" t="s">
        <v>735</v>
      </c>
      <c r="BI587"/>
      <c r="BJ587">
        <v>32</v>
      </c>
      <c r="BK587">
        <v>0</v>
      </c>
      <c r="BL587" t="s">
        <v>693</v>
      </c>
      <c r="BM587" t="s">
        <v>695</v>
      </c>
      <c r="BN587" t="s">
        <v>702</v>
      </c>
      <c r="BO587" t="s">
        <v>706</v>
      </c>
      <c r="BP587" t="s">
        <v>707</v>
      </c>
      <c r="BQ587" t="s">
        <v>708</v>
      </c>
    </row>
    <row r="588" spans="1:69" x14ac:dyDescent="0.4">
      <c r="A588" s="2" t="s">
        <v>612</v>
      </c>
      <c r="B588" t="str">
        <f>_xlfn.TEXTAFTER(Table1[[#This Row],[VEHIDCODE]],"_")</f>
        <v>Japan_JR_KiHa_E120</v>
      </c>
      <c r="C588" t="s">
        <v>738</v>
      </c>
      <c r="D588" t="str">
        <f>"item_"&amp;Table1[[#This Row],[VEHIDCODE]]</f>
        <v>item_rbd_Japan_JR_KiHa_E120</v>
      </c>
      <c r="E588" t="str">
        <f>"str_"&amp;Table1[[#This Row],[VEHIDCODE]]</f>
        <v>str_rbd_Japan_JR_KiHa_E120</v>
      </c>
      <c r="F588">
        <v>8</v>
      </c>
      <c r="G588" t="s">
        <v>18</v>
      </c>
      <c r="H588">
        <v>0</v>
      </c>
      <c r="I588" t="s">
        <v>35</v>
      </c>
      <c r="J588">
        <v>39</v>
      </c>
      <c r="K588">
        <v>2008</v>
      </c>
      <c r="L588">
        <v>8</v>
      </c>
      <c r="M588" s="2" t="s">
        <v>24</v>
      </c>
      <c r="N588" t="b">
        <v>1</v>
      </c>
      <c r="P588" s="2"/>
      <c r="Q588" t="s">
        <v>21</v>
      </c>
      <c r="R588">
        <v>1</v>
      </c>
      <c r="S588">
        <v>444</v>
      </c>
      <c r="T588" t="s">
        <v>712</v>
      </c>
      <c r="U588">
        <v>100</v>
      </c>
      <c r="V588" s="2">
        <v>0.26</v>
      </c>
      <c r="AE588"/>
      <c r="AZ588" s="2"/>
      <c r="BA588" s="7">
        <v>15</v>
      </c>
      <c r="BB588" t="s">
        <v>932</v>
      </c>
      <c r="BC588" t="s">
        <v>923</v>
      </c>
      <c r="BD588" t="s">
        <v>941</v>
      </c>
      <c r="BE588" t="str">
        <f>IF(OR(Table1[[#This Row],[ENGINE_CLASS]]="STEAM",Table1[[#This Row],[ENGINE_CLASS]]="ELECTRIC",Table1[[#This Row],[ENGINE_CLASS]]="DIESEL"),Table1[[#This Row],[ENGINE_CLASS]],"DISABLE")</f>
        <v>DIESEL</v>
      </c>
      <c r="BF588">
        <v>0</v>
      </c>
      <c r="BG588" t="s">
        <v>735</v>
      </c>
      <c r="BI588"/>
      <c r="BJ588">
        <v>39</v>
      </c>
      <c r="BK588">
        <v>0</v>
      </c>
      <c r="BL588" t="s">
        <v>693</v>
      </c>
      <c r="BM588" t="s">
        <v>695</v>
      </c>
      <c r="BN588" t="s">
        <v>702</v>
      </c>
      <c r="BO588" t="s">
        <v>706</v>
      </c>
      <c r="BP588" t="s">
        <v>707</v>
      </c>
      <c r="BQ588" t="s">
        <v>708</v>
      </c>
    </row>
    <row r="589" spans="1:69" x14ac:dyDescent="0.4">
      <c r="A589" s="2" t="s">
        <v>613</v>
      </c>
      <c r="B589" t="str">
        <f>_xlfn.TEXTAFTER(Table1[[#This Row],[VEHIDCODE]],"_")</f>
        <v>Chile_EFE_Buscarril</v>
      </c>
      <c r="C589" t="s">
        <v>738</v>
      </c>
      <c r="D589" t="str">
        <f>"item_"&amp;Table1[[#This Row],[VEHIDCODE]]</f>
        <v>item_rbd_Chile_EFE_Buscarril</v>
      </c>
      <c r="E589" t="str">
        <f>"str_"&amp;Table1[[#This Row],[VEHIDCODE]]</f>
        <v>str_rbd_Chile_EFE_Buscarril</v>
      </c>
      <c r="F589">
        <v>8</v>
      </c>
      <c r="G589" t="s">
        <v>18</v>
      </c>
      <c r="H589">
        <v>0</v>
      </c>
      <c r="I589" t="s">
        <v>35</v>
      </c>
      <c r="J589">
        <v>80</v>
      </c>
      <c r="K589">
        <v>1961</v>
      </c>
      <c r="L589">
        <v>8</v>
      </c>
      <c r="M589" s="2" t="s">
        <v>24</v>
      </c>
      <c r="N589" t="b">
        <v>1</v>
      </c>
      <c r="P589" s="2"/>
      <c r="Q589">
        <v>45</v>
      </c>
      <c r="R589">
        <v>1</v>
      </c>
      <c r="S589">
        <v>180</v>
      </c>
      <c r="T589" t="s">
        <v>712</v>
      </c>
      <c r="U589">
        <v>60</v>
      </c>
      <c r="V589" s="2">
        <v>0.22</v>
      </c>
      <c r="AE589"/>
      <c r="AZ589" s="2"/>
      <c r="BA589" s="7">
        <v>15</v>
      </c>
      <c r="BB589" t="s">
        <v>931</v>
      </c>
      <c r="BC589" t="s">
        <v>923</v>
      </c>
      <c r="BD589" t="s">
        <v>941</v>
      </c>
      <c r="BE589" t="str">
        <f>IF(OR(Table1[[#This Row],[ENGINE_CLASS]]="STEAM",Table1[[#This Row],[ENGINE_CLASS]]="ELECTRIC",Table1[[#This Row],[ENGINE_CLASS]]="DIESEL"),Table1[[#This Row],[ENGINE_CLASS]],"DISABLE")</f>
        <v>DIESEL</v>
      </c>
      <c r="BF589">
        <v>0</v>
      </c>
      <c r="BG589" t="s">
        <v>735</v>
      </c>
      <c r="BI589"/>
      <c r="BJ589">
        <v>30</v>
      </c>
      <c r="BK589">
        <v>0</v>
      </c>
      <c r="BL589" t="s">
        <v>693</v>
      </c>
      <c r="BM589" t="s">
        <v>695</v>
      </c>
      <c r="BN589" t="s">
        <v>702</v>
      </c>
      <c r="BO589" t="s">
        <v>706</v>
      </c>
      <c r="BP589" t="s">
        <v>707</v>
      </c>
      <c r="BQ589" t="s">
        <v>708</v>
      </c>
    </row>
    <row r="590" spans="1:69" x14ac:dyDescent="0.4">
      <c r="A590" s="2" t="s">
        <v>614</v>
      </c>
      <c r="B590" t="str">
        <f>_xlfn.TEXTAFTER(Table1[[#This Row],[VEHIDCODE]],"_")</f>
        <v>Argentina_FCPBA_M_Railcar</v>
      </c>
      <c r="C590" t="s">
        <v>738</v>
      </c>
      <c r="D590" t="str">
        <f>"item_"&amp;Table1[[#This Row],[VEHIDCODE]]</f>
        <v>item_rbd_Argentina_FCPBA_M_Railcar</v>
      </c>
      <c r="E590" t="str">
        <f>"str_"&amp;Table1[[#This Row],[VEHIDCODE]]</f>
        <v>str_rbd_Argentina_FCPBA_M_Railcar</v>
      </c>
      <c r="F590">
        <v>7</v>
      </c>
      <c r="G590" t="s">
        <v>18</v>
      </c>
      <c r="H590">
        <v>0</v>
      </c>
      <c r="I590" t="s">
        <v>35</v>
      </c>
      <c r="J590">
        <v>62</v>
      </c>
      <c r="K590">
        <v>1935</v>
      </c>
      <c r="L590">
        <v>7</v>
      </c>
      <c r="M590" s="2" t="s">
        <v>24</v>
      </c>
      <c r="N590" t="b">
        <v>1</v>
      </c>
      <c r="P590" s="2"/>
      <c r="Q590">
        <v>45</v>
      </c>
      <c r="R590">
        <v>1</v>
      </c>
      <c r="S590">
        <v>290</v>
      </c>
      <c r="T590" t="s">
        <v>712</v>
      </c>
      <c r="U590">
        <v>80</v>
      </c>
      <c r="V590" s="2">
        <v>0.14000000000000001</v>
      </c>
      <c r="AE590"/>
      <c r="AZ590" s="2"/>
      <c r="BA590" s="7">
        <v>15</v>
      </c>
      <c r="BB590" t="s">
        <v>931</v>
      </c>
      <c r="BC590" t="s">
        <v>923</v>
      </c>
      <c r="BD590" t="s">
        <v>941</v>
      </c>
      <c r="BE590" t="str">
        <f>IF(OR(Table1[[#This Row],[ENGINE_CLASS]]="STEAM",Table1[[#This Row],[ENGINE_CLASS]]="ELECTRIC",Table1[[#This Row],[ENGINE_CLASS]]="DIESEL"),Table1[[#This Row],[ENGINE_CLASS]],"DISABLE")</f>
        <v>DIESEL</v>
      </c>
      <c r="BF590">
        <v>0</v>
      </c>
      <c r="BG590" t="s">
        <v>735</v>
      </c>
      <c r="BI590"/>
      <c r="BJ590">
        <v>36</v>
      </c>
      <c r="BK590">
        <v>0</v>
      </c>
      <c r="BL590" t="s">
        <v>693</v>
      </c>
      <c r="BM590" t="s">
        <v>695</v>
      </c>
      <c r="BN590" t="s">
        <v>702</v>
      </c>
      <c r="BO590" t="s">
        <v>706</v>
      </c>
      <c r="BP590" t="s">
        <v>707</v>
      </c>
      <c r="BQ590" t="s">
        <v>708</v>
      </c>
    </row>
    <row r="591" spans="1:69" x14ac:dyDescent="0.4">
      <c r="A591" s="2" t="s">
        <v>615</v>
      </c>
      <c r="B591" t="str">
        <f>_xlfn.TEXTAFTER(Table1[[#This Row],[VEHIDCODE]],"_")</f>
        <v>Eritrea_Eritrean_Railway_A62_70_Littorina</v>
      </c>
      <c r="C591" t="s">
        <v>738</v>
      </c>
      <c r="D591" t="str">
        <f>"item_"&amp;Table1[[#This Row],[VEHIDCODE]]</f>
        <v>item_rbd_Eritrea_Eritrean_Railway_A62_70_Littorina</v>
      </c>
      <c r="E591" t="str">
        <f>"str_"&amp;Table1[[#This Row],[VEHIDCODE]]</f>
        <v>str_rbd_Eritrea_Eritrean_Railway_A62_70_Littorina</v>
      </c>
      <c r="F591">
        <v>5</v>
      </c>
      <c r="G591" t="s">
        <v>18</v>
      </c>
      <c r="H591">
        <v>0</v>
      </c>
      <c r="I591" t="s">
        <v>35</v>
      </c>
      <c r="J591">
        <v>32</v>
      </c>
      <c r="K591">
        <v>1937</v>
      </c>
      <c r="L591">
        <v>5</v>
      </c>
      <c r="M591" s="2" t="s">
        <v>24</v>
      </c>
      <c r="N591" t="b">
        <v>1</v>
      </c>
      <c r="P591" s="2"/>
      <c r="Q591">
        <v>45</v>
      </c>
      <c r="R591">
        <v>1</v>
      </c>
      <c r="S591">
        <v>227</v>
      </c>
      <c r="T591" t="s">
        <v>712</v>
      </c>
      <c r="U591">
        <v>68</v>
      </c>
      <c r="V591" s="2">
        <v>0.26</v>
      </c>
      <c r="AE591"/>
      <c r="AZ591" s="2"/>
      <c r="BA591" s="7">
        <v>15</v>
      </c>
      <c r="BB591" t="s">
        <v>927</v>
      </c>
      <c r="BC591" t="s">
        <v>923</v>
      </c>
      <c r="BD591" t="s">
        <v>941</v>
      </c>
      <c r="BE591" t="str">
        <f>IF(OR(Table1[[#This Row],[ENGINE_CLASS]]="STEAM",Table1[[#This Row],[ENGINE_CLASS]]="ELECTRIC",Table1[[#This Row],[ENGINE_CLASS]]="DIESEL"),Table1[[#This Row],[ENGINE_CLASS]],"DISABLE")</f>
        <v>DIESEL</v>
      </c>
      <c r="BF591">
        <v>0</v>
      </c>
      <c r="BG591" t="s">
        <v>735</v>
      </c>
      <c r="BI591"/>
      <c r="BJ591">
        <v>18</v>
      </c>
      <c r="BK591">
        <v>0</v>
      </c>
      <c r="BL591" t="s">
        <v>693</v>
      </c>
      <c r="BM591" t="s">
        <v>695</v>
      </c>
      <c r="BN591" t="s">
        <v>702</v>
      </c>
      <c r="BO591" t="s">
        <v>706</v>
      </c>
      <c r="BP591" t="s">
        <v>707</v>
      </c>
      <c r="BQ591" t="s">
        <v>708</v>
      </c>
    </row>
    <row r="592" spans="1:69" x14ac:dyDescent="0.4">
      <c r="A592" s="2" t="s">
        <v>616</v>
      </c>
      <c r="B592" t="str">
        <f>_xlfn.TEXTAFTER(Table1[[#This Row],[VEHIDCODE]],"_")</f>
        <v>Switzerland_AB_CFe_3_3</v>
      </c>
      <c r="C592" t="s">
        <v>739</v>
      </c>
      <c r="D592" t="str">
        <f>"item_"&amp;Table1[[#This Row],[VEHIDCODE]]</f>
        <v>item_rbe_Switzerland_AB_CFe_3_3</v>
      </c>
      <c r="E592" t="str">
        <f>"str_"&amp;Table1[[#This Row],[VEHIDCODE]]</f>
        <v>str_rbe_Switzerland_AB_CFe_3_3</v>
      </c>
      <c r="F592">
        <v>6</v>
      </c>
      <c r="G592" t="s">
        <v>18</v>
      </c>
      <c r="H592">
        <v>0</v>
      </c>
      <c r="I592" t="s">
        <v>74</v>
      </c>
      <c r="J592">
        <v>24</v>
      </c>
      <c r="K592">
        <v>1911</v>
      </c>
      <c r="L592">
        <v>6</v>
      </c>
      <c r="M592" s="2" t="s">
        <v>24</v>
      </c>
      <c r="N592" t="b">
        <v>1</v>
      </c>
      <c r="P592" s="2"/>
      <c r="Q592">
        <v>45</v>
      </c>
      <c r="R592">
        <v>1</v>
      </c>
      <c r="S592">
        <v>195</v>
      </c>
      <c r="T592" t="s">
        <v>710</v>
      </c>
      <c r="U592">
        <v>35</v>
      </c>
      <c r="V592" s="2">
        <v>0.15</v>
      </c>
      <c r="AE592"/>
      <c r="AJ592" t="b">
        <v>1</v>
      </c>
      <c r="AZ592" s="2"/>
      <c r="BA592" s="7">
        <v>15</v>
      </c>
      <c r="BB592" t="s">
        <v>924</v>
      </c>
      <c r="BC592" t="s">
        <v>923</v>
      </c>
      <c r="BD592" t="s">
        <v>941</v>
      </c>
      <c r="BE592" t="str">
        <f>IF(OR(Table1[[#This Row],[ENGINE_CLASS]]="STEAM",Table1[[#This Row],[ENGINE_CLASS]]="ELECTRIC",Table1[[#This Row],[ENGINE_CLASS]]="DIESEL"),Table1[[#This Row],[ENGINE_CLASS]],"DISABLE")</f>
        <v>ELECTRIC</v>
      </c>
      <c r="BF592">
        <v>-3</v>
      </c>
      <c r="BG592" t="s">
        <v>735</v>
      </c>
      <c r="BI592"/>
      <c r="BJ592">
        <v>24</v>
      </c>
      <c r="BK592">
        <v>0</v>
      </c>
      <c r="BL592" t="s">
        <v>693</v>
      </c>
      <c r="BM592" t="s">
        <v>695</v>
      </c>
      <c r="BN592" t="s">
        <v>702</v>
      </c>
      <c r="BO592" t="s">
        <v>706</v>
      </c>
      <c r="BP592" t="s">
        <v>707</v>
      </c>
      <c r="BQ592" t="s">
        <v>708</v>
      </c>
    </row>
    <row r="593" spans="1:69" x14ac:dyDescent="0.4">
      <c r="A593" s="2" t="s">
        <v>617</v>
      </c>
      <c r="B593" t="str">
        <f>_xlfn.TEXTAFTER(Table1[[#This Row],[VEHIDCODE]],"_")</f>
        <v>Switzerland_TPC_BVB_Be_2_2</v>
      </c>
      <c r="C593" t="s">
        <v>739</v>
      </c>
      <c r="D593" t="str">
        <f>"item_"&amp;Table1[[#This Row],[VEHIDCODE]]</f>
        <v>item_rbe_Switzerland_TPC_BVB_Be_2_2</v>
      </c>
      <c r="E593" t="str">
        <f>"str_"&amp;Table1[[#This Row],[VEHIDCODE]]</f>
        <v>str_rbe_Switzerland_TPC_BVB_Be_2_2</v>
      </c>
      <c r="F593">
        <v>4</v>
      </c>
      <c r="G593" t="s">
        <v>18</v>
      </c>
      <c r="H593">
        <v>0</v>
      </c>
      <c r="I593" t="s">
        <v>74</v>
      </c>
      <c r="J593">
        <v>20</v>
      </c>
      <c r="K593">
        <v>1907</v>
      </c>
      <c r="L593">
        <v>4</v>
      </c>
      <c r="M593" s="2" t="s">
        <v>24</v>
      </c>
      <c r="N593" t="b">
        <v>1</v>
      </c>
      <c r="P593" s="2"/>
      <c r="Q593">
        <v>45</v>
      </c>
      <c r="R593">
        <v>1</v>
      </c>
      <c r="S593">
        <v>144</v>
      </c>
      <c r="T593" t="s">
        <v>710</v>
      </c>
      <c r="U593">
        <v>37</v>
      </c>
      <c r="V593" s="2">
        <v>0.33</v>
      </c>
      <c r="AE593"/>
      <c r="AJ593" t="b">
        <v>1</v>
      </c>
      <c r="AZ593" s="2"/>
      <c r="BA593" s="7">
        <v>15</v>
      </c>
      <c r="BB593" t="s">
        <v>924</v>
      </c>
      <c r="BC593" t="s">
        <v>923</v>
      </c>
      <c r="BD593" t="s">
        <v>941</v>
      </c>
      <c r="BE593" t="str">
        <f>IF(OR(Table1[[#This Row],[ENGINE_CLASS]]="STEAM",Table1[[#This Row],[ENGINE_CLASS]]="ELECTRIC",Table1[[#This Row],[ENGINE_CLASS]]="DIESEL"),Table1[[#This Row],[ENGINE_CLASS]],"DISABLE")</f>
        <v>ELECTRIC</v>
      </c>
      <c r="BF593">
        <v>0</v>
      </c>
      <c r="BG593" t="s">
        <v>735</v>
      </c>
      <c r="BI593"/>
      <c r="BJ593">
        <v>15</v>
      </c>
      <c r="BK593">
        <v>0</v>
      </c>
      <c r="BL593" t="s">
        <v>693</v>
      </c>
      <c r="BM593" t="s">
        <v>695</v>
      </c>
      <c r="BN593" t="s">
        <v>702</v>
      </c>
      <c r="BO593" t="s">
        <v>706</v>
      </c>
      <c r="BP593" t="s">
        <v>707</v>
      </c>
      <c r="BQ593" t="s">
        <v>708</v>
      </c>
    </row>
    <row r="594" spans="1:69" x14ac:dyDescent="0.4">
      <c r="A594" s="2" t="s">
        <v>618</v>
      </c>
      <c r="B594" t="str">
        <f>_xlfn.TEXTAFTER(Table1[[#This Row],[VEHIDCODE]],"_")</f>
        <v>Switzerland_MVR_Beh_2_4</v>
      </c>
      <c r="C594" t="s">
        <v>739</v>
      </c>
      <c r="D594" t="str">
        <f>"item_"&amp;Table1[[#This Row],[VEHIDCODE]]</f>
        <v>item_rbe_Switzerland_MVR_Beh_2_4</v>
      </c>
      <c r="E594" t="str">
        <f>"str_"&amp;Table1[[#This Row],[VEHIDCODE]]</f>
        <v>str_rbe_Switzerland_MVR_Beh_2_4</v>
      </c>
      <c r="F594">
        <v>8</v>
      </c>
      <c r="G594" t="s">
        <v>18</v>
      </c>
      <c r="H594">
        <v>0</v>
      </c>
      <c r="I594" t="s">
        <v>74</v>
      </c>
      <c r="J594">
        <v>40</v>
      </c>
      <c r="K594">
        <v>1998</v>
      </c>
      <c r="L594">
        <v>8</v>
      </c>
      <c r="M594" s="2" t="s">
        <v>24</v>
      </c>
      <c r="N594" t="b">
        <v>1</v>
      </c>
      <c r="P594" s="2"/>
      <c r="Q594">
        <v>45</v>
      </c>
      <c r="R594">
        <v>1</v>
      </c>
      <c r="S594">
        <v>752</v>
      </c>
      <c r="T594" t="s">
        <v>710</v>
      </c>
      <c r="U594">
        <v>50</v>
      </c>
      <c r="V594" s="2">
        <v>0.27</v>
      </c>
      <c r="AE594"/>
      <c r="AJ594" t="b">
        <v>1</v>
      </c>
      <c r="AZ594" s="2"/>
      <c r="BA594" s="7">
        <v>15</v>
      </c>
      <c r="BB594" t="s">
        <v>924</v>
      </c>
      <c r="BC594" t="s">
        <v>923</v>
      </c>
      <c r="BD594" t="s">
        <v>941</v>
      </c>
      <c r="BE594" t="str">
        <f>IF(OR(Table1[[#This Row],[ENGINE_CLASS]]="STEAM",Table1[[#This Row],[ENGINE_CLASS]]="ELECTRIC",Table1[[#This Row],[ENGINE_CLASS]]="DIESEL"),Table1[[#This Row],[ENGINE_CLASS]],"DISABLE")</f>
        <v>ELECTRIC</v>
      </c>
      <c r="BF594">
        <v>0</v>
      </c>
      <c r="BG594" t="s">
        <v>735</v>
      </c>
      <c r="BI594"/>
      <c r="BJ594">
        <v>32</v>
      </c>
      <c r="BK594">
        <v>0</v>
      </c>
      <c r="BL594" t="s">
        <v>693</v>
      </c>
      <c r="BM594" t="s">
        <v>695</v>
      </c>
      <c r="BN594" t="s">
        <v>702</v>
      </c>
      <c r="BO594" t="s">
        <v>706</v>
      </c>
      <c r="BP594" t="s">
        <v>707</v>
      </c>
      <c r="BQ594" t="s">
        <v>708</v>
      </c>
    </row>
    <row r="595" spans="1:69" x14ac:dyDescent="0.4">
      <c r="A595" s="2" t="s">
        <v>619</v>
      </c>
      <c r="B595" t="str">
        <f>_xlfn.TEXTAFTER(Table1[[#This Row],[VEHIDCODE]],"_")</f>
        <v>Spain_Ferrocarril_de_Soller_1_3</v>
      </c>
      <c r="C595" t="s">
        <v>739</v>
      </c>
      <c r="D595" t="str">
        <f>"item_"&amp;Table1[[#This Row],[VEHIDCODE]]</f>
        <v>item_rbe_Spain_Ferrocarril_de_Soller_1_3</v>
      </c>
      <c r="E595" t="str">
        <f>"str_"&amp;Table1[[#This Row],[VEHIDCODE]]</f>
        <v>str_rbe_Spain_Ferrocarril_de_Soller_1_3</v>
      </c>
      <c r="F595">
        <v>6</v>
      </c>
      <c r="G595" t="s">
        <v>18</v>
      </c>
      <c r="H595">
        <v>0</v>
      </c>
      <c r="I595" t="s">
        <v>74</v>
      </c>
      <c r="J595">
        <v>44</v>
      </c>
      <c r="K595">
        <v>1929</v>
      </c>
      <c r="L595">
        <v>6</v>
      </c>
      <c r="M595" s="2" t="s">
        <v>24</v>
      </c>
      <c r="N595" t="b">
        <v>1</v>
      </c>
      <c r="P595" s="2"/>
      <c r="Q595">
        <v>45</v>
      </c>
      <c r="R595">
        <v>1</v>
      </c>
      <c r="S595">
        <v>350</v>
      </c>
      <c r="T595" t="s">
        <v>710</v>
      </c>
      <c r="U595">
        <v>60</v>
      </c>
      <c r="V595" s="2">
        <v>0.05</v>
      </c>
      <c r="AE595"/>
      <c r="AJ595" t="b">
        <v>1</v>
      </c>
      <c r="AZ595" s="2"/>
      <c r="BA595" s="7">
        <v>15</v>
      </c>
      <c r="BB595" t="s">
        <v>925</v>
      </c>
      <c r="BC595" t="s">
        <v>923</v>
      </c>
      <c r="BD595" t="s">
        <v>941</v>
      </c>
      <c r="BE595" t="str">
        <f>IF(OR(Table1[[#This Row],[ENGINE_CLASS]]="STEAM",Table1[[#This Row],[ENGINE_CLASS]]="ELECTRIC",Table1[[#This Row],[ENGINE_CLASS]]="DIESEL"),Table1[[#This Row],[ENGINE_CLASS]],"DISABLE")</f>
        <v>ELECTRIC</v>
      </c>
      <c r="BF595">
        <v>0</v>
      </c>
      <c r="BG595" t="s">
        <v>735</v>
      </c>
      <c r="BI595"/>
      <c r="BJ595">
        <v>38</v>
      </c>
      <c r="BK595">
        <v>0</v>
      </c>
      <c r="BL595" t="s">
        <v>693</v>
      </c>
      <c r="BM595" t="s">
        <v>695</v>
      </c>
      <c r="BN595" t="s">
        <v>702</v>
      </c>
      <c r="BO595" t="s">
        <v>706</v>
      </c>
      <c r="BP595" t="s">
        <v>707</v>
      </c>
      <c r="BQ595" t="s">
        <v>708</v>
      </c>
    </row>
    <row r="596" spans="1:69" x14ac:dyDescent="0.4">
      <c r="A596" s="2" t="s">
        <v>620</v>
      </c>
      <c r="B596" t="str">
        <f>_xlfn.TEXTAFTER(Table1[[#This Row],[VEHIDCODE]],"_")</f>
        <v>Japan_Choshi_DeHa_1000</v>
      </c>
      <c r="C596" t="s">
        <v>739</v>
      </c>
      <c r="D596" t="str">
        <f>"item_"&amp;Table1[[#This Row],[VEHIDCODE]]</f>
        <v>item_rbe_Japan_Choshi_DeHa_1000</v>
      </c>
      <c r="E596" t="str">
        <f>"str_"&amp;Table1[[#This Row],[VEHIDCODE]]</f>
        <v>str_rbe_Japan_Choshi_DeHa_1000</v>
      </c>
      <c r="F596">
        <v>7</v>
      </c>
      <c r="G596" t="s">
        <v>18</v>
      </c>
      <c r="H596">
        <v>0</v>
      </c>
      <c r="I596" t="s">
        <v>74</v>
      </c>
      <c r="J596">
        <v>34</v>
      </c>
      <c r="K596">
        <v>1960</v>
      </c>
      <c r="L596">
        <v>7</v>
      </c>
      <c r="M596" s="2" t="s">
        <v>24</v>
      </c>
      <c r="N596" t="b">
        <v>1</v>
      </c>
      <c r="P596" s="2"/>
      <c r="Q596">
        <v>45</v>
      </c>
      <c r="R596">
        <v>1</v>
      </c>
      <c r="S596">
        <v>402</v>
      </c>
      <c r="T596" t="s">
        <v>710</v>
      </c>
      <c r="U596">
        <v>40</v>
      </c>
      <c r="V596" s="2">
        <v>0.18</v>
      </c>
      <c r="AE596"/>
      <c r="AJ596" t="b">
        <v>1</v>
      </c>
      <c r="AZ596" s="2"/>
      <c r="BA596" s="7">
        <v>15</v>
      </c>
      <c r="BB596" t="s">
        <v>932</v>
      </c>
      <c r="BC596" t="s">
        <v>923</v>
      </c>
      <c r="BD596" t="s">
        <v>941</v>
      </c>
      <c r="BE596" t="str">
        <f>IF(OR(Table1[[#This Row],[ENGINE_CLASS]]="STEAM",Table1[[#This Row],[ENGINE_CLASS]]="ELECTRIC",Table1[[#This Row],[ENGINE_CLASS]]="DIESEL"),Table1[[#This Row],[ENGINE_CLASS]],"DISABLE")</f>
        <v>ELECTRIC</v>
      </c>
      <c r="BF596">
        <v>0</v>
      </c>
      <c r="BG596" t="s">
        <v>735</v>
      </c>
      <c r="BI596"/>
      <c r="BJ596">
        <v>31</v>
      </c>
      <c r="BK596">
        <v>0</v>
      </c>
      <c r="BL596" t="s">
        <v>693</v>
      </c>
      <c r="BM596" t="s">
        <v>695</v>
      </c>
      <c r="BN596" t="s">
        <v>702</v>
      </c>
      <c r="BO596" t="s">
        <v>706</v>
      </c>
      <c r="BP596" t="s">
        <v>707</v>
      </c>
      <c r="BQ596" t="s">
        <v>708</v>
      </c>
    </row>
    <row r="597" spans="1:69" x14ac:dyDescent="0.4">
      <c r="A597" s="2" t="s">
        <v>621</v>
      </c>
      <c r="B597" t="str">
        <f>_xlfn.TEXTAFTER(Table1[[#This Row],[VEHIDCODE]],"_")</f>
        <v>Switzerland_RhB_G_3_4</v>
      </c>
      <c r="C597" t="s">
        <v>740</v>
      </c>
      <c r="D597" t="str">
        <f>"item_"&amp;Table1[[#This Row],[VEHIDCODE]]</f>
        <v>item_steam_Switzerland_RhB_G_3_4</v>
      </c>
      <c r="E597" t="str">
        <f>"str_"&amp;Table1[[#This Row],[VEHIDCODE]]</f>
        <v>str_steam_Switzerland_RhB_G_3_4</v>
      </c>
      <c r="F597">
        <v>6</v>
      </c>
      <c r="G597" t="s">
        <v>18</v>
      </c>
      <c r="H597">
        <v>0</v>
      </c>
      <c r="I597" t="s">
        <v>23</v>
      </c>
      <c r="J597">
        <v>0</v>
      </c>
      <c r="K597">
        <v>1889</v>
      </c>
      <c r="L597">
        <v>6</v>
      </c>
      <c r="M597" s="2" t="s">
        <v>20</v>
      </c>
      <c r="N597" t="b">
        <v>1</v>
      </c>
      <c r="P597" s="2"/>
      <c r="Q597">
        <v>45</v>
      </c>
      <c r="R597">
        <v>1</v>
      </c>
      <c r="S597">
        <v>247</v>
      </c>
      <c r="T597" t="s">
        <v>711</v>
      </c>
      <c r="U597">
        <v>45</v>
      </c>
      <c r="V597" s="2">
        <v>0.19</v>
      </c>
      <c r="AE597"/>
      <c r="AZ597" s="2"/>
      <c r="BA597" s="7">
        <v>40</v>
      </c>
      <c r="BB597" t="s">
        <v>924</v>
      </c>
      <c r="BC597" t="s">
        <v>923</v>
      </c>
      <c r="BD597" t="s">
        <v>941</v>
      </c>
      <c r="BE597" t="str">
        <f>IF(OR(Table1[[#This Row],[ENGINE_CLASS]]="STEAM",Table1[[#This Row],[ENGINE_CLASS]]="ELECTRIC",Table1[[#This Row],[ENGINE_CLASS]]="DIESEL"),Table1[[#This Row],[ENGINE_CLASS]],"DISABLE")</f>
        <v>STEAM</v>
      </c>
      <c r="BF597">
        <v>0</v>
      </c>
      <c r="BG597" t="s">
        <v>735</v>
      </c>
      <c r="BI597"/>
      <c r="BJ597">
        <v>30</v>
      </c>
      <c r="BK597">
        <v>0</v>
      </c>
      <c r="BL597" t="s">
        <v>693</v>
      </c>
      <c r="BM597" t="s">
        <v>695</v>
      </c>
      <c r="BN597" t="s">
        <v>702</v>
      </c>
      <c r="BO597" t="s">
        <v>706</v>
      </c>
      <c r="BP597" t="s">
        <v>707</v>
      </c>
      <c r="BQ597" t="s">
        <v>708</v>
      </c>
    </row>
    <row r="598" spans="1:69" x14ac:dyDescent="0.4">
      <c r="A598" s="2" t="s">
        <v>622</v>
      </c>
      <c r="B598" t="str">
        <f>_xlfn.TEXTAFTER(Table1[[#This Row],[VEHIDCODE]],"_")</f>
        <v>Japan_JNR_Class_E10</v>
      </c>
      <c r="C598" t="s">
        <v>740</v>
      </c>
      <c r="D598" t="str">
        <f>"item_"&amp;Table1[[#This Row],[VEHIDCODE]]</f>
        <v>item_steam_Japan_JNR_Class_E10</v>
      </c>
      <c r="E598" t="str">
        <f>"str_"&amp;Table1[[#This Row],[VEHIDCODE]]</f>
        <v>str_steam_Japan_JNR_Class_E10</v>
      </c>
      <c r="F598">
        <v>7</v>
      </c>
      <c r="G598" t="s">
        <v>18</v>
      </c>
      <c r="H598">
        <v>0</v>
      </c>
      <c r="I598" t="s">
        <v>23</v>
      </c>
      <c r="J598">
        <v>0</v>
      </c>
      <c r="K598">
        <v>1948</v>
      </c>
      <c r="L598">
        <v>7</v>
      </c>
      <c r="M598" s="2" t="s">
        <v>20</v>
      </c>
      <c r="N598" t="b">
        <v>1</v>
      </c>
      <c r="P598" s="2"/>
      <c r="Q598">
        <v>45</v>
      </c>
      <c r="R598">
        <v>1</v>
      </c>
      <c r="S598">
        <v>1300</v>
      </c>
      <c r="T598" t="s">
        <v>711</v>
      </c>
      <c r="U598">
        <v>65</v>
      </c>
      <c r="V598" s="2">
        <v>0.21</v>
      </c>
      <c r="AE598"/>
      <c r="AZ598" s="2"/>
      <c r="BA598" s="7">
        <v>40</v>
      </c>
      <c r="BB598" t="s">
        <v>932</v>
      </c>
      <c r="BC598" t="s">
        <v>923</v>
      </c>
      <c r="BD598" t="s">
        <v>941</v>
      </c>
      <c r="BE598" t="str">
        <f>IF(OR(Table1[[#This Row],[ENGINE_CLASS]]="STEAM",Table1[[#This Row],[ENGINE_CLASS]]="ELECTRIC",Table1[[#This Row],[ENGINE_CLASS]]="DIESEL"),Table1[[#This Row],[ENGINE_CLASS]],"DISABLE")</f>
        <v>STEAM</v>
      </c>
      <c r="BF598">
        <v>0</v>
      </c>
      <c r="BG598" t="s">
        <v>735</v>
      </c>
      <c r="BI598"/>
      <c r="BJ598">
        <v>102</v>
      </c>
      <c r="BK598">
        <v>0</v>
      </c>
      <c r="BL598" t="s">
        <v>693</v>
      </c>
      <c r="BM598" t="s">
        <v>695</v>
      </c>
      <c r="BN598" t="s">
        <v>702</v>
      </c>
      <c r="BO598" t="s">
        <v>706</v>
      </c>
      <c r="BP598" t="s">
        <v>707</v>
      </c>
      <c r="BQ598" t="s">
        <v>708</v>
      </c>
    </row>
    <row r="599" spans="1:69" x14ac:dyDescent="0.4">
      <c r="A599" s="2" t="s">
        <v>623</v>
      </c>
      <c r="B599" t="str">
        <f>_xlfn.TEXTAFTER(Table1[[#This Row],[VEHIDCODE]],"_")</f>
        <v>Japan_JNR_7100</v>
      </c>
      <c r="C599" t="s">
        <v>740</v>
      </c>
      <c r="D599" t="str">
        <f>"item_"&amp;Table1[[#This Row],[VEHIDCODE]]</f>
        <v>item_steam_Japan_JNR_7100</v>
      </c>
      <c r="E599" t="str">
        <f>"str_"&amp;Table1[[#This Row],[VEHIDCODE]]</f>
        <v>str_steam_Japan_JNR_7100</v>
      </c>
      <c r="F599">
        <v>6</v>
      </c>
      <c r="G599" t="s">
        <v>20</v>
      </c>
      <c r="H599">
        <v>0</v>
      </c>
      <c r="I599" t="s">
        <v>23</v>
      </c>
      <c r="J599">
        <v>0</v>
      </c>
      <c r="K599">
        <v>1880</v>
      </c>
      <c r="L599">
        <v>5</v>
      </c>
      <c r="M599" s="2" t="s">
        <v>24</v>
      </c>
      <c r="N599" t="b">
        <v>1</v>
      </c>
      <c r="P599" s="2"/>
      <c r="Q599">
        <v>45</v>
      </c>
      <c r="R599">
        <v>1</v>
      </c>
      <c r="S599">
        <v>200</v>
      </c>
      <c r="T599" t="s">
        <v>711</v>
      </c>
      <c r="U599">
        <v>36</v>
      </c>
      <c r="V599" s="2">
        <v>7.0000000000000007E-2</v>
      </c>
      <c r="AE599"/>
      <c r="AZ599" s="2"/>
      <c r="BA599" s="7">
        <v>40</v>
      </c>
      <c r="BB599" t="s">
        <v>932</v>
      </c>
      <c r="BC599" t="s">
        <v>923</v>
      </c>
      <c r="BD599" t="s">
        <v>941</v>
      </c>
      <c r="BE599" t="str">
        <f>IF(OR(Table1[[#This Row],[ENGINE_CLASS]]="STEAM",Table1[[#This Row],[ENGINE_CLASS]]="ELECTRIC",Table1[[#This Row],[ENGINE_CLASS]]="DIESEL"),Table1[[#This Row],[ENGINE_CLASS]],"DISABLE")</f>
        <v>STEAM</v>
      </c>
      <c r="BF599">
        <v>0</v>
      </c>
      <c r="BG599" t="s">
        <v>735</v>
      </c>
      <c r="BI599"/>
      <c r="BJ599">
        <v>31</v>
      </c>
      <c r="BK599">
        <v>0</v>
      </c>
      <c r="BL599" t="s">
        <v>693</v>
      </c>
      <c r="BM599" t="s">
        <v>695</v>
      </c>
      <c r="BN599" t="s">
        <v>702</v>
      </c>
      <c r="BO599" t="s">
        <v>706</v>
      </c>
      <c r="BP599" t="s">
        <v>707</v>
      </c>
      <c r="BQ599" t="s">
        <v>708</v>
      </c>
    </row>
    <row r="600" spans="1:69" x14ac:dyDescent="0.4">
      <c r="A600" s="2" t="s">
        <v>624</v>
      </c>
      <c r="B600" t="str">
        <f>_xlfn.TEXTAFTER(Table1[[#This Row],[VEHIDCODE]],"_")</f>
        <v>Japan_JNR_860</v>
      </c>
      <c r="C600" t="s">
        <v>740</v>
      </c>
      <c r="D600" t="str">
        <f>"item_"&amp;Table1[[#This Row],[VEHIDCODE]]</f>
        <v>item_steam_Japan_JNR_860</v>
      </c>
      <c r="E600" t="str">
        <f>"str_"&amp;Table1[[#This Row],[VEHIDCODE]]</f>
        <v>str_steam_Japan_JNR_860</v>
      </c>
      <c r="F600">
        <v>5</v>
      </c>
      <c r="G600" t="s">
        <v>20</v>
      </c>
      <c r="H600">
        <v>0</v>
      </c>
      <c r="I600" t="s">
        <v>23</v>
      </c>
      <c r="J600">
        <v>0</v>
      </c>
      <c r="K600">
        <v>1893</v>
      </c>
      <c r="L600">
        <v>5</v>
      </c>
      <c r="M600" s="2" t="s">
        <v>24</v>
      </c>
      <c r="N600" t="b">
        <v>1</v>
      </c>
      <c r="P600" s="2"/>
      <c r="Q600">
        <v>45</v>
      </c>
      <c r="R600">
        <v>1</v>
      </c>
      <c r="S600">
        <v>186</v>
      </c>
      <c r="T600" t="s">
        <v>711</v>
      </c>
      <c r="U600">
        <v>48</v>
      </c>
      <c r="V600" s="2">
        <v>0.15</v>
      </c>
      <c r="AE600"/>
      <c r="AZ600" s="2"/>
      <c r="BA600" s="7">
        <v>40</v>
      </c>
      <c r="BB600" t="s">
        <v>932</v>
      </c>
      <c r="BC600" t="s">
        <v>923</v>
      </c>
      <c r="BD600" t="s">
        <v>941</v>
      </c>
      <c r="BE600" t="str">
        <f>IF(OR(Table1[[#This Row],[ENGINE_CLASS]]="STEAM",Table1[[#This Row],[ENGINE_CLASS]]="ELECTRIC",Table1[[#This Row],[ENGINE_CLASS]]="DIESEL"),Table1[[#This Row],[ENGINE_CLASS]],"DISABLE")</f>
        <v>STEAM</v>
      </c>
      <c r="BF600">
        <v>0</v>
      </c>
      <c r="BG600" t="s">
        <v>735</v>
      </c>
      <c r="BI600"/>
      <c r="BJ600">
        <v>32</v>
      </c>
      <c r="BK600">
        <v>0</v>
      </c>
      <c r="BL600" t="s">
        <v>693</v>
      </c>
      <c r="BM600" t="s">
        <v>695</v>
      </c>
      <c r="BN600" t="s">
        <v>702</v>
      </c>
      <c r="BO600" t="s">
        <v>706</v>
      </c>
      <c r="BP600" t="s">
        <v>707</v>
      </c>
      <c r="BQ600" t="s">
        <v>708</v>
      </c>
    </row>
    <row r="601" spans="1:69" x14ac:dyDescent="0.4">
      <c r="A601" s="2" t="s">
        <v>625</v>
      </c>
      <c r="B601" t="str">
        <f>_xlfn.TEXTAFTER(Table1[[#This Row],[VEHIDCODE]],"_")</f>
        <v>Japan_JNR_9600</v>
      </c>
      <c r="C601" t="s">
        <v>740</v>
      </c>
      <c r="D601" t="str">
        <f>"item_"&amp;Table1[[#This Row],[VEHIDCODE]]</f>
        <v>item_steam_Japan_JNR_9600</v>
      </c>
      <c r="E601" t="str">
        <f>"str_"&amp;Table1[[#This Row],[VEHIDCODE]]</f>
        <v>str_steam_Japan_JNR_9600</v>
      </c>
      <c r="F601">
        <v>8</v>
      </c>
      <c r="G601" t="s">
        <v>20</v>
      </c>
      <c r="H601">
        <v>0</v>
      </c>
      <c r="I601" t="s">
        <v>23</v>
      </c>
      <c r="J601">
        <v>0</v>
      </c>
      <c r="K601">
        <v>1913</v>
      </c>
      <c r="L601">
        <v>7</v>
      </c>
      <c r="M601" s="2" t="s">
        <v>24</v>
      </c>
      <c r="N601" t="b">
        <v>1</v>
      </c>
      <c r="P601" s="2"/>
      <c r="Q601">
        <v>45</v>
      </c>
      <c r="R601">
        <v>1</v>
      </c>
      <c r="S601">
        <v>870</v>
      </c>
      <c r="T601" t="s">
        <v>711</v>
      </c>
      <c r="U601">
        <v>65</v>
      </c>
      <c r="V601" s="2">
        <v>0.15</v>
      </c>
      <c r="AE601"/>
      <c r="AZ601" s="2"/>
      <c r="BA601" s="7">
        <v>40</v>
      </c>
      <c r="BB601" t="s">
        <v>932</v>
      </c>
      <c r="BC601" t="s">
        <v>923</v>
      </c>
      <c r="BD601" t="s">
        <v>941</v>
      </c>
      <c r="BE601" t="str">
        <f>IF(OR(Table1[[#This Row],[ENGINE_CLASS]]="STEAM",Table1[[#This Row],[ENGINE_CLASS]]="ELECTRIC",Table1[[#This Row],[ENGINE_CLASS]]="DIESEL"),Table1[[#This Row],[ENGINE_CLASS]],"DISABLE")</f>
        <v>STEAM</v>
      </c>
      <c r="BF601">
        <v>0</v>
      </c>
      <c r="BG601" t="s">
        <v>735</v>
      </c>
      <c r="BI601"/>
      <c r="BJ601">
        <v>95</v>
      </c>
      <c r="BK601">
        <v>0</v>
      </c>
      <c r="BL601" t="s">
        <v>693</v>
      </c>
      <c r="BM601" t="s">
        <v>695</v>
      </c>
      <c r="BN601" t="s">
        <v>702</v>
      </c>
      <c r="BO601" t="s">
        <v>706</v>
      </c>
      <c r="BP601" t="s">
        <v>707</v>
      </c>
      <c r="BQ601" t="s">
        <v>708</v>
      </c>
    </row>
    <row r="602" spans="1:69" x14ac:dyDescent="0.4">
      <c r="A602" s="2" t="s">
        <v>626</v>
      </c>
      <c r="B602" t="str">
        <f>_xlfn.TEXTAFTER(Table1[[#This Row],[VEHIDCODE]],"_")</f>
        <v>Japan_JNR_D50</v>
      </c>
      <c r="C602" t="s">
        <v>740</v>
      </c>
      <c r="D602" t="str">
        <f>"item_"&amp;Table1[[#This Row],[VEHIDCODE]]</f>
        <v>item_steam_Japan_JNR_D50</v>
      </c>
      <c r="E602" t="str">
        <f>"str_"&amp;Table1[[#This Row],[VEHIDCODE]]</f>
        <v>str_steam_Japan_JNR_D50</v>
      </c>
      <c r="F602">
        <v>8</v>
      </c>
      <c r="G602" t="s">
        <v>20</v>
      </c>
      <c r="H602">
        <v>0</v>
      </c>
      <c r="I602" t="s">
        <v>23</v>
      </c>
      <c r="J602">
        <v>0</v>
      </c>
      <c r="K602">
        <v>1923</v>
      </c>
      <c r="L602">
        <v>6</v>
      </c>
      <c r="M602" s="2" t="s">
        <v>20</v>
      </c>
      <c r="N602" t="b">
        <v>1</v>
      </c>
      <c r="P602" s="2"/>
      <c r="Q602">
        <v>45</v>
      </c>
      <c r="R602">
        <v>1</v>
      </c>
      <c r="S602">
        <v>1520</v>
      </c>
      <c r="T602" t="s">
        <v>711</v>
      </c>
      <c r="U602">
        <v>70</v>
      </c>
      <c r="V602" s="2">
        <v>0.16</v>
      </c>
      <c r="AE602"/>
      <c r="AZ602" s="2"/>
      <c r="BA602" s="7">
        <v>40</v>
      </c>
      <c r="BB602" t="s">
        <v>932</v>
      </c>
      <c r="BC602" t="s">
        <v>923</v>
      </c>
      <c r="BD602" t="s">
        <v>941</v>
      </c>
      <c r="BE602" t="str">
        <f>IF(OR(Table1[[#This Row],[ENGINE_CLASS]]="STEAM",Table1[[#This Row],[ENGINE_CLASS]]="ELECTRIC",Table1[[#This Row],[ENGINE_CLASS]]="DIESEL"),Table1[[#This Row],[ENGINE_CLASS]],"DISABLE")</f>
        <v>STEAM</v>
      </c>
      <c r="BF602">
        <v>0</v>
      </c>
      <c r="BG602" t="s">
        <v>735</v>
      </c>
      <c r="BI602"/>
      <c r="BJ602">
        <v>122</v>
      </c>
      <c r="BK602">
        <v>0</v>
      </c>
      <c r="BL602" t="s">
        <v>693</v>
      </c>
      <c r="BM602" t="s">
        <v>695</v>
      </c>
      <c r="BN602" t="s">
        <v>702</v>
      </c>
      <c r="BO602" t="s">
        <v>706</v>
      </c>
      <c r="BP602" t="s">
        <v>707</v>
      </c>
      <c r="BQ602" t="s">
        <v>708</v>
      </c>
    </row>
    <row r="603" spans="1:69" x14ac:dyDescent="0.4">
      <c r="A603" s="2" t="s">
        <v>627</v>
      </c>
      <c r="B603" t="str">
        <f>_xlfn.TEXTAFTER(Table1[[#This Row],[VEHIDCODE]],"_")</f>
        <v>Japan_JNR_DF50</v>
      </c>
      <c r="C603" t="s">
        <v>741</v>
      </c>
      <c r="D603" t="str">
        <f>"item_"&amp;Table1[[#This Row],[VEHIDCODE]]</f>
        <v>item_diesel_Japan_JNR_DF50</v>
      </c>
      <c r="E603" t="str">
        <f>"str_"&amp;Table1[[#This Row],[VEHIDCODE]]</f>
        <v>str_diesel_Japan_JNR_DF50</v>
      </c>
      <c r="F603">
        <v>7</v>
      </c>
      <c r="G603" t="s">
        <v>20</v>
      </c>
      <c r="H603">
        <v>0</v>
      </c>
      <c r="I603" t="s">
        <v>35</v>
      </c>
      <c r="J603">
        <v>0</v>
      </c>
      <c r="K603">
        <v>1957</v>
      </c>
      <c r="L603">
        <v>7</v>
      </c>
      <c r="M603" s="2" t="s">
        <v>20</v>
      </c>
      <c r="N603" t="b">
        <v>1</v>
      </c>
      <c r="P603" s="2"/>
      <c r="Q603">
        <v>45</v>
      </c>
      <c r="R603">
        <v>1</v>
      </c>
      <c r="S603">
        <v>1060</v>
      </c>
      <c r="T603" t="s">
        <v>712</v>
      </c>
      <c r="U603">
        <v>90</v>
      </c>
      <c r="V603" s="2">
        <v>0.28999999999999998</v>
      </c>
      <c r="AE603"/>
      <c r="AZ603" s="2"/>
      <c r="BA603" s="7">
        <v>40</v>
      </c>
      <c r="BB603" t="s">
        <v>932</v>
      </c>
      <c r="BC603" t="s">
        <v>923</v>
      </c>
      <c r="BD603" t="s">
        <v>941</v>
      </c>
      <c r="BE603" t="str">
        <f>IF(OR(Table1[[#This Row],[ENGINE_CLASS]]="STEAM",Table1[[#This Row],[ENGINE_CLASS]]="ELECTRIC",Table1[[#This Row],[ENGINE_CLASS]]="DIESEL"),Table1[[#This Row],[ENGINE_CLASS]],"DISABLE")</f>
        <v>DIESEL</v>
      </c>
      <c r="BF603">
        <v>0</v>
      </c>
      <c r="BG603" t="s">
        <v>735</v>
      </c>
      <c r="BI603"/>
      <c r="BJ603">
        <v>85</v>
      </c>
      <c r="BK603">
        <v>0</v>
      </c>
      <c r="BL603" t="s">
        <v>693</v>
      </c>
      <c r="BM603" t="s">
        <v>695</v>
      </c>
      <c r="BN603" t="s">
        <v>702</v>
      </c>
      <c r="BO603" t="s">
        <v>706</v>
      </c>
      <c r="BP603" t="s">
        <v>707</v>
      </c>
      <c r="BQ603" t="s">
        <v>708</v>
      </c>
    </row>
    <row r="604" spans="1:69" x14ac:dyDescent="0.4">
      <c r="A604" s="2" t="s">
        <v>628</v>
      </c>
      <c r="B604" t="str">
        <f>_xlfn.TEXTAFTER(Table1[[#This Row],[VEHIDCODE]],"_")</f>
        <v>Switzerland_RhB_DE_2_2</v>
      </c>
      <c r="C604" t="s">
        <v>742</v>
      </c>
      <c r="D604" t="str">
        <f>"item_"&amp;Table1[[#This Row],[VEHIDCODE]]</f>
        <v>item_electric_Switzerland_RhB_DE_2_2</v>
      </c>
      <c r="E604" t="str">
        <f>"str_"&amp;Table1[[#This Row],[VEHIDCODE]]</f>
        <v>str_electric_Switzerland_RhB_DE_2_2</v>
      </c>
      <c r="F604">
        <v>5</v>
      </c>
      <c r="G604" t="s">
        <v>20</v>
      </c>
      <c r="H604">
        <v>0</v>
      </c>
      <c r="I604" t="s">
        <v>74</v>
      </c>
      <c r="J604">
        <v>0</v>
      </c>
      <c r="K604">
        <v>1909</v>
      </c>
      <c r="L604">
        <v>5</v>
      </c>
      <c r="M604" s="2" t="s">
        <v>20</v>
      </c>
      <c r="N604" t="b">
        <v>1</v>
      </c>
      <c r="P604" s="2"/>
      <c r="Q604">
        <v>45</v>
      </c>
      <c r="R604">
        <v>1</v>
      </c>
      <c r="S604">
        <v>200</v>
      </c>
      <c r="T604" t="s">
        <v>710</v>
      </c>
      <c r="U604">
        <v>45</v>
      </c>
      <c r="V604" s="2">
        <v>0.3</v>
      </c>
      <c r="AE604"/>
      <c r="AJ604" t="b">
        <v>1</v>
      </c>
      <c r="AZ604" s="2"/>
      <c r="BA604" s="7">
        <v>40</v>
      </c>
      <c r="BB604" t="s">
        <v>924</v>
      </c>
      <c r="BC604" t="s">
        <v>923</v>
      </c>
      <c r="BD604" t="s">
        <v>941</v>
      </c>
      <c r="BE604" t="str">
        <f>IF(OR(Table1[[#This Row],[ENGINE_CLASS]]="STEAM",Table1[[#This Row],[ENGINE_CLASS]]="ELECTRIC",Table1[[#This Row],[ENGINE_CLASS]]="DIESEL"),Table1[[#This Row],[ENGINE_CLASS]],"DISABLE")</f>
        <v>ELECTRIC</v>
      </c>
      <c r="BF604">
        <v>-3</v>
      </c>
      <c r="BG604" t="s">
        <v>735</v>
      </c>
      <c r="BI604"/>
      <c r="BJ604">
        <v>16</v>
      </c>
      <c r="BK604">
        <v>0</v>
      </c>
      <c r="BL604" t="s">
        <v>693</v>
      </c>
      <c r="BM604" t="s">
        <v>695</v>
      </c>
      <c r="BN604" t="s">
        <v>702</v>
      </c>
      <c r="BO604" t="s">
        <v>706</v>
      </c>
      <c r="BP604" t="s">
        <v>707</v>
      </c>
      <c r="BQ604" t="s">
        <v>708</v>
      </c>
    </row>
    <row r="605" spans="1:69" x14ac:dyDescent="0.4">
      <c r="A605" s="2" t="s">
        <v>629</v>
      </c>
      <c r="B605" t="str">
        <f>_xlfn.TEXTAFTER(Table1[[#This Row],[VEHIDCODE]],"_")</f>
        <v>Japan_JNR_EH10</v>
      </c>
      <c r="C605" t="s">
        <v>742</v>
      </c>
      <c r="D605" t="str">
        <f>"item_"&amp;Table1[[#This Row],[VEHIDCODE]]</f>
        <v>item_electric_Japan_JNR_EH10</v>
      </c>
      <c r="E605" t="str">
        <f>"str_"&amp;Table1[[#This Row],[VEHIDCODE]]</f>
        <v>str_electric_Japan_JNR_EH10</v>
      </c>
      <c r="F605">
        <v>14</v>
      </c>
      <c r="G605" t="s">
        <v>20</v>
      </c>
      <c r="H605">
        <v>0</v>
      </c>
      <c r="I605" t="s">
        <v>74</v>
      </c>
      <c r="J605">
        <v>0</v>
      </c>
      <c r="K605">
        <v>1954</v>
      </c>
      <c r="L605">
        <v>7</v>
      </c>
      <c r="M605" s="2" t="s">
        <v>20</v>
      </c>
      <c r="N605" t="b">
        <v>1</v>
      </c>
      <c r="P605" s="2"/>
      <c r="Q605">
        <v>45</v>
      </c>
      <c r="R605">
        <v>1</v>
      </c>
      <c r="S605">
        <v>3390</v>
      </c>
      <c r="T605" t="s">
        <v>710</v>
      </c>
      <c r="U605">
        <v>110</v>
      </c>
      <c r="V605" s="2">
        <v>0.16</v>
      </c>
      <c r="AE605"/>
      <c r="AJ605" t="b">
        <v>1</v>
      </c>
      <c r="AZ605" s="2"/>
      <c r="BA605" s="7">
        <v>40</v>
      </c>
      <c r="BB605" t="s">
        <v>932</v>
      </c>
      <c r="BC605" t="s">
        <v>923</v>
      </c>
      <c r="BD605" t="s">
        <v>941</v>
      </c>
      <c r="BE605" t="str">
        <f>IF(OR(Table1[[#This Row],[ENGINE_CLASS]]="STEAM",Table1[[#This Row],[ENGINE_CLASS]]="ELECTRIC",Table1[[#This Row],[ENGINE_CLASS]]="DIESEL"),Table1[[#This Row],[ENGINE_CLASS]],"DISABLE")</f>
        <v>ELECTRIC</v>
      </c>
      <c r="BF605">
        <v>0</v>
      </c>
      <c r="BG605" t="s">
        <v>735</v>
      </c>
      <c r="BI605"/>
      <c r="BJ605">
        <v>116</v>
      </c>
      <c r="BK605">
        <v>0</v>
      </c>
      <c r="BL605" t="s">
        <v>693</v>
      </c>
      <c r="BM605" t="s">
        <v>695</v>
      </c>
      <c r="BN605" t="s">
        <v>702</v>
      </c>
      <c r="BO605" t="s">
        <v>706</v>
      </c>
      <c r="BP605" t="s">
        <v>707</v>
      </c>
      <c r="BQ605" t="s">
        <v>708</v>
      </c>
    </row>
    <row r="606" spans="1:69" x14ac:dyDescent="0.4">
      <c r="A606" s="2" t="s">
        <v>630</v>
      </c>
      <c r="B606" t="str">
        <f>_xlfn.TEXTAFTER(Table1[[#This Row],[VEHIDCODE]],"_")</f>
        <v>Japan_JNR_EF64</v>
      </c>
      <c r="C606" t="s">
        <v>742</v>
      </c>
      <c r="D606" t="str">
        <f>"item_"&amp;Table1[[#This Row],[VEHIDCODE]]</f>
        <v>item_electric_Japan_JNR_EF64</v>
      </c>
      <c r="E606" t="str">
        <f>"str_"&amp;Table1[[#This Row],[VEHIDCODE]]</f>
        <v>str_electric_Japan_JNR_EF64</v>
      </c>
      <c r="F606">
        <v>8</v>
      </c>
      <c r="G606" t="s">
        <v>20</v>
      </c>
      <c r="H606">
        <v>0</v>
      </c>
      <c r="I606" t="s">
        <v>74</v>
      </c>
      <c r="J606">
        <v>0</v>
      </c>
      <c r="K606">
        <v>1964</v>
      </c>
      <c r="L606">
        <v>8</v>
      </c>
      <c r="M606" s="2" t="s">
        <v>20</v>
      </c>
      <c r="N606" t="b">
        <v>1</v>
      </c>
      <c r="P606" s="2"/>
      <c r="Q606">
        <v>45</v>
      </c>
      <c r="R606">
        <v>1</v>
      </c>
      <c r="S606">
        <v>3420</v>
      </c>
      <c r="T606" t="s">
        <v>710</v>
      </c>
      <c r="U606">
        <v>100</v>
      </c>
      <c r="V606" s="2">
        <v>0.3</v>
      </c>
      <c r="AE606"/>
      <c r="AJ606" t="b">
        <v>1</v>
      </c>
      <c r="AZ606" s="2"/>
      <c r="BA606" s="7">
        <v>40</v>
      </c>
      <c r="BB606" t="s">
        <v>932</v>
      </c>
      <c r="BC606" t="s">
        <v>923</v>
      </c>
      <c r="BD606" t="s">
        <v>941</v>
      </c>
      <c r="BE606" t="str">
        <f>IF(OR(Table1[[#This Row],[ENGINE_CLASS]]="STEAM",Table1[[#This Row],[ENGINE_CLASS]]="ELECTRIC",Table1[[#This Row],[ENGINE_CLASS]]="DIESEL"),Table1[[#This Row],[ENGINE_CLASS]],"DISABLE")</f>
        <v>ELECTRIC</v>
      </c>
      <c r="BF606">
        <v>-3</v>
      </c>
      <c r="BG606" t="s">
        <v>735</v>
      </c>
      <c r="BI606"/>
      <c r="BJ606">
        <v>96</v>
      </c>
      <c r="BK606">
        <v>0</v>
      </c>
      <c r="BL606" t="s">
        <v>693</v>
      </c>
      <c r="BM606" t="s">
        <v>695</v>
      </c>
      <c r="BN606" t="s">
        <v>702</v>
      </c>
      <c r="BO606" t="s">
        <v>706</v>
      </c>
      <c r="BP606" t="s">
        <v>707</v>
      </c>
      <c r="BQ606" t="s">
        <v>708</v>
      </c>
    </row>
    <row r="607" spans="1:69" x14ac:dyDescent="0.4">
      <c r="A607" s="2" t="s">
        <v>631</v>
      </c>
      <c r="B607" t="str">
        <f>_xlfn.TEXTAFTER(Table1[[#This Row],[VEHIDCODE]],"_")</f>
        <v>New_Zealand_NZR_EO_Class</v>
      </c>
      <c r="C607" t="s">
        <v>742</v>
      </c>
      <c r="D607" t="str">
        <f>"item_"&amp;Table1[[#This Row],[VEHIDCODE]]</f>
        <v>item_electric_New_Zealand_NZR_EO_Class</v>
      </c>
      <c r="E607" t="str">
        <f>"str_"&amp;Table1[[#This Row],[VEHIDCODE]]</f>
        <v>str_electric_New_Zealand_NZR_EO_Class</v>
      </c>
      <c r="F607">
        <v>7</v>
      </c>
      <c r="G607" t="s">
        <v>20</v>
      </c>
      <c r="H607">
        <v>0</v>
      </c>
      <c r="I607" t="s">
        <v>74</v>
      </c>
      <c r="J607">
        <v>0</v>
      </c>
      <c r="K607">
        <v>1923</v>
      </c>
      <c r="L607">
        <v>7</v>
      </c>
      <c r="M607" s="2" t="s">
        <v>20</v>
      </c>
      <c r="N607" t="b">
        <v>1</v>
      </c>
      <c r="P607" s="2"/>
      <c r="Q607">
        <v>45</v>
      </c>
      <c r="R607">
        <v>1</v>
      </c>
      <c r="S607">
        <v>680</v>
      </c>
      <c r="T607" t="s">
        <v>710</v>
      </c>
      <c r="U607">
        <v>64</v>
      </c>
      <c r="V607" s="2">
        <v>0.13</v>
      </c>
      <c r="AE607"/>
      <c r="AJ607" t="b">
        <v>1</v>
      </c>
      <c r="AZ607" s="2"/>
      <c r="BA607" s="7">
        <v>40</v>
      </c>
      <c r="BB607" t="s">
        <v>926</v>
      </c>
      <c r="BC607" t="s">
        <v>923</v>
      </c>
      <c r="BD607" t="s">
        <v>941</v>
      </c>
      <c r="BE607" t="str">
        <f>IF(OR(Table1[[#This Row],[ENGINE_CLASS]]="STEAM",Table1[[#This Row],[ENGINE_CLASS]]="ELECTRIC",Table1[[#This Row],[ENGINE_CLASS]]="DIESEL"),Table1[[#This Row],[ENGINE_CLASS]],"DISABLE")</f>
        <v>ELECTRIC</v>
      </c>
      <c r="BF607">
        <v>0</v>
      </c>
      <c r="BG607" t="s">
        <v>735</v>
      </c>
      <c r="BI607"/>
      <c r="BJ607">
        <v>50</v>
      </c>
      <c r="BK607">
        <v>0</v>
      </c>
      <c r="BL607" t="s">
        <v>693</v>
      </c>
      <c r="BM607" t="s">
        <v>695</v>
      </c>
      <c r="BN607" t="s">
        <v>702</v>
      </c>
      <c r="BO607" t="s">
        <v>706</v>
      </c>
      <c r="BP607" t="s">
        <v>707</v>
      </c>
      <c r="BQ607" t="s">
        <v>708</v>
      </c>
    </row>
    <row r="608" spans="1:69" x14ac:dyDescent="0.4">
      <c r="A608" s="2" t="s">
        <v>632</v>
      </c>
      <c r="B608" t="str">
        <f>_xlfn.TEXTAFTER(Table1[[#This Row],[VEHIDCODE]],"_")</f>
        <v>Australia_NSWGR_71</v>
      </c>
      <c r="C608" t="s">
        <v>742</v>
      </c>
      <c r="D608" t="str">
        <f>"item_"&amp;Table1[[#This Row],[VEHIDCODE]]</f>
        <v>item_electric_Australia_NSWGR_71</v>
      </c>
      <c r="E608" t="str">
        <f>"str_"&amp;Table1[[#This Row],[VEHIDCODE]]</f>
        <v>str_electric_Australia_NSWGR_71</v>
      </c>
      <c r="F608">
        <v>7</v>
      </c>
      <c r="G608" t="s">
        <v>20</v>
      </c>
      <c r="H608">
        <v>0</v>
      </c>
      <c r="I608" t="s">
        <v>74</v>
      </c>
      <c r="J608">
        <v>0</v>
      </c>
      <c r="K608">
        <v>1952</v>
      </c>
      <c r="L608">
        <v>7</v>
      </c>
      <c r="M608" s="2" t="s">
        <v>20</v>
      </c>
      <c r="N608" t="b">
        <v>1</v>
      </c>
      <c r="P608" s="2"/>
      <c r="Q608">
        <v>45</v>
      </c>
      <c r="R608">
        <v>1</v>
      </c>
      <c r="S608">
        <v>2700</v>
      </c>
      <c r="T608" t="s">
        <v>710</v>
      </c>
      <c r="U608">
        <v>113</v>
      </c>
      <c r="V608" s="2">
        <v>0.11</v>
      </c>
      <c r="AE608"/>
      <c r="AJ608" t="b">
        <v>1</v>
      </c>
      <c r="AZ608" s="2"/>
      <c r="BA608" s="7">
        <v>40</v>
      </c>
      <c r="BB608" t="s">
        <v>926</v>
      </c>
      <c r="BC608" t="s">
        <v>923</v>
      </c>
      <c r="BD608" t="s">
        <v>941</v>
      </c>
      <c r="BE608" t="str">
        <f>IF(OR(Table1[[#This Row],[ENGINE_CLASS]]="STEAM",Table1[[#This Row],[ENGINE_CLASS]]="ELECTRIC",Table1[[#This Row],[ENGINE_CLASS]]="DIESEL"),Table1[[#This Row],[ENGINE_CLASS]],"DISABLE")</f>
        <v>ELECTRIC</v>
      </c>
      <c r="BF608">
        <v>0</v>
      </c>
      <c r="BG608" t="s">
        <v>735</v>
      </c>
      <c r="BI608"/>
      <c r="BJ608">
        <v>110</v>
      </c>
      <c r="BK608">
        <v>0</v>
      </c>
      <c r="BL608" t="s">
        <v>693</v>
      </c>
      <c r="BM608" t="s">
        <v>695</v>
      </c>
      <c r="BN608" t="s">
        <v>702</v>
      </c>
      <c r="BO608" t="s">
        <v>706</v>
      </c>
      <c r="BP608" t="s">
        <v>707</v>
      </c>
      <c r="BQ608" t="s">
        <v>708</v>
      </c>
    </row>
    <row r="609" spans="1:69" x14ac:dyDescent="0.4">
      <c r="A609" s="2" t="s">
        <v>633</v>
      </c>
      <c r="B609" t="str">
        <f>_xlfn.TEXTAFTER(Table1[[#This Row],[VEHIDCODE]],"_")</f>
        <v>South_Africa_SAR_4E</v>
      </c>
      <c r="C609" t="s">
        <v>742</v>
      </c>
      <c r="D609" t="str">
        <f>"item_"&amp;Table1[[#This Row],[VEHIDCODE]]</f>
        <v>item_electric_South_Africa_SAR_4E</v>
      </c>
      <c r="E609" t="str">
        <f>"str_"&amp;Table1[[#This Row],[VEHIDCODE]]</f>
        <v>str_electric_South_Africa_SAR_4E</v>
      </c>
      <c r="F609">
        <v>8</v>
      </c>
      <c r="G609" t="s">
        <v>20</v>
      </c>
      <c r="H609">
        <v>0</v>
      </c>
      <c r="I609" t="s">
        <v>74</v>
      </c>
      <c r="J609">
        <v>0</v>
      </c>
      <c r="K609">
        <v>1952</v>
      </c>
      <c r="L609">
        <v>8</v>
      </c>
      <c r="M609" s="2" t="s">
        <v>20</v>
      </c>
      <c r="N609" t="b">
        <v>1</v>
      </c>
      <c r="P609" s="2"/>
      <c r="Q609">
        <v>45</v>
      </c>
      <c r="R609">
        <v>1</v>
      </c>
      <c r="S609">
        <v>2520</v>
      </c>
      <c r="T609" t="s">
        <v>710</v>
      </c>
      <c r="U609">
        <v>97</v>
      </c>
      <c r="V609" s="2">
        <v>0.09</v>
      </c>
      <c r="AE609"/>
      <c r="AZ609" s="2"/>
      <c r="BA609" s="7">
        <v>40</v>
      </c>
      <c r="BB609" t="s">
        <v>927</v>
      </c>
      <c r="BC609" t="s">
        <v>923</v>
      </c>
      <c r="BD609" t="s">
        <v>941</v>
      </c>
      <c r="BE609" t="str">
        <f>IF(OR(Table1[[#This Row],[ENGINE_CLASS]]="STEAM",Table1[[#This Row],[ENGINE_CLASS]]="ELECTRIC",Table1[[#This Row],[ENGINE_CLASS]]="DIESEL"),Table1[[#This Row],[ENGINE_CLASS]],"DISABLE")</f>
        <v>ELECTRIC</v>
      </c>
      <c r="BF609">
        <v>0</v>
      </c>
      <c r="BG609" t="s">
        <v>735</v>
      </c>
      <c r="BI609"/>
      <c r="BJ609">
        <v>155</v>
      </c>
      <c r="BK609">
        <v>0</v>
      </c>
      <c r="BL609" t="s">
        <v>693</v>
      </c>
      <c r="BM609" t="s">
        <v>695</v>
      </c>
      <c r="BN609" t="s">
        <v>702</v>
      </c>
      <c r="BO609" t="s">
        <v>706</v>
      </c>
      <c r="BP609" t="s">
        <v>707</v>
      </c>
      <c r="BQ609" t="s">
        <v>708</v>
      </c>
    </row>
    <row r="610" spans="1:69" x14ac:dyDescent="0.4">
      <c r="A610" s="2" t="s">
        <v>634</v>
      </c>
      <c r="B610" t="str">
        <f>_xlfn.TEXTAFTER(Table1[[#This Row],[VEHIDCODE]],"_")</f>
        <v>South_Africa_SAR_5E1</v>
      </c>
      <c r="C610" t="s">
        <v>742</v>
      </c>
      <c r="D610" t="str">
        <f>"item_"&amp;Table1[[#This Row],[VEHIDCODE]]</f>
        <v>item_electric_South_Africa_SAR_5E1</v>
      </c>
      <c r="E610" t="str">
        <f>"str_"&amp;Table1[[#This Row],[VEHIDCODE]]</f>
        <v>str_electric_South_Africa_SAR_5E1</v>
      </c>
      <c r="F610">
        <v>7</v>
      </c>
      <c r="G610" t="s">
        <v>20</v>
      </c>
      <c r="H610">
        <v>0</v>
      </c>
      <c r="I610" t="s">
        <v>74</v>
      </c>
      <c r="J610">
        <v>0</v>
      </c>
      <c r="K610">
        <v>1965</v>
      </c>
      <c r="L610">
        <v>7</v>
      </c>
      <c r="M610" s="2" t="s">
        <v>20</v>
      </c>
      <c r="N610" t="b">
        <v>1</v>
      </c>
      <c r="P610" s="2"/>
      <c r="Q610">
        <v>45</v>
      </c>
      <c r="R610">
        <v>1</v>
      </c>
      <c r="S610">
        <v>1456</v>
      </c>
      <c r="T610" t="s">
        <v>710</v>
      </c>
      <c r="U610">
        <v>97</v>
      </c>
      <c r="V610" s="2">
        <v>0.28999999999999998</v>
      </c>
      <c r="AE610"/>
      <c r="AZ610" s="2"/>
      <c r="BA610" s="7">
        <v>40</v>
      </c>
      <c r="BB610" t="s">
        <v>927</v>
      </c>
      <c r="BC610" t="s">
        <v>923</v>
      </c>
      <c r="BD610" t="s">
        <v>941</v>
      </c>
      <c r="BE610" t="str">
        <f>IF(OR(Table1[[#This Row],[ENGINE_CLASS]]="STEAM",Table1[[#This Row],[ENGINE_CLASS]]="ELECTRIC",Table1[[#This Row],[ENGINE_CLASS]]="DIESEL"),Table1[[#This Row],[ENGINE_CLASS]],"DISABLE")</f>
        <v>ELECTRIC</v>
      </c>
      <c r="BF610">
        <v>0</v>
      </c>
      <c r="BG610" t="s">
        <v>735</v>
      </c>
      <c r="BI610"/>
      <c r="BJ610">
        <v>86</v>
      </c>
      <c r="BK610">
        <v>0</v>
      </c>
      <c r="BL610" t="s">
        <v>693</v>
      </c>
      <c r="BM610" t="s">
        <v>695</v>
      </c>
      <c r="BN610" t="s">
        <v>702</v>
      </c>
      <c r="BO610" t="s">
        <v>706</v>
      </c>
      <c r="BP610" t="s">
        <v>707</v>
      </c>
      <c r="BQ610" t="s">
        <v>708</v>
      </c>
    </row>
    <row r="611" spans="1:69" x14ac:dyDescent="0.4">
      <c r="A611" s="2" t="s">
        <v>635</v>
      </c>
      <c r="B611" t="str">
        <f>_xlfn.TEXTAFTER(Table1[[#This Row],[VEHIDCODE]],"_")</f>
        <v>South_Africa_SAR_6E</v>
      </c>
      <c r="C611" t="s">
        <v>742</v>
      </c>
      <c r="D611" t="str">
        <f>"item_"&amp;Table1[[#This Row],[VEHIDCODE]]</f>
        <v>item_electric_South_Africa_SAR_6E</v>
      </c>
      <c r="E611" t="str">
        <f>"str_"&amp;Table1[[#This Row],[VEHIDCODE]]</f>
        <v>str_electric_South_Africa_SAR_6E</v>
      </c>
      <c r="F611">
        <v>8</v>
      </c>
      <c r="G611" t="s">
        <v>20</v>
      </c>
      <c r="H611">
        <v>0</v>
      </c>
      <c r="I611" t="s">
        <v>74</v>
      </c>
      <c r="J611">
        <v>0</v>
      </c>
      <c r="K611">
        <v>1970</v>
      </c>
      <c r="L611">
        <v>8</v>
      </c>
      <c r="M611" s="2" t="s">
        <v>20</v>
      </c>
      <c r="N611" t="b">
        <v>1</v>
      </c>
      <c r="P611" s="2"/>
      <c r="Q611">
        <v>45</v>
      </c>
      <c r="R611">
        <v>1</v>
      </c>
      <c r="S611">
        <v>3300</v>
      </c>
      <c r="T611" t="s">
        <v>710</v>
      </c>
      <c r="U611">
        <v>115</v>
      </c>
      <c r="V611" s="2">
        <v>0.36</v>
      </c>
      <c r="AE611"/>
      <c r="AZ611" s="2"/>
      <c r="BA611" s="7">
        <v>40</v>
      </c>
      <c r="BB611" t="s">
        <v>927</v>
      </c>
      <c r="BC611" t="s">
        <v>923</v>
      </c>
      <c r="BD611" t="s">
        <v>941</v>
      </c>
      <c r="BE611" t="str">
        <f>IF(OR(Table1[[#This Row],[ENGINE_CLASS]]="STEAM",Table1[[#This Row],[ENGINE_CLASS]]="ELECTRIC",Table1[[#This Row],[ENGINE_CLASS]]="DIESEL"),Table1[[#This Row],[ENGINE_CLASS]],"DISABLE")</f>
        <v>ELECTRIC</v>
      </c>
      <c r="BF611">
        <v>-3</v>
      </c>
      <c r="BG611" t="s">
        <v>735</v>
      </c>
      <c r="BI611"/>
      <c r="BJ611">
        <v>89</v>
      </c>
      <c r="BK611">
        <v>0</v>
      </c>
      <c r="BL611" t="s">
        <v>693</v>
      </c>
      <c r="BM611" t="s">
        <v>695</v>
      </c>
      <c r="BN611" t="s">
        <v>702</v>
      </c>
      <c r="BO611" t="s">
        <v>706</v>
      </c>
      <c r="BP611" t="s">
        <v>707</v>
      </c>
      <c r="BQ611" t="s">
        <v>708</v>
      </c>
    </row>
    <row r="612" spans="1:69" x14ac:dyDescent="0.4">
      <c r="A612" s="2" t="s">
        <v>636</v>
      </c>
      <c r="B612" t="str">
        <f>_xlfn.TEXTAFTER(Table1[[#This Row],[VEHIDCODE]],"_")</f>
        <v>Switzerland_RhB_Ge_4_4_I</v>
      </c>
      <c r="C612" t="s">
        <v>742</v>
      </c>
      <c r="D612" t="str">
        <f>"item_"&amp;Table1[[#This Row],[VEHIDCODE]]</f>
        <v>item_electric_Switzerland_RhB_Ge_4_4_I</v>
      </c>
      <c r="E612" t="str">
        <f>"str_"&amp;Table1[[#This Row],[VEHIDCODE]]</f>
        <v>str_electric_Switzerland_RhB_Ge_4_4_I</v>
      </c>
      <c r="F612">
        <v>8</v>
      </c>
      <c r="G612" t="s">
        <v>20</v>
      </c>
      <c r="H612">
        <v>0</v>
      </c>
      <c r="I612" t="s">
        <v>74</v>
      </c>
      <c r="J612">
        <v>0</v>
      </c>
      <c r="K612">
        <v>1947</v>
      </c>
      <c r="L612">
        <v>8</v>
      </c>
      <c r="M612" s="2" t="s">
        <v>20</v>
      </c>
      <c r="N612" t="b">
        <v>1</v>
      </c>
      <c r="P612" s="2"/>
      <c r="Q612">
        <v>45</v>
      </c>
      <c r="R612">
        <v>1</v>
      </c>
      <c r="S612">
        <v>1590</v>
      </c>
      <c r="T612" t="s">
        <v>710</v>
      </c>
      <c r="U612">
        <v>80</v>
      </c>
      <c r="V612" s="2">
        <v>0.3</v>
      </c>
      <c r="AE612"/>
      <c r="AZ612" s="2"/>
      <c r="BA612" s="7">
        <v>40</v>
      </c>
      <c r="BB612" t="s">
        <v>924</v>
      </c>
      <c r="BC612" t="s">
        <v>923</v>
      </c>
      <c r="BD612" t="s">
        <v>941</v>
      </c>
      <c r="BE612" t="str">
        <f>IF(OR(Table1[[#This Row],[ENGINE_CLASS]]="STEAM",Table1[[#This Row],[ENGINE_CLASS]]="ELECTRIC",Table1[[#This Row],[ENGINE_CLASS]]="DIESEL"),Table1[[#This Row],[ENGINE_CLASS]],"DISABLE")</f>
        <v>ELECTRIC</v>
      </c>
      <c r="BF612">
        <v>0</v>
      </c>
      <c r="BG612" t="s">
        <v>735</v>
      </c>
      <c r="BI612"/>
      <c r="BJ612">
        <v>47</v>
      </c>
      <c r="BK612">
        <v>0</v>
      </c>
      <c r="BL612" t="s">
        <v>693</v>
      </c>
      <c r="BM612" t="s">
        <v>695</v>
      </c>
      <c r="BN612" t="s">
        <v>702</v>
      </c>
      <c r="BO612" t="s">
        <v>706</v>
      </c>
      <c r="BP612" t="s">
        <v>707</v>
      </c>
      <c r="BQ612" t="s">
        <v>708</v>
      </c>
    </row>
    <row r="613" spans="1:69" x14ac:dyDescent="0.4">
      <c r="A613" s="2" t="s">
        <v>637</v>
      </c>
      <c r="B613" t="str">
        <f>_xlfn.TEXTAFTER(Table1[[#This Row],[VEHIDCODE]],"_")</f>
        <v>Switzerland_RhB_Ge_6_6_Krokodil</v>
      </c>
      <c r="C613" t="s">
        <v>742</v>
      </c>
      <c r="D613" t="str">
        <f>"item_"&amp;Table1[[#This Row],[VEHIDCODE]]</f>
        <v>item_electric_Switzerland_RhB_Ge_6_6_Krokodil</v>
      </c>
      <c r="E613" t="str">
        <f>"str_"&amp;Table1[[#This Row],[VEHIDCODE]]</f>
        <v>str_electric_Switzerland_RhB_Ge_6_6_Krokodil</v>
      </c>
      <c r="F613">
        <v>8</v>
      </c>
      <c r="G613" t="s">
        <v>20</v>
      </c>
      <c r="H613">
        <v>0</v>
      </c>
      <c r="I613" t="s">
        <v>74</v>
      </c>
      <c r="J613">
        <v>0</v>
      </c>
      <c r="K613">
        <v>1921</v>
      </c>
      <c r="L613">
        <v>8</v>
      </c>
      <c r="M613" s="2" t="s">
        <v>20</v>
      </c>
      <c r="N613" t="b">
        <v>1</v>
      </c>
      <c r="P613" s="2"/>
      <c r="Q613">
        <v>45</v>
      </c>
      <c r="R613">
        <v>1</v>
      </c>
      <c r="S613">
        <v>1260</v>
      </c>
      <c r="T613" t="s">
        <v>710</v>
      </c>
      <c r="U613">
        <v>55</v>
      </c>
      <c r="V613" s="2">
        <v>0.26</v>
      </c>
      <c r="AE613"/>
      <c r="AZ613" s="2"/>
      <c r="BA613" s="7">
        <v>40</v>
      </c>
      <c r="BB613" t="s">
        <v>924</v>
      </c>
      <c r="BC613" t="s">
        <v>923</v>
      </c>
      <c r="BD613" t="s">
        <v>941</v>
      </c>
      <c r="BE613" t="str">
        <f>IF(OR(Table1[[#This Row],[ENGINE_CLASS]]="STEAM",Table1[[#This Row],[ENGINE_CLASS]]="ELECTRIC",Table1[[#This Row],[ENGINE_CLASS]]="DIESEL"),Table1[[#This Row],[ENGINE_CLASS]],"DISABLE")</f>
        <v>ELECTRIC</v>
      </c>
      <c r="BF613">
        <v>0</v>
      </c>
      <c r="BG613" t="s">
        <v>735</v>
      </c>
      <c r="BI613"/>
      <c r="BJ613">
        <v>66</v>
      </c>
      <c r="BK613">
        <v>0</v>
      </c>
      <c r="BL613" t="s">
        <v>693</v>
      </c>
      <c r="BM613" t="s">
        <v>695</v>
      </c>
      <c r="BN613" t="s">
        <v>702</v>
      </c>
      <c r="BO613" t="s">
        <v>706</v>
      </c>
      <c r="BP613" t="s">
        <v>707</v>
      </c>
      <c r="BQ613" t="s">
        <v>708</v>
      </c>
    </row>
    <row r="614" spans="1:69" x14ac:dyDescent="0.4">
      <c r="A614" s="2" t="s">
        <v>638</v>
      </c>
      <c r="B614" t="str">
        <f>_xlfn.TEXTAFTER(Table1[[#This Row],[VEHIDCODE]],"_")</f>
        <v>Brasil_MRS_He_4_4</v>
      </c>
      <c r="C614" t="s">
        <v>742</v>
      </c>
      <c r="D614" t="str">
        <f>"item_"&amp;Table1[[#This Row],[VEHIDCODE]]</f>
        <v>item_electric_Brasil_MRS_He_4_4</v>
      </c>
      <c r="E614" t="str">
        <f>"str_"&amp;Table1[[#This Row],[VEHIDCODE]]</f>
        <v>str_electric_Brasil_MRS_He_4_4</v>
      </c>
      <c r="F614">
        <v>7</v>
      </c>
      <c r="G614" t="s">
        <v>20</v>
      </c>
      <c r="H614">
        <v>0</v>
      </c>
      <c r="I614" t="s">
        <v>74</v>
      </c>
      <c r="J614">
        <v>0</v>
      </c>
      <c r="K614">
        <v>2012</v>
      </c>
      <c r="L614">
        <v>7</v>
      </c>
      <c r="M614" s="2" t="s">
        <v>24</v>
      </c>
      <c r="N614" t="b">
        <v>1</v>
      </c>
      <c r="P614" s="2"/>
      <c r="Q614">
        <v>45</v>
      </c>
      <c r="R614">
        <v>1</v>
      </c>
      <c r="S614">
        <v>6710</v>
      </c>
      <c r="T614" t="s">
        <v>710</v>
      </c>
      <c r="U614">
        <v>60</v>
      </c>
      <c r="V614" s="2">
        <v>0.63</v>
      </c>
      <c r="AE614"/>
      <c r="AZ614" s="2"/>
      <c r="BA614" s="7">
        <v>40</v>
      </c>
      <c r="BB614" t="s">
        <v>931</v>
      </c>
      <c r="BC614" t="s">
        <v>923</v>
      </c>
      <c r="BD614" t="s">
        <v>941</v>
      </c>
      <c r="BE614" t="str">
        <f>IF(OR(Table1[[#This Row],[ENGINE_CLASS]]="STEAM",Table1[[#This Row],[ENGINE_CLASS]]="ELECTRIC",Table1[[#This Row],[ENGINE_CLASS]]="DIESEL"),Table1[[#This Row],[ENGINE_CLASS]],"DISABLE")</f>
        <v>ELECTRIC</v>
      </c>
      <c r="BF614">
        <v>0</v>
      </c>
      <c r="BG614" t="s">
        <v>735</v>
      </c>
      <c r="BI614"/>
      <c r="BJ614">
        <v>121</v>
      </c>
      <c r="BK614">
        <v>0</v>
      </c>
      <c r="BL614" t="s">
        <v>693</v>
      </c>
      <c r="BM614" t="s">
        <v>695</v>
      </c>
      <c r="BN614" t="s">
        <v>702</v>
      </c>
      <c r="BO614" t="s">
        <v>706</v>
      </c>
      <c r="BP614" t="s">
        <v>707</v>
      </c>
      <c r="BQ614" t="s">
        <v>708</v>
      </c>
    </row>
    <row r="615" spans="1:69" x14ac:dyDescent="0.4">
      <c r="A615" s="2" t="s">
        <v>639</v>
      </c>
      <c r="B615" t="str">
        <f>_xlfn.TEXTAFTER(Table1[[#This Row],[VEHIDCODE]],"_")</f>
        <v>South_Africa_SAR_7E</v>
      </c>
      <c r="C615" t="s">
        <v>742</v>
      </c>
      <c r="D615" t="str">
        <f>"item_"&amp;Table1[[#This Row],[VEHIDCODE]]</f>
        <v>item_electric_South_Africa_SAR_7E</v>
      </c>
      <c r="E615" t="str">
        <f>"str_"&amp;Table1[[#This Row],[VEHIDCODE]]</f>
        <v>str_electric_South_Africa_SAR_7E</v>
      </c>
      <c r="F615">
        <v>7</v>
      </c>
      <c r="G615" t="s">
        <v>20</v>
      </c>
      <c r="H615">
        <v>0</v>
      </c>
      <c r="I615" t="s">
        <v>74</v>
      </c>
      <c r="J615">
        <v>0</v>
      </c>
      <c r="K615">
        <v>1978</v>
      </c>
      <c r="L615">
        <v>7</v>
      </c>
      <c r="M615" s="2" t="s">
        <v>24</v>
      </c>
      <c r="N615" t="b">
        <v>1</v>
      </c>
      <c r="P615" s="2"/>
      <c r="Q615">
        <v>45</v>
      </c>
      <c r="R615">
        <v>1</v>
      </c>
      <c r="S615">
        <v>4000</v>
      </c>
      <c r="T615" t="s">
        <v>710</v>
      </c>
      <c r="U615">
        <v>100</v>
      </c>
      <c r="V615" s="2">
        <v>0.24</v>
      </c>
      <c r="AE615"/>
      <c r="AZ615" s="2"/>
      <c r="BA615" s="7">
        <v>40</v>
      </c>
      <c r="BB615" t="s">
        <v>927</v>
      </c>
      <c r="BC615" t="s">
        <v>923</v>
      </c>
      <c r="BD615" t="s">
        <v>941</v>
      </c>
      <c r="BE615" t="str">
        <f>IF(OR(Table1[[#This Row],[ENGINE_CLASS]]="STEAM",Table1[[#This Row],[ENGINE_CLASS]]="ELECTRIC",Table1[[#This Row],[ENGINE_CLASS]]="DIESEL"),Table1[[#This Row],[ENGINE_CLASS]],"DISABLE")</f>
        <v>ELECTRIC</v>
      </c>
      <c r="BF615">
        <v>0</v>
      </c>
      <c r="BG615" t="s">
        <v>735</v>
      </c>
      <c r="BI615"/>
      <c r="BJ615">
        <v>124</v>
      </c>
      <c r="BK615">
        <v>0</v>
      </c>
      <c r="BL615" t="s">
        <v>693</v>
      </c>
      <c r="BM615" t="s">
        <v>695</v>
      </c>
      <c r="BN615" t="s">
        <v>702</v>
      </c>
      <c r="BO615" t="s">
        <v>706</v>
      </c>
      <c r="BP615" t="s">
        <v>707</v>
      </c>
      <c r="BQ615" t="s">
        <v>708</v>
      </c>
    </row>
    <row r="616" spans="1:69" x14ac:dyDescent="0.4">
      <c r="A616" s="2" t="s">
        <v>640</v>
      </c>
      <c r="B616" t="str">
        <f>_xlfn.TEXTAFTER(Table1[[#This Row],[VEHIDCODE]],"_")</f>
        <v>South_Africa_SAR_11E</v>
      </c>
      <c r="C616" t="s">
        <v>742</v>
      </c>
      <c r="D616" t="str">
        <f>"item_"&amp;Table1[[#This Row],[VEHIDCODE]]</f>
        <v>item_electric_South_Africa_SAR_11E</v>
      </c>
      <c r="E616" t="str">
        <f>"str_"&amp;Table1[[#This Row],[VEHIDCODE]]</f>
        <v>str_electric_South_Africa_SAR_11E</v>
      </c>
      <c r="F616">
        <v>8</v>
      </c>
      <c r="G616" t="s">
        <v>20</v>
      </c>
      <c r="H616">
        <v>0</v>
      </c>
      <c r="I616" t="s">
        <v>74</v>
      </c>
      <c r="J616">
        <v>0</v>
      </c>
      <c r="K616">
        <v>1985</v>
      </c>
      <c r="L616">
        <v>8</v>
      </c>
      <c r="M616" s="2" t="s">
        <v>24</v>
      </c>
      <c r="N616" t="b">
        <v>1</v>
      </c>
      <c r="P616" s="2"/>
      <c r="Q616">
        <v>45</v>
      </c>
      <c r="R616">
        <v>1</v>
      </c>
      <c r="S616">
        <v>5200</v>
      </c>
      <c r="T616" t="s">
        <v>710</v>
      </c>
      <c r="U616">
        <v>90</v>
      </c>
      <c r="V616" s="2">
        <v>0.23</v>
      </c>
      <c r="AE616"/>
      <c r="AZ616" s="2"/>
      <c r="BA616" s="7">
        <v>40</v>
      </c>
      <c r="BB616" t="s">
        <v>927</v>
      </c>
      <c r="BC616" t="s">
        <v>923</v>
      </c>
      <c r="BD616" t="s">
        <v>941</v>
      </c>
      <c r="BE616" t="str">
        <f>IF(OR(Table1[[#This Row],[ENGINE_CLASS]]="STEAM",Table1[[#This Row],[ENGINE_CLASS]]="ELECTRIC",Table1[[#This Row],[ENGINE_CLASS]]="DIESEL"),Table1[[#This Row],[ENGINE_CLASS]],"DISABLE")</f>
        <v>ELECTRIC</v>
      </c>
      <c r="BF616">
        <v>0</v>
      </c>
      <c r="BG616" t="s">
        <v>735</v>
      </c>
      <c r="BI616"/>
      <c r="BJ616">
        <v>172</v>
      </c>
      <c r="BK616">
        <v>0</v>
      </c>
      <c r="BL616" t="s">
        <v>693</v>
      </c>
      <c r="BM616" t="s">
        <v>695</v>
      </c>
      <c r="BN616" t="s">
        <v>702</v>
      </c>
      <c r="BO616" t="s">
        <v>706</v>
      </c>
      <c r="BP616" t="s">
        <v>707</v>
      </c>
      <c r="BQ616" t="s">
        <v>708</v>
      </c>
    </row>
    <row r="617" spans="1:69" x14ac:dyDescent="0.4">
      <c r="A617" s="2" t="s">
        <v>641</v>
      </c>
      <c r="B617" t="str">
        <f>_xlfn.TEXTAFTER(Table1[[#This Row],[VEHIDCODE]],"_")</f>
        <v>New_Zealand_TranzRail_EF</v>
      </c>
      <c r="C617" t="s">
        <v>742</v>
      </c>
      <c r="D617" t="str">
        <f>"item_"&amp;Table1[[#This Row],[VEHIDCODE]]</f>
        <v>item_electric_New_Zealand_TranzRail_EF</v>
      </c>
      <c r="E617" t="str">
        <f>"str_"&amp;Table1[[#This Row],[VEHIDCODE]]</f>
        <v>str_electric_New_Zealand_TranzRail_EF</v>
      </c>
      <c r="F617">
        <v>8</v>
      </c>
      <c r="G617" t="s">
        <v>20</v>
      </c>
      <c r="H617">
        <v>0</v>
      </c>
      <c r="I617" t="s">
        <v>74</v>
      </c>
      <c r="J617">
        <v>0</v>
      </c>
      <c r="K617">
        <v>1986</v>
      </c>
      <c r="L617">
        <v>8</v>
      </c>
      <c r="M617" s="2" t="s">
        <v>20</v>
      </c>
      <c r="N617" t="b">
        <v>1</v>
      </c>
      <c r="P617" s="2"/>
      <c r="Q617">
        <v>45</v>
      </c>
      <c r="R617">
        <v>1</v>
      </c>
      <c r="S617">
        <v>4000</v>
      </c>
      <c r="T617" t="s">
        <v>710</v>
      </c>
      <c r="U617">
        <v>105</v>
      </c>
      <c r="V617" s="2">
        <v>0.21</v>
      </c>
      <c r="AE617"/>
      <c r="AZ617" s="2"/>
      <c r="BA617" s="7">
        <v>40</v>
      </c>
      <c r="BB617" t="s">
        <v>926</v>
      </c>
      <c r="BC617" t="s">
        <v>923</v>
      </c>
      <c r="BD617" t="s">
        <v>941</v>
      </c>
      <c r="BE617" t="str">
        <f>IF(OR(Table1[[#This Row],[ENGINE_CLASS]]="STEAM",Table1[[#This Row],[ENGINE_CLASS]]="ELECTRIC",Table1[[#This Row],[ENGINE_CLASS]]="DIESEL"),Table1[[#This Row],[ENGINE_CLASS]],"DISABLE")</f>
        <v>ELECTRIC</v>
      </c>
      <c r="BF617">
        <v>0</v>
      </c>
      <c r="BG617" t="s">
        <v>735</v>
      </c>
      <c r="BI617"/>
      <c r="BJ617">
        <v>107</v>
      </c>
      <c r="BK617">
        <v>0</v>
      </c>
      <c r="BL617" t="s">
        <v>693</v>
      </c>
      <c r="BM617" t="s">
        <v>695</v>
      </c>
      <c r="BN617" t="s">
        <v>702</v>
      </c>
      <c r="BO617" t="s">
        <v>706</v>
      </c>
      <c r="BP617" t="s">
        <v>707</v>
      </c>
      <c r="BQ617" t="s">
        <v>708</v>
      </c>
    </row>
    <row r="618" spans="1:69" x14ac:dyDescent="0.4">
      <c r="A618" s="2" t="s">
        <v>642</v>
      </c>
      <c r="B618" t="str">
        <f>_xlfn.TEXTAFTER(Table1[[#This Row],[VEHIDCODE]],"_")</f>
        <v>Japan_Odakyu_3100_Series_Romance</v>
      </c>
      <c r="C618" t="s">
        <v>745</v>
      </c>
      <c r="D618" t="str">
        <f>"item_"&amp;Table1[[#This Row],[VEHIDCODE]]</f>
        <v>item_emu_Japan_Odakyu_3100_Series_Romance</v>
      </c>
      <c r="E618" t="str">
        <f>"str_"&amp;Table1[[#This Row],[VEHIDCODE]]</f>
        <v>str_emu_Japan_Odakyu_3100_Series_Romance</v>
      </c>
      <c r="F618">
        <v>8</v>
      </c>
      <c r="G618" t="s">
        <v>18</v>
      </c>
      <c r="H618">
        <v>1</v>
      </c>
      <c r="I618" t="s">
        <v>74</v>
      </c>
      <c r="J618">
        <v>40</v>
      </c>
      <c r="K618">
        <v>1962</v>
      </c>
      <c r="L618">
        <v>8</v>
      </c>
      <c r="M618" s="2" t="s">
        <v>24</v>
      </c>
      <c r="N618" t="b">
        <v>1</v>
      </c>
      <c r="O618" t="b">
        <v>1</v>
      </c>
      <c r="P618" s="2"/>
      <c r="Q618">
        <v>45</v>
      </c>
      <c r="R618">
        <v>1</v>
      </c>
      <c r="S618">
        <v>230</v>
      </c>
      <c r="T618" t="s">
        <v>710</v>
      </c>
      <c r="U618">
        <v>110</v>
      </c>
      <c r="V618" s="2">
        <v>0.27</v>
      </c>
      <c r="AE618"/>
      <c r="AJ618" t="b">
        <v>1</v>
      </c>
      <c r="AZ618" s="2"/>
      <c r="BA618" s="7">
        <v>25</v>
      </c>
      <c r="BB618" t="s">
        <v>932</v>
      </c>
      <c r="BC618" t="s">
        <v>923</v>
      </c>
      <c r="BD618" t="s">
        <v>941</v>
      </c>
      <c r="BE618" t="str">
        <f>IF(OR(Table1[[#This Row],[ENGINE_CLASS]]="STEAM",Table1[[#This Row],[ENGINE_CLASS]]="ELECTRIC",Table1[[#This Row],[ENGINE_CLASS]]="DIESEL"),Table1[[#This Row],[ENGINE_CLASS]],"DISABLE")</f>
        <v>ELECTRIC</v>
      </c>
      <c r="BF618">
        <v>0</v>
      </c>
      <c r="BG618" t="s">
        <v>735</v>
      </c>
      <c r="BH618">
        <v>40</v>
      </c>
      <c r="BI618">
        <v>8</v>
      </c>
      <c r="BJ618">
        <v>47</v>
      </c>
      <c r="BK618">
        <v>0</v>
      </c>
      <c r="BL618" t="s">
        <v>693</v>
      </c>
      <c r="BM618" t="s">
        <v>695</v>
      </c>
      <c r="BN618" t="s">
        <v>702</v>
      </c>
      <c r="BO618" t="s">
        <v>706</v>
      </c>
      <c r="BP618" t="s">
        <v>707</v>
      </c>
      <c r="BQ618" t="s">
        <v>708</v>
      </c>
    </row>
    <row r="619" spans="1:69" x14ac:dyDescent="0.4">
      <c r="A619" s="2" t="s">
        <v>643</v>
      </c>
      <c r="B619" t="str">
        <f>_xlfn.TEXTAFTER(Table1[[#This Row],[VEHIDCODE]],"_")</f>
        <v>Japan_Odakyu_10000_Series_Romance</v>
      </c>
      <c r="C619" t="s">
        <v>745</v>
      </c>
      <c r="D619" t="str">
        <f>"item_"&amp;Table1[[#This Row],[VEHIDCODE]]</f>
        <v>item_emu_Japan_Odakyu_10000_Series_Romance</v>
      </c>
      <c r="E619" t="str">
        <f>"str_"&amp;Table1[[#This Row],[VEHIDCODE]]</f>
        <v>str_emu_Japan_Odakyu_10000_Series_Romance</v>
      </c>
      <c r="F619">
        <v>8</v>
      </c>
      <c r="G619" t="s">
        <v>18</v>
      </c>
      <c r="H619">
        <v>1</v>
      </c>
      <c r="I619" t="s">
        <v>74</v>
      </c>
      <c r="J619">
        <v>40</v>
      </c>
      <c r="K619">
        <v>1986</v>
      </c>
      <c r="L619">
        <v>8</v>
      </c>
      <c r="M619" s="2" t="s">
        <v>24</v>
      </c>
      <c r="N619" t="b">
        <v>1</v>
      </c>
      <c r="O619" t="b">
        <v>1</v>
      </c>
      <c r="P619" s="2"/>
      <c r="Q619">
        <v>45</v>
      </c>
      <c r="R619">
        <v>1</v>
      </c>
      <c r="S619">
        <v>1550</v>
      </c>
      <c r="T619" t="s">
        <v>710</v>
      </c>
      <c r="U619">
        <v>110</v>
      </c>
      <c r="V619" s="2">
        <v>0.22</v>
      </c>
      <c r="AE619"/>
      <c r="AJ619" t="b">
        <v>1</v>
      </c>
      <c r="AZ619" s="2"/>
      <c r="BA619" s="7">
        <v>25</v>
      </c>
      <c r="BB619" t="s">
        <v>932</v>
      </c>
      <c r="BC619" t="s">
        <v>923</v>
      </c>
      <c r="BD619" t="s">
        <v>941</v>
      </c>
      <c r="BE619" t="str">
        <f>IF(OR(Table1[[#This Row],[ENGINE_CLASS]]="STEAM",Table1[[#This Row],[ENGINE_CLASS]]="ELECTRIC",Table1[[#This Row],[ENGINE_CLASS]]="DIESEL"),Table1[[#This Row],[ENGINE_CLASS]],"DISABLE")</f>
        <v>ELECTRIC</v>
      </c>
      <c r="BF619">
        <v>0</v>
      </c>
      <c r="BG619" t="s">
        <v>735</v>
      </c>
      <c r="BH619">
        <v>40</v>
      </c>
      <c r="BI619">
        <v>8</v>
      </c>
      <c r="BJ619">
        <v>35</v>
      </c>
      <c r="BK619">
        <v>0</v>
      </c>
      <c r="BL619" t="s">
        <v>693</v>
      </c>
      <c r="BM619" t="s">
        <v>695</v>
      </c>
      <c r="BN619" t="s">
        <v>702</v>
      </c>
      <c r="BO619" t="s">
        <v>706</v>
      </c>
      <c r="BP619" t="s">
        <v>707</v>
      </c>
      <c r="BQ619" t="s">
        <v>708</v>
      </c>
    </row>
    <row r="620" spans="1:69" x14ac:dyDescent="0.4">
      <c r="A620" s="2" t="s">
        <v>644</v>
      </c>
      <c r="B620" t="str">
        <f>_xlfn.TEXTAFTER(Table1[[#This Row],[VEHIDCODE]],"_")</f>
        <v>Australia_Sydney_Trains_S_Set</v>
      </c>
      <c r="C620" t="s">
        <v>745</v>
      </c>
      <c r="D620" t="str">
        <f>"item_"&amp;Table1[[#This Row],[VEHIDCODE]]</f>
        <v>item_emu_Australia_Sydney_Trains_S_Set</v>
      </c>
      <c r="E620" t="str">
        <f>"str_"&amp;Table1[[#This Row],[VEHIDCODE]]</f>
        <v>str_emu_Australia_Sydney_Trains_S_Set</v>
      </c>
      <c r="F620">
        <v>8</v>
      </c>
      <c r="G620" t="s">
        <v>18</v>
      </c>
      <c r="H620">
        <v>1</v>
      </c>
      <c r="I620" t="s">
        <v>74</v>
      </c>
      <c r="J620">
        <v>112</v>
      </c>
      <c r="K620">
        <v>1972</v>
      </c>
      <c r="L620">
        <v>8</v>
      </c>
      <c r="M620" s="2" t="s">
        <v>24</v>
      </c>
      <c r="N620" t="b">
        <v>1</v>
      </c>
      <c r="O620" t="b">
        <v>1</v>
      </c>
      <c r="P620" s="2"/>
      <c r="Q620">
        <v>45</v>
      </c>
      <c r="R620">
        <v>1</v>
      </c>
      <c r="S620">
        <v>800</v>
      </c>
      <c r="T620" t="s">
        <v>710</v>
      </c>
      <c r="U620">
        <v>115</v>
      </c>
      <c r="V620" s="2">
        <v>0.31</v>
      </c>
      <c r="AE620"/>
      <c r="AJ620" t="b">
        <v>1</v>
      </c>
      <c r="AZ620" s="2"/>
      <c r="BA620" s="7">
        <v>25</v>
      </c>
      <c r="BB620" t="s">
        <v>926</v>
      </c>
      <c r="BC620" t="s">
        <v>923</v>
      </c>
      <c r="BD620" t="s">
        <v>941</v>
      </c>
      <c r="BE620" t="str">
        <f>IF(OR(Table1[[#This Row],[ENGINE_CLASS]]="STEAM",Table1[[#This Row],[ENGINE_CLASS]]="ELECTRIC",Table1[[#This Row],[ENGINE_CLASS]]="DIESEL"),Table1[[#This Row],[ENGINE_CLASS]],"DISABLE")</f>
        <v>ELECTRIC</v>
      </c>
      <c r="BF620">
        <v>-3</v>
      </c>
      <c r="BG620" t="s">
        <v>735</v>
      </c>
      <c r="BH620">
        <v>112</v>
      </c>
      <c r="BI620">
        <v>8</v>
      </c>
      <c r="BJ620">
        <v>68</v>
      </c>
      <c r="BK620">
        <v>0</v>
      </c>
      <c r="BL620" t="s">
        <v>693</v>
      </c>
      <c r="BM620" t="s">
        <v>695</v>
      </c>
      <c r="BN620" t="s">
        <v>702</v>
      </c>
      <c r="BO620" t="s">
        <v>706</v>
      </c>
      <c r="BP620" t="s">
        <v>707</v>
      </c>
      <c r="BQ620" t="s">
        <v>708</v>
      </c>
    </row>
    <row r="621" spans="1:69" x14ac:dyDescent="0.4">
      <c r="A621" s="2" t="s">
        <v>645</v>
      </c>
      <c r="B621" t="str">
        <f>_xlfn.TEXTAFTER(Table1[[#This Row],[VEHIDCODE]],"_")</f>
        <v>Australia_Sydney_Trains_OSCars</v>
      </c>
      <c r="C621" t="s">
        <v>745</v>
      </c>
      <c r="D621" t="str">
        <f>"item_"&amp;Table1[[#This Row],[VEHIDCODE]]</f>
        <v>item_emu_Australia_Sydney_Trains_OSCars</v>
      </c>
      <c r="E621" t="str">
        <f>"str_"&amp;Table1[[#This Row],[VEHIDCODE]]</f>
        <v>str_emu_Australia_Sydney_Trains_OSCars</v>
      </c>
      <c r="F621">
        <v>8</v>
      </c>
      <c r="G621" t="s">
        <v>18</v>
      </c>
      <c r="H621">
        <v>1</v>
      </c>
      <c r="I621" t="s">
        <v>74</v>
      </c>
      <c r="J621">
        <v>120</v>
      </c>
      <c r="K621">
        <v>2007</v>
      </c>
      <c r="L621">
        <v>8</v>
      </c>
      <c r="M621" s="2" t="s">
        <v>24</v>
      </c>
      <c r="N621" t="b">
        <v>1</v>
      </c>
      <c r="O621" t="b">
        <v>1</v>
      </c>
      <c r="P621" s="2"/>
      <c r="Q621" t="s">
        <v>21</v>
      </c>
      <c r="R621">
        <v>1</v>
      </c>
      <c r="S621">
        <v>950</v>
      </c>
      <c r="T621" t="s">
        <v>710</v>
      </c>
      <c r="U621">
        <v>130</v>
      </c>
      <c r="V621" s="2">
        <v>0.41</v>
      </c>
      <c r="AE621"/>
      <c r="AJ621" t="b">
        <v>1</v>
      </c>
      <c r="AZ621" s="2"/>
      <c r="BA621" s="7">
        <v>25</v>
      </c>
      <c r="BB621" t="s">
        <v>926</v>
      </c>
      <c r="BC621" t="s">
        <v>923</v>
      </c>
      <c r="BD621" t="s">
        <v>941</v>
      </c>
      <c r="BE621" t="str">
        <f>IF(OR(Table1[[#This Row],[ENGINE_CLASS]]="STEAM",Table1[[#This Row],[ENGINE_CLASS]]="ELECTRIC",Table1[[#This Row],[ENGINE_CLASS]]="DIESEL"),Table1[[#This Row],[ENGINE_CLASS]],"DISABLE")</f>
        <v>ELECTRIC</v>
      </c>
      <c r="BF621">
        <v>0</v>
      </c>
      <c r="BG621" t="s">
        <v>735</v>
      </c>
      <c r="BH621">
        <v>120</v>
      </c>
      <c r="BI621">
        <v>8</v>
      </c>
      <c r="BJ621">
        <v>47</v>
      </c>
      <c r="BK621">
        <v>0</v>
      </c>
      <c r="BL621" t="s">
        <v>693</v>
      </c>
      <c r="BM621" t="s">
        <v>695</v>
      </c>
      <c r="BN621" t="s">
        <v>702</v>
      </c>
      <c r="BO621" t="s">
        <v>706</v>
      </c>
      <c r="BP621" t="s">
        <v>707</v>
      </c>
      <c r="BQ621" t="s">
        <v>708</v>
      </c>
    </row>
    <row r="622" spans="1:69" x14ac:dyDescent="0.4">
      <c r="A622" s="2" t="s">
        <v>646</v>
      </c>
      <c r="B622" t="str">
        <f>_xlfn.TEXTAFTER(Table1[[#This Row],[VEHIDCODE]],"_")</f>
        <v>Australia_Victorian_Railways_Swing_Door</v>
      </c>
      <c r="C622" t="s">
        <v>745</v>
      </c>
      <c r="D622" t="str">
        <f>"item_"&amp;Table1[[#This Row],[VEHIDCODE]]</f>
        <v>item_emu_Australia_Victorian_Railways_Swing_Door</v>
      </c>
      <c r="E622" t="str">
        <f>"str_"&amp;Table1[[#This Row],[VEHIDCODE]]</f>
        <v>str_emu_Australia_Victorian_Railways_Swing_Door</v>
      </c>
      <c r="F622">
        <v>8</v>
      </c>
      <c r="G622" t="s">
        <v>18</v>
      </c>
      <c r="H622">
        <v>1</v>
      </c>
      <c r="I622" t="s">
        <v>74</v>
      </c>
      <c r="J622">
        <v>48</v>
      </c>
      <c r="K622">
        <v>1917</v>
      </c>
      <c r="L622">
        <v>8</v>
      </c>
      <c r="M622" s="2" t="s">
        <v>24</v>
      </c>
      <c r="N622" t="b">
        <v>1</v>
      </c>
      <c r="O622" t="b">
        <v>1</v>
      </c>
      <c r="P622" s="2"/>
      <c r="Q622">
        <v>45</v>
      </c>
      <c r="R622">
        <v>1</v>
      </c>
      <c r="S622">
        <v>280</v>
      </c>
      <c r="T622" t="s">
        <v>710</v>
      </c>
      <c r="U622">
        <v>83</v>
      </c>
      <c r="V622" s="2">
        <v>0.16</v>
      </c>
      <c r="AE622"/>
      <c r="AJ622" t="b">
        <v>1</v>
      </c>
      <c r="AZ622" s="2"/>
      <c r="BA622" s="7">
        <v>25</v>
      </c>
      <c r="BB622" t="s">
        <v>926</v>
      </c>
      <c r="BC622" t="s">
        <v>923</v>
      </c>
      <c r="BD622" t="s">
        <v>941</v>
      </c>
      <c r="BE622" t="str">
        <f>IF(OR(Table1[[#This Row],[ENGINE_CLASS]]="STEAM",Table1[[#This Row],[ENGINE_CLASS]]="ELECTRIC",Table1[[#This Row],[ENGINE_CLASS]]="DIESEL"),Table1[[#This Row],[ENGINE_CLASS]],"DISABLE")</f>
        <v>ELECTRIC</v>
      </c>
      <c r="BF622">
        <v>0</v>
      </c>
      <c r="BG622" t="s">
        <v>735</v>
      </c>
      <c r="BH622">
        <v>48</v>
      </c>
      <c r="BI622">
        <v>8</v>
      </c>
      <c r="BJ622">
        <v>55</v>
      </c>
      <c r="BK622">
        <v>0</v>
      </c>
      <c r="BL622" t="s">
        <v>693</v>
      </c>
      <c r="BM622" t="s">
        <v>695</v>
      </c>
      <c r="BN622" t="s">
        <v>702</v>
      </c>
      <c r="BO622" t="s">
        <v>706</v>
      </c>
      <c r="BP622" t="s">
        <v>707</v>
      </c>
      <c r="BQ622" t="s">
        <v>708</v>
      </c>
    </row>
    <row r="623" spans="1:69" x14ac:dyDescent="0.4">
      <c r="A623" s="2" t="s">
        <v>647</v>
      </c>
      <c r="B623" t="str">
        <f>_xlfn.TEXTAFTER(Table1[[#This Row],[VEHIDCODE]],"_")</f>
        <v>New_Zealand_NZR_EM_ET_Class</v>
      </c>
      <c r="C623" t="s">
        <v>745</v>
      </c>
      <c r="D623" t="str">
        <f>"item_"&amp;Table1[[#This Row],[VEHIDCODE]]</f>
        <v>item_emu_New_Zealand_NZR_EM_ET_Class</v>
      </c>
      <c r="E623" t="str">
        <f>"str_"&amp;Table1[[#This Row],[VEHIDCODE]]</f>
        <v>str_emu_New_Zealand_NZR_EM_ET_Class</v>
      </c>
      <c r="F623">
        <v>8</v>
      </c>
      <c r="G623" t="s">
        <v>18</v>
      </c>
      <c r="H623">
        <v>1</v>
      </c>
      <c r="I623" t="s">
        <v>74</v>
      </c>
      <c r="J623">
        <v>74</v>
      </c>
      <c r="K623">
        <v>1979</v>
      </c>
      <c r="L623">
        <v>8</v>
      </c>
      <c r="M623" s="2" t="s">
        <v>24</v>
      </c>
      <c r="N623" t="b">
        <v>1</v>
      </c>
      <c r="O623" t="b">
        <v>1</v>
      </c>
      <c r="P623" s="2"/>
      <c r="Q623">
        <v>45</v>
      </c>
      <c r="R623">
        <v>1</v>
      </c>
      <c r="S623">
        <v>540</v>
      </c>
      <c r="T623" t="s">
        <v>710</v>
      </c>
      <c r="U623">
        <v>110</v>
      </c>
      <c r="V623" s="2">
        <v>0.26</v>
      </c>
      <c r="AE623"/>
      <c r="AJ623" t="b">
        <v>1</v>
      </c>
      <c r="AZ623" s="2"/>
      <c r="BA623" s="7">
        <v>25</v>
      </c>
      <c r="BB623" t="s">
        <v>926</v>
      </c>
      <c r="BC623" t="s">
        <v>923</v>
      </c>
      <c r="BD623" t="s">
        <v>941</v>
      </c>
      <c r="BE623" t="str">
        <f>IF(OR(Table1[[#This Row],[ENGINE_CLASS]]="STEAM",Table1[[#This Row],[ENGINE_CLASS]]="ELECTRIC",Table1[[#This Row],[ENGINE_CLASS]]="DIESEL"),Table1[[#This Row],[ENGINE_CLASS]],"DISABLE")</f>
        <v>ELECTRIC</v>
      </c>
      <c r="BF623">
        <v>0</v>
      </c>
      <c r="BG623" t="s">
        <v>735</v>
      </c>
      <c r="BH623">
        <v>74</v>
      </c>
      <c r="BI623">
        <v>8</v>
      </c>
      <c r="BJ623">
        <v>37</v>
      </c>
      <c r="BK623">
        <v>0</v>
      </c>
      <c r="BL623" t="s">
        <v>693</v>
      </c>
      <c r="BM623" t="s">
        <v>695</v>
      </c>
      <c r="BN623" t="s">
        <v>702</v>
      </c>
      <c r="BO623" t="s">
        <v>706</v>
      </c>
      <c r="BP623" t="s">
        <v>707</v>
      </c>
      <c r="BQ623" t="s">
        <v>708</v>
      </c>
    </row>
    <row r="624" spans="1:69" x14ac:dyDescent="0.4">
      <c r="A624" s="2" t="s">
        <v>648</v>
      </c>
      <c r="B624" t="str">
        <f>_xlfn.TEXTAFTER(Table1[[#This Row],[VEHIDCODE]],"_")</f>
        <v>South_Africa_SAR_5M2</v>
      </c>
      <c r="C624" t="s">
        <v>745</v>
      </c>
      <c r="D624" t="str">
        <f>"item_"&amp;Table1[[#This Row],[VEHIDCODE]]</f>
        <v>item_emu_South_Africa_SAR_5M2</v>
      </c>
      <c r="E624" t="str">
        <f>"str_"&amp;Table1[[#This Row],[VEHIDCODE]]</f>
        <v>str_emu_South_Africa_SAR_5M2</v>
      </c>
      <c r="F624">
        <v>7</v>
      </c>
      <c r="G624" t="s">
        <v>18</v>
      </c>
      <c r="H624">
        <v>1</v>
      </c>
      <c r="I624" t="s">
        <v>74</v>
      </c>
      <c r="J624">
        <v>52</v>
      </c>
      <c r="K624">
        <v>1954</v>
      </c>
      <c r="L624">
        <v>7</v>
      </c>
      <c r="M624" s="2" t="s">
        <v>24</v>
      </c>
      <c r="N624" t="b">
        <v>1</v>
      </c>
      <c r="O624" t="b">
        <v>1</v>
      </c>
      <c r="P624" s="2"/>
      <c r="Q624">
        <v>45</v>
      </c>
      <c r="R624">
        <v>1</v>
      </c>
      <c r="S624">
        <v>1240</v>
      </c>
      <c r="T624" t="s">
        <v>710</v>
      </c>
      <c r="U624">
        <v>100</v>
      </c>
      <c r="V624" s="2">
        <v>0.26</v>
      </c>
      <c r="AE624"/>
      <c r="AZ624" s="2"/>
      <c r="BA624" s="7">
        <v>25</v>
      </c>
      <c r="BB624" t="s">
        <v>927</v>
      </c>
      <c r="BC624" t="s">
        <v>923</v>
      </c>
      <c r="BD624" t="s">
        <v>941</v>
      </c>
      <c r="BE624" t="str">
        <f>IF(OR(Table1[[#This Row],[ENGINE_CLASS]]="STEAM",Table1[[#This Row],[ENGINE_CLASS]]="ELECTRIC",Table1[[#This Row],[ENGINE_CLASS]]="DIESEL"),Table1[[#This Row],[ENGINE_CLASS]],"DISABLE")</f>
        <v>ELECTRIC</v>
      </c>
      <c r="BF624">
        <v>0</v>
      </c>
      <c r="BG624" t="s">
        <v>735</v>
      </c>
      <c r="BH624">
        <v>52</v>
      </c>
      <c r="BI624">
        <v>7</v>
      </c>
      <c r="BJ624">
        <v>60</v>
      </c>
      <c r="BK624">
        <v>0</v>
      </c>
      <c r="BL624" t="s">
        <v>693</v>
      </c>
      <c r="BM624" t="s">
        <v>695</v>
      </c>
      <c r="BN624" t="s">
        <v>702</v>
      </c>
      <c r="BO624" t="s">
        <v>706</v>
      </c>
      <c r="BP624" t="s">
        <v>707</v>
      </c>
      <c r="BQ624" t="s">
        <v>708</v>
      </c>
    </row>
    <row r="625" spans="1:69" x14ac:dyDescent="0.4">
      <c r="A625" s="2" t="s">
        <v>649</v>
      </c>
      <c r="B625" t="str">
        <f>_xlfn.TEXTAFTER(Table1[[#This Row],[VEHIDCODE]],"_")</f>
        <v>Chile_EFE_XTrapolis_100</v>
      </c>
      <c r="C625" t="s">
        <v>745</v>
      </c>
      <c r="D625" t="str">
        <f>"item_"&amp;Table1[[#This Row],[VEHIDCODE]]</f>
        <v>item_emu_Chile_EFE_XTrapolis_100</v>
      </c>
      <c r="E625" t="str">
        <f>"str_"&amp;Table1[[#This Row],[VEHIDCODE]]</f>
        <v>str_emu_Chile_EFE_XTrapolis_100</v>
      </c>
      <c r="F625">
        <v>8</v>
      </c>
      <c r="G625" t="s">
        <v>18</v>
      </c>
      <c r="H625">
        <v>1</v>
      </c>
      <c r="I625" t="s">
        <v>74</v>
      </c>
      <c r="J625">
        <v>72</v>
      </c>
      <c r="K625">
        <v>2005</v>
      </c>
      <c r="L625">
        <v>8</v>
      </c>
      <c r="M625" s="2" t="s">
        <v>24</v>
      </c>
      <c r="N625" t="b">
        <v>1</v>
      </c>
      <c r="O625" t="b">
        <v>1</v>
      </c>
      <c r="P625" s="2"/>
      <c r="Q625" t="s">
        <v>21</v>
      </c>
      <c r="R625">
        <v>1</v>
      </c>
      <c r="S625">
        <v>720</v>
      </c>
      <c r="T625" t="s">
        <v>710</v>
      </c>
      <c r="U625">
        <v>143</v>
      </c>
      <c r="V625" s="2">
        <v>0.28999999999999998</v>
      </c>
      <c r="AE625"/>
      <c r="AZ625" s="2"/>
      <c r="BA625" s="7">
        <v>40</v>
      </c>
      <c r="BB625" t="s">
        <v>931</v>
      </c>
      <c r="BC625" t="s">
        <v>923</v>
      </c>
      <c r="BD625" t="s">
        <v>941</v>
      </c>
      <c r="BE625" t="str">
        <f>IF(OR(Table1[[#This Row],[ENGINE_CLASS]]="STEAM",Table1[[#This Row],[ENGINE_CLASS]]="ELECTRIC",Table1[[#This Row],[ENGINE_CLASS]]="DIESEL"),Table1[[#This Row],[ENGINE_CLASS]],"DISABLE")</f>
        <v>ELECTRIC</v>
      </c>
      <c r="BF625">
        <v>0</v>
      </c>
      <c r="BG625" t="s">
        <v>735</v>
      </c>
      <c r="BH625">
        <v>96</v>
      </c>
      <c r="BI625">
        <v>8</v>
      </c>
      <c r="BJ625">
        <v>43</v>
      </c>
      <c r="BK625">
        <v>0</v>
      </c>
      <c r="BL625" t="s">
        <v>693</v>
      </c>
      <c r="BM625" t="s">
        <v>695</v>
      </c>
      <c r="BN625" t="s">
        <v>702</v>
      </c>
      <c r="BO625" t="s">
        <v>706</v>
      </c>
      <c r="BP625" t="s">
        <v>707</v>
      </c>
      <c r="BQ625" t="s">
        <v>708</v>
      </c>
    </row>
    <row r="626" spans="1:69" x14ac:dyDescent="0.4">
      <c r="A626" s="2" t="s">
        <v>650</v>
      </c>
      <c r="B626" t="str">
        <f>_xlfn.TEXTAFTER(Table1[[#This Row],[VEHIDCODE]],"_")</f>
        <v>Chile_EFE_AES_Railcar</v>
      </c>
      <c r="C626" t="s">
        <v>745</v>
      </c>
      <c r="D626" t="str">
        <f>"item_"&amp;Table1[[#This Row],[VEHIDCODE]]</f>
        <v>item_emu_Chile_EFE_AES_Railcar</v>
      </c>
      <c r="E626" t="str">
        <f>"str_"&amp;Table1[[#This Row],[VEHIDCODE]]</f>
        <v>str_emu_Chile_EFE_AES_Railcar</v>
      </c>
      <c r="F626">
        <v>7</v>
      </c>
      <c r="G626" t="s">
        <v>18</v>
      </c>
      <c r="H626">
        <v>1</v>
      </c>
      <c r="I626" t="s">
        <v>74</v>
      </c>
      <c r="J626">
        <v>88</v>
      </c>
      <c r="K626">
        <v>1976</v>
      </c>
      <c r="L626">
        <v>7</v>
      </c>
      <c r="M626" s="2" t="s">
        <v>24</v>
      </c>
      <c r="N626" t="b">
        <v>1</v>
      </c>
      <c r="O626" t="b">
        <v>1</v>
      </c>
      <c r="P626" s="2"/>
      <c r="Q626">
        <v>45</v>
      </c>
      <c r="R626">
        <v>1</v>
      </c>
      <c r="S626">
        <v>1500</v>
      </c>
      <c r="T626" t="s">
        <v>710</v>
      </c>
      <c r="U626">
        <v>130</v>
      </c>
      <c r="V626" s="2">
        <v>0.21</v>
      </c>
      <c r="AE626"/>
      <c r="AZ626" s="2"/>
      <c r="BA626" s="7">
        <v>40</v>
      </c>
      <c r="BB626" t="s">
        <v>931</v>
      </c>
      <c r="BC626" t="s">
        <v>923</v>
      </c>
      <c r="BD626" t="s">
        <v>941</v>
      </c>
      <c r="BE626" t="str">
        <f>IF(OR(Table1[[#This Row],[ENGINE_CLASS]]="STEAM",Table1[[#This Row],[ENGINE_CLASS]]="ELECTRIC",Table1[[#This Row],[ENGINE_CLASS]]="DIESEL"),Table1[[#This Row],[ENGINE_CLASS]],"DISABLE")</f>
        <v>ELECTRIC</v>
      </c>
      <c r="BF626">
        <v>0</v>
      </c>
      <c r="BG626" t="s">
        <v>735</v>
      </c>
      <c r="BH626">
        <v>92</v>
      </c>
      <c r="BI626">
        <v>7</v>
      </c>
      <c r="BJ626">
        <v>61</v>
      </c>
      <c r="BK626">
        <v>0</v>
      </c>
      <c r="BL626" t="s">
        <v>693</v>
      </c>
      <c r="BM626" t="s">
        <v>695</v>
      </c>
      <c r="BN626" t="s">
        <v>702</v>
      </c>
      <c r="BO626" t="s">
        <v>706</v>
      </c>
      <c r="BP626" t="s">
        <v>707</v>
      </c>
      <c r="BQ626" t="s">
        <v>708</v>
      </c>
    </row>
    <row r="627" spans="1:69" x14ac:dyDescent="0.4">
      <c r="A627" s="2" t="s">
        <v>651</v>
      </c>
      <c r="B627" t="str">
        <f>_xlfn.TEXTAFTER(Table1[[#This Row],[VEHIDCODE]],"_")</f>
        <v>Tunisia_SNCFT_YZ_E</v>
      </c>
      <c r="C627" t="s">
        <v>745</v>
      </c>
      <c r="D627" t="str">
        <f>"item_"&amp;Table1[[#This Row],[VEHIDCODE]]</f>
        <v>item_emu_Tunisia_SNCFT_YZ_E</v>
      </c>
      <c r="E627" t="str">
        <f>"str_"&amp;Table1[[#This Row],[VEHIDCODE]]</f>
        <v>str_emu_Tunisia_SNCFT_YZ_E</v>
      </c>
      <c r="F627">
        <v>8</v>
      </c>
      <c r="G627" t="s">
        <v>18</v>
      </c>
      <c r="H627">
        <v>1</v>
      </c>
      <c r="I627" t="s">
        <v>74</v>
      </c>
      <c r="J627">
        <v>48</v>
      </c>
      <c r="K627">
        <v>1984</v>
      </c>
      <c r="L627">
        <v>8</v>
      </c>
      <c r="M627" s="2" t="s">
        <v>24</v>
      </c>
      <c r="N627" t="b">
        <v>1</v>
      </c>
      <c r="O627" t="b">
        <v>1</v>
      </c>
      <c r="P627" s="2"/>
      <c r="Q627">
        <v>45</v>
      </c>
      <c r="R627">
        <v>1</v>
      </c>
      <c r="S627">
        <v>2340</v>
      </c>
      <c r="T627" t="s">
        <v>710</v>
      </c>
      <c r="U627">
        <v>110</v>
      </c>
      <c r="V627" s="2">
        <v>0.2</v>
      </c>
      <c r="AE627"/>
      <c r="AZ627" s="2"/>
      <c r="BA627" s="7">
        <v>40</v>
      </c>
      <c r="BB627" t="s">
        <v>927</v>
      </c>
      <c r="BC627" t="s">
        <v>923</v>
      </c>
      <c r="BD627" t="s">
        <v>941</v>
      </c>
      <c r="BE627" t="str">
        <f>IF(OR(Table1[[#This Row],[ENGINE_CLASS]]="STEAM",Table1[[#This Row],[ENGINE_CLASS]]="ELECTRIC",Table1[[#This Row],[ENGINE_CLASS]]="DIESEL"),Table1[[#This Row],[ENGINE_CLASS]],"DISABLE")</f>
        <v>ELECTRIC</v>
      </c>
      <c r="BF627">
        <v>0</v>
      </c>
      <c r="BG627" t="s">
        <v>735</v>
      </c>
      <c r="BH627">
        <v>54</v>
      </c>
      <c r="BI627">
        <v>8</v>
      </c>
      <c r="BJ627">
        <v>50</v>
      </c>
      <c r="BK627">
        <v>0</v>
      </c>
      <c r="BL627" t="s">
        <v>693</v>
      </c>
      <c r="BM627" t="s">
        <v>695</v>
      </c>
      <c r="BN627" t="s">
        <v>702</v>
      </c>
      <c r="BO627" t="s">
        <v>706</v>
      </c>
      <c r="BP627" t="s">
        <v>707</v>
      </c>
      <c r="BQ627" t="s">
        <v>708</v>
      </c>
    </row>
    <row r="628" spans="1:69" x14ac:dyDescent="0.4">
      <c r="A628" s="2" t="s">
        <v>652</v>
      </c>
      <c r="B628" t="str">
        <f>_xlfn.TEXTAFTER(Table1[[#This Row],[VEHIDCODE]],"_")</f>
        <v>Australia_Queensland_Rail_Tilt_Train</v>
      </c>
      <c r="C628" t="s">
        <v>745</v>
      </c>
      <c r="D628" t="str">
        <f>"item_"&amp;Table1[[#This Row],[VEHIDCODE]]</f>
        <v>item_emu_Australia_Queensland_Rail_Tilt_Train</v>
      </c>
      <c r="E628" t="str">
        <f>"str_"&amp;Table1[[#This Row],[VEHIDCODE]]</f>
        <v>str_emu_Australia_Queensland_Rail_Tilt_Train</v>
      </c>
      <c r="F628">
        <v>8</v>
      </c>
      <c r="G628" t="s">
        <v>18</v>
      </c>
      <c r="H628">
        <v>1</v>
      </c>
      <c r="I628" t="s">
        <v>74</v>
      </c>
      <c r="J628">
        <v>56</v>
      </c>
      <c r="K628">
        <v>1997</v>
      </c>
      <c r="L628">
        <v>8</v>
      </c>
      <c r="M628" s="2" t="s">
        <v>24</v>
      </c>
      <c r="N628" t="b">
        <v>1</v>
      </c>
      <c r="O628" t="b">
        <v>1</v>
      </c>
      <c r="P628" s="2"/>
      <c r="Q628">
        <v>45</v>
      </c>
      <c r="R628">
        <v>1</v>
      </c>
      <c r="S628">
        <v>910</v>
      </c>
      <c r="T628" t="s">
        <v>710</v>
      </c>
      <c r="U628">
        <v>160</v>
      </c>
      <c r="V628" s="2">
        <v>0.33</v>
      </c>
      <c r="AE628"/>
      <c r="AZ628" s="2"/>
      <c r="BA628" s="7">
        <v>40</v>
      </c>
      <c r="BB628" t="s">
        <v>926</v>
      </c>
      <c r="BC628" t="s">
        <v>923</v>
      </c>
      <c r="BD628" t="s">
        <v>941</v>
      </c>
      <c r="BE628" t="str">
        <f>IF(OR(Table1[[#This Row],[ENGINE_CLASS]]="STEAM",Table1[[#This Row],[ENGINE_CLASS]]="ELECTRIC",Table1[[#This Row],[ENGINE_CLASS]]="DIESEL"),Table1[[#This Row],[ENGINE_CLASS]],"DISABLE")</f>
        <v>ELECTRIC</v>
      </c>
      <c r="BF628">
        <v>0</v>
      </c>
      <c r="BG628" t="s">
        <v>735</v>
      </c>
      <c r="BH628">
        <v>56</v>
      </c>
      <c r="BI628">
        <v>8</v>
      </c>
      <c r="BJ628">
        <v>47</v>
      </c>
      <c r="BK628">
        <v>0</v>
      </c>
      <c r="BL628" t="s">
        <v>693</v>
      </c>
      <c r="BM628" t="s">
        <v>695</v>
      </c>
      <c r="BN628" t="s">
        <v>702</v>
      </c>
      <c r="BO628" t="s">
        <v>706</v>
      </c>
      <c r="BP628" t="s">
        <v>707</v>
      </c>
      <c r="BQ628" t="s">
        <v>708</v>
      </c>
    </row>
    <row r="629" spans="1:69" x14ac:dyDescent="0.4">
      <c r="A629" s="2" t="s">
        <v>653</v>
      </c>
      <c r="B629" t="str">
        <f>_xlfn.TEXTAFTER(Table1[[#This Row],[VEHIDCODE]],"_")</f>
        <v>Russia_RZD_VL15</v>
      </c>
      <c r="C629" t="s">
        <v>742</v>
      </c>
      <c r="D629" t="str">
        <f>"item_"&amp;Table1[[#This Row],[VEHIDCODE]]</f>
        <v>item_electric_Russia_RZD_VL15</v>
      </c>
      <c r="E629" t="str">
        <f>"str_"&amp;Table1[[#This Row],[VEHIDCODE]]</f>
        <v>str_electric_Russia_RZD_VL15</v>
      </c>
      <c r="F629">
        <v>16</v>
      </c>
      <c r="G629" t="s">
        <v>20</v>
      </c>
      <c r="H629">
        <v>0</v>
      </c>
      <c r="I629" t="s">
        <v>74</v>
      </c>
      <c r="J629">
        <v>0</v>
      </c>
      <c r="K629">
        <v>1984</v>
      </c>
      <c r="L629">
        <v>8</v>
      </c>
      <c r="M629" s="2" t="s">
        <v>20</v>
      </c>
      <c r="N629" t="b">
        <v>1</v>
      </c>
      <c r="P629" s="2"/>
      <c r="Q629">
        <v>45</v>
      </c>
      <c r="R629">
        <v>1</v>
      </c>
      <c r="S629">
        <v>8400</v>
      </c>
      <c r="T629" t="s">
        <v>710</v>
      </c>
      <c r="U629">
        <v>100</v>
      </c>
      <c r="V629" s="2">
        <v>0.23</v>
      </c>
      <c r="AE629"/>
      <c r="AZ629" s="2"/>
      <c r="BA629" s="7">
        <v>40</v>
      </c>
      <c r="BB629" t="s">
        <v>932</v>
      </c>
      <c r="BC629" t="s">
        <v>923</v>
      </c>
      <c r="BD629" t="s">
        <v>941</v>
      </c>
      <c r="BE629" t="str">
        <f>IF(OR(Table1[[#This Row],[ENGINE_CLASS]]="STEAM",Table1[[#This Row],[ENGINE_CLASS]]="ELECTRIC",Table1[[#This Row],[ENGINE_CLASS]]="DIESEL"),Table1[[#This Row],[ENGINE_CLASS]],"DISABLE")</f>
        <v>ELECTRIC</v>
      </c>
      <c r="BF629">
        <v>0</v>
      </c>
      <c r="BG629" t="s">
        <v>735</v>
      </c>
      <c r="BI629"/>
      <c r="BJ629">
        <v>150</v>
      </c>
      <c r="BK629">
        <v>0</v>
      </c>
      <c r="BL629" t="s">
        <v>693</v>
      </c>
      <c r="BM629" t="s">
        <v>695</v>
      </c>
      <c r="BN629" t="s">
        <v>702</v>
      </c>
      <c r="BO629" t="s">
        <v>706</v>
      </c>
      <c r="BP629" t="s">
        <v>707</v>
      </c>
      <c r="BQ629" t="s">
        <v>708</v>
      </c>
    </row>
    <row r="630" spans="1:69" x14ac:dyDescent="0.4">
      <c r="A630" s="2" t="s">
        <v>654</v>
      </c>
      <c r="B630" t="str">
        <f>_xlfn.TEXTAFTER(Table1[[#This Row],[VEHIDCODE]],"_")</f>
        <v>Russia_RZD_VL11</v>
      </c>
      <c r="C630" t="s">
        <v>742</v>
      </c>
      <c r="D630" t="str">
        <f>"item_"&amp;Table1[[#This Row],[VEHIDCODE]]</f>
        <v>item_electric_Russia_RZD_VL11</v>
      </c>
      <c r="E630" t="str">
        <f>"str_"&amp;Table1[[#This Row],[VEHIDCODE]]</f>
        <v>str_electric_Russia_RZD_VL11</v>
      </c>
      <c r="F630">
        <v>16</v>
      </c>
      <c r="G630" t="s">
        <v>20</v>
      </c>
      <c r="H630">
        <v>0</v>
      </c>
      <c r="I630" t="s">
        <v>74</v>
      </c>
      <c r="J630">
        <v>0</v>
      </c>
      <c r="K630">
        <v>1974</v>
      </c>
      <c r="L630">
        <v>8</v>
      </c>
      <c r="M630" s="2" t="s">
        <v>20</v>
      </c>
      <c r="N630" t="b">
        <v>1</v>
      </c>
      <c r="P630" s="2"/>
      <c r="Q630">
        <v>45</v>
      </c>
      <c r="R630">
        <v>1</v>
      </c>
      <c r="S630">
        <v>7190</v>
      </c>
      <c r="T630" t="s">
        <v>710</v>
      </c>
      <c r="U630">
        <v>100</v>
      </c>
      <c r="V630" s="2">
        <v>0.33</v>
      </c>
      <c r="AE630"/>
      <c r="AZ630" s="2"/>
      <c r="BA630" s="7">
        <v>40</v>
      </c>
      <c r="BB630" t="s">
        <v>932</v>
      </c>
      <c r="BC630" t="s">
        <v>923</v>
      </c>
      <c r="BD630" t="s">
        <v>941</v>
      </c>
      <c r="BE630" t="str">
        <f>IF(OR(Table1[[#This Row],[ENGINE_CLASS]]="STEAM",Table1[[#This Row],[ENGINE_CLASS]]="ELECTRIC",Table1[[#This Row],[ENGINE_CLASS]]="DIESEL"),Table1[[#This Row],[ENGINE_CLASS]],"DISABLE")</f>
        <v>ELECTRIC</v>
      </c>
      <c r="BF630">
        <v>0</v>
      </c>
      <c r="BG630" t="s">
        <v>735</v>
      </c>
      <c r="BI630"/>
      <c r="BJ630">
        <v>184</v>
      </c>
      <c r="BK630">
        <v>0</v>
      </c>
      <c r="BL630" t="s">
        <v>693</v>
      </c>
      <c r="BM630" t="s">
        <v>695</v>
      </c>
      <c r="BN630" t="s">
        <v>702</v>
      </c>
      <c r="BO630" t="s">
        <v>706</v>
      </c>
      <c r="BP630" t="s">
        <v>707</v>
      </c>
      <c r="BQ630" t="s">
        <v>708</v>
      </c>
    </row>
    <row r="631" spans="1:69" x14ac:dyDescent="0.4">
      <c r="A631" s="2" t="s">
        <v>655</v>
      </c>
      <c r="B631" t="str">
        <f>_xlfn.TEXTAFTER(Table1[[#This Row],[VEHIDCODE]],"_")</f>
        <v>Russia_RZD_VL22M</v>
      </c>
      <c r="C631" t="s">
        <v>742</v>
      </c>
      <c r="D631" t="str">
        <f>"item_"&amp;Table1[[#This Row],[VEHIDCODE]]</f>
        <v>item_electric_Russia_RZD_VL22M</v>
      </c>
      <c r="E631" t="str">
        <f>"str_"&amp;Table1[[#This Row],[VEHIDCODE]]</f>
        <v>str_electric_Russia_RZD_VL22M</v>
      </c>
      <c r="F631">
        <v>8</v>
      </c>
      <c r="G631" t="s">
        <v>20</v>
      </c>
      <c r="H631">
        <v>0</v>
      </c>
      <c r="I631" t="s">
        <v>74</v>
      </c>
      <c r="J631">
        <v>0</v>
      </c>
      <c r="K631">
        <v>1945</v>
      </c>
      <c r="L631">
        <v>8</v>
      </c>
      <c r="M631" s="2" t="s">
        <v>20</v>
      </c>
      <c r="N631" t="b">
        <v>1</v>
      </c>
      <c r="P631" s="2"/>
      <c r="Q631">
        <v>45</v>
      </c>
      <c r="R631">
        <v>1</v>
      </c>
      <c r="S631">
        <v>3220</v>
      </c>
      <c r="T631" t="s">
        <v>710</v>
      </c>
      <c r="U631">
        <v>100</v>
      </c>
      <c r="V631" s="2">
        <v>0.39</v>
      </c>
      <c r="AE631"/>
      <c r="AZ631" s="2"/>
      <c r="BA631" s="7">
        <v>40</v>
      </c>
      <c r="BB631" t="s">
        <v>932</v>
      </c>
      <c r="BC631" t="s">
        <v>923</v>
      </c>
      <c r="BD631" t="s">
        <v>941</v>
      </c>
      <c r="BE631" t="str">
        <f>IF(OR(Table1[[#This Row],[ENGINE_CLASS]]="STEAM",Table1[[#This Row],[ENGINE_CLASS]]="ELECTRIC",Table1[[#This Row],[ENGINE_CLASS]]="DIESEL"),Table1[[#This Row],[ENGINE_CLASS]],"DISABLE")</f>
        <v>ELECTRIC</v>
      </c>
      <c r="BF631">
        <v>-3</v>
      </c>
      <c r="BG631" t="s">
        <v>735</v>
      </c>
      <c r="BI631"/>
      <c r="BJ631">
        <v>98</v>
      </c>
      <c r="BK631">
        <v>0</v>
      </c>
      <c r="BL631" t="s">
        <v>693</v>
      </c>
      <c r="BM631" t="s">
        <v>695</v>
      </c>
      <c r="BN631" t="s">
        <v>702</v>
      </c>
      <c r="BO631" t="s">
        <v>706</v>
      </c>
      <c r="BP631" t="s">
        <v>707</v>
      </c>
      <c r="BQ631" t="s">
        <v>708</v>
      </c>
    </row>
    <row r="632" spans="1:69" x14ac:dyDescent="0.4">
      <c r="A632" s="2" t="s">
        <v>656</v>
      </c>
      <c r="B632" t="str">
        <f>_xlfn.TEXTAFTER(Table1[[#This Row],[VEHIDCODE]],"_")</f>
        <v>Ukraine_UZ_DE1</v>
      </c>
      <c r="C632" t="s">
        <v>742</v>
      </c>
      <c r="D632" t="str">
        <f>"item_"&amp;Table1[[#This Row],[VEHIDCODE]]</f>
        <v>item_electric_Ukraine_UZ_DE1</v>
      </c>
      <c r="E632" t="str">
        <f>"str_"&amp;Table1[[#This Row],[VEHIDCODE]]</f>
        <v>str_electric_Ukraine_UZ_DE1</v>
      </c>
      <c r="F632">
        <v>16</v>
      </c>
      <c r="G632" t="s">
        <v>20</v>
      </c>
      <c r="H632">
        <v>0</v>
      </c>
      <c r="I632" t="s">
        <v>74</v>
      </c>
      <c r="J632">
        <v>0</v>
      </c>
      <c r="K632">
        <v>1995</v>
      </c>
      <c r="L632">
        <v>8</v>
      </c>
      <c r="M632" s="2" t="s">
        <v>20</v>
      </c>
      <c r="N632" t="b">
        <v>1</v>
      </c>
      <c r="P632" s="2"/>
      <c r="Q632">
        <v>45</v>
      </c>
      <c r="R632">
        <v>0</v>
      </c>
      <c r="S632">
        <v>8750</v>
      </c>
      <c r="T632" t="s">
        <v>710</v>
      </c>
      <c r="U632">
        <v>100</v>
      </c>
      <c r="V632" s="2">
        <v>0.23</v>
      </c>
      <c r="AE632"/>
      <c r="AZ632" s="2"/>
      <c r="BA632" s="7">
        <v>40</v>
      </c>
      <c r="BB632" t="s">
        <v>930</v>
      </c>
      <c r="BC632" t="s">
        <v>923</v>
      </c>
      <c r="BD632" t="s">
        <v>941</v>
      </c>
      <c r="BE632" t="str">
        <f>IF(OR(Table1[[#This Row],[ENGINE_CLASS]]="STEAM",Table1[[#This Row],[ENGINE_CLASS]]="ELECTRIC",Table1[[#This Row],[ENGINE_CLASS]]="DIESEL"),Table1[[#This Row],[ENGINE_CLASS]],"DISABLE")</f>
        <v>ELECTRIC</v>
      </c>
      <c r="BF632">
        <v>0</v>
      </c>
      <c r="BG632" t="s">
        <v>735</v>
      </c>
      <c r="BI632"/>
      <c r="BJ632">
        <v>184</v>
      </c>
      <c r="BK632">
        <v>0</v>
      </c>
      <c r="BL632" t="s">
        <v>693</v>
      </c>
      <c r="BM632" t="s">
        <v>695</v>
      </c>
      <c r="BN632" t="s">
        <v>702</v>
      </c>
      <c r="BO632" t="s">
        <v>706</v>
      </c>
      <c r="BP632" t="s">
        <v>707</v>
      </c>
      <c r="BQ632" t="s">
        <v>708</v>
      </c>
    </row>
    <row r="633" spans="1:69" x14ac:dyDescent="0.4">
      <c r="A633" s="2" t="s">
        <v>657</v>
      </c>
      <c r="B633" t="str">
        <f>_xlfn.TEXTAFTER(Table1[[#This Row],[VEHIDCODE]],"_")</f>
        <v>Russia_RZD_ChS3</v>
      </c>
      <c r="C633" t="s">
        <v>742</v>
      </c>
      <c r="D633" t="str">
        <f>"item_"&amp;Table1[[#This Row],[VEHIDCODE]]</f>
        <v>item_electric_Russia_RZD_ChS3</v>
      </c>
      <c r="E633" t="str">
        <f>"str_"&amp;Table1[[#This Row],[VEHIDCODE]]</f>
        <v>str_electric_Russia_RZD_ChS3</v>
      </c>
      <c r="F633">
        <v>7</v>
      </c>
      <c r="G633" t="s">
        <v>20</v>
      </c>
      <c r="H633">
        <v>0</v>
      </c>
      <c r="I633" t="s">
        <v>74</v>
      </c>
      <c r="J633">
        <v>0</v>
      </c>
      <c r="K633">
        <v>1961</v>
      </c>
      <c r="L633">
        <v>7</v>
      </c>
      <c r="M633" s="2" t="s">
        <v>20</v>
      </c>
      <c r="N633" t="b">
        <v>1</v>
      </c>
      <c r="P633" s="2"/>
      <c r="Q633">
        <v>45</v>
      </c>
      <c r="R633">
        <v>1</v>
      </c>
      <c r="S633">
        <v>2000</v>
      </c>
      <c r="T633" t="s">
        <v>710</v>
      </c>
      <c r="U633">
        <v>120</v>
      </c>
      <c r="V633" s="2">
        <v>0.27</v>
      </c>
      <c r="AE633"/>
      <c r="AZ633" s="2"/>
      <c r="BA633" s="7">
        <v>40</v>
      </c>
      <c r="BB633" t="s">
        <v>932</v>
      </c>
      <c r="BC633" t="s">
        <v>923</v>
      </c>
      <c r="BD633" t="s">
        <v>941</v>
      </c>
      <c r="BE633" t="str">
        <f>IF(OR(Table1[[#This Row],[ENGINE_CLASS]]="STEAM",Table1[[#This Row],[ENGINE_CLASS]]="ELECTRIC",Table1[[#This Row],[ENGINE_CLASS]]="DIESEL"),Table1[[#This Row],[ENGINE_CLASS]],"DISABLE")</f>
        <v>ELECTRIC</v>
      </c>
      <c r="BF633">
        <v>0</v>
      </c>
      <c r="BG633" t="s">
        <v>735</v>
      </c>
      <c r="BI633"/>
      <c r="BJ633">
        <v>85</v>
      </c>
      <c r="BK633">
        <v>0</v>
      </c>
      <c r="BL633" t="s">
        <v>693</v>
      </c>
      <c r="BM633" t="s">
        <v>695</v>
      </c>
      <c r="BN633" t="s">
        <v>702</v>
      </c>
      <c r="BO633" t="s">
        <v>706</v>
      </c>
      <c r="BP633" t="s">
        <v>707</v>
      </c>
      <c r="BQ633" t="s">
        <v>708</v>
      </c>
    </row>
    <row r="634" spans="1:69" x14ac:dyDescent="0.4">
      <c r="A634" s="2" t="s">
        <v>658</v>
      </c>
      <c r="B634" t="str">
        <f>_xlfn.TEXTAFTER(Table1[[#This Row],[VEHIDCODE]],"_")</f>
        <v>Ukraine_UZ_ChS7</v>
      </c>
      <c r="C634" t="s">
        <v>742</v>
      </c>
      <c r="D634" t="str">
        <f>"item_"&amp;Table1[[#This Row],[VEHIDCODE]]</f>
        <v>item_electric_Ukraine_UZ_ChS7</v>
      </c>
      <c r="E634" t="str">
        <f>"str_"&amp;Table1[[#This Row],[VEHIDCODE]]</f>
        <v>str_electric_Ukraine_UZ_ChS7</v>
      </c>
      <c r="F634">
        <v>14</v>
      </c>
      <c r="G634" t="s">
        <v>20</v>
      </c>
      <c r="H634">
        <v>0</v>
      </c>
      <c r="I634" t="s">
        <v>74</v>
      </c>
      <c r="J634">
        <v>0</v>
      </c>
      <c r="K634">
        <v>1983</v>
      </c>
      <c r="L634">
        <v>7</v>
      </c>
      <c r="M634" s="2" t="s">
        <v>20</v>
      </c>
      <c r="N634" t="b">
        <v>1</v>
      </c>
      <c r="P634" s="2"/>
      <c r="Q634">
        <v>45</v>
      </c>
      <c r="R634">
        <v>1</v>
      </c>
      <c r="S634">
        <v>8624</v>
      </c>
      <c r="T634" t="s">
        <v>710</v>
      </c>
      <c r="U634">
        <v>160</v>
      </c>
      <c r="V634" s="2">
        <v>0.22</v>
      </c>
      <c r="AE634"/>
      <c r="AZ634" s="2"/>
      <c r="BA634" s="7">
        <v>40</v>
      </c>
      <c r="BB634" t="s">
        <v>930</v>
      </c>
      <c r="BC634" t="s">
        <v>923</v>
      </c>
      <c r="BD634" t="s">
        <v>941</v>
      </c>
      <c r="BE634" t="str">
        <f>IF(OR(Table1[[#This Row],[ENGINE_CLASS]]="STEAM",Table1[[#This Row],[ENGINE_CLASS]]="ELECTRIC",Table1[[#This Row],[ENGINE_CLASS]]="DIESEL"),Table1[[#This Row],[ENGINE_CLASS]],"DISABLE")</f>
        <v>ELECTRIC</v>
      </c>
      <c r="BF634">
        <v>0</v>
      </c>
      <c r="BG634" t="s">
        <v>735</v>
      </c>
      <c r="BI634"/>
      <c r="BJ634">
        <v>172</v>
      </c>
      <c r="BK634">
        <v>0</v>
      </c>
      <c r="BL634" t="s">
        <v>693</v>
      </c>
      <c r="BM634" t="s">
        <v>695</v>
      </c>
      <c r="BN634" t="s">
        <v>702</v>
      </c>
      <c r="BO634" t="s">
        <v>706</v>
      </c>
      <c r="BP634" t="s">
        <v>707</v>
      </c>
      <c r="BQ634" t="s">
        <v>708</v>
      </c>
    </row>
    <row r="635" spans="1:69" x14ac:dyDescent="0.4">
      <c r="A635" s="2" t="s">
        <v>659</v>
      </c>
      <c r="B635" t="str">
        <f>_xlfn.TEXTAFTER(Table1[[#This Row],[VEHIDCODE]],"_")</f>
        <v>Brasil_RFFSA_GE_C_C_4400</v>
      </c>
      <c r="C635" t="s">
        <v>742</v>
      </c>
      <c r="D635" t="str">
        <f>"item_"&amp;Table1[[#This Row],[VEHIDCODE]]</f>
        <v>item_electric_Brasil_RFFSA_GE_C_C_4400</v>
      </c>
      <c r="E635" t="str">
        <f>"str_"&amp;Table1[[#This Row],[VEHIDCODE]]</f>
        <v>str_electric_Brasil_RFFSA_GE_C_C_4400</v>
      </c>
      <c r="F635">
        <v>7</v>
      </c>
      <c r="G635" t="s">
        <v>20</v>
      </c>
      <c r="H635">
        <v>0</v>
      </c>
      <c r="I635" t="s">
        <v>74</v>
      </c>
      <c r="J635">
        <v>0</v>
      </c>
      <c r="K635">
        <v>1962</v>
      </c>
      <c r="L635">
        <v>7</v>
      </c>
      <c r="M635" s="2" t="s">
        <v>24</v>
      </c>
      <c r="N635" t="b">
        <v>1</v>
      </c>
      <c r="P635" s="2"/>
      <c r="Q635">
        <v>45</v>
      </c>
      <c r="R635">
        <v>1</v>
      </c>
      <c r="S635">
        <v>4400</v>
      </c>
      <c r="T635" t="s">
        <v>710</v>
      </c>
      <c r="U635">
        <v>117</v>
      </c>
      <c r="V635" s="2">
        <v>0.21</v>
      </c>
      <c r="AE635"/>
      <c r="AZ635" s="2"/>
      <c r="BA635" s="7">
        <v>40</v>
      </c>
      <c r="BB635" t="s">
        <v>931</v>
      </c>
      <c r="BC635" t="s">
        <v>923</v>
      </c>
      <c r="BD635" t="s">
        <v>941</v>
      </c>
      <c r="BE635" t="str">
        <f>IF(OR(Table1[[#This Row],[ENGINE_CLASS]]="STEAM",Table1[[#This Row],[ENGINE_CLASS]]="ELECTRIC",Table1[[#This Row],[ENGINE_CLASS]]="DIESEL"),Table1[[#This Row],[ENGINE_CLASS]],"DISABLE")</f>
        <v>ELECTRIC</v>
      </c>
      <c r="BF635">
        <v>0</v>
      </c>
      <c r="BG635" t="s">
        <v>735</v>
      </c>
      <c r="BI635"/>
      <c r="BJ635">
        <v>123</v>
      </c>
      <c r="BK635">
        <v>0</v>
      </c>
      <c r="BL635" t="s">
        <v>693</v>
      </c>
      <c r="BM635" t="s">
        <v>695</v>
      </c>
      <c r="BN635" t="s">
        <v>702</v>
      </c>
      <c r="BO635" t="s">
        <v>706</v>
      </c>
      <c r="BP635" t="s">
        <v>707</v>
      </c>
      <c r="BQ635" t="s">
        <v>708</v>
      </c>
    </row>
    <row r="636" spans="1:69" x14ac:dyDescent="0.4">
      <c r="A636" s="2" t="s">
        <v>660</v>
      </c>
      <c r="B636" t="str">
        <f>_xlfn.TEXTAFTER(Table1[[#This Row],[VEHIDCODE]],"_")</f>
        <v>Russia_RZD_VL85</v>
      </c>
      <c r="C636" t="s">
        <v>742</v>
      </c>
      <c r="D636" t="str">
        <f>"item_"&amp;Table1[[#This Row],[VEHIDCODE]]</f>
        <v>item_electric_Russia_RZD_VL85</v>
      </c>
      <c r="E636" t="str">
        <f>"str_"&amp;Table1[[#This Row],[VEHIDCODE]]</f>
        <v>str_electric_Russia_RZD_VL85</v>
      </c>
      <c r="F636">
        <v>16</v>
      </c>
      <c r="G636" t="s">
        <v>20</v>
      </c>
      <c r="H636">
        <v>0</v>
      </c>
      <c r="I636" t="s">
        <v>74</v>
      </c>
      <c r="J636">
        <v>0</v>
      </c>
      <c r="K636">
        <v>1983</v>
      </c>
      <c r="L636">
        <v>8</v>
      </c>
      <c r="M636" s="2" t="s">
        <v>20</v>
      </c>
      <c r="N636" t="b">
        <v>1</v>
      </c>
      <c r="P636" s="2"/>
      <c r="Q636">
        <v>45</v>
      </c>
      <c r="R636">
        <v>1</v>
      </c>
      <c r="S636">
        <v>12500</v>
      </c>
      <c r="T636" t="s">
        <v>710</v>
      </c>
      <c r="U636">
        <v>110</v>
      </c>
      <c r="V636" s="2">
        <v>0.25</v>
      </c>
      <c r="AE636"/>
      <c r="AZ636" s="2"/>
      <c r="BA636" s="7">
        <v>40</v>
      </c>
      <c r="BB636" t="s">
        <v>932</v>
      </c>
      <c r="BC636" t="s">
        <v>923</v>
      </c>
      <c r="BD636" t="s">
        <v>941</v>
      </c>
      <c r="BE636" t="str">
        <f>IF(OR(Table1[[#This Row],[ENGINE_CLASS]]="STEAM",Table1[[#This Row],[ENGINE_CLASS]]="ELECTRIC",Table1[[#This Row],[ENGINE_CLASS]]="DIESEL"),Table1[[#This Row],[ENGINE_CLASS]],"DISABLE")</f>
        <v>ELECTRIC</v>
      </c>
      <c r="BF636">
        <v>0</v>
      </c>
      <c r="BG636" t="s">
        <v>735</v>
      </c>
      <c r="BI636"/>
      <c r="BJ636">
        <v>288</v>
      </c>
      <c r="BK636">
        <v>0</v>
      </c>
      <c r="BL636" t="s">
        <v>693</v>
      </c>
      <c r="BM636" t="s">
        <v>695</v>
      </c>
      <c r="BN636" t="s">
        <v>702</v>
      </c>
      <c r="BO636" t="s">
        <v>706</v>
      </c>
      <c r="BP636" t="s">
        <v>707</v>
      </c>
      <c r="BQ636" t="s">
        <v>708</v>
      </c>
    </row>
    <row r="637" spans="1:69" x14ac:dyDescent="0.4">
      <c r="A637" s="2" t="s">
        <v>661</v>
      </c>
      <c r="B637" t="str">
        <f>_xlfn.TEXTAFTER(Table1[[#This Row],[VEHIDCODE]],"_")</f>
        <v>Russia_RZD_VL41</v>
      </c>
      <c r="C637" t="s">
        <v>742</v>
      </c>
      <c r="D637" t="str">
        <f>"item_"&amp;Table1[[#This Row],[VEHIDCODE]]</f>
        <v>item_electric_Russia_RZD_VL41</v>
      </c>
      <c r="E637" t="str">
        <f>"str_"&amp;Table1[[#This Row],[VEHIDCODE]]</f>
        <v>str_electric_Russia_RZD_VL41</v>
      </c>
      <c r="F637">
        <v>8</v>
      </c>
      <c r="G637" t="s">
        <v>20</v>
      </c>
      <c r="H637">
        <v>0</v>
      </c>
      <c r="I637" t="s">
        <v>74</v>
      </c>
      <c r="J637">
        <v>0</v>
      </c>
      <c r="K637">
        <v>1963</v>
      </c>
      <c r="L637">
        <v>8</v>
      </c>
      <c r="M637" s="2" t="s">
        <v>20</v>
      </c>
      <c r="N637" t="b">
        <v>1</v>
      </c>
      <c r="P637" s="2"/>
      <c r="Q637">
        <v>45</v>
      </c>
      <c r="R637">
        <v>1</v>
      </c>
      <c r="S637">
        <v>2280</v>
      </c>
      <c r="T637" t="s">
        <v>710</v>
      </c>
      <c r="U637">
        <v>70</v>
      </c>
      <c r="V637" s="2">
        <v>0.19</v>
      </c>
      <c r="AE637"/>
      <c r="AZ637" s="2"/>
      <c r="BA637" s="7">
        <v>40</v>
      </c>
      <c r="BB637" t="s">
        <v>932</v>
      </c>
      <c r="BC637" t="s">
        <v>923</v>
      </c>
      <c r="BD637" t="s">
        <v>941</v>
      </c>
      <c r="BE637" t="str">
        <f>IF(OR(Table1[[#This Row],[ENGINE_CLASS]]="STEAM",Table1[[#This Row],[ENGINE_CLASS]]="ELECTRIC",Table1[[#This Row],[ENGINE_CLASS]]="DIESEL"),Table1[[#This Row],[ENGINE_CLASS]],"DISABLE")</f>
        <v>ELECTRIC</v>
      </c>
      <c r="BF637">
        <v>-3</v>
      </c>
      <c r="BG637" t="s">
        <v>735</v>
      </c>
      <c r="BI637"/>
      <c r="BJ637">
        <v>92</v>
      </c>
      <c r="BK637">
        <v>0</v>
      </c>
      <c r="BL637" t="s">
        <v>693</v>
      </c>
      <c r="BM637" t="s">
        <v>695</v>
      </c>
      <c r="BN637" t="s">
        <v>702</v>
      </c>
      <c r="BO637" t="s">
        <v>706</v>
      </c>
      <c r="BP637" t="s">
        <v>707</v>
      </c>
      <c r="BQ637" t="s">
        <v>708</v>
      </c>
    </row>
    <row r="638" spans="1:69" x14ac:dyDescent="0.4">
      <c r="A638" s="2" t="s">
        <v>662</v>
      </c>
      <c r="B638" t="str">
        <f>_xlfn.TEXTAFTER(Table1[[#This Row],[VEHIDCODE]],"_")</f>
        <v>India_Indian_Railways_WAP_4</v>
      </c>
      <c r="C638" t="s">
        <v>742</v>
      </c>
      <c r="D638" t="str">
        <f>"item_"&amp;Table1[[#This Row],[VEHIDCODE]]</f>
        <v>item_electric_India_Indian_Railways_WAP_4</v>
      </c>
      <c r="E638" t="str">
        <f>"str_"&amp;Table1[[#This Row],[VEHIDCODE]]</f>
        <v>str_electric_India_Indian_Railways_WAP_4</v>
      </c>
      <c r="F638">
        <v>8</v>
      </c>
      <c r="G638" t="s">
        <v>20</v>
      </c>
      <c r="H638">
        <v>0</v>
      </c>
      <c r="I638" t="s">
        <v>74</v>
      </c>
      <c r="J638">
        <v>0</v>
      </c>
      <c r="K638">
        <v>1994</v>
      </c>
      <c r="L638">
        <v>8</v>
      </c>
      <c r="M638" s="2" t="s">
        <v>20</v>
      </c>
      <c r="N638" t="b">
        <v>1</v>
      </c>
      <c r="P638" s="2"/>
      <c r="Q638">
        <v>45</v>
      </c>
      <c r="R638">
        <v>1</v>
      </c>
      <c r="S638">
        <v>5350</v>
      </c>
      <c r="T638" t="s">
        <v>710</v>
      </c>
      <c r="U638">
        <v>140</v>
      </c>
      <c r="V638" s="2">
        <v>0.28000000000000003</v>
      </c>
      <c r="AE638"/>
      <c r="AZ638" s="2"/>
      <c r="BA638" s="7">
        <v>40</v>
      </c>
      <c r="BB638" t="s">
        <v>932</v>
      </c>
      <c r="BC638" t="s">
        <v>923</v>
      </c>
      <c r="BD638" t="s">
        <v>941</v>
      </c>
      <c r="BE638" t="str">
        <f>IF(OR(Table1[[#This Row],[ENGINE_CLASS]]="STEAM",Table1[[#This Row],[ENGINE_CLASS]]="ELECTRIC",Table1[[#This Row],[ENGINE_CLASS]]="DIESEL"),Table1[[#This Row],[ENGINE_CLASS]],"DISABLE")</f>
        <v>ELECTRIC</v>
      </c>
      <c r="BF638">
        <v>-3</v>
      </c>
      <c r="BG638" t="s">
        <v>735</v>
      </c>
      <c r="BI638"/>
      <c r="BJ638">
        <v>113</v>
      </c>
      <c r="BK638">
        <v>0</v>
      </c>
      <c r="BL638" t="s">
        <v>693</v>
      </c>
      <c r="BM638" t="s">
        <v>695</v>
      </c>
      <c r="BN638" t="s">
        <v>702</v>
      </c>
      <c r="BO638" t="s">
        <v>706</v>
      </c>
      <c r="BP638" t="s">
        <v>707</v>
      </c>
      <c r="BQ638" t="s">
        <v>708</v>
      </c>
    </row>
    <row r="639" spans="1:69" x14ac:dyDescent="0.4">
      <c r="A639" s="2" t="s">
        <v>663</v>
      </c>
      <c r="B639" t="str">
        <f>_xlfn.TEXTAFTER(Table1[[#This Row],[VEHIDCODE]],"_")</f>
        <v>Finland_VR_Sr1</v>
      </c>
      <c r="C639" t="s">
        <v>742</v>
      </c>
      <c r="D639" t="str">
        <f>"item_"&amp;Table1[[#This Row],[VEHIDCODE]]</f>
        <v>item_electric_Finland_VR_Sr1</v>
      </c>
      <c r="E639" t="str">
        <f>"str_"&amp;Table1[[#This Row],[VEHIDCODE]]</f>
        <v>str_electric_Finland_VR_Sr1</v>
      </c>
      <c r="F639">
        <v>8</v>
      </c>
      <c r="G639" t="s">
        <v>20</v>
      </c>
      <c r="H639">
        <v>0</v>
      </c>
      <c r="I639" t="s">
        <v>74</v>
      </c>
      <c r="J639">
        <v>0</v>
      </c>
      <c r="K639">
        <v>1973</v>
      </c>
      <c r="L639">
        <v>8</v>
      </c>
      <c r="M639" s="2" t="s">
        <v>20</v>
      </c>
      <c r="N639" t="b">
        <v>1</v>
      </c>
      <c r="P639" s="2"/>
      <c r="Q639">
        <v>45</v>
      </c>
      <c r="R639">
        <v>0</v>
      </c>
      <c r="S639">
        <v>4428</v>
      </c>
      <c r="T639" t="s">
        <v>710</v>
      </c>
      <c r="U639">
        <v>140</v>
      </c>
      <c r="V639" s="2">
        <v>0.33</v>
      </c>
      <c r="AE639"/>
      <c r="AZ639" s="2"/>
      <c r="BA639" s="7">
        <v>40</v>
      </c>
      <c r="BB639" t="s">
        <v>928</v>
      </c>
      <c r="BC639" t="s">
        <v>923</v>
      </c>
      <c r="BD639" t="s">
        <v>941</v>
      </c>
      <c r="BE639" t="str">
        <f>IF(OR(Table1[[#This Row],[ENGINE_CLASS]]="STEAM",Table1[[#This Row],[ENGINE_CLASS]]="ELECTRIC",Table1[[#This Row],[ENGINE_CLASS]]="DIESEL"),Table1[[#This Row],[ENGINE_CLASS]],"DISABLE")</f>
        <v>ELECTRIC</v>
      </c>
      <c r="BF639">
        <v>-3</v>
      </c>
      <c r="BG639" t="s">
        <v>735</v>
      </c>
      <c r="BI639"/>
      <c r="BJ639">
        <v>84</v>
      </c>
      <c r="BK639">
        <v>0</v>
      </c>
      <c r="BL639" t="s">
        <v>693</v>
      </c>
      <c r="BM639" t="s">
        <v>695</v>
      </c>
      <c r="BN639" t="s">
        <v>702</v>
      </c>
      <c r="BO639" t="s">
        <v>706</v>
      </c>
      <c r="BP639" t="s">
        <v>707</v>
      </c>
      <c r="BQ639" t="s">
        <v>708</v>
      </c>
    </row>
    <row r="640" spans="1:69" x14ac:dyDescent="0.4">
      <c r="A640" s="2" t="s">
        <v>664</v>
      </c>
      <c r="B640" t="str">
        <f>_xlfn.TEXTAFTER(Table1[[#This Row],[VEHIDCODE]],"_")</f>
        <v>Kazakhstan_KTZ_KZ4A</v>
      </c>
      <c r="C640" t="s">
        <v>742</v>
      </c>
      <c r="D640" t="str">
        <f>"item_"&amp;Table1[[#This Row],[VEHIDCODE]]</f>
        <v>item_electric_Kazakhstan_KTZ_KZ4A</v>
      </c>
      <c r="E640" t="str">
        <f>"str_"&amp;Table1[[#This Row],[VEHIDCODE]]</f>
        <v>str_electric_Kazakhstan_KTZ_KZ4A</v>
      </c>
      <c r="F640">
        <v>8</v>
      </c>
      <c r="G640" t="s">
        <v>20</v>
      </c>
      <c r="H640">
        <v>0</v>
      </c>
      <c r="I640" t="s">
        <v>74</v>
      </c>
      <c r="J640">
        <v>0</v>
      </c>
      <c r="K640">
        <v>2004</v>
      </c>
      <c r="L640">
        <v>8</v>
      </c>
      <c r="M640" s="2" t="s">
        <v>20</v>
      </c>
      <c r="N640" t="b">
        <v>1</v>
      </c>
      <c r="P640" s="2"/>
      <c r="Q640" t="s">
        <v>21</v>
      </c>
      <c r="R640">
        <v>1</v>
      </c>
      <c r="S640">
        <v>6500</v>
      </c>
      <c r="T640" t="s">
        <v>710</v>
      </c>
      <c r="U640">
        <v>210</v>
      </c>
      <c r="V640" s="2">
        <v>0.32</v>
      </c>
      <c r="AE640"/>
      <c r="AZ640" s="2"/>
      <c r="BA640" s="7">
        <v>40</v>
      </c>
      <c r="BB640" t="s">
        <v>932</v>
      </c>
      <c r="BC640" t="s">
        <v>923</v>
      </c>
      <c r="BD640" t="s">
        <v>941</v>
      </c>
      <c r="BE640" t="str">
        <f>IF(OR(Table1[[#This Row],[ENGINE_CLASS]]="STEAM",Table1[[#This Row],[ENGINE_CLASS]]="ELECTRIC",Table1[[#This Row],[ENGINE_CLASS]]="DIESEL"),Table1[[#This Row],[ENGINE_CLASS]],"DISABLE")</f>
        <v>ELECTRIC</v>
      </c>
      <c r="BF640">
        <v>-3</v>
      </c>
      <c r="BG640" t="s">
        <v>735</v>
      </c>
      <c r="BI640"/>
      <c r="BJ640">
        <v>82</v>
      </c>
      <c r="BK640">
        <v>0</v>
      </c>
      <c r="BL640" t="s">
        <v>693</v>
      </c>
      <c r="BM640" t="s">
        <v>695</v>
      </c>
      <c r="BN640" t="s">
        <v>702</v>
      </c>
      <c r="BO640" t="s">
        <v>706</v>
      </c>
      <c r="BP640" t="s">
        <v>707</v>
      </c>
      <c r="BQ640" t="s">
        <v>708</v>
      </c>
    </row>
    <row r="641" spans="1:69" x14ac:dyDescent="0.4">
      <c r="A641" s="2" t="s">
        <v>665</v>
      </c>
      <c r="B641" t="str">
        <f>_xlfn.TEXTAFTER(Table1[[#This Row],[VEHIDCODE]],"_")</f>
        <v>Kazakhstan_KTZ_KZ8A</v>
      </c>
      <c r="C641" t="s">
        <v>742</v>
      </c>
      <c r="D641" t="str">
        <f>"item_"&amp;Table1[[#This Row],[VEHIDCODE]]</f>
        <v>item_electric_Kazakhstan_KTZ_KZ8A</v>
      </c>
      <c r="E641" t="str">
        <f>"str_"&amp;Table1[[#This Row],[VEHIDCODE]]</f>
        <v>str_electric_Kazakhstan_KTZ_KZ8A</v>
      </c>
      <c r="F641">
        <v>16</v>
      </c>
      <c r="G641" t="s">
        <v>20</v>
      </c>
      <c r="H641">
        <v>0</v>
      </c>
      <c r="I641" t="s">
        <v>74</v>
      </c>
      <c r="J641">
        <v>0</v>
      </c>
      <c r="K641">
        <v>2014</v>
      </c>
      <c r="L641">
        <v>8</v>
      </c>
      <c r="M641" s="2" t="s">
        <v>20</v>
      </c>
      <c r="N641" t="b">
        <v>1</v>
      </c>
      <c r="P641" s="2"/>
      <c r="Q641" t="s">
        <v>21</v>
      </c>
      <c r="R641">
        <v>1</v>
      </c>
      <c r="S641">
        <v>11800</v>
      </c>
      <c r="T641" t="s">
        <v>710</v>
      </c>
      <c r="U641">
        <v>120</v>
      </c>
      <c r="V641" s="2">
        <v>0.42</v>
      </c>
      <c r="AE641"/>
      <c r="AZ641" s="2"/>
      <c r="BA641" s="7">
        <v>40</v>
      </c>
      <c r="BB641" t="s">
        <v>932</v>
      </c>
      <c r="BC641" t="s">
        <v>923</v>
      </c>
      <c r="BD641" t="s">
        <v>941</v>
      </c>
      <c r="BE641" t="str">
        <f>IF(OR(Table1[[#This Row],[ENGINE_CLASS]]="STEAM",Table1[[#This Row],[ENGINE_CLASS]]="ELECTRIC",Table1[[#This Row],[ENGINE_CLASS]]="DIESEL"),Table1[[#This Row],[ENGINE_CLASS]],"DISABLE")</f>
        <v>ELECTRIC</v>
      </c>
      <c r="BF641">
        <v>0</v>
      </c>
      <c r="BG641" t="s">
        <v>735</v>
      </c>
      <c r="BI641"/>
      <c r="BJ641">
        <v>200</v>
      </c>
      <c r="BK641">
        <v>0</v>
      </c>
      <c r="BL641" t="s">
        <v>693</v>
      </c>
      <c r="BM641" t="s">
        <v>695</v>
      </c>
      <c r="BN641" t="s">
        <v>702</v>
      </c>
      <c r="BO641" t="s">
        <v>706</v>
      </c>
      <c r="BP641" t="s">
        <v>707</v>
      </c>
      <c r="BQ641" t="s">
        <v>708</v>
      </c>
    </row>
    <row r="642" spans="1:69" x14ac:dyDescent="0.4">
      <c r="A642" s="2" t="s">
        <v>666</v>
      </c>
      <c r="B642" t="str">
        <f>_xlfn.TEXTAFTER(Table1[[#This Row],[VEHIDCODE]],"_")</f>
        <v>Russia_RZD_EP20</v>
      </c>
      <c r="C642" t="s">
        <v>742</v>
      </c>
      <c r="D642" t="str">
        <f>"item_"&amp;Table1[[#This Row],[VEHIDCODE]]</f>
        <v>item_electric_Russia_RZD_EP20</v>
      </c>
      <c r="E642" t="str">
        <f>"str_"&amp;Table1[[#This Row],[VEHIDCODE]]</f>
        <v>str_electric_Russia_RZD_EP20</v>
      </c>
      <c r="F642">
        <v>8</v>
      </c>
      <c r="G642" t="s">
        <v>20</v>
      </c>
      <c r="H642">
        <v>0</v>
      </c>
      <c r="I642" t="s">
        <v>74</v>
      </c>
      <c r="J642">
        <v>0</v>
      </c>
      <c r="K642">
        <v>2011</v>
      </c>
      <c r="L642">
        <v>8</v>
      </c>
      <c r="M642" s="2" t="s">
        <v>20</v>
      </c>
      <c r="N642" t="b">
        <v>1</v>
      </c>
      <c r="P642" s="2"/>
      <c r="Q642" t="s">
        <v>21</v>
      </c>
      <c r="R642">
        <v>1</v>
      </c>
      <c r="S642">
        <v>9655</v>
      </c>
      <c r="T642" t="s">
        <v>710</v>
      </c>
      <c r="U642">
        <v>200</v>
      </c>
      <c r="V642" s="2">
        <v>0.26</v>
      </c>
      <c r="AE642"/>
      <c r="AZ642" s="2"/>
      <c r="BA642" s="7">
        <v>40</v>
      </c>
      <c r="BB642" t="s">
        <v>932</v>
      </c>
      <c r="BC642" t="s">
        <v>923</v>
      </c>
      <c r="BD642" t="s">
        <v>941</v>
      </c>
      <c r="BE642" t="str">
        <f>IF(OR(Table1[[#This Row],[ENGINE_CLASS]]="STEAM",Table1[[#This Row],[ENGINE_CLASS]]="ELECTRIC",Table1[[#This Row],[ENGINE_CLASS]]="DIESEL"),Table1[[#This Row],[ENGINE_CLASS]],"DISABLE")</f>
        <v>ELECTRIC</v>
      </c>
      <c r="BF642">
        <v>0</v>
      </c>
      <c r="BG642" t="s">
        <v>735</v>
      </c>
      <c r="BI642"/>
      <c r="BJ642">
        <v>135</v>
      </c>
      <c r="BK642">
        <v>0</v>
      </c>
      <c r="BL642" t="s">
        <v>693</v>
      </c>
      <c r="BM642" t="s">
        <v>695</v>
      </c>
      <c r="BN642" t="s">
        <v>702</v>
      </c>
      <c r="BO642" t="s">
        <v>706</v>
      </c>
      <c r="BP642" t="s">
        <v>707</v>
      </c>
      <c r="BQ642" t="s">
        <v>708</v>
      </c>
    </row>
    <row r="643" spans="1:69" x14ac:dyDescent="0.4">
      <c r="A643" s="2" t="s">
        <v>667</v>
      </c>
      <c r="B643" t="str">
        <f>_xlfn.TEXTAFTER(Table1[[#This Row],[VEHIDCODE]],"_")</f>
        <v>Finland_VR_Dm7</v>
      </c>
      <c r="C643" t="s">
        <v>738</v>
      </c>
      <c r="D643" t="str">
        <f>"item_"&amp;Table1[[#This Row],[VEHIDCODE]]</f>
        <v>item_rbd_Finland_VR_Dm7</v>
      </c>
      <c r="E643" t="str">
        <f>"str_"&amp;Table1[[#This Row],[VEHIDCODE]]</f>
        <v>str_rbd_Finland_VR_Dm7</v>
      </c>
      <c r="F643">
        <v>7</v>
      </c>
      <c r="G643" t="s">
        <v>18</v>
      </c>
      <c r="H643">
        <v>0</v>
      </c>
      <c r="I643" t="s">
        <v>35</v>
      </c>
      <c r="J643">
        <v>64</v>
      </c>
      <c r="K643">
        <v>1955</v>
      </c>
      <c r="L643">
        <v>7</v>
      </c>
      <c r="M643" s="2" t="s">
        <v>24</v>
      </c>
      <c r="N643" t="b">
        <v>1</v>
      </c>
      <c r="P643" s="2"/>
      <c r="Q643">
        <v>45</v>
      </c>
      <c r="R643">
        <v>1</v>
      </c>
      <c r="S643">
        <v>180</v>
      </c>
      <c r="T643" t="s">
        <v>712</v>
      </c>
      <c r="U643">
        <v>95</v>
      </c>
      <c r="V643" s="2">
        <v>0.33</v>
      </c>
      <c r="AE643"/>
      <c r="AZ643" s="2"/>
      <c r="BA643" s="7">
        <v>15</v>
      </c>
      <c r="BB643" t="s">
        <v>928</v>
      </c>
      <c r="BC643" t="s">
        <v>923</v>
      </c>
      <c r="BD643" t="s">
        <v>941</v>
      </c>
      <c r="BE643" t="str">
        <f>IF(OR(Table1[[#This Row],[ENGINE_CLASS]]="STEAM",Table1[[#This Row],[ENGINE_CLASS]]="ELECTRIC",Table1[[#This Row],[ENGINE_CLASS]]="DIESEL"),Table1[[#This Row],[ENGINE_CLASS]],"DISABLE")</f>
        <v>DIESEL</v>
      </c>
      <c r="BF643">
        <v>-3</v>
      </c>
      <c r="BG643" t="s">
        <v>735</v>
      </c>
      <c r="BI643"/>
      <c r="BJ643">
        <v>18</v>
      </c>
      <c r="BK643">
        <v>0</v>
      </c>
      <c r="BL643" t="s">
        <v>693</v>
      </c>
      <c r="BM643" t="s">
        <v>695</v>
      </c>
      <c r="BN643" t="s">
        <v>702</v>
      </c>
      <c r="BO643" t="s">
        <v>706</v>
      </c>
      <c r="BP643" t="s">
        <v>707</v>
      </c>
      <c r="BQ643" t="s">
        <v>708</v>
      </c>
    </row>
    <row r="644" spans="1:69" x14ac:dyDescent="0.4">
      <c r="A644" s="2" t="s">
        <v>668</v>
      </c>
      <c r="B644" t="str">
        <f>_xlfn.TEXTAFTER(Table1[[#This Row],[VEHIDCODE]],"_")</f>
        <v>Russia_RZD_ACh2</v>
      </c>
      <c r="C644" t="s">
        <v>738</v>
      </c>
      <c r="D644" t="str">
        <f>"item_"&amp;Table1[[#This Row],[VEHIDCODE]]</f>
        <v>item_rbd_Russia_RZD_ACh2</v>
      </c>
      <c r="E644" t="str">
        <f>"str_"&amp;Table1[[#This Row],[VEHIDCODE]]</f>
        <v>str_rbd_Russia_RZD_ACh2</v>
      </c>
      <c r="F644">
        <v>8</v>
      </c>
      <c r="G644" t="s">
        <v>18</v>
      </c>
      <c r="H644">
        <v>0</v>
      </c>
      <c r="I644" t="s">
        <v>35</v>
      </c>
      <c r="J644">
        <v>67</v>
      </c>
      <c r="K644">
        <v>1984</v>
      </c>
      <c r="L644">
        <v>8</v>
      </c>
      <c r="M644" s="2" t="s">
        <v>24</v>
      </c>
      <c r="N644" t="b">
        <v>1</v>
      </c>
      <c r="P644" s="2"/>
      <c r="Q644">
        <v>45</v>
      </c>
      <c r="R644">
        <v>1</v>
      </c>
      <c r="S644">
        <v>990</v>
      </c>
      <c r="T644" t="s">
        <v>712</v>
      </c>
      <c r="U644">
        <v>120</v>
      </c>
      <c r="V644" s="2">
        <v>0.24</v>
      </c>
      <c r="AE644"/>
      <c r="AZ644" s="2"/>
      <c r="BA644" s="7">
        <v>15</v>
      </c>
      <c r="BB644" t="s">
        <v>932</v>
      </c>
      <c r="BC644" t="s">
        <v>923</v>
      </c>
      <c r="BD644" t="s">
        <v>941</v>
      </c>
      <c r="BE644" t="str">
        <f>IF(OR(Table1[[#This Row],[ENGINE_CLASS]]="STEAM",Table1[[#This Row],[ENGINE_CLASS]]="ELECTRIC",Table1[[#This Row],[ENGINE_CLASS]]="DIESEL"),Table1[[#This Row],[ENGINE_CLASS]],"DISABLE")</f>
        <v>DIESEL</v>
      </c>
      <c r="BF644">
        <v>-3</v>
      </c>
      <c r="BG644" t="s">
        <v>735</v>
      </c>
      <c r="BI644"/>
      <c r="BJ644">
        <v>59</v>
      </c>
      <c r="BK644">
        <v>0</v>
      </c>
      <c r="BL644" t="s">
        <v>693</v>
      </c>
      <c r="BM644" t="s">
        <v>695</v>
      </c>
      <c r="BN644" t="s">
        <v>702</v>
      </c>
      <c r="BO644" t="s">
        <v>706</v>
      </c>
      <c r="BP644" t="s">
        <v>707</v>
      </c>
      <c r="BQ644" t="s">
        <v>708</v>
      </c>
    </row>
    <row r="645" spans="1:69" x14ac:dyDescent="0.4">
      <c r="A645" s="2" t="s">
        <v>669</v>
      </c>
      <c r="B645" t="str">
        <f>_xlfn.TEXTAFTER(Table1[[#This Row],[VEHIDCODE]],"_")</f>
        <v>Russia_RZD_ER200</v>
      </c>
      <c r="C645" t="s">
        <v>745</v>
      </c>
      <c r="D645" t="str">
        <f>"item_"&amp;Table1[[#This Row],[VEHIDCODE]]</f>
        <v>item_emu_Russia_RZD_ER200</v>
      </c>
      <c r="E645" t="str">
        <f>"str_"&amp;Table1[[#This Row],[VEHIDCODE]]</f>
        <v>str_emu_Russia_RZD_ER200</v>
      </c>
      <c r="F645">
        <v>8</v>
      </c>
      <c r="G645" t="s">
        <v>18</v>
      </c>
      <c r="H645">
        <v>1</v>
      </c>
      <c r="I645" t="s">
        <v>74</v>
      </c>
      <c r="J645">
        <v>64</v>
      </c>
      <c r="K645">
        <v>1973</v>
      </c>
      <c r="L645">
        <v>8</v>
      </c>
      <c r="M645" s="2" t="s">
        <v>24</v>
      </c>
      <c r="N645" t="b">
        <v>1</v>
      </c>
      <c r="O645" t="b">
        <v>1</v>
      </c>
      <c r="P645" s="2"/>
      <c r="Q645">
        <v>45</v>
      </c>
      <c r="R645">
        <v>1</v>
      </c>
      <c r="S645">
        <v>1280</v>
      </c>
      <c r="T645" t="s">
        <v>710</v>
      </c>
      <c r="U645">
        <v>200</v>
      </c>
      <c r="V645" s="2">
        <v>0.13</v>
      </c>
      <c r="AE645"/>
      <c r="AZ645" s="2"/>
      <c r="BA645" s="7">
        <v>40</v>
      </c>
      <c r="BB645" t="s">
        <v>932</v>
      </c>
      <c r="BC645" t="s">
        <v>923</v>
      </c>
      <c r="BD645" t="s">
        <v>941</v>
      </c>
      <c r="BE645" t="str">
        <f>IF(OR(Table1[[#This Row],[ENGINE_CLASS]]="STEAM",Table1[[#This Row],[ENGINE_CLASS]]="ELECTRIC",Table1[[#This Row],[ENGINE_CLASS]]="DIESEL"),Table1[[#This Row],[ENGINE_CLASS]],"DISABLE")</f>
        <v>ELECTRIC</v>
      </c>
      <c r="BF645">
        <v>0</v>
      </c>
      <c r="BG645" t="s">
        <v>735</v>
      </c>
      <c r="BH645">
        <v>64</v>
      </c>
      <c r="BI645">
        <v>8</v>
      </c>
      <c r="BJ645">
        <v>49</v>
      </c>
      <c r="BK645">
        <v>0</v>
      </c>
      <c r="BL645" t="s">
        <v>693</v>
      </c>
      <c r="BM645" t="s">
        <v>695</v>
      </c>
      <c r="BN645" t="s">
        <v>702</v>
      </c>
      <c r="BO645" t="s">
        <v>706</v>
      </c>
      <c r="BP645" t="s">
        <v>707</v>
      </c>
      <c r="BQ645" t="s">
        <v>708</v>
      </c>
    </row>
    <row r="646" spans="1:69" x14ac:dyDescent="0.4">
      <c r="A646" s="2" t="s">
        <v>670</v>
      </c>
      <c r="B646" t="str">
        <f>_xlfn.TEXTAFTER(Table1[[#This Row],[VEHIDCODE]],"_")</f>
        <v>Russia_RZD_S</v>
      </c>
      <c r="C646" t="s">
        <v>745</v>
      </c>
      <c r="D646" t="str">
        <f>"item_"&amp;Table1[[#This Row],[VEHIDCODE]]</f>
        <v>item_emu_Russia_RZD_S</v>
      </c>
      <c r="E646" t="str">
        <f>"str_"&amp;Table1[[#This Row],[VEHIDCODE]]</f>
        <v>str_emu_Russia_RZD_S</v>
      </c>
      <c r="F646">
        <v>7</v>
      </c>
      <c r="G646" t="s">
        <v>18</v>
      </c>
      <c r="H646">
        <v>1</v>
      </c>
      <c r="I646" t="s">
        <v>74</v>
      </c>
      <c r="J646">
        <v>50</v>
      </c>
      <c r="K646">
        <v>1929</v>
      </c>
      <c r="L646">
        <v>7</v>
      </c>
      <c r="M646" s="2" t="s">
        <v>24</v>
      </c>
      <c r="N646" t="b">
        <v>1</v>
      </c>
      <c r="O646" t="b">
        <v>1</v>
      </c>
      <c r="P646" s="2"/>
      <c r="Q646">
        <v>45</v>
      </c>
      <c r="R646">
        <v>1</v>
      </c>
      <c r="S646">
        <v>804</v>
      </c>
      <c r="T646" t="s">
        <v>710</v>
      </c>
      <c r="U646">
        <v>85</v>
      </c>
      <c r="V646" s="2">
        <v>0.08</v>
      </c>
      <c r="AE646"/>
      <c r="AZ646" s="2"/>
      <c r="BA646" s="7">
        <v>40</v>
      </c>
      <c r="BB646" t="s">
        <v>932</v>
      </c>
      <c r="BC646" t="s">
        <v>923</v>
      </c>
      <c r="BD646" t="s">
        <v>941</v>
      </c>
      <c r="BE646" t="str">
        <f>IF(OR(Table1[[#This Row],[ENGINE_CLASS]]="STEAM",Table1[[#This Row],[ENGINE_CLASS]]="ELECTRIC",Table1[[#This Row],[ENGINE_CLASS]]="DIESEL"),Table1[[#This Row],[ENGINE_CLASS]],"DISABLE")</f>
        <v>ELECTRIC</v>
      </c>
      <c r="BF646">
        <v>0</v>
      </c>
      <c r="BG646" t="s">
        <v>735</v>
      </c>
      <c r="BH646">
        <v>50</v>
      </c>
      <c r="BI646">
        <v>7</v>
      </c>
      <c r="BJ646">
        <v>46</v>
      </c>
      <c r="BK646">
        <v>0</v>
      </c>
      <c r="BL646" t="s">
        <v>693</v>
      </c>
      <c r="BM646" t="s">
        <v>695</v>
      </c>
      <c r="BN646" t="s">
        <v>702</v>
      </c>
      <c r="BO646" t="s">
        <v>706</v>
      </c>
      <c r="BP646" t="s">
        <v>707</v>
      </c>
      <c r="BQ646" t="s">
        <v>708</v>
      </c>
    </row>
    <row r="647" spans="1:69" x14ac:dyDescent="0.4">
      <c r="A647" s="2" t="s">
        <v>671</v>
      </c>
      <c r="B647" t="str">
        <f>_xlfn.TEXTAFTER(Table1[[#This Row],[VEHIDCODE]],"_")</f>
        <v>Croatia_HZ_6112</v>
      </c>
      <c r="C647" t="s">
        <v>745</v>
      </c>
      <c r="D647" t="str">
        <f>"item_"&amp;Table1[[#This Row],[VEHIDCODE]]</f>
        <v>item_emu_Croatia_HZ_6112</v>
      </c>
      <c r="E647" t="str">
        <f>"str_"&amp;Table1[[#This Row],[VEHIDCODE]]</f>
        <v>str_emu_Croatia_HZ_6112</v>
      </c>
      <c r="F647">
        <v>8</v>
      </c>
      <c r="G647" t="s">
        <v>18</v>
      </c>
      <c r="H647">
        <v>1</v>
      </c>
      <c r="I647" t="s">
        <v>74</v>
      </c>
      <c r="J647">
        <v>60</v>
      </c>
      <c r="K647">
        <v>2015</v>
      </c>
      <c r="L647">
        <v>8</v>
      </c>
      <c r="M647" s="2" t="s">
        <v>24</v>
      </c>
      <c r="N647" t="b">
        <v>1</v>
      </c>
      <c r="O647" t="b">
        <v>1</v>
      </c>
      <c r="P647" s="2"/>
      <c r="Q647" t="s">
        <v>21</v>
      </c>
      <c r="R647">
        <v>1</v>
      </c>
      <c r="S647">
        <v>2700</v>
      </c>
      <c r="T647" t="s">
        <v>710</v>
      </c>
      <c r="U647">
        <v>160</v>
      </c>
      <c r="V647" s="2">
        <v>0.47</v>
      </c>
      <c r="AE647"/>
      <c r="AZ647" s="2"/>
      <c r="BA647" s="7">
        <v>40</v>
      </c>
      <c r="BB647" t="s">
        <v>930</v>
      </c>
      <c r="BC647" t="s">
        <v>923</v>
      </c>
      <c r="BD647" t="s">
        <v>941</v>
      </c>
      <c r="BE647" t="str">
        <f>IF(OR(Table1[[#This Row],[ENGINE_CLASS]]="STEAM",Table1[[#This Row],[ENGINE_CLASS]]="ELECTRIC",Table1[[#This Row],[ENGINE_CLASS]]="DIESEL"),Table1[[#This Row],[ENGINE_CLASS]],"DISABLE")</f>
        <v>ELECTRIC</v>
      </c>
      <c r="BF647">
        <v>0</v>
      </c>
      <c r="BG647" t="s">
        <v>735</v>
      </c>
      <c r="BH647">
        <v>60</v>
      </c>
      <c r="BI647">
        <v>8</v>
      </c>
      <c r="BJ647">
        <v>43</v>
      </c>
      <c r="BK647">
        <v>0</v>
      </c>
      <c r="BL647" t="s">
        <v>693</v>
      </c>
      <c r="BM647" t="s">
        <v>695</v>
      </c>
      <c r="BN647" t="s">
        <v>702</v>
      </c>
      <c r="BO647" t="s">
        <v>706</v>
      </c>
      <c r="BP647" t="s">
        <v>707</v>
      </c>
      <c r="BQ647" t="s">
        <v>708</v>
      </c>
    </row>
    <row r="648" spans="1:69" x14ac:dyDescent="0.4">
      <c r="A648" s="2" t="s">
        <v>672</v>
      </c>
      <c r="B648" t="str">
        <f>_xlfn.TEXTAFTER(Table1[[#This Row],[VEHIDCODE]],"_")</f>
        <v>Russia_RZD_ES1_Lastochka</v>
      </c>
      <c r="C648" t="s">
        <v>745</v>
      </c>
      <c r="D648" t="str">
        <f>"item_"&amp;Table1[[#This Row],[VEHIDCODE]]</f>
        <v>item_emu_Russia_RZD_ES1_Lastochka</v>
      </c>
      <c r="E648" t="str">
        <f>"str_"&amp;Table1[[#This Row],[VEHIDCODE]]</f>
        <v>str_emu_Russia_RZD_ES1_Lastochka</v>
      </c>
      <c r="F648">
        <v>8</v>
      </c>
      <c r="G648" t="s">
        <v>18</v>
      </c>
      <c r="H648">
        <v>1</v>
      </c>
      <c r="I648" t="s">
        <v>74</v>
      </c>
      <c r="J648">
        <v>88</v>
      </c>
      <c r="K648">
        <v>2011</v>
      </c>
      <c r="L648">
        <v>8</v>
      </c>
      <c r="M648" s="2" t="s">
        <v>24</v>
      </c>
      <c r="N648" t="b">
        <v>1</v>
      </c>
      <c r="O648" t="b">
        <v>1</v>
      </c>
      <c r="P648" s="2"/>
      <c r="Q648" t="s">
        <v>21</v>
      </c>
      <c r="R648">
        <v>1</v>
      </c>
      <c r="S648">
        <v>3400</v>
      </c>
      <c r="T648" t="s">
        <v>710</v>
      </c>
      <c r="U648">
        <v>160</v>
      </c>
      <c r="V648" s="2">
        <v>0.54</v>
      </c>
      <c r="AE648"/>
      <c r="AZ648" s="2"/>
      <c r="BA648" s="7">
        <v>40</v>
      </c>
      <c r="BB648" t="s">
        <v>932</v>
      </c>
      <c r="BC648" t="s">
        <v>923</v>
      </c>
      <c r="BD648" t="s">
        <v>941</v>
      </c>
      <c r="BE648" t="str">
        <f>IF(OR(Table1[[#This Row],[ENGINE_CLASS]]="STEAM",Table1[[#This Row],[ENGINE_CLASS]]="ELECTRIC",Table1[[#This Row],[ENGINE_CLASS]]="DIESEL"),Table1[[#This Row],[ENGINE_CLASS]],"DISABLE")</f>
        <v>ELECTRIC</v>
      </c>
      <c r="BF648">
        <v>0</v>
      </c>
      <c r="BG648" t="s">
        <v>735</v>
      </c>
      <c r="BH648">
        <v>88</v>
      </c>
      <c r="BI648">
        <v>8</v>
      </c>
      <c r="BJ648">
        <v>56</v>
      </c>
      <c r="BK648">
        <v>0</v>
      </c>
      <c r="BL648" t="s">
        <v>693</v>
      </c>
      <c r="BM648" t="s">
        <v>695</v>
      </c>
      <c r="BN648" t="s">
        <v>702</v>
      </c>
      <c r="BO648" t="s">
        <v>706</v>
      </c>
      <c r="BP648" t="s">
        <v>707</v>
      </c>
      <c r="BQ648" t="s">
        <v>708</v>
      </c>
    </row>
    <row r="649" spans="1:69" x14ac:dyDescent="0.4">
      <c r="A649" s="2" t="s">
        <v>765</v>
      </c>
      <c r="B649" t="str">
        <f>_xlfn.TEXTAFTER(Table1[[#This Row],[VEHIDCODE]],"_")</f>
        <v>Metro_Wagon_Powered</v>
      </c>
      <c r="C649" t="s">
        <v>920</v>
      </c>
      <c r="D649" t="str">
        <f>"item_"&amp;Table1[[#This Row],[VEHIDCODE]]</f>
        <v>item_mtro_Metro_Wagon_Powered</v>
      </c>
      <c r="E649" t="str">
        <f>"str_"&amp;Table1[[#This Row],[VEHIDCODE]]</f>
        <v>str_mtro_Metro_Wagon_Powered</v>
      </c>
      <c r="F649">
        <v>8</v>
      </c>
      <c r="G649" t="s">
        <v>326</v>
      </c>
      <c r="H649">
        <v>0</v>
      </c>
      <c r="I649" t="s">
        <v>19</v>
      </c>
      <c r="J649">
        <v>1</v>
      </c>
      <c r="K649">
        <v>1900</v>
      </c>
      <c r="L649">
        <v>8</v>
      </c>
      <c r="M649" s="2" t="s">
        <v>20</v>
      </c>
      <c r="N649" t="b">
        <v>1</v>
      </c>
      <c r="P649" s="2"/>
      <c r="Q649" t="s">
        <v>21</v>
      </c>
      <c r="R649">
        <v>1</v>
      </c>
      <c r="S649">
        <v>0</v>
      </c>
      <c r="T649" t="s">
        <v>710</v>
      </c>
      <c r="U649">
        <v>0</v>
      </c>
      <c r="V649" s="2">
        <v>0.3</v>
      </c>
      <c r="AE649"/>
      <c r="AZ649" s="2"/>
      <c r="BA649" s="7">
        <v>60</v>
      </c>
      <c r="BB649" t="s">
        <v>937</v>
      </c>
      <c r="BC649" t="s">
        <v>923</v>
      </c>
      <c r="BD649" t="s">
        <v>941</v>
      </c>
      <c r="BE649" t="str">
        <f>IF(OR(Table1[[#This Row],[ENGINE_CLASS]]="STEAM",Table1[[#This Row],[ENGINE_CLASS]]="ELECTRIC",Table1[[#This Row],[ENGINE_CLASS]]="DIESEL"),Table1[[#This Row],[ENGINE_CLASS]],"DISABLE")</f>
        <v>DISABLE</v>
      </c>
      <c r="BF649">
        <v>0</v>
      </c>
      <c r="BG649" t="s">
        <v>735</v>
      </c>
      <c r="BI649"/>
      <c r="BJ649">
        <v>0</v>
      </c>
      <c r="BK649">
        <v>0</v>
      </c>
      <c r="BL649" t="s">
        <v>693</v>
      </c>
      <c r="BM649" t="s">
        <v>695</v>
      </c>
      <c r="BN649" t="s">
        <v>702</v>
      </c>
      <c r="BO649" t="s">
        <v>706</v>
      </c>
      <c r="BP649" t="s">
        <v>707</v>
      </c>
      <c r="BQ649" t="s">
        <v>708</v>
      </c>
    </row>
    <row r="650" spans="1:69" x14ac:dyDescent="0.4">
      <c r="A650" s="2" t="s">
        <v>764</v>
      </c>
      <c r="B650" t="str">
        <f>_xlfn.TEXTAFTER(Table1[[#This Row],[VEHIDCODE]],"_")</f>
        <v>Metro_Wagon_Unpowered</v>
      </c>
      <c r="C650" t="s">
        <v>920</v>
      </c>
      <c r="D650" t="str">
        <f>"item_"&amp;Table1[[#This Row],[VEHIDCODE]]</f>
        <v>item_mtro_Metro_Wagon_Unpowered</v>
      </c>
      <c r="E650" t="str">
        <f>"str_"&amp;Table1[[#This Row],[VEHIDCODE]]</f>
        <v>str_mtro_Metro_Wagon_Unpowered</v>
      </c>
      <c r="F650">
        <v>8</v>
      </c>
      <c r="G650" t="s">
        <v>326</v>
      </c>
      <c r="H650">
        <v>0</v>
      </c>
      <c r="I650" t="s">
        <v>19</v>
      </c>
      <c r="J650">
        <v>1</v>
      </c>
      <c r="K650">
        <v>1900</v>
      </c>
      <c r="L650">
        <v>8</v>
      </c>
      <c r="M650" s="2" t="s">
        <v>20</v>
      </c>
      <c r="N650" t="b">
        <v>1</v>
      </c>
      <c r="P650" s="2"/>
      <c r="Q650" t="s">
        <v>21</v>
      </c>
      <c r="R650">
        <v>1</v>
      </c>
      <c r="S650">
        <v>0</v>
      </c>
      <c r="T650" t="s">
        <v>710</v>
      </c>
      <c r="U650">
        <v>0</v>
      </c>
      <c r="V650" s="2">
        <v>0.3</v>
      </c>
      <c r="AE650"/>
      <c r="AZ650" s="2"/>
      <c r="BA650" s="7">
        <v>60</v>
      </c>
      <c r="BB650" t="s">
        <v>937</v>
      </c>
      <c r="BC650" t="s">
        <v>923</v>
      </c>
      <c r="BD650" t="s">
        <v>941</v>
      </c>
      <c r="BE650" t="str">
        <f>IF(OR(Table1[[#This Row],[ENGINE_CLASS]]="STEAM",Table1[[#This Row],[ENGINE_CLASS]]="ELECTRIC",Table1[[#This Row],[ENGINE_CLASS]]="DIESEL"),Table1[[#This Row],[ENGINE_CLASS]],"DISABLE")</f>
        <v>DISABLE</v>
      </c>
      <c r="BF650">
        <v>0</v>
      </c>
      <c r="BG650" t="s">
        <v>735</v>
      </c>
      <c r="BI650"/>
      <c r="BJ650">
        <v>0</v>
      </c>
      <c r="BK650">
        <v>0</v>
      </c>
      <c r="BL650" t="s">
        <v>693</v>
      </c>
      <c r="BM650" t="s">
        <v>695</v>
      </c>
      <c r="BN650" t="s">
        <v>702</v>
      </c>
      <c r="BO650" t="s">
        <v>706</v>
      </c>
      <c r="BP650" t="s">
        <v>707</v>
      </c>
      <c r="BQ650" t="s">
        <v>708</v>
      </c>
    </row>
    <row r="651" spans="1:69" x14ac:dyDescent="0.4">
      <c r="A651" s="2" t="s">
        <v>766</v>
      </c>
      <c r="B651" t="str">
        <f>_xlfn.TEXTAFTER(Table1[[#This Row],[VEHIDCODE]],"_")</f>
        <v>MU_Cargo_Wagon_Powered</v>
      </c>
      <c r="C651" t="s">
        <v>920</v>
      </c>
      <c r="D651" t="str">
        <f>"item_"&amp;Table1[[#This Row],[VEHIDCODE]]</f>
        <v>item_mu_MU_Cargo_Wagon_Powered</v>
      </c>
      <c r="E651" t="str">
        <f>"str_"&amp;Table1[[#This Row],[VEHIDCODE]]</f>
        <v>str_mu_MU_Cargo_Wagon_Powered</v>
      </c>
      <c r="F651">
        <v>8</v>
      </c>
      <c r="G651" t="s">
        <v>533</v>
      </c>
      <c r="H651">
        <v>0</v>
      </c>
      <c r="I651" t="s">
        <v>35</v>
      </c>
      <c r="J651">
        <v>1</v>
      </c>
      <c r="K651">
        <v>1992</v>
      </c>
      <c r="L651">
        <v>8</v>
      </c>
      <c r="M651" s="2" t="s">
        <v>20</v>
      </c>
      <c r="N651" t="b">
        <v>1</v>
      </c>
      <c r="P651" s="2"/>
      <c r="Q651" t="s">
        <v>21</v>
      </c>
      <c r="R651">
        <v>0</v>
      </c>
      <c r="S651">
        <v>0</v>
      </c>
      <c r="T651" t="s">
        <v>712</v>
      </c>
      <c r="U651">
        <v>0</v>
      </c>
      <c r="V651" s="2">
        <v>0.3</v>
      </c>
      <c r="AE651" t="b">
        <v>1</v>
      </c>
      <c r="AZ651" s="2"/>
      <c r="BA651" s="7">
        <v>60</v>
      </c>
      <c r="BB651" t="s">
        <v>937</v>
      </c>
      <c r="BC651" t="s">
        <v>923</v>
      </c>
      <c r="BD651" t="s">
        <v>941</v>
      </c>
      <c r="BE651" t="str">
        <f>IF(OR(Table1[[#This Row],[ENGINE_CLASS]]="STEAM",Table1[[#This Row],[ENGINE_CLASS]]="ELECTRIC",Table1[[#This Row],[ENGINE_CLASS]]="DIESEL"),Table1[[#This Row],[ENGINE_CLASS]],"DISABLE")</f>
        <v>DIESEL</v>
      </c>
      <c r="BF651">
        <v>0</v>
      </c>
      <c r="BG651" t="s">
        <v>735</v>
      </c>
      <c r="BI651"/>
      <c r="BJ651">
        <v>0</v>
      </c>
      <c r="BK651">
        <v>0</v>
      </c>
      <c r="BL651" t="s">
        <v>693</v>
      </c>
      <c r="BM651" t="s">
        <v>695</v>
      </c>
      <c r="BN651" t="s">
        <v>702</v>
      </c>
      <c r="BO651" t="s">
        <v>706</v>
      </c>
      <c r="BP651" t="s">
        <v>707</v>
      </c>
      <c r="BQ651" t="s">
        <v>708</v>
      </c>
    </row>
    <row r="652" spans="1:69" x14ac:dyDescent="0.4">
      <c r="A652" s="2" t="s">
        <v>767</v>
      </c>
      <c r="B652" t="str">
        <f>_xlfn.TEXTAFTER(Table1[[#This Row],[VEHIDCODE]],"_")</f>
        <v>MU_Cargo_Wagon_Unpowered</v>
      </c>
      <c r="C652" t="s">
        <v>920</v>
      </c>
      <c r="D652" t="str">
        <f>"item_"&amp;Table1[[#This Row],[VEHIDCODE]]</f>
        <v>item_mu_MU_Cargo_Wagon_Unpowered</v>
      </c>
      <c r="E652" t="str">
        <f>"str_"&amp;Table1[[#This Row],[VEHIDCODE]]</f>
        <v>str_mu_MU_Cargo_Wagon_Unpowered</v>
      </c>
      <c r="F652">
        <v>8</v>
      </c>
      <c r="G652" t="s">
        <v>533</v>
      </c>
      <c r="H652">
        <v>0</v>
      </c>
      <c r="I652" t="s">
        <v>35</v>
      </c>
      <c r="J652">
        <v>1</v>
      </c>
      <c r="K652">
        <v>1992</v>
      </c>
      <c r="L652">
        <v>8</v>
      </c>
      <c r="M652" s="2" t="s">
        <v>20</v>
      </c>
      <c r="N652" t="b">
        <v>1</v>
      </c>
      <c r="P652" s="2"/>
      <c r="Q652" t="s">
        <v>21</v>
      </c>
      <c r="R652">
        <v>0</v>
      </c>
      <c r="S652">
        <v>0</v>
      </c>
      <c r="T652" t="s">
        <v>712</v>
      </c>
      <c r="U652">
        <v>0</v>
      </c>
      <c r="V652" s="2">
        <v>0.3</v>
      </c>
      <c r="AE652" t="b">
        <v>1</v>
      </c>
      <c r="AZ652" s="2"/>
      <c r="BA652" s="7">
        <v>60</v>
      </c>
      <c r="BB652" t="s">
        <v>937</v>
      </c>
      <c r="BC652" t="s">
        <v>923</v>
      </c>
      <c r="BD652" t="s">
        <v>941</v>
      </c>
      <c r="BE652" t="str">
        <f>IF(OR(Table1[[#This Row],[ENGINE_CLASS]]="STEAM",Table1[[#This Row],[ENGINE_CLASS]]="ELECTRIC",Table1[[#This Row],[ENGINE_CLASS]]="DIESEL"),Table1[[#This Row],[ENGINE_CLASS]],"DISABLE")</f>
        <v>DIESEL</v>
      </c>
      <c r="BF652">
        <v>0</v>
      </c>
      <c r="BG652" t="s">
        <v>735</v>
      </c>
      <c r="BI652"/>
      <c r="BJ652">
        <v>0</v>
      </c>
      <c r="BK652">
        <v>0</v>
      </c>
      <c r="BL652" t="s">
        <v>693</v>
      </c>
      <c r="BM652" t="s">
        <v>695</v>
      </c>
      <c r="BN652" t="s">
        <v>702</v>
      </c>
      <c r="BO652" t="s">
        <v>706</v>
      </c>
      <c r="BP652" t="s">
        <v>707</v>
      </c>
      <c r="BQ652" t="s">
        <v>708</v>
      </c>
    </row>
    <row r="653" spans="1:69" x14ac:dyDescent="0.4">
      <c r="A653" s="2" t="s">
        <v>768</v>
      </c>
      <c r="B653" t="str">
        <f>_xlfn.TEXTAFTER(Table1[[#This Row],[VEHIDCODE]],"_")</f>
        <v>MU_Wagon_Powered</v>
      </c>
      <c r="C653" t="s">
        <v>920</v>
      </c>
      <c r="D653" t="str">
        <f>"item_"&amp;Table1[[#This Row],[VEHIDCODE]]</f>
        <v>item_mu_MU_Wagon_Powered</v>
      </c>
      <c r="E653" t="str">
        <f>"str_"&amp;Table1[[#This Row],[VEHIDCODE]]</f>
        <v>str_mu_MU_Wagon_Powered</v>
      </c>
      <c r="F653">
        <v>8</v>
      </c>
      <c r="G653" t="s">
        <v>18</v>
      </c>
      <c r="H653">
        <v>0</v>
      </c>
      <c r="I653" t="s">
        <v>35</v>
      </c>
      <c r="J653">
        <v>1</v>
      </c>
      <c r="K653">
        <v>1908</v>
      </c>
      <c r="L653">
        <v>8</v>
      </c>
      <c r="M653" s="2" t="s">
        <v>20</v>
      </c>
      <c r="N653" t="b">
        <v>1</v>
      </c>
      <c r="P653" s="2"/>
      <c r="Q653" t="s">
        <v>21</v>
      </c>
      <c r="R653">
        <v>1</v>
      </c>
      <c r="S653">
        <v>0</v>
      </c>
      <c r="T653" t="s">
        <v>712</v>
      </c>
      <c r="U653">
        <v>0</v>
      </c>
      <c r="V653" s="2">
        <v>0.3</v>
      </c>
      <c r="AE653" t="b">
        <v>1</v>
      </c>
      <c r="AZ653" s="2"/>
      <c r="BA653" s="7">
        <v>60</v>
      </c>
      <c r="BB653" t="s">
        <v>937</v>
      </c>
      <c r="BC653" t="s">
        <v>923</v>
      </c>
      <c r="BD653" t="s">
        <v>941</v>
      </c>
      <c r="BE653" t="str">
        <f>IF(OR(Table1[[#This Row],[ENGINE_CLASS]]="STEAM",Table1[[#This Row],[ENGINE_CLASS]]="ELECTRIC",Table1[[#This Row],[ENGINE_CLASS]]="DIESEL"),Table1[[#This Row],[ENGINE_CLASS]],"DISABLE")</f>
        <v>DIESEL</v>
      </c>
      <c r="BF653">
        <v>0</v>
      </c>
      <c r="BG653" t="s">
        <v>735</v>
      </c>
      <c r="BI653"/>
      <c r="BJ653">
        <v>0</v>
      </c>
      <c r="BK653">
        <v>0</v>
      </c>
      <c r="BL653" t="s">
        <v>693</v>
      </c>
      <c r="BM653" t="s">
        <v>695</v>
      </c>
      <c r="BN653" t="s">
        <v>702</v>
      </c>
      <c r="BO653" t="s">
        <v>706</v>
      </c>
      <c r="BP653" t="s">
        <v>707</v>
      </c>
      <c r="BQ653" t="s">
        <v>708</v>
      </c>
    </row>
    <row r="654" spans="1:69" x14ac:dyDescent="0.4">
      <c r="A654" s="2" t="s">
        <v>769</v>
      </c>
      <c r="B654" t="str">
        <f>_xlfn.TEXTAFTER(Table1[[#This Row],[VEHIDCODE]],"_")</f>
        <v>MU_Wagon_Unpowered</v>
      </c>
      <c r="C654" t="s">
        <v>920</v>
      </c>
      <c r="D654" t="str">
        <f>"item_"&amp;Table1[[#This Row],[VEHIDCODE]]</f>
        <v>item_mu_MU_Wagon_Unpowered</v>
      </c>
      <c r="E654" t="str">
        <f>"str_"&amp;Table1[[#This Row],[VEHIDCODE]]</f>
        <v>str_mu_MU_Wagon_Unpowered</v>
      </c>
      <c r="F654">
        <v>8</v>
      </c>
      <c r="G654" t="s">
        <v>18</v>
      </c>
      <c r="H654">
        <v>0</v>
      </c>
      <c r="I654" t="s">
        <v>35</v>
      </c>
      <c r="J654">
        <v>1</v>
      </c>
      <c r="K654">
        <v>1908</v>
      </c>
      <c r="L654">
        <v>8</v>
      </c>
      <c r="M654" s="2" t="s">
        <v>20</v>
      </c>
      <c r="N654" t="b">
        <v>1</v>
      </c>
      <c r="P654" s="2"/>
      <c r="Q654" t="s">
        <v>21</v>
      </c>
      <c r="R654">
        <v>1</v>
      </c>
      <c r="S654">
        <v>0</v>
      </c>
      <c r="T654" t="s">
        <v>712</v>
      </c>
      <c r="U654">
        <v>0</v>
      </c>
      <c r="V654" s="2">
        <v>0.3</v>
      </c>
      <c r="AE654" t="b">
        <v>1</v>
      </c>
      <c r="AZ654" s="2"/>
      <c r="BA654" s="7">
        <v>60</v>
      </c>
      <c r="BB654" t="s">
        <v>937</v>
      </c>
      <c r="BC654" t="s">
        <v>923</v>
      </c>
      <c r="BD654" t="s">
        <v>941</v>
      </c>
      <c r="BE654" t="str">
        <f>IF(OR(Table1[[#This Row],[ENGINE_CLASS]]="STEAM",Table1[[#This Row],[ENGINE_CLASS]]="ELECTRIC",Table1[[#This Row],[ENGINE_CLASS]]="DIESEL"),Table1[[#This Row],[ENGINE_CLASS]],"DISABLE")</f>
        <v>DIESEL</v>
      </c>
      <c r="BF654">
        <v>0</v>
      </c>
      <c r="BG654" t="s">
        <v>735</v>
      </c>
      <c r="BI654"/>
      <c r="BJ654">
        <v>0</v>
      </c>
      <c r="BK654">
        <v>0</v>
      </c>
      <c r="BL654" t="s">
        <v>693</v>
      </c>
      <c r="BM654" t="s">
        <v>695</v>
      </c>
      <c r="BN654" t="s">
        <v>702</v>
      </c>
      <c r="BO654" t="s">
        <v>706</v>
      </c>
      <c r="BP654" t="s">
        <v>707</v>
      </c>
      <c r="BQ654" t="s">
        <v>708</v>
      </c>
    </row>
    <row r="655" spans="1:69" x14ac:dyDescent="0.4">
      <c r="A655" s="2" t="s">
        <v>771</v>
      </c>
      <c r="B655" t="str">
        <f>_xlfn.TEXTAFTER(Table1[[#This Row],[VEHIDCODE]],"_")</f>
        <v>Wagon_Gen1_Flat_Wagon</v>
      </c>
      <c r="C655" t="s">
        <v>749</v>
      </c>
      <c r="D655" t="str">
        <f>"item_"&amp;Table1[[#This Row],[VEHIDCODE]]</f>
        <v>item_mu_Wagon_Gen1_Flat_Wagon</v>
      </c>
      <c r="E655" t="str">
        <f>"str_"&amp;Table1[[#This Row],[VEHIDCODE]]</f>
        <v>str_mu_Wagon_Gen1_Flat_Wagon</v>
      </c>
      <c r="F655">
        <v>4</v>
      </c>
      <c r="G655" t="s">
        <v>604</v>
      </c>
      <c r="H655">
        <v>0</v>
      </c>
      <c r="I655" t="s">
        <v>35</v>
      </c>
      <c r="J655">
        <v>20</v>
      </c>
      <c r="K655">
        <v>1830</v>
      </c>
      <c r="L655">
        <v>4</v>
      </c>
      <c r="M655" s="2" t="s">
        <v>33</v>
      </c>
      <c r="N655" t="b">
        <v>1</v>
      </c>
      <c r="P655" s="2" t="b">
        <v>1</v>
      </c>
      <c r="Q655">
        <v>90</v>
      </c>
      <c r="R655">
        <v>0</v>
      </c>
      <c r="S655">
        <v>0</v>
      </c>
      <c r="T655" t="s">
        <v>712</v>
      </c>
      <c r="U655">
        <v>55</v>
      </c>
      <c r="V655" s="2">
        <v>0.3</v>
      </c>
      <c r="AE655" t="b">
        <v>1</v>
      </c>
      <c r="AZ655" s="2"/>
      <c r="BA655" s="7">
        <v>25</v>
      </c>
      <c r="BB655" t="s">
        <v>937</v>
      </c>
      <c r="BC655" t="s">
        <v>923</v>
      </c>
      <c r="BD655" t="s">
        <v>941</v>
      </c>
      <c r="BE655" t="str">
        <f>IF(OR(Table1[[#This Row],[ENGINE_CLASS]]="STEAM",Table1[[#This Row],[ENGINE_CLASS]]="ELECTRIC",Table1[[#This Row],[ENGINE_CLASS]]="DIESEL"),Table1[[#This Row],[ENGINE_CLASS]],"DISABLE")</f>
        <v>DIESEL</v>
      </c>
      <c r="BF655">
        <v>0</v>
      </c>
      <c r="BG655" t="s">
        <v>735</v>
      </c>
      <c r="BI655"/>
      <c r="BJ655">
        <v>5</v>
      </c>
      <c r="BK655">
        <v>0</v>
      </c>
      <c r="BL655" t="s">
        <v>693</v>
      </c>
      <c r="BM655" t="s">
        <v>695</v>
      </c>
      <c r="BN655" t="s">
        <v>702</v>
      </c>
      <c r="BO655" t="s">
        <v>706</v>
      </c>
      <c r="BP655" t="s">
        <v>707</v>
      </c>
      <c r="BQ655" t="s">
        <v>708</v>
      </c>
    </row>
    <row r="656" spans="1:69" x14ac:dyDescent="0.4">
      <c r="A656" s="2" t="s">
        <v>772</v>
      </c>
      <c r="B656" t="str">
        <f>_xlfn.TEXTAFTER(Table1[[#This Row],[VEHIDCODE]],"_")</f>
        <v>Wagon_Gen1_Boxcar</v>
      </c>
      <c r="C656" t="s">
        <v>749</v>
      </c>
      <c r="D656" t="str">
        <f>"item_"&amp;Table1[[#This Row],[VEHIDCODE]]</f>
        <v>item_mu_Wagon_Gen1_Boxcar</v>
      </c>
      <c r="E656" t="str">
        <f>"str_"&amp;Table1[[#This Row],[VEHIDCODE]]</f>
        <v>str_mu_Wagon_Gen1_Boxcar</v>
      </c>
      <c r="F656">
        <v>4</v>
      </c>
      <c r="G656" t="s">
        <v>600</v>
      </c>
      <c r="H656">
        <v>0</v>
      </c>
      <c r="I656" t="s">
        <v>35</v>
      </c>
      <c r="J656">
        <v>20</v>
      </c>
      <c r="K656">
        <v>1830</v>
      </c>
      <c r="L656">
        <v>4</v>
      </c>
      <c r="M656" s="2" t="s">
        <v>33</v>
      </c>
      <c r="N656" t="b">
        <v>1</v>
      </c>
      <c r="P656" s="2" t="b">
        <v>1</v>
      </c>
      <c r="Q656">
        <v>90</v>
      </c>
      <c r="R656">
        <v>0</v>
      </c>
      <c r="S656">
        <v>0</v>
      </c>
      <c r="T656" t="s">
        <v>712</v>
      </c>
      <c r="U656">
        <v>55</v>
      </c>
      <c r="V656" s="2">
        <v>0.3</v>
      </c>
      <c r="AE656" t="b">
        <v>1</v>
      </c>
      <c r="AZ656" s="2"/>
      <c r="BA656" s="7">
        <v>25</v>
      </c>
      <c r="BB656" t="s">
        <v>937</v>
      </c>
      <c r="BC656" t="s">
        <v>923</v>
      </c>
      <c r="BD656" t="s">
        <v>941</v>
      </c>
      <c r="BE656" t="str">
        <f>IF(OR(Table1[[#This Row],[ENGINE_CLASS]]="STEAM",Table1[[#This Row],[ENGINE_CLASS]]="ELECTRIC",Table1[[#This Row],[ENGINE_CLASS]]="DIESEL"),Table1[[#This Row],[ENGINE_CLASS]],"DISABLE")</f>
        <v>DIESEL</v>
      </c>
      <c r="BF656">
        <v>0</v>
      </c>
      <c r="BG656" t="s">
        <v>735</v>
      </c>
      <c r="BI656"/>
      <c r="BJ656">
        <v>6</v>
      </c>
      <c r="BK656">
        <v>0</v>
      </c>
      <c r="BL656" t="s">
        <v>693</v>
      </c>
      <c r="BM656" t="s">
        <v>695</v>
      </c>
      <c r="BN656" t="s">
        <v>702</v>
      </c>
      <c r="BO656" t="s">
        <v>706</v>
      </c>
      <c r="BP656" t="s">
        <v>707</v>
      </c>
      <c r="BQ656" t="s">
        <v>708</v>
      </c>
    </row>
    <row r="657" spans="1:69" x14ac:dyDescent="0.4">
      <c r="A657" s="2" t="s">
        <v>773</v>
      </c>
      <c r="B657" t="str">
        <f>_xlfn.TEXTAFTER(Table1[[#This Row],[VEHIDCODE]],"_")</f>
        <v>Wagon_Gen1_Tanker</v>
      </c>
      <c r="C657" t="s">
        <v>749</v>
      </c>
      <c r="D657" t="str">
        <f>"item_"&amp;Table1[[#This Row],[VEHIDCODE]]</f>
        <v>item_mu_Wagon_Gen1_Tanker</v>
      </c>
      <c r="E657" t="str">
        <f>"str_"&amp;Table1[[#This Row],[VEHIDCODE]]</f>
        <v>str_mu_Wagon_Gen1_Tanker</v>
      </c>
      <c r="F657">
        <v>4</v>
      </c>
      <c r="G657" t="s">
        <v>610</v>
      </c>
      <c r="H657">
        <v>0</v>
      </c>
      <c r="I657" t="s">
        <v>35</v>
      </c>
      <c r="J657">
        <v>10</v>
      </c>
      <c r="K657">
        <v>1830</v>
      </c>
      <c r="L657">
        <v>4</v>
      </c>
      <c r="M657" s="2" t="s">
        <v>33</v>
      </c>
      <c r="N657" t="b">
        <v>1</v>
      </c>
      <c r="P657" s="2" t="b">
        <v>1</v>
      </c>
      <c r="Q657">
        <v>90</v>
      </c>
      <c r="R657">
        <v>0</v>
      </c>
      <c r="S657">
        <v>0</v>
      </c>
      <c r="T657" t="s">
        <v>712</v>
      </c>
      <c r="U657">
        <v>55</v>
      </c>
      <c r="V657" s="2">
        <v>0.3</v>
      </c>
      <c r="AE657" t="b">
        <v>1</v>
      </c>
      <c r="AZ657" s="2"/>
      <c r="BA657" s="7">
        <v>25</v>
      </c>
      <c r="BB657" t="s">
        <v>937</v>
      </c>
      <c r="BC657" t="s">
        <v>923</v>
      </c>
      <c r="BD657" t="s">
        <v>941</v>
      </c>
      <c r="BE657" t="str">
        <f>IF(OR(Table1[[#This Row],[ENGINE_CLASS]]="STEAM",Table1[[#This Row],[ENGINE_CLASS]]="ELECTRIC",Table1[[#This Row],[ENGINE_CLASS]]="DIESEL"),Table1[[#This Row],[ENGINE_CLASS]],"DISABLE")</f>
        <v>DIESEL</v>
      </c>
      <c r="BF657">
        <v>0</v>
      </c>
      <c r="BG657" t="s">
        <v>735</v>
      </c>
      <c r="BI657"/>
      <c r="BJ657">
        <v>7</v>
      </c>
      <c r="BK657">
        <v>0</v>
      </c>
      <c r="BL657" t="s">
        <v>693</v>
      </c>
      <c r="BM657" t="s">
        <v>695</v>
      </c>
      <c r="BN657" t="s">
        <v>702</v>
      </c>
      <c r="BO657" t="s">
        <v>706</v>
      </c>
      <c r="BP657" t="s">
        <v>707</v>
      </c>
      <c r="BQ657" t="s">
        <v>708</v>
      </c>
    </row>
    <row r="658" spans="1:69" x14ac:dyDescent="0.4">
      <c r="A658" s="2" t="s">
        <v>774</v>
      </c>
      <c r="B658" t="str">
        <f>_xlfn.TEXTAFTER(Table1[[#This Row],[VEHIDCODE]],"_")</f>
        <v>Wagon_Gen1_Open_Wagon</v>
      </c>
      <c r="C658" t="s">
        <v>749</v>
      </c>
      <c r="D658" t="str">
        <f>"item_"&amp;Table1[[#This Row],[VEHIDCODE]]</f>
        <v>item_mu_Wagon_Gen1_Open_Wagon</v>
      </c>
      <c r="E658" t="str">
        <f>"str_"&amp;Table1[[#This Row],[VEHIDCODE]]</f>
        <v>str_mu_Wagon_Gen1_Open_Wagon</v>
      </c>
      <c r="F658">
        <v>4</v>
      </c>
      <c r="G658" t="s">
        <v>673</v>
      </c>
      <c r="H658">
        <v>0</v>
      </c>
      <c r="I658" t="s">
        <v>35</v>
      </c>
      <c r="J658">
        <v>18</v>
      </c>
      <c r="K658">
        <v>1830</v>
      </c>
      <c r="L658">
        <v>4</v>
      </c>
      <c r="M658" s="2" t="s">
        <v>33</v>
      </c>
      <c r="N658" t="b">
        <v>1</v>
      </c>
      <c r="P658" s="2" t="b">
        <v>1</v>
      </c>
      <c r="Q658">
        <v>90</v>
      </c>
      <c r="R658">
        <v>0</v>
      </c>
      <c r="S658">
        <v>0</v>
      </c>
      <c r="T658" t="s">
        <v>712</v>
      </c>
      <c r="U658">
        <v>55</v>
      </c>
      <c r="V658" s="2">
        <v>0.3</v>
      </c>
      <c r="AE658" t="b">
        <v>1</v>
      </c>
      <c r="AZ658" s="2"/>
      <c r="BA658" s="7">
        <v>25</v>
      </c>
      <c r="BB658" t="s">
        <v>937</v>
      </c>
      <c r="BC658" t="s">
        <v>923</v>
      </c>
      <c r="BD658" t="s">
        <v>941</v>
      </c>
      <c r="BE658" t="str">
        <f>IF(OR(Table1[[#This Row],[ENGINE_CLASS]]="STEAM",Table1[[#This Row],[ENGINE_CLASS]]="ELECTRIC",Table1[[#This Row],[ENGINE_CLASS]]="DIESEL"),Table1[[#This Row],[ENGINE_CLASS]],"DISABLE")</f>
        <v>DIESEL</v>
      </c>
      <c r="BF658">
        <v>0</v>
      </c>
      <c r="BG658" t="s">
        <v>735</v>
      </c>
      <c r="BI658"/>
      <c r="BJ658">
        <v>6</v>
      </c>
      <c r="BK658">
        <v>0</v>
      </c>
      <c r="BL658" t="s">
        <v>693</v>
      </c>
      <c r="BM658" t="s">
        <v>695</v>
      </c>
      <c r="BN658" t="s">
        <v>702</v>
      </c>
      <c r="BO658" t="s">
        <v>706</v>
      </c>
      <c r="BP658" t="s">
        <v>707</v>
      </c>
      <c r="BQ658" t="s">
        <v>708</v>
      </c>
    </row>
    <row r="659" spans="1:69" x14ac:dyDescent="0.4">
      <c r="A659" s="2" t="s">
        <v>846</v>
      </c>
      <c r="B659" t="str">
        <f>_xlfn.TEXTAFTER(Table1[[#This Row],[VEHIDCODE]],"_")</f>
        <v>Wagon_Gen2_Flat_Wagon</v>
      </c>
      <c r="C659" t="s">
        <v>750</v>
      </c>
      <c r="D659" t="str">
        <f>"item_"&amp;Table1[[#This Row],[VEHIDCODE]]</f>
        <v>item_mu_Wagon_Gen2_Flat_Wagon</v>
      </c>
      <c r="E659" t="str">
        <f>"str_"&amp;Table1[[#This Row],[VEHIDCODE]]</f>
        <v>str_mu_Wagon_Gen2_Flat_Wagon</v>
      </c>
      <c r="F659">
        <v>5</v>
      </c>
      <c r="G659" t="s">
        <v>604</v>
      </c>
      <c r="H659">
        <v>0</v>
      </c>
      <c r="I659" t="s">
        <v>35</v>
      </c>
      <c r="J659">
        <v>30</v>
      </c>
      <c r="K659">
        <v>1900</v>
      </c>
      <c r="L659">
        <v>5</v>
      </c>
      <c r="M659" s="2" t="s">
        <v>33</v>
      </c>
      <c r="N659" t="b">
        <v>1</v>
      </c>
      <c r="P659" s="2" t="b">
        <v>1</v>
      </c>
      <c r="Q659">
        <v>50</v>
      </c>
      <c r="R659">
        <v>0</v>
      </c>
      <c r="S659">
        <v>0</v>
      </c>
      <c r="T659" t="s">
        <v>712</v>
      </c>
      <c r="U659">
        <v>70</v>
      </c>
      <c r="V659" s="2">
        <v>0.3</v>
      </c>
      <c r="AE659" t="b">
        <v>1</v>
      </c>
      <c r="AZ659" s="2"/>
      <c r="BA659" s="7">
        <v>25</v>
      </c>
      <c r="BB659" t="s">
        <v>937</v>
      </c>
      <c r="BC659" t="s">
        <v>923</v>
      </c>
      <c r="BD659" t="s">
        <v>941</v>
      </c>
      <c r="BE659" t="str">
        <f>IF(OR(Table1[[#This Row],[ENGINE_CLASS]]="STEAM",Table1[[#This Row],[ENGINE_CLASS]]="ELECTRIC",Table1[[#This Row],[ENGINE_CLASS]]="DIESEL"),Table1[[#This Row],[ENGINE_CLASS]],"DISABLE")</f>
        <v>DIESEL</v>
      </c>
      <c r="BF659">
        <v>0</v>
      </c>
      <c r="BG659" t="s">
        <v>735</v>
      </c>
      <c r="BI659"/>
      <c r="BJ659">
        <v>11</v>
      </c>
      <c r="BK659">
        <v>0</v>
      </c>
      <c r="BL659" t="s">
        <v>693</v>
      </c>
      <c r="BM659" t="s">
        <v>695</v>
      </c>
      <c r="BN659" t="s">
        <v>702</v>
      </c>
      <c r="BO659" t="s">
        <v>706</v>
      </c>
      <c r="BP659" t="s">
        <v>707</v>
      </c>
      <c r="BQ659" t="s">
        <v>708</v>
      </c>
    </row>
    <row r="660" spans="1:69" x14ac:dyDescent="0.4">
      <c r="A660" s="2" t="s">
        <v>847</v>
      </c>
      <c r="B660" t="str">
        <f>_xlfn.TEXTAFTER(Table1[[#This Row],[VEHIDCODE]],"_")</f>
        <v>Wagon_Gen2_Boxcar_Type1</v>
      </c>
      <c r="C660" t="s">
        <v>750</v>
      </c>
      <c r="D660" t="str">
        <f>"item_"&amp;Table1[[#This Row],[VEHIDCODE]]</f>
        <v>item_mu_Wagon_Gen2_Boxcar_Type1</v>
      </c>
      <c r="E660" t="str">
        <f>"str_"&amp;Table1[[#This Row],[VEHIDCODE]]</f>
        <v>str_mu_Wagon_Gen2_Boxcar_Type1</v>
      </c>
      <c r="F660">
        <v>5</v>
      </c>
      <c r="G660" t="s">
        <v>600</v>
      </c>
      <c r="H660">
        <v>0</v>
      </c>
      <c r="I660" t="s">
        <v>35</v>
      </c>
      <c r="J660">
        <v>25</v>
      </c>
      <c r="K660">
        <v>1890</v>
      </c>
      <c r="L660">
        <v>5</v>
      </c>
      <c r="M660" s="2" t="s">
        <v>33</v>
      </c>
      <c r="N660" t="b">
        <v>1</v>
      </c>
      <c r="P660" s="2" t="b">
        <v>1</v>
      </c>
      <c r="Q660">
        <v>60</v>
      </c>
      <c r="R660">
        <v>0</v>
      </c>
      <c r="S660">
        <v>0</v>
      </c>
      <c r="T660" t="s">
        <v>712</v>
      </c>
      <c r="U660">
        <v>90</v>
      </c>
      <c r="V660" s="2">
        <v>0.3</v>
      </c>
      <c r="AE660" t="b">
        <v>1</v>
      </c>
      <c r="AZ660" s="2"/>
      <c r="BA660" s="7">
        <v>25</v>
      </c>
      <c r="BB660" t="s">
        <v>934</v>
      </c>
      <c r="BC660" t="s">
        <v>923</v>
      </c>
      <c r="BD660" t="s">
        <v>941</v>
      </c>
      <c r="BE660" t="str">
        <f>IF(OR(Table1[[#This Row],[ENGINE_CLASS]]="STEAM",Table1[[#This Row],[ENGINE_CLASS]]="ELECTRIC",Table1[[#This Row],[ENGINE_CLASS]]="DIESEL"),Table1[[#This Row],[ENGINE_CLASS]],"DISABLE")</f>
        <v>DIESEL</v>
      </c>
      <c r="BF660">
        <v>0</v>
      </c>
      <c r="BG660" t="s">
        <v>735</v>
      </c>
      <c r="BI660"/>
      <c r="BJ660">
        <v>12</v>
      </c>
      <c r="BK660">
        <v>0</v>
      </c>
      <c r="BL660" t="s">
        <v>693</v>
      </c>
      <c r="BM660" t="s">
        <v>695</v>
      </c>
      <c r="BN660" t="s">
        <v>702</v>
      </c>
      <c r="BO660" t="s">
        <v>706</v>
      </c>
      <c r="BP660" t="s">
        <v>707</v>
      </c>
      <c r="BQ660" t="s">
        <v>708</v>
      </c>
    </row>
    <row r="661" spans="1:69" x14ac:dyDescent="0.4">
      <c r="A661" s="2" t="s">
        <v>848</v>
      </c>
      <c r="B661" t="str">
        <f>_xlfn.TEXTAFTER(Table1[[#This Row],[VEHIDCODE]],"_")</f>
        <v>Wagon_Gen2_Boxcar_Type2</v>
      </c>
      <c r="C661" t="s">
        <v>750</v>
      </c>
      <c r="D661" t="str">
        <f>"item_"&amp;Table1[[#This Row],[VEHIDCODE]]</f>
        <v>item_mu_Wagon_Gen2_Boxcar_Type2</v>
      </c>
      <c r="E661" t="str">
        <f>"str_"&amp;Table1[[#This Row],[VEHIDCODE]]</f>
        <v>str_mu_Wagon_Gen2_Boxcar_Type2</v>
      </c>
      <c r="F661">
        <v>5</v>
      </c>
      <c r="G661" t="s">
        <v>600</v>
      </c>
      <c r="H661">
        <v>0</v>
      </c>
      <c r="I661" t="s">
        <v>35</v>
      </c>
      <c r="J661">
        <v>25</v>
      </c>
      <c r="K661">
        <v>1890</v>
      </c>
      <c r="L661">
        <v>5</v>
      </c>
      <c r="M661" s="2" t="s">
        <v>33</v>
      </c>
      <c r="N661" t="b">
        <v>1</v>
      </c>
      <c r="P661" s="2" t="b">
        <v>1</v>
      </c>
      <c r="Q661">
        <v>60</v>
      </c>
      <c r="R661">
        <v>0</v>
      </c>
      <c r="S661">
        <v>0</v>
      </c>
      <c r="T661" t="s">
        <v>712</v>
      </c>
      <c r="U661">
        <v>90</v>
      </c>
      <c r="V661" s="2">
        <v>0.3</v>
      </c>
      <c r="AE661" t="b">
        <v>1</v>
      </c>
      <c r="AZ661" s="2"/>
      <c r="BA661" s="7">
        <v>25</v>
      </c>
      <c r="BB661" t="s">
        <v>935</v>
      </c>
      <c r="BC661" t="s">
        <v>923</v>
      </c>
      <c r="BD661" t="s">
        <v>941</v>
      </c>
      <c r="BE661" t="str">
        <f>IF(OR(Table1[[#This Row],[ENGINE_CLASS]]="STEAM",Table1[[#This Row],[ENGINE_CLASS]]="ELECTRIC",Table1[[#This Row],[ENGINE_CLASS]]="DIESEL"),Table1[[#This Row],[ENGINE_CLASS]],"DISABLE")</f>
        <v>DIESEL</v>
      </c>
      <c r="BF661">
        <v>0</v>
      </c>
      <c r="BG661" t="s">
        <v>735</v>
      </c>
      <c r="BI661"/>
      <c r="BJ661">
        <v>12</v>
      </c>
      <c r="BK661">
        <v>0</v>
      </c>
      <c r="BL661" t="s">
        <v>693</v>
      </c>
      <c r="BM661" t="s">
        <v>695</v>
      </c>
      <c r="BN661" t="s">
        <v>702</v>
      </c>
      <c r="BO661" t="s">
        <v>706</v>
      </c>
      <c r="BP661" t="s">
        <v>707</v>
      </c>
      <c r="BQ661" t="s">
        <v>708</v>
      </c>
    </row>
    <row r="662" spans="1:69" x14ac:dyDescent="0.4">
      <c r="A662" s="2" t="s">
        <v>849</v>
      </c>
      <c r="B662" t="str">
        <f>_xlfn.TEXTAFTER(Table1[[#This Row],[VEHIDCODE]],"_")</f>
        <v>Wagon_Gen2_Tanker</v>
      </c>
      <c r="C662" t="s">
        <v>750</v>
      </c>
      <c r="D662" t="str">
        <f>"item_"&amp;Table1[[#This Row],[VEHIDCODE]]</f>
        <v>item_mu_Wagon_Gen2_Tanker</v>
      </c>
      <c r="E662" t="str">
        <f>"str_"&amp;Table1[[#This Row],[VEHIDCODE]]</f>
        <v>str_mu_Wagon_Gen2_Tanker</v>
      </c>
      <c r="F662">
        <v>5</v>
      </c>
      <c r="G662" t="s">
        <v>610</v>
      </c>
      <c r="H662">
        <v>0</v>
      </c>
      <c r="I662" t="s">
        <v>35</v>
      </c>
      <c r="J662">
        <v>20</v>
      </c>
      <c r="K662">
        <v>1900</v>
      </c>
      <c r="L662">
        <v>5</v>
      </c>
      <c r="M662" s="2" t="s">
        <v>33</v>
      </c>
      <c r="N662" t="b">
        <v>1</v>
      </c>
      <c r="P662" s="2" t="b">
        <v>1</v>
      </c>
      <c r="Q662">
        <v>50</v>
      </c>
      <c r="R662">
        <v>0</v>
      </c>
      <c r="S662">
        <v>0</v>
      </c>
      <c r="T662" t="s">
        <v>712</v>
      </c>
      <c r="U662">
        <v>70</v>
      </c>
      <c r="V662" s="2">
        <v>0.3</v>
      </c>
      <c r="AE662" t="b">
        <v>1</v>
      </c>
      <c r="AZ662" s="2"/>
      <c r="BA662" s="7">
        <v>25</v>
      </c>
      <c r="BB662" t="s">
        <v>937</v>
      </c>
      <c r="BC662" t="s">
        <v>923</v>
      </c>
      <c r="BD662" t="s">
        <v>941</v>
      </c>
      <c r="BE662" t="str">
        <f>IF(OR(Table1[[#This Row],[ENGINE_CLASS]]="STEAM",Table1[[#This Row],[ENGINE_CLASS]]="ELECTRIC",Table1[[#This Row],[ENGINE_CLASS]]="DIESEL"),Table1[[#This Row],[ENGINE_CLASS]],"DISABLE")</f>
        <v>DIESEL</v>
      </c>
      <c r="BF662">
        <v>0</v>
      </c>
      <c r="BG662" t="s">
        <v>735</v>
      </c>
      <c r="BI662"/>
      <c r="BJ662">
        <v>14</v>
      </c>
      <c r="BK662">
        <v>0</v>
      </c>
      <c r="BL662" t="s">
        <v>693</v>
      </c>
      <c r="BM662" t="s">
        <v>695</v>
      </c>
      <c r="BN662" t="s">
        <v>702</v>
      </c>
      <c r="BO662" t="s">
        <v>706</v>
      </c>
      <c r="BP662" t="s">
        <v>707</v>
      </c>
      <c r="BQ662" t="s">
        <v>708</v>
      </c>
    </row>
    <row r="663" spans="1:69" x14ac:dyDescent="0.4">
      <c r="A663" s="2" t="s">
        <v>850</v>
      </c>
      <c r="B663" t="str">
        <f>_xlfn.TEXTAFTER(Table1[[#This Row],[VEHIDCODE]],"_")</f>
        <v>Wagon_Gen2_Open_Wagon</v>
      </c>
      <c r="C663" t="s">
        <v>750</v>
      </c>
      <c r="D663" t="str">
        <f>"item_"&amp;Table1[[#This Row],[VEHIDCODE]]</f>
        <v>item_mu_Wagon_Gen2_Open_Wagon</v>
      </c>
      <c r="E663" t="str">
        <f>"str_"&amp;Table1[[#This Row],[VEHIDCODE]]</f>
        <v>str_mu_Wagon_Gen2_Open_Wagon</v>
      </c>
      <c r="F663">
        <v>5</v>
      </c>
      <c r="G663" t="s">
        <v>673</v>
      </c>
      <c r="H663">
        <v>0</v>
      </c>
      <c r="I663" t="s">
        <v>35</v>
      </c>
      <c r="J663">
        <v>26</v>
      </c>
      <c r="K663">
        <v>1890</v>
      </c>
      <c r="L663">
        <v>5</v>
      </c>
      <c r="M663" s="2" t="s">
        <v>33</v>
      </c>
      <c r="N663" t="b">
        <v>1</v>
      </c>
      <c r="P663" s="2" t="b">
        <v>1</v>
      </c>
      <c r="Q663">
        <v>60</v>
      </c>
      <c r="R663">
        <v>0</v>
      </c>
      <c r="S663">
        <v>0</v>
      </c>
      <c r="T663" t="s">
        <v>712</v>
      </c>
      <c r="U663">
        <v>70</v>
      </c>
      <c r="V663" s="2">
        <v>0.3</v>
      </c>
      <c r="AE663" t="b">
        <v>1</v>
      </c>
      <c r="AZ663" s="2"/>
      <c r="BA663" s="7">
        <v>25</v>
      </c>
      <c r="BB663" t="s">
        <v>937</v>
      </c>
      <c r="BC663" t="s">
        <v>923</v>
      </c>
      <c r="BD663" t="s">
        <v>941</v>
      </c>
      <c r="BE663" t="str">
        <f>IF(OR(Table1[[#This Row],[ENGINE_CLASS]]="STEAM",Table1[[#This Row],[ENGINE_CLASS]]="ELECTRIC",Table1[[#This Row],[ENGINE_CLASS]]="DIESEL"),Table1[[#This Row],[ENGINE_CLASS]],"DISABLE")</f>
        <v>DIESEL</v>
      </c>
      <c r="BF663">
        <v>0</v>
      </c>
      <c r="BG663" t="s">
        <v>735</v>
      </c>
      <c r="BI663"/>
      <c r="BJ663">
        <v>11</v>
      </c>
      <c r="BK663">
        <v>0</v>
      </c>
      <c r="BL663" t="s">
        <v>693</v>
      </c>
      <c r="BM663" t="s">
        <v>695</v>
      </c>
      <c r="BN663" t="s">
        <v>702</v>
      </c>
      <c r="BO663" t="s">
        <v>706</v>
      </c>
      <c r="BP663" t="s">
        <v>707</v>
      </c>
      <c r="BQ663" t="s">
        <v>708</v>
      </c>
    </row>
    <row r="664" spans="1:69" x14ac:dyDescent="0.4">
      <c r="A664" s="2" t="s">
        <v>851</v>
      </c>
      <c r="B664" t="str">
        <f>_xlfn.TEXTAFTER(Table1[[#This Row],[VEHIDCODE]],"_")</f>
        <v>Wagon_Gen2_Silo</v>
      </c>
      <c r="C664" t="s">
        <v>750</v>
      </c>
      <c r="D664" t="str">
        <f>"item_"&amp;Table1[[#This Row],[VEHIDCODE]]</f>
        <v>item_mu_Wagon_Gen2_Silo</v>
      </c>
      <c r="E664" t="str">
        <f>"str_"&amp;Table1[[#This Row],[VEHIDCODE]]</f>
        <v>str_mu_Wagon_Gen2_Silo</v>
      </c>
      <c r="F664">
        <v>5</v>
      </c>
      <c r="G664" t="s">
        <v>608</v>
      </c>
      <c r="H664">
        <v>0</v>
      </c>
      <c r="I664" t="s">
        <v>35</v>
      </c>
      <c r="J664">
        <v>25</v>
      </c>
      <c r="K664">
        <v>1900</v>
      </c>
      <c r="L664">
        <v>5</v>
      </c>
      <c r="M664" s="2" t="s">
        <v>33</v>
      </c>
      <c r="N664" t="b">
        <v>1</v>
      </c>
      <c r="P664" s="2" t="b">
        <v>1</v>
      </c>
      <c r="Q664">
        <v>50</v>
      </c>
      <c r="R664">
        <v>0</v>
      </c>
      <c r="S664">
        <v>0</v>
      </c>
      <c r="T664" t="s">
        <v>712</v>
      </c>
      <c r="U664">
        <v>70</v>
      </c>
      <c r="V664" s="2">
        <v>0.3</v>
      </c>
      <c r="AE664" t="b">
        <v>1</v>
      </c>
      <c r="AZ664" s="2"/>
      <c r="BA664" s="7">
        <v>25</v>
      </c>
      <c r="BB664" t="s">
        <v>937</v>
      </c>
      <c r="BC664" t="s">
        <v>923</v>
      </c>
      <c r="BD664" t="s">
        <v>941</v>
      </c>
      <c r="BE664" t="str">
        <f>IF(OR(Table1[[#This Row],[ENGINE_CLASS]]="STEAM",Table1[[#This Row],[ENGINE_CLASS]]="ELECTRIC",Table1[[#This Row],[ENGINE_CLASS]]="DIESEL"),Table1[[#This Row],[ENGINE_CLASS]],"DISABLE")</f>
        <v>DIESEL</v>
      </c>
      <c r="BF664">
        <v>0</v>
      </c>
      <c r="BG664" t="s">
        <v>735</v>
      </c>
      <c r="BI664"/>
      <c r="BJ664">
        <v>14</v>
      </c>
      <c r="BK664">
        <v>0</v>
      </c>
      <c r="BL664" t="s">
        <v>693</v>
      </c>
      <c r="BM664" t="s">
        <v>695</v>
      </c>
      <c r="BN664" t="s">
        <v>702</v>
      </c>
      <c r="BO664" t="s">
        <v>706</v>
      </c>
      <c r="BP664" t="s">
        <v>707</v>
      </c>
      <c r="BQ664" t="s">
        <v>708</v>
      </c>
    </row>
    <row r="665" spans="1:69" x14ac:dyDescent="0.4">
      <c r="A665" s="2" t="s">
        <v>852</v>
      </c>
      <c r="B665" t="str">
        <f>_xlfn.TEXTAFTER(Table1[[#This Row],[VEHIDCODE]],"_")</f>
        <v>Wagon_Gen2_Hopper</v>
      </c>
      <c r="C665" t="s">
        <v>750</v>
      </c>
      <c r="D665" t="str">
        <f>"item_"&amp;Table1[[#This Row],[VEHIDCODE]]</f>
        <v>item_mu_Wagon_Gen2_Hopper</v>
      </c>
      <c r="E665" t="str">
        <f>"str_"&amp;Table1[[#This Row],[VEHIDCODE]]</f>
        <v>str_mu_Wagon_Gen2_Hopper</v>
      </c>
      <c r="F665">
        <v>5</v>
      </c>
      <c r="G665" t="s">
        <v>607</v>
      </c>
      <c r="H665">
        <v>0</v>
      </c>
      <c r="I665" t="s">
        <v>35</v>
      </c>
      <c r="J665">
        <v>30</v>
      </c>
      <c r="K665">
        <v>1890</v>
      </c>
      <c r="L665">
        <v>5</v>
      </c>
      <c r="M665" s="2" t="s">
        <v>33</v>
      </c>
      <c r="N665" t="b">
        <v>1</v>
      </c>
      <c r="P665" s="2" t="b">
        <v>1</v>
      </c>
      <c r="Q665">
        <v>60</v>
      </c>
      <c r="R665">
        <v>0</v>
      </c>
      <c r="S665">
        <v>0</v>
      </c>
      <c r="T665" t="s">
        <v>712</v>
      </c>
      <c r="U665">
        <v>70</v>
      </c>
      <c r="V665" s="2">
        <v>0.3</v>
      </c>
      <c r="AE665" t="b">
        <v>1</v>
      </c>
      <c r="AZ665" s="2"/>
      <c r="BA665" s="7">
        <v>25</v>
      </c>
      <c r="BB665" t="s">
        <v>937</v>
      </c>
      <c r="BC665" t="s">
        <v>923</v>
      </c>
      <c r="BD665" t="s">
        <v>941</v>
      </c>
      <c r="BE665" t="str">
        <f>IF(OR(Table1[[#This Row],[ENGINE_CLASS]]="STEAM",Table1[[#This Row],[ENGINE_CLASS]]="ELECTRIC",Table1[[#This Row],[ENGINE_CLASS]]="DIESEL"),Table1[[#This Row],[ENGINE_CLASS]],"DISABLE")</f>
        <v>DIESEL</v>
      </c>
      <c r="BF665">
        <v>0</v>
      </c>
      <c r="BG665" t="s">
        <v>735</v>
      </c>
      <c r="BI665"/>
      <c r="BJ665">
        <v>12</v>
      </c>
      <c r="BK665">
        <v>0</v>
      </c>
      <c r="BL665" t="s">
        <v>693</v>
      </c>
      <c r="BM665" t="s">
        <v>695</v>
      </c>
      <c r="BN665" t="s">
        <v>702</v>
      </c>
      <c r="BO665" t="s">
        <v>706</v>
      </c>
      <c r="BP665" t="s">
        <v>707</v>
      </c>
      <c r="BQ665" t="s">
        <v>708</v>
      </c>
    </row>
    <row r="666" spans="1:69" x14ac:dyDescent="0.4">
      <c r="A666" s="2" t="s">
        <v>853</v>
      </c>
      <c r="B666" t="str">
        <f>_xlfn.TEXTAFTER(Table1[[#This Row],[VEHIDCODE]],"_")</f>
        <v>Wagon_Gen3_Flat_Wagon</v>
      </c>
      <c r="C666" t="s">
        <v>751</v>
      </c>
      <c r="D666" t="str">
        <f>"item_"&amp;Table1[[#This Row],[VEHIDCODE]]</f>
        <v>item_mu_Wagon_Gen3_Flat_Wagon</v>
      </c>
      <c r="E666" t="str">
        <f>"str_"&amp;Table1[[#This Row],[VEHIDCODE]]</f>
        <v>str_mu_Wagon_Gen3_Flat_Wagon</v>
      </c>
      <c r="F666">
        <v>6</v>
      </c>
      <c r="G666" t="s">
        <v>604</v>
      </c>
      <c r="H666">
        <v>0</v>
      </c>
      <c r="I666" t="s">
        <v>35</v>
      </c>
      <c r="J666">
        <v>40</v>
      </c>
      <c r="K666">
        <v>1930</v>
      </c>
      <c r="L666">
        <v>6</v>
      </c>
      <c r="M666" s="2" t="s">
        <v>33</v>
      </c>
      <c r="N666" t="b">
        <v>1</v>
      </c>
      <c r="P666" s="2" t="b">
        <v>1</v>
      </c>
      <c r="Q666">
        <v>50</v>
      </c>
      <c r="R666">
        <v>0</v>
      </c>
      <c r="S666">
        <v>0</v>
      </c>
      <c r="T666" t="s">
        <v>712</v>
      </c>
      <c r="U666">
        <v>80</v>
      </c>
      <c r="V666" s="2">
        <v>0.3</v>
      </c>
      <c r="AE666" t="b">
        <v>1</v>
      </c>
      <c r="AZ666" s="2"/>
      <c r="BA666" s="7">
        <v>25</v>
      </c>
      <c r="BB666" t="s">
        <v>937</v>
      </c>
      <c r="BC666" t="s">
        <v>923</v>
      </c>
      <c r="BD666" t="s">
        <v>941</v>
      </c>
      <c r="BE666" t="str">
        <f>IF(OR(Table1[[#This Row],[ENGINE_CLASS]]="STEAM",Table1[[#This Row],[ENGINE_CLASS]]="ELECTRIC",Table1[[#This Row],[ENGINE_CLASS]]="DIESEL"),Table1[[#This Row],[ENGINE_CLASS]],"DISABLE")</f>
        <v>DIESEL</v>
      </c>
      <c r="BF666">
        <v>0</v>
      </c>
      <c r="BG666" t="s">
        <v>735</v>
      </c>
      <c r="BI666"/>
      <c r="BJ666">
        <v>21</v>
      </c>
      <c r="BK666">
        <v>0</v>
      </c>
      <c r="BL666" t="s">
        <v>693</v>
      </c>
      <c r="BM666" t="s">
        <v>695</v>
      </c>
      <c r="BN666" t="s">
        <v>702</v>
      </c>
      <c r="BO666" t="s">
        <v>706</v>
      </c>
      <c r="BP666" t="s">
        <v>707</v>
      </c>
      <c r="BQ666" t="s">
        <v>708</v>
      </c>
    </row>
    <row r="667" spans="1:69" x14ac:dyDescent="0.4">
      <c r="A667" s="2" t="s">
        <v>854</v>
      </c>
      <c r="B667" t="str">
        <f>_xlfn.TEXTAFTER(Table1[[#This Row],[VEHIDCODE]],"_")</f>
        <v>Wagon_Gen3_Boxcar_Type1</v>
      </c>
      <c r="C667" t="s">
        <v>751</v>
      </c>
      <c r="D667" t="str">
        <f>"item_"&amp;Table1[[#This Row],[VEHIDCODE]]</f>
        <v>item_mu_Wagon_Gen3_Boxcar_Type1</v>
      </c>
      <c r="E667" t="str">
        <f>"str_"&amp;Table1[[#This Row],[VEHIDCODE]]</f>
        <v>str_mu_Wagon_Gen3_Boxcar_Type1</v>
      </c>
      <c r="F667">
        <v>6</v>
      </c>
      <c r="G667" t="s">
        <v>600</v>
      </c>
      <c r="H667">
        <v>0</v>
      </c>
      <c r="I667" t="s">
        <v>35</v>
      </c>
      <c r="J667">
        <v>40</v>
      </c>
      <c r="K667">
        <v>1920</v>
      </c>
      <c r="L667">
        <v>6</v>
      </c>
      <c r="M667" s="2" t="s">
        <v>33</v>
      </c>
      <c r="N667" t="b">
        <v>1</v>
      </c>
      <c r="P667" s="2" t="b">
        <v>1</v>
      </c>
      <c r="Q667">
        <v>60</v>
      </c>
      <c r="R667">
        <v>0</v>
      </c>
      <c r="S667">
        <v>0</v>
      </c>
      <c r="T667" t="s">
        <v>712</v>
      </c>
      <c r="U667">
        <v>100</v>
      </c>
      <c r="V667" s="2">
        <v>0.3</v>
      </c>
      <c r="AE667" t="b">
        <v>1</v>
      </c>
      <c r="AZ667" s="2"/>
      <c r="BA667" s="7">
        <v>25</v>
      </c>
      <c r="BB667" t="s">
        <v>934</v>
      </c>
      <c r="BC667" t="s">
        <v>923</v>
      </c>
      <c r="BD667" t="s">
        <v>941</v>
      </c>
      <c r="BE667" t="str">
        <f>IF(OR(Table1[[#This Row],[ENGINE_CLASS]]="STEAM",Table1[[#This Row],[ENGINE_CLASS]]="ELECTRIC",Table1[[#This Row],[ENGINE_CLASS]]="DIESEL"),Table1[[#This Row],[ENGINE_CLASS]],"DISABLE")</f>
        <v>DIESEL</v>
      </c>
      <c r="BF667">
        <v>0</v>
      </c>
      <c r="BG667" t="s">
        <v>735</v>
      </c>
      <c r="BI667"/>
      <c r="BJ667">
        <v>23</v>
      </c>
      <c r="BK667">
        <v>0</v>
      </c>
      <c r="BL667" t="s">
        <v>693</v>
      </c>
      <c r="BM667" t="s">
        <v>695</v>
      </c>
      <c r="BN667" t="s">
        <v>702</v>
      </c>
      <c r="BO667" t="s">
        <v>706</v>
      </c>
      <c r="BP667" t="s">
        <v>707</v>
      </c>
      <c r="BQ667" t="s">
        <v>708</v>
      </c>
    </row>
    <row r="668" spans="1:69" x14ac:dyDescent="0.4">
      <c r="A668" s="2" t="s">
        <v>855</v>
      </c>
      <c r="B668" t="str">
        <f>_xlfn.TEXTAFTER(Table1[[#This Row],[VEHIDCODE]],"_")</f>
        <v>Wagon_Gen3_Boxcar_Type2</v>
      </c>
      <c r="C668" t="s">
        <v>751</v>
      </c>
      <c r="D668" t="str">
        <f>"item_"&amp;Table1[[#This Row],[VEHIDCODE]]</f>
        <v>item_mu_Wagon_Gen3_Boxcar_Type2</v>
      </c>
      <c r="E668" t="str">
        <f>"str_"&amp;Table1[[#This Row],[VEHIDCODE]]</f>
        <v>str_mu_Wagon_Gen3_Boxcar_Type2</v>
      </c>
      <c r="F668">
        <v>6</v>
      </c>
      <c r="G668" t="s">
        <v>600</v>
      </c>
      <c r="H668">
        <v>0</v>
      </c>
      <c r="I668" t="s">
        <v>35</v>
      </c>
      <c r="J668">
        <v>40</v>
      </c>
      <c r="K668">
        <v>1920</v>
      </c>
      <c r="L668">
        <v>6</v>
      </c>
      <c r="M668" s="2" t="s">
        <v>33</v>
      </c>
      <c r="N668" t="b">
        <v>1</v>
      </c>
      <c r="P668" s="2" t="b">
        <v>1</v>
      </c>
      <c r="Q668">
        <v>60</v>
      </c>
      <c r="R668">
        <v>0</v>
      </c>
      <c r="S668">
        <v>0</v>
      </c>
      <c r="T668" t="s">
        <v>712</v>
      </c>
      <c r="U668">
        <v>100</v>
      </c>
      <c r="V668" s="2">
        <v>0.3</v>
      </c>
      <c r="AE668" t="b">
        <v>1</v>
      </c>
      <c r="AZ668" s="2"/>
      <c r="BA668" s="7">
        <v>25</v>
      </c>
      <c r="BB668" t="s">
        <v>935</v>
      </c>
      <c r="BC668" t="s">
        <v>923</v>
      </c>
      <c r="BD668" t="s">
        <v>941</v>
      </c>
      <c r="BE668" t="str">
        <f>IF(OR(Table1[[#This Row],[ENGINE_CLASS]]="STEAM",Table1[[#This Row],[ENGINE_CLASS]]="ELECTRIC",Table1[[#This Row],[ENGINE_CLASS]]="DIESEL"),Table1[[#This Row],[ENGINE_CLASS]],"DISABLE")</f>
        <v>DIESEL</v>
      </c>
      <c r="BF668">
        <v>0</v>
      </c>
      <c r="BG668" t="s">
        <v>735</v>
      </c>
      <c r="BI668"/>
      <c r="BJ668">
        <v>23</v>
      </c>
      <c r="BK668">
        <v>0</v>
      </c>
      <c r="BL668" t="s">
        <v>693</v>
      </c>
      <c r="BM668" t="s">
        <v>695</v>
      </c>
      <c r="BN668" t="s">
        <v>702</v>
      </c>
      <c r="BO668" t="s">
        <v>706</v>
      </c>
      <c r="BP668" t="s">
        <v>707</v>
      </c>
      <c r="BQ668" t="s">
        <v>708</v>
      </c>
    </row>
    <row r="669" spans="1:69" x14ac:dyDescent="0.4">
      <c r="A669" s="2" t="s">
        <v>856</v>
      </c>
      <c r="B669" t="str">
        <f>_xlfn.TEXTAFTER(Table1[[#This Row],[VEHIDCODE]],"_")</f>
        <v>Wagon_Gen3_Tanker</v>
      </c>
      <c r="C669" t="s">
        <v>751</v>
      </c>
      <c r="D669" t="str">
        <f>"item_"&amp;Table1[[#This Row],[VEHIDCODE]]</f>
        <v>item_mu_Wagon_Gen3_Tanker</v>
      </c>
      <c r="E669" t="str">
        <f>"str_"&amp;Table1[[#This Row],[VEHIDCODE]]</f>
        <v>str_mu_Wagon_Gen3_Tanker</v>
      </c>
      <c r="F669">
        <v>6</v>
      </c>
      <c r="G669" t="s">
        <v>610</v>
      </c>
      <c r="H669">
        <v>0</v>
      </c>
      <c r="I669" t="s">
        <v>35</v>
      </c>
      <c r="J669">
        <v>35</v>
      </c>
      <c r="K669">
        <v>1930</v>
      </c>
      <c r="L669">
        <v>6</v>
      </c>
      <c r="M669" s="2" t="s">
        <v>33</v>
      </c>
      <c r="N669" t="b">
        <v>1</v>
      </c>
      <c r="P669" s="2" t="b">
        <v>1</v>
      </c>
      <c r="Q669">
        <v>50</v>
      </c>
      <c r="R669">
        <v>0</v>
      </c>
      <c r="S669">
        <v>0</v>
      </c>
      <c r="T669" t="s">
        <v>712</v>
      </c>
      <c r="U669">
        <v>80</v>
      </c>
      <c r="V669" s="2">
        <v>0.3</v>
      </c>
      <c r="AE669" t="b">
        <v>1</v>
      </c>
      <c r="AZ669" s="2"/>
      <c r="BA669" s="7">
        <v>25</v>
      </c>
      <c r="BB669" t="s">
        <v>937</v>
      </c>
      <c r="BC669" t="s">
        <v>923</v>
      </c>
      <c r="BD669" t="s">
        <v>941</v>
      </c>
      <c r="BE669" t="str">
        <f>IF(OR(Table1[[#This Row],[ENGINE_CLASS]]="STEAM",Table1[[#This Row],[ENGINE_CLASS]]="ELECTRIC",Table1[[#This Row],[ENGINE_CLASS]]="DIESEL"),Table1[[#This Row],[ENGINE_CLASS]],"DISABLE")</f>
        <v>DIESEL</v>
      </c>
      <c r="BF669">
        <v>0</v>
      </c>
      <c r="BG669" t="s">
        <v>735</v>
      </c>
      <c r="BI669"/>
      <c r="BJ669">
        <v>20</v>
      </c>
      <c r="BK669">
        <v>0</v>
      </c>
      <c r="BL669" t="s">
        <v>693</v>
      </c>
      <c r="BM669" t="s">
        <v>695</v>
      </c>
      <c r="BN669" t="s">
        <v>702</v>
      </c>
      <c r="BO669" t="s">
        <v>706</v>
      </c>
      <c r="BP669" t="s">
        <v>707</v>
      </c>
      <c r="BQ669" t="s">
        <v>708</v>
      </c>
    </row>
    <row r="670" spans="1:69" x14ac:dyDescent="0.4">
      <c r="A670" s="2" t="s">
        <v>857</v>
      </c>
      <c r="B670" t="str">
        <f>_xlfn.TEXTAFTER(Table1[[#This Row],[VEHIDCODE]],"_")</f>
        <v>Wagon_Gen3_Open_Wagon</v>
      </c>
      <c r="C670" t="s">
        <v>751</v>
      </c>
      <c r="D670" t="str">
        <f>"item_"&amp;Table1[[#This Row],[VEHIDCODE]]</f>
        <v>item_mu_Wagon_Gen3_Open_Wagon</v>
      </c>
      <c r="E670" t="str">
        <f>"str_"&amp;Table1[[#This Row],[VEHIDCODE]]</f>
        <v>str_mu_Wagon_Gen3_Open_Wagon</v>
      </c>
      <c r="F670">
        <v>6</v>
      </c>
      <c r="G670" t="s">
        <v>673</v>
      </c>
      <c r="H670">
        <v>0</v>
      </c>
      <c r="I670" t="s">
        <v>35</v>
      </c>
      <c r="J670">
        <v>35</v>
      </c>
      <c r="K670">
        <v>1920</v>
      </c>
      <c r="L670">
        <v>6</v>
      </c>
      <c r="M670" s="2" t="s">
        <v>33</v>
      </c>
      <c r="N670" t="b">
        <v>1</v>
      </c>
      <c r="P670" s="2" t="b">
        <v>1</v>
      </c>
      <c r="Q670">
        <v>60</v>
      </c>
      <c r="R670">
        <v>0</v>
      </c>
      <c r="S670">
        <v>0</v>
      </c>
      <c r="T670" t="s">
        <v>712</v>
      </c>
      <c r="U670">
        <v>80</v>
      </c>
      <c r="V670" s="2">
        <v>0.3</v>
      </c>
      <c r="AE670" t="b">
        <v>1</v>
      </c>
      <c r="AZ670" s="2"/>
      <c r="BA670" s="7">
        <v>25</v>
      </c>
      <c r="BB670" t="s">
        <v>937</v>
      </c>
      <c r="BC670" t="s">
        <v>923</v>
      </c>
      <c r="BD670" t="s">
        <v>941</v>
      </c>
      <c r="BE670" t="str">
        <f>IF(OR(Table1[[#This Row],[ENGINE_CLASS]]="STEAM",Table1[[#This Row],[ENGINE_CLASS]]="ELECTRIC",Table1[[#This Row],[ENGINE_CLASS]]="DIESEL"),Table1[[#This Row],[ENGINE_CLASS]],"DISABLE")</f>
        <v>DIESEL</v>
      </c>
      <c r="BF670">
        <v>0</v>
      </c>
      <c r="BG670" t="s">
        <v>735</v>
      </c>
      <c r="BI670"/>
      <c r="BJ670">
        <v>22</v>
      </c>
      <c r="BK670">
        <v>0</v>
      </c>
      <c r="BL670" t="s">
        <v>693</v>
      </c>
      <c r="BM670" t="s">
        <v>695</v>
      </c>
      <c r="BN670" t="s">
        <v>702</v>
      </c>
      <c r="BO670" t="s">
        <v>706</v>
      </c>
      <c r="BP670" t="s">
        <v>707</v>
      </c>
      <c r="BQ670" t="s">
        <v>708</v>
      </c>
    </row>
    <row r="671" spans="1:69" x14ac:dyDescent="0.4">
      <c r="A671" s="2" t="s">
        <v>858</v>
      </c>
      <c r="B671" t="str">
        <f>_xlfn.TEXTAFTER(Table1[[#This Row],[VEHIDCODE]],"_")</f>
        <v>Wagon_Gen3_Silo_Type1</v>
      </c>
      <c r="C671" t="s">
        <v>751</v>
      </c>
      <c r="D671" t="str">
        <f>"item_"&amp;Table1[[#This Row],[VEHIDCODE]]</f>
        <v>item_mu_Wagon_Gen3_Silo_Type1</v>
      </c>
      <c r="E671" t="str">
        <f>"str_"&amp;Table1[[#This Row],[VEHIDCODE]]</f>
        <v>str_mu_Wagon_Gen3_Silo_Type1</v>
      </c>
      <c r="F671">
        <v>6</v>
      </c>
      <c r="G671" t="s">
        <v>608</v>
      </c>
      <c r="H671">
        <v>0</v>
      </c>
      <c r="I671" t="s">
        <v>35</v>
      </c>
      <c r="J671">
        <v>40</v>
      </c>
      <c r="K671">
        <v>1930</v>
      </c>
      <c r="L671">
        <v>6</v>
      </c>
      <c r="M671" s="2" t="s">
        <v>33</v>
      </c>
      <c r="N671" t="b">
        <v>1</v>
      </c>
      <c r="P671" s="2" t="b">
        <v>1</v>
      </c>
      <c r="Q671">
        <v>50</v>
      </c>
      <c r="R671">
        <v>0</v>
      </c>
      <c r="S671">
        <v>0</v>
      </c>
      <c r="T671" t="s">
        <v>712</v>
      </c>
      <c r="U671">
        <v>80</v>
      </c>
      <c r="V671" s="2">
        <v>0.3</v>
      </c>
      <c r="AE671" t="b">
        <v>1</v>
      </c>
      <c r="AZ671" s="2"/>
      <c r="BA671" s="7">
        <v>25</v>
      </c>
      <c r="BB671" t="s">
        <v>934</v>
      </c>
      <c r="BC671" t="s">
        <v>923</v>
      </c>
      <c r="BD671" t="s">
        <v>941</v>
      </c>
      <c r="BE671" t="str">
        <f>IF(OR(Table1[[#This Row],[ENGINE_CLASS]]="STEAM",Table1[[#This Row],[ENGINE_CLASS]]="ELECTRIC",Table1[[#This Row],[ENGINE_CLASS]]="DIESEL"),Table1[[#This Row],[ENGINE_CLASS]],"DISABLE")</f>
        <v>DIESEL</v>
      </c>
      <c r="BF671">
        <v>0</v>
      </c>
      <c r="BG671" t="s">
        <v>735</v>
      </c>
      <c r="BI671"/>
      <c r="BJ671">
        <v>23</v>
      </c>
      <c r="BK671">
        <v>0</v>
      </c>
      <c r="BL671" t="s">
        <v>693</v>
      </c>
      <c r="BM671" t="s">
        <v>695</v>
      </c>
      <c r="BN671" t="s">
        <v>702</v>
      </c>
      <c r="BO671" t="s">
        <v>706</v>
      </c>
      <c r="BP671" t="s">
        <v>707</v>
      </c>
      <c r="BQ671" t="s">
        <v>708</v>
      </c>
    </row>
    <row r="672" spans="1:69" x14ac:dyDescent="0.4">
      <c r="A672" s="2" t="s">
        <v>859</v>
      </c>
      <c r="B672" t="str">
        <f>_xlfn.TEXTAFTER(Table1[[#This Row],[VEHIDCODE]],"_")</f>
        <v>Wagon_Gen3_Silo_Type2</v>
      </c>
      <c r="C672" t="s">
        <v>751</v>
      </c>
      <c r="D672" t="str">
        <f>"item_"&amp;Table1[[#This Row],[VEHIDCODE]]</f>
        <v>item_mu_Wagon_Gen3_Silo_Type2</v>
      </c>
      <c r="E672" t="str">
        <f>"str_"&amp;Table1[[#This Row],[VEHIDCODE]]</f>
        <v>str_mu_Wagon_Gen3_Silo_Type2</v>
      </c>
      <c r="F672">
        <v>6</v>
      </c>
      <c r="G672" t="s">
        <v>608</v>
      </c>
      <c r="H672">
        <v>0</v>
      </c>
      <c r="I672" t="s">
        <v>35</v>
      </c>
      <c r="J672">
        <v>40</v>
      </c>
      <c r="K672">
        <v>1930</v>
      </c>
      <c r="L672">
        <v>6</v>
      </c>
      <c r="M672" s="2" t="s">
        <v>33</v>
      </c>
      <c r="N672" t="b">
        <v>1</v>
      </c>
      <c r="P672" s="2" t="b">
        <v>1</v>
      </c>
      <c r="Q672">
        <v>50</v>
      </c>
      <c r="R672">
        <v>0</v>
      </c>
      <c r="S672">
        <v>0</v>
      </c>
      <c r="T672" t="s">
        <v>712</v>
      </c>
      <c r="U672">
        <v>80</v>
      </c>
      <c r="V672" s="2">
        <v>0.3</v>
      </c>
      <c r="AE672" t="b">
        <v>1</v>
      </c>
      <c r="AZ672" s="2"/>
      <c r="BA672" s="7">
        <v>25</v>
      </c>
      <c r="BB672" t="s">
        <v>935</v>
      </c>
      <c r="BC672" t="s">
        <v>923</v>
      </c>
      <c r="BD672" t="s">
        <v>941</v>
      </c>
      <c r="BE672" t="str">
        <f>IF(OR(Table1[[#This Row],[ENGINE_CLASS]]="STEAM",Table1[[#This Row],[ENGINE_CLASS]]="ELECTRIC",Table1[[#This Row],[ENGINE_CLASS]]="DIESEL"),Table1[[#This Row],[ENGINE_CLASS]],"DISABLE")</f>
        <v>DIESEL</v>
      </c>
      <c r="BF672">
        <v>0</v>
      </c>
      <c r="BG672" t="s">
        <v>735</v>
      </c>
      <c r="BI672"/>
      <c r="BJ672">
        <v>23</v>
      </c>
      <c r="BK672">
        <v>0</v>
      </c>
      <c r="BL672" t="s">
        <v>693</v>
      </c>
      <c r="BM672" t="s">
        <v>695</v>
      </c>
      <c r="BN672" t="s">
        <v>702</v>
      </c>
      <c r="BO672" t="s">
        <v>706</v>
      </c>
      <c r="BP672" t="s">
        <v>707</v>
      </c>
      <c r="BQ672" t="s">
        <v>708</v>
      </c>
    </row>
    <row r="673" spans="1:69" x14ac:dyDescent="0.4">
      <c r="A673" s="2" t="s">
        <v>860</v>
      </c>
      <c r="B673" t="str">
        <f>_xlfn.TEXTAFTER(Table1[[#This Row],[VEHIDCODE]],"_")</f>
        <v>Wagon_Gen3_Hopper</v>
      </c>
      <c r="C673" t="s">
        <v>751</v>
      </c>
      <c r="D673" t="str">
        <f>"item_"&amp;Table1[[#This Row],[VEHIDCODE]]</f>
        <v>item_mu_Wagon_Gen3_Hopper</v>
      </c>
      <c r="E673" t="str">
        <f>"str_"&amp;Table1[[#This Row],[VEHIDCODE]]</f>
        <v>str_mu_Wagon_Gen3_Hopper</v>
      </c>
      <c r="F673">
        <v>6</v>
      </c>
      <c r="G673" t="s">
        <v>607</v>
      </c>
      <c r="H673">
        <v>0</v>
      </c>
      <c r="I673" t="s">
        <v>35</v>
      </c>
      <c r="J673">
        <v>40</v>
      </c>
      <c r="K673">
        <v>1920</v>
      </c>
      <c r="L673">
        <v>6</v>
      </c>
      <c r="M673" s="2" t="s">
        <v>33</v>
      </c>
      <c r="N673" t="b">
        <v>1</v>
      </c>
      <c r="P673" s="2" t="b">
        <v>1</v>
      </c>
      <c r="Q673">
        <v>60</v>
      </c>
      <c r="R673">
        <v>0</v>
      </c>
      <c r="S673">
        <v>0</v>
      </c>
      <c r="T673" t="s">
        <v>712</v>
      </c>
      <c r="U673">
        <v>80</v>
      </c>
      <c r="V673" s="2">
        <v>0.3</v>
      </c>
      <c r="AE673" t="b">
        <v>1</v>
      </c>
      <c r="AZ673" s="2"/>
      <c r="BA673" s="7">
        <v>25</v>
      </c>
      <c r="BB673" t="s">
        <v>937</v>
      </c>
      <c r="BC673" t="s">
        <v>923</v>
      </c>
      <c r="BD673" t="s">
        <v>941</v>
      </c>
      <c r="BE673" t="str">
        <f>IF(OR(Table1[[#This Row],[ENGINE_CLASS]]="STEAM",Table1[[#This Row],[ENGINE_CLASS]]="ELECTRIC",Table1[[#This Row],[ENGINE_CLASS]]="DIESEL"),Table1[[#This Row],[ENGINE_CLASS]],"DISABLE")</f>
        <v>DIESEL</v>
      </c>
      <c r="BF673">
        <v>0</v>
      </c>
      <c r="BG673" t="s">
        <v>735</v>
      </c>
      <c r="BI673"/>
      <c r="BJ673">
        <v>26</v>
      </c>
      <c r="BK673">
        <v>0</v>
      </c>
      <c r="BL673" t="s">
        <v>693</v>
      </c>
      <c r="BM673" t="s">
        <v>695</v>
      </c>
      <c r="BN673" t="s">
        <v>702</v>
      </c>
      <c r="BO673" t="s">
        <v>706</v>
      </c>
      <c r="BP673" t="s">
        <v>707</v>
      </c>
      <c r="BQ673" t="s">
        <v>708</v>
      </c>
    </row>
    <row r="674" spans="1:69" x14ac:dyDescent="0.4">
      <c r="A674" s="2" t="s">
        <v>861</v>
      </c>
      <c r="B674" t="str">
        <f>_xlfn.TEXTAFTER(Table1[[#This Row],[VEHIDCODE]],"_")</f>
        <v>Wagon_Gen4_Flatcar</v>
      </c>
      <c r="C674" t="s">
        <v>752</v>
      </c>
      <c r="D674" t="str">
        <f>"item_"&amp;Table1[[#This Row],[VEHIDCODE]]</f>
        <v>item_mu_Wagon_Gen4_Flatcar</v>
      </c>
      <c r="E674" t="str">
        <f>"str_"&amp;Table1[[#This Row],[VEHIDCODE]]</f>
        <v>str_mu_Wagon_Gen4_Flatcar</v>
      </c>
      <c r="F674">
        <v>7</v>
      </c>
      <c r="G674" t="s">
        <v>604</v>
      </c>
      <c r="H674">
        <v>0</v>
      </c>
      <c r="I674" t="s">
        <v>35</v>
      </c>
      <c r="J674">
        <v>50</v>
      </c>
      <c r="K674">
        <v>1960</v>
      </c>
      <c r="L674">
        <v>7</v>
      </c>
      <c r="M674" s="2" t="s">
        <v>33</v>
      </c>
      <c r="N674" t="b">
        <v>1</v>
      </c>
      <c r="P674" s="2" t="b">
        <v>1</v>
      </c>
      <c r="Q674">
        <v>60</v>
      </c>
      <c r="R674">
        <v>0</v>
      </c>
      <c r="S674">
        <v>0</v>
      </c>
      <c r="T674" t="s">
        <v>712</v>
      </c>
      <c r="U674">
        <v>100</v>
      </c>
      <c r="V674" s="2">
        <v>0.3</v>
      </c>
      <c r="AE674" t="b">
        <v>1</v>
      </c>
      <c r="AZ674" s="2"/>
      <c r="BA674" s="7">
        <v>25</v>
      </c>
      <c r="BB674" t="s">
        <v>937</v>
      </c>
      <c r="BC674" t="s">
        <v>923</v>
      </c>
      <c r="BD674" t="s">
        <v>941</v>
      </c>
      <c r="BE674" t="str">
        <f>IF(OR(Table1[[#This Row],[ENGINE_CLASS]]="STEAM",Table1[[#This Row],[ENGINE_CLASS]]="ELECTRIC",Table1[[#This Row],[ENGINE_CLASS]]="DIESEL"),Table1[[#This Row],[ENGINE_CLASS]],"DISABLE")</f>
        <v>DIESEL</v>
      </c>
      <c r="BF674">
        <v>0</v>
      </c>
      <c r="BG674" t="s">
        <v>735</v>
      </c>
      <c r="BI674"/>
      <c r="BJ674">
        <v>25</v>
      </c>
      <c r="BK674">
        <v>0</v>
      </c>
      <c r="BL674" t="s">
        <v>693</v>
      </c>
      <c r="BM674" t="s">
        <v>695</v>
      </c>
      <c r="BN674" t="s">
        <v>702</v>
      </c>
      <c r="BO674" t="s">
        <v>706</v>
      </c>
      <c r="BP674" t="s">
        <v>707</v>
      </c>
      <c r="BQ674" t="s">
        <v>708</v>
      </c>
    </row>
    <row r="675" spans="1:69" x14ac:dyDescent="0.4">
      <c r="A675" s="2" t="s">
        <v>862</v>
      </c>
      <c r="B675" t="str">
        <f>_xlfn.TEXTAFTER(Table1[[#This Row],[VEHIDCODE]],"_")</f>
        <v>Wagon_Gen4_Heavy_Flatcar</v>
      </c>
      <c r="C675" t="s">
        <v>752</v>
      </c>
      <c r="D675" t="str">
        <f>"item_"&amp;Table1[[#This Row],[VEHIDCODE]]</f>
        <v>item_mu_Wagon_Gen4_Heavy_Flatcar</v>
      </c>
      <c r="E675" t="str">
        <f>"str_"&amp;Table1[[#This Row],[VEHIDCODE]]</f>
        <v>str_mu_Wagon_Gen4_Heavy_Flatcar</v>
      </c>
      <c r="F675">
        <v>7</v>
      </c>
      <c r="G675" t="s">
        <v>606</v>
      </c>
      <c r="H675">
        <v>0</v>
      </c>
      <c r="I675" t="s">
        <v>35</v>
      </c>
      <c r="J675">
        <v>70</v>
      </c>
      <c r="K675">
        <v>1960</v>
      </c>
      <c r="L675">
        <v>7</v>
      </c>
      <c r="M675" s="2" t="s">
        <v>33</v>
      </c>
      <c r="N675" t="b">
        <v>1</v>
      </c>
      <c r="P675" s="2" t="b">
        <v>1</v>
      </c>
      <c r="Q675">
        <v>60</v>
      </c>
      <c r="R675">
        <v>0</v>
      </c>
      <c r="S675">
        <v>0</v>
      </c>
      <c r="T675" t="s">
        <v>712</v>
      </c>
      <c r="U675">
        <v>100</v>
      </c>
      <c r="V675" s="2">
        <v>0.3</v>
      </c>
      <c r="AE675" t="b">
        <v>1</v>
      </c>
      <c r="AZ675" s="2"/>
      <c r="BA675" s="7">
        <v>25</v>
      </c>
      <c r="BB675" t="s">
        <v>937</v>
      </c>
      <c r="BC675" t="s">
        <v>923</v>
      </c>
      <c r="BD675" t="s">
        <v>941</v>
      </c>
      <c r="BE675" t="str">
        <f>IF(OR(Table1[[#This Row],[ENGINE_CLASS]]="STEAM",Table1[[#This Row],[ENGINE_CLASS]]="ELECTRIC",Table1[[#This Row],[ENGINE_CLASS]]="DIESEL"),Table1[[#This Row],[ENGINE_CLASS]],"DISABLE")</f>
        <v>DIESEL</v>
      </c>
      <c r="BF675">
        <v>0</v>
      </c>
      <c r="BG675" t="s">
        <v>735</v>
      </c>
      <c r="BI675"/>
      <c r="BJ675">
        <v>30</v>
      </c>
      <c r="BK675">
        <v>0</v>
      </c>
      <c r="BL675" t="s">
        <v>693</v>
      </c>
      <c r="BM675" t="s">
        <v>695</v>
      </c>
      <c r="BN675" t="s">
        <v>702</v>
      </c>
      <c r="BO675" t="s">
        <v>706</v>
      </c>
      <c r="BP675" t="s">
        <v>707</v>
      </c>
      <c r="BQ675" t="s">
        <v>708</v>
      </c>
    </row>
    <row r="676" spans="1:69" x14ac:dyDescent="0.4">
      <c r="A676" s="2" t="s">
        <v>863</v>
      </c>
      <c r="B676" t="str">
        <f>_xlfn.TEXTAFTER(Table1[[#This Row],[VEHIDCODE]],"_")</f>
        <v>Wagon_Gen4_Boxcar_Type1</v>
      </c>
      <c r="C676" t="s">
        <v>752</v>
      </c>
      <c r="D676" t="str">
        <f>"item_"&amp;Table1[[#This Row],[VEHIDCODE]]</f>
        <v>item_mu_Wagon_Gen4_Boxcar_Type1</v>
      </c>
      <c r="E676" t="str">
        <f>"str_"&amp;Table1[[#This Row],[VEHIDCODE]]</f>
        <v>str_mu_Wagon_Gen4_Boxcar_Type1</v>
      </c>
      <c r="F676">
        <v>7</v>
      </c>
      <c r="G676" t="s">
        <v>600</v>
      </c>
      <c r="H676">
        <v>0</v>
      </c>
      <c r="I676" t="s">
        <v>35</v>
      </c>
      <c r="J676">
        <v>42</v>
      </c>
      <c r="K676">
        <v>1950</v>
      </c>
      <c r="L676">
        <v>7</v>
      </c>
      <c r="M676" s="2" t="s">
        <v>33</v>
      </c>
      <c r="N676" t="b">
        <v>1</v>
      </c>
      <c r="P676" s="2" t="b">
        <v>1</v>
      </c>
      <c r="Q676">
        <v>70</v>
      </c>
      <c r="R676">
        <v>0</v>
      </c>
      <c r="S676">
        <v>0</v>
      </c>
      <c r="T676" t="s">
        <v>712</v>
      </c>
      <c r="U676">
        <v>120</v>
      </c>
      <c r="V676" s="2">
        <v>0.3</v>
      </c>
      <c r="AE676" t="b">
        <v>1</v>
      </c>
      <c r="AZ676" s="2"/>
      <c r="BA676" s="7">
        <v>25</v>
      </c>
      <c r="BB676" t="s">
        <v>934</v>
      </c>
      <c r="BC676" t="s">
        <v>923</v>
      </c>
      <c r="BD676" t="s">
        <v>941</v>
      </c>
      <c r="BE676" t="str">
        <f>IF(OR(Table1[[#This Row],[ENGINE_CLASS]]="STEAM",Table1[[#This Row],[ENGINE_CLASS]]="ELECTRIC",Table1[[#This Row],[ENGINE_CLASS]]="DIESEL"),Table1[[#This Row],[ENGINE_CLASS]],"DISABLE")</f>
        <v>DIESEL</v>
      </c>
      <c r="BF676">
        <v>0</v>
      </c>
      <c r="BG676" t="s">
        <v>735</v>
      </c>
      <c r="BI676"/>
      <c r="BJ676">
        <v>30</v>
      </c>
      <c r="BK676">
        <v>0</v>
      </c>
      <c r="BL676" t="s">
        <v>693</v>
      </c>
      <c r="BM676" t="s">
        <v>695</v>
      </c>
      <c r="BN676" t="s">
        <v>702</v>
      </c>
      <c r="BO676" t="s">
        <v>706</v>
      </c>
      <c r="BP676" t="s">
        <v>707</v>
      </c>
      <c r="BQ676" t="s">
        <v>708</v>
      </c>
    </row>
    <row r="677" spans="1:69" x14ac:dyDescent="0.4">
      <c r="A677" s="2" t="s">
        <v>864</v>
      </c>
      <c r="B677" t="str">
        <f>_xlfn.TEXTAFTER(Table1[[#This Row],[VEHIDCODE]],"_")</f>
        <v>Wagon_Gen4_Boxcar_Type2</v>
      </c>
      <c r="C677" t="s">
        <v>752</v>
      </c>
      <c r="D677" t="str">
        <f>"item_"&amp;Table1[[#This Row],[VEHIDCODE]]</f>
        <v>item_mu_Wagon_Gen4_Boxcar_Type2</v>
      </c>
      <c r="E677" t="str">
        <f>"str_"&amp;Table1[[#This Row],[VEHIDCODE]]</f>
        <v>str_mu_Wagon_Gen4_Boxcar_Type2</v>
      </c>
      <c r="F677">
        <v>7</v>
      </c>
      <c r="G677" t="s">
        <v>600</v>
      </c>
      <c r="H677">
        <v>0</v>
      </c>
      <c r="I677" t="s">
        <v>35</v>
      </c>
      <c r="J677">
        <v>42</v>
      </c>
      <c r="K677">
        <v>1950</v>
      </c>
      <c r="L677">
        <v>7</v>
      </c>
      <c r="M677" s="2" t="s">
        <v>33</v>
      </c>
      <c r="N677" t="b">
        <v>1</v>
      </c>
      <c r="P677" s="2" t="b">
        <v>1</v>
      </c>
      <c r="Q677">
        <v>70</v>
      </c>
      <c r="R677">
        <v>0</v>
      </c>
      <c r="S677">
        <v>0</v>
      </c>
      <c r="T677" t="s">
        <v>712</v>
      </c>
      <c r="U677">
        <v>120</v>
      </c>
      <c r="V677" s="2">
        <v>0.3</v>
      </c>
      <c r="AE677" t="b">
        <v>1</v>
      </c>
      <c r="AZ677" s="2"/>
      <c r="BA677" s="7">
        <v>25</v>
      </c>
      <c r="BB677" t="s">
        <v>935</v>
      </c>
      <c r="BC677" t="s">
        <v>923</v>
      </c>
      <c r="BD677" t="s">
        <v>941</v>
      </c>
      <c r="BE677" t="str">
        <f>IF(OR(Table1[[#This Row],[ENGINE_CLASS]]="STEAM",Table1[[#This Row],[ENGINE_CLASS]]="ELECTRIC",Table1[[#This Row],[ENGINE_CLASS]]="DIESEL"),Table1[[#This Row],[ENGINE_CLASS]],"DISABLE")</f>
        <v>DIESEL</v>
      </c>
      <c r="BF677">
        <v>0</v>
      </c>
      <c r="BG677" t="s">
        <v>735</v>
      </c>
      <c r="BI677"/>
      <c r="BJ677">
        <v>30</v>
      </c>
      <c r="BK677">
        <v>0</v>
      </c>
      <c r="BL677" t="s">
        <v>693</v>
      </c>
      <c r="BM677" t="s">
        <v>695</v>
      </c>
      <c r="BN677" t="s">
        <v>702</v>
      </c>
      <c r="BO677" t="s">
        <v>706</v>
      </c>
      <c r="BP677" t="s">
        <v>707</v>
      </c>
      <c r="BQ677" t="s">
        <v>708</v>
      </c>
    </row>
    <row r="678" spans="1:69" x14ac:dyDescent="0.4">
      <c r="A678" s="2" t="s">
        <v>865</v>
      </c>
      <c r="B678" t="str">
        <f>_xlfn.TEXTAFTER(Table1[[#This Row],[VEHIDCODE]],"_")</f>
        <v>Wagon_Gen4_Tanker</v>
      </c>
      <c r="C678" t="s">
        <v>752</v>
      </c>
      <c r="D678" t="str">
        <f>"item_"&amp;Table1[[#This Row],[VEHIDCODE]]</f>
        <v>item_mu_Wagon_Gen4_Tanker</v>
      </c>
      <c r="E678" t="str">
        <f>"str_"&amp;Table1[[#This Row],[VEHIDCODE]]</f>
        <v>str_mu_Wagon_Gen4_Tanker</v>
      </c>
      <c r="F678">
        <v>7</v>
      </c>
      <c r="G678" t="s">
        <v>610</v>
      </c>
      <c r="H678">
        <v>0</v>
      </c>
      <c r="I678" t="s">
        <v>35</v>
      </c>
      <c r="J678">
        <v>80</v>
      </c>
      <c r="K678">
        <v>1950</v>
      </c>
      <c r="L678">
        <v>7</v>
      </c>
      <c r="M678" s="2" t="s">
        <v>33</v>
      </c>
      <c r="N678" t="b">
        <v>1</v>
      </c>
      <c r="P678" s="2" t="b">
        <v>1</v>
      </c>
      <c r="Q678">
        <v>70</v>
      </c>
      <c r="R678">
        <v>0</v>
      </c>
      <c r="S678">
        <v>0</v>
      </c>
      <c r="T678" t="s">
        <v>712</v>
      </c>
      <c r="U678">
        <v>100</v>
      </c>
      <c r="V678" s="2">
        <v>0.3</v>
      </c>
      <c r="AE678" t="b">
        <v>1</v>
      </c>
      <c r="AZ678" s="2"/>
      <c r="BA678" s="7">
        <v>25</v>
      </c>
      <c r="BB678" t="s">
        <v>937</v>
      </c>
      <c r="BC678" t="s">
        <v>923</v>
      </c>
      <c r="BD678" t="s">
        <v>941</v>
      </c>
      <c r="BE678" t="str">
        <f>IF(OR(Table1[[#This Row],[ENGINE_CLASS]]="STEAM",Table1[[#This Row],[ENGINE_CLASS]]="ELECTRIC",Table1[[#This Row],[ENGINE_CLASS]]="DIESEL"),Table1[[#This Row],[ENGINE_CLASS]],"DISABLE")</f>
        <v>DIESEL</v>
      </c>
      <c r="BF678">
        <v>0</v>
      </c>
      <c r="BG678" t="s">
        <v>735</v>
      </c>
      <c r="BI678"/>
      <c r="BJ678">
        <v>22</v>
      </c>
      <c r="BK678">
        <v>0</v>
      </c>
      <c r="BL678" t="s">
        <v>693</v>
      </c>
      <c r="BM678" t="s">
        <v>695</v>
      </c>
      <c r="BN678" t="s">
        <v>702</v>
      </c>
      <c r="BO678" t="s">
        <v>706</v>
      </c>
      <c r="BP678" t="s">
        <v>707</v>
      </c>
      <c r="BQ678" t="s">
        <v>708</v>
      </c>
    </row>
    <row r="679" spans="1:69" x14ac:dyDescent="0.4">
      <c r="A679" s="2" t="s">
        <v>866</v>
      </c>
      <c r="B679" t="str">
        <f>_xlfn.TEXTAFTER(Table1[[#This Row],[VEHIDCODE]],"_")</f>
        <v>Wagon_Gen4_Gondola</v>
      </c>
      <c r="C679" t="s">
        <v>752</v>
      </c>
      <c r="D679" t="str">
        <f>"item_"&amp;Table1[[#This Row],[VEHIDCODE]]</f>
        <v>item_mu_Wagon_Gen4_Gondola</v>
      </c>
      <c r="E679" t="str">
        <f>"str_"&amp;Table1[[#This Row],[VEHIDCODE]]</f>
        <v>str_mu_Wagon_Gen4_Gondola</v>
      </c>
      <c r="F679">
        <v>7</v>
      </c>
      <c r="G679" t="s">
        <v>605</v>
      </c>
      <c r="H679">
        <v>0</v>
      </c>
      <c r="I679" t="s">
        <v>35</v>
      </c>
      <c r="J679">
        <v>55</v>
      </c>
      <c r="K679">
        <v>1950</v>
      </c>
      <c r="L679">
        <v>7</v>
      </c>
      <c r="M679" s="2" t="s">
        <v>33</v>
      </c>
      <c r="N679" t="b">
        <v>1</v>
      </c>
      <c r="P679" s="2" t="b">
        <v>1</v>
      </c>
      <c r="Q679">
        <v>70</v>
      </c>
      <c r="R679">
        <v>0</v>
      </c>
      <c r="S679">
        <v>0</v>
      </c>
      <c r="T679" t="s">
        <v>712</v>
      </c>
      <c r="U679">
        <v>100</v>
      </c>
      <c r="V679" s="2">
        <v>0.3</v>
      </c>
      <c r="AE679" t="b">
        <v>1</v>
      </c>
      <c r="AZ679" s="2"/>
      <c r="BA679" s="7">
        <v>25</v>
      </c>
      <c r="BB679" t="s">
        <v>937</v>
      </c>
      <c r="BC679" t="s">
        <v>923</v>
      </c>
      <c r="BD679" t="s">
        <v>941</v>
      </c>
      <c r="BE679" t="str">
        <f>IF(OR(Table1[[#This Row],[ENGINE_CLASS]]="STEAM",Table1[[#This Row],[ENGINE_CLASS]]="ELECTRIC",Table1[[#This Row],[ENGINE_CLASS]]="DIESEL"),Table1[[#This Row],[ENGINE_CLASS]],"DISABLE")</f>
        <v>DIESEL</v>
      </c>
      <c r="BF679">
        <v>0</v>
      </c>
      <c r="BG679" t="s">
        <v>735</v>
      </c>
      <c r="BI679"/>
      <c r="BJ679">
        <v>22</v>
      </c>
      <c r="BK679">
        <v>0</v>
      </c>
      <c r="BL679" t="s">
        <v>693</v>
      </c>
      <c r="BM679" t="s">
        <v>695</v>
      </c>
      <c r="BN679" t="s">
        <v>702</v>
      </c>
      <c r="BO679" t="s">
        <v>706</v>
      </c>
      <c r="BP679" t="s">
        <v>707</v>
      </c>
      <c r="BQ679" t="s">
        <v>708</v>
      </c>
    </row>
    <row r="680" spans="1:69" x14ac:dyDescent="0.4">
      <c r="A680" s="2" t="s">
        <v>867</v>
      </c>
      <c r="B680" t="str">
        <f>_xlfn.TEXTAFTER(Table1[[#This Row],[VEHIDCODE]],"_")</f>
        <v>Wagon_Gen4_Silo_Type1</v>
      </c>
      <c r="C680" t="s">
        <v>752</v>
      </c>
      <c r="D680" t="str">
        <f>"item_"&amp;Table1[[#This Row],[VEHIDCODE]]</f>
        <v>item_mu_Wagon_Gen4_Silo_Type1</v>
      </c>
      <c r="E680" t="str">
        <f>"str_"&amp;Table1[[#This Row],[VEHIDCODE]]</f>
        <v>str_mu_Wagon_Gen4_Silo_Type1</v>
      </c>
      <c r="F680">
        <v>7</v>
      </c>
      <c r="G680" t="s">
        <v>608</v>
      </c>
      <c r="H680">
        <v>0</v>
      </c>
      <c r="I680" t="s">
        <v>35</v>
      </c>
      <c r="J680">
        <v>55</v>
      </c>
      <c r="K680">
        <v>1950</v>
      </c>
      <c r="L680">
        <v>7</v>
      </c>
      <c r="M680" s="2" t="s">
        <v>33</v>
      </c>
      <c r="N680" t="b">
        <v>1</v>
      </c>
      <c r="P680" s="2" t="b">
        <v>1</v>
      </c>
      <c r="Q680">
        <v>70</v>
      </c>
      <c r="R680">
        <v>0</v>
      </c>
      <c r="S680">
        <v>0</v>
      </c>
      <c r="T680" t="s">
        <v>712</v>
      </c>
      <c r="U680">
        <v>100</v>
      </c>
      <c r="V680" s="2">
        <v>0.3</v>
      </c>
      <c r="AE680" t="b">
        <v>1</v>
      </c>
      <c r="AZ680" s="2"/>
      <c r="BA680" s="7">
        <v>25</v>
      </c>
      <c r="BB680" t="s">
        <v>934</v>
      </c>
      <c r="BC680" t="s">
        <v>923</v>
      </c>
      <c r="BD680" t="s">
        <v>941</v>
      </c>
      <c r="BE680" t="str">
        <f>IF(OR(Table1[[#This Row],[ENGINE_CLASS]]="STEAM",Table1[[#This Row],[ENGINE_CLASS]]="ELECTRIC",Table1[[#This Row],[ENGINE_CLASS]]="DIESEL"),Table1[[#This Row],[ENGINE_CLASS]],"DISABLE")</f>
        <v>DIESEL</v>
      </c>
      <c r="BF680">
        <v>0</v>
      </c>
      <c r="BG680" t="s">
        <v>735</v>
      </c>
      <c r="BI680"/>
      <c r="BJ680">
        <v>25</v>
      </c>
      <c r="BK680">
        <v>0</v>
      </c>
      <c r="BL680" t="s">
        <v>693</v>
      </c>
      <c r="BM680" t="s">
        <v>695</v>
      </c>
      <c r="BN680" t="s">
        <v>702</v>
      </c>
      <c r="BO680" t="s">
        <v>706</v>
      </c>
      <c r="BP680" t="s">
        <v>707</v>
      </c>
      <c r="BQ680" t="s">
        <v>708</v>
      </c>
    </row>
    <row r="681" spans="1:69" x14ac:dyDescent="0.4">
      <c r="A681" s="2" t="s">
        <v>868</v>
      </c>
      <c r="B681" t="str">
        <f>_xlfn.TEXTAFTER(Table1[[#This Row],[VEHIDCODE]],"_")</f>
        <v>Wagon_Gen4_Silo_Type2</v>
      </c>
      <c r="C681" t="s">
        <v>752</v>
      </c>
      <c r="D681" t="str">
        <f>"item_"&amp;Table1[[#This Row],[VEHIDCODE]]</f>
        <v>item_mu_Wagon_Gen4_Silo_Type2</v>
      </c>
      <c r="E681" t="str">
        <f>"str_"&amp;Table1[[#This Row],[VEHIDCODE]]</f>
        <v>str_mu_Wagon_Gen4_Silo_Type2</v>
      </c>
      <c r="F681">
        <v>7</v>
      </c>
      <c r="G681" t="s">
        <v>608</v>
      </c>
      <c r="H681">
        <v>0</v>
      </c>
      <c r="I681" t="s">
        <v>35</v>
      </c>
      <c r="J681">
        <v>55</v>
      </c>
      <c r="K681">
        <v>1950</v>
      </c>
      <c r="L681">
        <v>7</v>
      </c>
      <c r="M681" s="2" t="s">
        <v>33</v>
      </c>
      <c r="N681" t="b">
        <v>1</v>
      </c>
      <c r="P681" s="2" t="b">
        <v>1</v>
      </c>
      <c r="Q681">
        <v>70</v>
      </c>
      <c r="R681">
        <v>0</v>
      </c>
      <c r="S681">
        <v>0</v>
      </c>
      <c r="T681" t="s">
        <v>712</v>
      </c>
      <c r="U681">
        <v>100</v>
      </c>
      <c r="V681" s="2">
        <v>0.3</v>
      </c>
      <c r="AE681" t="b">
        <v>1</v>
      </c>
      <c r="AZ681" s="2"/>
      <c r="BA681" s="7">
        <v>25</v>
      </c>
      <c r="BB681" t="s">
        <v>935</v>
      </c>
      <c r="BC681" t="s">
        <v>923</v>
      </c>
      <c r="BD681" t="s">
        <v>941</v>
      </c>
      <c r="BE681" t="str">
        <f>IF(OR(Table1[[#This Row],[ENGINE_CLASS]]="STEAM",Table1[[#This Row],[ENGINE_CLASS]]="ELECTRIC",Table1[[#This Row],[ENGINE_CLASS]]="DIESEL"),Table1[[#This Row],[ENGINE_CLASS]],"DISABLE")</f>
        <v>DIESEL</v>
      </c>
      <c r="BF681">
        <v>0</v>
      </c>
      <c r="BG681" t="s">
        <v>735</v>
      </c>
      <c r="BI681"/>
      <c r="BJ681">
        <v>25</v>
      </c>
      <c r="BK681">
        <v>0</v>
      </c>
      <c r="BL681" t="s">
        <v>693</v>
      </c>
      <c r="BM681" t="s">
        <v>695</v>
      </c>
      <c r="BN681" t="s">
        <v>702</v>
      </c>
      <c r="BO681" t="s">
        <v>706</v>
      </c>
      <c r="BP681" t="s">
        <v>707</v>
      </c>
      <c r="BQ681" t="s">
        <v>708</v>
      </c>
    </row>
    <row r="682" spans="1:69" x14ac:dyDescent="0.4">
      <c r="A682" s="2" t="s">
        <v>869</v>
      </c>
      <c r="B682" t="str">
        <f>_xlfn.TEXTAFTER(Table1[[#This Row],[VEHIDCODE]],"_")</f>
        <v>Wagon_Gen4_Hopper_Type1</v>
      </c>
      <c r="C682" t="s">
        <v>752</v>
      </c>
      <c r="D682" t="str">
        <f>"item_"&amp;Table1[[#This Row],[VEHIDCODE]]</f>
        <v>item_mu_Wagon_Gen4_Hopper_Type1</v>
      </c>
      <c r="E682" t="str">
        <f>"str_"&amp;Table1[[#This Row],[VEHIDCODE]]</f>
        <v>str_mu_Wagon_Gen4_Hopper_Type1</v>
      </c>
      <c r="F682">
        <v>7</v>
      </c>
      <c r="G682" t="s">
        <v>607</v>
      </c>
      <c r="H682">
        <v>0</v>
      </c>
      <c r="I682" t="s">
        <v>35</v>
      </c>
      <c r="J682">
        <v>55</v>
      </c>
      <c r="K682">
        <v>1960</v>
      </c>
      <c r="L682">
        <v>7</v>
      </c>
      <c r="M682" s="2" t="s">
        <v>33</v>
      </c>
      <c r="N682" t="b">
        <v>1</v>
      </c>
      <c r="P682" s="2" t="b">
        <v>1</v>
      </c>
      <c r="Q682">
        <v>60</v>
      </c>
      <c r="R682">
        <v>0</v>
      </c>
      <c r="S682">
        <v>0</v>
      </c>
      <c r="T682" t="s">
        <v>712</v>
      </c>
      <c r="U682">
        <v>100</v>
      </c>
      <c r="V682" s="2">
        <v>0.3</v>
      </c>
      <c r="AE682" t="b">
        <v>1</v>
      </c>
      <c r="AZ682" s="2"/>
      <c r="BA682" s="7">
        <v>25</v>
      </c>
      <c r="BB682" t="s">
        <v>934</v>
      </c>
      <c r="BC682" t="s">
        <v>923</v>
      </c>
      <c r="BD682" t="s">
        <v>941</v>
      </c>
      <c r="BE682" t="str">
        <f>IF(OR(Table1[[#This Row],[ENGINE_CLASS]]="STEAM",Table1[[#This Row],[ENGINE_CLASS]]="ELECTRIC",Table1[[#This Row],[ENGINE_CLASS]]="DIESEL"),Table1[[#This Row],[ENGINE_CLASS]],"DISABLE")</f>
        <v>DIESEL</v>
      </c>
      <c r="BF682">
        <v>0</v>
      </c>
      <c r="BG682" t="s">
        <v>735</v>
      </c>
      <c r="BI682"/>
      <c r="BJ682">
        <v>25</v>
      </c>
      <c r="BK682">
        <v>0</v>
      </c>
      <c r="BL682" t="s">
        <v>693</v>
      </c>
      <c r="BM682" t="s">
        <v>695</v>
      </c>
      <c r="BN682" t="s">
        <v>702</v>
      </c>
      <c r="BO682" t="s">
        <v>706</v>
      </c>
      <c r="BP682" t="s">
        <v>707</v>
      </c>
      <c r="BQ682" t="s">
        <v>708</v>
      </c>
    </row>
    <row r="683" spans="1:69" x14ac:dyDescent="0.4">
      <c r="A683" s="2" t="s">
        <v>870</v>
      </c>
      <c r="B683" t="str">
        <f>_xlfn.TEXTAFTER(Table1[[#This Row],[VEHIDCODE]],"_")</f>
        <v>Wagon_Gen4_Hopper_Type2</v>
      </c>
      <c r="C683" t="s">
        <v>752</v>
      </c>
      <c r="D683" t="str">
        <f>"item_"&amp;Table1[[#This Row],[VEHIDCODE]]</f>
        <v>item_mu_Wagon_Gen4_Hopper_Type2</v>
      </c>
      <c r="E683" t="str">
        <f>"str_"&amp;Table1[[#This Row],[VEHIDCODE]]</f>
        <v>str_mu_Wagon_Gen4_Hopper_Type2</v>
      </c>
      <c r="F683">
        <v>7</v>
      </c>
      <c r="G683" t="s">
        <v>607</v>
      </c>
      <c r="H683">
        <v>0</v>
      </c>
      <c r="I683" t="s">
        <v>35</v>
      </c>
      <c r="J683">
        <v>55</v>
      </c>
      <c r="K683">
        <v>1960</v>
      </c>
      <c r="L683">
        <v>7</v>
      </c>
      <c r="M683" s="2" t="s">
        <v>33</v>
      </c>
      <c r="N683" t="b">
        <v>1</v>
      </c>
      <c r="P683" s="2" t="b">
        <v>1</v>
      </c>
      <c r="Q683">
        <v>60</v>
      </c>
      <c r="R683">
        <v>0</v>
      </c>
      <c r="S683">
        <v>0</v>
      </c>
      <c r="T683" t="s">
        <v>712</v>
      </c>
      <c r="U683">
        <v>100</v>
      </c>
      <c r="V683" s="2">
        <v>0.3</v>
      </c>
      <c r="AE683" t="b">
        <v>1</v>
      </c>
      <c r="AZ683" s="2"/>
      <c r="BA683" s="7">
        <v>25</v>
      </c>
      <c r="BB683" t="s">
        <v>935</v>
      </c>
      <c r="BC683" t="s">
        <v>923</v>
      </c>
      <c r="BD683" t="s">
        <v>941</v>
      </c>
      <c r="BE683" t="str">
        <f>IF(OR(Table1[[#This Row],[ENGINE_CLASS]]="STEAM",Table1[[#This Row],[ENGINE_CLASS]]="ELECTRIC",Table1[[#This Row],[ENGINE_CLASS]]="DIESEL"),Table1[[#This Row],[ENGINE_CLASS]],"DISABLE")</f>
        <v>DIESEL</v>
      </c>
      <c r="BF683">
        <v>0</v>
      </c>
      <c r="BG683" t="s">
        <v>735</v>
      </c>
      <c r="BI683"/>
      <c r="BJ683">
        <v>25</v>
      </c>
      <c r="BK683">
        <v>0</v>
      </c>
      <c r="BL683" t="s">
        <v>693</v>
      </c>
      <c r="BM683" t="s">
        <v>695</v>
      </c>
      <c r="BN683" t="s">
        <v>702</v>
      </c>
      <c r="BO683" t="s">
        <v>706</v>
      </c>
      <c r="BP683" t="s">
        <v>707</v>
      </c>
      <c r="BQ683" t="s">
        <v>708</v>
      </c>
    </row>
    <row r="684" spans="1:69" x14ac:dyDescent="0.4">
      <c r="A684" s="2" t="s">
        <v>871</v>
      </c>
      <c r="B684" t="str">
        <f>_xlfn.TEXTAFTER(Table1[[#This Row],[VEHIDCODE]],"_")</f>
        <v>Wagon_Gen4_Car_Transporter</v>
      </c>
      <c r="C684" t="s">
        <v>752</v>
      </c>
      <c r="D684" t="str">
        <f>"item_"&amp;Table1[[#This Row],[VEHIDCODE]]</f>
        <v>item_mu_Wagon_Gen4_Car_Transporter</v>
      </c>
      <c r="E684" t="str">
        <f>"str_"&amp;Table1[[#This Row],[VEHIDCODE]]</f>
        <v>str_mu_Wagon_Gen4_Car_Transporter</v>
      </c>
      <c r="F684">
        <v>7</v>
      </c>
      <c r="G684" t="s">
        <v>601</v>
      </c>
      <c r="H684">
        <v>0</v>
      </c>
      <c r="I684" t="s">
        <v>35</v>
      </c>
      <c r="J684">
        <v>16</v>
      </c>
      <c r="K684">
        <v>1960</v>
      </c>
      <c r="L684">
        <v>7</v>
      </c>
      <c r="M684" s="2" t="s">
        <v>33</v>
      </c>
      <c r="N684" t="b">
        <v>1</v>
      </c>
      <c r="P684" s="2" t="b">
        <v>1</v>
      </c>
      <c r="Q684">
        <v>60</v>
      </c>
      <c r="R684">
        <v>0</v>
      </c>
      <c r="S684">
        <v>0</v>
      </c>
      <c r="T684" t="s">
        <v>712</v>
      </c>
      <c r="U684">
        <v>100</v>
      </c>
      <c r="V684" s="2">
        <v>0.3</v>
      </c>
      <c r="AE684" t="b">
        <v>1</v>
      </c>
      <c r="AZ684" s="2"/>
      <c r="BA684" s="7">
        <v>25</v>
      </c>
      <c r="BB684" t="s">
        <v>937</v>
      </c>
      <c r="BC684" t="s">
        <v>923</v>
      </c>
      <c r="BD684" t="s">
        <v>941</v>
      </c>
      <c r="BE684" t="str">
        <f>IF(OR(Table1[[#This Row],[ENGINE_CLASS]]="STEAM",Table1[[#This Row],[ENGINE_CLASS]]="ELECTRIC",Table1[[#This Row],[ENGINE_CLASS]]="DIESEL"),Table1[[#This Row],[ENGINE_CLASS]],"DISABLE")</f>
        <v>DIESEL</v>
      </c>
      <c r="BF684">
        <v>0</v>
      </c>
      <c r="BG684" t="s">
        <v>735</v>
      </c>
      <c r="BI684"/>
      <c r="BJ684">
        <v>26</v>
      </c>
      <c r="BK684">
        <v>0</v>
      </c>
      <c r="BL684" t="s">
        <v>693</v>
      </c>
      <c r="BM684" t="s">
        <v>695</v>
      </c>
      <c r="BN684" t="s">
        <v>702</v>
      </c>
      <c r="BO684" t="s">
        <v>706</v>
      </c>
      <c r="BP684" t="s">
        <v>707</v>
      </c>
      <c r="BQ684" t="s">
        <v>708</v>
      </c>
    </row>
    <row r="685" spans="1:69" x14ac:dyDescent="0.4">
      <c r="A685" s="2" t="s">
        <v>872</v>
      </c>
      <c r="B685" t="str">
        <f>_xlfn.TEXTAFTER(Table1[[#This Row],[VEHIDCODE]],"_")</f>
        <v>Wagon_Gen4_Container_Carrier</v>
      </c>
      <c r="C685" t="s">
        <v>752</v>
      </c>
      <c r="D685" t="str">
        <f>"item_"&amp;Table1[[#This Row],[VEHIDCODE]]</f>
        <v>item_mu_Wagon_Gen4_Container_Carrier</v>
      </c>
      <c r="E685" t="str">
        <f>"str_"&amp;Table1[[#This Row],[VEHIDCODE]]</f>
        <v>str_mu_Wagon_Gen4_Container_Carrier</v>
      </c>
      <c r="F685">
        <v>7</v>
      </c>
      <c r="G685" t="s">
        <v>533</v>
      </c>
      <c r="H685">
        <v>0</v>
      </c>
      <c r="I685" t="s">
        <v>35</v>
      </c>
      <c r="J685">
        <v>37</v>
      </c>
      <c r="K685">
        <v>1960</v>
      </c>
      <c r="L685">
        <v>7</v>
      </c>
      <c r="M685" s="2" t="s">
        <v>33</v>
      </c>
      <c r="N685" t="b">
        <v>1</v>
      </c>
      <c r="P685" s="2" t="b">
        <v>1</v>
      </c>
      <c r="Q685">
        <v>60</v>
      </c>
      <c r="R685">
        <v>0</v>
      </c>
      <c r="S685">
        <v>0</v>
      </c>
      <c r="T685" t="s">
        <v>712</v>
      </c>
      <c r="U685">
        <v>120</v>
      </c>
      <c r="V685" s="2">
        <v>0.3</v>
      </c>
      <c r="AE685" t="b">
        <v>1</v>
      </c>
      <c r="AZ685" s="2"/>
      <c r="BA685" s="7">
        <v>25</v>
      </c>
      <c r="BB685" t="s">
        <v>937</v>
      </c>
      <c r="BC685" t="s">
        <v>923</v>
      </c>
      <c r="BD685" t="s">
        <v>941</v>
      </c>
      <c r="BE685" t="str">
        <f>IF(OR(Table1[[#This Row],[ENGINE_CLASS]]="STEAM",Table1[[#This Row],[ENGINE_CLASS]]="ELECTRIC",Table1[[#This Row],[ENGINE_CLASS]]="DIESEL"),Table1[[#This Row],[ENGINE_CLASS]],"DISABLE")</f>
        <v>DIESEL</v>
      </c>
      <c r="BF685">
        <v>0</v>
      </c>
      <c r="BG685" t="s">
        <v>735</v>
      </c>
      <c r="BI685"/>
      <c r="BJ685">
        <v>19</v>
      </c>
      <c r="BK685">
        <v>0</v>
      </c>
      <c r="BL685" t="s">
        <v>693</v>
      </c>
      <c r="BM685" t="s">
        <v>695</v>
      </c>
      <c r="BN685" t="s">
        <v>702</v>
      </c>
      <c r="BO685" t="s">
        <v>706</v>
      </c>
      <c r="BP685" t="s">
        <v>707</v>
      </c>
      <c r="BQ685" t="s">
        <v>708</v>
      </c>
    </row>
    <row r="686" spans="1:69" x14ac:dyDescent="0.4">
      <c r="A686" s="2" t="s">
        <v>873</v>
      </c>
      <c r="B686" t="str">
        <f>_xlfn.TEXTAFTER(Table1[[#This Row],[VEHIDCODE]],"_")</f>
        <v>Wagon_Gen4_Centerbeam</v>
      </c>
      <c r="C686" t="s">
        <v>752</v>
      </c>
      <c r="D686" t="str">
        <f>"item_"&amp;Table1[[#This Row],[VEHIDCODE]]</f>
        <v>item_mu_Wagon_Gen4_Centerbeam</v>
      </c>
      <c r="E686" t="str">
        <f>"str_"&amp;Table1[[#This Row],[VEHIDCODE]]</f>
        <v>str_mu_Wagon_Gen4_Centerbeam</v>
      </c>
      <c r="F686">
        <v>7</v>
      </c>
      <c r="G686" t="s">
        <v>602</v>
      </c>
      <c r="H686">
        <v>0</v>
      </c>
      <c r="I686" t="s">
        <v>35</v>
      </c>
      <c r="J686">
        <v>45</v>
      </c>
      <c r="K686">
        <v>1950</v>
      </c>
      <c r="L686">
        <v>7</v>
      </c>
      <c r="M686" s="2" t="s">
        <v>33</v>
      </c>
      <c r="N686" t="b">
        <v>1</v>
      </c>
      <c r="P686" s="2" t="b">
        <v>1</v>
      </c>
      <c r="Q686">
        <v>70</v>
      </c>
      <c r="R686">
        <v>0</v>
      </c>
      <c r="S686">
        <v>0</v>
      </c>
      <c r="T686" t="s">
        <v>712</v>
      </c>
      <c r="U686">
        <v>100</v>
      </c>
      <c r="V686" s="2">
        <v>0.3</v>
      </c>
      <c r="AE686" t="b">
        <v>1</v>
      </c>
      <c r="AZ686" s="2"/>
      <c r="BA686" s="7">
        <v>25</v>
      </c>
      <c r="BB686" t="s">
        <v>937</v>
      </c>
      <c r="BC686" t="s">
        <v>923</v>
      </c>
      <c r="BD686" t="s">
        <v>941</v>
      </c>
      <c r="BE686" t="str">
        <f>IF(OR(Table1[[#This Row],[ENGINE_CLASS]]="STEAM",Table1[[#This Row],[ENGINE_CLASS]]="ELECTRIC",Table1[[#This Row],[ENGINE_CLASS]]="DIESEL"),Table1[[#This Row],[ENGINE_CLASS]],"DISABLE")</f>
        <v>DIESEL</v>
      </c>
      <c r="BF686">
        <v>0</v>
      </c>
      <c r="BG686" t="s">
        <v>735</v>
      </c>
      <c r="BI686"/>
      <c r="BJ686">
        <v>42</v>
      </c>
      <c r="BK686">
        <v>0</v>
      </c>
      <c r="BL686" t="s">
        <v>693</v>
      </c>
      <c r="BM686" t="s">
        <v>695</v>
      </c>
      <c r="BN686" t="s">
        <v>702</v>
      </c>
      <c r="BO686" t="s">
        <v>706</v>
      </c>
      <c r="BP686" t="s">
        <v>707</v>
      </c>
      <c r="BQ686" t="s">
        <v>708</v>
      </c>
    </row>
    <row r="687" spans="1:69" x14ac:dyDescent="0.4">
      <c r="A687" s="2" t="s">
        <v>874</v>
      </c>
      <c r="B687" t="str">
        <f>_xlfn.TEXTAFTER(Table1[[#This Row],[VEHIDCODE]],"_")</f>
        <v>Wagon_Gen5_Flatcar</v>
      </c>
      <c r="C687" t="s">
        <v>753</v>
      </c>
      <c r="D687" t="str">
        <f>"item_"&amp;Table1[[#This Row],[VEHIDCODE]]</f>
        <v>item_mu_Wagon_Gen5_Flatcar</v>
      </c>
      <c r="E687" t="str">
        <f>"str_"&amp;Table1[[#This Row],[VEHIDCODE]]</f>
        <v>str_mu_Wagon_Gen5_Flatcar</v>
      </c>
      <c r="F687">
        <v>8</v>
      </c>
      <c r="G687" t="s">
        <v>604</v>
      </c>
      <c r="H687">
        <v>0</v>
      </c>
      <c r="I687" t="s">
        <v>35</v>
      </c>
      <c r="J687">
        <v>60</v>
      </c>
      <c r="K687">
        <v>1990</v>
      </c>
      <c r="L687">
        <v>8</v>
      </c>
      <c r="M687" s="2" t="s">
        <v>33</v>
      </c>
      <c r="N687" t="b">
        <v>1</v>
      </c>
      <c r="P687" s="2" t="b">
        <v>1</v>
      </c>
      <c r="Q687" t="s">
        <v>21</v>
      </c>
      <c r="R687">
        <v>0</v>
      </c>
      <c r="S687">
        <v>0</v>
      </c>
      <c r="T687" t="s">
        <v>712</v>
      </c>
      <c r="U687">
        <v>120</v>
      </c>
      <c r="V687" s="2">
        <v>0.3</v>
      </c>
      <c r="AE687" t="b">
        <v>1</v>
      </c>
      <c r="AZ687" s="2"/>
      <c r="BA687" s="7">
        <v>25</v>
      </c>
      <c r="BB687" t="s">
        <v>937</v>
      </c>
      <c r="BC687" t="s">
        <v>923</v>
      </c>
      <c r="BD687" t="s">
        <v>941</v>
      </c>
      <c r="BE687" t="str">
        <f>IF(OR(Table1[[#This Row],[ENGINE_CLASS]]="STEAM",Table1[[#This Row],[ENGINE_CLASS]]="ELECTRIC",Table1[[#This Row],[ENGINE_CLASS]]="DIESEL"),Table1[[#This Row],[ENGINE_CLASS]],"DISABLE")</f>
        <v>DIESEL</v>
      </c>
      <c r="BF687">
        <v>0</v>
      </c>
      <c r="BG687" t="s">
        <v>735</v>
      </c>
      <c r="BI687"/>
      <c r="BJ687">
        <v>23</v>
      </c>
      <c r="BK687">
        <v>0</v>
      </c>
      <c r="BL687" t="s">
        <v>693</v>
      </c>
      <c r="BM687" t="s">
        <v>695</v>
      </c>
      <c r="BN687" t="s">
        <v>702</v>
      </c>
      <c r="BO687" t="s">
        <v>706</v>
      </c>
      <c r="BP687" t="s">
        <v>707</v>
      </c>
      <c r="BQ687" t="s">
        <v>708</v>
      </c>
    </row>
    <row r="688" spans="1:69" x14ac:dyDescent="0.4">
      <c r="A688" s="2" t="s">
        <v>875</v>
      </c>
      <c r="B688" t="str">
        <f>_xlfn.TEXTAFTER(Table1[[#This Row],[VEHIDCODE]],"_")</f>
        <v>Wagon_Gen5_Heavy_Flatcar</v>
      </c>
      <c r="C688" t="s">
        <v>753</v>
      </c>
      <c r="D688" t="str">
        <f>"item_"&amp;Table1[[#This Row],[VEHIDCODE]]</f>
        <v>item_mu_Wagon_Gen5_Heavy_Flatcar</v>
      </c>
      <c r="E688" t="str">
        <f>"str_"&amp;Table1[[#This Row],[VEHIDCODE]]</f>
        <v>str_mu_Wagon_Gen5_Heavy_Flatcar</v>
      </c>
      <c r="F688">
        <v>8</v>
      </c>
      <c r="G688" t="s">
        <v>606</v>
      </c>
      <c r="H688">
        <v>0</v>
      </c>
      <c r="I688" t="s">
        <v>35</v>
      </c>
      <c r="J688">
        <v>84</v>
      </c>
      <c r="K688">
        <v>2000</v>
      </c>
      <c r="L688">
        <v>8</v>
      </c>
      <c r="M688" s="2" t="s">
        <v>33</v>
      </c>
      <c r="N688" t="b">
        <v>1</v>
      </c>
      <c r="P688" s="2" t="b">
        <v>1</v>
      </c>
      <c r="Q688" t="s">
        <v>21</v>
      </c>
      <c r="R688">
        <v>0</v>
      </c>
      <c r="S688">
        <v>0</v>
      </c>
      <c r="T688" t="s">
        <v>712</v>
      </c>
      <c r="U688">
        <v>100</v>
      </c>
      <c r="V688" s="2">
        <v>0.3</v>
      </c>
      <c r="AE688" t="b">
        <v>1</v>
      </c>
      <c r="AZ688" s="2"/>
      <c r="BA688" s="7">
        <v>25</v>
      </c>
      <c r="BB688" t="s">
        <v>937</v>
      </c>
      <c r="BC688" t="s">
        <v>923</v>
      </c>
      <c r="BD688" t="s">
        <v>941</v>
      </c>
      <c r="BE688" t="str">
        <f>IF(OR(Table1[[#This Row],[ENGINE_CLASS]]="STEAM",Table1[[#This Row],[ENGINE_CLASS]]="ELECTRIC",Table1[[#This Row],[ENGINE_CLASS]]="DIESEL"),Table1[[#This Row],[ENGINE_CLASS]],"DISABLE")</f>
        <v>DIESEL</v>
      </c>
      <c r="BF688">
        <v>0</v>
      </c>
      <c r="BG688" t="s">
        <v>735</v>
      </c>
      <c r="BI688"/>
      <c r="BJ688">
        <v>42</v>
      </c>
      <c r="BK688">
        <v>0</v>
      </c>
      <c r="BL688" t="s">
        <v>693</v>
      </c>
      <c r="BM688" t="s">
        <v>695</v>
      </c>
      <c r="BN688" t="s">
        <v>702</v>
      </c>
      <c r="BO688" t="s">
        <v>706</v>
      </c>
      <c r="BP688" t="s">
        <v>707</v>
      </c>
      <c r="BQ688" t="s">
        <v>708</v>
      </c>
    </row>
    <row r="689" spans="1:69" x14ac:dyDescent="0.4">
      <c r="A689" s="2" t="s">
        <v>876</v>
      </c>
      <c r="B689" t="str">
        <f>_xlfn.TEXTAFTER(Table1[[#This Row],[VEHIDCODE]],"_")</f>
        <v>Wagon_Gen5_Boxcar_Type1</v>
      </c>
      <c r="C689" t="s">
        <v>753</v>
      </c>
      <c r="D689" t="str">
        <f>"item_"&amp;Table1[[#This Row],[VEHIDCODE]]</f>
        <v>item_mu_Wagon_Gen5_Boxcar_Type1</v>
      </c>
      <c r="E689" t="str">
        <f>"str_"&amp;Table1[[#This Row],[VEHIDCODE]]</f>
        <v>str_mu_Wagon_Gen5_Boxcar_Type1</v>
      </c>
      <c r="F689">
        <v>8</v>
      </c>
      <c r="G689" t="s">
        <v>600</v>
      </c>
      <c r="H689">
        <v>0</v>
      </c>
      <c r="I689" t="s">
        <v>35</v>
      </c>
      <c r="J689">
        <v>63</v>
      </c>
      <c r="K689">
        <v>1990</v>
      </c>
      <c r="L689">
        <v>8</v>
      </c>
      <c r="M689" s="2" t="s">
        <v>33</v>
      </c>
      <c r="N689" t="b">
        <v>1</v>
      </c>
      <c r="P689" s="2" t="b">
        <v>1</v>
      </c>
      <c r="Q689" t="s">
        <v>21</v>
      </c>
      <c r="R689">
        <v>0</v>
      </c>
      <c r="S689">
        <v>0</v>
      </c>
      <c r="T689" t="s">
        <v>712</v>
      </c>
      <c r="U689">
        <v>120</v>
      </c>
      <c r="V689" s="2">
        <v>0.3</v>
      </c>
      <c r="AE689" t="b">
        <v>1</v>
      </c>
      <c r="AZ689" s="2"/>
      <c r="BA689" s="7">
        <v>25</v>
      </c>
      <c r="BB689" t="s">
        <v>934</v>
      </c>
      <c r="BC689" t="s">
        <v>923</v>
      </c>
      <c r="BD689" t="s">
        <v>941</v>
      </c>
      <c r="BE689" t="str">
        <f>IF(OR(Table1[[#This Row],[ENGINE_CLASS]]="STEAM",Table1[[#This Row],[ENGINE_CLASS]]="ELECTRIC",Table1[[#This Row],[ENGINE_CLASS]]="DIESEL"),Table1[[#This Row],[ENGINE_CLASS]],"DISABLE")</f>
        <v>DIESEL</v>
      </c>
      <c r="BF689">
        <v>0</v>
      </c>
      <c r="BG689" t="s">
        <v>735</v>
      </c>
      <c r="BI689"/>
      <c r="BJ689">
        <v>27</v>
      </c>
      <c r="BK689">
        <v>0</v>
      </c>
      <c r="BL689" t="s">
        <v>693</v>
      </c>
      <c r="BM689" t="s">
        <v>695</v>
      </c>
      <c r="BN689" t="s">
        <v>702</v>
      </c>
      <c r="BO689" t="s">
        <v>706</v>
      </c>
      <c r="BP689" t="s">
        <v>707</v>
      </c>
      <c r="BQ689" t="s">
        <v>708</v>
      </c>
    </row>
    <row r="690" spans="1:69" x14ac:dyDescent="0.4">
      <c r="A690" s="2" t="s">
        <v>877</v>
      </c>
      <c r="B690" t="str">
        <f>_xlfn.TEXTAFTER(Table1[[#This Row],[VEHIDCODE]],"_")</f>
        <v>Wagon_Gen5_Boxcar_Type2</v>
      </c>
      <c r="C690" t="s">
        <v>753</v>
      </c>
      <c r="D690" t="str">
        <f>"item_"&amp;Table1[[#This Row],[VEHIDCODE]]</f>
        <v>item_mu_Wagon_Gen5_Boxcar_Type2</v>
      </c>
      <c r="E690" t="str">
        <f>"str_"&amp;Table1[[#This Row],[VEHIDCODE]]</f>
        <v>str_mu_Wagon_Gen5_Boxcar_Type2</v>
      </c>
      <c r="F690">
        <v>8</v>
      </c>
      <c r="G690" t="s">
        <v>600</v>
      </c>
      <c r="H690">
        <v>0</v>
      </c>
      <c r="I690" t="s">
        <v>35</v>
      </c>
      <c r="J690">
        <v>63</v>
      </c>
      <c r="K690">
        <v>1990</v>
      </c>
      <c r="L690">
        <v>8</v>
      </c>
      <c r="M690" s="2" t="s">
        <v>33</v>
      </c>
      <c r="N690" t="b">
        <v>1</v>
      </c>
      <c r="P690" s="2" t="b">
        <v>1</v>
      </c>
      <c r="Q690" t="s">
        <v>21</v>
      </c>
      <c r="R690">
        <v>0</v>
      </c>
      <c r="S690">
        <v>0</v>
      </c>
      <c r="T690" t="s">
        <v>712</v>
      </c>
      <c r="U690">
        <v>120</v>
      </c>
      <c r="V690" s="2">
        <v>0.3</v>
      </c>
      <c r="AE690" t="b">
        <v>1</v>
      </c>
      <c r="AZ690" s="2"/>
      <c r="BA690" s="7">
        <v>25</v>
      </c>
      <c r="BB690" t="s">
        <v>935</v>
      </c>
      <c r="BC690" t="s">
        <v>923</v>
      </c>
      <c r="BD690" t="s">
        <v>941</v>
      </c>
      <c r="BE690" t="str">
        <f>IF(OR(Table1[[#This Row],[ENGINE_CLASS]]="STEAM",Table1[[#This Row],[ENGINE_CLASS]]="ELECTRIC",Table1[[#This Row],[ENGINE_CLASS]]="DIESEL"),Table1[[#This Row],[ENGINE_CLASS]],"DISABLE")</f>
        <v>DIESEL</v>
      </c>
      <c r="BF690">
        <v>0</v>
      </c>
      <c r="BG690" t="s">
        <v>735</v>
      </c>
      <c r="BI690"/>
      <c r="BJ690">
        <v>27</v>
      </c>
      <c r="BK690">
        <v>0</v>
      </c>
      <c r="BL690" t="s">
        <v>693</v>
      </c>
      <c r="BM690" t="s">
        <v>695</v>
      </c>
      <c r="BN690" t="s">
        <v>702</v>
      </c>
      <c r="BO690" t="s">
        <v>706</v>
      </c>
      <c r="BP690" t="s">
        <v>707</v>
      </c>
      <c r="BQ690" t="s">
        <v>708</v>
      </c>
    </row>
    <row r="691" spans="1:69" x14ac:dyDescent="0.4">
      <c r="A691" s="2" t="s">
        <v>878</v>
      </c>
      <c r="B691" t="str">
        <f>_xlfn.TEXTAFTER(Table1[[#This Row],[VEHIDCODE]],"_")</f>
        <v>Wagon_Gen5_Tanker</v>
      </c>
      <c r="C691" t="s">
        <v>753</v>
      </c>
      <c r="D691" t="str">
        <f>"item_"&amp;Table1[[#This Row],[VEHIDCODE]]</f>
        <v>item_mu_Wagon_Gen5_Tanker</v>
      </c>
      <c r="E691" t="str">
        <f>"str_"&amp;Table1[[#This Row],[VEHIDCODE]]</f>
        <v>str_mu_Wagon_Gen5_Tanker</v>
      </c>
      <c r="F691">
        <v>8</v>
      </c>
      <c r="G691" t="s">
        <v>610</v>
      </c>
      <c r="H691">
        <v>0</v>
      </c>
      <c r="I691" t="s">
        <v>35</v>
      </c>
      <c r="J691">
        <v>95</v>
      </c>
      <c r="K691">
        <v>2000</v>
      </c>
      <c r="L691">
        <v>8</v>
      </c>
      <c r="M691" s="2" t="s">
        <v>33</v>
      </c>
      <c r="N691" t="b">
        <v>1</v>
      </c>
      <c r="P691" s="2" t="b">
        <v>1</v>
      </c>
      <c r="Q691" t="s">
        <v>21</v>
      </c>
      <c r="R691">
        <v>0</v>
      </c>
      <c r="S691">
        <v>0</v>
      </c>
      <c r="T691" t="s">
        <v>712</v>
      </c>
      <c r="U691">
        <v>120</v>
      </c>
      <c r="V691" s="2">
        <v>0.3</v>
      </c>
      <c r="AE691" t="b">
        <v>1</v>
      </c>
      <c r="AZ691" s="2"/>
      <c r="BA691" s="7">
        <v>25</v>
      </c>
      <c r="BB691" t="s">
        <v>937</v>
      </c>
      <c r="BC691" t="s">
        <v>923</v>
      </c>
      <c r="BD691" t="s">
        <v>941</v>
      </c>
      <c r="BE691" t="str">
        <f>IF(OR(Table1[[#This Row],[ENGINE_CLASS]]="STEAM",Table1[[#This Row],[ENGINE_CLASS]]="ELECTRIC",Table1[[#This Row],[ENGINE_CLASS]]="DIESEL"),Table1[[#This Row],[ENGINE_CLASS]],"DISABLE")</f>
        <v>DIESEL</v>
      </c>
      <c r="BF691">
        <v>0</v>
      </c>
      <c r="BG691" t="s">
        <v>735</v>
      </c>
      <c r="BI691"/>
      <c r="BJ691">
        <v>24</v>
      </c>
      <c r="BK691">
        <v>0</v>
      </c>
      <c r="BL691" t="s">
        <v>693</v>
      </c>
      <c r="BM691" t="s">
        <v>695</v>
      </c>
      <c r="BN691" t="s">
        <v>702</v>
      </c>
      <c r="BO691" t="s">
        <v>706</v>
      </c>
      <c r="BP691" t="s">
        <v>707</v>
      </c>
      <c r="BQ691" t="s">
        <v>708</v>
      </c>
    </row>
    <row r="692" spans="1:69" x14ac:dyDescent="0.4">
      <c r="A692" s="2" t="s">
        <v>879</v>
      </c>
      <c r="B692" t="str">
        <f>_xlfn.TEXTAFTER(Table1[[#This Row],[VEHIDCODE]],"_")</f>
        <v>Wagon_Gen5_Gondola</v>
      </c>
      <c r="C692" t="s">
        <v>753</v>
      </c>
      <c r="D692" t="str">
        <f>"item_"&amp;Table1[[#This Row],[VEHIDCODE]]</f>
        <v>item_mu_Wagon_Gen5_Gondola</v>
      </c>
      <c r="E692" t="str">
        <f>"str_"&amp;Table1[[#This Row],[VEHIDCODE]]</f>
        <v>str_mu_Wagon_Gen5_Gondola</v>
      </c>
      <c r="F692">
        <v>8</v>
      </c>
      <c r="G692" t="s">
        <v>605</v>
      </c>
      <c r="H692">
        <v>0</v>
      </c>
      <c r="I692" t="s">
        <v>35</v>
      </c>
      <c r="J692">
        <v>65</v>
      </c>
      <c r="K692">
        <v>1990</v>
      </c>
      <c r="L692">
        <v>8</v>
      </c>
      <c r="M692" s="2" t="s">
        <v>33</v>
      </c>
      <c r="N692" t="b">
        <v>1</v>
      </c>
      <c r="P692" s="2" t="b">
        <v>1</v>
      </c>
      <c r="Q692" t="s">
        <v>21</v>
      </c>
      <c r="R692">
        <v>0</v>
      </c>
      <c r="S692">
        <v>0</v>
      </c>
      <c r="T692" t="s">
        <v>712</v>
      </c>
      <c r="U692">
        <v>120</v>
      </c>
      <c r="V692" s="2">
        <v>0.3</v>
      </c>
      <c r="AE692" t="b">
        <v>1</v>
      </c>
      <c r="AZ692" s="2"/>
      <c r="BA692" s="7">
        <v>25</v>
      </c>
      <c r="BB692" t="s">
        <v>937</v>
      </c>
      <c r="BC692" t="s">
        <v>923</v>
      </c>
      <c r="BD692" t="s">
        <v>941</v>
      </c>
      <c r="BE692" t="str">
        <f>IF(OR(Table1[[#This Row],[ENGINE_CLASS]]="STEAM",Table1[[#This Row],[ENGINE_CLASS]]="ELECTRIC",Table1[[#This Row],[ENGINE_CLASS]]="DIESEL"),Table1[[#This Row],[ENGINE_CLASS]],"DISABLE")</f>
        <v>DIESEL</v>
      </c>
      <c r="BF692">
        <v>0</v>
      </c>
      <c r="BG692" t="s">
        <v>735</v>
      </c>
      <c r="BI692"/>
      <c r="BJ692">
        <v>22</v>
      </c>
      <c r="BK692">
        <v>0</v>
      </c>
      <c r="BL692" t="s">
        <v>693</v>
      </c>
      <c r="BM692" t="s">
        <v>695</v>
      </c>
      <c r="BN692" t="s">
        <v>702</v>
      </c>
      <c r="BO692" t="s">
        <v>706</v>
      </c>
      <c r="BP692" t="s">
        <v>707</v>
      </c>
      <c r="BQ692" t="s">
        <v>708</v>
      </c>
    </row>
    <row r="693" spans="1:69" x14ac:dyDescent="0.4">
      <c r="A693" s="2" t="s">
        <v>880</v>
      </c>
      <c r="B693" t="str">
        <f>_xlfn.TEXTAFTER(Table1[[#This Row],[VEHIDCODE]],"_")</f>
        <v>Wagon_Gen5_Silo_Type1</v>
      </c>
      <c r="C693" t="s">
        <v>753</v>
      </c>
      <c r="D693" t="str">
        <f>"item_"&amp;Table1[[#This Row],[VEHIDCODE]]</f>
        <v>item_mu_Wagon_Gen5_Silo_Type1</v>
      </c>
      <c r="E693" t="str">
        <f>"str_"&amp;Table1[[#This Row],[VEHIDCODE]]</f>
        <v>str_mu_Wagon_Gen5_Silo_Type1</v>
      </c>
      <c r="F693">
        <v>8</v>
      </c>
      <c r="G693" t="s">
        <v>608</v>
      </c>
      <c r="H693">
        <v>0</v>
      </c>
      <c r="I693" t="s">
        <v>35</v>
      </c>
      <c r="J693">
        <v>65</v>
      </c>
      <c r="K693">
        <v>2000</v>
      </c>
      <c r="L693">
        <v>8</v>
      </c>
      <c r="M693" s="2" t="s">
        <v>33</v>
      </c>
      <c r="N693" t="b">
        <v>1</v>
      </c>
      <c r="P693" s="2" t="b">
        <v>1</v>
      </c>
      <c r="Q693" t="s">
        <v>21</v>
      </c>
      <c r="R693">
        <v>0</v>
      </c>
      <c r="S693">
        <v>0</v>
      </c>
      <c r="T693" t="s">
        <v>712</v>
      </c>
      <c r="U693">
        <v>120</v>
      </c>
      <c r="V693" s="2">
        <v>0.3</v>
      </c>
      <c r="AE693" t="b">
        <v>1</v>
      </c>
      <c r="AZ693" s="2"/>
      <c r="BA693" s="7">
        <v>25</v>
      </c>
      <c r="BB693" t="s">
        <v>934</v>
      </c>
      <c r="BC693" t="s">
        <v>923</v>
      </c>
      <c r="BD693" t="s">
        <v>941</v>
      </c>
      <c r="BE693" t="str">
        <f>IF(OR(Table1[[#This Row],[ENGINE_CLASS]]="STEAM",Table1[[#This Row],[ENGINE_CLASS]]="ELECTRIC",Table1[[#This Row],[ENGINE_CLASS]]="DIESEL"),Table1[[#This Row],[ENGINE_CLASS]],"DISABLE")</f>
        <v>DIESEL</v>
      </c>
      <c r="BF693">
        <v>0</v>
      </c>
      <c r="BG693" t="s">
        <v>735</v>
      </c>
      <c r="BI693"/>
      <c r="BJ693">
        <v>27</v>
      </c>
      <c r="BK693">
        <v>0</v>
      </c>
      <c r="BL693" t="s">
        <v>693</v>
      </c>
      <c r="BM693" t="s">
        <v>695</v>
      </c>
      <c r="BN693" t="s">
        <v>702</v>
      </c>
      <c r="BO693" t="s">
        <v>706</v>
      </c>
      <c r="BP693" t="s">
        <v>707</v>
      </c>
      <c r="BQ693" t="s">
        <v>708</v>
      </c>
    </row>
    <row r="694" spans="1:69" x14ac:dyDescent="0.4">
      <c r="A694" s="2" t="s">
        <v>881</v>
      </c>
      <c r="B694" t="str">
        <f>_xlfn.TEXTAFTER(Table1[[#This Row],[VEHIDCODE]],"_")</f>
        <v>Wagon_Gen5_Silo_Type2</v>
      </c>
      <c r="C694" t="s">
        <v>753</v>
      </c>
      <c r="D694" t="str">
        <f>"item_"&amp;Table1[[#This Row],[VEHIDCODE]]</f>
        <v>item_mu_Wagon_Gen5_Silo_Type2</v>
      </c>
      <c r="E694" t="str">
        <f>"str_"&amp;Table1[[#This Row],[VEHIDCODE]]</f>
        <v>str_mu_Wagon_Gen5_Silo_Type2</v>
      </c>
      <c r="F694">
        <v>8</v>
      </c>
      <c r="G694" t="s">
        <v>608</v>
      </c>
      <c r="H694">
        <v>0</v>
      </c>
      <c r="I694" t="s">
        <v>35</v>
      </c>
      <c r="J694">
        <v>65</v>
      </c>
      <c r="K694">
        <v>2000</v>
      </c>
      <c r="L694">
        <v>8</v>
      </c>
      <c r="M694" s="2" t="s">
        <v>33</v>
      </c>
      <c r="N694" t="b">
        <v>1</v>
      </c>
      <c r="P694" s="2" t="b">
        <v>1</v>
      </c>
      <c r="Q694" t="s">
        <v>21</v>
      </c>
      <c r="R694">
        <v>0</v>
      </c>
      <c r="S694">
        <v>0</v>
      </c>
      <c r="T694" t="s">
        <v>712</v>
      </c>
      <c r="U694">
        <v>120</v>
      </c>
      <c r="V694" s="2">
        <v>0.3</v>
      </c>
      <c r="AE694" t="b">
        <v>1</v>
      </c>
      <c r="AZ694" s="2"/>
      <c r="BA694" s="7">
        <v>25</v>
      </c>
      <c r="BB694" t="s">
        <v>935</v>
      </c>
      <c r="BC694" t="s">
        <v>923</v>
      </c>
      <c r="BD694" t="s">
        <v>941</v>
      </c>
      <c r="BE694" t="str">
        <f>IF(OR(Table1[[#This Row],[ENGINE_CLASS]]="STEAM",Table1[[#This Row],[ENGINE_CLASS]]="ELECTRIC",Table1[[#This Row],[ENGINE_CLASS]]="DIESEL"),Table1[[#This Row],[ENGINE_CLASS]],"DISABLE")</f>
        <v>DIESEL</v>
      </c>
      <c r="BF694">
        <v>0</v>
      </c>
      <c r="BG694" t="s">
        <v>735</v>
      </c>
      <c r="BI694"/>
      <c r="BJ694">
        <v>27</v>
      </c>
      <c r="BK694">
        <v>0</v>
      </c>
      <c r="BL694" t="s">
        <v>693</v>
      </c>
      <c r="BM694" t="s">
        <v>695</v>
      </c>
      <c r="BN694" t="s">
        <v>702</v>
      </c>
      <c r="BO694" t="s">
        <v>706</v>
      </c>
      <c r="BP694" t="s">
        <v>707</v>
      </c>
      <c r="BQ694" t="s">
        <v>708</v>
      </c>
    </row>
    <row r="695" spans="1:69" x14ac:dyDescent="0.4">
      <c r="A695" s="2" t="s">
        <v>882</v>
      </c>
      <c r="B695" t="str">
        <f>_xlfn.TEXTAFTER(Table1[[#This Row],[VEHIDCODE]],"_")</f>
        <v>Wagon_Gen5_Hopper_Type1</v>
      </c>
      <c r="C695" t="s">
        <v>753</v>
      </c>
      <c r="D695" t="str">
        <f>"item_"&amp;Table1[[#This Row],[VEHIDCODE]]</f>
        <v>item_mu_Wagon_Gen5_Hopper_Type1</v>
      </c>
      <c r="E695" t="str">
        <f>"str_"&amp;Table1[[#This Row],[VEHIDCODE]]</f>
        <v>str_mu_Wagon_Gen5_Hopper_Type1</v>
      </c>
      <c r="F695">
        <v>8</v>
      </c>
      <c r="G695" t="s">
        <v>607</v>
      </c>
      <c r="H695">
        <v>0</v>
      </c>
      <c r="I695" t="s">
        <v>35</v>
      </c>
      <c r="J695">
        <v>65</v>
      </c>
      <c r="K695">
        <v>2000</v>
      </c>
      <c r="L695">
        <v>8</v>
      </c>
      <c r="M695" s="2" t="s">
        <v>33</v>
      </c>
      <c r="N695" t="b">
        <v>1</v>
      </c>
      <c r="P695" s="2" t="b">
        <v>1</v>
      </c>
      <c r="Q695" t="s">
        <v>21</v>
      </c>
      <c r="R695">
        <v>0</v>
      </c>
      <c r="S695">
        <v>0</v>
      </c>
      <c r="T695" t="s">
        <v>712</v>
      </c>
      <c r="U695">
        <v>120</v>
      </c>
      <c r="V695" s="2">
        <v>0.3</v>
      </c>
      <c r="AE695" t="b">
        <v>1</v>
      </c>
      <c r="AZ695" s="2"/>
      <c r="BA695" s="7">
        <v>25</v>
      </c>
      <c r="BB695" t="s">
        <v>934</v>
      </c>
      <c r="BC695" t="s">
        <v>923</v>
      </c>
      <c r="BD695" t="s">
        <v>941</v>
      </c>
      <c r="BE695" t="str">
        <f>IF(OR(Table1[[#This Row],[ENGINE_CLASS]]="STEAM",Table1[[#This Row],[ENGINE_CLASS]]="ELECTRIC",Table1[[#This Row],[ENGINE_CLASS]]="DIESEL"),Table1[[#This Row],[ENGINE_CLASS]],"DISABLE")</f>
        <v>DIESEL</v>
      </c>
      <c r="BF695">
        <v>0</v>
      </c>
      <c r="BG695" t="s">
        <v>735</v>
      </c>
      <c r="BI695"/>
      <c r="BJ695">
        <v>26</v>
      </c>
      <c r="BK695">
        <v>0</v>
      </c>
      <c r="BL695" t="s">
        <v>693</v>
      </c>
      <c r="BM695" t="s">
        <v>695</v>
      </c>
      <c r="BN695" t="s">
        <v>702</v>
      </c>
      <c r="BO695" t="s">
        <v>706</v>
      </c>
      <c r="BP695" t="s">
        <v>707</v>
      </c>
      <c r="BQ695" t="s">
        <v>708</v>
      </c>
    </row>
    <row r="696" spans="1:69" x14ac:dyDescent="0.4">
      <c r="A696" s="2" t="s">
        <v>883</v>
      </c>
      <c r="B696" t="str">
        <f>_xlfn.TEXTAFTER(Table1[[#This Row],[VEHIDCODE]],"_")</f>
        <v>Wagon_Gen5_Hopper_Type2</v>
      </c>
      <c r="C696" t="s">
        <v>753</v>
      </c>
      <c r="D696" t="str">
        <f>"item_"&amp;Table1[[#This Row],[VEHIDCODE]]</f>
        <v>item_mu_Wagon_Gen5_Hopper_Type2</v>
      </c>
      <c r="E696" t="str">
        <f>"str_"&amp;Table1[[#This Row],[VEHIDCODE]]</f>
        <v>str_mu_Wagon_Gen5_Hopper_Type2</v>
      </c>
      <c r="F696">
        <v>8</v>
      </c>
      <c r="G696" t="s">
        <v>607</v>
      </c>
      <c r="H696">
        <v>0</v>
      </c>
      <c r="I696" t="s">
        <v>35</v>
      </c>
      <c r="J696">
        <v>65</v>
      </c>
      <c r="K696">
        <v>2000</v>
      </c>
      <c r="L696">
        <v>8</v>
      </c>
      <c r="M696" s="2" t="s">
        <v>33</v>
      </c>
      <c r="N696" t="b">
        <v>1</v>
      </c>
      <c r="P696" s="2" t="b">
        <v>1</v>
      </c>
      <c r="Q696" t="s">
        <v>21</v>
      </c>
      <c r="R696">
        <v>0</v>
      </c>
      <c r="S696">
        <v>0</v>
      </c>
      <c r="T696" t="s">
        <v>712</v>
      </c>
      <c r="U696">
        <v>120</v>
      </c>
      <c r="V696" s="2">
        <v>0.3</v>
      </c>
      <c r="AE696" t="b">
        <v>1</v>
      </c>
      <c r="AZ696" s="2"/>
      <c r="BA696" s="7">
        <v>25</v>
      </c>
      <c r="BB696" t="s">
        <v>937</v>
      </c>
      <c r="BC696" t="s">
        <v>923</v>
      </c>
      <c r="BD696" t="s">
        <v>941</v>
      </c>
      <c r="BE696" t="str">
        <f>IF(OR(Table1[[#This Row],[ENGINE_CLASS]]="STEAM",Table1[[#This Row],[ENGINE_CLASS]]="ELECTRIC",Table1[[#This Row],[ENGINE_CLASS]]="DIESEL"),Table1[[#This Row],[ENGINE_CLASS]],"DISABLE")</f>
        <v>DIESEL</v>
      </c>
      <c r="BF696">
        <v>0</v>
      </c>
      <c r="BG696" t="s">
        <v>735</v>
      </c>
      <c r="BI696"/>
      <c r="BJ696">
        <v>26</v>
      </c>
      <c r="BK696">
        <v>0</v>
      </c>
      <c r="BL696" t="s">
        <v>693</v>
      </c>
      <c r="BM696" t="s">
        <v>695</v>
      </c>
      <c r="BN696" t="s">
        <v>702</v>
      </c>
      <c r="BO696" t="s">
        <v>706</v>
      </c>
      <c r="BP696" t="s">
        <v>707</v>
      </c>
      <c r="BQ696" t="s">
        <v>708</v>
      </c>
    </row>
    <row r="697" spans="1:69" x14ac:dyDescent="0.4">
      <c r="A697" s="2" t="s">
        <v>884</v>
      </c>
      <c r="B697" t="str">
        <f>_xlfn.TEXTAFTER(Table1[[#This Row],[VEHIDCODE]],"_")</f>
        <v>Wagon_Gen5_Car_Transporter</v>
      </c>
      <c r="C697" t="s">
        <v>753</v>
      </c>
      <c r="D697" t="str">
        <f>"item_"&amp;Table1[[#This Row],[VEHIDCODE]]</f>
        <v>item_mu_Wagon_Gen5_Car_Transporter</v>
      </c>
      <c r="E697" t="str">
        <f>"str_"&amp;Table1[[#This Row],[VEHIDCODE]]</f>
        <v>str_mu_Wagon_Gen5_Car_Transporter</v>
      </c>
      <c r="F697">
        <v>8</v>
      </c>
      <c r="G697" t="s">
        <v>601</v>
      </c>
      <c r="H697">
        <v>0</v>
      </c>
      <c r="I697" t="s">
        <v>35</v>
      </c>
      <c r="J697">
        <v>16</v>
      </c>
      <c r="K697">
        <v>2000</v>
      </c>
      <c r="L697">
        <v>8</v>
      </c>
      <c r="M697" s="2" t="s">
        <v>33</v>
      </c>
      <c r="N697" t="b">
        <v>1</v>
      </c>
      <c r="P697" s="2" t="b">
        <v>1</v>
      </c>
      <c r="Q697" t="s">
        <v>21</v>
      </c>
      <c r="R697">
        <v>0</v>
      </c>
      <c r="S697">
        <v>0</v>
      </c>
      <c r="T697" t="s">
        <v>712</v>
      </c>
      <c r="U697">
        <v>160</v>
      </c>
      <c r="V697" s="2">
        <v>0.3</v>
      </c>
      <c r="AE697" t="b">
        <v>1</v>
      </c>
      <c r="AZ697" s="2"/>
      <c r="BA697" s="7">
        <v>25</v>
      </c>
      <c r="BB697" t="s">
        <v>937</v>
      </c>
      <c r="BC697" t="s">
        <v>923</v>
      </c>
      <c r="BD697" t="s">
        <v>941</v>
      </c>
      <c r="BE697" t="str">
        <f>IF(OR(Table1[[#This Row],[ENGINE_CLASS]]="STEAM",Table1[[#This Row],[ENGINE_CLASS]]="ELECTRIC",Table1[[#This Row],[ENGINE_CLASS]]="DIESEL"),Table1[[#This Row],[ENGINE_CLASS]],"DISABLE")</f>
        <v>DIESEL</v>
      </c>
      <c r="BF697">
        <v>0</v>
      </c>
      <c r="BG697" t="s">
        <v>735</v>
      </c>
      <c r="BI697"/>
      <c r="BJ697">
        <v>28</v>
      </c>
      <c r="BK697">
        <v>0</v>
      </c>
      <c r="BL697" t="s">
        <v>693</v>
      </c>
      <c r="BM697" t="s">
        <v>695</v>
      </c>
      <c r="BN697" t="s">
        <v>702</v>
      </c>
      <c r="BO697" t="s">
        <v>706</v>
      </c>
      <c r="BP697" t="s">
        <v>707</v>
      </c>
      <c r="BQ697" t="s">
        <v>708</v>
      </c>
    </row>
    <row r="698" spans="1:69" x14ac:dyDescent="0.4">
      <c r="A698" s="2" t="s">
        <v>885</v>
      </c>
      <c r="B698" t="str">
        <f>_xlfn.TEXTAFTER(Table1[[#This Row],[VEHIDCODE]],"_")</f>
        <v>Wagon_Gen5_Container_Carrier</v>
      </c>
      <c r="C698" t="s">
        <v>753</v>
      </c>
      <c r="D698" t="str">
        <f>"item_"&amp;Table1[[#This Row],[VEHIDCODE]]</f>
        <v>item_mu_Wagon_Gen5_Container_Carrier</v>
      </c>
      <c r="E698" t="str">
        <f>"str_"&amp;Table1[[#This Row],[VEHIDCODE]]</f>
        <v>str_mu_Wagon_Gen5_Container_Carrier</v>
      </c>
      <c r="F698">
        <v>8</v>
      </c>
      <c r="G698" t="s">
        <v>533</v>
      </c>
      <c r="H698">
        <v>0</v>
      </c>
      <c r="I698" t="s">
        <v>35</v>
      </c>
      <c r="J698">
        <v>50</v>
      </c>
      <c r="K698">
        <v>1990</v>
      </c>
      <c r="L698">
        <v>8</v>
      </c>
      <c r="M698" s="2" t="s">
        <v>33</v>
      </c>
      <c r="N698" t="b">
        <v>1</v>
      </c>
      <c r="P698" s="2" t="b">
        <v>1</v>
      </c>
      <c r="Q698" t="s">
        <v>21</v>
      </c>
      <c r="R698">
        <v>0</v>
      </c>
      <c r="S698">
        <v>0</v>
      </c>
      <c r="T698" t="s">
        <v>712</v>
      </c>
      <c r="U698">
        <v>160</v>
      </c>
      <c r="V698" s="2">
        <v>0.3</v>
      </c>
      <c r="AE698" t="b">
        <v>1</v>
      </c>
      <c r="AZ698" s="2"/>
      <c r="BA698" s="7">
        <v>25</v>
      </c>
      <c r="BB698" t="s">
        <v>937</v>
      </c>
      <c r="BC698" t="s">
        <v>923</v>
      </c>
      <c r="BD698" t="s">
        <v>941</v>
      </c>
      <c r="BE698" t="str">
        <f>IF(OR(Table1[[#This Row],[ENGINE_CLASS]]="STEAM",Table1[[#This Row],[ENGINE_CLASS]]="ELECTRIC",Table1[[#This Row],[ENGINE_CLASS]]="DIESEL"),Table1[[#This Row],[ENGINE_CLASS]],"DISABLE")</f>
        <v>DIESEL</v>
      </c>
      <c r="BF698">
        <v>0</v>
      </c>
      <c r="BG698" t="s">
        <v>735</v>
      </c>
      <c r="BI698"/>
      <c r="BJ698">
        <v>22</v>
      </c>
      <c r="BK698">
        <v>0</v>
      </c>
      <c r="BL698" t="s">
        <v>693</v>
      </c>
      <c r="BM698" t="s">
        <v>695</v>
      </c>
      <c r="BN698" t="s">
        <v>702</v>
      </c>
      <c r="BO698" t="s">
        <v>706</v>
      </c>
      <c r="BP698" t="s">
        <v>707</v>
      </c>
      <c r="BQ698" t="s">
        <v>708</v>
      </c>
    </row>
    <row r="699" spans="1:69" x14ac:dyDescent="0.4">
      <c r="A699" s="2" t="s">
        <v>886</v>
      </c>
      <c r="B699" t="str">
        <f>_xlfn.TEXTAFTER(Table1[[#This Row],[VEHIDCODE]],"_")</f>
        <v>Wagon_Gen5_Centerbeam</v>
      </c>
      <c r="C699" t="s">
        <v>753</v>
      </c>
      <c r="D699" t="str">
        <f>"item_"&amp;Table1[[#This Row],[VEHIDCODE]]</f>
        <v>item_mu_Wagon_Gen5_Centerbeam</v>
      </c>
      <c r="E699" t="str">
        <f>"str_"&amp;Table1[[#This Row],[VEHIDCODE]]</f>
        <v>str_mu_Wagon_Gen5_Centerbeam</v>
      </c>
      <c r="F699">
        <v>8</v>
      </c>
      <c r="G699" t="s">
        <v>602</v>
      </c>
      <c r="H699">
        <v>0</v>
      </c>
      <c r="I699" t="s">
        <v>35</v>
      </c>
      <c r="J699">
        <v>55</v>
      </c>
      <c r="K699">
        <v>1990</v>
      </c>
      <c r="L699">
        <v>8</v>
      </c>
      <c r="M699" s="2" t="s">
        <v>33</v>
      </c>
      <c r="N699" t="b">
        <v>1</v>
      </c>
      <c r="P699" s="2" t="b">
        <v>1</v>
      </c>
      <c r="Q699" t="s">
        <v>21</v>
      </c>
      <c r="R699">
        <v>0</v>
      </c>
      <c r="S699">
        <v>0</v>
      </c>
      <c r="T699" t="s">
        <v>712</v>
      </c>
      <c r="U699">
        <v>120</v>
      </c>
      <c r="V699" s="2">
        <v>0.3</v>
      </c>
      <c r="AE699" t="b">
        <v>1</v>
      </c>
      <c r="AZ699" s="2"/>
      <c r="BA699" s="7">
        <v>25</v>
      </c>
      <c r="BB699" t="s">
        <v>937</v>
      </c>
      <c r="BC699" t="s">
        <v>923</v>
      </c>
      <c r="BD699" t="s">
        <v>941</v>
      </c>
      <c r="BE699" t="str">
        <f>IF(OR(Table1[[#This Row],[ENGINE_CLASS]]="STEAM",Table1[[#This Row],[ENGINE_CLASS]]="ELECTRIC",Table1[[#This Row],[ENGINE_CLASS]]="DIESEL"),Table1[[#This Row],[ENGINE_CLASS]],"DISABLE")</f>
        <v>DIESEL</v>
      </c>
      <c r="BF699">
        <v>0</v>
      </c>
      <c r="BG699" t="s">
        <v>735</v>
      </c>
      <c r="BI699"/>
      <c r="BJ699">
        <v>40</v>
      </c>
      <c r="BK699">
        <v>0</v>
      </c>
      <c r="BL699" t="s">
        <v>693</v>
      </c>
      <c r="BM699" t="s">
        <v>695</v>
      </c>
      <c r="BN699" t="s">
        <v>702</v>
      </c>
      <c r="BO699" t="s">
        <v>706</v>
      </c>
      <c r="BP699" t="s">
        <v>707</v>
      </c>
      <c r="BQ699" t="s">
        <v>708</v>
      </c>
    </row>
    <row r="700" spans="1:69" x14ac:dyDescent="0.4">
      <c r="A700" s="2" t="s">
        <v>887</v>
      </c>
      <c r="B700" t="str">
        <f>_xlfn.TEXTAFTER(Table1[[#This Row],[VEHIDCODE]],"_")</f>
        <v>Wagon_Gen5_Container_Doublestack</v>
      </c>
      <c r="C700" t="s">
        <v>753</v>
      </c>
      <c r="D700" t="str">
        <f>"item_"&amp;Table1[[#This Row],[VEHIDCODE]]</f>
        <v>item_mu_Wagon_Gen5_Container_Doublestack</v>
      </c>
      <c r="E700" t="str">
        <f>"str_"&amp;Table1[[#This Row],[VEHIDCODE]]</f>
        <v>str_mu_Wagon_Gen5_Container_Doublestack</v>
      </c>
      <c r="F700">
        <v>8</v>
      </c>
      <c r="G700" t="s">
        <v>603</v>
      </c>
      <c r="H700">
        <v>0</v>
      </c>
      <c r="I700" t="s">
        <v>35</v>
      </c>
      <c r="J700">
        <v>65</v>
      </c>
      <c r="K700">
        <v>1980</v>
      </c>
      <c r="L700">
        <v>8</v>
      </c>
      <c r="M700" s="2" t="s">
        <v>33</v>
      </c>
      <c r="N700" t="b">
        <v>1</v>
      </c>
      <c r="P700" s="2" t="b">
        <v>1</v>
      </c>
      <c r="Q700" t="s">
        <v>21</v>
      </c>
      <c r="R700">
        <v>0</v>
      </c>
      <c r="S700">
        <v>0</v>
      </c>
      <c r="T700" t="s">
        <v>712</v>
      </c>
      <c r="U700">
        <v>120</v>
      </c>
      <c r="V700" s="2">
        <v>0.3</v>
      </c>
      <c r="AE700" t="b">
        <v>1</v>
      </c>
      <c r="AZ700" s="2"/>
      <c r="BA700" s="7">
        <v>25</v>
      </c>
      <c r="BB700" t="s">
        <v>937</v>
      </c>
      <c r="BC700" t="s">
        <v>923</v>
      </c>
      <c r="BD700" t="s">
        <v>941</v>
      </c>
      <c r="BE700" t="str">
        <f>IF(OR(Table1[[#This Row],[ENGINE_CLASS]]="STEAM",Table1[[#This Row],[ENGINE_CLASS]]="ELECTRIC",Table1[[#This Row],[ENGINE_CLASS]]="DIESEL"),Table1[[#This Row],[ENGINE_CLASS]],"DISABLE")</f>
        <v>DIESEL</v>
      </c>
      <c r="BF700">
        <v>0</v>
      </c>
      <c r="BG700" t="s">
        <v>735</v>
      </c>
      <c r="BI700"/>
      <c r="BJ700">
        <v>25</v>
      </c>
      <c r="BK700">
        <v>0</v>
      </c>
      <c r="BL700" t="s">
        <v>693</v>
      </c>
      <c r="BM700" t="s">
        <v>695</v>
      </c>
      <c r="BN700" t="s">
        <v>702</v>
      </c>
      <c r="BO700" t="s">
        <v>706</v>
      </c>
      <c r="BP700" t="s">
        <v>707</v>
      </c>
      <c r="BQ700" t="s">
        <v>708</v>
      </c>
    </row>
    <row r="701" spans="1:69" x14ac:dyDescent="0.4">
      <c r="A701" s="2" t="s">
        <v>888</v>
      </c>
      <c r="B701" t="str">
        <f>_xlfn.TEXTAFTER(Table1[[#This Row],[VEHIDCODE]],"_")</f>
        <v>Wagon_Gen5_Superheavy_Flatcar</v>
      </c>
      <c r="C701" t="s">
        <v>753</v>
      </c>
      <c r="D701" t="str">
        <f>"item_"&amp;Table1[[#This Row],[VEHIDCODE]]</f>
        <v>item_mu_Wagon_Gen5_Superheavy_Flatcar</v>
      </c>
      <c r="E701" t="str">
        <f>"str_"&amp;Table1[[#This Row],[VEHIDCODE]]</f>
        <v>str_mu_Wagon_Gen5_Superheavy_Flatcar</v>
      </c>
      <c r="F701">
        <v>12</v>
      </c>
      <c r="G701" t="s">
        <v>609</v>
      </c>
      <c r="H701">
        <v>0</v>
      </c>
      <c r="I701" t="s">
        <v>35</v>
      </c>
      <c r="J701">
        <v>50</v>
      </c>
      <c r="K701">
        <v>1990</v>
      </c>
      <c r="L701">
        <v>4</v>
      </c>
      <c r="M701" s="2" t="s">
        <v>33</v>
      </c>
      <c r="N701" t="b">
        <v>1</v>
      </c>
      <c r="P701" s="2" t="b">
        <v>1</v>
      </c>
      <c r="Q701" t="s">
        <v>21</v>
      </c>
      <c r="R701">
        <v>0</v>
      </c>
      <c r="S701">
        <v>0</v>
      </c>
      <c r="T701" t="s">
        <v>712</v>
      </c>
      <c r="U701">
        <v>100</v>
      </c>
      <c r="V701" s="2">
        <v>0.3</v>
      </c>
      <c r="AE701" t="b">
        <v>1</v>
      </c>
      <c r="AZ701" s="2"/>
      <c r="BA701" s="7">
        <v>25</v>
      </c>
      <c r="BB701" t="s">
        <v>937</v>
      </c>
      <c r="BC701" t="s">
        <v>923</v>
      </c>
      <c r="BD701" t="s">
        <v>941</v>
      </c>
      <c r="BE701" t="str">
        <f>IF(OR(Table1[[#This Row],[ENGINE_CLASS]]="STEAM",Table1[[#This Row],[ENGINE_CLASS]]="ELECTRIC",Table1[[#This Row],[ENGINE_CLASS]]="DIESEL"),Table1[[#This Row],[ENGINE_CLASS]],"DISABLE")</f>
        <v>DIESEL</v>
      </c>
      <c r="BF701">
        <v>0</v>
      </c>
      <c r="BG701" t="s">
        <v>735</v>
      </c>
      <c r="BI701"/>
      <c r="BJ701">
        <v>50</v>
      </c>
      <c r="BK701">
        <v>0</v>
      </c>
      <c r="BL701" t="s">
        <v>693</v>
      </c>
      <c r="BM701" t="s">
        <v>695</v>
      </c>
      <c r="BN701" t="s">
        <v>702</v>
      </c>
      <c r="BO701" t="s">
        <v>706</v>
      </c>
      <c r="BP701" t="s">
        <v>707</v>
      </c>
      <c r="BQ701" t="s">
        <v>708</v>
      </c>
    </row>
    <row r="702" spans="1:69" x14ac:dyDescent="0.4">
      <c r="A702" s="2" t="s">
        <v>889</v>
      </c>
      <c r="B702" t="str">
        <f>_xlfn.TEXTAFTER(Table1[[#This Row],[VEHIDCODE]],"_")</f>
        <v>Wagon_Gen6_Flatcar</v>
      </c>
      <c r="C702" t="s">
        <v>754</v>
      </c>
      <c r="D702" t="str">
        <f>"item_"&amp;Table1[[#This Row],[VEHIDCODE]]</f>
        <v>item_mu_Wagon_Gen6_Flatcar</v>
      </c>
      <c r="E702" t="str">
        <f>"str_"&amp;Table1[[#This Row],[VEHIDCODE]]</f>
        <v>str_mu_Wagon_Gen6_Flatcar</v>
      </c>
      <c r="F702">
        <v>8</v>
      </c>
      <c r="G702" t="s">
        <v>604</v>
      </c>
      <c r="H702">
        <v>0</v>
      </c>
      <c r="I702" t="s">
        <v>35</v>
      </c>
      <c r="J702">
        <v>72</v>
      </c>
      <c r="K702">
        <v>2010</v>
      </c>
      <c r="L702">
        <v>8</v>
      </c>
      <c r="M702" s="2" t="s">
        <v>33</v>
      </c>
      <c r="N702" t="b">
        <v>1</v>
      </c>
      <c r="P702" s="2" t="b">
        <v>1</v>
      </c>
      <c r="Q702" t="s">
        <v>21</v>
      </c>
      <c r="R702">
        <v>0</v>
      </c>
      <c r="S702">
        <v>0</v>
      </c>
      <c r="T702" t="s">
        <v>712</v>
      </c>
      <c r="U702">
        <v>160</v>
      </c>
      <c r="V702" s="2">
        <v>0.3</v>
      </c>
      <c r="AE702" t="b">
        <v>1</v>
      </c>
      <c r="AZ702" s="2"/>
      <c r="BA702" s="7">
        <v>25</v>
      </c>
      <c r="BB702" t="s">
        <v>937</v>
      </c>
      <c r="BC702" t="s">
        <v>923</v>
      </c>
      <c r="BD702" t="s">
        <v>941</v>
      </c>
      <c r="BE702" t="str">
        <f>IF(OR(Table1[[#This Row],[ENGINE_CLASS]]="STEAM",Table1[[#This Row],[ENGINE_CLASS]]="ELECTRIC",Table1[[#This Row],[ENGINE_CLASS]]="DIESEL"),Table1[[#This Row],[ENGINE_CLASS]],"DISABLE")</f>
        <v>DIESEL</v>
      </c>
      <c r="BF702">
        <v>0</v>
      </c>
      <c r="BG702" t="s">
        <v>735</v>
      </c>
      <c r="BI702"/>
      <c r="BJ702">
        <v>23</v>
      </c>
      <c r="BK702">
        <v>0</v>
      </c>
      <c r="BL702" t="s">
        <v>693</v>
      </c>
      <c r="BM702" t="s">
        <v>695</v>
      </c>
      <c r="BN702" t="s">
        <v>702</v>
      </c>
      <c r="BO702" t="s">
        <v>706</v>
      </c>
      <c r="BP702" t="s">
        <v>707</v>
      </c>
      <c r="BQ702" t="s">
        <v>708</v>
      </c>
    </row>
    <row r="703" spans="1:69" x14ac:dyDescent="0.4">
      <c r="A703" s="2" t="s">
        <v>890</v>
      </c>
      <c r="B703" t="str">
        <f>_xlfn.TEXTAFTER(Table1[[#This Row],[VEHIDCODE]],"_")</f>
        <v>Wagon_Gen6_Heavy_Flatcar</v>
      </c>
      <c r="C703" t="s">
        <v>754</v>
      </c>
      <c r="D703" t="str">
        <f>"item_"&amp;Table1[[#This Row],[VEHIDCODE]]</f>
        <v>item_mu_Wagon_Gen6_Heavy_Flatcar</v>
      </c>
      <c r="E703" t="str">
        <f>"str_"&amp;Table1[[#This Row],[VEHIDCODE]]</f>
        <v>str_mu_Wagon_Gen6_Heavy_Flatcar</v>
      </c>
      <c r="F703">
        <v>8</v>
      </c>
      <c r="G703" t="s">
        <v>606</v>
      </c>
      <c r="H703">
        <v>0</v>
      </c>
      <c r="I703" t="s">
        <v>35</v>
      </c>
      <c r="J703">
        <v>96</v>
      </c>
      <c r="K703">
        <v>2020</v>
      </c>
      <c r="L703">
        <v>8</v>
      </c>
      <c r="M703" s="2" t="s">
        <v>33</v>
      </c>
      <c r="N703" t="b">
        <v>1</v>
      </c>
      <c r="P703" s="2" t="b">
        <v>1</v>
      </c>
      <c r="Q703" t="s">
        <v>21</v>
      </c>
      <c r="R703">
        <v>0</v>
      </c>
      <c r="S703">
        <v>0</v>
      </c>
      <c r="T703" t="s">
        <v>712</v>
      </c>
      <c r="U703">
        <v>140</v>
      </c>
      <c r="V703" s="2">
        <v>0.3</v>
      </c>
      <c r="AE703" t="b">
        <v>1</v>
      </c>
      <c r="AZ703" s="2"/>
      <c r="BA703" s="7">
        <v>25</v>
      </c>
      <c r="BB703" t="s">
        <v>937</v>
      </c>
      <c r="BC703" t="s">
        <v>923</v>
      </c>
      <c r="BD703" t="s">
        <v>941</v>
      </c>
      <c r="BE703" t="str">
        <f>IF(OR(Table1[[#This Row],[ENGINE_CLASS]]="STEAM",Table1[[#This Row],[ENGINE_CLASS]]="ELECTRIC",Table1[[#This Row],[ENGINE_CLASS]]="DIESEL"),Table1[[#This Row],[ENGINE_CLASS]],"DISABLE")</f>
        <v>DIESEL</v>
      </c>
      <c r="BF703">
        <v>0</v>
      </c>
      <c r="BG703" t="s">
        <v>735</v>
      </c>
      <c r="BI703"/>
      <c r="BJ703">
        <v>42</v>
      </c>
      <c r="BK703">
        <v>0</v>
      </c>
      <c r="BL703" t="s">
        <v>693</v>
      </c>
      <c r="BM703" t="s">
        <v>695</v>
      </c>
      <c r="BN703" t="s">
        <v>702</v>
      </c>
      <c r="BO703" t="s">
        <v>706</v>
      </c>
      <c r="BP703" t="s">
        <v>707</v>
      </c>
      <c r="BQ703" t="s">
        <v>708</v>
      </c>
    </row>
    <row r="704" spans="1:69" x14ac:dyDescent="0.4">
      <c r="A704" s="2" t="s">
        <v>891</v>
      </c>
      <c r="B704" t="str">
        <f>_xlfn.TEXTAFTER(Table1[[#This Row],[VEHIDCODE]],"_")</f>
        <v>Wagon_Gen6_Boxcar_Type1</v>
      </c>
      <c r="C704" t="s">
        <v>754</v>
      </c>
      <c r="D704" t="str">
        <f>"item_"&amp;Table1[[#This Row],[VEHIDCODE]]</f>
        <v>item_mu_Wagon_Gen6_Boxcar_Type1</v>
      </c>
      <c r="E704" t="str">
        <f>"str_"&amp;Table1[[#This Row],[VEHIDCODE]]</f>
        <v>str_mu_Wagon_Gen6_Boxcar_Type1</v>
      </c>
      <c r="F704">
        <v>8</v>
      </c>
      <c r="G704" t="s">
        <v>600</v>
      </c>
      <c r="H704">
        <v>0</v>
      </c>
      <c r="I704" t="s">
        <v>35</v>
      </c>
      <c r="J704">
        <v>74</v>
      </c>
      <c r="K704">
        <v>2010</v>
      </c>
      <c r="L704">
        <v>8</v>
      </c>
      <c r="M704" s="2" t="s">
        <v>33</v>
      </c>
      <c r="N704" t="b">
        <v>1</v>
      </c>
      <c r="P704" s="2" t="b">
        <v>1</v>
      </c>
      <c r="Q704" t="s">
        <v>21</v>
      </c>
      <c r="R704">
        <v>0</v>
      </c>
      <c r="S704">
        <v>0</v>
      </c>
      <c r="T704" t="s">
        <v>712</v>
      </c>
      <c r="U704">
        <v>160</v>
      </c>
      <c r="V704" s="2">
        <v>0.3</v>
      </c>
      <c r="AE704" t="b">
        <v>1</v>
      </c>
      <c r="AZ704" s="2"/>
      <c r="BA704" s="7">
        <v>25</v>
      </c>
      <c r="BB704" t="s">
        <v>934</v>
      </c>
      <c r="BC704" t="s">
        <v>923</v>
      </c>
      <c r="BD704" t="s">
        <v>941</v>
      </c>
      <c r="BE704" t="str">
        <f>IF(OR(Table1[[#This Row],[ENGINE_CLASS]]="STEAM",Table1[[#This Row],[ENGINE_CLASS]]="ELECTRIC",Table1[[#This Row],[ENGINE_CLASS]]="DIESEL"),Table1[[#This Row],[ENGINE_CLASS]],"DISABLE")</f>
        <v>DIESEL</v>
      </c>
      <c r="BF704">
        <v>0</v>
      </c>
      <c r="BG704" t="s">
        <v>735</v>
      </c>
      <c r="BI704"/>
      <c r="BJ704">
        <v>27</v>
      </c>
      <c r="BK704">
        <v>0</v>
      </c>
      <c r="BL704" t="s">
        <v>693</v>
      </c>
      <c r="BM704" t="s">
        <v>695</v>
      </c>
      <c r="BN704" t="s">
        <v>702</v>
      </c>
      <c r="BO704" t="s">
        <v>706</v>
      </c>
      <c r="BP704" t="s">
        <v>707</v>
      </c>
      <c r="BQ704" t="s">
        <v>708</v>
      </c>
    </row>
    <row r="705" spans="1:69" x14ac:dyDescent="0.4">
      <c r="A705" s="2" t="s">
        <v>892</v>
      </c>
      <c r="B705" t="str">
        <f>_xlfn.TEXTAFTER(Table1[[#This Row],[VEHIDCODE]],"_")</f>
        <v>Wagon_Gen6_Boxcar_Type2</v>
      </c>
      <c r="C705" t="s">
        <v>754</v>
      </c>
      <c r="D705" t="str">
        <f>"item_"&amp;Table1[[#This Row],[VEHIDCODE]]</f>
        <v>item_mu_Wagon_Gen6_Boxcar_Type2</v>
      </c>
      <c r="E705" t="str">
        <f>"str_"&amp;Table1[[#This Row],[VEHIDCODE]]</f>
        <v>str_mu_Wagon_Gen6_Boxcar_Type2</v>
      </c>
      <c r="F705">
        <v>8</v>
      </c>
      <c r="G705" t="s">
        <v>600</v>
      </c>
      <c r="H705">
        <v>0</v>
      </c>
      <c r="I705" t="s">
        <v>35</v>
      </c>
      <c r="J705">
        <v>74</v>
      </c>
      <c r="K705">
        <v>2010</v>
      </c>
      <c r="L705">
        <v>8</v>
      </c>
      <c r="M705" s="2" t="s">
        <v>33</v>
      </c>
      <c r="N705" t="b">
        <v>1</v>
      </c>
      <c r="P705" s="2" t="b">
        <v>1</v>
      </c>
      <c r="Q705" t="s">
        <v>21</v>
      </c>
      <c r="R705">
        <v>0</v>
      </c>
      <c r="S705">
        <v>0</v>
      </c>
      <c r="T705" t="s">
        <v>712</v>
      </c>
      <c r="U705">
        <v>160</v>
      </c>
      <c r="V705" s="2">
        <v>0.3</v>
      </c>
      <c r="AE705" t="b">
        <v>1</v>
      </c>
      <c r="AZ705" s="2"/>
      <c r="BA705" s="7">
        <v>25</v>
      </c>
      <c r="BB705" t="s">
        <v>935</v>
      </c>
      <c r="BC705" t="s">
        <v>923</v>
      </c>
      <c r="BD705" t="s">
        <v>941</v>
      </c>
      <c r="BE705" t="str">
        <f>IF(OR(Table1[[#This Row],[ENGINE_CLASS]]="STEAM",Table1[[#This Row],[ENGINE_CLASS]]="ELECTRIC",Table1[[#This Row],[ENGINE_CLASS]]="DIESEL"),Table1[[#This Row],[ENGINE_CLASS]],"DISABLE")</f>
        <v>DIESEL</v>
      </c>
      <c r="BF705">
        <v>0</v>
      </c>
      <c r="BG705" t="s">
        <v>735</v>
      </c>
      <c r="BI705"/>
      <c r="BJ705">
        <v>27</v>
      </c>
      <c r="BK705">
        <v>0</v>
      </c>
      <c r="BL705" t="s">
        <v>693</v>
      </c>
      <c r="BM705" t="s">
        <v>695</v>
      </c>
      <c r="BN705" t="s">
        <v>702</v>
      </c>
      <c r="BO705" t="s">
        <v>706</v>
      </c>
      <c r="BP705" t="s">
        <v>707</v>
      </c>
      <c r="BQ705" t="s">
        <v>708</v>
      </c>
    </row>
    <row r="706" spans="1:69" x14ac:dyDescent="0.4">
      <c r="A706" s="2" t="s">
        <v>893</v>
      </c>
      <c r="B706" t="str">
        <f>_xlfn.TEXTAFTER(Table1[[#This Row],[VEHIDCODE]],"_")</f>
        <v>Wagon_Gen6_Tanker</v>
      </c>
      <c r="C706" t="s">
        <v>754</v>
      </c>
      <c r="D706" t="str">
        <f>"item_"&amp;Table1[[#This Row],[VEHIDCODE]]</f>
        <v>item_mu_Wagon_Gen6_Tanker</v>
      </c>
      <c r="E706" t="str">
        <f>"str_"&amp;Table1[[#This Row],[VEHIDCODE]]</f>
        <v>str_mu_Wagon_Gen6_Tanker</v>
      </c>
      <c r="F706">
        <v>8</v>
      </c>
      <c r="G706" t="s">
        <v>610</v>
      </c>
      <c r="H706">
        <v>0</v>
      </c>
      <c r="I706" t="s">
        <v>35</v>
      </c>
      <c r="J706">
        <v>105</v>
      </c>
      <c r="K706">
        <v>2020</v>
      </c>
      <c r="L706">
        <v>8</v>
      </c>
      <c r="M706" s="2" t="s">
        <v>33</v>
      </c>
      <c r="N706" t="b">
        <v>1</v>
      </c>
      <c r="P706" s="2" t="b">
        <v>1</v>
      </c>
      <c r="Q706" t="s">
        <v>21</v>
      </c>
      <c r="R706">
        <v>0</v>
      </c>
      <c r="S706">
        <v>0</v>
      </c>
      <c r="T706" t="s">
        <v>712</v>
      </c>
      <c r="U706">
        <v>160</v>
      </c>
      <c r="V706" s="2">
        <v>0.3</v>
      </c>
      <c r="AE706" t="b">
        <v>1</v>
      </c>
      <c r="AZ706" s="2"/>
      <c r="BA706" s="7">
        <v>25</v>
      </c>
      <c r="BB706" t="s">
        <v>937</v>
      </c>
      <c r="BC706" t="s">
        <v>923</v>
      </c>
      <c r="BD706" t="s">
        <v>941</v>
      </c>
      <c r="BE706" t="str">
        <f>IF(OR(Table1[[#This Row],[ENGINE_CLASS]]="STEAM",Table1[[#This Row],[ENGINE_CLASS]]="ELECTRIC",Table1[[#This Row],[ENGINE_CLASS]]="DIESEL"),Table1[[#This Row],[ENGINE_CLASS]],"DISABLE")</f>
        <v>DIESEL</v>
      </c>
      <c r="BF706">
        <v>0</v>
      </c>
      <c r="BG706" t="s">
        <v>735</v>
      </c>
      <c r="BI706"/>
      <c r="BJ706">
        <v>24</v>
      </c>
      <c r="BK706">
        <v>0</v>
      </c>
      <c r="BL706" t="s">
        <v>693</v>
      </c>
      <c r="BM706" t="s">
        <v>695</v>
      </c>
      <c r="BN706" t="s">
        <v>702</v>
      </c>
      <c r="BO706" t="s">
        <v>706</v>
      </c>
      <c r="BP706" t="s">
        <v>707</v>
      </c>
      <c r="BQ706" t="s">
        <v>708</v>
      </c>
    </row>
    <row r="707" spans="1:69" x14ac:dyDescent="0.4">
      <c r="A707" s="2" t="s">
        <v>894</v>
      </c>
      <c r="B707" t="str">
        <f>_xlfn.TEXTAFTER(Table1[[#This Row],[VEHIDCODE]],"_")</f>
        <v>Wagon_Gen6_Gondola</v>
      </c>
      <c r="C707" t="s">
        <v>754</v>
      </c>
      <c r="D707" t="str">
        <f>"item_"&amp;Table1[[#This Row],[VEHIDCODE]]</f>
        <v>item_mu_Wagon_Gen6_Gondola</v>
      </c>
      <c r="E707" t="str">
        <f>"str_"&amp;Table1[[#This Row],[VEHIDCODE]]</f>
        <v>str_mu_Wagon_Gen6_Gondola</v>
      </c>
      <c r="F707">
        <v>8</v>
      </c>
      <c r="G707" t="s">
        <v>605</v>
      </c>
      <c r="H707">
        <v>0</v>
      </c>
      <c r="I707" t="s">
        <v>35</v>
      </c>
      <c r="J707">
        <v>75</v>
      </c>
      <c r="K707">
        <v>2010</v>
      </c>
      <c r="L707">
        <v>8</v>
      </c>
      <c r="M707" s="2" t="s">
        <v>33</v>
      </c>
      <c r="N707" t="b">
        <v>1</v>
      </c>
      <c r="P707" s="2" t="b">
        <v>1</v>
      </c>
      <c r="Q707" t="s">
        <v>21</v>
      </c>
      <c r="R707">
        <v>0</v>
      </c>
      <c r="S707">
        <v>0</v>
      </c>
      <c r="T707" t="s">
        <v>712</v>
      </c>
      <c r="U707">
        <v>160</v>
      </c>
      <c r="V707" s="2">
        <v>0.3</v>
      </c>
      <c r="AE707" t="b">
        <v>1</v>
      </c>
      <c r="AZ707" s="2"/>
      <c r="BA707" s="7">
        <v>25</v>
      </c>
      <c r="BB707" t="s">
        <v>937</v>
      </c>
      <c r="BC707" t="s">
        <v>923</v>
      </c>
      <c r="BD707" t="s">
        <v>941</v>
      </c>
      <c r="BE707" t="str">
        <f>IF(OR(Table1[[#This Row],[ENGINE_CLASS]]="STEAM",Table1[[#This Row],[ENGINE_CLASS]]="ELECTRIC",Table1[[#This Row],[ENGINE_CLASS]]="DIESEL"),Table1[[#This Row],[ENGINE_CLASS]],"DISABLE")</f>
        <v>DIESEL</v>
      </c>
      <c r="BF707">
        <v>0</v>
      </c>
      <c r="BG707" t="s">
        <v>735</v>
      </c>
      <c r="BI707"/>
      <c r="BJ707">
        <v>22</v>
      </c>
      <c r="BK707">
        <v>0</v>
      </c>
      <c r="BL707" t="s">
        <v>693</v>
      </c>
      <c r="BM707" t="s">
        <v>695</v>
      </c>
      <c r="BN707" t="s">
        <v>702</v>
      </c>
      <c r="BO707" t="s">
        <v>706</v>
      </c>
      <c r="BP707" t="s">
        <v>707</v>
      </c>
      <c r="BQ707" t="s">
        <v>708</v>
      </c>
    </row>
    <row r="708" spans="1:69" x14ac:dyDescent="0.4">
      <c r="A708" s="2" t="s">
        <v>895</v>
      </c>
      <c r="B708" t="str">
        <f>_xlfn.TEXTAFTER(Table1[[#This Row],[VEHIDCODE]],"_")</f>
        <v>Wagon_Gen6_Silo_Type1</v>
      </c>
      <c r="C708" t="s">
        <v>754</v>
      </c>
      <c r="D708" t="str">
        <f>"item_"&amp;Table1[[#This Row],[VEHIDCODE]]</f>
        <v>item_mu_Wagon_Gen6_Silo_Type1</v>
      </c>
      <c r="E708" t="str">
        <f>"str_"&amp;Table1[[#This Row],[VEHIDCODE]]</f>
        <v>str_mu_Wagon_Gen6_Silo_Type1</v>
      </c>
      <c r="F708">
        <v>8</v>
      </c>
      <c r="G708" t="s">
        <v>608</v>
      </c>
      <c r="H708">
        <v>0</v>
      </c>
      <c r="I708" t="s">
        <v>35</v>
      </c>
      <c r="J708">
        <v>75</v>
      </c>
      <c r="K708">
        <v>2020</v>
      </c>
      <c r="L708">
        <v>8</v>
      </c>
      <c r="M708" s="2" t="s">
        <v>33</v>
      </c>
      <c r="N708" t="b">
        <v>1</v>
      </c>
      <c r="P708" s="2" t="b">
        <v>1</v>
      </c>
      <c r="Q708" t="s">
        <v>21</v>
      </c>
      <c r="R708">
        <v>0</v>
      </c>
      <c r="S708">
        <v>0</v>
      </c>
      <c r="T708" t="s">
        <v>712</v>
      </c>
      <c r="U708">
        <v>160</v>
      </c>
      <c r="V708" s="2">
        <v>0.3</v>
      </c>
      <c r="AE708" t="b">
        <v>1</v>
      </c>
      <c r="AZ708" s="2"/>
      <c r="BA708" s="7">
        <v>25</v>
      </c>
      <c r="BB708" t="s">
        <v>934</v>
      </c>
      <c r="BC708" t="s">
        <v>923</v>
      </c>
      <c r="BD708" t="s">
        <v>941</v>
      </c>
      <c r="BE708" t="str">
        <f>IF(OR(Table1[[#This Row],[ENGINE_CLASS]]="STEAM",Table1[[#This Row],[ENGINE_CLASS]]="ELECTRIC",Table1[[#This Row],[ENGINE_CLASS]]="DIESEL"),Table1[[#This Row],[ENGINE_CLASS]],"DISABLE")</f>
        <v>DIESEL</v>
      </c>
      <c r="BF708">
        <v>0</v>
      </c>
      <c r="BG708" t="s">
        <v>735</v>
      </c>
      <c r="BI708"/>
      <c r="BJ708">
        <v>27</v>
      </c>
      <c r="BK708">
        <v>0</v>
      </c>
      <c r="BL708" t="s">
        <v>693</v>
      </c>
      <c r="BM708" t="s">
        <v>695</v>
      </c>
      <c r="BN708" t="s">
        <v>702</v>
      </c>
      <c r="BO708" t="s">
        <v>706</v>
      </c>
      <c r="BP708" t="s">
        <v>707</v>
      </c>
      <c r="BQ708" t="s">
        <v>708</v>
      </c>
    </row>
    <row r="709" spans="1:69" x14ac:dyDescent="0.4">
      <c r="A709" s="2" t="s">
        <v>896</v>
      </c>
      <c r="B709" t="str">
        <f>_xlfn.TEXTAFTER(Table1[[#This Row],[VEHIDCODE]],"_")</f>
        <v>Wagon_Gen6_Silo_Type2</v>
      </c>
      <c r="C709" t="s">
        <v>754</v>
      </c>
      <c r="D709" t="str">
        <f>"item_"&amp;Table1[[#This Row],[VEHIDCODE]]</f>
        <v>item_mu_Wagon_Gen6_Silo_Type2</v>
      </c>
      <c r="E709" t="str">
        <f>"str_"&amp;Table1[[#This Row],[VEHIDCODE]]</f>
        <v>str_mu_Wagon_Gen6_Silo_Type2</v>
      </c>
      <c r="F709">
        <v>8</v>
      </c>
      <c r="G709" t="s">
        <v>608</v>
      </c>
      <c r="H709">
        <v>0</v>
      </c>
      <c r="I709" t="s">
        <v>35</v>
      </c>
      <c r="J709">
        <v>75</v>
      </c>
      <c r="K709">
        <v>2020</v>
      </c>
      <c r="L709">
        <v>8</v>
      </c>
      <c r="M709" s="2" t="s">
        <v>33</v>
      </c>
      <c r="N709" t="b">
        <v>1</v>
      </c>
      <c r="P709" s="2" t="b">
        <v>1</v>
      </c>
      <c r="Q709" t="s">
        <v>21</v>
      </c>
      <c r="R709">
        <v>0</v>
      </c>
      <c r="S709">
        <v>0</v>
      </c>
      <c r="T709" t="s">
        <v>712</v>
      </c>
      <c r="U709">
        <v>160</v>
      </c>
      <c r="V709" s="2">
        <v>0.3</v>
      </c>
      <c r="AE709" t="b">
        <v>1</v>
      </c>
      <c r="AZ709" s="2"/>
      <c r="BA709" s="7">
        <v>25</v>
      </c>
      <c r="BB709" t="s">
        <v>935</v>
      </c>
      <c r="BC709" t="s">
        <v>923</v>
      </c>
      <c r="BD709" t="s">
        <v>941</v>
      </c>
      <c r="BE709" t="str">
        <f>IF(OR(Table1[[#This Row],[ENGINE_CLASS]]="STEAM",Table1[[#This Row],[ENGINE_CLASS]]="ELECTRIC",Table1[[#This Row],[ENGINE_CLASS]]="DIESEL"),Table1[[#This Row],[ENGINE_CLASS]],"DISABLE")</f>
        <v>DIESEL</v>
      </c>
      <c r="BF709">
        <v>0</v>
      </c>
      <c r="BG709" t="s">
        <v>735</v>
      </c>
      <c r="BI709"/>
      <c r="BJ709">
        <v>27</v>
      </c>
      <c r="BK709">
        <v>0</v>
      </c>
      <c r="BL709" t="s">
        <v>693</v>
      </c>
      <c r="BM709" t="s">
        <v>695</v>
      </c>
      <c r="BN709" t="s">
        <v>702</v>
      </c>
      <c r="BO709" t="s">
        <v>706</v>
      </c>
      <c r="BP709" t="s">
        <v>707</v>
      </c>
      <c r="BQ709" t="s">
        <v>708</v>
      </c>
    </row>
    <row r="710" spans="1:69" x14ac:dyDescent="0.4">
      <c r="A710" s="2" t="s">
        <v>897</v>
      </c>
      <c r="B710" t="str">
        <f>_xlfn.TEXTAFTER(Table1[[#This Row],[VEHIDCODE]],"_")</f>
        <v>Wagon_Gen6_Hopper_Type1</v>
      </c>
      <c r="C710" t="s">
        <v>754</v>
      </c>
      <c r="D710" t="str">
        <f>"item_"&amp;Table1[[#This Row],[VEHIDCODE]]</f>
        <v>item_mu_Wagon_Gen6_Hopper_Type1</v>
      </c>
      <c r="E710" t="str">
        <f>"str_"&amp;Table1[[#This Row],[VEHIDCODE]]</f>
        <v>str_mu_Wagon_Gen6_Hopper_Type1</v>
      </c>
      <c r="F710">
        <v>8</v>
      </c>
      <c r="G710" t="s">
        <v>607</v>
      </c>
      <c r="H710">
        <v>0</v>
      </c>
      <c r="I710" t="s">
        <v>35</v>
      </c>
      <c r="J710">
        <v>75</v>
      </c>
      <c r="K710">
        <v>2020</v>
      </c>
      <c r="L710">
        <v>8</v>
      </c>
      <c r="M710" s="2" t="s">
        <v>33</v>
      </c>
      <c r="N710" t="b">
        <v>1</v>
      </c>
      <c r="P710" s="2" t="b">
        <v>1</v>
      </c>
      <c r="Q710" t="s">
        <v>21</v>
      </c>
      <c r="R710">
        <v>0</v>
      </c>
      <c r="S710">
        <v>0</v>
      </c>
      <c r="T710" t="s">
        <v>712</v>
      </c>
      <c r="U710">
        <v>160</v>
      </c>
      <c r="V710" s="2">
        <v>0.3</v>
      </c>
      <c r="AE710" t="b">
        <v>1</v>
      </c>
      <c r="AZ710" s="2"/>
      <c r="BA710" s="7">
        <v>25</v>
      </c>
      <c r="BB710" t="s">
        <v>934</v>
      </c>
      <c r="BC710" t="s">
        <v>923</v>
      </c>
      <c r="BD710" t="s">
        <v>941</v>
      </c>
      <c r="BE710" t="str">
        <f>IF(OR(Table1[[#This Row],[ENGINE_CLASS]]="STEAM",Table1[[#This Row],[ENGINE_CLASS]]="ELECTRIC",Table1[[#This Row],[ENGINE_CLASS]]="DIESEL"),Table1[[#This Row],[ENGINE_CLASS]],"DISABLE")</f>
        <v>DIESEL</v>
      </c>
      <c r="BF710">
        <v>0</v>
      </c>
      <c r="BG710" t="s">
        <v>735</v>
      </c>
      <c r="BI710"/>
      <c r="BJ710">
        <v>26</v>
      </c>
      <c r="BK710">
        <v>0</v>
      </c>
      <c r="BL710" t="s">
        <v>693</v>
      </c>
      <c r="BM710" t="s">
        <v>695</v>
      </c>
      <c r="BN710" t="s">
        <v>702</v>
      </c>
      <c r="BO710" t="s">
        <v>706</v>
      </c>
      <c r="BP710" t="s">
        <v>707</v>
      </c>
      <c r="BQ710" t="s">
        <v>708</v>
      </c>
    </row>
    <row r="711" spans="1:69" x14ac:dyDescent="0.4">
      <c r="A711" s="2" t="s">
        <v>898</v>
      </c>
      <c r="B711" t="str">
        <f>_xlfn.TEXTAFTER(Table1[[#This Row],[VEHIDCODE]],"_")</f>
        <v>Wagon_Gen6_Hopper_Type2</v>
      </c>
      <c r="C711" t="s">
        <v>754</v>
      </c>
      <c r="D711" t="str">
        <f>"item_"&amp;Table1[[#This Row],[VEHIDCODE]]</f>
        <v>item_mu_Wagon_Gen6_Hopper_Type2</v>
      </c>
      <c r="E711" t="str">
        <f>"str_"&amp;Table1[[#This Row],[VEHIDCODE]]</f>
        <v>str_mu_Wagon_Gen6_Hopper_Type2</v>
      </c>
      <c r="F711">
        <v>8</v>
      </c>
      <c r="G711" t="s">
        <v>607</v>
      </c>
      <c r="H711">
        <v>0</v>
      </c>
      <c r="I711" t="s">
        <v>35</v>
      </c>
      <c r="J711">
        <v>75</v>
      </c>
      <c r="K711">
        <v>2020</v>
      </c>
      <c r="L711">
        <v>8</v>
      </c>
      <c r="M711" s="2" t="s">
        <v>33</v>
      </c>
      <c r="N711" t="b">
        <v>1</v>
      </c>
      <c r="P711" s="2" t="b">
        <v>1</v>
      </c>
      <c r="Q711" t="s">
        <v>21</v>
      </c>
      <c r="R711">
        <v>0</v>
      </c>
      <c r="S711">
        <v>0</v>
      </c>
      <c r="T711" t="s">
        <v>712</v>
      </c>
      <c r="U711">
        <v>160</v>
      </c>
      <c r="V711" s="2">
        <v>0.3</v>
      </c>
      <c r="AE711" t="b">
        <v>1</v>
      </c>
      <c r="AZ711" s="2"/>
      <c r="BA711" s="7">
        <v>25</v>
      </c>
      <c r="BB711" t="s">
        <v>937</v>
      </c>
      <c r="BC711" t="s">
        <v>923</v>
      </c>
      <c r="BD711" t="s">
        <v>941</v>
      </c>
      <c r="BE711" t="str">
        <f>IF(OR(Table1[[#This Row],[ENGINE_CLASS]]="STEAM",Table1[[#This Row],[ENGINE_CLASS]]="ELECTRIC",Table1[[#This Row],[ENGINE_CLASS]]="DIESEL"),Table1[[#This Row],[ENGINE_CLASS]],"DISABLE")</f>
        <v>DIESEL</v>
      </c>
      <c r="BF711">
        <v>0</v>
      </c>
      <c r="BG711" t="s">
        <v>735</v>
      </c>
      <c r="BI711"/>
      <c r="BJ711">
        <v>26</v>
      </c>
      <c r="BK711">
        <v>0</v>
      </c>
      <c r="BL711" t="s">
        <v>693</v>
      </c>
      <c r="BM711" t="s">
        <v>695</v>
      </c>
      <c r="BN711" t="s">
        <v>702</v>
      </c>
      <c r="BO711" t="s">
        <v>706</v>
      </c>
      <c r="BP711" t="s">
        <v>707</v>
      </c>
      <c r="BQ711" t="s">
        <v>708</v>
      </c>
    </row>
    <row r="712" spans="1:69" x14ac:dyDescent="0.4">
      <c r="A712" s="2" t="s">
        <v>899</v>
      </c>
      <c r="B712" t="str">
        <f>_xlfn.TEXTAFTER(Table1[[#This Row],[VEHIDCODE]],"_")</f>
        <v>Wagon_Gen6_Car_Transporter</v>
      </c>
      <c r="C712" t="s">
        <v>754</v>
      </c>
      <c r="D712" t="str">
        <f>"item_"&amp;Table1[[#This Row],[VEHIDCODE]]</f>
        <v>item_mu_Wagon_Gen6_Car_Transporter</v>
      </c>
      <c r="E712" t="str">
        <f>"str_"&amp;Table1[[#This Row],[VEHIDCODE]]</f>
        <v>str_mu_Wagon_Gen6_Car_Transporter</v>
      </c>
      <c r="F712">
        <v>8</v>
      </c>
      <c r="G712" t="s">
        <v>601</v>
      </c>
      <c r="H712">
        <v>0</v>
      </c>
      <c r="I712" t="s">
        <v>35</v>
      </c>
      <c r="J712">
        <v>20</v>
      </c>
      <c r="K712">
        <v>2020</v>
      </c>
      <c r="L712">
        <v>8</v>
      </c>
      <c r="M712" s="2" t="s">
        <v>33</v>
      </c>
      <c r="N712" t="b">
        <v>1</v>
      </c>
      <c r="P712" s="2" t="b">
        <v>1</v>
      </c>
      <c r="Q712" t="s">
        <v>21</v>
      </c>
      <c r="R712">
        <v>0</v>
      </c>
      <c r="S712">
        <v>0</v>
      </c>
      <c r="T712" t="s">
        <v>712</v>
      </c>
      <c r="U712">
        <v>160</v>
      </c>
      <c r="V712" s="2">
        <v>0.3</v>
      </c>
      <c r="AE712" t="b">
        <v>1</v>
      </c>
      <c r="AZ712" s="2"/>
      <c r="BA712" s="7">
        <v>25</v>
      </c>
      <c r="BB712" t="s">
        <v>937</v>
      </c>
      <c r="BC712" t="s">
        <v>923</v>
      </c>
      <c r="BD712" t="s">
        <v>941</v>
      </c>
      <c r="BE712" t="str">
        <f>IF(OR(Table1[[#This Row],[ENGINE_CLASS]]="STEAM",Table1[[#This Row],[ENGINE_CLASS]]="ELECTRIC",Table1[[#This Row],[ENGINE_CLASS]]="DIESEL"),Table1[[#This Row],[ENGINE_CLASS]],"DISABLE")</f>
        <v>DIESEL</v>
      </c>
      <c r="BF712">
        <v>0</v>
      </c>
      <c r="BG712" t="s">
        <v>735</v>
      </c>
      <c r="BI712"/>
      <c r="BJ712">
        <v>28</v>
      </c>
      <c r="BK712">
        <v>0</v>
      </c>
      <c r="BL712" t="s">
        <v>693</v>
      </c>
      <c r="BM712" t="s">
        <v>695</v>
      </c>
      <c r="BN712" t="s">
        <v>702</v>
      </c>
      <c r="BO712" t="s">
        <v>706</v>
      </c>
      <c r="BP712" t="s">
        <v>707</v>
      </c>
      <c r="BQ712" t="s">
        <v>708</v>
      </c>
    </row>
    <row r="713" spans="1:69" x14ac:dyDescent="0.4">
      <c r="A713" s="2" t="s">
        <v>900</v>
      </c>
      <c r="B713" t="str">
        <f>_xlfn.TEXTAFTER(Table1[[#This Row],[VEHIDCODE]],"_")</f>
        <v>Wagon_Gen6_Container_Carrier</v>
      </c>
      <c r="C713" t="s">
        <v>754</v>
      </c>
      <c r="D713" t="str">
        <f>"item_"&amp;Table1[[#This Row],[VEHIDCODE]]</f>
        <v>item_mu_Wagon_Gen6_Container_Carrier</v>
      </c>
      <c r="E713" t="str">
        <f>"str_"&amp;Table1[[#This Row],[VEHIDCODE]]</f>
        <v>str_mu_Wagon_Gen6_Container_Carrier</v>
      </c>
      <c r="F713">
        <v>8</v>
      </c>
      <c r="G713" t="s">
        <v>533</v>
      </c>
      <c r="H713">
        <v>0</v>
      </c>
      <c r="I713" t="s">
        <v>35</v>
      </c>
      <c r="J713">
        <v>60</v>
      </c>
      <c r="K713">
        <v>2010</v>
      </c>
      <c r="L713">
        <v>8</v>
      </c>
      <c r="M713" s="2" t="s">
        <v>33</v>
      </c>
      <c r="N713" t="b">
        <v>1</v>
      </c>
      <c r="P713" s="2" t="b">
        <v>1</v>
      </c>
      <c r="Q713" t="s">
        <v>21</v>
      </c>
      <c r="R713">
        <v>0</v>
      </c>
      <c r="S713">
        <v>0</v>
      </c>
      <c r="T713" t="s">
        <v>712</v>
      </c>
      <c r="U713">
        <v>160</v>
      </c>
      <c r="V713" s="2">
        <v>0.3</v>
      </c>
      <c r="AE713" t="b">
        <v>1</v>
      </c>
      <c r="AZ713" s="2"/>
      <c r="BA713" s="7">
        <v>25</v>
      </c>
      <c r="BB713" t="s">
        <v>937</v>
      </c>
      <c r="BC713" t="s">
        <v>923</v>
      </c>
      <c r="BD713" t="s">
        <v>941</v>
      </c>
      <c r="BE713" t="str">
        <f>IF(OR(Table1[[#This Row],[ENGINE_CLASS]]="STEAM",Table1[[#This Row],[ENGINE_CLASS]]="ELECTRIC",Table1[[#This Row],[ENGINE_CLASS]]="DIESEL"),Table1[[#This Row],[ENGINE_CLASS]],"DISABLE")</f>
        <v>DIESEL</v>
      </c>
      <c r="BF713">
        <v>0</v>
      </c>
      <c r="BG713" t="s">
        <v>735</v>
      </c>
      <c r="BI713"/>
      <c r="BJ713">
        <v>22</v>
      </c>
      <c r="BK713">
        <v>0</v>
      </c>
      <c r="BL713" t="s">
        <v>693</v>
      </c>
      <c r="BM713" t="s">
        <v>695</v>
      </c>
      <c r="BN713" t="s">
        <v>702</v>
      </c>
      <c r="BO713" t="s">
        <v>706</v>
      </c>
      <c r="BP713" t="s">
        <v>707</v>
      </c>
      <c r="BQ713" t="s">
        <v>708</v>
      </c>
    </row>
    <row r="714" spans="1:69" x14ac:dyDescent="0.4">
      <c r="A714" s="2" t="s">
        <v>901</v>
      </c>
      <c r="B714" t="str">
        <f>_xlfn.TEXTAFTER(Table1[[#This Row],[VEHIDCODE]],"_")</f>
        <v>Wagon_Gen6_Centerbeam</v>
      </c>
      <c r="C714" t="s">
        <v>754</v>
      </c>
      <c r="D714" t="str">
        <f>"item_"&amp;Table1[[#This Row],[VEHIDCODE]]</f>
        <v>item_mu_Wagon_Gen6_Centerbeam</v>
      </c>
      <c r="E714" t="str">
        <f>"str_"&amp;Table1[[#This Row],[VEHIDCODE]]</f>
        <v>str_mu_Wagon_Gen6_Centerbeam</v>
      </c>
      <c r="F714">
        <v>8</v>
      </c>
      <c r="G714" t="s">
        <v>602</v>
      </c>
      <c r="H714">
        <v>0</v>
      </c>
      <c r="I714" t="s">
        <v>35</v>
      </c>
      <c r="J714">
        <v>65</v>
      </c>
      <c r="K714">
        <v>2010</v>
      </c>
      <c r="L714">
        <v>8</v>
      </c>
      <c r="M714" s="2" t="s">
        <v>33</v>
      </c>
      <c r="N714" t="b">
        <v>1</v>
      </c>
      <c r="P714" s="2" t="b">
        <v>1</v>
      </c>
      <c r="Q714" t="s">
        <v>21</v>
      </c>
      <c r="R714">
        <v>0</v>
      </c>
      <c r="S714">
        <v>0</v>
      </c>
      <c r="T714" t="s">
        <v>712</v>
      </c>
      <c r="U714">
        <v>160</v>
      </c>
      <c r="V714" s="2">
        <v>0.3</v>
      </c>
      <c r="AE714" t="b">
        <v>1</v>
      </c>
      <c r="AZ714" s="2"/>
      <c r="BA714" s="7">
        <v>25</v>
      </c>
      <c r="BB714" t="s">
        <v>937</v>
      </c>
      <c r="BC714" t="s">
        <v>923</v>
      </c>
      <c r="BD714" t="s">
        <v>941</v>
      </c>
      <c r="BE714" t="str">
        <f>IF(OR(Table1[[#This Row],[ENGINE_CLASS]]="STEAM",Table1[[#This Row],[ENGINE_CLASS]]="ELECTRIC",Table1[[#This Row],[ENGINE_CLASS]]="DIESEL"),Table1[[#This Row],[ENGINE_CLASS]],"DISABLE")</f>
        <v>DIESEL</v>
      </c>
      <c r="BF714">
        <v>0</v>
      </c>
      <c r="BG714" t="s">
        <v>735</v>
      </c>
      <c r="BI714"/>
      <c r="BJ714">
        <v>40</v>
      </c>
      <c r="BK714">
        <v>0</v>
      </c>
      <c r="BL714" t="s">
        <v>693</v>
      </c>
      <c r="BM714" t="s">
        <v>695</v>
      </c>
      <c r="BN714" t="s">
        <v>702</v>
      </c>
      <c r="BO714" t="s">
        <v>706</v>
      </c>
      <c r="BP714" t="s">
        <v>707</v>
      </c>
      <c r="BQ714" t="s">
        <v>708</v>
      </c>
    </row>
    <row r="715" spans="1:69" x14ac:dyDescent="0.4">
      <c r="A715" s="2" t="s">
        <v>902</v>
      </c>
      <c r="B715" t="str">
        <f>_xlfn.TEXTAFTER(Table1[[#This Row],[VEHIDCODE]],"_")</f>
        <v>Wagon_Gen6_Container_Doublestack</v>
      </c>
      <c r="C715" t="s">
        <v>754</v>
      </c>
      <c r="D715" t="str">
        <f>"item_"&amp;Table1[[#This Row],[VEHIDCODE]]</f>
        <v>item_mu_Wagon_Gen6_Container_Doublestack</v>
      </c>
      <c r="E715" t="str">
        <f>"str_"&amp;Table1[[#This Row],[VEHIDCODE]]</f>
        <v>str_mu_Wagon_Gen6_Container_Doublestack</v>
      </c>
      <c r="F715">
        <v>8</v>
      </c>
      <c r="G715" t="s">
        <v>603</v>
      </c>
      <c r="H715">
        <v>0</v>
      </c>
      <c r="I715" t="s">
        <v>35</v>
      </c>
      <c r="J715">
        <v>75</v>
      </c>
      <c r="K715">
        <v>2000</v>
      </c>
      <c r="L715">
        <v>8</v>
      </c>
      <c r="M715" s="2" t="s">
        <v>33</v>
      </c>
      <c r="N715" t="b">
        <v>1</v>
      </c>
      <c r="P715" s="2" t="b">
        <v>1</v>
      </c>
      <c r="Q715" t="s">
        <v>21</v>
      </c>
      <c r="R715">
        <v>0</v>
      </c>
      <c r="S715">
        <v>0</v>
      </c>
      <c r="T715" t="s">
        <v>712</v>
      </c>
      <c r="U715">
        <v>160</v>
      </c>
      <c r="V715" s="2">
        <v>0.3</v>
      </c>
      <c r="AE715" t="b">
        <v>1</v>
      </c>
      <c r="AZ715" s="2"/>
      <c r="BA715" s="7">
        <v>25</v>
      </c>
      <c r="BB715" t="s">
        <v>937</v>
      </c>
      <c r="BC715" t="s">
        <v>923</v>
      </c>
      <c r="BD715" t="s">
        <v>941</v>
      </c>
      <c r="BE715" t="str">
        <f>IF(OR(Table1[[#This Row],[ENGINE_CLASS]]="STEAM",Table1[[#This Row],[ENGINE_CLASS]]="ELECTRIC",Table1[[#This Row],[ENGINE_CLASS]]="DIESEL"),Table1[[#This Row],[ENGINE_CLASS]],"DISABLE")</f>
        <v>DIESEL</v>
      </c>
      <c r="BF715">
        <v>0</v>
      </c>
      <c r="BG715" t="s">
        <v>735</v>
      </c>
      <c r="BI715"/>
      <c r="BJ715">
        <v>25</v>
      </c>
      <c r="BK715">
        <v>0</v>
      </c>
      <c r="BL715" t="s">
        <v>693</v>
      </c>
      <c r="BM715" t="s">
        <v>695</v>
      </c>
      <c r="BN715" t="s">
        <v>702</v>
      </c>
      <c r="BO715" t="s">
        <v>706</v>
      </c>
      <c r="BP715" t="s">
        <v>707</v>
      </c>
      <c r="BQ715" t="s">
        <v>708</v>
      </c>
    </row>
    <row r="716" spans="1:69" x14ac:dyDescent="0.4">
      <c r="A716" s="2" t="s">
        <v>903</v>
      </c>
      <c r="B716" t="str">
        <f>_xlfn.TEXTAFTER(Table1[[#This Row],[VEHIDCODE]],"_")</f>
        <v>Wagon_Gen6_Superheavy_Flatcar</v>
      </c>
      <c r="C716" t="s">
        <v>754</v>
      </c>
      <c r="D716" t="str">
        <f>"item_"&amp;Table1[[#This Row],[VEHIDCODE]]</f>
        <v>item_mu_Wagon_Gen6_Superheavy_Flatcar</v>
      </c>
      <c r="E716" t="str">
        <f>"str_"&amp;Table1[[#This Row],[VEHIDCODE]]</f>
        <v>str_mu_Wagon_Gen6_Superheavy_Flatcar</v>
      </c>
      <c r="F716">
        <v>12</v>
      </c>
      <c r="G716" t="s">
        <v>609</v>
      </c>
      <c r="H716">
        <v>0</v>
      </c>
      <c r="I716" t="s">
        <v>35</v>
      </c>
      <c r="J716">
        <v>65</v>
      </c>
      <c r="K716">
        <v>2010</v>
      </c>
      <c r="L716">
        <v>4</v>
      </c>
      <c r="M716" s="2" t="s">
        <v>33</v>
      </c>
      <c r="N716" t="b">
        <v>1</v>
      </c>
      <c r="P716" s="2" t="b">
        <v>1</v>
      </c>
      <c r="Q716" t="s">
        <v>21</v>
      </c>
      <c r="R716">
        <v>0</v>
      </c>
      <c r="S716">
        <v>0</v>
      </c>
      <c r="T716" t="s">
        <v>712</v>
      </c>
      <c r="U716">
        <v>140</v>
      </c>
      <c r="V716" s="2">
        <v>0.3</v>
      </c>
      <c r="AE716" t="b">
        <v>1</v>
      </c>
      <c r="AZ716" s="2"/>
      <c r="BA716" s="7">
        <v>25</v>
      </c>
      <c r="BB716" t="s">
        <v>937</v>
      </c>
      <c r="BC716" t="s">
        <v>923</v>
      </c>
      <c r="BD716" t="s">
        <v>941</v>
      </c>
      <c r="BE716" t="str">
        <f>IF(OR(Table1[[#This Row],[ENGINE_CLASS]]="STEAM",Table1[[#This Row],[ENGINE_CLASS]]="ELECTRIC",Table1[[#This Row],[ENGINE_CLASS]]="DIESEL"),Table1[[#This Row],[ENGINE_CLASS]],"DISABLE")</f>
        <v>DIESEL</v>
      </c>
      <c r="BF716">
        <v>0</v>
      </c>
      <c r="BG716" t="s">
        <v>735</v>
      </c>
      <c r="BI716"/>
      <c r="BJ716">
        <v>50</v>
      </c>
      <c r="BK716">
        <v>0</v>
      </c>
      <c r="BL716" t="s">
        <v>693</v>
      </c>
      <c r="BM716" t="s">
        <v>695</v>
      </c>
      <c r="BN716" t="s">
        <v>702</v>
      </c>
      <c r="BO716" t="s">
        <v>706</v>
      </c>
      <c r="BP716" t="s">
        <v>707</v>
      </c>
      <c r="BQ716" t="s">
        <v>708</v>
      </c>
    </row>
    <row r="717" spans="1:69" x14ac:dyDescent="0.4">
      <c r="A717" s="2" t="s">
        <v>918</v>
      </c>
      <c r="B717" t="str">
        <f>_xlfn.TEXTAFTER(Table1[[#This Row],[VEHIDCODE]],"_")</f>
        <v>Wagon_Service_Car_Type1</v>
      </c>
      <c r="C717" t="s">
        <v>755</v>
      </c>
      <c r="D717" t="str">
        <f>"item_"&amp;Table1[[#This Row],[VEHIDCODE]]</f>
        <v>item_mu_Wagon_Service_Car_Type1</v>
      </c>
      <c r="E717" t="str">
        <f>"str_"&amp;Table1[[#This Row],[VEHIDCODE]]</f>
        <v>str_mu_Wagon_Service_Car_Type1</v>
      </c>
      <c r="F717">
        <v>5</v>
      </c>
      <c r="G717" t="s">
        <v>20</v>
      </c>
      <c r="H717">
        <v>0</v>
      </c>
      <c r="I717" t="s">
        <v>35</v>
      </c>
      <c r="J717">
        <v>0</v>
      </c>
      <c r="K717">
        <v>1660</v>
      </c>
      <c r="L717">
        <v>5</v>
      </c>
      <c r="M717" s="2" t="s">
        <v>33</v>
      </c>
      <c r="N717" t="b">
        <v>1</v>
      </c>
      <c r="P717" s="2" t="b">
        <v>1</v>
      </c>
      <c r="Q717" t="s">
        <v>21</v>
      </c>
      <c r="R717">
        <v>0</v>
      </c>
      <c r="S717">
        <v>0</v>
      </c>
      <c r="T717" t="s">
        <v>712</v>
      </c>
      <c r="U717">
        <v>0</v>
      </c>
      <c r="V717" s="2">
        <v>0.3</v>
      </c>
      <c r="AE717" t="b">
        <v>1</v>
      </c>
      <c r="AZ717" s="2"/>
      <c r="BA717" s="7">
        <v>25</v>
      </c>
      <c r="BB717" t="s">
        <v>934</v>
      </c>
      <c r="BC717" t="s">
        <v>923</v>
      </c>
      <c r="BD717" t="s">
        <v>941</v>
      </c>
      <c r="BE717" t="str">
        <f>IF(OR(Table1[[#This Row],[ENGINE_CLASS]]="STEAM",Table1[[#This Row],[ENGINE_CLASS]]="ELECTRIC",Table1[[#This Row],[ENGINE_CLASS]]="DIESEL"),Table1[[#This Row],[ENGINE_CLASS]],"DISABLE")</f>
        <v>DIESEL</v>
      </c>
      <c r="BF717">
        <v>0</v>
      </c>
      <c r="BG717" t="s">
        <v>735</v>
      </c>
      <c r="BI717"/>
      <c r="BJ717">
        <v>15</v>
      </c>
      <c r="BK717">
        <v>0</v>
      </c>
      <c r="BL717" t="s">
        <v>693</v>
      </c>
      <c r="BM717" t="s">
        <v>695</v>
      </c>
      <c r="BN717" t="s">
        <v>702</v>
      </c>
      <c r="BO717" t="s">
        <v>706</v>
      </c>
      <c r="BP717" t="s">
        <v>707</v>
      </c>
      <c r="BQ717" t="s">
        <v>708</v>
      </c>
    </row>
    <row r="718" spans="1:69" x14ac:dyDescent="0.4">
      <c r="A718" s="2" t="s">
        <v>919</v>
      </c>
      <c r="B718" t="str">
        <f>_xlfn.TEXTAFTER(Table1[[#This Row],[VEHIDCODE]],"_")</f>
        <v>Wagon_Service_Car_Type2</v>
      </c>
      <c r="C718" t="s">
        <v>755</v>
      </c>
      <c r="D718" t="str">
        <f>"item_"&amp;Table1[[#This Row],[VEHIDCODE]]</f>
        <v>item_mu_Wagon_Service_Car_Type2</v>
      </c>
      <c r="E718" t="str">
        <f>"str_"&amp;Table1[[#This Row],[VEHIDCODE]]</f>
        <v>str_mu_Wagon_Service_Car_Type2</v>
      </c>
      <c r="F718">
        <v>5</v>
      </c>
      <c r="G718" t="s">
        <v>20</v>
      </c>
      <c r="H718">
        <v>0</v>
      </c>
      <c r="I718" t="s">
        <v>35</v>
      </c>
      <c r="J718">
        <v>0</v>
      </c>
      <c r="K718">
        <v>1660</v>
      </c>
      <c r="L718">
        <v>5</v>
      </c>
      <c r="M718" s="2" t="s">
        <v>33</v>
      </c>
      <c r="N718" t="b">
        <v>1</v>
      </c>
      <c r="P718" s="2" t="b">
        <v>1</v>
      </c>
      <c r="Q718" t="s">
        <v>21</v>
      </c>
      <c r="R718">
        <v>0</v>
      </c>
      <c r="S718">
        <v>0</v>
      </c>
      <c r="T718" t="s">
        <v>712</v>
      </c>
      <c r="U718">
        <v>0</v>
      </c>
      <c r="V718" s="2">
        <v>0.3</v>
      </c>
      <c r="AE718" t="b">
        <v>1</v>
      </c>
      <c r="AZ718" s="2"/>
      <c r="BA718" s="7">
        <v>25</v>
      </c>
      <c r="BB718" t="s">
        <v>935</v>
      </c>
      <c r="BC718" t="s">
        <v>923</v>
      </c>
      <c r="BD718" t="s">
        <v>941</v>
      </c>
      <c r="BE718" t="str">
        <f>IF(OR(Table1[[#This Row],[ENGINE_CLASS]]="STEAM",Table1[[#This Row],[ENGINE_CLASS]]="ELECTRIC",Table1[[#This Row],[ENGINE_CLASS]]="DIESEL"),Table1[[#This Row],[ENGINE_CLASS]],"DISABLE")</f>
        <v>DIESEL</v>
      </c>
      <c r="BF718">
        <v>0</v>
      </c>
      <c r="BG718" t="s">
        <v>735</v>
      </c>
      <c r="BI718"/>
      <c r="BJ718">
        <v>15</v>
      </c>
      <c r="BK718">
        <v>0</v>
      </c>
      <c r="BL718" t="s">
        <v>693</v>
      </c>
      <c r="BM718" t="s">
        <v>695</v>
      </c>
      <c r="BN718" t="s">
        <v>702</v>
      </c>
      <c r="BO718" t="s">
        <v>706</v>
      </c>
      <c r="BP718" t="s">
        <v>707</v>
      </c>
      <c r="BQ718" t="s">
        <v>708</v>
      </c>
    </row>
    <row r="719" spans="1:69" x14ac:dyDescent="0.4">
      <c r="A719" s="2" t="s">
        <v>775</v>
      </c>
      <c r="B719" t="str">
        <f>_xlfn.TEXTAFTER(Table1[[#This Row],[VEHIDCODE]],"_")</f>
        <v>Coach_Gen1_Wooden_2_axle_Compartment_Coach</v>
      </c>
      <c r="C719" t="s">
        <v>756</v>
      </c>
      <c r="D719" t="str">
        <f>"item_"&amp;Table1[[#This Row],[VEHIDCODE]]</f>
        <v>item_mu_Coach_Gen1_Wooden_2_axle_Compartment_Coach</v>
      </c>
      <c r="E719" t="str">
        <f>"str_"&amp;Table1[[#This Row],[VEHIDCODE]]</f>
        <v>str_mu_Coach_Gen1_Wooden_2_axle_Compartment_Coach</v>
      </c>
      <c r="F719">
        <v>4</v>
      </c>
      <c r="G719" t="s">
        <v>326</v>
      </c>
      <c r="H719">
        <v>0</v>
      </c>
      <c r="I719" t="s">
        <v>35</v>
      </c>
      <c r="J719">
        <v>20</v>
      </c>
      <c r="K719">
        <v>1830</v>
      </c>
      <c r="L719">
        <v>4</v>
      </c>
      <c r="M719" s="2" t="s">
        <v>24</v>
      </c>
      <c r="N719" t="b">
        <v>1</v>
      </c>
      <c r="P719" s="2"/>
      <c r="Q719">
        <v>90</v>
      </c>
      <c r="R719">
        <v>1</v>
      </c>
      <c r="S719">
        <v>0</v>
      </c>
      <c r="T719" t="s">
        <v>712</v>
      </c>
      <c r="U719">
        <v>50</v>
      </c>
      <c r="V719" s="2">
        <v>0.3</v>
      </c>
      <c r="AE719" t="b">
        <v>1</v>
      </c>
      <c r="AZ719" s="2"/>
      <c r="BA719" s="7">
        <v>25</v>
      </c>
      <c r="BB719" t="s">
        <v>926</v>
      </c>
      <c r="BC719" t="s">
        <v>934</v>
      </c>
      <c r="BD719" t="s">
        <v>941</v>
      </c>
      <c r="BE719" t="str">
        <f>IF(OR(Table1[[#This Row],[ENGINE_CLASS]]="STEAM",Table1[[#This Row],[ENGINE_CLASS]]="ELECTRIC",Table1[[#This Row],[ENGINE_CLASS]]="DIESEL"),Table1[[#This Row],[ENGINE_CLASS]],"DISABLE")</f>
        <v>DIESEL</v>
      </c>
      <c r="BF719">
        <v>0</v>
      </c>
      <c r="BG719" t="s">
        <v>735</v>
      </c>
      <c r="BI719"/>
      <c r="BJ719">
        <v>5</v>
      </c>
      <c r="BK719">
        <v>0</v>
      </c>
      <c r="BL719" t="s">
        <v>693</v>
      </c>
      <c r="BM719" t="s">
        <v>695</v>
      </c>
      <c r="BN719" t="s">
        <v>702</v>
      </c>
      <c r="BO719" t="s">
        <v>706</v>
      </c>
      <c r="BP719" t="s">
        <v>707</v>
      </c>
      <c r="BQ719" t="s">
        <v>708</v>
      </c>
    </row>
    <row r="720" spans="1:69" x14ac:dyDescent="0.4">
      <c r="A720" s="2" t="s">
        <v>776</v>
      </c>
      <c r="B720" t="str">
        <f>_xlfn.TEXTAFTER(Table1[[#This Row],[VEHIDCODE]],"_")</f>
        <v>Coach_Gen1_Wooden_2_axle_Regional_Coach</v>
      </c>
      <c r="C720" t="s">
        <v>756</v>
      </c>
      <c r="D720" t="str">
        <f>"item_"&amp;Table1[[#This Row],[VEHIDCODE]]</f>
        <v>item_mu_Coach_Gen1_Wooden_2_axle_Regional_Coach</v>
      </c>
      <c r="E720" t="str">
        <f>"str_"&amp;Table1[[#This Row],[VEHIDCODE]]</f>
        <v>str_mu_Coach_Gen1_Wooden_2_axle_Regional_Coach</v>
      </c>
      <c r="F720">
        <v>4</v>
      </c>
      <c r="G720" t="s">
        <v>326</v>
      </c>
      <c r="H720">
        <v>0</v>
      </c>
      <c r="I720" t="s">
        <v>35</v>
      </c>
      <c r="J720">
        <v>16</v>
      </c>
      <c r="K720">
        <v>1830</v>
      </c>
      <c r="L720">
        <v>4</v>
      </c>
      <c r="M720" s="2" t="s">
        <v>480</v>
      </c>
      <c r="N720" t="b">
        <v>1</v>
      </c>
      <c r="P720" s="2"/>
      <c r="Q720">
        <v>90</v>
      </c>
      <c r="R720">
        <v>1</v>
      </c>
      <c r="S720">
        <v>0</v>
      </c>
      <c r="T720" t="s">
        <v>712</v>
      </c>
      <c r="U720">
        <v>65</v>
      </c>
      <c r="V720" s="2">
        <v>0.3</v>
      </c>
      <c r="AE720" t="b">
        <v>1</v>
      </c>
      <c r="AZ720" s="2"/>
      <c r="BA720" s="7">
        <v>25</v>
      </c>
      <c r="BB720" t="s">
        <v>937</v>
      </c>
      <c r="BC720" t="s">
        <v>923</v>
      </c>
      <c r="BD720" t="s">
        <v>941</v>
      </c>
      <c r="BE720" t="str">
        <f>IF(OR(Table1[[#This Row],[ENGINE_CLASS]]="STEAM",Table1[[#This Row],[ENGINE_CLASS]]="ELECTRIC",Table1[[#This Row],[ENGINE_CLASS]]="DIESEL"),Table1[[#This Row],[ENGINE_CLASS]],"DISABLE")</f>
        <v>DIESEL</v>
      </c>
      <c r="BF720">
        <v>0</v>
      </c>
      <c r="BG720" t="s">
        <v>735</v>
      </c>
      <c r="BI720"/>
      <c r="BJ720">
        <v>5</v>
      </c>
      <c r="BK720">
        <v>0</v>
      </c>
      <c r="BL720" t="s">
        <v>693</v>
      </c>
      <c r="BM720" t="s">
        <v>695</v>
      </c>
      <c r="BN720" t="s">
        <v>702</v>
      </c>
      <c r="BO720" t="s">
        <v>706</v>
      </c>
      <c r="BP720" t="s">
        <v>707</v>
      </c>
      <c r="BQ720" t="s">
        <v>708</v>
      </c>
    </row>
    <row r="721" spans="1:69" x14ac:dyDescent="0.4">
      <c r="A721" s="2" t="s">
        <v>777</v>
      </c>
      <c r="B721" t="str">
        <f>_xlfn.TEXTAFTER(Table1[[#This Row],[VEHIDCODE]],"_")</f>
        <v>Coach_Gen1_Wooden_2_axle_Mail_Coach</v>
      </c>
      <c r="C721" t="s">
        <v>756</v>
      </c>
      <c r="D721" t="str">
        <f>"item_"&amp;Table1[[#This Row],[VEHIDCODE]]</f>
        <v>item_mu_Coach_Gen1_Wooden_2_axle_Mail_Coach</v>
      </c>
      <c r="E721" t="str">
        <f>"str_"&amp;Table1[[#This Row],[VEHIDCODE]]</f>
        <v>str_mu_Coach_Gen1_Wooden_2_axle_Mail_Coach</v>
      </c>
      <c r="F721">
        <v>4</v>
      </c>
      <c r="G721" t="s">
        <v>674</v>
      </c>
      <c r="H721">
        <v>0</v>
      </c>
      <c r="I721" t="s">
        <v>35</v>
      </c>
      <c r="J721">
        <v>12</v>
      </c>
      <c r="K721">
        <v>1830</v>
      </c>
      <c r="L721">
        <v>4</v>
      </c>
      <c r="M721" s="2" t="s">
        <v>675</v>
      </c>
      <c r="N721" t="b">
        <v>1</v>
      </c>
      <c r="P721" s="2"/>
      <c r="Q721">
        <v>90</v>
      </c>
      <c r="R721">
        <v>1</v>
      </c>
      <c r="S721">
        <v>0</v>
      </c>
      <c r="T721" t="s">
        <v>712</v>
      </c>
      <c r="U721">
        <v>50</v>
      </c>
      <c r="V721" s="2">
        <v>0.3</v>
      </c>
      <c r="AE721" t="b">
        <v>1</v>
      </c>
      <c r="AZ721" s="2"/>
      <c r="BA721" s="7">
        <v>25</v>
      </c>
      <c r="BB721" t="s">
        <v>937</v>
      </c>
      <c r="BC721" t="s">
        <v>923</v>
      </c>
      <c r="BD721" t="s">
        <v>941</v>
      </c>
      <c r="BE721" t="str">
        <f>IF(OR(Table1[[#This Row],[ENGINE_CLASS]]="STEAM",Table1[[#This Row],[ENGINE_CLASS]]="ELECTRIC",Table1[[#This Row],[ENGINE_CLASS]]="DIESEL"),Table1[[#This Row],[ENGINE_CLASS]],"DISABLE")</f>
        <v>DIESEL</v>
      </c>
      <c r="BF721">
        <v>0</v>
      </c>
      <c r="BG721" t="s">
        <v>735</v>
      </c>
      <c r="BI721"/>
      <c r="BJ721">
        <v>5</v>
      </c>
      <c r="BK721">
        <v>0</v>
      </c>
      <c r="BL721" t="s">
        <v>693</v>
      </c>
      <c r="BM721" t="s">
        <v>695</v>
      </c>
      <c r="BN721" t="s">
        <v>702</v>
      </c>
      <c r="BO721" t="s">
        <v>706</v>
      </c>
      <c r="BP721" t="s">
        <v>707</v>
      </c>
      <c r="BQ721" t="s">
        <v>708</v>
      </c>
    </row>
    <row r="722" spans="1:69" x14ac:dyDescent="0.4">
      <c r="A722" s="2" t="s">
        <v>778</v>
      </c>
      <c r="B722" t="str">
        <f>_xlfn.TEXTAFTER(Table1[[#This Row],[VEHIDCODE]],"_")</f>
        <v>Coach_Gen1_Clerestory_Compartment_Coach</v>
      </c>
      <c r="C722" t="s">
        <v>756</v>
      </c>
      <c r="D722" t="str">
        <f>"item_"&amp;Table1[[#This Row],[VEHIDCODE]]</f>
        <v>item_mu_Coach_Gen1_Clerestory_Compartment_Coach</v>
      </c>
      <c r="E722" t="str">
        <f>"str_"&amp;Table1[[#This Row],[VEHIDCODE]]</f>
        <v>str_mu_Coach_Gen1_Clerestory_Compartment_Coach</v>
      </c>
      <c r="F722">
        <v>6</v>
      </c>
      <c r="G722" t="s">
        <v>326</v>
      </c>
      <c r="H722">
        <v>0</v>
      </c>
      <c r="I722" t="s">
        <v>35</v>
      </c>
      <c r="J722">
        <v>60</v>
      </c>
      <c r="K722">
        <v>1840</v>
      </c>
      <c r="L722">
        <v>6</v>
      </c>
      <c r="M722" s="2" t="s">
        <v>24</v>
      </c>
      <c r="N722" t="b">
        <v>1</v>
      </c>
      <c r="P722" s="2"/>
      <c r="Q722">
        <v>95</v>
      </c>
      <c r="R722">
        <v>1</v>
      </c>
      <c r="S722">
        <v>0</v>
      </c>
      <c r="T722" t="s">
        <v>712</v>
      </c>
      <c r="U722">
        <v>80</v>
      </c>
      <c r="V722" s="2">
        <v>0.3</v>
      </c>
      <c r="AE722" t="b">
        <v>1</v>
      </c>
      <c r="AZ722" s="2"/>
      <c r="BA722" s="7">
        <v>25</v>
      </c>
      <c r="BB722" t="s">
        <v>926</v>
      </c>
      <c r="BC722" t="s">
        <v>934</v>
      </c>
      <c r="BD722" t="s">
        <v>941</v>
      </c>
      <c r="BE722" t="str">
        <f>IF(OR(Table1[[#This Row],[ENGINE_CLASS]]="STEAM",Table1[[#This Row],[ENGINE_CLASS]]="ELECTRIC",Table1[[#This Row],[ENGINE_CLASS]]="DIESEL"),Table1[[#This Row],[ENGINE_CLASS]],"DISABLE")</f>
        <v>DIESEL</v>
      </c>
      <c r="BF722">
        <v>0</v>
      </c>
      <c r="BG722" t="s">
        <v>735</v>
      </c>
      <c r="BI722"/>
      <c r="BJ722">
        <v>28</v>
      </c>
      <c r="BK722">
        <v>0</v>
      </c>
      <c r="BL722" t="s">
        <v>693</v>
      </c>
      <c r="BM722" t="s">
        <v>695</v>
      </c>
      <c r="BN722" t="s">
        <v>702</v>
      </c>
      <c r="BO722" t="s">
        <v>706</v>
      </c>
      <c r="BP722" t="s">
        <v>707</v>
      </c>
      <c r="BQ722" t="s">
        <v>708</v>
      </c>
    </row>
    <row r="723" spans="1:69" x14ac:dyDescent="0.4">
      <c r="A723" s="2" t="s">
        <v>779</v>
      </c>
      <c r="B723" t="str">
        <f>_xlfn.TEXTAFTER(Table1[[#This Row],[VEHIDCODE]],"_")</f>
        <v>Coach_Gen1_Clerestory_Regional_Coach</v>
      </c>
      <c r="C723" t="s">
        <v>756</v>
      </c>
      <c r="D723" t="str">
        <f>"item_"&amp;Table1[[#This Row],[VEHIDCODE]]</f>
        <v>item_mu_Coach_Gen1_Clerestory_Regional_Coach</v>
      </c>
      <c r="E723" t="str">
        <f>"str_"&amp;Table1[[#This Row],[VEHIDCODE]]</f>
        <v>str_mu_Coach_Gen1_Clerestory_Regional_Coach</v>
      </c>
      <c r="F723">
        <v>6</v>
      </c>
      <c r="G723" t="s">
        <v>326</v>
      </c>
      <c r="H723">
        <v>0</v>
      </c>
      <c r="I723" t="s">
        <v>35</v>
      </c>
      <c r="J723">
        <v>50</v>
      </c>
      <c r="K723">
        <v>1840</v>
      </c>
      <c r="L723">
        <v>6</v>
      </c>
      <c r="M723" s="2" t="s">
        <v>480</v>
      </c>
      <c r="N723" t="b">
        <v>1</v>
      </c>
      <c r="P723" s="2"/>
      <c r="Q723">
        <v>95</v>
      </c>
      <c r="R723">
        <v>1</v>
      </c>
      <c r="S723">
        <v>0</v>
      </c>
      <c r="T723" t="s">
        <v>712</v>
      </c>
      <c r="U723">
        <v>90</v>
      </c>
      <c r="V723" s="2">
        <v>0.3</v>
      </c>
      <c r="AE723" t="b">
        <v>1</v>
      </c>
      <c r="AZ723" s="2"/>
      <c r="BA723" s="7">
        <v>25</v>
      </c>
      <c r="BB723" t="s">
        <v>937</v>
      </c>
      <c r="BC723" t="s">
        <v>923</v>
      </c>
      <c r="BD723" t="s">
        <v>941</v>
      </c>
      <c r="BE723" t="str">
        <f>IF(OR(Table1[[#This Row],[ENGINE_CLASS]]="STEAM",Table1[[#This Row],[ENGINE_CLASS]]="ELECTRIC",Table1[[#This Row],[ENGINE_CLASS]]="DIESEL"),Table1[[#This Row],[ENGINE_CLASS]],"DISABLE")</f>
        <v>DIESEL</v>
      </c>
      <c r="BF723">
        <v>0</v>
      </c>
      <c r="BG723" t="s">
        <v>735</v>
      </c>
      <c r="BI723"/>
      <c r="BJ723">
        <v>28</v>
      </c>
      <c r="BK723">
        <v>0</v>
      </c>
      <c r="BL723" t="s">
        <v>693</v>
      </c>
      <c r="BM723" t="s">
        <v>695</v>
      </c>
      <c r="BN723" t="s">
        <v>702</v>
      </c>
      <c r="BO723" t="s">
        <v>706</v>
      </c>
      <c r="BP723" t="s">
        <v>707</v>
      </c>
      <c r="BQ723" t="s">
        <v>708</v>
      </c>
    </row>
    <row r="724" spans="1:69" x14ac:dyDescent="0.4">
      <c r="A724" s="2" t="s">
        <v>780</v>
      </c>
      <c r="B724" t="str">
        <f>_xlfn.TEXTAFTER(Table1[[#This Row],[VEHIDCODE]],"_")</f>
        <v>Coach_Gen1_Clerestory_Mail_Coach</v>
      </c>
      <c r="C724" t="s">
        <v>756</v>
      </c>
      <c r="D724" t="str">
        <f>"item_"&amp;Table1[[#This Row],[VEHIDCODE]]</f>
        <v>item_mu_Coach_Gen1_Clerestory_Mail_Coach</v>
      </c>
      <c r="E724" t="str">
        <f>"str_"&amp;Table1[[#This Row],[VEHIDCODE]]</f>
        <v>str_mu_Coach_Gen1_Clerestory_Mail_Coach</v>
      </c>
      <c r="F724">
        <v>6</v>
      </c>
      <c r="G724" t="s">
        <v>674</v>
      </c>
      <c r="H724">
        <v>0</v>
      </c>
      <c r="I724" t="s">
        <v>35</v>
      </c>
      <c r="J724">
        <v>40</v>
      </c>
      <c r="K724">
        <v>1840</v>
      </c>
      <c r="L724">
        <v>6</v>
      </c>
      <c r="M724" s="2" t="s">
        <v>675</v>
      </c>
      <c r="N724" t="b">
        <v>1</v>
      </c>
      <c r="P724" s="2"/>
      <c r="Q724">
        <v>95</v>
      </c>
      <c r="R724">
        <v>1</v>
      </c>
      <c r="S724">
        <v>0</v>
      </c>
      <c r="T724" t="s">
        <v>712</v>
      </c>
      <c r="U724">
        <v>90</v>
      </c>
      <c r="V724" s="2">
        <v>0.3</v>
      </c>
      <c r="AE724" t="b">
        <v>1</v>
      </c>
      <c r="AZ724" s="2"/>
      <c r="BA724" s="7">
        <v>25</v>
      </c>
      <c r="BB724" t="s">
        <v>937</v>
      </c>
      <c r="BC724" t="s">
        <v>923</v>
      </c>
      <c r="BD724" t="s">
        <v>941</v>
      </c>
      <c r="BE724" t="str">
        <f>IF(OR(Table1[[#This Row],[ENGINE_CLASS]]="STEAM",Table1[[#This Row],[ENGINE_CLASS]]="ELECTRIC",Table1[[#This Row],[ENGINE_CLASS]]="DIESEL"),Table1[[#This Row],[ENGINE_CLASS]],"DISABLE")</f>
        <v>DIESEL</v>
      </c>
      <c r="BF724">
        <v>0</v>
      </c>
      <c r="BG724" t="s">
        <v>735</v>
      </c>
      <c r="BI724"/>
      <c r="BJ724">
        <v>28</v>
      </c>
      <c r="BK724">
        <v>0</v>
      </c>
      <c r="BL724" t="s">
        <v>693</v>
      </c>
      <c r="BM724" t="s">
        <v>695</v>
      </c>
      <c r="BN724" t="s">
        <v>702</v>
      </c>
      <c r="BO724" t="s">
        <v>706</v>
      </c>
      <c r="BP724" t="s">
        <v>707</v>
      </c>
      <c r="BQ724" t="s">
        <v>708</v>
      </c>
    </row>
    <row r="725" spans="1:69" x14ac:dyDescent="0.4">
      <c r="A725" s="2" t="s">
        <v>781</v>
      </c>
      <c r="B725" t="str">
        <f>_xlfn.TEXTAFTER(Table1[[#This Row],[VEHIDCODE]],"_")</f>
        <v>Coach_Gen1_Wooden_3_axle_Compartment_Coach</v>
      </c>
      <c r="C725" t="s">
        <v>756</v>
      </c>
      <c r="D725" t="str">
        <f>"item_"&amp;Table1[[#This Row],[VEHIDCODE]]</f>
        <v>item_mu_Coach_Gen1_Wooden_3_axle_Compartment_Coach</v>
      </c>
      <c r="E725" t="str">
        <f>"str_"&amp;Table1[[#This Row],[VEHIDCODE]]</f>
        <v>str_mu_Coach_Gen1_Wooden_3_axle_Compartment_Coach</v>
      </c>
      <c r="F725">
        <v>5</v>
      </c>
      <c r="G725" t="s">
        <v>326</v>
      </c>
      <c r="H725">
        <v>0</v>
      </c>
      <c r="I725" t="s">
        <v>35</v>
      </c>
      <c r="J725">
        <v>50</v>
      </c>
      <c r="K725">
        <v>1850</v>
      </c>
      <c r="L725">
        <v>5</v>
      </c>
      <c r="M725" s="2" t="s">
        <v>24</v>
      </c>
      <c r="N725" t="b">
        <v>1</v>
      </c>
      <c r="P725" s="2"/>
      <c r="Q725">
        <v>80</v>
      </c>
      <c r="R725">
        <v>1</v>
      </c>
      <c r="S725">
        <v>0</v>
      </c>
      <c r="T725" t="s">
        <v>712</v>
      </c>
      <c r="U725">
        <v>80</v>
      </c>
      <c r="V725" s="2">
        <v>0.3</v>
      </c>
      <c r="AE725" t="b">
        <v>1</v>
      </c>
      <c r="AZ725" s="2"/>
      <c r="BA725" s="7">
        <v>25</v>
      </c>
      <c r="BB725" t="s">
        <v>926</v>
      </c>
      <c r="BC725" t="s">
        <v>934</v>
      </c>
      <c r="BD725" t="s">
        <v>941</v>
      </c>
      <c r="BE725" t="str">
        <f>IF(OR(Table1[[#This Row],[ENGINE_CLASS]]="STEAM",Table1[[#This Row],[ENGINE_CLASS]]="ELECTRIC",Table1[[#This Row],[ENGINE_CLASS]]="DIESEL"),Table1[[#This Row],[ENGINE_CLASS]],"DISABLE")</f>
        <v>DIESEL</v>
      </c>
      <c r="BF725">
        <v>0</v>
      </c>
      <c r="BG725" t="s">
        <v>735</v>
      </c>
      <c r="BI725"/>
      <c r="BJ725">
        <v>13</v>
      </c>
      <c r="BK725">
        <v>0</v>
      </c>
      <c r="BL725" t="s">
        <v>693</v>
      </c>
      <c r="BM725" t="s">
        <v>695</v>
      </c>
      <c r="BN725" t="s">
        <v>702</v>
      </c>
      <c r="BO725" t="s">
        <v>706</v>
      </c>
      <c r="BP725" t="s">
        <v>707</v>
      </c>
      <c r="BQ725" t="s">
        <v>708</v>
      </c>
    </row>
    <row r="726" spans="1:69" x14ac:dyDescent="0.4">
      <c r="A726" s="2" t="s">
        <v>782</v>
      </c>
      <c r="B726" t="str">
        <f>_xlfn.TEXTAFTER(Table1[[#This Row],[VEHIDCODE]],"_")</f>
        <v>Coach_Gen1_Wooden_3_axle_Regional_Coach</v>
      </c>
      <c r="C726" t="s">
        <v>756</v>
      </c>
      <c r="D726" t="str">
        <f>"item_"&amp;Table1[[#This Row],[VEHIDCODE]]</f>
        <v>item_mu_Coach_Gen1_Wooden_3_axle_Regional_Coach</v>
      </c>
      <c r="E726" t="str">
        <f>"str_"&amp;Table1[[#This Row],[VEHIDCODE]]</f>
        <v>str_mu_Coach_Gen1_Wooden_3_axle_Regional_Coach</v>
      </c>
      <c r="F726">
        <v>5</v>
      </c>
      <c r="G726" t="s">
        <v>326</v>
      </c>
      <c r="H726">
        <v>0</v>
      </c>
      <c r="I726" t="s">
        <v>35</v>
      </c>
      <c r="J726">
        <v>40</v>
      </c>
      <c r="K726">
        <v>1850</v>
      </c>
      <c r="L726">
        <v>5</v>
      </c>
      <c r="M726" s="2" t="s">
        <v>480</v>
      </c>
      <c r="N726" t="b">
        <v>1</v>
      </c>
      <c r="P726" s="2"/>
      <c r="Q726">
        <v>80</v>
      </c>
      <c r="R726">
        <v>1</v>
      </c>
      <c r="S726">
        <v>0</v>
      </c>
      <c r="T726" t="s">
        <v>712</v>
      </c>
      <c r="U726">
        <v>90</v>
      </c>
      <c r="V726" s="2">
        <v>0.3</v>
      </c>
      <c r="AE726" t="b">
        <v>1</v>
      </c>
      <c r="AZ726" s="2"/>
      <c r="BA726" s="7">
        <v>25</v>
      </c>
      <c r="BB726" t="s">
        <v>926</v>
      </c>
      <c r="BC726" t="s">
        <v>934</v>
      </c>
      <c r="BD726" t="s">
        <v>941</v>
      </c>
      <c r="BE726" t="str">
        <f>IF(OR(Table1[[#This Row],[ENGINE_CLASS]]="STEAM",Table1[[#This Row],[ENGINE_CLASS]]="ELECTRIC",Table1[[#This Row],[ENGINE_CLASS]]="DIESEL"),Table1[[#This Row],[ENGINE_CLASS]],"DISABLE")</f>
        <v>DIESEL</v>
      </c>
      <c r="BF726">
        <v>0</v>
      </c>
      <c r="BG726" t="s">
        <v>735</v>
      </c>
      <c r="BI726"/>
      <c r="BJ726">
        <v>13</v>
      </c>
      <c r="BK726">
        <v>0</v>
      </c>
      <c r="BL726" t="s">
        <v>693</v>
      </c>
      <c r="BM726" t="s">
        <v>695</v>
      </c>
      <c r="BN726" t="s">
        <v>702</v>
      </c>
      <c r="BO726" t="s">
        <v>706</v>
      </c>
      <c r="BP726" t="s">
        <v>707</v>
      </c>
      <c r="BQ726" t="s">
        <v>708</v>
      </c>
    </row>
    <row r="727" spans="1:69" x14ac:dyDescent="0.4">
      <c r="A727" s="2" t="s">
        <v>783</v>
      </c>
      <c r="B727" t="str">
        <f>_xlfn.TEXTAFTER(Table1[[#This Row],[VEHIDCODE]],"_")</f>
        <v>Coach_Gen1_Wooden_3_axle_Mail_Coach</v>
      </c>
      <c r="C727" t="s">
        <v>757</v>
      </c>
      <c r="D727" t="str">
        <f>"item_"&amp;Table1[[#This Row],[VEHIDCODE]]</f>
        <v>item_mu_Coach_Gen1_Wooden_3_axle_Mail_Coach</v>
      </c>
      <c r="E727" t="str">
        <f>"str_"&amp;Table1[[#This Row],[VEHIDCODE]]</f>
        <v>str_mu_Coach_Gen1_Wooden_3_axle_Mail_Coach</v>
      </c>
      <c r="F727">
        <v>5</v>
      </c>
      <c r="G727" t="s">
        <v>674</v>
      </c>
      <c r="H727">
        <v>0</v>
      </c>
      <c r="I727" t="s">
        <v>35</v>
      </c>
      <c r="J727">
        <v>24</v>
      </c>
      <c r="K727">
        <v>1850</v>
      </c>
      <c r="L727">
        <v>5</v>
      </c>
      <c r="M727" s="2" t="s">
        <v>675</v>
      </c>
      <c r="N727" t="b">
        <v>1</v>
      </c>
      <c r="P727" s="2"/>
      <c r="Q727">
        <v>80</v>
      </c>
      <c r="R727">
        <v>1</v>
      </c>
      <c r="S727">
        <v>0</v>
      </c>
      <c r="T727" t="s">
        <v>712</v>
      </c>
      <c r="U727">
        <v>80</v>
      </c>
      <c r="V727" s="2">
        <v>0.3</v>
      </c>
      <c r="AE727" t="b">
        <v>1</v>
      </c>
      <c r="AZ727" s="2"/>
      <c r="BA727" s="7">
        <v>25</v>
      </c>
      <c r="BB727" t="s">
        <v>926</v>
      </c>
      <c r="BC727" t="s">
        <v>934</v>
      </c>
      <c r="BD727" t="s">
        <v>941</v>
      </c>
      <c r="BE727" t="str">
        <f>IF(OR(Table1[[#This Row],[ENGINE_CLASS]]="STEAM",Table1[[#This Row],[ENGINE_CLASS]]="ELECTRIC",Table1[[#This Row],[ENGINE_CLASS]]="DIESEL"),Table1[[#This Row],[ENGINE_CLASS]],"DISABLE")</f>
        <v>DIESEL</v>
      </c>
      <c r="BF727">
        <v>0</v>
      </c>
      <c r="BG727" t="s">
        <v>735</v>
      </c>
      <c r="BI727"/>
      <c r="BJ727">
        <v>13</v>
      </c>
      <c r="BK727">
        <v>0</v>
      </c>
      <c r="BL727" t="s">
        <v>693</v>
      </c>
      <c r="BM727" t="s">
        <v>695</v>
      </c>
      <c r="BN727" t="s">
        <v>702</v>
      </c>
      <c r="BO727" t="s">
        <v>706</v>
      </c>
      <c r="BP727" t="s">
        <v>707</v>
      </c>
      <c r="BQ727" t="s">
        <v>708</v>
      </c>
    </row>
    <row r="728" spans="1:69" x14ac:dyDescent="0.4">
      <c r="A728" s="2" t="s">
        <v>784</v>
      </c>
      <c r="B728" t="str">
        <f>_xlfn.TEXTAFTER(Table1[[#This Row],[VEHIDCODE]],"_")</f>
        <v>Coach_Gen2_Heavyweight_Intercity_Coach</v>
      </c>
      <c r="C728" t="s">
        <v>757</v>
      </c>
      <c r="D728" t="str">
        <f>"item_"&amp;Table1[[#This Row],[VEHIDCODE]]</f>
        <v>item_mu_Coach_Gen2_Heavyweight_Intercity_Coach</v>
      </c>
      <c r="E728" t="str">
        <f>"str_"&amp;Table1[[#This Row],[VEHIDCODE]]</f>
        <v>str_mu_Coach_Gen2_Heavyweight_Intercity_Coach</v>
      </c>
      <c r="F728">
        <v>8</v>
      </c>
      <c r="G728" t="s">
        <v>326</v>
      </c>
      <c r="H728">
        <v>0</v>
      </c>
      <c r="I728" t="s">
        <v>35</v>
      </c>
      <c r="J728">
        <v>60</v>
      </c>
      <c r="K728">
        <v>1900</v>
      </c>
      <c r="L728">
        <v>8</v>
      </c>
      <c r="M728" s="2" t="s">
        <v>480</v>
      </c>
      <c r="N728" t="b">
        <v>1</v>
      </c>
      <c r="P728" s="2"/>
      <c r="Q728">
        <v>75</v>
      </c>
      <c r="R728">
        <v>1</v>
      </c>
      <c r="S728">
        <v>0</v>
      </c>
      <c r="T728" t="s">
        <v>712</v>
      </c>
      <c r="U728">
        <v>160</v>
      </c>
      <c r="V728" s="2">
        <v>0.3</v>
      </c>
      <c r="AE728" t="b">
        <v>1</v>
      </c>
      <c r="AZ728" s="2"/>
      <c r="BA728" s="7">
        <v>25</v>
      </c>
      <c r="BB728" t="s">
        <v>926</v>
      </c>
      <c r="BC728" t="s">
        <v>936</v>
      </c>
      <c r="BD728" t="s">
        <v>941</v>
      </c>
      <c r="BE728" t="str">
        <f>IF(OR(Table1[[#This Row],[ENGINE_CLASS]]="STEAM",Table1[[#This Row],[ENGINE_CLASS]]="ELECTRIC",Table1[[#This Row],[ENGINE_CLASS]]="DIESEL"),Table1[[#This Row],[ENGINE_CLASS]],"DISABLE")</f>
        <v>DIESEL</v>
      </c>
      <c r="BF728">
        <v>0</v>
      </c>
      <c r="BG728" t="s">
        <v>735</v>
      </c>
      <c r="BI728"/>
      <c r="BJ728">
        <v>73</v>
      </c>
      <c r="BK728">
        <v>0</v>
      </c>
      <c r="BL728" t="s">
        <v>693</v>
      </c>
      <c r="BM728" t="s">
        <v>695</v>
      </c>
      <c r="BN728" t="s">
        <v>702</v>
      </c>
      <c r="BO728" t="s">
        <v>706</v>
      </c>
      <c r="BP728" t="s">
        <v>707</v>
      </c>
      <c r="BQ728" t="s">
        <v>708</v>
      </c>
    </row>
    <row r="729" spans="1:69" x14ac:dyDescent="0.4">
      <c r="A729" s="2" t="s">
        <v>785</v>
      </c>
      <c r="B729" t="str">
        <f>_xlfn.TEXTAFTER(Table1[[#This Row],[VEHIDCODE]],"_")</f>
        <v>Coach_Gen2_Heavyweight_Mail_Coach</v>
      </c>
      <c r="C729" t="s">
        <v>757</v>
      </c>
      <c r="D729" t="str">
        <f>"item_"&amp;Table1[[#This Row],[VEHIDCODE]]</f>
        <v>item_mu_Coach_Gen2_Heavyweight_Mail_Coach</v>
      </c>
      <c r="E729" t="str">
        <f>"str_"&amp;Table1[[#This Row],[VEHIDCODE]]</f>
        <v>str_mu_Coach_Gen2_Heavyweight_Mail_Coach</v>
      </c>
      <c r="F729">
        <v>8</v>
      </c>
      <c r="G729" t="s">
        <v>674</v>
      </c>
      <c r="H729">
        <v>0</v>
      </c>
      <c r="I729" t="s">
        <v>35</v>
      </c>
      <c r="J729">
        <v>90</v>
      </c>
      <c r="K729">
        <v>1900</v>
      </c>
      <c r="L729">
        <v>8</v>
      </c>
      <c r="M729" s="2" t="s">
        <v>480</v>
      </c>
      <c r="N729" t="b">
        <v>1</v>
      </c>
      <c r="P729" s="2"/>
      <c r="Q729">
        <v>75</v>
      </c>
      <c r="R729">
        <v>1</v>
      </c>
      <c r="S729">
        <v>0</v>
      </c>
      <c r="T729" t="s">
        <v>712</v>
      </c>
      <c r="U729">
        <v>120</v>
      </c>
      <c r="V729" s="2">
        <v>0.3</v>
      </c>
      <c r="AE729" t="b">
        <v>1</v>
      </c>
      <c r="AZ729" s="2"/>
      <c r="BA729" s="7">
        <v>25</v>
      </c>
      <c r="BB729" t="s">
        <v>926</v>
      </c>
      <c r="BC729" t="s">
        <v>936</v>
      </c>
      <c r="BD729" t="s">
        <v>941</v>
      </c>
      <c r="BE729" t="str">
        <f>IF(OR(Table1[[#This Row],[ENGINE_CLASS]]="STEAM",Table1[[#This Row],[ENGINE_CLASS]]="ELECTRIC",Table1[[#This Row],[ENGINE_CLASS]]="DIESEL"),Table1[[#This Row],[ENGINE_CLASS]],"DISABLE")</f>
        <v>DIESEL</v>
      </c>
      <c r="BF729">
        <v>0</v>
      </c>
      <c r="BG729" t="s">
        <v>735</v>
      </c>
      <c r="BI729"/>
      <c r="BJ729">
        <v>58</v>
      </c>
      <c r="BK729">
        <v>0</v>
      </c>
      <c r="BL729" t="s">
        <v>693</v>
      </c>
      <c r="BM729" t="s">
        <v>695</v>
      </c>
      <c r="BN729" t="s">
        <v>702</v>
      </c>
      <c r="BO729" t="s">
        <v>706</v>
      </c>
      <c r="BP729" t="s">
        <v>707</v>
      </c>
      <c r="BQ729" t="s">
        <v>708</v>
      </c>
    </row>
    <row r="730" spans="1:69" x14ac:dyDescent="0.4">
      <c r="A730" s="2" t="s">
        <v>786</v>
      </c>
      <c r="B730" t="str">
        <f>_xlfn.TEXTAFTER(Table1[[#This Row],[VEHIDCODE]],"_")</f>
        <v>Coach_Gen2_Steel_Intercity_Coach</v>
      </c>
      <c r="C730" t="s">
        <v>757</v>
      </c>
      <c r="D730" t="str">
        <f>"item_"&amp;Table1[[#This Row],[VEHIDCODE]]</f>
        <v>item_mu_Coach_Gen2_Steel_Intercity_Coach</v>
      </c>
      <c r="E730" t="str">
        <f>"str_"&amp;Table1[[#This Row],[VEHIDCODE]]</f>
        <v>str_mu_Coach_Gen2_Steel_Intercity_Coach</v>
      </c>
      <c r="F730">
        <v>7</v>
      </c>
      <c r="G730" t="s">
        <v>326</v>
      </c>
      <c r="H730">
        <v>0</v>
      </c>
      <c r="I730" t="s">
        <v>35</v>
      </c>
      <c r="J730">
        <v>55</v>
      </c>
      <c r="K730">
        <v>1910</v>
      </c>
      <c r="L730">
        <v>7</v>
      </c>
      <c r="M730" s="2" t="s">
        <v>480</v>
      </c>
      <c r="N730" t="b">
        <v>1</v>
      </c>
      <c r="P730" s="2"/>
      <c r="Q730">
        <v>60</v>
      </c>
      <c r="R730">
        <v>1</v>
      </c>
      <c r="S730">
        <v>0</v>
      </c>
      <c r="T730" t="s">
        <v>712</v>
      </c>
      <c r="U730">
        <v>120</v>
      </c>
      <c r="V730" s="2">
        <v>0.3</v>
      </c>
      <c r="AE730" t="b">
        <v>1</v>
      </c>
      <c r="AZ730" s="2"/>
      <c r="BA730" s="7">
        <v>25</v>
      </c>
      <c r="BB730" t="s">
        <v>926</v>
      </c>
      <c r="BC730" t="s">
        <v>934</v>
      </c>
      <c r="BD730" t="s">
        <v>941</v>
      </c>
      <c r="BE730" t="str">
        <f>IF(OR(Table1[[#This Row],[ENGINE_CLASS]]="STEAM",Table1[[#This Row],[ENGINE_CLASS]]="ELECTRIC",Table1[[#This Row],[ENGINE_CLASS]]="DIESEL"),Table1[[#This Row],[ENGINE_CLASS]],"DISABLE")</f>
        <v>DIESEL</v>
      </c>
      <c r="BF730">
        <v>0</v>
      </c>
      <c r="BG730" t="s">
        <v>735</v>
      </c>
      <c r="BI730"/>
      <c r="BJ730">
        <v>40</v>
      </c>
      <c r="BK730">
        <v>0</v>
      </c>
      <c r="BL730" t="s">
        <v>693</v>
      </c>
      <c r="BM730" t="s">
        <v>695</v>
      </c>
      <c r="BN730" t="s">
        <v>702</v>
      </c>
      <c r="BO730" t="s">
        <v>706</v>
      </c>
      <c r="BP730" t="s">
        <v>707</v>
      </c>
      <c r="BQ730" t="s">
        <v>708</v>
      </c>
    </row>
    <row r="731" spans="1:69" x14ac:dyDescent="0.4">
      <c r="A731" s="2" t="s">
        <v>787</v>
      </c>
      <c r="B731" t="str">
        <f>_xlfn.TEXTAFTER(Table1[[#This Row],[VEHIDCODE]],"_")</f>
        <v>Coach_Gen2_Steel_Compartment_Coach</v>
      </c>
      <c r="C731" t="s">
        <v>757</v>
      </c>
      <c r="D731" t="str">
        <f>"item_"&amp;Table1[[#This Row],[VEHIDCODE]]</f>
        <v>item_mu_Coach_Gen2_Steel_Compartment_Coach</v>
      </c>
      <c r="E731" t="str">
        <f>"str_"&amp;Table1[[#This Row],[VEHIDCODE]]</f>
        <v>str_mu_Coach_Gen2_Steel_Compartment_Coach</v>
      </c>
      <c r="F731">
        <v>7</v>
      </c>
      <c r="G731" t="s">
        <v>326</v>
      </c>
      <c r="H731">
        <v>0</v>
      </c>
      <c r="I731" t="s">
        <v>35</v>
      </c>
      <c r="J731">
        <v>75</v>
      </c>
      <c r="K731">
        <v>1910</v>
      </c>
      <c r="L731">
        <v>7</v>
      </c>
      <c r="M731" s="2" t="s">
        <v>24</v>
      </c>
      <c r="N731" t="b">
        <v>1</v>
      </c>
      <c r="P731" s="2"/>
      <c r="Q731">
        <v>60</v>
      </c>
      <c r="R731">
        <v>1</v>
      </c>
      <c r="S731">
        <v>0</v>
      </c>
      <c r="T731" t="s">
        <v>712</v>
      </c>
      <c r="U731">
        <v>110</v>
      </c>
      <c r="V731" s="2">
        <v>0.3</v>
      </c>
      <c r="AE731" t="b">
        <v>1</v>
      </c>
      <c r="AZ731" s="2"/>
      <c r="BA731" s="7">
        <v>25</v>
      </c>
      <c r="BB731" t="s">
        <v>926</v>
      </c>
      <c r="BC731" t="s">
        <v>934</v>
      </c>
      <c r="BD731" t="s">
        <v>941</v>
      </c>
      <c r="BE731" t="str">
        <f>IF(OR(Table1[[#This Row],[ENGINE_CLASS]]="STEAM",Table1[[#This Row],[ENGINE_CLASS]]="ELECTRIC",Table1[[#This Row],[ENGINE_CLASS]]="DIESEL"),Table1[[#This Row],[ENGINE_CLASS]],"DISABLE")</f>
        <v>DIESEL</v>
      </c>
      <c r="BF731">
        <v>0</v>
      </c>
      <c r="BG731" t="s">
        <v>735</v>
      </c>
      <c r="BI731"/>
      <c r="BJ731">
        <v>36</v>
      </c>
      <c r="BK731">
        <v>0</v>
      </c>
      <c r="BL731" t="s">
        <v>693</v>
      </c>
      <c r="BM731" t="s">
        <v>695</v>
      </c>
      <c r="BN731" t="s">
        <v>702</v>
      </c>
      <c r="BO731" t="s">
        <v>706</v>
      </c>
      <c r="BP731" t="s">
        <v>707</v>
      </c>
      <c r="BQ731" t="s">
        <v>708</v>
      </c>
    </row>
    <row r="732" spans="1:69" x14ac:dyDescent="0.4">
      <c r="A732" s="2" t="s">
        <v>788</v>
      </c>
      <c r="B732" t="str">
        <f>_xlfn.TEXTAFTER(Table1[[#This Row],[VEHIDCODE]],"_")</f>
        <v>Coach_Gen2_Steel_Regional_Coach</v>
      </c>
      <c r="C732" t="s">
        <v>757</v>
      </c>
      <c r="D732" t="str">
        <f>"item_"&amp;Table1[[#This Row],[VEHIDCODE]]</f>
        <v>item_mu_Coach_Gen2_Steel_Regional_Coach</v>
      </c>
      <c r="E732" t="str">
        <f>"str_"&amp;Table1[[#This Row],[VEHIDCODE]]</f>
        <v>str_mu_Coach_Gen2_Steel_Regional_Coach</v>
      </c>
      <c r="F732">
        <v>7</v>
      </c>
      <c r="G732" t="s">
        <v>326</v>
      </c>
      <c r="H732">
        <v>0</v>
      </c>
      <c r="I732" t="s">
        <v>35</v>
      </c>
      <c r="J732">
        <v>65</v>
      </c>
      <c r="K732">
        <v>1910</v>
      </c>
      <c r="L732">
        <v>7</v>
      </c>
      <c r="M732" s="2" t="s">
        <v>480</v>
      </c>
      <c r="N732" t="b">
        <v>1</v>
      </c>
      <c r="P732" s="2"/>
      <c r="Q732">
        <v>65</v>
      </c>
      <c r="R732">
        <v>1</v>
      </c>
      <c r="S732">
        <v>0</v>
      </c>
      <c r="T732" t="s">
        <v>712</v>
      </c>
      <c r="U732">
        <v>110</v>
      </c>
      <c r="V732" s="2">
        <v>0.3</v>
      </c>
      <c r="AE732" t="b">
        <v>1</v>
      </c>
      <c r="AZ732" s="2"/>
      <c r="BA732" s="7">
        <v>25</v>
      </c>
      <c r="BB732" t="s">
        <v>926</v>
      </c>
      <c r="BC732" t="s">
        <v>934</v>
      </c>
      <c r="BD732" t="s">
        <v>941</v>
      </c>
      <c r="BE732" t="str">
        <f>IF(OR(Table1[[#This Row],[ENGINE_CLASS]]="STEAM",Table1[[#This Row],[ENGINE_CLASS]]="ELECTRIC",Table1[[#This Row],[ENGINE_CLASS]]="DIESEL"),Table1[[#This Row],[ENGINE_CLASS]],"DISABLE")</f>
        <v>DIESEL</v>
      </c>
      <c r="BF732">
        <v>0</v>
      </c>
      <c r="BG732" t="s">
        <v>735</v>
      </c>
      <c r="BI732"/>
      <c r="BJ732">
        <v>33</v>
      </c>
      <c r="BK732">
        <v>0</v>
      </c>
      <c r="BL732" t="s">
        <v>693</v>
      </c>
      <c r="BM732" t="s">
        <v>695</v>
      </c>
      <c r="BN732" t="s">
        <v>702</v>
      </c>
      <c r="BO732" t="s">
        <v>706</v>
      </c>
      <c r="BP732" t="s">
        <v>707</v>
      </c>
      <c r="BQ732" t="s">
        <v>708</v>
      </c>
    </row>
    <row r="733" spans="1:69" x14ac:dyDescent="0.4">
      <c r="A733" s="2" t="s">
        <v>789</v>
      </c>
      <c r="B733" t="str">
        <f>_xlfn.TEXTAFTER(Table1[[#This Row],[VEHIDCODE]],"_")</f>
        <v>Coach_Gen2_Steel_Mail_Coach</v>
      </c>
      <c r="C733" t="s">
        <v>757</v>
      </c>
      <c r="D733" t="str">
        <f>"item_"&amp;Table1[[#This Row],[VEHIDCODE]]</f>
        <v>item_mu_Coach_Gen2_Steel_Mail_Coach</v>
      </c>
      <c r="E733" t="str">
        <f>"str_"&amp;Table1[[#This Row],[VEHIDCODE]]</f>
        <v>str_mu_Coach_Gen2_Steel_Mail_Coach</v>
      </c>
      <c r="F733">
        <v>7</v>
      </c>
      <c r="G733" t="s">
        <v>674</v>
      </c>
      <c r="H733">
        <v>0</v>
      </c>
      <c r="I733" t="s">
        <v>35</v>
      </c>
      <c r="J733">
        <v>56</v>
      </c>
      <c r="K733">
        <v>1910</v>
      </c>
      <c r="L733">
        <v>7</v>
      </c>
      <c r="M733" s="2" t="s">
        <v>675</v>
      </c>
      <c r="N733" t="b">
        <v>1</v>
      </c>
      <c r="P733" s="2"/>
      <c r="Q733">
        <v>70</v>
      </c>
      <c r="R733">
        <v>1</v>
      </c>
      <c r="S733">
        <v>0</v>
      </c>
      <c r="T733" t="s">
        <v>712</v>
      </c>
      <c r="U733">
        <v>120</v>
      </c>
      <c r="V733" s="2">
        <v>0.3</v>
      </c>
      <c r="AE733" t="b">
        <v>1</v>
      </c>
      <c r="AZ733" s="2"/>
      <c r="BA733" s="7">
        <v>25</v>
      </c>
      <c r="BB733" t="s">
        <v>926</v>
      </c>
      <c r="BC733" t="s">
        <v>934</v>
      </c>
      <c r="BD733" t="s">
        <v>941</v>
      </c>
      <c r="BE733" t="str">
        <f>IF(OR(Table1[[#This Row],[ENGINE_CLASS]]="STEAM",Table1[[#This Row],[ENGINE_CLASS]]="ELECTRIC",Table1[[#This Row],[ENGINE_CLASS]]="DIESEL"),Table1[[#This Row],[ENGINE_CLASS]],"DISABLE")</f>
        <v>DIESEL</v>
      </c>
      <c r="BF733">
        <v>0</v>
      </c>
      <c r="BG733" t="s">
        <v>735</v>
      </c>
      <c r="BI733"/>
      <c r="BJ733">
        <v>35</v>
      </c>
      <c r="BK733">
        <v>0</v>
      </c>
      <c r="BL733" t="s">
        <v>693</v>
      </c>
      <c r="BM733" t="s">
        <v>695</v>
      </c>
      <c r="BN733" t="s">
        <v>702</v>
      </c>
      <c r="BO733" t="s">
        <v>706</v>
      </c>
      <c r="BP733" t="s">
        <v>707</v>
      </c>
      <c r="BQ733" t="s">
        <v>708</v>
      </c>
    </row>
    <row r="734" spans="1:69" x14ac:dyDescent="0.4">
      <c r="A734" s="2" t="s">
        <v>790</v>
      </c>
      <c r="B734" t="str">
        <f>_xlfn.TEXTAFTER(Table1[[#This Row],[VEHIDCODE]],"_")</f>
        <v>Coach_Gen2_Steel_2_axle_Compartment_Coach</v>
      </c>
      <c r="C734" t="s">
        <v>757</v>
      </c>
      <c r="D734" t="str">
        <f>"item_"&amp;Table1[[#This Row],[VEHIDCODE]]</f>
        <v>item_mu_Coach_Gen2_Steel_2_axle_Compartment_Coach</v>
      </c>
      <c r="E734" t="str">
        <f>"str_"&amp;Table1[[#This Row],[VEHIDCODE]]</f>
        <v>str_mu_Coach_Gen2_Steel_2_axle_Compartment_Coach</v>
      </c>
      <c r="F734">
        <v>5</v>
      </c>
      <c r="G734" t="s">
        <v>326</v>
      </c>
      <c r="H734">
        <v>0</v>
      </c>
      <c r="I734" t="s">
        <v>35</v>
      </c>
      <c r="J734">
        <v>40</v>
      </c>
      <c r="K734">
        <v>1920</v>
      </c>
      <c r="L734">
        <v>5</v>
      </c>
      <c r="M734" s="2" t="s">
        <v>24</v>
      </c>
      <c r="N734" t="b">
        <v>1</v>
      </c>
      <c r="P734" s="2"/>
      <c r="Q734">
        <v>60</v>
      </c>
      <c r="R734">
        <v>1</v>
      </c>
      <c r="S734">
        <v>0</v>
      </c>
      <c r="T734" t="s">
        <v>712</v>
      </c>
      <c r="U734">
        <v>100</v>
      </c>
      <c r="V734" s="2">
        <v>0.3</v>
      </c>
      <c r="AE734" t="b">
        <v>1</v>
      </c>
      <c r="AZ734" s="2"/>
      <c r="BA734" s="7">
        <v>25</v>
      </c>
      <c r="BB734" t="s">
        <v>926</v>
      </c>
      <c r="BC734" t="s">
        <v>934</v>
      </c>
      <c r="BD734" t="s">
        <v>941</v>
      </c>
      <c r="BE734" t="str">
        <f>IF(OR(Table1[[#This Row],[ENGINE_CLASS]]="STEAM",Table1[[#This Row],[ENGINE_CLASS]]="ELECTRIC",Table1[[#This Row],[ENGINE_CLASS]]="DIESEL"),Table1[[#This Row],[ENGINE_CLASS]],"DISABLE")</f>
        <v>DIESEL</v>
      </c>
      <c r="BF734">
        <v>0</v>
      </c>
      <c r="BG734" t="s">
        <v>735</v>
      </c>
      <c r="BI734"/>
      <c r="BJ734">
        <v>20</v>
      </c>
      <c r="BK734">
        <v>0</v>
      </c>
      <c r="BL734" t="s">
        <v>693</v>
      </c>
      <c r="BM734" t="s">
        <v>695</v>
      </c>
      <c r="BN734" t="s">
        <v>702</v>
      </c>
      <c r="BO734" t="s">
        <v>706</v>
      </c>
      <c r="BP734" t="s">
        <v>707</v>
      </c>
      <c r="BQ734" t="s">
        <v>708</v>
      </c>
    </row>
    <row r="735" spans="1:69" x14ac:dyDescent="0.4">
      <c r="A735" s="2" t="s">
        <v>791</v>
      </c>
      <c r="B735" t="str">
        <f>_xlfn.TEXTAFTER(Table1[[#This Row],[VEHIDCODE]],"_")</f>
        <v>Coach_Gen2_Steel_2_axle_Regional_Coach</v>
      </c>
      <c r="C735" t="s">
        <v>757</v>
      </c>
      <c r="D735" t="str">
        <f>"item_"&amp;Table1[[#This Row],[VEHIDCODE]]</f>
        <v>item_mu_Coach_Gen2_Steel_2_axle_Regional_Coach</v>
      </c>
      <c r="E735" t="str">
        <f>"str_"&amp;Table1[[#This Row],[VEHIDCODE]]</f>
        <v>str_mu_Coach_Gen2_Steel_2_axle_Regional_Coach</v>
      </c>
      <c r="F735">
        <v>5</v>
      </c>
      <c r="G735" t="s">
        <v>326</v>
      </c>
      <c r="H735">
        <v>0</v>
      </c>
      <c r="I735" t="s">
        <v>35</v>
      </c>
      <c r="J735">
        <v>40</v>
      </c>
      <c r="K735">
        <v>1920</v>
      </c>
      <c r="L735">
        <v>5</v>
      </c>
      <c r="M735" s="2" t="s">
        <v>480</v>
      </c>
      <c r="N735" t="b">
        <v>1</v>
      </c>
      <c r="P735" s="2"/>
      <c r="Q735">
        <v>60</v>
      </c>
      <c r="R735">
        <v>1</v>
      </c>
      <c r="S735">
        <v>0</v>
      </c>
      <c r="T735" t="s">
        <v>712</v>
      </c>
      <c r="U735">
        <v>100</v>
      </c>
      <c r="V735" s="2">
        <v>0.3</v>
      </c>
      <c r="AE735" t="b">
        <v>1</v>
      </c>
      <c r="AZ735" s="2"/>
      <c r="BA735" s="7">
        <v>25</v>
      </c>
      <c r="BB735" t="s">
        <v>937</v>
      </c>
      <c r="BC735" t="s">
        <v>923</v>
      </c>
      <c r="BD735" t="s">
        <v>941</v>
      </c>
      <c r="BE735" t="str">
        <f>IF(OR(Table1[[#This Row],[ENGINE_CLASS]]="STEAM",Table1[[#This Row],[ENGINE_CLASS]]="ELECTRIC",Table1[[#This Row],[ENGINE_CLASS]]="DIESEL"),Table1[[#This Row],[ENGINE_CLASS]],"DISABLE")</f>
        <v>DIESEL</v>
      </c>
      <c r="BF735">
        <v>0</v>
      </c>
      <c r="BG735" t="s">
        <v>735</v>
      </c>
      <c r="BI735"/>
      <c r="BJ735">
        <v>20</v>
      </c>
      <c r="BK735">
        <v>0</v>
      </c>
      <c r="BL735" t="s">
        <v>693</v>
      </c>
      <c r="BM735" t="s">
        <v>695</v>
      </c>
      <c r="BN735" t="s">
        <v>702</v>
      </c>
      <c r="BO735" t="s">
        <v>706</v>
      </c>
      <c r="BP735" t="s">
        <v>707</v>
      </c>
      <c r="BQ735" t="s">
        <v>708</v>
      </c>
    </row>
    <row r="736" spans="1:69" x14ac:dyDescent="0.4">
      <c r="A736" s="2" t="s">
        <v>792</v>
      </c>
      <c r="B736" t="str">
        <f>_xlfn.TEXTAFTER(Table1[[#This Row],[VEHIDCODE]],"_")</f>
        <v>Coach_Gen2_Steel_2_axle_Mail_Coach</v>
      </c>
      <c r="C736" t="s">
        <v>757</v>
      </c>
      <c r="D736" t="str">
        <f>"item_"&amp;Table1[[#This Row],[VEHIDCODE]]</f>
        <v>item_mu_Coach_Gen2_Steel_2_axle_Mail_Coach</v>
      </c>
      <c r="E736" t="str">
        <f>"str_"&amp;Table1[[#This Row],[VEHIDCODE]]</f>
        <v>str_mu_Coach_Gen2_Steel_2_axle_Mail_Coach</v>
      </c>
      <c r="F736">
        <v>5</v>
      </c>
      <c r="G736" t="s">
        <v>674</v>
      </c>
      <c r="H736">
        <v>0</v>
      </c>
      <c r="I736" t="s">
        <v>35</v>
      </c>
      <c r="J736">
        <v>35</v>
      </c>
      <c r="K736">
        <v>1920</v>
      </c>
      <c r="L736">
        <v>5</v>
      </c>
      <c r="M736" s="2" t="s">
        <v>675</v>
      </c>
      <c r="N736" t="b">
        <v>1</v>
      </c>
      <c r="P736" s="2"/>
      <c r="Q736">
        <v>60</v>
      </c>
      <c r="R736">
        <v>1</v>
      </c>
      <c r="S736">
        <v>0</v>
      </c>
      <c r="T736" t="s">
        <v>712</v>
      </c>
      <c r="U736">
        <v>100</v>
      </c>
      <c r="V736" s="2">
        <v>0.3</v>
      </c>
      <c r="AE736" t="b">
        <v>1</v>
      </c>
      <c r="AZ736" s="2"/>
      <c r="BA736" s="7">
        <v>25</v>
      </c>
      <c r="BB736" t="s">
        <v>937</v>
      </c>
      <c r="BC736" t="s">
        <v>923</v>
      </c>
      <c r="BD736" t="s">
        <v>941</v>
      </c>
      <c r="BE736" t="str">
        <f>IF(OR(Table1[[#This Row],[ENGINE_CLASS]]="STEAM",Table1[[#This Row],[ENGINE_CLASS]]="ELECTRIC",Table1[[#This Row],[ENGINE_CLASS]]="DIESEL"),Table1[[#This Row],[ENGINE_CLASS]],"DISABLE")</f>
        <v>DIESEL</v>
      </c>
      <c r="BF736">
        <v>0</v>
      </c>
      <c r="BG736" t="s">
        <v>735</v>
      </c>
      <c r="BI736"/>
      <c r="BJ736">
        <v>20</v>
      </c>
      <c r="BK736">
        <v>0</v>
      </c>
      <c r="BL736" t="s">
        <v>693</v>
      </c>
      <c r="BM736" t="s">
        <v>695</v>
      </c>
      <c r="BN736" t="s">
        <v>702</v>
      </c>
      <c r="BO736" t="s">
        <v>706</v>
      </c>
      <c r="BP736" t="s">
        <v>707</v>
      </c>
      <c r="BQ736" t="s">
        <v>708</v>
      </c>
    </row>
    <row r="737" spans="1:69" x14ac:dyDescent="0.4">
      <c r="A737" s="2" t="s">
        <v>793</v>
      </c>
      <c r="B737" t="str">
        <f>_xlfn.TEXTAFTER(Table1[[#This Row],[VEHIDCODE]],"_")</f>
        <v>Coach_Gen2_Steel_3_axle_Compartment_Coach</v>
      </c>
      <c r="C737" t="s">
        <v>757</v>
      </c>
      <c r="D737" t="str">
        <f>"item_"&amp;Table1[[#This Row],[VEHIDCODE]]</f>
        <v>item_mu_Coach_Gen2_Steel_3_axle_Compartment_Coach</v>
      </c>
      <c r="E737" t="str">
        <f>"str_"&amp;Table1[[#This Row],[VEHIDCODE]]</f>
        <v>str_mu_Coach_Gen2_Steel_3_axle_Compartment_Coach</v>
      </c>
      <c r="F737">
        <v>6</v>
      </c>
      <c r="G737" t="s">
        <v>326</v>
      </c>
      <c r="H737">
        <v>0</v>
      </c>
      <c r="I737" t="s">
        <v>35</v>
      </c>
      <c r="J737">
        <v>40</v>
      </c>
      <c r="K737">
        <v>1920</v>
      </c>
      <c r="L737">
        <v>6</v>
      </c>
      <c r="M737" s="2" t="s">
        <v>24</v>
      </c>
      <c r="N737" t="b">
        <v>1</v>
      </c>
      <c r="P737" s="2"/>
      <c r="Q737">
        <v>60</v>
      </c>
      <c r="R737">
        <v>1</v>
      </c>
      <c r="S737">
        <v>0</v>
      </c>
      <c r="T737" t="s">
        <v>712</v>
      </c>
      <c r="U737">
        <v>110</v>
      </c>
      <c r="V737" s="2">
        <v>0.3</v>
      </c>
      <c r="AE737" t="b">
        <v>1</v>
      </c>
      <c r="AZ737" s="2"/>
      <c r="BA737" s="7">
        <v>25</v>
      </c>
      <c r="BB737" t="s">
        <v>926</v>
      </c>
      <c r="BC737" t="s">
        <v>934</v>
      </c>
      <c r="BD737" t="s">
        <v>941</v>
      </c>
      <c r="BE737" t="str">
        <f>IF(OR(Table1[[#This Row],[ENGINE_CLASS]]="STEAM",Table1[[#This Row],[ENGINE_CLASS]]="ELECTRIC",Table1[[#This Row],[ENGINE_CLASS]]="DIESEL"),Table1[[#This Row],[ENGINE_CLASS]],"DISABLE")</f>
        <v>DIESEL</v>
      </c>
      <c r="BF737">
        <v>0</v>
      </c>
      <c r="BG737" t="s">
        <v>735</v>
      </c>
      <c r="BI737"/>
      <c r="BJ737">
        <v>21</v>
      </c>
      <c r="BK737">
        <v>0</v>
      </c>
      <c r="BL737" t="s">
        <v>693</v>
      </c>
      <c r="BM737" t="s">
        <v>695</v>
      </c>
      <c r="BN737" t="s">
        <v>702</v>
      </c>
      <c r="BO737" t="s">
        <v>706</v>
      </c>
      <c r="BP737" t="s">
        <v>707</v>
      </c>
      <c r="BQ737" t="s">
        <v>708</v>
      </c>
    </row>
    <row r="738" spans="1:69" x14ac:dyDescent="0.4">
      <c r="A738" s="2" t="s">
        <v>794</v>
      </c>
      <c r="B738" t="str">
        <f>_xlfn.TEXTAFTER(Table1[[#This Row],[VEHIDCODE]],"_")</f>
        <v>Coach_Gen2_Steel_3_axle_Regional_Coach</v>
      </c>
      <c r="C738" t="s">
        <v>757</v>
      </c>
      <c r="D738" t="str">
        <f>"item_"&amp;Table1[[#This Row],[VEHIDCODE]]</f>
        <v>item_mu_Coach_Gen2_Steel_3_axle_Regional_Coach</v>
      </c>
      <c r="E738" t="str">
        <f>"str_"&amp;Table1[[#This Row],[VEHIDCODE]]</f>
        <v>str_mu_Coach_Gen2_Steel_3_axle_Regional_Coach</v>
      </c>
      <c r="F738">
        <v>6</v>
      </c>
      <c r="G738" t="s">
        <v>326</v>
      </c>
      <c r="H738">
        <v>0</v>
      </c>
      <c r="I738" t="s">
        <v>35</v>
      </c>
      <c r="J738">
        <v>35</v>
      </c>
      <c r="K738">
        <v>1920</v>
      </c>
      <c r="L738">
        <v>6</v>
      </c>
      <c r="M738" s="2" t="s">
        <v>480</v>
      </c>
      <c r="N738" t="b">
        <v>1</v>
      </c>
      <c r="P738" s="2"/>
      <c r="Q738">
        <v>60</v>
      </c>
      <c r="R738">
        <v>1</v>
      </c>
      <c r="S738">
        <v>0</v>
      </c>
      <c r="T738" t="s">
        <v>712</v>
      </c>
      <c r="U738">
        <v>120</v>
      </c>
      <c r="V738" s="2">
        <v>0.3</v>
      </c>
      <c r="AE738" t="b">
        <v>1</v>
      </c>
      <c r="AZ738" s="2"/>
      <c r="BA738" s="7">
        <v>25</v>
      </c>
      <c r="BB738" t="s">
        <v>926</v>
      </c>
      <c r="BC738" t="s">
        <v>934</v>
      </c>
      <c r="BD738" t="s">
        <v>941</v>
      </c>
      <c r="BE738" t="str">
        <f>IF(OR(Table1[[#This Row],[ENGINE_CLASS]]="STEAM",Table1[[#This Row],[ENGINE_CLASS]]="ELECTRIC",Table1[[#This Row],[ENGINE_CLASS]]="DIESEL"),Table1[[#This Row],[ENGINE_CLASS]],"DISABLE")</f>
        <v>DIESEL</v>
      </c>
      <c r="BF738">
        <v>0</v>
      </c>
      <c r="BG738" t="s">
        <v>735</v>
      </c>
      <c r="BI738"/>
      <c r="BJ738">
        <v>22</v>
      </c>
      <c r="BK738">
        <v>0</v>
      </c>
      <c r="BL738" t="s">
        <v>693</v>
      </c>
      <c r="BM738" t="s">
        <v>695</v>
      </c>
      <c r="BN738" t="s">
        <v>702</v>
      </c>
      <c r="BO738" t="s">
        <v>706</v>
      </c>
      <c r="BP738" t="s">
        <v>707</v>
      </c>
      <c r="BQ738" t="s">
        <v>708</v>
      </c>
    </row>
    <row r="739" spans="1:69" x14ac:dyDescent="0.4">
      <c r="A739" s="2" t="s">
        <v>795</v>
      </c>
      <c r="B739" t="str">
        <f>_xlfn.TEXTAFTER(Table1[[#This Row],[VEHIDCODE]],"_")</f>
        <v>Coach_Gen2_Steel_3_axle_Mail_Coach</v>
      </c>
      <c r="C739" t="s">
        <v>757</v>
      </c>
      <c r="D739" t="str">
        <f>"item_"&amp;Table1[[#This Row],[VEHIDCODE]]</f>
        <v>item_mu_Coach_Gen2_Steel_3_axle_Mail_Coach</v>
      </c>
      <c r="E739" t="str">
        <f>"str_"&amp;Table1[[#This Row],[VEHIDCODE]]</f>
        <v>str_mu_Coach_Gen2_Steel_3_axle_Mail_Coach</v>
      </c>
      <c r="F739">
        <v>6</v>
      </c>
      <c r="G739" t="s">
        <v>674</v>
      </c>
      <c r="H739">
        <v>0</v>
      </c>
      <c r="I739" t="s">
        <v>35</v>
      </c>
      <c r="J739">
        <v>40</v>
      </c>
      <c r="K739">
        <v>1920</v>
      </c>
      <c r="L739">
        <v>6</v>
      </c>
      <c r="M739" s="2" t="s">
        <v>675</v>
      </c>
      <c r="N739" t="b">
        <v>1</v>
      </c>
      <c r="P739" s="2"/>
      <c r="Q739">
        <v>60</v>
      </c>
      <c r="R739">
        <v>1</v>
      </c>
      <c r="S739">
        <v>0</v>
      </c>
      <c r="T739" t="s">
        <v>712</v>
      </c>
      <c r="U739">
        <v>120</v>
      </c>
      <c r="V739" s="2">
        <v>0.3</v>
      </c>
      <c r="AE739" t="b">
        <v>1</v>
      </c>
      <c r="AZ739" s="2"/>
      <c r="BA739" s="7">
        <v>25</v>
      </c>
      <c r="BB739" t="s">
        <v>926</v>
      </c>
      <c r="BC739" t="s">
        <v>934</v>
      </c>
      <c r="BD739" t="s">
        <v>941</v>
      </c>
      <c r="BE739" t="str">
        <f>IF(OR(Table1[[#This Row],[ENGINE_CLASS]]="STEAM",Table1[[#This Row],[ENGINE_CLASS]]="ELECTRIC",Table1[[#This Row],[ENGINE_CLASS]]="DIESEL"),Table1[[#This Row],[ENGINE_CLASS]],"DISABLE")</f>
        <v>DIESEL</v>
      </c>
      <c r="BF739">
        <v>0</v>
      </c>
      <c r="BG739" t="s">
        <v>735</v>
      </c>
      <c r="BI739"/>
      <c r="BJ739">
        <v>21</v>
      </c>
      <c r="BK739">
        <v>0</v>
      </c>
      <c r="BL739" t="s">
        <v>693</v>
      </c>
      <c r="BM739" t="s">
        <v>695</v>
      </c>
      <c r="BN739" t="s">
        <v>702</v>
      </c>
      <c r="BO739" t="s">
        <v>706</v>
      </c>
      <c r="BP739" t="s">
        <v>707</v>
      </c>
      <c r="BQ739" t="s">
        <v>708</v>
      </c>
    </row>
    <row r="740" spans="1:69" x14ac:dyDescent="0.4">
      <c r="A740" s="2" t="s">
        <v>796</v>
      </c>
      <c r="B740" t="str">
        <f>_xlfn.TEXTAFTER(Table1[[#This Row],[VEHIDCODE]],"_")</f>
        <v>Coach_Gen3_Steel_Lightweight_Intercity_Coach</v>
      </c>
      <c r="C740" t="s">
        <v>758</v>
      </c>
      <c r="D740" t="str">
        <f>"item_"&amp;Table1[[#This Row],[VEHIDCODE]]</f>
        <v>item_mu_Coach_Gen3_Steel_Lightweight_Intercity_Coach</v>
      </c>
      <c r="E740" t="str">
        <f>"str_"&amp;Table1[[#This Row],[VEHIDCODE]]</f>
        <v>str_mu_Coach_Gen3_Steel_Lightweight_Intercity_Coach</v>
      </c>
      <c r="F740">
        <v>8</v>
      </c>
      <c r="G740" t="s">
        <v>326</v>
      </c>
      <c r="H740">
        <v>0</v>
      </c>
      <c r="I740" t="s">
        <v>35</v>
      </c>
      <c r="J740">
        <v>60</v>
      </c>
      <c r="K740">
        <v>1930</v>
      </c>
      <c r="L740">
        <v>8</v>
      </c>
      <c r="M740" s="2" t="s">
        <v>480</v>
      </c>
      <c r="N740" t="b">
        <v>1</v>
      </c>
      <c r="P740" s="2"/>
      <c r="Q740">
        <v>55</v>
      </c>
      <c r="R740">
        <v>1</v>
      </c>
      <c r="S740">
        <v>0</v>
      </c>
      <c r="T740" t="s">
        <v>712</v>
      </c>
      <c r="U740">
        <v>160</v>
      </c>
      <c r="V740" s="2">
        <v>0.3</v>
      </c>
      <c r="AE740" t="b">
        <v>1</v>
      </c>
      <c r="AZ740" s="2"/>
      <c r="BA740" s="7">
        <v>25</v>
      </c>
      <c r="BB740" t="s">
        <v>936</v>
      </c>
      <c r="BC740" t="s">
        <v>938</v>
      </c>
      <c r="BD740" t="s">
        <v>941</v>
      </c>
      <c r="BE740" t="str">
        <f>IF(OR(Table1[[#This Row],[ENGINE_CLASS]]="STEAM",Table1[[#This Row],[ENGINE_CLASS]]="ELECTRIC",Table1[[#This Row],[ENGINE_CLASS]]="DIESEL"),Table1[[#This Row],[ENGINE_CLASS]],"DISABLE")</f>
        <v>DIESEL</v>
      </c>
      <c r="BF740">
        <v>0</v>
      </c>
      <c r="BG740" t="s">
        <v>735</v>
      </c>
      <c r="BI740"/>
      <c r="BJ740">
        <v>38</v>
      </c>
      <c r="BK740">
        <v>0</v>
      </c>
      <c r="BL740" t="s">
        <v>693</v>
      </c>
      <c r="BM740" t="s">
        <v>695</v>
      </c>
      <c r="BN740" t="s">
        <v>702</v>
      </c>
      <c r="BO740" t="s">
        <v>706</v>
      </c>
      <c r="BP740" t="s">
        <v>707</v>
      </c>
      <c r="BQ740" t="s">
        <v>708</v>
      </c>
    </row>
    <row r="741" spans="1:69" x14ac:dyDescent="0.4">
      <c r="A741" s="2" t="s">
        <v>797</v>
      </c>
      <c r="B741" t="str">
        <f>_xlfn.TEXTAFTER(Table1[[#This Row],[VEHIDCODE]],"_")</f>
        <v>Coach_Gen3_Steel_Lightweight_Regional_Coach</v>
      </c>
      <c r="C741" t="s">
        <v>758</v>
      </c>
      <c r="D741" t="str">
        <f>"item_"&amp;Table1[[#This Row],[VEHIDCODE]]</f>
        <v>item_mu_Coach_Gen3_Steel_Lightweight_Regional_Coach</v>
      </c>
      <c r="E741" t="str">
        <f>"str_"&amp;Table1[[#This Row],[VEHIDCODE]]</f>
        <v>str_mu_Coach_Gen3_Steel_Lightweight_Regional_Coach</v>
      </c>
      <c r="F741">
        <v>8</v>
      </c>
      <c r="G741" t="s">
        <v>326</v>
      </c>
      <c r="H741">
        <v>0</v>
      </c>
      <c r="I741" t="s">
        <v>35</v>
      </c>
      <c r="J741">
        <v>55</v>
      </c>
      <c r="K741">
        <v>1930</v>
      </c>
      <c r="L741">
        <v>8</v>
      </c>
      <c r="M741" s="2" t="s">
        <v>480</v>
      </c>
      <c r="N741" t="b">
        <v>1</v>
      </c>
      <c r="P741" s="2"/>
      <c r="Q741">
        <v>55</v>
      </c>
      <c r="R741">
        <v>1</v>
      </c>
      <c r="S741">
        <v>0</v>
      </c>
      <c r="T741" t="s">
        <v>712</v>
      </c>
      <c r="U741">
        <v>120</v>
      </c>
      <c r="V741" s="2">
        <v>0.3</v>
      </c>
      <c r="AE741" t="b">
        <v>1</v>
      </c>
      <c r="AZ741" s="2"/>
      <c r="BA741" s="7">
        <v>25</v>
      </c>
      <c r="BB741" t="s">
        <v>936</v>
      </c>
      <c r="BC741" t="s">
        <v>938</v>
      </c>
      <c r="BD741" t="s">
        <v>941</v>
      </c>
      <c r="BE741" t="str">
        <f>IF(OR(Table1[[#This Row],[ENGINE_CLASS]]="STEAM",Table1[[#This Row],[ENGINE_CLASS]]="ELECTRIC",Table1[[#This Row],[ENGINE_CLASS]]="DIESEL"),Table1[[#This Row],[ENGINE_CLASS]],"DISABLE")</f>
        <v>DIESEL</v>
      </c>
      <c r="BF741">
        <v>0</v>
      </c>
      <c r="BG741" t="s">
        <v>735</v>
      </c>
      <c r="BI741"/>
      <c r="BJ741">
        <v>35</v>
      </c>
      <c r="BK741">
        <v>0</v>
      </c>
      <c r="BL741" t="s">
        <v>693</v>
      </c>
      <c r="BM741" t="s">
        <v>695</v>
      </c>
      <c r="BN741" t="s">
        <v>702</v>
      </c>
      <c r="BO741" t="s">
        <v>706</v>
      </c>
      <c r="BP741" t="s">
        <v>707</v>
      </c>
      <c r="BQ741" t="s">
        <v>708</v>
      </c>
    </row>
    <row r="742" spans="1:69" x14ac:dyDescent="0.4">
      <c r="A742" s="2" t="s">
        <v>798</v>
      </c>
      <c r="B742" t="str">
        <f>_xlfn.TEXTAFTER(Table1[[#This Row],[VEHIDCODE]],"_")</f>
        <v>Coach_Gen3_Steel_Lightweight_Mail_Coach</v>
      </c>
      <c r="C742" t="s">
        <v>758</v>
      </c>
      <c r="D742" t="str">
        <f>"item_"&amp;Table1[[#This Row],[VEHIDCODE]]</f>
        <v>item_mu_Coach_Gen3_Steel_Lightweight_Mail_Coach</v>
      </c>
      <c r="E742" t="str">
        <f>"str_"&amp;Table1[[#This Row],[VEHIDCODE]]</f>
        <v>str_mu_Coach_Gen3_Steel_Lightweight_Mail_Coach</v>
      </c>
      <c r="F742">
        <v>8</v>
      </c>
      <c r="G742" t="s">
        <v>674</v>
      </c>
      <c r="H742">
        <v>0</v>
      </c>
      <c r="I742" t="s">
        <v>35</v>
      </c>
      <c r="J742">
        <v>64</v>
      </c>
      <c r="K742">
        <v>1930</v>
      </c>
      <c r="L742">
        <v>8</v>
      </c>
      <c r="M742" s="2" t="s">
        <v>675</v>
      </c>
      <c r="N742" t="b">
        <v>1</v>
      </c>
      <c r="P742" s="2"/>
      <c r="Q742">
        <v>55</v>
      </c>
      <c r="R742">
        <v>1</v>
      </c>
      <c r="S742">
        <v>0</v>
      </c>
      <c r="T742" t="s">
        <v>712</v>
      </c>
      <c r="U742">
        <v>140</v>
      </c>
      <c r="V742" s="2">
        <v>0.3</v>
      </c>
      <c r="AE742" t="b">
        <v>1</v>
      </c>
      <c r="AZ742" s="2"/>
      <c r="BA742" s="7">
        <v>25</v>
      </c>
      <c r="BB742" t="s">
        <v>936</v>
      </c>
      <c r="BC742" t="s">
        <v>938</v>
      </c>
      <c r="BD742" t="s">
        <v>941</v>
      </c>
      <c r="BE742" t="str">
        <f>IF(OR(Table1[[#This Row],[ENGINE_CLASS]]="STEAM",Table1[[#This Row],[ENGINE_CLASS]]="ELECTRIC",Table1[[#This Row],[ENGINE_CLASS]]="DIESEL"),Table1[[#This Row],[ENGINE_CLASS]],"DISABLE")</f>
        <v>DIESEL</v>
      </c>
      <c r="BF742">
        <v>0</v>
      </c>
      <c r="BG742" t="s">
        <v>735</v>
      </c>
      <c r="BI742"/>
      <c r="BJ742">
        <v>31</v>
      </c>
      <c r="BK742">
        <v>0</v>
      </c>
      <c r="BL742" t="s">
        <v>693</v>
      </c>
      <c r="BM742" t="s">
        <v>695</v>
      </c>
      <c r="BN742" t="s">
        <v>702</v>
      </c>
      <c r="BO742" t="s">
        <v>706</v>
      </c>
      <c r="BP742" t="s">
        <v>707</v>
      </c>
      <c r="BQ742" t="s">
        <v>708</v>
      </c>
    </row>
    <row r="743" spans="1:69" x14ac:dyDescent="0.4">
      <c r="A743" s="2" t="s">
        <v>799</v>
      </c>
      <c r="B743" t="str">
        <f>_xlfn.TEXTAFTER(Table1[[#This Row],[VEHIDCODE]],"_")</f>
        <v>Coach_Gen3_Aluminium_Lightweight_Intercity_Coach</v>
      </c>
      <c r="C743" t="s">
        <v>758</v>
      </c>
      <c r="D743" t="str">
        <f>"item_"&amp;Table1[[#This Row],[VEHIDCODE]]</f>
        <v>item_mu_Coach_Gen3_Aluminium_Lightweight_Intercity_Coach</v>
      </c>
      <c r="E743" t="str">
        <f>"str_"&amp;Table1[[#This Row],[VEHIDCODE]]</f>
        <v>str_mu_Coach_Gen3_Aluminium_Lightweight_Intercity_Coach</v>
      </c>
      <c r="F743">
        <v>8</v>
      </c>
      <c r="G743" t="s">
        <v>326</v>
      </c>
      <c r="H743">
        <v>0</v>
      </c>
      <c r="I743" t="s">
        <v>35</v>
      </c>
      <c r="J743">
        <v>60</v>
      </c>
      <c r="K743">
        <v>1940</v>
      </c>
      <c r="L743">
        <v>8</v>
      </c>
      <c r="M743" s="2" t="s">
        <v>480</v>
      </c>
      <c r="N743" t="b">
        <v>1</v>
      </c>
      <c r="P743" s="2"/>
      <c r="Q743">
        <v>50</v>
      </c>
      <c r="R743">
        <v>1</v>
      </c>
      <c r="S743">
        <v>0</v>
      </c>
      <c r="T743" t="s">
        <v>712</v>
      </c>
      <c r="U743">
        <v>180</v>
      </c>
      <c r="V743" s="2">
        <v>0.3</v>
      </c>
      <c r="AE743" t="b">
        <v>1</v>
      </c>
      <c r="AZ743" s="2"/>
      <c r="BA743" s="7">
        <v>25</v>
      </c>
      <c r="BB743" t="s">
        <v>926</v>
      </c>
      <c r="BC743" t="s">
        <v>936</v>
      </c>
      <c r="BD743" t="s">
        <v>941</v>
      </c>
      <c r="BE743" t="str">
        <f>IF(OR(Table1[[#This Row],[ENGINE_CLASS]]="STEAM",Table1[[#This Row],[ENGINE_CLASS]]="ELECTRIC",Table1[[#This Row],[ENGINE_CLASS]]="DIESEL"),Table1[[#This Row],[ENGINE_CLASS]],"DISABLE")</f>
        <v>DIESEL</v>
      </c>
      <c r="BF743">
        <v>0</v>
      </c>
      <c r="BG743" t="s">
        <v>735</v>
      </c>
      <c r="BI743"/>
      <c r="BJ743">
        <v>55</v>
      </c>
      <c r="BK743">
        <v>0</v>
      </c>
      <c r="BL743" t="s">
        <v>693</v>
      </c>
      <c r="BM743" t="s">
        <v>695</v>
      </c>
      <c r="BN743" t="s">
        <v>702</v>
      </c>
      <c r="BO743" t="s">
        <v>706</v>
      </c>
      <c r="BP743" t="s">
        <v>707</v>
      </c>
      <c r="BQ743" t="s">
        <v>708</v>
      </c>
    </row>
    <row r="744" spans="1:69" x14ac:dyDescent="0.4">
      <c r="A744" s="2" t="s">
        <v>800</v>
      </c>
      <c r="B744" t="str">
        <f>_xlfn.TEXTAFTER(Table1[[#This Row],[VEHIDCODE]],"_")</f>
        <v>Coach_Gen3_Aluminium_Lightweight_Regional_Coach</v>
      </c>
      <c r="C744" t="s">
        <v>758</v>
      </c>
      <c r="D744" t="str">
        <f>"item_"&amp;Table1[[#This Row],[VEHIDCODE]]</f>
        <v>item_mu_Coach_Gen3_Aluminium_Lightweight_Regional_Coach</v>
      </c>
      <c r="E744" t="str">
        <f>"str_"&amp;Table1[[#This Row],[VEHIDCODE]]</f>
        <v>str_mu_Coach_Gen3_Aluminium_Lightweight_Regional_Coach</v>
      </c>
      <c r="F744">
        <v>8</v>
      </c>
      <c r="G744" t="s">
        <v>326</v>
      </c>
      <c r="H744">
        <v>0</v>
      </c>
      <c r="I744" t="s">
        <v>35</v>
      </c>
      <c r="J744">
        <v>90</v>
      </c>
      <c r="K744">
        <v>1940</v>
      </c>
      <c r="L744">
        <v>8</v>
      </c>
      <c r="M744" s="2" t="s">
        <v>480</v>
      </c>
      <c r="N744" t="b">
        <v>1</v>
      </c>
      <c r="P744" s="2"/>
      <c r="Q744">
        <v>50</v>
      </c>
      <c r="R744">
        <v>1</v>
      </c>
      <c r="S744">
        <v>0</v>
      </c>
      <c r="T744" t="s">
        <v>712</v>
      </c>
      <c r="U744">
        <v>160</v>
      </c>
      <c r="V744" s="2">
        <v>0.3</v>
      </c>
      <c r="AE744" t="b">
        <v>1</v>
      </c>
      <c r="AZ744" s="2"/>
      <c r="BA744" s="7">
        <v>25</v>
      </c>
      <c r="BB744" t="s">
        <v>926</v>
      </c>
      <c r="BC744" t="s">
        <v>936</v>
      </c>
      <c r="BD744" t="s">
        <v>941</v>
      </c>
      <c r="BE744" t="str">
        <f>IF(OR(Table1[[#This Row],[ENGINE_CLASS]]="STEAM",Table1[[#This Row],[ENGINE_CLASS]]="ELECTRIC",Table1[[#This Row],[ENGINE_CLASS]]="DIESEL"),Table1[[#This Row],[ENGINE_CLASS]],"DISABLE")</f>
        <v>DIESEL</v>
      </c>
      <c r="BF744">
        <v>0</v>
      </c>
      <c r="BG744" t="s">
        <v>735</v>
      </c>
      <c r="BI744"/>
      <c r="BJ744">
        <v>52</v>
      </c>
      <c r="BK744">
        <v>0</v>
      </c>
      <c r="BL744" t="s">
        <v>693</v>
      </c>
      <c r="BM744" t="s">
        <v>695</v>
      </c>
      <c r="BN744" t="s">
        <v>702</v>
      </c>
      <c r="BO744" t="s">
        <v>706</v>
      </c>
      <c r="BP744" t="s">
        <v>707</v>
      </c>
      <c r="BQ744" t="s">
        <v>708</v>
      </c>
    </row>
    <row r="745" spans="1:69" x14ac:dyDescent="0.4">
      <c r="A745" s="2" t="s">
        <v>801</v>
      </c>
      <c r="B745" t="str">
        <f>_xlfn.TEXTAFTER(Table1[[#This Row],[VEHIDCODE]],"_")</f>
        <v>Coach_Gen3_Aluminium_Lightweight_Mail_Coach</v>
      </c>
      <c r="C745" t="s">
        <v>758</v>
      </c>
      <c r="D745" t="str">
        <f>"item_"&amp;Table1[[#This Row],[VEHIDCODE]]</f>
        <v>item_mu_Coach_Gen3_Aluminium_Lightweight_Mail_Coach</v>
      </c>
      <c r="E745" t="str">
        <f>"str_"&amp;Table1[[#This Row],[VEHIDCODE]]</f>
        <v>str_mu_Coach_Gen3_Aluminium_Lightweight_Mail_Coach</v>
      </c>
      <c r="F745">
        <v>8</v>
      </c>
      <c r="G745" t="s">
        <v>674</v>
      </c>
      <c r="H745">
        <v>0</v>
      </c>
      <c r="I745" t="s">
        <v>35</v>
      </c>
      <c r="J745">
        <v>85</v>
      </c>
      <c r="K745">
        <v>1940</v>
      </c>
      <c r="L745">
        <v>8</v>
      </c>
      <c r="M745" s="2" t="s">
        <v>675</v>
      </c>
      <c r="N745" t="b">
        <v>1</v>
      </c>
      <c r="P745" s="2"/>
      <c r="Q745">
        <v>50</v>
      </c>
      <c r="R745">
        <v>1</v>
      </c>
      <c r="S745">
        <v>0</v>
      </c>
      <c r="T745" t="s">
        <v>712</v>
      </c>
      <c r="U745">
        <v>180</v>
      </c>
      <c r="V745" s="2">
        <v>0.3</v>
      </c>
      <c r="AE745" t="b">
        <v>1</v>
      </c>
      <c r="AZ745" s="2"/>
      <c r="BA745" s="7">
        <v>25</v>
      </c>
      <c r="BB745" t="s">
        <v>926</v>
      </c>
      <c r="BC745" t="s">
        <v>936</v>
      </c>
      <c r="BD745" t="s">
        <v>941</v>
      </c>
      <c r="BE745" t="str">
        <f>IF(OR(Table1[[#This Row],[ENGINE_CLASS]]="STEAM",Table1[[#This Row],[ENGINE_CLASS]]="ELECTRIC",Table1[[#This Row],[ENGINE_CLASS]]="DIESEL"),Table1[[#This Row],[ENGINE_CLASS]],"DISABLE")</f>
        <v>DIESEL</v>
      </c>
      <c r="BF745">
        <v>0</v>
      </c>
      <c r="BG745" t="s">
        <v>735</v>
      </c>
      <c r="BI745"/>
      <c r="BJ745">
        <v>52</v>
      </c>
      <c r="BK745">
        <v>0</v>
      </c>
      <c r="BL745" t="s">
        <v>693</v>
      </c>
      <c r="BM745" t="s">
        <v>695</v>
      </c>
      <c r="BN745" t="s">
        <v>702</v>
      </c>
      <c r="BO745" t="s">
        <v>706</v>
      </c>
      <c r="BP745" t="s">
        <v>707</v>
      </c>
      <c r="BQ745" t="s">
        <v>708</v>
      </c>
    </row>
    <row r="746" spans="1:69" x14ac:dyDescent="0.4">
      <c r="A746" s="2" t="s">
        <v>802</v>
      </c>
      <c r="B746" t="str">
        <f>_xlfn.TEXTAFTER(Table1[[#This Row],[VEHIDCODE]],"_")</f>
        <v>Coach_Gen3_Gallery_Car</v>
      </c>
      <c r="C746" t="s">
        <v>758</v>
      </c>
      <c r="D746" t="str">
        <f>"item_"&amp;Table1[[#This Row],[VEHIDCODE]]</f>
        <v>item_mu_Coach_Gen3_Gallery_Car</v>
      </c>
      <c r="E746" t="str">
        <f>"str_"&amp;Table1[[#This Row],[VEHIDCODE]]</f>
        <v>str_mu_Coach_Gen3_Gallery_Car</v>
      </c>
      <c r="F746">
        <v>8</v>
      </c>
      <c r="G746" t="s">
        <v>326</v>
      </c>
      <c r="H746">
        <v>0</v>
      </c>
      <c r="I746" t="s">
        <v>35</v>
      </c>
      <c r="J746">
        <v>160</v>
      </c>
      <c r="K746">
        <v>1950</v>
      </c>
      <c r="L746">
        <v>8</v>
      </c>
      <c r="M746" s="2" t="s">
        <v>480</v>
      </c>
      <c r="N746" t="b">
        <v>1</v>
      </c>
      <c r="P746" s="2"/>
      <c r="Q746">
        <v>50</v>
      </c>
      <c r="R746">
        <v>1</v>
      </c>
      <c r="S746">
        <v>0</v>
      </c>
      <c r="T746" t="s">
        <v>712</v>
      </c>
      <c r="U746">
        <v>140</v>
      </c>
      <c r="V746" s="2">
        <v>0.3</v>
      </c>
      <c r="AE746" t="b">
        <v>1</v>
      </c>
      <c r="AZ746" s="2"/>
      <c r="BA746" s="7">
        <v>25</v>
      </c>
      <c r="BB746" t="s">
        <v>926</v>
      </c>
      <c r="BC746" t="s">
        <v>936</v>
      </c>
      <c r="BD746" t="s">
        <v>941</v>
      </c>
      <c r="BE746" t="str">
        <f>IF(OR(Table1[[#This Row],[ENGINE_CLASS]]="STEAM",Table1[[#This Row],[ENGINE_CLASS]]="ELECTRIC",Table1[[#This Row],[ENGINE_CLASS]]="DIESEL"),Table1[[#This Row],[ENGINE_CLASS]],"DISABLE")</f>
        <v>DIESEL</v>
      </c>
      <c r="BF746">
        <v>0</v>
      </c>
      <c r="BG746" t="s">
        <v>735</v>
      </c>
      <c r="BI746"/>
      <c r="BJ746">
        <v>56</v>
      </c>
      <c r="BK746">
        <v>0</v>
      </c>
      <c r="BL746" t="s">
        <v>693</v>
      </c>
      <c r="BM746" t="s">
        <v>695</v>
      </c>
      <c r="BN746" t="s">
        <v>702</v>
      </c>
      <c r="BO746" t="s">
        <v>706</v>
      </c>
      <c r="BP746" t="s">
        <v>707</v>
      </c>
      <c r="BQ746" t="s">
        <v>708</v>
      </c>
    </row>
    <row r="747" spans="1:69" x14ac:dyDescent="0.4">
      <c r="A747" s="2" t="s">
        <v>803</v>
      </c>
      <c r="B747" t="str">
        <f>_xlfn.TEXTAFTER(Table1[[#This Row],[VEHIDCODE]],"_")</f>
        <v>Coach_Gen3_Mk1_Intercity_Coach</v>
      </c>
      <c r="C747" t="s">
        <v>758</v>
      </c>
      <c r="D747" t="str">
        <f>"item_"&amp;Table1[[#This Row],[VEHIDCODE]]</f>
        <v>item_mu_Coach_Gen3_Mk1_Intercity_Coach</v>
      </c>
      <c r="E747" t="str">
        <f>"str_"&amp;Table1[[#This Row],[VEHIDCODE]]</f>
        <v>str_mu_Coach_Gen3_Mk1_Intercity_Coach</v>
      </c>
      <c r="F747">
        <v>7</v>
      </c>
      <c r="G747" t="s">
        <v>326</v>
      </c>
      <c r="H747">
        <v>0</v>
      </c>
      <c r="I747" t="s">
        <v>35</v>
      </c>
      <c r="J747">
        <v>55</v>
      </c>
      <c r="K747">
        <v>1950</v>
      </c>
      <c r="L747">
        <v>7</v>
      </c>
      <c r="M747" s="2" t="s">
        <v>480</v>
      </c>
      <c r="N747" t="b">
        <v>1</v>
      </c>
      <c r="P747" s="2"/>
      <c r="Q747">
        <v>50</v>
      </c>
      <c r="R747">
        <v>1</v>
      </c>
      <c r="S747">
        <v>0</v>
      </c>
      <c r="T747" t="s">
        <v>712</v>
      </c>
      <c r="U747">
        <v>160</v>
      </c>
      <c r="V747" s="2">
        <v>0.3</v>
      </c>
      <c r="AE747" t="b">
        <v>1</v>
      </c>
      <c r="AZ747" s="2"/>
      <c r="BA747" s="7">
        <v>25</v>
      </c>
      <c r="BB747" t="s">
        <v>934</v>
      </c>
      <c r="BC747" t="s">
        <v>923</v>
      </c>
      <c r="BD747" t="s">
        <v>941</v>
      </c>
      <c r="BE747" t="str">
        <f>IF(OR(Table1[[#This Row],[ENGINE_CLASS]]="STEAM",Table1[[#This Row],[ENGINE_CLASS]]="ELECTRIC",Table1[[#This Row],[ENGINE_CLASS]]="DIESEL"),Table1[[#This Row],[ENGINE_CLASS]],"DISABLE")</f>
        <v>DIESEL</v>
      </c>
      <c r="BF747">
        <v>0</v>
      </c>
      <c r="BG747" t="s">
        <v>735</v>
      </c>
      <c r="BI747"/>
      <c r="BJ747">
        <v>33</v>
      </c>
      <c r="BK747">
        <v>0</v>
      </c>
      <c r="BL747" t="s">
        <v>693</v>
      </c>
      <c r="BM747" t="s">
        <v>695</v>
      </c>
      <c r="BN747" t="s">
        <v>702</v>
      </c>
      <c r="BO747" t="s">
        <v>706</v>
      </c>
      <c r="BP747" t="s">
        <v>707</v>
      </c>
      <c r="BQ747" t="s">
        <v>708</v>
      </c>
    </row>
    <row r="748" spans="1:69" x14ac:dyDescent="0.4">
      <c r="A748" s="2" t="s">
        <v>804</v>
      </c>
      <c r="B748" t="str">
        <f>_xlfn.TEXTAFTER(Table1[[#This Row],[VEHIDCODE]],"_")</f>
        <v>Coach_Gen3_Mk1_Regional_Coach</v>
      </c>
      <c r="C748" t="s">
        <v>758</v>
      </c>
      <c r="D748" t="str">
        <f>"item_"&amp;Table1[[#This Row],[VEHIDCODE]]</f>
        <v>item_mu_Coach_Gen3_Mk1_Regional_Coach</v>
      </c>
      <c r="E748" t="str">
        <f>"str_"&amp;Table1[[#This Row],[VEHIDCODE]]</f>
        <v>str_mu_Coach_Gen3_Mk1_Regional_Coach</v>
      </c>
      <c r="F748">
        <v>7</v>
      </c>
      <c r="G748" t="s">
        <v>326</v>
      </c>
      <c r="H748">
        <v>0</v>
      </c>
      <c r="I748" t="s">
        <v>35</v>
      </c>
      <c r="J748">
        <v>108</v>
      </c>
      <c r="K748">
        <v>1950</v>
      </c>
      <c r="L748">
        <v>7</v>
      </c>
      <c r="M748" s="2" t="s">
        <v>480</v>
      </c>
      <c r="N748" t="b">
        <v>1</v>
      </c>
      <c r="P748" s="2"/>
      <c r="Q748">
        <v>50</v>
      </c>
      <c r="R748">
        <v>1</v>
      </c>
      <c r="S748">
        <v>0</v>
      </c>
      <c r="T748" t="s">
        <v>712</v>
      </c>
      <c r="U748">
        <v>130</v>
      </c>
      <c r="V748" s="2">
        <v>0.3</v>
      </c>
      <c r="AE748" t="b">
        <v>1</v>
      </c>
      <c r="AZ748" s="2"/>
      <c r="BA748" s="7">
        <v>25</v>
      </c>
      <c r="BB748" t="s">
        <v>934</v>
      </c>
      <c r="BC748" t="s">
        <v>923</v>
      </c>
      <c r="BD748" t="s">
        <v>941</v>
      </c>
      <c r="BE748" t="str">
        <f>IF(OR(Table1[[#This Row],[ENGINE_CLASS]]="STEAM",Table1[[#This Row],[ENGINE_CLASS]]="ELECTRIC",Table1[[#This Row],[ENGINE_CLASS]]="DIESEL"),Table1[[#This Row],[ENGINE_CLASS]],"DISABLE")</f>
        <v>DIESEL</v>
      </c>
      <c r="BF748">
        <v>0</v>
      </c>
      <c r="BG748" t="s">
        <v>735</v>
      </c>
      <c r="BI748"/>
      <c r="BJ748">
        <v>33</v>
      </c>
      <c r="BK748">
        <v>0</v>
      </c>
      <c r="BL748" t="s">
        <v>693</v>
      </c>
      <c r="BM748" t="s">
        <v>695</v>
      </c>
      <c r="BN748" t="s">
        <v>702</v>
      </c>
      <c r="BO748" t="s">
        <v>706</v>
      </c>
      <c r="BP748" t="s">
        <v>707</v>
      </c>
      <c r="BQ748" t="s">
        <v>708</v>
      </c>
    </row>
    <row r="749" spans="1:69" x14ac:dyDescent="0.4">
      <c r="A749" s="2" t="s">
        <v>805</v>
      </c>
      <c r="B749" t="str">
        <f>_xlfn.TEXTAFTER(Table1[[#This Row],[VEHIDCODE]],"_")</f>
        <v>Coach_Gen3_Mk1_Mail_Coach</v>
      </c>
      <c r="C749" t="s">
        <v>758</v>
      </c>
      <c r="D749" t="str">
        <f>"item_"&amp;Table1[[#This Row],[VEHIDCODE]]</f>
        <v>item_mu_Coach_Gen3_Mk1_Mail_Coach</v>
      </c>
      <c r="E749" t="str">
        <f>"str_"&amp;Table1[[#This Row],[VEHIDCODE]]</f>
        <v>str_mu_Coach_Gen3_Mk1_Mail_Coach</v>
      </c>
      <c r="F749">
        <v>7</v>
      </c>
      <c r="G749" t="s">
        <v>674</v>
      </c>
      <c r="H749">
        <v>0</v>
      </c>
      <c r="I749" t="s">
        <v>35</v>
      </c>
      <c r="J749">
        <v>55</v>
      </c>
      <c r="K749">
        <v>1950</v>
      </c>
      <c r="L749">
        <v>7</v>
      </c>
      <c r="M749" s="2" t="s">
        <v>675</v>
      </c>
      <c r="N749" t="b">
        <v>1</v>
      </c>
      <c r="P749" s="2"/>
      <c r="Q749">
        <v>50</v>
      </c>
      <c r="R749">
        <v>1</v>
      </c>
      <c r="S749">
        <v>0</v>
      </c>
      <c r="T749" t="s">
        <v>712</v>
      </c>
      <c r="U749">
        <v>160</v>
      </c>
      <c r="V749" s="2">
        <v>0.3</v>
      </c>
      <c r="AE749" t="b">
        <v>1</v>
      </c>
      <c r="AZ749" s="2"/>
      <c r="BA749" s="7">
        <v>25</v>
      </c>
      <c r="BB749" t="s">
        <v>934</v>
      </c>
      <c r="BC749" t="s">
        <v>923</v>
      </c>
      <c r="BD749" t="s">
        <v>941</v>
      </c>
      <c r="BE749" t="str">
        <f>IF(OR(Table1[[#This Row],[ENGINE_CLASS]]="STEAM",Table1[[#This Row],[ENGINE_CLASS]]="ELECTRIC",Table1[[#This Row],[ENGINE_CLASS]]="DIESEL"),Table1[[#This Row],[ENGINE_CLASS]],"DISABLE")</f>
        <v>DIESEL</v>
      </c>
      <c r="BF749">
        <v>0</v>
      </c>
      <c r="BG749" t="s">
        <v>735</v>
      </c>
      <c r="BI749"/>
      <c r="BJ749">
        <v>35</v>
      </c>
      <c r="BK749">
        <v>0</v>
      </c>
      <c r="BL749" t="s">
        <v>693</v>
      </c>
      <c r="BM749" t="s">
        <v>695</v>
      </c>
      <c r="BN749" t="s">
        <v>702</v>
      </c>
      <c r="BO749" t="s">
        <v>706</v>
      </c>
      <c r="BP749" t="s">
        <v>707</v>
      </c>
      <c r="BQ749" t="s">
        <v>708</v>
      </c>
    </row>
    <row r="750" spans="1:69" x14ac:dyDescent="0.4">
      <c r="A750" s="2" t="s">
        <v>806</v>
      </c>
      <c r="B750" t="str">
        <f>_xlfn.TEXTAFTER(Table1[[#This Row],[VEHIDCODE]],"_")</f>
        <v>Coach_Gen3_UIC_X_Intercity_Coach</v>
      </c>
      <c r="C750" t="s">
        <v>758</v>
      </c>
      <c r="D750" t="str">
        <f>"item_"&amp;Table1[[#This Row],[VEHIDCODE]]</f>
        <v>item_mu_Coach_Gen3_UIC_X_Intercity_Coach</v>
      </c>
      <c r="E750" t="str">
        <f>"str_"&amp;Table1[[#This Row],[VEHIDCODE]]</f>
        <v>str_mu_Coach_Gen3_UIC_X_Intercity_Coach</v>
      </c>
      <c r="F750">
        <v>8</v>
      </c>
      <c r="G750" t="s">
        <v>326</v>
      </c>
      <c r="H750">
        <v>0</v>
      </c>
      <c r="I750" t="s">
        <v>35</v>
      </c>
      <c r="J750">
        <v>65</v>
      </c>
      <c r="K750">
        <v>1950</v>
      </c>
      <c r="L750">
        <v>8</v>
      </c>
      <c r="M750" s="2" t="s">
        <v>480</v>
      </c>
      <c r="N750" t="b">
        <v>1</v>
      </c>
      <c r="P750" s="2"/>
      <c r="Q750">
        <v>50</v>
      </c>
      <c r="R750">
        <v>1</v>
      </c>
      <c r="S750">
        <v>0</v>
      </c>
      <c r="T750" t="s">
        <v>712</v>
      </c>
      <c r="U750">
        <v>160</v>
      </c>
      <c r="V750" s="2">
        <v>0.3</v>
      </c>
      <c r="AE750" t="b">
        <v>1</v>
      </c>
      <c r="AZ750" s="2"/>
      <c r="BA750" s="7">
        <v>25</v>
      </c>
      <c r="BB750" t="s">
        <v>934</v>
      </c>
      <c r="BC750" t="s">
        <v>923</v>
      </c>
      <c r="BD750" t="s">
        <v>941</v>
      </c>
      <c r="BE750" t="str">
        <f>IF(OR(Table1[[#This Row],[ENGINE_CLASS]]="STEAM",Table1[[#This Row],[ENGINE_CLASS]]="ELECTRIC",Table1[[#This Row],[ENGINE_CLASS]]="DIESEL"),Table1[[#This Row],[ENGINE_CLASS]],"DISABLE")</f>
        <v>DIESEL</v>
      </c>
      <c r="BF750">
        <v>0</v>
      </c>
      <c r="BG750" t="s">
        <v>735</v>
      </c>
      <c r="BI750"/>
      <c r="BJ750">
        <v>38</v>
      </c>
      <c r="BK750">
        <v>0</v>
      </c>
      <c r="BL750" t="s">
        <v>693</v>
      </c>
      <c r="BM750" t="s">
        <v>695</v>
      </c>
      <c r="BN750" t="s">
        <v>702</v>
      </c>
      <c r="BO750" t="s">
        <v>706</v>
      </c>
      <c r="BP750" t="s">
        <v>707</v>
      </c>
      <c r="BQ750" t="s">
        <v>708</v>
      </c>
    </row>
    <row r="751" spans="1:69" x14ac:dyDescent="0.4">
      <c r="A751" s="2" t="s">
        <v>807</v>
      </c>
      <c r="B751" t="str">
        <f>_xlfn.TEXTAFTER(Table1[[#This Row],[VEHIDCODE]],"_")</f>
        <v>Coach_Gen3_TEE_Intercity_Coach</v>
      </c>
      <c r="C751" t="s">
        <v>758</v>
      </c>
      <c r="D751" t="str">
        <f>"item_"&amp;Table1[[#This Row],[VEHIDCODE]]</f>
        <v>item_mu_Coach_Gen3_TEE_Intercity_Coach</v>
      </c>
      <c r="E751" t="str">
        <f>"str_"&amp;Table1[[#This Row],[VEHIDCODE]]</f>
        <v>str_mu_Coach_Gen3_TEE_Intercity_Coach</v>
      </c>
      <c r="F751">
        <v>8</v>
      </c>
      <c r="G751" t="s">
        <v>326</v>
      </c>
      <c r="H751">
        <v>0</v>
      </c>
      <c r="I751" t="s">
        <v>35</v>
      </c>
      <c r="J751">
        <v>48</v>
      </c>
      <c r="K751">
        <v>1950</v>
      </c>
      <c r="L751">
        <v>8</v>
      </c>
      <c r="M751" s="2" t="s">
        <v>480</v>
      </c>
      <c r="N751" t="b">
        <v>1</v>
      </c>
      <c r="P751" s="2"/>
      <c r="Q751">
        <v>50</v>
      </c>
      <c r="R751">
        <v>1</v>
      </c>
      <c r="S751">
        <v>0</v>
      </c>
      <c r="T751" t="s">
        <v>712</v>
      </c>
      <c r="U751">
        <v>240</v>
      </c>
      <c r="V751" s="2">
        <v>0.3</v>
      </c>
      <c r="AE751" t="b">
        <v>1</v>
      </c>
      <c r="AZ751" s="2"/>
      <c r="BA751" s="7">
        <v>25</v>
      </c>
      <c r="BB751" t="s">
        <v>933</v>
      </c>
      <c r="BC751" t="s">
        <v>923</v>
      </c>
      <c r="BD751" t="s">
        <v>941</v>
      </c>
      <c r="BE751" t="str">
        <f>IF(OR(Table1[[#This Row],[ENGINE_CLASS]]="STEAM",Table1[[#This Row],[ENGINE_CLASS]]="ELECTRIC",Table1[[#This Row],[ENGINE_CLASS]]="DIESEL"),Table1[[#This Row],[ENGINE_CLASS]],"DISABLE")</f>
        <v>DIESEL</v>
      </c>
      <c r="BF751">
        <v>0</v>
      </c>
      <c r="BG751" t="s">
        <v>735</v>
      </c>
      <c r="BI751"/>
      <c r="BJ751">
        <v>45</v>
      </c>
      <c r="BK751">
        <v>0</v>
      </c>
      <c r="BL751" t="s">
        <v>693</v>
      </c>
      <c r="BM751" t="s">
        <v>695</v>
      </c>
      <c r="BN751" t="s">
        <v>702</v>
      </c>
      <c r="BO751" t="s">
        <v>706</v>
      </c>
      <c r="BP751" t="s">
        <v>707</v>
      </c>
      <c r="BQ751" t="s">
        <v>708</v>
      </c>
    </row>
    <row r="752" spans="1:69" x14ac:dyDescent="0.4">
      <c r="A752" s="2" t="s">
        <v>808</v>
      </c>
      <c r="B752" t="str">
        <f>_xlfn.TEXTAFTER(Table1[[#This Row],[VEHIDCODE]],"_")</f>
        <v>Coach_Gen3_UIC_X_Regional_Coach</v>
      </c>
      <c r="C752" t="s">
        <v>758</v>
      </c>
      <c r="D752" t="str">
        <f>"item_"&amp;Table1[[#This Row],[VEHIDCODE]]</f>
        <v>item_mu_Coach_Gen3_UIC_X_Regional_Coach</v>
      </c>
      <c r="E752" t="str">
        <f>"str_"&amp;Table1[[#This Row],[VEHIDCODE]]</f>
        <v>str_mu_Coach_Gen3_UIC_X_Regional_Coach</v>
      </c>
      <c r="F752">
        <v>8</v>
      </c>
      <c r="G752" t="s">
        <v>326</v>
      </c>
      <c r="H752">
        <v>0</v>
      </c>
      <c r="I752" t="s">
        <v>35</v>
      </c>
      <c r="J752">
        <v>80</v>
      </c>
      <c r="K752">
        <v>1950</v>
      </c>
      <c r="L752">
        <v>8</v>
      </c>
      <c r="M752" s="2" t="s">
        <v>480</v>
      </c>
      <c r="N752" t="b">
        <v>1</v>
      </c>
      <c r="P752" s="2"/>
      <c r="Q752">
        <v>50</v>
      </c>
      <c r="R752">
        <v>1</v>
      </c>
      <c r="S752">
        <v>0</v>
      </c>
      <c r="T752" t="s">
        <v>712</v>
      </c>
      <c r="U752">
        <v>120</v>
      </c>
      <c r="V752" s="2">
        <v>0.3</v>
      </c>
      <c r="AE752" t="b">
        <v>1</v>
      </c>
      <c r="AZ752" s="2"/>
      <c r="BA752" s="7">
        <v>25</v>
      </c>
      <c r="BB752" t="s">
        <v>934</v>
      </c>
      <c r="BC752" t="s">
        <v>923</v>
      </c>
      <c r="BD752" t="s">
        <v>941</v>
      </c>
      <c r="BE752" t="str">
        <f>IF(OR(Table1[[#This Row],[ENGINE_CLASS]]="STEAM",Table1[[#This Row],[ENGINE_CLASS]]="ELECTRIC",Table1[[#This Row],[ENGINE_CLASS]]="DIESEL"),Table1[[#This Row],[ENGINE_CLASS]],"DISABLE")</f>
        <v>DIESEL</v>
      </c>
      <c r="BF752">
        <v>0</v>
      </c>
      <c r="BG752" t="s">
        <v>735</v>
      </c>
      <c r="BI752"/>
      <c r="BJ752">
        <v>35</v>
      </c>
      <c r="BK752">
        <v>0</v>
      </c>
      <c r="BL752" t="s">
        <v>693</v>
      </c>
      <c r="BM752" t="s">
        <v>695</v>
      </c>
      <c r="BN752" t="s">
        <v>702</v>
      </c>
      <c r="BO752" t="s">
        <v>706</v>
      </c>
      <c r="BP752" t="s">
        <v>707</v>
      </c>
      <c r="BQ752" t="s">
        <v>708</v>
      </c>
    </row>
    <row r="753" spans="1:69" x14ac:dyDescent="0.4">
      <c r="A753" s="2" t="s">
        <v>809</v>
      </c>
      <c r="B753" t="str">
        <f>_xlfn.TEXTAFTER(Table1[[#This Row],[VEHIDCODE]],"_")</f>
        <v>Coach_Gen3_Umbauwagen_Local_Coach</v>
      </c>
      <c r="C753" t="s">
        <v>758</v>
      </c>
      <c r="D753" t="str">
        <f>"item_"&amp;Table1[[#This Row],[VEHIDCODE]]</f>
        <v>item_mu_Coach_Gen3_Umbauwagen_Local_Coach</v>
      </c>
      <c r="E753" t="str">
        <f>"str_"&amp;Table1[[#This Row],[VEHIDCODE]]</f>
        <v>str_mu_Coach_Gen3_Umbauwagen_Local_Coach</v>
      </c>
      <c r="F753">
        <v>7</v>
      </c>
      <c r="G753" t="s">
        <v>326</v>
      </c>
      <c r="H753">
        <v>0</v>
      </c>
      <c r="I753" t="s">
        <v>35</v>
      </c>
      <c r="J753">
        <v>70</v>
      </c>
      <c r="K753">
        <v>1950</v>
      </c>
      <c r="L753">
        <v>7</v>
      </c>
      <c r="M753" s="2" t="s">
        <v>24</v>
      </c>
      <c r="N753" t="b">
        <v>1</v>
      </c>
      <c r="P753" s="2"/>
      <c r="Q753">
        <v>50</v>
      </c>
      <c r="R753">
        <v>1</v>
      </c>
      <c r="S753">
        <v>0</v>
      </c>
      <c r="T753" t="s">
        <v>712</v>
      </c>
      <c r="U753">
        <v>120</v>
      </c>
      <c r="V753" s="2">
        <v>0.3</v>
      </c>
      <c r="AE753" t="b">
        <v>1</v>
      </c>
      <c r="AZ753" s="2"/>
      <c r="BA753" s="7">
        <v>25</v>
      </c>
      <c r="BB753" t="s">
        <v>934</v>
      </c>
      <c r="BC753" t="s">
        <v>923</v>
      </c>
      <c r="BD753" t="s">
        <v>941</v>
      </c>
      <c r="BE753" t="str">
        <f>IF(OR(Table1[[#This Row],[ENGINE_CLASS]]="STEAM",Table1[[#This Row],[ENGINE_CLASS]]="ELECTRIC",Table1[[#This Row],[ENGINE_CLASS]]="DIESEL"),Table1[[#This Row],[ENGINE_CLASS]],"DISABLE")</f>
        <v>DIESEL</v>
      </c>
      <c r="BF753">
        <v>0</v>
      </c>
      <c r="BG753" t="s">
        <v>735</v>
      </c>
      <c r="BI753"/>
      <c r="BJ753">
        <v>29</v>
      </c>
      <c r="BK753">
        <v>0</v>
      </c>
      <c r="BL753" t="s">
        <v>693</v>
      </c>
      <c r="BM753" t="s">
        <v>695</v>
      </c>
      <c r="BN753" t="s">
        <v>702</v>
      </c>
      <c r="BO753" t="s">
        <v>706</v>
      </c>
      <c r="BP753" t="s">
        <v>707</v>
      </c>
      <c r="BQ753" t="s">
        <v>708</v>
      </c>
    </row>
    <row r="754" spans="1:69" x14ac:dyDescent="0.4">
      <c r="A754" s="2" t="s">
        <v>810</v>
      </c>
      <c r="B754" t="str">
        <f>_xlfn.TEXTAFTER(Table1[[#This Row],[VEHIDCODE]],"_")</f>
        <v>Coach_Gen3_Doppelstockwagen_Local_Coach</v>
      </c>
      <c r="C754" t="s">
        <v>758</v>
      </c>
      <c r="D754" t="str">
        <f>"item_"&amp;Table1[[#This Row],[VEHIDCODE]]</f>
        <v>item_mu_Coach_Gen3_Doppelstockwagen_Local_Coach</v>
      </c>
      <c r="E754" t="str">
        <f>"str_"&amp;Table1[[#This Row],[VEHIDCODE]]</f>
        <v>str_mu_Coach_Gen3_Doppelstockwagen_Local_Coach</v>
      </c>
      <c r="F754">
        <v>8</v>
      </c>
      <c r="G754" t="s">
        <v>326</v>
      </c>
      <c r="H754">
        <v>0</v>
      </c>
      <c r="I754" t="s">
        <v>35</v>
      </c>
      <c r="J754">
        <v>130</v>
      </c>
      <c r="K754">
        <v>1950</v>
      </c>
      <c r="L754">
        <v>8</v>
      </c>
      <c r="M754" s="2" t="s">
        <v>24</v>
      </c>
      <c r="N754" t="b">
        <v>1</v>
      </c>
      <c r="P754" s="2"/>
      <c r="Q754">
        <v>40</v>
      </c>
      <c r="R754">
        <v>1</v>
      </c>
      <c r="S754">
        <v>0</v>
      </c>
      <c r="T754" t="s">
        <v>712</v>
      </c>
      <c r="U754">
        <v>120</v>
      </c>
      <c r="V754" s="2">
        <v>0.3</v>
      </c>
      <c r="AE754" t="b">
        <v>1</v>
      </c>
      <c r="AZ754" s="2"/>
      <c r="BA754" s="7">
        <v>25</v>
      </c>
      <c r="BB754" t="s">
        <v>934</v>
      </c>
      <c r="BC754" t="s">
        <v>923</v>
      </c>
      <c r="BD754" t="s">
        <v>941</v>
      </c>
      <c r="BE754" t="str">
        <f>IF(OR(Table1[[#This Row],[ENGINE_CLASS]]="STEAM",Table1[[#This Row],[ENGINE_CLASS]]="ELECTRIC",Table1[[#This Row],[ENGINE_CLASS]]="DIESEL"),Table1[[#This Row],[ENGINE_CLASS]],"DISABLE")</f>
        <v>DIESEL</v>
      </c>
      <c r="BF754">
        <v>0</v>
      </c>
      <c r="BG754" t="s">
        <v>735</v>
      </c>
      <c r="BI754"/>
      <c r="BJ754">
        <v>45</v>
      </c>
      <c r="BK754">
        <v>0</v>
      </c>
      <c r="BL754" t="s">
        <v>693</v>
      </c>
      <c r="BM754" t="s">
        <v>695</v>
      </c>
      <c r="BN754" t="s">
        <v>702</v>
      </c>
      <c r="BO754" t="s">
        <v>706</v>
      </c>
      <c r="BP754" t="s">
        <v>707</v>
      </c>
      <c r="BQ754" t="s">
        <v>708</v>
      </c>
    </row>
    <row r="755" spans="1:69" x14ac:dyDescent="0.4">
      <c r="A755" s="2" t="s">
        <v>811</v>
      </c>
      <c r="B755" t="str">
        <f>_xlfn.TEXTAFTER(Table1[[#This Row],[VEHIDCODE]],"_")</f>
        <v>Coach_Gen3_UIC_X_Mail_Coach</v>
      </c>
      <c r="C755" t="s">
        <v>758</v>
      </c>
      <c r="D755" t="str">
        <f>"item_"&amp;Table1[[#This Row],[VEHIDCODE]]</f>
        <v>item_mu_Coach_Gen3_UIC_X_Mail_Coach</v>
      </c>
      <c r="E755" t="str">
        <f>"str_"&amp;Table1[[#This Row],[VEHIDCODE]]</f>
        <v>str_mu_Coach_Gen3_UIC_X_Mail_Coach</v>
      </c>
      <c r="F755">
        <v>8</v>
      </c>
      <c r="G755" t="s">
        <v>674</v>
      </c>
      <c r="H755">
        <v>0</v>
      </c>
      <c r="I755" t="s">
        <v>35</v>
      </c>
      <c r="J755">
        <v>96</v>
      </c>
      <c r="K755">
        <v>1950</v>
      </c>
      <c r="L755">
        <v>8</v>
      </c>
      <c r="M755" s="2" t="s">
        <v>675</v>
      </c>
      <c r="N755" t="b">
        <v>1</v>
      </c>
      <c r="P755" s="2"/>
      <c r="Q755">
        <v>50</v>
      </c>
      <c r="R755">
        <v>1</v>
      </c>
      <c r="S755">
        <v>0</v>
      </c>
      <c r="T755" t="s">
        <v>712</v>
      </c>
      <c r="U755">
        <v>140</v>
      </c>
      <c r="V755" s="2">
        <v>0.3</v>
      </c>
      <c r="AE755" t="b">
        <v>1</v>
      </c>
      <c r="AZ755" s="2"/>
      <c r="BA755" s="7">
        <v>25</v>
      </c>
      <c r="BB755" t="s">
        <v>934</v>
      </c>
      <c r="BC755" t="s">
        <v>923</v>
      </c>
      <c r="BD755" t="s">
        <v>941</v>
      </c>
      <c r="BE755" t="str">
        <f>IF(OR(Table1[[#This Row],[ENGINE_CLASS]]="STEAM",Table1[[#This Row],[ENGINE_CLASS]]="ELECTRIC",Table1[[#This Row],[ENGINE_CLASS]]="DIESEL"),Table1[[#This Row],[ENGINE_CLASS]],"DISABLE")</f>
        <v>DIESEL</v>
      </c>
      <c r="BF755">
        <v>0</v>
      </c>
      <c r="BG755" t="s">
        <v>735</v>
      </c>
      <c r="BI755"/>
      <c r="BJ755">
        <v>34</v>
      </c>
      <c r="BK755">
        <v>0</v>
      </c>
      <c r="BL755" t="s">
        <v>693</v>
      </c>
      <c r="BM755" t="s">
        <v>695</v>
      </c>
      <c r="BN755" t="s">
        <v>702</v>
      </c>
      <c r="BO755" t="s">
        <v>706</v>
      </c>
      <c r="BP755" t="s">
        <v>707</v>
      </c>
      <c r="BQ755" t="s">
        <v>708</v>
      </c>
    </row>
    <row r="756" spans="1:69" x14ac:dyDescent="0.4">
      <c r="A756" s="2" t="s">
        <v>812</v>
      </c>
      <c r="B756" t="str">
        <f>_xlfn.TEXTAFTER(Table1[[#This Row],[VEHIDCODE]],"_")</f>
        <v>Coach_Gen3_Indian_Intercity_Coach</v>
      </c>
      <c r="C756" t="s">
        <v>758</v>
      </c>
      <c r="D756" t="str">
        <f>"item_"&amp;Table1[[#This Row],[VEHIDCODE]]</f>
        <v>item_mu_Coach_Gen3_Indian_Intercity_Coach</v>
      </c>
      <c r="E756" t="str">
        <f>"str_"&amp;Table1[[#This Row],[VEHIDCODE]]</f>
        <v>str_mu_Coach_Gen3_Indian_Intercity_Coach</v>
      </c>
      <c r="F756">
        <v>8</v>
      </c>
      <c r="G756" t="s">
        <v>326</v>
      </c>
      <c r="H756">
        <v>0</v>
      </c>
      <c r="I756" t="s">
        <v>35</v>
      </c>
      <c r="J756">
        <v>64</v>
      </c>
      <c r="K756">
        <v>1950</v>
      </c>
      <c r="L756">
        <v>8</v>
      </c>
      <c r="M756" s="2" t="s">
        <v>480</v>
      </c>
      <c r="N756" t="b">
        <v>1</v>
      </c>
      <c r="P756" s="2"/>
      <c r="Q756">
        <v>60</v>
      </c>
      <c r="R756">
        <v>1</v>
      </c>
      <c r="S756">
        <v>0</v>
      </c>
      <c r="T756" t="s">
        <v>712</v>
      </c>
      <c r="U756">
        <v>140</v>
      </c>
      <c r="V756" s="2">
        <v>0.3</v>
      </c>
      <c r="AE756" t="b">
        <v>1</v>
      </c>
      <c r="AZ756" s="2"/>
      <c r="BA756" s="7">
        <v>25</v>
      </c>
      <c r="BB756" t="s">
        <v>932</v>
      </c>
      <c r="BC756" t="s">
        <v>923</v>
      </c>
      <c r="BD756" t="s">
        <v>941</v>
      </c>
      <c r="BE756" t="str">
        <f>IF(OR(Table1[[#This Row],[ENGINE_CLASS]]="STEAM",Table1[[#This Row],[ENGINE_CLASS]]="ELECTRIC",Table1[[#This Row],[ENGINE_CLASS]]="DIESEL"),Table1[[#This Row],[ENGINE_CLASS]],"DISABLE")</f>
        <v>DIESEL</v>
      </c>
      <c r="BF756">
        <v>0</v>
      </c>
      <c r="BG756" t="s">
        <v>735</v>
      </c>
      <c r="BI756"/>
      <c r="BJ756">
        <v>38</v>
      </c>
      <c r="BK756">
        <v>0</v>
      </c>
      <c r="BL756" t="s">
        <v>693</v>
      </c>
      <c r="BM756" t="s">
        <v>695</v>
      </c>
      <c r="BN756" t="s">
        <v>702</v>
      </c>
      <c r="BO756" t="s">
        <v>706</v>
      </c>
      <c r="BP756" t="s">
        <v>707</v>
      </c>
      <c r="BQ756" t="s">
        <v>708</v>
      </c>
    </row>
    <row r="757" spans="1:69" x14ac:dyDescent="0.4">
      <c r="A757" s="2" t="s">
        <v>813</v>
      </c>
      <c r="B757" t="str">
        <f>_xlfn.TEXTAFTER(Table1[[#This Row],[VEHIDCODE]],"_")</f>
        <v>Coach_Gen3_Indian_Local_Coach</v>
      </c>
      <c r="C757" t="s">
        <v>758</v>
      </c>
      <c r="D757" t="str">
        <f>"item_"&amp;Table1[[#This Row],[VEHIDCODE]]</f>
        <v>item_mu_Coach_Gen3_Indian_Local_Coach</v>
      </c>
      <c r="E757" t="str">
        <f>"str_"&amp;Table1[[#This Row],[VEHIDCODE]]</f>
        <v>str_mu_Coach_Gen3_Indian_Local_Coach</v>
      </c>
      <c r="F757">
        <v>8</v>
      </c>
      <c r="G757" t="s">
        <v>326</v>
      </c>
      <c r="H757">
        <v>0</v>
      </c>
      <c r="I757" t="s">
        <v>35</v>
      </c>
      <c r="J757">
        <v>100</v>
      </c>
      <c r="K757">
        <v>1950</v>
      </c>
      <c r="L757">
        <v>8</v>
      </c>
      <c r="M757" s="2" t="s">
        <v>24</v>
      </c>
      <c r="N757" t="b">
        <v>1</v>
      </c>
      <c r="P757" s="2"/>
      <c r="Q757">
        <v>60</v>
      </c>
      <c r="R757">
        <v>1</v>
      </c>
      <c r="S757">
        <v>0</v>
      </c>
      <c r="T757" t="s">
        <v>712</v>
      </c>
      <c r="U757">
        <v>80</v>
      </c>
      <c r="V757" s="2">
        <v>0.3</v>
      </c>
      <c r="AE757" t="b">
        <v>1</v>
      </c>
      <c r="AZ757" s="2"/>
      <c r="BA757" s="7">
        <v>25</v>
      </c>
      <c r="BB757" t="s">
        <v>932</v>
      </c>
      <c r="BC757" t="s">
        <v>923</v>
      </c>
      <c r="BD757" t="s">
        <v>941</v>
      </c>
      <c r="BE757" t="str">
        <f>IF(OR(Table1[[#This Row],[ENGINE_CLASS]]="STEAM",Table1[[#This Row],[ENGINE_CLASS]]="ELECTRIC",Table1[[#This Row],[ENGINE_CLASS]]="DIESEL"),Table1[[#This Row],[ENGINE_CLASS]],"DISABLE")</f>
        <v>DIESEL</v>
      </c>
      <c r="BF757">
        <v>0</v>
      </c>
      <c r="BG757" t="s">
        <v>735</v>
      </c>
      <c r="BI757"/>
      <c r="BJ757">
        <v>38</v>
      </c>
      <c r="BK757">
        <v>0</v>
      </c>
      <c r="BL757" t="s">
        <v>693</v>
      </c>
      <c r="BM757" t="s">
        <v>695</v>
      </c>
      <c r="BN757" t="s">
        <v>702</v>
      </c>
      <c r="BO757" t="s">
        <v>706</v>
      </c>
      <c r="BP757" t="s">
        <v>707</v>
      </c>
      <c r="BQ757" t="s">
        <v>708</v>
      </c>
    </row>
    <row r="758" spans="1:69" x14ac:dyDescent="0.4">
      <c r="A758" s="2" t="s">
        <v>814</v>
      </c>
      <c r="B758" t="str">
        <f>_xlfn.TEXTAFTER(Table1[[#This Row],[VEHIDCODE]],"_")</f>
        <v>Coach_Gen3_Indian_Regional_Coach</v>
      </c>
      <c r="C758" t="s">
        <v>758</v>
      </c>
      <c r="D758" t="str">
        <f>"item_"&amp;Table1[[#This Row],[VEHIDCODE]]</f>
        <v>item_mu_Coach_Gen3_Indian_Regional_Coach</v>
      </c>
      <c r="E758" t="str">
        <f>"str_"&amp;Table1[[#This Row],[VEHIDCODE]]</f>
        <v>str_mu_Coach_Gen3_Indian_Regional_Coach</v>
      </c>
      <c r="F758">
        <v>8</v>
      </c>
      <c r="G758" t="s">
        <v>326</v>
      </c>
      <c r="H758">
        <v>0</v>
      </c>
      <c r="I758" t="s">
        <v>35</v>
      </c>
      <c r="J758">
        <v>80</v>
      </c>
      <c r="K758">
        <v>1950</v>
      </c>
      <c r="L758">
        <v>8</v>
      </c>
      <c r="M758" s="2" t="s">
        <v>480</v>
      </c>
      <c r="N758" t="b">
        <v>1</v>
      </c>
      <c r="P758" s="2"/>
      <c r="Q758">
        <v>60</v>
      </c>
      <c r="R758">
        <v>1</v>
      </c>
      <c r="S758">
        <v>0</v>
      </c>
      <c r="T758" t="s">
        <v>712</v>
      </c>
      <c r="U758">
        <v>110</v>
      </c>
      <c r="V758" s="2">
        <v>0.3</v>
      </c>
      <c r="AE758" t="b">
        <v>1</v>
      </c>
      <c r="AZ758" s="2"/>
      <c r="BA758" s="7">
        <v>25</v>
      </c>
      <c r="BB758" t="s">
        <v>932</v>
      </c>
      <c r="BC758" t="s">
        <v>923</v>
      </c>
      <c r="BD758" t="s">
        <v>941</v>
      </c>
      <c r="BE758" t="str">
        <f>IF(OR(Table1[[#This Row],[ENGINE_CLASS]]="STEAM",Table1[[#This Row],[ENGINE_CLASS]]="ELECTRIC",Table1[[#This Row],[ENGINE_CLASS]]="DIESEL"),Table1[[#This Row],[ENGINE_CLASS]],"DISABLE")</f>
        <v>DIESEL</v>
      </c>
      <c r="BF758">
        <v>0</v>
      </c>
      <c r="BG758" t="s">
        <v>735</v>
      </c>
      <c r="BI758"/>
      <c r="BJ758">
        <v>38</v>
      </c>
      <c r="BK758">
        <v>0</v>
      </c>
      <c r="BL758" t="s">
        <v>693</v>
      </c>
      <c r="BM758" t="s">
        <v>695</v>
      </c>
      <c r="BN758" t="s">
        <v>702</v>
      </c>
      <c r="BO758" t="s">
        <v>706</v>
      </c>
      <c r="BP758" t="s">
        <v>707</v>
      </c>
      <c r="BQ758" t="s">
        <v>708</v>
      </c>
    </row>
    <row r="759" spans="1:69" x14ac:dyDescent="0.4">
      <c r="A759" s="2" t="s">
        <v>815</v>
      </c>
      <c r="B759" t="str">
        <f>_xlfn.TEXTAFTER(Table1[[#This Row],[VEHIDCODE]],"_")</f>
        <v>Coach_Gen3_Indian_Mail_Coach</v>
      </c>
      <c r="C759" t="s">
        <v>758</v>
      </c>
      <c r="D759" t="str">
        <f>"item_"&amp;Table1[[#This Row],[VEHIDCODE]]</f>
        <v>item_mu_Coach_Gen3_Indian_Mail_Coach</v>
      </c>
      <c r="E759" t="str">
        <f>"str_"&amp;Table1[[#This Row],[VEHIDCODE]]</f>
        <v>str_mu_Coach_Gen3_Indian_Mail_Coach</v>
      </c>
      <c r="F759">
        <v>8</v>
      </c>
      <c r="G759" t="s">
        <v>674</v>
      </c>
      <c r="H759">
        <v>0</v>
      </c>
      <c r="I759" t="s">
        <v>35</v>
      </c>
      <c r="J759">
        <v>60</v>
      </c>
      <c r="K759">
        <v>1950</v>
      </c>
      <c r="L759">
        <v>8</v>
      </c>
      <c r="M759" s="2" t="s">
        <v>675</v>
      </c>
      <c r="N759" t="b">
        <v>1</v>
      </c>
      <c r="P759" s="2"/>
      <c r="Q759">
        <v>60</v>
      </c>
      <c r="R759">
        <v>1</v>
      </c>
      <c r="S759">
        <v>0</v>
      </c>
      <c r="T759" t="s">
        <v>712</v>
      </c>
      <c r="U759">
        <v>140</v>
      </c>
      <c r="V759" s="2">
        <v>0.3</v>
      </c>
      <c r="AE759" t="b">
        <v>1</v>
      </c>
      <c r="AZ759" s="2"/>
      <c r="BA759" s="7">
        <v>25</v>
      </c>
      <c r="BB759" t="s">
        <v>932</v>
      </c>
      <c r="BC759" t="s">
        <v>923</v>
      </c>
      <c r="BD759" t="s">
        <v>941</v>
      </c>
      <c r="BE759" t="str">
        <f>IF(OR(Table1[[#This Row],[ENGINE_CLASS]]="STEAM",Table1[[#This Row],[ENGINE_CLASS]]="ELECTRIC",Table1[[#This Row],[ENGINE_CLASS]]="DIESEL"),Table1[[#This Row],[ENGINE_CLASS]],"DISABLE")</f>
        <v>DIESEL</v>
      </c>
      <c r="BF759">
        <v>0</v>
      </c>
      <c r="BG759" t="s">
        <v>735</v>
      </c>
      <c r="BI759"/>
      <c r="BJ759">
        <v>36</v>
      </c>
      <c r="BK759">
        <v>0</v>
      </c>
      <c r="BL759" t="s">
        <v>693</v>
      </c>
      <c r="BM759" t="s">
        <v>695</v>
      </c>
      <c r="BN759" t="s">
        <v>702</v>
      </c>
      <c r="BO759" t="s">
        <v>706</v>
      </c>
      <c r="BP759" t="s">
        <v>707</v>
      </c>
      <c r="BQ759" t="s">
        <v>708</v>
      </c>
    </row>
    <row r="760" spans="1:69" x14ac:dyDescent="0.4">
      <c r="A760" s="2" t="s">
        <v>816</v>
      </c>
      <c r="B760" t="str">
        <f>_xlfn.TEXTAFTER(Table1[[#This Row],[VEHIDCODE]],"_")</f>
        <v>Coach_Gen4_Eurofima_Intercity_Coach</v>
      </c>
      <c r="C760" t="s">
        <v>759</v>
      </c>
      <c r="D760" t="str">
        <f>"item_"&amp;Table1[[#This Row],[VEHIDCODE]]</f>
        <v>item_mu_Coach_Gen4_Eurofima_Intercity_Coach</v>
      </c>
      <c r="E760" t="str">
        <f>"str_"&amp;Table1[[#This Row],[VEHIDCODE]]</f>
        <v>str_mu_Coach_Gen4_Eurofima_Intercity_Coach</v>
      </c>
      <c r="F760">
        <v>8</v>
      </c>
      <c r="G760" t="s">
        <v>326</v>
      </c>
      <c r="H760">
        <v>0</v>
      </c>
      <c r="I760" t="s">
        <v>35</v>
      </c>
      <c r="J760">
        <v>60</v>
      </c>
      <c r="K760">
        <v>1970</v>
      </c>
      <c r="L760">
        <v>8</v>
      </c>
      <c r="M760" s="2" t="s">
        <v>480</v>
      </c>
      <c r="N760" t="b">
        <v>1</v>
      </c>
      <c r="P760" s="2"/>
      <c r="Q760">
        <v>50</v>
      </c>
      <c r="R760">
        <v>1</v>
      </c>
      <c r="S760">
        <v>0</v>
      </c>
      <c r="T760" t="s">
        <v>712</v>
      </c>
      <c r="U760">
        <v>200</v>
      </c>
      <c r="V760" s="2">
        <v>0.3</v>
      </c>
      <c r="AE760" t="b">
        <v>1</v>
      </c>
      <c r="AZ760" s="2"/>
      <c r="BA760" s="7">
        <v>25</v>
      </c>
      <c r="BB760" t="s">
        <v>934</v>
      </c>
      <c r="BC760" t="s">
        <v>923</v>
      </c>
      <c r="BD760" t="s">
        <v>941</v>
      </c>
      <c r="BE760" t="str">
        <f>IF(OR(Table1[[#This Row],[ENGINE_CLASS]]="STEAM",Table1[[#This Row],[ENGINE_CLASS]]="ELECTRIC",Table1[[#This Row],[ENGINE_CLASS]]="DIESEL"),Table1[[#This Row],[ENGINE_CLASS]],"DISABLE")</f>
        <v>DIESEL</v>
      </c>
      <c r="BF760">
        <v>0</v>
      </c>
      <c r="BG760" t="s">
        <v>735</v>
      </c>
      <c r="BI760"/>
      <c r="BJ760">
        <v>42</v>
      </c>
      <c r="BK760">
        <v>0</v>
      </c>
      <c r="BL760" t="s">
        <v>693</v>
      </c>
      <c r="BM760" t="s">
        <v>695</v>
      </c>
      <c r="BN760" t="s">
        <v>702</v>
      </c>
      <c r="BO760" t="s">
        <v>706</v>
      </c>
      <c r="BP760" t="s">
        <v>707</v>
      </c>
      <c r="BQ760" t="s">
        <v>708</v>
      </c>
    </row>
    <row r="761" spans="1:69" x14ac:dyDescent="0.4">
      <c r="A761" s="2" t="s">
        <v>817</v>
      </c>
      <c r="B761" t="str">
        <f>_xlfn.TEXTAFTER(Table1[[#This Row],[VEHIDCODE]],"_")</f>
        <v>Coach_Gen4_InterRegio_Coach</v>
      </c>
      <c r="C761" t="s">
        <v>759</v>
      </c>
      <c r="D761" t="str">
        <f>"item_"&amp;Table1[[#This Row],[VEHIDCODE]]</f>
        <v>item_mu_Coach_Gen4_InterRegio_Coach</v>
      </c>
      <c r="E761" t="str">
        <f>"str_"&amp;Table1[[#This Row],[VEHIDCODE]]</f>
        <v>str_mu_Coach_Gen4_InterRegio_Coach</v>
      </c>
      <c r="F761">
        <v>8</v>
      </c>
      <c r="G761" t="s">
        <v>326</v>
      </c>
      <c r="H761">
        <v>0</v>
      </c>
      <c r="I761" t="s">
        <v>35</v>
      </c>
      <c r="J761">
        <v>60</v>
      </c>
      <c r="K761">
        <v>1970</v>
      </c>
      <c r="L761">
        <v>8</v>
      </c>
      <c r="M761" s="2" t="s">
        <v>480</v>
      </c>
      <c r="N761" t="b">
        <v>1</v>
      </c>
      <c r="P761" s="2"/>
      <c r="Q761">
        <v>50</v>
      </c>
      <c r="R761">
        <v>1</v>
      </c>
      <c r="S761">
        <v>0</v>
      </c>
      <c r="T761" t="s">
        <v>712</v>
      </c>
      <c r="U761">
        <v>200</v>
      </c>
      <c r="V761" s="2">
        <v>0.3</v>
      </c>
      <c r="AE761" t="b">
        <v>1</v>
      </c>
      <c r="AZ761" s="2"/>
      <c r="BA761" s="7">
        <v>25</v>
      </c>
      <c r="BB761" t="s">
        <v>934</v>
      </c>
      <c r="BC761" t="s">
        <v>923</v>
      </c>
      <c r="BD761" t="s">
        <v>941</v>
      </c>
      <c r="BE761" t="str">
        <f>IF(OR(Table1[[#This Row],[ENGINE_CLASS]]="STEAM",Table1[[#This Row],[ENGINE_CLASS]]="ELECTRIC",Table1[[#This Row],[ENGINE_CLASS]]="DIESEL"),Table1[[#This Row],[ENGINE_CLASS]],"DISABLE")</f>
        <v>DIESEL</v>
      </c>
      <c r="BF761">
        <v>0</v>
      </c>
      <c r="BG761" t="s">
        <v>735</v>
      </c>
      <c r="BI761"/>
      <c r="BJ761">
        <v>42</v>
      </c>
      <c r="BK761">
        <v>0</v>
      </c>
      <c r="BL761" t="s">
        <v>693</v>
      </c>
      <c r="BM761" t="s">
        <v>695</v>
      </c>
      <c r="BN761" t="s">
        <v>702</v>
      </c>
      <c r="BO761" t="s">
        <v>706</v>
      </c>
      <c r="BP761" t="s">
        <v>707</v>
      </c>
      <c r="BQ761" t="s">
        <v>708</v>
      </c>
    </row>
    <row r="762" spans="1:69" x14ac:dyDescent="0.4">
      <c r="A762" s="2" t="s">
        <v>818</v>
      </c>
      <c r="B762" t="str">
        <f>_xlfn.TEXTAFTER(Table1[[#This Row],[VEHIDCODE]],"_")</f>
        <v>Coach_Gen4_Silberling_Commuter_Coach</v>
      </c>
      <c r="C762" t="s">
        <v>759</v>
      </c>
      <c r="D762" t="str">
        <f>"item_"&amp;Table1[[#This Row],[VEHIDCODE]]</f>
        <v>item_mu_Coach_Gen4_Silberling_Commuter_Coach</v>
      </c>
      <c r="E762" t="str">
        <f>"str_"&amp;Table1[[#This Row],[VEHIDCODE]]</f>
        <v>str_mu_Coach_Gen4_Silberling_Commuter_Coach</v>
      </c>
      <c r="F762">
        <v>8</v>
      </c>
      <c r="G762" t="s">
        <v>326</v>
      </c>
      <c r="H762">
        <v>0</v>
      </c>
      <c r="I762" t="s">
        <v>35</v>
      </c>
      <c r="J762">
        <v>90</v>
      </c>
      <c r="K762">
        <v>1960</v>
      </c>
      <c r="L762">
        <v>8</v>
      </c>
      <c r="M762" s="2" t="s">
        <v>24</v>
      </c>
      <c r="N762" t="b">
        <v>1</v>
      </c>
      <c r="P762" s="2"/>
      <c r="Q762">
        <v>50</v>
      </c>
      <c r="R762">
        <v>1</v>
      </c>
      <c r="S762">
        <v>0</v>
      </c>
      <c r="T762" t="s">
        <v>712</v>
      </c>
      <c r="U762">
        <v>140</v>
      </c>
      <c r="V762" s="2">
        <v>0.3</v>
      </c>
      <c r="AE762" t="b">
        <v>1</v>
      </c>
      <c r="AZ762" s="2"/>
      <c r="BA762" s="7">
        <v>25</v>
      </c>
      <c r="BB762" t="s">
        <v>934</v>
      </c>
      <c r="BC762" t="s">
        <v>923</v>
      </c>
      <c r="BD762" t="s">
        <v>941</v>
      </c>
      <c r="BE762" t="str">
        <f>IF(OR(Table1[[#This Row],[ENGINE_CLASS]]="STEAM",Table1[[#This Row],[ENGINE_CLASS]]="ELECTRIC",Table1[[#This Row],[ENGINE_CLASS]]="DIESEL"),Table1[[#This Row],[ENGINE_CLASS]],"DISABLE")</f>
        <v>DIESEL</v>
      </c>
      <c r="BF762">
        <v>0</v>
      </c>
      <c r="BG762" t="s">
        <v>735</v>
      </c>
      <c r="BI762"/>
      <c r="BJ762">
        <v>28</v>
      </c>
      <c r="BK762">
        <v>0</v>
      </c>
      <c r="BL762" t="s">
        <v>693</v>
      </c>
      <c r="BM762" t="s">
        <v>695</v>
      </c>
      <c r="BN762" t="s">
        <v>702</v>
      </c>
      <c r="BO762" t="s">
        <v>706</v>
      </c>
      <c r="BP762" t="s">
        <v>707</v>
      </c>
      <c r="BQ762" t="s">
        <v>708</v>
      </c>
    </row>
    <row r="763" spans="1:69" x14ac:dyDescent="0.4">
      <c r="A763" s="2" t="s">
        <v>819</v>
      </c>
      <c r="B763" t="str">
        <f>_xlfn.TEXTAFTER(Table1[[#This Row],[VEHIDCODE]],"_")</f>
        <v>Coach_Gen4_Eurofima_Mail_Coach</v>
      </c>
      <c r="C763" t="s">
        <v>759</v>
      </c>
      <c r="D763" t="str">
        <f>"item_"&amp;Table1[[#This Row],[VEHIDCODE]]</f>
        <v>item_mu_Coach_Gen4_Eurofima_Mail_Coach</v>
      </c>
      <c r="E763" t="str">
        <f>"str_"&amp;Table1[[#This Row],[VEHIDCODE]]</f>
        <v>str_mu_Coach_Gen4_Eurofima_Mail_Coach</v>
      </c>
      <c r="F763">
        <v>8</v>
      </c>
      <c r="G763" t="s">
        <v>674</v>
      </c>
      <c r="H763">
        <v>0</v>
      </c>
      <c r="I763" t="s">
        <v>35</v>
      </c>
      <c r="J763">
        <v>75</v>
      </c>
      <c r="K763">
        <v>1970</v>
      </c>
      <c r="L763">
        <v>8</v>
      </c>
      <c r="M763" s="2" t="s">
        <v>675</v>
      </c>
      <c r="N763" t="b">
        <v>1</v>
      </c>
      <c r="P763" s="2"/>
      <c r="Q763">
        <v>50</v>
      </c>
      <c r="R763">
        <v>1</v>
      </c>
      <c r="S763">
        <v>0</v>
      </c>
      <c r="T763" t="s">
        <v>712</v>
      </c>
      <c r="U763">
        <v>200</v>
      </c>
      <c r="V763" s="2">
        <v>0.3</v>
      </c>
      <c r="AE763" t="b">
        <v>1</v>
      </c>
      <c r="AZ763" s="2"/>
      <c r="BA763" s="7">
        <v>25</v>
      </c>
      <c r="BB763" t="s">
        <v>934</v>
      </c>
      <c r="BC763" t="s">
        <v>923</v>
      </c>
      <c r="BD763" t="s">
        <v>941</v>
      </c>
      <c r="BE763" t="str">
        <f>IF(OR(Table1[[#This Row],[ENGINE_CLASS]]="STEAM",Table1[[#This Row],[ENGINE_CLASS]]="ELECTRIC",Table1[[#This Row],[ENGINE_CLASS]]="DIESEL"),Table1[[#This Row],[ENGINE_CLASS]],"DISABLE")</f>
        <v>DIESEL</v>
      </c>
      <c r="BF763">
        <v>0</v>
      </c>
      <c r="BG763" t="s">
        <v>735</v>
      </c>
      <c r="BI763"/>
      <c r="BJ763">
        <v>42</v>
      </c>
      <c r="BK763">
        <v>0</v>
      </c>
      <c r="BL763" t="s">
        <v>693</v>
      </c>
      <c r="BM763" t="s">
        <v>695</v>
      </c>
      <c r="BN763" t="s">
        <v>702</v>
      </c>
      <c r="BO763" t="s">
        <v>706</v>
      </c>
      <c r="BP763" t="s">
        <v>707</v>
      </c>
      <c r="BQ763" t="s">
        <v>708</v>
      </c>
    </row>
    <row r="764" spans="1:69" x14ac:dyDescent="0.4">
      <c r="A764" s="2" t="s">
        <v>820</v>
      </c>
      <c r="B764" t="str">
        <f>_xlfn.TEXTAFTER(Table1[[#This Row],[VEHIDCODE]],"_")</f>
        <v>Coach_Gen4_Double_Decker_Coach</v>
      </c>
      <c r="C764" t="s">
        <v>759</v>
      </c>
      <c r="D764" t="str">
        <f>"item_"&amp;Table1[[#This Row],[VEHIDCODE]]</f>
        <v>item_mu_Coach_Gen4_Double_Decker_Coach</v>
      </c>
      <c r="E764" t="str">
        <f>"str_"&amp;Table1[[#This Row],[VEHIDCODE]]</f>
        <v>str_mu_Coach_Gen4_Double_Decker_Coach</v>
      </c>
      <c r="F764">
        <v>8</v>
      </c>
      <c r="G764" t="s">
        <v>326</v>
      </c>
      <c r="H764">
        <v>0</v>
      </c>
      <c r="I764" t="s">
        <v>35</v>
      </c>
      <c r="J764">
        <v>150</v>
      </c>
      <c r="K764">
        <v>1970</v>
      </c>
      <c r="L764">
        <v>8</v>
      </c>
      <c r="M764" s="2" t="s">
        <v>480</v>
      </c>
      <c r="N764" t="b">
        <v>1</v>
      </c>
      <c r="P764" s="2"/>
      <c r="Q764">
        <v>50</v>
      </c>
      <c r="R764">
        <v>1</v>
      </c>
      <c r="S764">
        <v>0</v>
      </c>
      <c r="T764" t="s">
        <v>712</v>
      </c>
      <c r="U764">
        <v>140</v>
      </c>
      <c r="V764" s="2">
        <v>0.3</v>
      </c>
      <c r="AE764" t="b">
        <v>1</v>
      </c>
      <c r="AZ764" s="2"/>
      <c r="BA764" s="7">
        <v>25</v>
      </c>
      <c r="BB764" t="s">
        <v>932</v>
      </c>
      <c r="BC764" t="s">
        <v>933</v>
      </c>
      <c r="BD764" t="s">
        <v>941</v>
      </c>
      <c r="BE764" t="str">
        <f>IF(OR(Table1[[#This Row],[ENGINE_CLASS]]="STEAM",Table1[[#This Row],[ENGINE_CLASS]]="ELECTRIC",Table1[[#This Row],[ENGINE_CLASS]]="DIESEL"),Table1[[#This Row],[ENGINE_CLASS]],"DISABLE")</f>
        <v>DIESEL</v>
      </c>
      <c r="BF764">
        <v>0</v>
      </c>
      <c r="BG764" t="s">
        <v>735</v>
      </c>
      <c r="BI764"/>
      <c r="BJ764">
        <v>48</v>
      </c>
      <c r="BK764">
        <v>0</v>
      </c>
      <c r="BL764" t="s">
        <v>693</v>
      </c>
      <c r="BM764" t="s">
        <v>695</v>
      </c>
      <c r="BN764" t="s">
        <v>702</v>
      </c>
      <c r="BO764" t="s">
        <v>706</v>
      </c>
      <c r="BP764" t="s">
        <v>707</v>
      </c>
      <c r="BQ764" t="s">
        <v>708</v>
      </c>
    </row>
    <row r="765" spans="1:69" x14ac:dyDescent="0.4">
      <c r="A765" s="2" t="s">
        <v>821</v>
      </c>
      <c r="B765" t="str">
        <f>_xlfn.TEXTAFTER(Table1[[#This Row],[VEHIDCODE]],"_")</f>
        <v>Coach_Gen4_Russian_Intercity_Coach</v>
      </c>
      <c r="C765" t="s">
        <v>759</v>
      </c>
      <c r="D765" t="str">
        <f>"item_"&amp;Table1[[#This Row],[VEHIDCODE]]</f>
        <v>item_mu_Coach_Gen4_Russian_Intercity_Coach</v>
      </c>
      <c r="E765" t="str">
        <f>"str_"&amp;Table1[[#This Row],[VEHIDCODE]]</f>
        <v>str_mu_Coach_Gen4_Russian_Intercity_Coach</v>
      </c>
      <c r="F765">
        <v>8</v>
      </c>
      <c r="G765" t="s">
        <v>326</v>
      </c>
      <c r="H765">
        <v>0</v>
      </c>
      <c r="I765" t="s">
        <v>35</v>
      </c>
      <c r="J765">
        <v>55</v>
      </c>
      <c r="K765">
        <v>1960</v>
      </c>
      <c r="L765">
        <v>8</v>
      </c>
      <c r="M765" s="2" t="s">
        <v>480</v>
      </c>
      <c r="N765" t="b">
        <v>1</v>
      </c>
      <c r="P765" s="2"/>
      <c r="Q765">
        <v>50</v>
      </c>
      <c r="R765">
        <v>1</v>
      </c>
      <c r="S765">
        <v>0</v>
      </c>
      <c r="T765" t="s">
        <v>712</v>
      </c>
      <c r="U765">
        <v>140</v>
      </c>
      <c r="V765" s="2">
        <v>0.3</v>
      </c>
      <c r="AE765" t="b">
        <v>1</v>
      </c>
      <c r="AZ765" s="2"/>
      <c r="BA765" s="7">
        <v>25</v>
      </c>
      <c r="BB765" t="s">
        <v>932</v>
      </c>
      <c r="BC765" t="s">
        <v>933</v>
      </c>
      <c r="BD765" t="s">
        <v>941</v>
      </c>
      <c r="BE765" t="str">
        <f>IF(OR(Table1[[#This Row],[ENGINE_CLASS]]="STEAM",Table1[[#This Row],[ENGINE_CLASS]]="ELECTRIC",Table1[[#This Row],[ENGINE_CLASS]]="DIESEL"),Table1[[#This Row],[ENGINE_CLASS]],"DISABLE")</f>
        <v>DIESEL</v>
      </c>
      <c r="BF765">
        <v>0</v>
      </c>
      <c r="BG765" t="s">
        <v>735</v>
      </c>
      <c r="BI765"/>
      <c r="BJ765">
        <v>55</v>
      </c>
      <c r="BK765">
        <v>0</v>
      </c>
      <c r="BL765" t="s">
        <v>693</v>
      </c>
      <c r="BM765" t="s">
        <v>695</v>
      </c>
      <c r="BN765" t="s">
        <v>702</v>
      </c>
      <c r="BO765" t="s">
        <v>706</v>
      </c>
      <c r="BP765" t="s">
        <v>707</v>
      </c>
      <c r="BQ765" t="s">
        <v>708</v>
      </c>
    </row>
    <row r="766" spans="1:69" x14ac:dyDescent="0.4">
      <c r="A766" s="2" t="s">
        <v>822</v>
      </c>
      <c r="B766" t="str">
        <f>_xlfn.TEXTAFTER(Table1[[#This Row],[VEHIDCODE]],"_")</f>
        <v>Coach_Gen4_Russian_Regional_Coach</v>
      </c>
      <c r="C766" t="s">
        <v>759</v>
      </c>
      <c r="D766" t="str">
        <f>"item_"&amp;Table1[[#This Row],[VEHIDCODE]]</f>
        <v>item_mu_Coach_Gen4_Russian_Regional_Coach</v>
      </c>
      <c r="E766" t="str">
        <f>"str_"&amp;Table1[[#This Row],[VEHIDCODE]]</f>
        <v>str_mu_Coach_Gen4_Russian_Regional_Coach</v>
      </c>
      <c r="F766">
        <v>8</v>
      </c>
      <c r="G766" t="s">
        <v>326</v>
      </c>
      <c r="H766">
        <v>0</v>
      </c>
      <c r="I766" t="s">
        <v>35</v>
      </c>
      <c r="J766">
        <v>90</v>
      </c>
      <c r="K766">
        <v>1960</v>
      </c>
      <c r="L766">
        <v>8</v>
      </c>
      <c r="M766" s="2" t="s">
        <v>480</v>
      </c>
      <c r="N766" t="b">
        <v>1</v>
      </c>
      <c r="P766" s="2"/>
      <c r="Q766">
        <v>50</v>
      </c>
      <c r="R766">
        <v>1</v>
      </c>
      <c r="S766">
        <v>0</v>
      </c>
      <c r="T766" t="s">
        <v>712</v>
      </c>
      <c r="U766">
        <v>130</v>
      </c>
      <c r="V766" s="2">
        <v>0.3</v>
      </c>
      <c r="AE766" t="b">
        <v>1</v>
      </c>
      <c r="AZ766" s="2"/>
      <c r="BA766" s="7">
        <v>25</v>
      </c>
      <c r="BB766" t="s">
        <v>932</v>
      </c>
      <c r="BC766" t="s">
        <v>933</v>
      </c>
      <c r="BD766" t="s">
        <v>941</v>
      </c>
      <c r="BE766" t="str">
        <f>IF(OR(Table1[[#This Row],[ENGINE_CLASS]]="STEAM",Table1[[#This Row],[ENGINE_CLASS]]="ELECTRIC",Table1[[#This Row],[ENGINE_CLASS]]="DIESEL"),Table1[[#This Row],[ENGINE_CLASS]],"DISABLE")</f>
        <v>DIESEL</v>
      </c>
      <c r="BF766">
        <v>0</v>
      </c>
      <c r="BG766" t="s">
        <v>735</v>
      </c>
      <c r="BI766"/>
      <c r="BJ766">
        <v>45</v>
      </c>
      <c r="BK766">
        <v>0</v>
      </c>
      <c r="BL766" t="s">
        <v>693</v>
      </c>
      <c r="BM766" t="s">
        <v>695</v>
      </c>
      <c r="BN766" t="s">
        <v>702</v>
      </c>
      <c r="BO766" t="s">
        <v>706</v>
      </c>
      <c r="BP766" t="s">
        <v>707</v>
      </c>
      <c r="BQ766" t="s">
        <v>708</v>
      </c>
    </row>
    <row r="767" spans="1:69" x14ac:dyDescent="0.4">
      <c r="A767" s="2" t="s">
        <v>823</v>
      </c>
      <c r="B767" t="str">
        <f>_xlfn.TEXTAFTER(Table1[[#This Row],[VEHIDCODE]],"_")</f>
        <v>Coach_Gen4_Russian_Mail_Coach</v>
      </c>
      <c r="C767" t="s">
        <v>759</v>
      </c>
      <c r="D767" t="str">
        <f>"item_"&amp;Table1[[#This Row],[VEHIDCODE]]</f>
        <v>item_mu_Coach_Gen4_Russian_Mail_Coach</v>
      </c>
      <c r="E767" t="str">
        <f>"str_"&amp;Table1[[#This Row],[VEHIDCODE]]</f>
        <v>str_mu_Coach_Gen4_Russian_Mail_Coach</v>
      </c>
      <c r="F767">
        <v>8</v>
      </c>
      <c r="G767" t="s">
        <v>674</v>
      </c>
      <c r="H767">
        <v>0</v>
      </c>
      <c r="I767" t="s">
        <v>35</v>
      </c>
      <c r="J767">
        <v>80</v>
      </c>
      <c r="K767">
        <v>1960</v>
      </c>
      <c r="L767">
        <v>8</v>
      </c>
      <c r="M767" s="2" t="s">
        <v>675</v>
      </c>
      <c r="N767" t="b">
        <v>1</v>
      </c>
      <c r="P767" s="2"/>
      <c r="Q767">
        <v>50</v>
      </c>
      <c r="R767">
        <v>1</v>
      </c>
      <c r="S767">
        <v>0</v>
      </c>
      <c r="T767" t="s">
        <v>712</v>
      </c>
      <c r="U767">
        <v>160</v>
      </c>
      <c r="V767" s="2">
        <v>0.3</v>
      </c>
      <c r="AE767" t="b">
        <v>1</v>
      </c>
      <c r="AZ767" s="2"/>
      <c r="BA767" s="7">
        <v>25</v>
      </c>
      <c r="BB767" t="s">
        <v>932</v>
      </c>
      <c r="BC767" t="s">
        <v>933</v>
      </c>
      <c r="BD767" t="s">
        <v>941</v>
      </c>
      <c r="BE767" t="str">
        <f>IF(OR(Table1[[#This Row],[ENGINE_CLASS]]="STEAM",Table1[[#This Row],[ENGINE_CLASS]]="ELECTRIC",Table1[[#This Row],[ENGINE_CLASS]]="DIESEL"),Table1[[#This Row],[ENGINE_CLASS]],"DISABLE")</f>
        <v>DIESEL</v>
      </c>
      <c r="BF767">
        <v>0</v>
      </c>
      <c r="BG767" t="s">
        <v>735</v>
      </c>
      <c r="BI767"/>
      <c r="BJ767">
        <v>46</v>
      </c>
      <c r="BK767">
        <v>0</v>
      </c>
      <c r="BL767" t="s">
        <v>693</v>
      </c>
      <c r="BM767" t="s">
        <v>695</v>
      </c>
      <c r="BN767" t="s">
        <v>702</v>
      </c>
      <c r="BO767" t="s">
        <v>706</v>
      </c>
      <c r="BP767" t="s">
        <v>707</v>
      </c>
      <c r="BQ767" t="s">
        <v>708</v>
      </c>
    </row>
    <row r="768" spans="1:69" x14ac:dyDescent="0.4">
      <c r="A768" s="2" t="s">
        <v>824</v>
      </c>
      <c r="B768" t="str">
        <f>_xlfn.TEXTAFTER(Table1[[#This Row],[VEHIDCODE]],"_")</f>
        <v>Coach_Gen4_Superliner_Coach</v>
      </c>
      <c r="C768" t="s">
        <v>759</v>
      </c>
      <c r="D768" t="str">
        <f>"item_"&amp;Table1[[#This Row],[VEHIDCODE]]</f>
        <v>item_mu_Coach_Gen4_Superliner_Coach</v>
      </c>
      <c r="E768" t="str">
        <f>"str_"&amp;Table1[[#This Row],[VEHIDCODE]]</f>
        <v>str_mu_Coach_Gen4_Superliner_Coach</v>
      </c>
      <c r="F768">
        <v>8</v>
      </c>
      <c r="G768" t="s">
        <v>326</v>
      </c>
      <c r="H768">
        <v>0</v>
      </c>
      <c r="I768" t="s">
        <v>35</v>
      </c>
      <c r="J768">
        <v>96</v>
      </c>
      <c r="K768">
        <v>1980</v>
      </c>
      <c r="L768">
        <v>8</v>
      </c>
      <c r="M768" s="2" t="s">
        <v>480</v>
      </c>
      <c r="N768" t="b">
        <v>1</v>
      </c>
      <c r="P768" s="2"/>
      <c r="Q768">
        <v>50</v>
      </c>
      <c r="R768">
        <v>1</v>
      </c>
      <c r="S768">
        <v>0</v>
      </c>
      <c r="T768" t="s">
        <v>712</v>
      </c>
      <c r="U768">
        <v>160</v>
      </c>
      <c r="V768" s="2">
        <v>0.3</v>
      </c>
      <c r="AE768" t="b">
        <v>1</v>
      </c>
      <c r="AZ768" s="2"/>
      <c r="BA768" s="7">
        <v>25</v>
      </c>
      <c r="BB768" t="s">
        <v>926</v>
      </c>
      <c r="BC768" t="s">
        <v>936</v>
      </c>
      <c r="BD768" t="s">
        <v>941</v>
      </c>
      <c r="BE768" t="str">
        <f>IF(OR(Table1[[#This Row],[ENGINE_CLASS]]="STEAM",Table1[[#This Row],[ENGINE_CLASS]]="ELECTRIC",Table1[[#This Row],[ENGINE_CLASS]]="DIESEL"),Table1[[#This Row],[ENGINE_CLASS]],"DISABLE")</f>
        <v>DIESEL</v>
      </c>
      <c r="BF768">
        <v>0</v>
      </c>
      <c r="BG768" t="s">
        <v>735</v>
      </c>
      <c r="BI768"/>
      <c r="BJ768">
        <v>67</v>
      </c>
      <c r="BK768">
        <v>0</v>
      </c>
      <c r="BL768" t="s">
        <v>693</v>
      </c>
      <c r="BM768" t="s">
        <v>695</v>
      </c>
      <c r="BN768" t="s">
        <v>702</v>
      </c>
      <c r="BO768" t="s">
        <v>706</v>
      </c>
      <c r="BP768" t="s">
        <v>707</v>
      </c>
      <c r="BQ768" t="s">
        <v>708</v>
      </c>
    </row>
    <row r="769" spans="1:69" x14ac:dyDescent="0.4">
      <c r="A769" s="2" t="s">
        <v>825</v>
      </c>
      <c r="B769" t="str">
        <f>_xlfn.TEXTAFTER(Table1[[#This Row],[VEHIDCODE]],"_")</f>
        <v>Coach_Gen4_Superliner_California</v>
      </c>
      <c r="C769" t="s">
        <v>759</v>
      </c>
      <c r="D769" t="str">
        <f>"item_"&amp;Table1[[#This Row],[VEHIDCODE]]</f>
        <v>item_mu_Coach_Gen4_Superliner_California</v>
      </c>
      <c r="E769" t="str">
        <f>"str_"&amp;Table1[[#This Row],[VEHIDCODE]]</f>
        <v>str_mu_Coach_Gen4_Superliner_California</v>
      </c>
      <c r="F769">
        <v>8</v>
      </c>
      <c r="G769" t="s">
        <v>326</v>
      </c>
      <c r="H769">
        <v>0</v>
      </c>
      <c r="I769" t="s">
        <v>35</v>
      </c>
      <c r="J769">
        <v>80</v>
      </c>
      <c r="K769">
        <v>1990</v>
      </c>
      <c r="L769">
        <v>8</v>
      </c>
      <c r="M769" s="2" t="s">
        <v>480</v>
      </c>
      <c r="N769" t="b">
        <v>1</v>
      </c>
      <c r="P769" s="2"/>
      <c r="Q769">
        <v>50</v>
      </c>
      <c r="R769">
        <v>1</v>
      </c>
      <c r="S769">
        <v>0</v>
      </c>
      <c r="T769" t="s">
        <v>712</v>
      </c>
      <c r="U769">
        <v>200</v>
      </c>
      <c r="V769" s="2">
        <v>0.3</v>
      </c>
      <c r="AE769" t="b">
        <v>1</v>
      </c>
      <c r="AZ769" s="2"/>
      <c r="BA769" s="7">
        <v>25</v>
      </c>
      <c r="BB769" t="s">
        <v>926</v>
      </c>
      <c r="BC769" t="s">
        <v>936</v>
      </c>
      <c r="BD769" t="s">
        <v>941</v>
      </c>
      <c r="BE769" t="str">
        <f>IF(OR(Table1[[#This Row],[ENGINE_CLASS]]="STEAM",Table1[[#This Row],[ENGINE_CLASS]]="ELECTRIC",Table1[[#This Row],[ENGINE_CLASS]]="DIESEL"),Table1[[#This Row],[ENGINE_CLASS]],"DISABLE")</f>
        <v>DIESEL</v>
      </c>
      <c r="BF769">
        <v>0</v>
      </c>
      <c r="BG769" t="s">
        <v>735</v>
      </c>
      <c r="BI769"/>
      <c r="BJ769">
        <v>67</v>
      </c>
      <c r="BK769">
        <v>0</v>
      </c>
      <c r="BL769" t="s">
        <v>693</v>
      </c>
      <c r="BM769" t="s">
        <v>695</v>
      </c>
      <c r="BN769" t="s">
        <v>702</v>
      </c>
      <c r="BO769" t="s">
        <v>706</v>
      </c>
      <c r="BP769" t="s">
        <v>707</v>
      </c>
      <c r="BQ769" t="s">
        <v>708</v>
      </c>
    </row>
    <row r="770" spans="1:69" x14ac:dyDescent="0.4">
      <c r="A770" s="2" t="s">
        <v>826</v>
      </c>
      <c r="B770" t="str">
        <f>_xlfn.TEXTAFTER(Table1[[#This Row],[VEHIDCODE]],"_")</f>
        <v>Coach_Gen4_Amfleet_Regional_Coach</v>
      </c>
      <c r="C770" t="s">
        <v>759</v>
      </c>
      <c r="D770" t="str">
        <f>"item_"&amp;Table1[[#This Row],[VEHIDCODE]]</f>
        <v>item_mu_Coach_Gen4_Amfleet_Regional_Coach</v>
      </c>
      <c r="E770" t="str">
        <f>"str_"&amp;Table1[[#This Row],[VEHIDCODE]]</f>
        <v>str_mu_Coach_Gen4_Amfleet_Regional_Coach</v>
      </c>
      <c r="F770">
        <v>8</v>
      </c>
      <c r="G770" t="s">
        <v>326</v>
      </c>
      <c r="H770">
        <v>0</v>
      </c>
      <c r="I770" t="s">
        <v>35</v>
      </c>
      <c r="J770">
        <v>84</v>
      </c>
      <c r="K770">
        <v>1970</v>
      </c>
      <c r="L770">
        <v>8</v>
      </c>
      <c r="M770" s="2" t="s">
        <v>480</v>
      </c>
      <c r="N770" t="b">
        <v>1</v>
      </c>
      <c r="P770" s="2"/>
      <c r="Q770">
        <v>60</v>
      </c>
      <c r="R770">
        <v>1</v>
      </c>
      <c r="S770">
        <v>0</v>
      </c>
      <c r="T770" t="s">
        <v>712</v>
      </c>
      <c r="U770">
        <v>200</v>
      </c>
      <c r="V770" s="2">
        <v>0.3</v>
      </c>
      <c r="AE770" t="b">
        <v>1</v>
      </c>
      <c r="AZ770" s="2"/>
      <c r="BA770" s="7">
        <v>25</v>
      </c>
      <c r="BB770" t="s">
        <v>926</v>
      </c>
      <c r="BC770" t="s">
        <v>936</v>
      </c>
      <c r="BD770" t="s">
        <v>941</v>
      </c>
      <c r="BE770" t="str">
        <f>IF(OR(Table1[[#This Row],[ENGINE_CLASS]]="STEAM",Table1[[#This Row],[ENGINE_CLASS]]="ELECTRIC",Table1[[#This Row],[ENGINE_CLASS]]="DIESEL"),Table1[[#This Row],[ENGINE_CLASS]],"DISABLE")</f>
        <v>DIESEL</v>
      </c>
      <c r="BF770">
        <v>0</v>
      </c>
      <c r="BG770" t="s">
        <v>735</v>
      </c>
      <c r="BI770"/>
      <c r="BJ770">
        <v>50</v>
      </c>
      <c r="BK770">
        <v>0</v>
      </c>
      <c r="BL770" t="s">
        <v>693</v>
      </c>
      <c r="BM770" t="s">
        <v>695</v>
      </c>
      <c r="BN770" t="s">
        <v>702</v>
      </c>
      <c r="BO770" t="s">
        <v>706</v>
      </c>
      <c r="BP770" t="s">
        <v>707</v>
      </c>
      <c r="BQ770" t="s">
        <v>708</v>
      </c>
    </row>
    <row r="771" spans="1:69" x14ac:dyDescent="0.4">
      <c r="A771" s="2" t="s">
        <v>827</v>
      </c>
      <c r="B771" t="str">
        <f>_xlfn.TEXTAFTER(Table1[[#This Row],[VEHIDCODE]],"_")</f>
        <v>Coach_Gen4_Amfleet_Intercity_Coach</v>
      </c>
      <c r="C771" t="s">
        <v>759</v>
      </c>
      <c r="D771" t="str">
        <f>"item_"&amp;Table1[[#This Row],[VEHIDCODE]]</f>
        <v>item_mu_Coach_Gen4_Amfleet_Intercity_Coach</v>
      </c>
      <c r="E771" t="str">
        <f>"str_"&amp;Table1[[#This Row],[VEHIDCODE]]</f>
        <v>str_mu_Coach_Gen4_Amfleet_Intercity_Coach</v>
      </c>
      <c r="F771">
        <v>8</v>
      </c>
      <c r="G771" t="s">
        <v>326</v>
      </c>
      <c r="H771">
        <v>0</v>
      </c>
      <c r="I771" t="s">
        <v>35</v>
      </c>
      <c r="J771">
        <v>60</v>
      </c>
      <c r="K771">
        <v>1970</v>
      </c>
      <c r="L771">
        <v>8</v>
      </c>
      <c r="M771" s="2" t="s">
        <v>480</v>
      </c>
      <c r="N771" t="b">
        <v>1</v>
      </c>
      <c r="P771" s="2"/>
      <c r="Q771">
        <v>60</v>
      </c>
      <c r="R771">
        <v>1</v>
      </c>
      <c r="S771">
        <v>0</v>
      </c>
      <c r="T771" t="s">
        <v>712</v>
      </c>
      <c r="U771">
        <v>200</v>
      </c>
      <c r="V771" s="2">
        <v>0.3</v>
      </c>
      <c r="AE771" t="b">
        <v>1</v>
      </c>
      <c r="AZ771" s="2"/>
      <c r="BA771" s="7">
        <v>25</v>
      </c>
      <c r="BB771" t="s">
        <v>926</v>
      </c>
      <c r="BC771" t="s">
        <v>936</v>
      </c>
      <c r="BD771" t="s">
        <v>941</v>
      </c>
      <c r="BE771" t="str">
        <f>IF(OR(Table1[[#This Row],[ENGINE_CLASS]]="STEAM",Table1[[#This Row],[ENGINE_CLASS]]="ELECTRIC",Table1[[#This Row],[ENGINE_CLASS]]="DIESEL"),Table1[[#This Row],[ENGINE_CLASS]],"DISABLE")</f>
        <v>DIESEL</v>
      </c>
      <c r="BF771">
        <v>0</v>
      </c>
      <c r="BG771" t="s">
        <v>735</v>
      </c>
      <c r="BI771"/>
      <c r="BJ771">
        <v>50</v>
      </c>
      <c r="BK771">
        <v>0</v>
      </c>
      <c r="BL771" t="s">
        <v>693</v>
      </c>
      <c r="BM771" t="s">
        <v>695</v>
      </c>
      <c r="BN771" t="s">
        <v>702</v>
      </c>
      <c r="BO771" t="s">
        <v>706</v>
      </c>
      <c r="BP771" t="s">
        <v>707</v>
      </c>
      <c r="BQ771" t="s">
        <v>708</v>
      </c>
    </row>
    <row r="772" spans="1:69" x14ac:dyDescent="0.4">
      <c r="A772" s="2" t="s">
        <v>828</v>
      </c>
      <c r="B772" t="str">
        <f>_xlfn.TEXTAFTER(Table1[[#This Row],[VEHIDCODE]],"_")</f>
        <v>Coach_Gen4_Comet_Commuter_Coach</v>
      </c>
      <c r="C772" t="s">
        <v>759</v>
      </c>
      <c r="D772" t="str">
        <f>"item_"&amp;Table1[[#This Row],[VEHIDCODE]]</f>
        <v>item_mu_Coach_Gen4_Comet_Commuter_Coach</v>
      </c>
      <c r="E772" t="str">
        <f>"str_"&amp;Table1[[#This Row],[VEHIDCODE]]</f>
        <v>str_mu_Coach_Gen4_Comet_Commuter_Coach</v>
      </c>
      <c r="F772">
        <v>8</v>
      </c>
      <c r="G772" t="s">
        <v>326</v>
      </c>
      <c r="H772">
        <v>0</v>
      </c>
      <c r="I772" t="s">
        <v>35</v>
      </c>
      <c r="J772">
        <v>105</v>
      </c>
      <c r="K772">
        <v>1970</v>
      </c>
      <c r="L772">
        <v>8</v>
      </c>
      <c r="M772" s="2" t="s">
        <v>24</v>
      </c>
      <c r="N772" t="b">
        <v>1</v>
      </c>
      <c r="P772" s="2"/>
      <c r="Q772">
        <v>60</v>
      </c>
      <c r="R772">
        <v>1</v>
      </c>
      <c r="S772">
        <v>0</v>
      </c>
      <c r="T772" t="s">
        <v>712</v>
      </c>
      <c r="U772">
        <v>128</v>
      </c>
      <c r="V772" s="2">
        <v>0.3</v>
      </c>
      <c r="AE772" t="b">
        <v>1</v>
      </c>
      <c r="AZ772" s="2"/>
      <c r="BA772" s="7">
        <v>25</v>
      </c>
      <c r="BB772" t="s">
        <v>926</v>
      </c>
      <c r="BC772" t="s">
        <v>936</v>
      </c>
      <c r="BD772" t="s">
        <v>941</v>
      </c>
      <c r="BE772" t="str">
        <f>IF(OR(Table1[[#This Row],[ENGINE_CLASS]]="STEAM",Table1[[#This Row],[ENGINE_CLASS]]="ELECTRIC",Table1[[#This Row],[ENGINE_CLASS]]="DIESEL"),Table1[[#This Row],[ENGINE_CLASS]],"DISABLE")</f>
        <v>DIESEL</v>
      </c>
      <c r="BF772">
        <v>0</v>
      </c>
      <c r="BG772" t="s">
        <v>735</v>
      </c>
      <c r="BI772"/>
      <c r="BJ772">
        <v>34</v>
      </c>
      <c r="BK772">
        <v>0</v>
      </c>
      <c r="BL772" t="s">
        <v>693</v>
      </c>
      <c r="BM772" t="s">
        <v>695</v>
      </c>
      <c r="BN772" t="s">
        <v>702</v>
      </c>
      <c r="BO772" t="s">
        <v>706</v>
      </c>
      <c r="BP772" t="s">
        <v>707</v>
      </c>
      <c r="BQ772" t="s">
        <v>708</v>
      </c>
    </row>
    <row r="773" spans="1:69" x14ac:dyDescent="0.4">
      <c r="A773" s="2" t="s">
        <v>829</v>
      </c>
      <c r="B773" t="str">
        <f>_xlfn.TEXTAFTER(Table1[[#This Row],[VEHIDCODE]],"_")</f>
        <v>Coach_Gen4_Horizon_Regional_Coach</v>
      </c>
      <c r="C773" t="s">
        <v>759</v>
      </c>
      <c r="D773" t="str">
        <f>"item_"&amp;Table1[[#This Row],[VEHIDCODE]]</f>
        <v>item_mu_Coach_Gen4_Horizon_Regional_Coach</v>
      </c>
      <c r="E773" t="str">
        <f>"str_"&amp;Table1[[#This Row],[VEHIDCODE]]</f>
        <v>str_mu_Coach_Gen4_Horizon_Regional_Coach</v>
      </c>
      <c r="F773">
        <v>8</v>
      </c>
      <c r="G773" t="s">
        <v>326</v>
      </c>
      <c r="H773">
        <v>0</v>
      </c>
      <c r="I773" t="s">
        <v>35</v>
      </c>
      <c r="J773">
        <v>70</v>
      </c>
      <c r="K773">
        <v>1970</v>
      </c>
      <c r="L773">
        <v>8</v>
      </c>
      <c r="M773" s="2" t="s">
        <v>480</v>
      </c>
      <c r="N773" t="b">
        <v>1</v>
      </c>
      <c r="P773" s="2"/>
      <c r="Q773">
        <v>60</v>
      </c>
      <c r="R773">
        <v>1</v>
      </c>
      <c r="S773">
        <v>0</v>
      </c>
      <c r="T773" t="s">
        <v>712</v>
      </c>
      <c r="U773">
        <v>177</v>
      </c>
      <c r="V773" s="2">
        <v>0.3</v>
      </c>
      <c r="AE773" t="b">
        <v>1</v>
      </c>
      <c r="AZ773" s="2"/>
      <c r="BA773" s="7">
        <v>25</v>
      </c>
      <c r="BB773" t="s">
        <v>926</v>
      </c>
      <c r="BC773" t="s">
        <v>936</v>
      </c>
      <c r="BD773" t="s">
        <v>941</v>
      </c>
      <c r="BE773" t="str">
        <f>IF(OR(Table1[[#This Row],[ENGINE_CLASS]]="STEAM",Table1[[#This Row],[ENGINE_CLASS]]="ELECTRIC",Table1[[#This Row],[ENGINE_CLASS]]="DIESEL"),Table1[[#This Row],[ENGINE_CLASS]],"DISABLE")</f>
        <v>DIESEL</v>
      </c>
      <c r="BF773">
        <v>0</v>
      </c>
      <c r="BG773" t="s">
        <v>735</v>
      </c>
      <c r="BI773"/>
      <c r="BJ773">
        <v>51</v>
      </c>
      <c r="BK773">
        <v>0</v>
      </c>
      <c r="BL773" t="s">
        <v>693</v>
      </c>
      <c r="BM773" t="s">
        <v>695</v>
      </c>
      <c r="BN773" t="s">
        <v>702</v>
      </c>
      <c r="BO773" t="s">
        <v>706</v>
      </c>
      <c r="BP773" t="s">
        <v>707</v>
      </c>
      <c r="BQ773" t="s">
        <v>708</v>
      </c>
    </row>
    <row r="774" spans="1:69" x14ac:dyDescent="0.4">
      <c r="A774" s="2" t="s">
        <v>830</v>
      </c>
      <c r="B774" t="str">
        <f>_xlfn.TEXTAFTER(Table1[[#This Row],[VEHIDCODE]],"_")</f>
        <v>Coach_Gen4_Horizon_Baggage_Coach</v>
      </c>
      <c r="C774" t="s">
        <v>759</v>
      </c>
      <c r="D774" t="str">
        <f>"item_"&amp;Table1[[#This Row],[VEHIDCODE]]</f>
        <v>item_mu_Coach_Gen4_Horizon_Baggage_Coach</v>
      </c>
      <c r="E774" t="str">
        <f>"str_"&amp;Table1[[#This Row],[VEHIDCODE]]</f>
        <v>str_mu_Coach_Gen4_Horizon_Baggage_Coach</v>
      </c>
      <c r="F774">
        <v>8</v>
      </c>
      <c r="G774" t="s">
        <v>674</v>
      </c>
      <c r="H774">
        <v>0</v>
      </c>
      <c r="I774" t="s">
        <v>35</v>
      </c>
      <c r="J774">
        <v>90</v>
      </c>
      <c r="K774">
        <v>1970</v>
      </c>
      <c r="L774">
        <v>8</v>
      </c>
      <c r="M774" s="2" t="s">
        <v>675</v>
      </c>
      <c r="N774" t="b">
        <v>1</v>
      </c>
      <c r="P774" s="2"/>
      <c r="Q774">
        <v>60</v>
      </c>
      <c r="R774">
        <v>1</v>
      </c>
      <c r="S774">
        <v>0</v>
      </c>
      <c r="T774" t="s">
        <v>712</v>
      </c>
      <c r="U774">
        <v>177</v>
      </c>
      <c r="V774" s="2">
        <v>0.3</v>
      </c>
      <c r="AE774" t="b">
        <v>1</v>
      </c>
      <c r="AZ774" s="2"/>
      <c r="BA774" s="7">
        <v>25</v>
      </c>
      <c r="BB774" t="s">
        <v>926</v>
      </c>
      <c r="BC774" t="s">
        <v>936</v>
      </c>
      <c r="BD774" t="s">
        <v>941</v>
      </c>
      <c r="BE774" t="str">
        <f>IF(OR(Table1[[#This Row],[ENGINE_CLASS]]="STEAM",Table1[[#This Row],[ENGINE_CLASS]]="ELECTRIC",Table1[[#This Row],[ENGINE_CLASS]]="DIESEL"),Table1[[#This Row],[ENGINE_CLASS]],"DISABLE")</f>
        <v>DIESEL</v>
      </c>
      <c r="BF774">
        <v>0</v>
      </c>
      <c r="BG774" t="s">
        <v>735</v>
      </c>
      <c r="BI774"/>
      <c r="BJ774">
        <v>50</v>
      </c>
      <c r="BK774">
        <v>0</v>
      </c>
      <c r="BL774" t="s">
        <v>693</v>
      </c>
      <c r="BM774" t="s">
        <v>695</v>
      </c>
      <c r="BN774" t="s">
        <v>702</v>
      </c>
      <c r="BO774" t="s">
        <v>706</v>
      </c>
      <c r="BP774" t="s">
        <v>707</v>
      </c>
      <c r="BQ774" t="s">
        <v>708</v>
      </c>
    </row>
    <row r="775" spans="1:69" x14ac:dyDescent="0.4">
      <c r="A775" s="2" t="s">
        <v>831</v>
      </c>
      <c r="B775" t="str">
        <f>_xlfn.TEXTAFTER(Table1[[#This Row],[VEHIDCODE]],"_")</f>
        <v>Coach_Gen4_Bombardier_Bi_level</v>
      </c>
      <c r="C775" t="s">
        <v>759</v>
      </c>
      <c r="D775" t="str">
        <f>"item_"&amp;Table1[[#This Row],[VEHIDCODE]]</f>
        <v>item_mu_Coach_Gen4_Bombardier_Bi_level</v>
      </c>
      <c r="E775" t="str">
        <f>"str_"&amp;Table1[[#This Row],[VEHIDCODE]]</f>
        <v>str_mu_Coach_Gen4_Bombardier_Bi_level</v>
      </c>
      <c r="F775">
        <v>8</v>
      </c>
      <c r="G775" t="s">
        <v>326</v>
      </c>
      <c r="H775">
        <v>0</v>
      </c>
      <c r="I775" t="s">
        <v>35</v>
      </c>
      <c r="J775">
        <v>150</v>
      </c>
      <c r="K775">
        <v>1970</v>
      </c>
      <c r="L775">
        <v>8</v>
      </c>
      <c r="M775" s="2" t="s">
        <v>480</v>
      </c>
      <c r="N775" t="b">
        <v>1</v>
      </c>
      <c r="P775" s="2"/>
      <c r="Q775" t="s">
        <v>21</v>
      </c>
      <c r="R775">
        <v>1</v>
      </c>
      <c r="S775">
        <v>0</v>
      </c>
      <c r="T775" t="s">
        <v>712</v>
      </c>
      <c r="U775">
        <v>160</v>
      </c>
      <c r="V775" s="2">
        <v>0.3</v>
      </c>
      <c r="AE775" t="b">
        <v>1</v>
      </c>
      <c r="AZ775" s="2"/>
      <c r="BA775" s="7">
        <v>25</v>
      </c>
      <c r="BB775" t="s">
        <v>926</v>
      </c>
      <c r="BC775" t="s">
        <v>936</v>
      </c>
      <c r="BD775" t="s">
        <v>941</v>
      </c>
      <c r="BE775" t="str">
        <f>IF(OR(Table1[[#This Row],[ENGINE_CLASS]]="STEAM",Table1[[#This Row],[ENGINE_CLASS]]="ELECTRIC",Table1[[#This Row],[ENGINE_CLASS]]="DIESEL"),Table1[[#This Row],[ENGINE_CLASS]],"DISABLE")</f>
        <v>DIESEL</v>
      </c>
      <c r="BF775">
        <v>0</v>
      </c>
      <c r="BG775" t="s">
        <v>735</v>
      </c>
      <c r="BI775"/>
      <c r="BJ775">
        <v>50</v>
      </c>
      <c r="BK775">
        <v>0</v>
      </c>
      <c r="BL775" t="s">
        <v>693</v>
      </c>
      <c r="BM775" t="s">
        <v>695</v>
      </c>
      <c r="BN775" t="s">
        <v>702</v>
      </c>
      <c r="BO775" t="s">
        <v>706</v>
      </c>
      <c r="BP775" t="s">
        <v>707</v>
      </c>
      <c r="BQ775" t="s">
        <v>708</v>
      </c>
    </row>
    <row r="776" spans="1:69" x14ac:dyDescent="0.4">
      <c r="A776" s="2" t="s">
        <v>832</v>
      </c>
      <c r="B776" t="str">
        <f>_xlfn.TEXTAFTER(Table1[[#This Row],[VEHIDCODE]],"_")</f>
        <v>Coach_Gen5_High_Speed_Coach</v>
      </c>
      <c r="C776" t="s">
        <v>760</v>
      </c>
      <c r="D776" t="str">
        <f>"item_"&amp;Table1[[#This Row],[VEHIDCODE]]</f>
        <v>item_mu_Coach_Gen5_High_Speed_Coach</v>
      </c>
      <c r="E776" t="str">
        <f>"str_"&amp;Table1[[#This Row],[VEHIDCODE]]</f>
        <v>str_mu_Coach_Gen5_High_Speed_Coach</v>
      </c>
      <c r="F776">
        <v>8</v>
      </c>
      <c r="G776" t="s">
        <v>326</v>
      </c>
      <c r="H776">
        <v>0</v>
      </c>
      <c r="I776" t="s">
        <v>35</v>
      </c>
      <c r="J776">
        <v>70</v>
      </c>
      <c r="K776">
        <v>2000</v>
      </c>
      <c r="L776">
        <v>8</v>
      </c>
      <c r="M776" s="2" t="s">
        <v>480</v>
      </c>
      <c r="N776" t="b">
        <v>1</v>
      </c>
      <c r="P776" s="2"/>
      <c r="Q776" t="s">
        <v>21</v>
      </c>
      <c r="R776">
        <v>1</v>
      </c>
      <c r="S776">
        <v>0</v>
      </c>
      <c r="T776" t="s">
        <v>712</v>
      </c>
      <c r="U776">
        <v>230</v>
      </c>
      <c r="V776" s="2">
        <v>0.3</v>
      </c>
      <c r="AE776" t="b">
        <v>1</v>
      </c>
      <c r="AZ776" s="2"/>
      <c r="BA776" s="7">
        <v>25</v>
      </c>
      <c r="BB776" t="s">
        <v>937</v>
      </c>
      <c r="BC776" t="s">
        <v>923</v>
      </c>
      <c r="BD776" t="s">
        <v>941</v>
      </c>
      <c r="BE776" t="str">
        <f>IF(OR(Table1[[#This Row],[ENGINE_CLASS]]="STEAM",Table1[[#This Row],[ENGINE_CLASS]]="ELECTRIC",Table1[[#This Row],[ENGINE_CLASS]]="DIESEL"),Table1[[#This Row],[ENGINE_CLASS]],"DISABLE")</f>
        <v>DIESEL</v>
      </c>
      <c r="BF776">
        <v>0</v>
      </c>
      <c r="BG776" t="s">
        <v>735</v>
      </c>
      <c r="BI776"/>
      <c r="BJ776">
        <v>47</v>
      </c>
      <c r="BK776">
        <v>0</v>
      </c>
      <c r="BL776" t="s">
        <v>693</v>
      </c>
      <c r="BM776" t="s">
        <v>695</v>
      </c>
      <c r="BN776" t="s">
        <v>702</v>
      </c>
      <c r="BO776" t="s">
        <v>706</v>
      </c>
      <c r="BP776" t="s">
        <v>707</v>
      </c>
      <c r="BQ776" t="s">
        <v>708</v>
      </c>
    </row>
    <row r="777" spans="1:69" x14ac:dyDescent="0.4">
      <c r="A777" s="2" t="s">
        <v>833</v>
      </c>
      <c r="B777" t="str">
        <f>_xlfn.TEXTAFTER(Table1[[#This Row],[VEHIDCODE]],"_")</f>
        <v>Coach_Gen5_Modern_Regional_Coach</v>
      </c>
      <c r="C777" t="s">
        <v>760</v>
      </c>
      <c r="D777" t="str">
        <f>"item_"&amp;Table1[[#This Row],[VEHIDCODE]]</f>
        <v>item_mu_Coach_Gen5_Modern_Regional_Coach</v>
      </c>
      <c r="E777" t="str">
        <f>"str_"&amp;Table1[[#This Row],[VEHIDCODE]]</f>
        <v>str_mu_Coach_Gen5_Modern_Regional_Coach</v>
      </c>
      <c r="F777">
        <v>8</v>
      </c>
      <c r="G777" t="s">
        <v>326</v>
      </c>
      <c r="H777">
        <v>0</v>
      </c>
      <c r="I777" t="s">
        <v>35</v>
      </c>
      <c r="J777">
        <v>85</v>
      </c>
      <c r="K777">
        <v>2000</v>
      </c>
      <c r="L777">
        <v>8</v>
      </c>
      <c r="M777" s="2" t="s">
        <v>480</v>
      </c>
      <c r="N777" t="b">
        <v>1</v>
      </c>
      <c r="P777" s="2"/>
      <c r="Q777" t="s">
        <v>21</v>
      </c>
      <c r="R777">
        <v>1</v>
      </c>
      <c r="S777">
        <v>0</v>
      </c>
      <c r="T777" t="s">
        <v>712</v>
      </c>
      <c r="U777">
        <v>160</v>
      </c>
      <c r="V777" s="2">
        <v>0.3</v>
      </c>
      <c r="AE777" t="b">
        <v>1</v>
      </c>
      <c r="AZ777" s="2"/>
      <c r="BA777" s="7">
        <v>25</v>
      </c>
      <c r="BB777" t="s">
        <v>937</v>
      </c>
      <c r="BC777" t="s">
        <v>923</v>
      </c>
      <c r="BD777" t="s">
        <v>941</v>
      </c>
      <c r="BE777" t="str">
        <f>IF(OR(Table1[[#This Row],[ENGINE_CLASS]]="STEAM",Table1[[#This Row],[ENGINE_CLASS]]="ELECTRIC",Table1[[#This Row],[ENGINE_CLASS]]="DIESEL"),Table1[[#This Row],[ENGINE_CLASS]],"DISABLE")</f>
        <v>DIESEL</v>
      </c>
      <c r="BF777">
        <v>0</v>
      </c>
      <c r="BG777" t="s">
        <v>735</v>
      </c>
      <c r="BI777"/>
      <c r="BJ777">
        <v>44</v>
      </c>
      <c r="BK777">
        <v>0</v>
      </c>
      <c r="BL777" t="s">
        <v>693</v>
      </c>
      <c r="BM777" t="s">
        <v>695</v>
      </c>
      <c r="BN777" t="s">
        <v>702</v>
      </c>
      <c r="BO777" t="s">
        <v>706</v>
      </c>
      <c r="BP777" t="s">
        <v>707</v>
      </c>
      <c r="BQ777" t="s">
        <v>708</v>
      </c>
    </row>
    <row r="778" spans="1:69" x14ac:dyDescent="0.4">
      <c r="A778" s="2" t="s">
        <v>834</v>
      </c>
      <c r="B778" t="str">
        <f>_xlfn.TEXTAFTER(Table1[[#This Row],[VEHIDCODE]],"_")</f>
        <v>Coach_Gen5_Modern_Commuter_Coach</v>
      </c>
      <c r="C778" t="s">
        <v>760</v>
      </c>
      <c r="D778" t="str">
        <f>"item_"&amp;Table1[[#This Row],[VEHIDCODE]]</f>
        <v>item_mu_Coach_Gen5_Modern_Commuter_Coach</v>
      </c>
      <c r="E778" t="str">
        <f>"str_"&amp;Table1[[#This Row],[VEHIDCODE]]</f>
        <v>str_mu_Coach_Gen5_Modern_Commuter_Coach</v>
      </c>
      <c r="F778">
        <v>8</v>
      </c>
      <c r="G778" t="s">
        <v>326</v>
      </c>
      <c r="H778">
        <v>0</v>
      </c>
      <c r="I778" t="s">
        <v>35</v>
      </c>
      <c r="J778">
        <v>115</v>
      </c>
      <c r="K778">
        <v>2000</v>
      </c>
      <c r="L778">
        <v>8</v>
      </c>
      <c r="M778" s="2" t="s">
        <v>24</v>
      </c>
      <c r="N778" t="b">
        <v>1</v>
      </c>
      <c r="P778" s="2"/>
      <c r="Q778" t="s">
        <v>21</v>
      </c>
      <c r="R778">
        <v>1</v>
      </c>
      <c r="S778">
        <v>0</v>
      </c>
      <c r="T778" t="s">
        <v>712</v>
      </c>
      <c r="U778">
        <v>140</v>
      </c>
      <c r="V778" s="2">
        <v>0.3</v>
      </c>
      <c r="AE778" t="b">
        <v>1</v>
      </c>
      <c r="AZ778" s="2"/>
      <c r="BA778" s="7">
        <v>25</v>
      </c>
      <c r="BB778" t="s">
        <v>937</v>
      </c>
      <c r="BC778" t="s">
        <v>923</v>
      </c>
      <c r="BD778" t="s">
        <v>941</v>
      </c>
      <c r="BE778" t="str">
        <f>IF(OR(Table1[[#This Row],[ENGINE_CLASS]]="STEAM",Table1[[#This Row],[ENGINE_CLASS]]="ELECTRIC",Table1[[#This Row],[ENGINE_CLASS]]="DIESEL"),Table1[[#This Row],[ENGINE_CLASS]],"DISABLE")</f>
        <v>DIESEL</v>
      </c>
      <c r="BF778">
        <v>0</v>
      </c>
      <c r="BG778" t="s">
        <v>735</v>
      </c>
      <c r="BI778"/>
      <c r="BJ778">
        <v>45</v>
      </c>
      <c r="BK778">
        <v>0</v>
      </c>
      <c r="BL778" t="s">
        <v>693</v>
      </c>
      <c r="BM778" t="s">
        <v>695</v>
      </c>
      <c r="BN778" t="s">
        <v>702</v>
      </c>
      <c r="BO778" t="s">
        <v>706</v>
      </c>
      <c r="BP778" t="s">
        <v>707</v>
      </c>
      <c r="BQ778" t="s">
        <v>708</v>
      </c>
    </row>
    <row r="779" spans="1:69" x14ac:dyDescent="0.4">
      <c r="A779" s="2" t="s">
        <v>835</v>
      </c>
      <c r="B779" t="str">
        <f>_xlfn.TEXTAFTER(Table1[[#This Row],[VEHIDCODE]],"_")</f>
        <v>Coach_Gen5_Modern_Double_Decker_Coach</v>
      </c>
      <c r="C779" t="s">
        <v>760</v>
      </c>
      <c r="D779" t="str">
        <f>"item_"&amp;Table1[[#This Row],[VEHIDCODE]]</f>
        <v>item_mu_Coach_Gen5_Modern_Double_Decker_Coach</v>
      </c>
      <c r="E779" t="str">
        <f>"str_"&amp;Table1[[#This Row],[VEHIDCODE]]</f>
        <v>str_mu_Coach_Gen5_Modern_Double_Decker_Coach</v>
      </c>
      <c r="F779">
        <v>8</v>
      </c>
      <c r="G779" t="s">
        <v>326</v>
      </c>
      <c r="H779">
        <v>0</v>
      </c>
      <c r="I779" t="s">
        <v>35</v>
      </c>
      <c r="J779">
        <v>145</v>
      </c>
      <c r="K779">
        <v>2000</v>
      </c>
      <c r="L779">
        <v>8</v>
      </c>
      <c r="M779" s="2" t="s">
        <v>480</v>
      </c>
      <c r="N779" t="b">
        <v>1</v>
      </c>
      <c r="P779" s="2"/>
      <c r="Q779" t="s">
        <v>21</v>
      </c>
      <c r="R779">
        <v>1</v>
      </c>
      <c r="S779">
        <v>0</v>
      </c>
      <c r="T779" t="s">
        <v>712</v>
      </c>
      <c r="U779">
        <v>160</v>
      </c>
      <c r="V779" s="2">
        <v>0.3</v>
      </c>
      <c r="AE779" t="b">
        <v>1</v>
      </c>
      <c r="AZ779" s="2"/>
      <c r="BA779" s="7">
        <v>25</v>
      </c>
      <c r="BB779" t="s">
        <v>937</v>
      </c>
      <c r="BC779" t="s">
        <v>923</v>
      </c>
      <c r="BD779" t="s">
        <v>941</v>
      </c>
      <c r="BE779" t="str">
        <f>IF(OR(Table1[[#This Row],[ENGINE_CLASS]]="STEAM",Table1[[#This Row],[ENGINE_CLASS]]="ELECTRIC",Table1[[#This Row],[ENGINE_CLASS]]="DIESEL"),Table1[[#This Row],[ENGINE_CLASS]],"DISABLE")</f>
        <v>DIESEL</v>
      </c>
      <c r="BF779">
        <v>0</v>
      </c>
      <c r="BG779" t="s">
        <v>735</v>
      </c>
      <c r="BI779"/>
      <c r="BJ779">
        <v>47</v>
      </c>
      <c r="BK779">
        <v>0</v>
      </c>
      <c r="BL779" t="s">
        <v>693</v>
      </c>
      <c r="BM779" t="s">
        <v>695</v>
      </c>
      <c r="BN779" t="s">
        <v>702</v>
      </c>
      <c r="BO779" t="s">
        <v>706</v>
      </c>
      <c r="BP779" t="s">
        <v>707</v>
      </c>
      <c r="BQ779" t="s">
        <v>708</v>
      </c>
    </row>
    <row r="780" spans="1:69" x14ac:dyDescent="0.4">
      <c r="A780" s="2" t="s">
        <v>836</v>
      </c>
      <c r="B780" t="str">
        <f>_xlfn.TEXTAFTER(Table1[[#This Row],[VEHIDCODE]],"_")</f>
        <v>Coach_Gen5_High_Speed_Double_Decker_IC2000</v>
      </c>
      <c r="C780" t="s">
        <v>760</v>
      </c>
      <c r="D780" t="str">
        <f>"item_"&amp;Table1[[#This Row],[VEHIDCODE]]</f>
        <v>item_mu_Coach_Gen5_High_Speed_Double_Decker_IC2000</v>
      </c>
      <c r="E780" t="str">
        <f>"str_"&amp;Table1[[#This Row],[VEHIDCODE]]</f>
        <v>str_mu_Coach_Gen5_High_Speed_Double_Decker_IC2000</v>
      </c>
      <c r="F780">
        <v>8</v>
      </c>
      <c r="G780" t="s">
        <v>326</v>
      </c>
      <c r="H780">
        <v>0</v>
      </c>
      <c r="I780" t="s">
        <v>35</v>
      </c>
      <c r="J780">
        <v>115</v>
      </c>
      <c r="K780">
        <v>2000</v>
      </c>
      <c r="L780">
        <v>8</v>
      </c>
      <c r="M780" s="2" t="s">
        <v>480</v>
      </c>
      <c r="N780" t="b">
        <v>1</v>
      </c>
      <c r="P780" s="2"/>
      <c r="Q780" t="s">
        <v>21</v>
      </c>
      <c r="R780">
        <v>1</v>
      </c>
      <c r="S780">
        <v>0</v>
      </c>
      <c r="T780" t="s">
        <v>712</v>
      </c>
      <c r="U780">
        <v>200</v>
      </c>
      <c r="V780" s="2">
        <v>0.3</v>
      </c>
      <c r="AE780" t="b">
        <v>1</v>
      </c>
      <c r="AZ780" s="2"/>
      <c r="BA780" s="7">
        <v>25</v>
      </c>
      <c r="BB780" t="s">
        <v>937</v>
      </c>
      <c r="BC780" t="s">
        <v>923</v>
      </c>
      <c r="BD780" t="s">
        <v>941</v>
      </c>
      <c r="BE780" t="str">
        <f>IF(OR(Table1[[#This Row],[ENGINE_CLASS]]="STEAM",Table1[[#This Row],[ENGINE_CLASS]]="ELECTRIC",Table1[[#This Row],[ENGINE_CLASS]]="DIESEL"),Table1[[#This Row],[ENGINE_CLASS]],"DISABLE")</f>
        <v>DIESEL</v>
      </c>
      <c r="BF780">
        <v>0</v>
      </c>
      <c r="BG780" t="s">
        <v>735</v>
      </c>
      <c r="BI780"/>
      <c r="BJ780">
        <v>47</v>
      </c>
      <c r="BK780">
        <v>0</v>
      </c>
      <c r="BL780" t="s">
        <v>693</v>
      </c>
      <c r="BM780" t="s">
        <v>695</v>
      </c>
      <c r="BN780" t="s">
        <v>702</v>
      </c>
      <c r="BO780" t="s">
        <v>706</v>
      </c>
      <c r="BP780" t="s">
        <v>707</v>
      </c>
      <c r="BQ780" t="s">
        <v>708</v>
      </c>
    </row>
    <row r="781" spans="1:69" x14ac:dyDescent="0.4">
      <c r="A781" s="2" t="s">
        <v>837</v>
      </c>
      <c r="B781" t="str">
        <f>_xlfn.TEXTAFTER(Table1[[#This Row],[VEHIDCODE]],"_")</f>
        <v>Coach_Gen5_High_Speed_Mail_Coach</v>
      </c>
      <c r="C781" t="s">
        <v>760</v>
      </c>
      <c r="D781" t="str">
        <f>"item_"&amp;Table1[[#This Row],[VEHIDCODE]]</f>
        <v>item_mu_Coach_Gen5_High_Speed_Mail_Coach</v>
      </c>
      <c r="E781" t="str">
        <f>"str_"&amp;Table1[[#This Row],[VEHIDCODE]]</f>
        <v>str_mu_Coach_Gen5_High_Speed_Mail_Coach</v>
      </c>
      <c r="F781">
        <v>8</v>
      </c>
      <c r="G781" t="s">
        <v>674</v>
      </c>
      <c r="H781">
        <v>0</v>
      </c>
      <c r="I781" t="s">
        <v>35</v>
      </c>
      <c r="J781">
        <v>70</v>
      </c>
      <c r="K781">
        <v>2000</v>
      </c>
      <c r="L781">
        <v>8</v>
      </c>
      <c r="M781" s="2" t="s">
        <v>675</v>
      </c>
      <c r="N781" t="b">
        <v>1</v>
      </c>
      <c r="P781" s="2"/>
      <c r="Q781" t="s">
        <v>21</v>
      </c>
      <c r="R781">
        <v>1</v>
      </c>
      <c r="S781">
        <v>0</v>
      </c>
      <c r="T781" t="s">
        <v>712</v>
      </c>
      <c r="U781">
        <v>230</v>
      </c>
      <c r="V781" s="2">
        <v>0.3</v>
      </c>
      <c r="AE781" t="b">
        <v>1</v>
      </c>
      <c r="AZ781" s="2"/>
      <c r="BA781" s="7">
        <v>25</v>
      </c>
      <c r="BB781" t="s">
        <v>937</v>
      </c>
      <c r="BC781" t="s">
        <v>923</v>
      </c>
      <c r="BD781" t="s">
        <v>941</v>
      </c>
      <c r="BE781" t="str">
        <f>IF(OR(Table1[[#This Row],[ENGINE_CLASS]]="STEAM",Table1[[#This Row],[ENGINE_CLASS]]="ELECTRIC",Table1[[#This Row],[ENGINE_CLASS]]="DIESEL"),Table1[[#This Row],[ENGINE_CLASS]],"DISABLE")</f>
        <v>DIESEL</v>
      </c>
      <c r="BF781">
        <v>0</v>
      </c>
      <c r="BG781" t="s">
        <v>735</v>
      </c>
      <c r="BI781"/>
      <c r="BJ781">
        <v>46</v>
      </c>
      <c r="BK781">
        <v>0</v>
      </c>
      <c r="BL781" t="s">
        <v>693</v>
      </c>
      <c r="BM781" t="s">
        <v>695</v>
      </c>
      <c r="BN781" t="s">
        <v>702</v>
      </c>
      <c r="BO781" t="s">
        <v>706</v>
      </c>
      <c r="BP781" t="s">
        <v>707</v>
      </c>
      <c r="BQ781" t="s">
        <v>708</v>
      </c>
    </row>
    <row r="782" spans="1:69" x14ac:dyDescent="0.4">
      <c r="A782" s="2" t="s">
        <v>838</v>
      </c>
      <c r="B782" t="str">
        <f>_xlfn.TEXTAFTER(Table1[[#This Row],[VEHIDCODE]],"_")</f>
        <v>Coach_Gen5_Talgo_Pendular</v>
      </c>
      <c r="C782" t="s">
        <v>760</v>
      </c>
      <c r="D782" t="str">
        <f>"item_"&amp;Table1[[#This Row],[VEHIDCODE]]</f>
        <v>item_mu_Coach_Gen5_Talgo_Pendular</v>
      </c>
      <c r="E782" t="str">
        <f>"str_"&amp;Table1[[#This Row],[VEHIDCODE]]</f>
        <v>str_mu_Coach_Gen5_Talgo_Pendular</v>
      </c>
      <c r="F782">
        <v>6</v>
      </c>
      <c r="G782" t="s">
        <v>326</v>
      </c>
      <c r="H782">
        <v>0</v>
      </c>
      <c r="I782" t="s">
        <v>35</v>
      </c>
      <c r="J782">
        <v>40</v>
      </c>
      <c r="K782">
        <v>1980</v>
      </c>
      <c r="L782">
        <v>6</v>
      </c>
      <c r="M782" s="2" t="s">
        <v>24</v>
      </c>
      <c r="N782" t="b">
        <v>1</v>
      </c>
      <c r="P782" s="2"/>
      <c r="Q782" t="s">
        <v>21</v>
      </c>
      <c r="R782">
        <v>1</v>
      </c>
      <c r="S782">
        <v>0</v>
      </c>
      <c r="T782" t="s">
        <v>712</v>
      </c>
      <c r="U782">
        <v>250</v>
      </c>
      <c r="V782" s="2">
        <v>0.3</v>
      </c>
      <c r="AE782" t="b">
        <v>1</v>
      </c>
      <c r="AZ782" s="2"/>
      <c r="BA782" s="7">
        <v>25</v>
      </c>
      <c r="BB782" t="s">
        <v>937</v>
      </c>
      <c r="BC782" t="s">
        <v>923</v>
      </c>
      <c r="BD782" t="s">
        <v>941</v>
      </c>
      <c r="BE782" t="str">
        <f>IF(OR(Table1[[#This Row],[ENGINE_CLASS]]="STEAM",Table1[[#This Row],[ENGINE_CLASS]]="ELECTRIC",Table1[[#This Row],[ENGINE_CLASS]]="DIESEL"),Table1[[#This Row],[ENGINE_CLASS]],"DISABLE")</f>
        <v>DIESEL</v>
      </c>
      <c r="BF782">
        <v>0</v>
      </c>
      <c r="BG782" t="s">
        <v>735</v>
      </c>
      <c r="BI782"/>
      <c r="BJ782">
        <v>15</v>
      </c>
      <c r="BK782">
        <v>0</v>
      </c>
      <c r="BL782" t="s">
        <v>693</v>
      </c>
      <c r="BM782" t="s">
        <v>695</v>
      </c>
      <c r="BN782" t="s">
        <v>702</v>
      </c>
      <c r="BO782" t="s">
        <v>706</v>
      </c>
      <c r="BP782" t="s">
        <v>707</v>
      </c>
      <c r="BQ782" t="s">
        <v>708</v>
      </c>
    </row>
    <row r="783" spans="1:69" x14ac:dyDescent="0.4">
      <c r="A783" s="2" t="s">
        <v>839</v>
      </c>
      <c r="B783" t="str">
        <f>_xlfn.TEXTAFTER(Table1[[#This Row],[VEHIDCODE]],"_")</f>
        <v>Coach_Gen5_Talgo_Pendular_Mail</v>
      </c>
      <c r="C783" t="s">
        <v>760</v>
      </c>
      <c r="D783" t="str">
        <f>"item_"&amp;Table1[[#This Row],[VEHIDCODE]]</f>
        <v>item_mu_Coach_Gen5_Talgo_Pendular_Mail</v>
      </c>
      <c r="E783" t="str">
        <f>"str_"&amp;Table1[[#This Row],[VEHIDCODE]]</f>
        <v>str_mu_Coach_Gen5_Talgo_Pendular_Mail</v>
      </c>
      <c r="F783">
        <v>6</v>
      </c>
      <c r="G783" t="s">
        <v>674</v>
      </c>
      <c r="H783">
        <v>0</v>
      </c>
      <c r="I783" t="s">
        <v>35</v>
      </c>
      <c r="J783">
        <v>40</v>
      </c>
      <c r="K783">
        <v>1980</v>
      </c>
      <c r="L783">
        <v>6</v>
      </c>
      <c r="M783" s="2" t="s">
        <v>675</v>
      </c>
      <c r="N783" t="b">
        <v>1</v>
      </c>
      <c r="P783" s="2"/>
      <c r="Q783" t="s">
        <v>21</v>
      </c>
      <c r="R783">
        <v>1</v>
      </c>
      <c r="S783">
        <v>0</v>
      </c>
      <c r="T783" t="s">
        <v>712</v>
      </c>
      <c r="U783">
        <v>250</v>
      </c>
      <c r="V783" s="2">
        <v>0.3</v>
      </c>
      <c r="AE783" t="b">
        <v>1</v>
      </c>
      <c r="AZ783" s="2"/>
      <c r="BA783" s="7">
        <v>25</v>
      </c>
      <c r="BB783" t="s">
        <v>937</v>
      </c>
      <c r="BC783" t="s">
        <v>923</v>
      </c>
      <c r="BD783" t="s">
        <v>941</v>
      </c>
      <c r="BE783" t="str">
        <f>IF(OR(Table1[[#This Row],[ENGINE_CLASS]]="STEAM",Table1[[#This Row],[ENGINE_CLASS]]="ELECTRIC",Table1[[#This Row],[ENGINE_CLASS]]="DIESEL"),Table1[[#This Row],[ENGINE_CLASS]],"DISABLE")</f>
        <v>DIESEL</v>
      </c>
      <c r="BF783">
        <v>0</v>
      </c>
      <c r="BG783" t="s">
        <v>735</v>
      </c>
      <c r="BI783"/>
      <c r="BJ783">
        <v>15</v>
      </c>
      <c r="BK783">
        <v>0</v>
      </c>
      <c r="BL783" t="s">
        <v>693</v>
      </c>
      <c r="BM783" t="s">
        <v>695</v>
      </c>
      <c r="BN783" t="s">
        <v>702</v>
      </c>
      <c r="BO783" t="s">
        <v>706</v>
      </c>
      <c r="BP783" t="s">
        <v>707</v>
      </c>
      <c r="BQ783" t="s">
        <v>708</v>
      </c>
    </row>
    <row r="784" spans="1:69" x14ac:dyDescent="0.4">
      <c r="A784" s="2" t="s">
        <v>840</v>
      </c>
      <c r="B784" t="str">
        <f>_xlfn.TEXTAFTER(Table1[[#This Row],[VEHIDCODE]],"_")</f>
        <v>Coach_Gen6_Grand_Voyager_Coach</v>
      </c>
      <c r="C784" t="s">
        <v>761</v>
      </c>
      <c r="D784" t="str">
        <f>"item_"&amp;Table1[[#This Row],[VEHIDCODE]]</f>
        <v>item_mu_Coach_Gen6_Grand_Voyager_Coach</v>
      </c>
      <c r="E784" t="str">
        <f>"str_"&amp;Table1[[#This Row],[VEHIDCODE]]</f>
        <v>str_mu_Coach_Gen6_Grand_Voyager_Coach</v>
      </c>
      <c r="F784">
        <v>8</v>
      </c>
      <c r="G784" t="s">
        <v>326</v>
      </c>
      <c r="H784">
        <v>0</v>
      </c>
      <c r="I784" t="s">
        <v>35</v>
      </c>
      <c r="J784">
        <v>80</v>
      </c>
      <c r="K784">
        <v>2030</v>
      </c>
      <c r="L784">
        <v>8</v>
      </c>
      <c r="M784" s="2" t="s">
        <v>480</v>
      </c>
      <c r="N784" t="b">
        <v>1</v>
      </c>
      <c r="P784" s="2"/>
      <c r="Q784" t="s">
        <v>21</v>
      </c>
      <c r="R784">
        <v>1</v>
      </c>
      <c r="S784">
        <v>0</v>
      </c>
      <c r="T784" t="s">
        <v>712</v>
      </c>
      <c r="U784">
        <v>0</v>
      </c>
      <c r="V784" s="2">
        <v>0.3</v>
      </c>
      <c r="AE784" t="b">
        <v>1</v>
      </c>
      <c r="AZ784" s="2"/>
      <c r="BA784" s="7">
        <v>25</v>
      </c>
      <c r="BB784" t="s">
        <v>937</v>
      </c>
      <c r="BC784" t="s">
        <v>923</v>
      </c>
      <c r="BD784" t="s">
        <v>941</v>
      </c>
      <c r="BE784" t="str">
        <f>IF(OR(Table1[[#This Row],[ENGINE_CLASS]]="STEAM",Table1[[#This Row],[ENGINE_CLASS]]="ELECTRIC",Table1[[#This Row],[ENGINE_CLASS]]="DIESEL"),Table1[[#This Row],[ENGINE_CLASS]],"DISABLE")</f>
        <v>DIESEL</v>
      </c>
      <c r="BF784">
        <v>0</v>
      </c>
      <c r="BG784" t="s">
        <v>735</v>
      </c>
      <c r="BI784"/>
      <c r="BJ784">
        <v>39</v>
      </c>
      <c r="BK784">
        <v>0</v>
      </c>
      <c r="BL784" t="s">
        <v>693</v>
      </c>
      <c r="BM784" t="s">
        <v>695</v>
      </c>
      <c r="BN784" t="s">
        <v>702</v>
      </c>
      <c r="BO784" t="s">
        <v>706</v>
      </c>
      <c r="BP784" t="s">
        <v>707</v>
      </c>
      <c r="BQ784" t="s">
        <v>708</v>
      </c>
    </row>
    <row r="785" spans="1:69" x14ac:dyDescent="0.4">
      <c r="A785" s="2" t="s">
        <v>841</v>
      </c>
      <c r="B785" t="str">
        <f>_xlfn.TEXTAFTER(Table1[[#This Row],[VEHIDCODE]],"_")</f>
        <v>Coach_Gen6_Grand_Regio_Coach</v>
      </c>
      <c r="C785" t="s">
        <v>761</v>
      </c>
      <c r="D785" t="str">
        <f>"item_"&amp;Table1[[#This Row],[VEHIDCODE]]</f>
        <v>item_mu_Coach_Gen6_Grand_Regio_Coach</v>
      </c>
      <c r="E785" t="str">
        <f>"str_"&amp;Table1[[#This Row],[VEHIDCODE]]</f>
        <v>str_mu_Coach_Gen6_Grand_Regio_Coach</v>
      </c>
      <c r="F785">
        <v>8</v>
      </c>
      <c r="G785" t="s">
        <v>326</v>
      </c>
      <c r="H785">
        <v>0</v>
      </c>
      <c r="I785" t="s">
        <v>35</v>
      </c>
      <c r="J785">
        <v>100</v>
      </c>
      <c r="K785">
        <v>2030</v>
      </c>
      <c r="L785">
        <v>8</v>
      </c>
      <c r="M785" s="2" t="s">
        <v>480</v>
      </c>
      <c r="N785" t="b">
        <v>1</v>
      </c>
      <c r="P785" s="2"/>
      <c r="Q785" t="s">
        <v>21</v>
      </c>
      <c r="R785">
        <v>1</v>
      </c>
      <c r="S785">
        <v>0</v>
      </c>
      <c r="T785" t="s">
        <v>712</v>
      </c>
      <c r="U785">
        <v>200</v>
      </c>
      <c r="V785" s="2">
        <v>0.3</v>
      </c>
      <c r="AE785" t="b">
        <v>1</v>
      </c>
      <c r="AZ785" s="2"/>
      <c r="BA785" s="7">
        <v>25</v>
      </c>
      <c r="BB785" t="s">
        <v>937</v>
      </c>
      <c r="BC785" t="s">
        <v>923</v>
      </c>
      <c r="BD785" t="s">
        <v>941</v>
      </c>
      <c r="BE785" t="str">
        <f>IF(OR(Table1[[#This Row],[ENGINE_CLASS]]="STEAM",Table1[[#This Row],[ENGINE_CLASS]]="ELECTRIC",Table1[[#This Row],[ENGINE_CLASS]]="DIESEL"),Table1[[#This Row],[ENGINE_CLASS]],"DISABLE")</f>
        <v>DIESEL</v>
      </c>
      <c r="BF785">
        <v>0</v>
      </c>
      <c r="BG785" t="s">
        <v>735</v>
      </c>
      <c r="BI785"/>
      <c r="BJ785">
        <v>38</v>
      </c>
      <c r="BK785">
        <v>0</v>
      </c>
      <c r="BL785" t="s">
        <v>693</v>
      </c>
      <c r="BM785" t="s">
        <v>695</v>
      </c>
      <c r="BN785" t="s">
        <v>702</v>
      </c>
      <c r="BO785" t="s">
        <v>706</v>
      </c>
      <c r="BP785" t="s">
        <v>707</v>
      </c>
      <c r="BQ785" t="s">
        <v>708</v>
      </c>
    </row>
    <row r="786" spans="1:69" x14ac:dyDescent="0.4">
      <c r="A786" s="2" t="s">
        <v>842</v>
      </c>
      <c r="B786" t="str">
        <f>_xlfn.TEXTAFTER(Table1[[#This Row],[VEHIDCODE]],"_")</f>
        <v>Coach_Gen6_Metropolis_Coach</v>
      </c>
      <c r="C786" t="s">
        <v>761</v>
      </c>
      <c r="D786" t="str">
        <f>"item_"&amp;Table1[[#This Row],[VEHIDCODE]]</f>
        <v>item_mu_Coach_Gen6_Metropolis_Coach</v>
      </c>
      <c r="E786" t="str">
        <f>"str_"&amp;Table1[[#This Row],[VEHIDCODE]]</f>
        <v>str_mu_Coach_Gen6_Metropolis_Coach</v>
      </c>
      <c r="F786">
        <v>8</v>
      </c>
      <c r="G786" t="s">
        <v>326</v>
      </c>
      <c r="H786">
        <v>0</v>
      </c>
      <c r="I786" t="s">
        <v>35</v>
      </c>
      <c r="J786">
        <v>115</v>
      </c>
      <c r="K786">
        <v>2030</v>
      </c>
      <c r="L786">
        <v>8</v>
      </c>
      <c r="M786" s="2" t="s">
        <v>24</v>
      </c>
      <c r="N786" t="b">
        <v>1</v>
      </c>
      <c r="P786" s="2"/>
      <c r="Q786" t="s">
        <v>21</v>
      </c>
      <c r="R786">
        <v>1</v>
      </c>
      <c r="S786">
        <v>0</v>
      </c>
      <c r="T786" t="s">
        <v>712</v>
      </c>
      <c r="U786">
        <v>180</v>
      </c>
      <c r="V786" s="2">
        <v>0.3</v>
      </c>
      <c r="AE786" t="b">
        <v>1</v>
      </c>
      <c r="AZ786" s="2"/>
      <c r="BA786" s="7">
        <v>25</v>
      </c>
      <c r="BB786" t="s">
        <v>937</v>
      </c>
      <c r="BC786" t="s">
        <v>923</v>
      </c>
      <c r="BD786" t="s">
        <v>941</v>
      </c>
      <c r="BE786" t="str">
        <f>IF(OR(Table1[[#This Row],[ENGINE_CLASS]]="STEAM",Table1[[#This Row],[ENGINE_CLASS]]="ELECTRIC",Table1[[#This Row],[ENGINE_CLASS]]="DIESEL"),Table1[[#This Row],[ENGINE_CLASS]],"DISABLE")</f>
        <v>DIESEL</v>
      </c>
      <c r="BF786">
        <v>0</v>
      </c>
      <c r="BG786" t="s">
        <v>735</v>
      </c>
      <c r="BI786"/>
      <c r="BJ786">
        <v>39</v>
      </c>
      <c r="BK786">
        <v>0</v>
      </c>
      <c r="BL786" t="s">
        <v>693</v>
      </c>
      <c r="BM786" t="s">
        <v>695</v>
      </c>
      <c r="BN786" t="s">
        <v>702</v>
      </c>
      <c r="BO786" t="s">
        <v>706</v>
      </c>
      <c r="BP786" t="s">
        <v>707</v>
      </c>
      <c r="BQ786" t="s">
        <v>708</v>
      </c>
    </row>
    <row r="787" spans="1:69" x14ac:dyDescent="0.4">
      <c r="A787" s="2" t="s">
        <v>843</v>
      </c>
      <c r="B787" t="str">
        <f>_xlfn.TEXTAFTER(Table1[[#This Row],[VEHIDCODE]],"_")</f>
        <v>Coach_Gen6_Speedmail_Coach</v>
      </c>
      <c r="C787" t="s">
        <v>761</v>
      </c>
      <c r="D787" t="str">
        <f>"item_"&amp;Table1[[#This Row],[VEHIDCODE]]</f>
        <v>item_mu_Coach_Gen6_Speedmail_Coach</v>
      </c>
      <c r="E787" t="str">
        <f>"str_"&amp;Table1[[#This Row],[VEHIDCODE]]</f>
        <v>str_mu_Coach_Gen6_Speedmail_Coach</v>
      </c>
      <c r="F787">
        <v>8</v>
      </c>
      <c r="G787" t="s">
        <v>674</v>
      </c>
      <c r="H787">
        <v>0</v>
      </c>
      <c r="I787" t="s">
        <v>35</v>
      </c>
      <c r="J787">
        <v>85</v>
      </c>
      <c r="K787">
        <v>2030</v>
      </c>
      <c r="L787">
        <v>8</v>
      </c>
      <c r="M787" s="2" t="s">
        <v>675</v>
      </c>
      <c r="N787" t="b">
        <v>1</v>
      </c>
      <c r="P787" s="2"/>
      <c r="Q787" t="s">
        <v>21</v>
      </c>
      <c r="R787">
        <v>1</v>
      </c>
      <c r="S787">
        <v>0</v>
      </c>
      <c r="T787" t="s">
        <v>712</v>
      </c>
      <c r="U787">
        <v>0</v>
      </c>
      <c r="V787" s="2">
        <v>0.3</v>
      </c>
      <c r="AE787" t="b">
        <v>1</v>
      </c>
      <c r="AZ787" s="2"/>
      <c r="BA787" s="7">
        <v>25</v>
      </c>
      <c r="BB787" t="s">
        <v>937</v>
      </c>
      <c r="BC787" t="s">
        <v>923</v>
      </c>
      <c r="BD787" t="s">
        <v>941</v>
      </c>
      <c r="BE787" t="str">
        <f>IF(OR(Table1[[#This Row],[ENGINE_CLASS]]="STEAM",Table1[[#This Row],[ENGINE_CLASS]]="ELECTRIC",Table1[[#This Row],[ENGINE_CLASS]]="DIESEL"),Table1[[#This Row],[ENGINE_CLASS]],"DISABLE")</f>
        <v>DIESEL</v>
      </c>
      <c r="BF787">
        <v>0</v>
      </c>
      <c r="BG787" t="s">
        <v>735</v>
      </c>
      <c r="BI787"/>
      <c r="BJ787">
        <v>38</v>
      </c>
      <c r="BK787">
        <v>0</v>
      </c>
      <c r="BL787" t="s">
        <v>693</v>
      </c>
      <c r="BM787" t="s">
        <v>695</v>
      </c>
      <c r="BN787" t="s">
        <v>702</v>
      </c>
      <c r="BO787" t="s">
        <v>706</v>
      </c>
      <c r="BP787" t="s">
        <v>707</v>
      </c>
      <c r="BQ787" t="s">
        <v>708</v>
      </c>
    </row>
    <row r="788" spans="1:69" x14ac:dyDescent="0.4">
      <c r="A788" s="2" t="s">
        <v>844</v>
      </c>
      <c r="B788" t="str">
        <f>_xlfn.TEXTAFTER(Table1[[#This Row],[VEHIDCODE]],"_")</f>
        <v>Coach_Gen6_Super_Regio_Coach</v>
      </c>
      <c r="C788" t="s">
        <v>761</v>
      </c>
      <c r="D788" t="str">
        <f>"item_"&amp;Table1[[#This Row],[VEHIDCODE]]</f>
        <v>item_mu_Coach_Gen6_Super_Regio_Coach</v>
      </c>
      <c r="E788" t="str">
        <f>"str_"&amp;Table1[[#This Row],[VEHIDCODE]]</f>
        <v>str_mu_Coach_Gen6_Super_Regio_Coach</v>
      </c>
      <c r="F788">
        <v>8</v>
      </c>
      <c r="G788" t="s">
        <v>326</v>
      </c>
      <c r="H788">
        <v>0</v>
      </c>
      <c r="I788" t="s">
        <v>35</v>
      </c>
      <c r="J788">
        <v>160</v>
      </c>
      <c r="K788">
        <v>2030</v>
      </c>
      <c r="L788">
        <v>8</v>
      </c>
      <c r="M788" s="2" t="s">
        <v>480</v>
      </c>
      <c r="N788" t="b">
        <v>1</v>
      </c>
      <c r="P788" s="2"/>
      <c r="Q788" t="s">
        <v>21</v>
      </c>
      <c r="R788">
        <v>1</v>
      </c>
      <c r="S788">
        <v>0</v>
      </c>
      <c r="T788" t="s">
        <v>712</v>
      </c>
      <c r="U788">
        <v>200</v>
      </c>
      <c r="V788" s="2">
        <v>0.3</v>
      </c>
      <c r="AE788" t="b">
        <v>1</v>
      </c>
      <c r="AZ788" s="2"/>
      <c r="BA788" s="7">
        <v>25</v>
      </c>
      <c r="BB788" t="s">
        <v>937</v>
      </c>
      <c r="BC788" t="s">
        <v>923</v>
      </c>
      <c r="BD788" t="s">
        <v>941</v>
      </c>
      <c r="BE788" t="str">
        <f>IF(OR(Table1[[#This Row],[ENGINE_CLASS]]="STEAM",Table1[[#This Row],[ENGINE_CLASS]]="ELECTRIC",Table1[[#This Row],[ENGINE_CLASS]]="DIESEL"),Table1[[#This Row],[ENGINE_CLASS]],"DISABLE")</f>
        <v>DIESEL</v>
      </c>
      <c r="BF788">
        <v>0</v>
      </c>
      <c r="BG788" t="s">
        <v>735</v>
      </c>
      <c r="BI788"/>
      <c r="BJ788">
        <v>41</v>
      </c>
      <c r="BK788">
        <v>0</v>
      </c>
      <c r="BL788" t="s">
        <v>693</v>
      </c>
      <c r="BM788" t="s">
        <v>695</v>
      </c>
      <c r="BN788" t="s">
        <v>702</v>
      </c>
      <c r="BO788" t="s">
        <v>706</v>
      </c>
      <c r="BP788" t="s">
        <v>707</v>
      </c>
      <c r="BQ788" t="s">
        <v>708</v>
      </c>
    </row>
    <row r="789" spans="1:69" x14ac:dyDescent="0.4">
      <c r="A789" s="2" t="s">
        <v>845</v>
      </c>
      <c r="B789" t="str">
        <f>_xlfn.TEXTAFTER(Table1[[#This Row],[VEHIDCODE]],"_")</f>
        <v>Coach_Gen6_Super_Voyager_Coach</v>
      </c>
      <c r="C789" t="s">
        <v>761</v>
      </c>
      <c r="D789" t="str">
        <f>"item_"&amp;Table1[[#This Row],[VEHIDCODE]]</f>
        <v>item_mu_Coach_Gen6_Super_Voyager_Coach</v>
      </c>
      <c r="E789" t="str">
        <f>"str_"&amp;Table1[[#This Row],[VEHIDCODE]]</f>
        <v>str_mu_Coach_Gen6_Super_Voyager_Coach</v>
      </c>
      <c r="F789">
        <v>8</v>
      </c>
      <c r="G789" t="s">
        <v>326</v>
      </c>
      <c r="H789">
        <v>0</v>
      </c>
      <c r="I789" t="s">
        <v>35</v>
      </c>
      <c r="J789">
        <v>130</v>
      </c>
      <c r="K789">
        <v>2030</v>
      </c>
      <c r="L789">
        <v>8</v>
      </c>
      <c r="M789" s="2" t="s">
        <v>480</v>
      </c>
      <c r="N789" t="b">
        <v>1</v>
      </c>
      <c r="P789" s="2"/>
      <c r="Q789" t="s">
        <v>21</v>
      </c>
      <c r="R789">
        <v>1</v>
      </c>
      <c r="S789">
        <v>0</v>
      </c>
      <c r="T789" t="s">
        <v>712</v>
      </c>
      <c r="U789">
        <v>0</v>
      </c>
      <c r="V789" s="2">
        <v>0.3</v>
      </c>
      <c r="AE789" t="b">
        <v>1</v>
      </c>
      <c r="AZ789" s="2"/>
      <c r="BA789" s="7">
        <v>25</v>
      </c>
      <c r="BB789" t="s">
        <v>937</v>
      </c>
      <c r="BC789" t="s">
        <v>923</v>
      </c>
      <c r="BD789" t="s">
        <v>941</v>
      </c>
      <c r="BE789" t="str">
        <f>IF(OR(Table1[[#This Row],[ENGINE_CLASS]]="STEAM",Table1[[#This Row],[ENGINE_CLASS]]="ELECTRIC",Table1[[#This Row],[ENGINE_CLASS]]="DIESEL"),Table1[[#This Row],[ENGINE_CLASS]],"DISABLE")</f>
        <v>DIESEL</v>
      </c>
      <c r="BF789">
        <v>0</v>
      </c>
      <c r="BG789" t="s">
        <v>735</v>
      </c>
      <c r="BI789"/>
      <c r="BJ789">
        <v>43</v>
      </c>
      <c r="BK789">
        <v>0</v>
      </c>
      <c r="BL789" t="s">
        <v>693</v>
      </c>
      <c r="BM789" t="s">
        <v>695</v>
      </c>
      <c r="BN789" t="s">
        <v>702</v>
      </c>
      <c r="BO789" t="s">
        <v>706</v>
      </c>
      <c r="BP789" t="s">
        <v>707</v>
      </c>
      <c r="BQ789" t="s">
        <v>708</v>
      </c>
    </row>
  </sheetData>
  <phoneticPr fontId="18" type="noConversion"/>
  <dataValidations count="8">
    <dataValidation type="whole" operator="greaterThanOrEqual" allowBlank="1" showInputMessage="1" showErrorMessage="1" sqref="F2:F789" xr:uid="{0865EA1E-ABFC-4E01-96F3-8D2EEBA448D0}">
      <formula1>1</formula1>
    </dataValidation>
    <dataValidation type="whole" allowBlank="1" showInputMessage="1" showErrorMessage="1" sqref="H2:H789" xr:uid="{D532A972-0628-451A-B00F-CE76775FDF58}">
      <formula1>0</formula1>
      <formula2>1</formula2>
    </dataValidation>
    <dataValidation type="whole" operator="greaterThanOrEqual" allowBlank="1" showInputMessage="1" showErrorMessage="1" sqref="J2:J789 R2:S789 U2:U789 BH2:BQ789" xr:uid="{121BD96A-2DFE-44C0-A710-3DBE00BD35FA}">
      <formula1>0</formula1>
    </dataValidation>
    <dataValidation type="whole" allowBlank="1" showInputMessage="1" showErrorMessage="1" sqref="K2:K789" xr:uid="{67EBE282-754C-436F-B481-745FB04717CE}">
      <formula1>1660</formula1>
      <formula2>3000</formula2>
    </dataValidation>
    <dataValidation type="whole" allowBlank="1" showInputMessage="1" showErrorMessage="1" sqref="L2:L789" xr:uid="{54690802-1671-499A-B20D-C087BAB93449}">
      <formula1>1</formula1>
      <formula2>20</formula2>
    </dataValidation>
    <dataValidation type="decimal" operator="greaterThanOrEqual" allowBlank="1" showInputMessage="1" showErrorMessage="1" sqref="V2:V789" xr:uid="{9E64A5F4-D14E-4661-B9F0-1FF49B580A61}">
      <formula1>0</formula1>
    </dataValidation>
    <dataValidation type="whole" allowBlank="1" showInputMessage="1" showErrorMessage="1" sqref="BA2:BA789" xr:uid="{A0BAD92D-1676-4592-8103-C538B2C29C6C}">
      <formula1>5</formula1>
      <formula2>100</formula2>
    </dataValidation>
    <dataValidation type="list" allowBlank="1" showInputMessage="1" showErrorMessage="1" sqref="AF790:BI1048576 W1:AZ789" xr:uid="{49A9B598-B8DB-4809-AD01-29B98BDBD5F7}">
      <formula1>"TRUE"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91B0062-7632-4330-B743-85209701F723}">
          <x14:formula1>
            <xm:f>item_validation!$A$2:$A$17</xm:f>
          </x14:formula1>
          <xm:sqref>BB2:BC789</xm:sqref>
        </x14:dataValidation>
        <x14:dataValidation type="list" allowBlank="1" showInputMessage="1" showErrorMessage="1" xr:uid="{5168097A-AA03-41D9-BD83-206ED5178E49}">
          <x14:formula1>
            <xm:f>item_validation!$C$2:$C$3</xm:f>
          </x14:formula1>
          <xm:sqref>BD1:BD789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 x14ac:dyDescent="0.4"/>
  <sheetData>
    <row r="1" spans="1:1" x14ac:dyDescent="0.4">
      <c r="A1" t="s">
        <v>736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C17"/>
  <sheetViews>
    <sheetView workbookViewId="0">
      <selection activeCell="C1" sqref="C1:C3"/>
    </sheetView>
  </sheetViews>
  <sheetFormatPr defaultRowHeight="14.6" x14ac:dyDescent="0.4"/>
  <cols>
    <col min="1" max="1" width="17.765625" bestFit="1" customWidth="1"/>
    <col min="3" max="3" width="17.53515625" customWidth="1"/>
  </cols>
  <sheetData>
    <row r="1" spans="1:3" x14ac:dyDescent="0.4">
      <c r="A1" t="s">
        <v>939</v>
      </c>
      <c r="C1" t="s">
        <v>940</v>
      </c>
    </row>
    <row r="2" spans="1:3" x14ac:dyDescent="0.4">
      <c r="A2" t="s">
        <v>927</v>
      </c>
      <c r="C2" t="s">
        <v>941</v>
      </c>
    </row>
    <row r="3" spans="1:3" x14ac:dyDescent="0.4">
      <c r="A3" t="s">
        <v>936</v>
      </c>
      <c r="C3" t="s">
        <v>942</v>
      </c>
    </row>
    <row r="4" spans="1:3" x14ac:dyDescent="0.4">
      <c r="A4" t="s">
        <v>933</v>
      </c>
    </row>
    <row r="5" spans="1:3" x14ac:dyDescent="0.4">
      <c r="A5" t="s">
        <v>937</v>
      </c>
    </row>
    <row r="6" spans="1:3" x14ac:dyDescent="0.4">
      <c r="A6" t="s">
        <v>932</v>
      </c>
    </row>
    <row r="7" spans="1:3" x14ac:dyDescent="0.4">
      <c r="A7" t="s">
        <v>930</v>
      </c>
    </row>
    <row r="8" spans="1:3" x14ac:dyDescent="0.4">
      <c r="A8" t="s">
        <v>923</v>
      </c>
    </row>
    <row r="9" spans="1:3" x14ac:dyDescent="0.4">
      <c r="A9" t="s">
        <v>929</v>
      </c>
    </row>
    <row r="10" spans="1:3" x14ac:dyDescent="0.4">
      <c r="A10" t="s">
        <v>928</v>
      </c>
    </row>
    <row r="11" spans="1:3" x14ac:dyDescent="0.4">
      <c r="A11" t="s">
        <v>926</v>
      </c>
    </row>
    <row r="12" spans="1:3" x14ac:dyDescent="0.4">
      <c r="A12" t="s">
        <v>934</v>
      </c>
    </row>
    <row r="13" spans="1:3" x14ac:dyDescent="0.4">
      <c r="A13" t="s">
        <v>935</v>
      </c>
    </row>
    <row r="14" spans="1:3" x14ac:dyDescent="0.4">
      <c r="A14" t="s">
        <v>938</v>
      </c>
    </row>
    <row r="15" spans="1:3" x14ac:dyDescent="0.4">
      <c r="A15" t="s">
        <v>931</v>
      </c>
    </row>
    <row r="16" spans="1:3" x14ac:dyDescent="0.4">
      <c r="A16" t="s">
        <v>925</v>
      </c>
    </row>
    <row r="17" spans="1:1" x14ac:dyDescent="0.4">
      <c r="A17" t="s">
        <v>924</v>
      </c>
    </row>
  </sheetData>
  <sortState xmlns:xlrd2="http://schemas.microsoft.com/office/spreadsheetml/2017/richdata2" ref="A2:A17">
    <sortCondition ref="A2:A17"/>
  </sortState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properties</vt:lpstr>
      <vt:lpstr>copyright_text</vt:lpstr>
      <vt:lpstr>item_validation</vt:lpstr>
      <vt:lpstr>VALID_REGIONS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2026-03-24T08:22:09Z</dcterms:modified>
</cp:coreProperties>
</file>